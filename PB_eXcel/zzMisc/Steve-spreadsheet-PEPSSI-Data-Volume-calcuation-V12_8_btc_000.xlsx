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ian.carcich\Downloads\"/>
    </mc:Choice>
  </mc:AlternateContent>
  <xr:revisionPtr revIDLastSave="0" documentId="13_ncr:1_{216D8D14-CCC9-487A-BDF7-C5370CA97729}" xr6:coauthVersionLast="47" xr6:coauthVersionMax="47" xr10:uidLastSave="{00000000-0000-0000-0000-000000000000}"/>
  <bookViews>
    <workbookView xWindow="0" yWindow="150" windowWidth="28800" windowHeight="15000" tabRatio="500" activeTab="1" xr2:uid="{00000000-000D-0000-FFFF-FFFF00000000}"/>
  </bookViews>
  <sheets>
    <sheet name="Volume estimator" sheetId="1" r:id="rId1"/>
    <sheet name="Packet size and rates" sheetId="2" r:id="rId2"/>
    <sheet name="hibernation_yearly" sheetId="3" r:id="rId3"/>
    <sheet name="hibernation_24267_acq" sheetId="4" r:id="rId4"/>
    <sheet name="25096acq" sheetId="5" r:id="rId5"/>
    <sheet name="25118" sheetId="6" r:id="rId6"/>
    <sheet name="25139" sheetId="7" r:id="rId7"/>
    <sheet name="25159" sheetId="8" r:id="rId8"/>
    <sheet name="25181" sheetId="9" r:id="rId9"/>
    <sheet name="25207" sheetId="10" r:id="rId10"/>
    <sheet name="26179" sheetId="18" r:id="rId11"/>
    <sheet name="26201" sheetId="16" r:id="rId12"/>
    <sheet name="26222" sheetId="19" r:id="rId13"/>
    <sheet name="posthib" sheetId="11" r:id="rId14"/>
    <sheet name="Macro Summary" sheetId="12" r:id="rId15"/>
    <sheet name="TLM packet from pre-hib test" sheetId="13" r:id="rId16"/>
    <sheet name="partial channel use" sheetId="14" r:id="rId17"/>
  </sheets>
  <definedNames>
    <definedName name="_xlnm._FilterDatabase" localSheetId="15" hidden="1">'TLM packet from pre-hib test'!$B$3:$G$12057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03" i="2" l="1"/>
  <c r="U126" i="2"/>
  <c r="R126" i="2"/>
  <c r="P126" i="2"/>
  <c r="N126" i="2"/>
  <c r="K126" i="2"/>
  <c r="I126" i="2"/>
  <c r="P10" i="1" l="1"/>
  <c r="L12" i="1"/>
  <c r="J103" i="2"/>
  <c r="G10" i="12"/>
  <c r="B24" i="18"/>
  <c r="B23" i="18"/>
  <c r="K72" i="19" l="1"/>
  <c r="O68" i="19"/>
  <c r="V64" i="19"/>
  <c r="V65" i="19" s="1"/>
  <c r="V66" i="19" s="1"/>
  <c r="V67" i="19" s="1"/>
  <c r="V68" i="19" s="1"/>
  <c r="V69" i="19" s="1"/>
  <c r="V70" i="19" s="1"/>
  <c r="N64" i="19"/>
  <c r="N65" i="19" s="1"/>
  <c r="N66" i="19" s="1"/>
  <c r="N68" i="19" s="1"/>
  <c r="N69" i="19" s="1"/>
  <c r="N70" i="19" s="1"/>
  <c r="N71" i="19" s="1"/>
  <c r="N72" i="19" s="1"/>
  <c r="U64" i="19"/>
  <c r="U65" i="19" s="1"/>
  <c r="U66" i="19" s="1"/>
  <c r="U67" i="19" s="1"/>
  <c r="U68" i="19" s="1"/>
  <c r="U69" i="19" s="1"/>
  <c r="U70" i="19" s="1"/>
  <c r="J29" i="19"/>
  <c r="I16" i="19"/>
  <c r="I15" i="19"/>
  <c r="M9" i="19"/>
  <c r="H9" i="19"/>
  <c r="I9" i="19" s="1"/>
  <c r="H8" i="19"/>
  <c r="H6" i="19"/>
  <c r="H5" i="19"/>
  <c r="J29" i="18"/>
  <c r="I16" i="18"/>
  <c r="I15" i="18"/>
  <c r="E10" i="18"/>
  <c r="G10" i="18" s="1"/>
  <c r="M9" i="18"/>
  <c r="H9" i="18"/>
  <c r="H8" i="18"/>
  <c r="I9" i="18" s="1"/>
  <c r="H6" i="18"/>
  <c r="H5" i="18"/>
  <c r="J29" i="16"/>
  <c r="I16" i="16"/>
  <c r="I15" i="16"/>
  <c r="E10" i="16"/>
  <c r="G10" i="16" s="1"/>
  <c r="M9" i="16"/>
  <c r="H9" i="16"/>
  <c r="I9" i="16" s="1"/>
  <c r="H8" i="16"/>
  <c r="H6" i="16"/>
  <c r="H5" i="16"/>
  <c r="G63" i="14"/>
  <c r="Q60" i="14"/>
  <c r="P60" i="14"/>
  <c r="J60" i="14"/>
  <c r="J63" i="14" s="1"/>
  <c r="H60" i="14"/>
  <c r="H63" i="14" s="1"/>
  <c r="G60" i="14"/>
  <c r="Q57" i="14"/>
  <c r="J57" i="14"/>
  <c r="H57" i="14"/>
  <c r="G57" i="14"/>
  <c r="Q55" i="14"/>
  <c r="P55" i="14"/>
  <c r="P57" i="14" s="1"/>
  <c r="N55" i="14"/>
  <c r="N57" i="14" s="1"/>
  <c r="N60" i="14" s="1"/>
  <c r="N63" i="14" s="1"/>
  <c r="N74" i="14" s="1"/>
  <c r="N76" i="14" s="1"/>
  <c r="M55" i="14"/>
  <c r="M57" i="14" s="1"/>
  <c r="M60" i="14" s="1"/>
  <c r="K54" i="14"/>
  <c r="K57" i="14" s="1"/>
  <c r="K60" i="14" s="1"/>
  <c r="K63" i="14" s="1"/>
  <c r="J54" i="14"/>
  <c r="Q48" i="14"/>
  <c r="P48" i="14"/>
  <c r="N48" i="14"/>
  <c r="M48" i="14"/>
  <c r="K48" i="14"/>
  <c r="J48" i="14"/>
  <c r="H48" i="14"/>
  <c r="H74" i="14" s="1"/>
  <c r="H76" i="14" s="1"/>
  <c r="G48" i="14"/>
  <c r="G74" i="14" s="1"/>
  <c r="H26" i="14"/>
  <c r="H28" i="14" s="1"/>
  <c r="H30" i="14" s="1"/>
  <c r="G26" i="14"/>
  <c r="G24" i="14"/>
  <c r="H21" i="14"/>
  <c r="H24" i="14" s="1"/>
  <c r="G21" i="14"/>
  <c r="P19" i="14"/>
  <c r="M19" i="14"/>
  <c r="M21" i="14" s="1"/>
  <c r="M24" i="14" s="1"/>
  <c r="M26" i="14" s="1"/>
  <c r="M28" i="14" s="1"/>
  <c r="J18" i="14"/>
  <c r="J21" i="14" s="1"/>
  <c r="J24" i="14" s="1"/>
  <c r="J26" i="14" s="1"/>
  <c r="J28" i="14" s="1"/>
  <c r="Q12" i="14"/>
  <c r="P12" i="14"/>
  <c r="N12" i="14"/>
  <c r="M12" i="14"/>
  <c r="K12" i="14"/>
  <c r="J12" i="14"/>
  <c r="H12" i="14"/>
  <c r="G12" i="14"/>
  <c r="G12057" i="13"/>
  <c r="G12056" i="13"/>
  <c r="G12055" i="13"/>
  <c r="G12054" i="13"/>
  <c r="G12053" i="13"/>
  <c r="G12052" i="13"/>
  <c r="G12051" i="13"/>
  <c r="G12050" i="13"/>
  <c r="G12049" i="13"/>
  <c r="G12048" i="13"/>
  <c r="G12047" i="13"/>
  <c r="G12046" i="13"/>
  <c r="G12045" i="13"/>
  <c r="G12044" i="13"/>
  <c r="G12043" i="13"/>
  <c r="G12042" i="13"/>
  <c r="G12041" i="13"/>
  <c r="G12040" i="13"/>
  <c r="G12039" i="13"/>
  <c r="G12038" i="13"/>
  <c r="G12037" i="13"/>
  <c r="G12036" i="13"/>
  <c r="G12035" i="13"/>
  <c r="G12034" i="13"/>
  <c r="G12033" i="13"/>
  <c r="G12032" i="13"/>
  <c r="G12031" i="13"/>
  <c r="G12030" i="13"/>
  <c r="G12029" i="13"/>
  <c r="G12028" i="13"/>
  <c r="G12027" i="13"/>
  <c r="G12026" i="13"/>
  <c r="G12025" i="13"/>
  <c r="G12024" i="13"/>
  <c r="G12023" i="13"/>
  <c r="G12022" i="13"/>
  <c r="G12021" i="13"/>
  <c r="G12020" i="13"/>
  <c r="G12019" i="13"/>
  <c r="G12018" i="13"/>
  <c r="G12017" i="13"/>
  <c r="G12016" i="13"/>
  <c r="G12015" i="13"/>
  <c r="G12014" i="13"/>
  <c r="G12013" i="13"/>
  <c r="G12012" i="13"/>
  <c r="G12011" i="13"/>
  <c r="G12010" i="13"/>
  <c r="G12009" i="13"/>
  <c r="G12008" i="13"/>
  <c r="G12007" i="13"/>
  <c r="G12006" i="13"/>
  <c r="G12005" i="13"/>
  <c r="G12004" i="13"/>
  <c r="G12003" i="13"/>
  <c r="G12002" i="13"/>
  <c r="G12001" i="13"/>
  <c r="G12000" i="13"/>
  <c r="G11999" i="13"/>
  <c r="G11998" i="13"/>
  <c r="G11997" i="13"/>
  <c r="G11996" i="13"/>
  <c r="G11995" i="13"/>
  <c r="G11994" i="13"/>
  <c r="G11993" i="13"/>
  <c r="G11992" i="13"/>
  <c r="G11991" i="13"/>
  <c r="G11990" i="13"/>
  <c r="G11989" i="13"/>
  <c r="G11988" i="13"/>
  <c r="G11987" i="13"/>
  <c r="G11986" i="13"/>
  <c r="G11985" i="13"/>
  <c r="G11984" i="13"/>
  <c r="G11983" i="13"/>
  <c r="G11982" i="13"/>
  <c r="G11981" i="13"/>
  <c r="G11980" i="13"/>
  <c r="G11979" i="13"/>
  <c r="G11978" i="13"/>
  <c r="G11977" i="13"/>
  <c r="G11976" i="13"/>
  <c r="G11975" i="13"/>
  <c r="G11974" i="13"/>
  <c r="G11973" i="13"/>
  <c r="G11972" i="13"/>
  <c r="G11971" i="13"/>
  <c r="G11970" i="13"/>
  <c r="G11969" i="13"/>
  <c r="G11968" i="13"/>
  <c r="G11967" i="13"/>
  <c r="G11966" i="13"/>
  <c r="G11965" i="13"/>
  <c r="G11964" i="13"/>
  <c r="G11963" i="13"/>
  <c r="G11962" i="13"/>
  <c r="G11961" i="13"/>
  <c r="G11960" i="13"/>
  <c r="G11959" i="13"/>
  <c r="G11958" i="13"/>
  <c r="G11957" i="13"/>
  <c r="G11956" i="13"/>
  <c r="G11955" i="13"/>
  <c r="G11954" i="13"/>
  <c r="G11953" i="13"/>
  <c r="G11952" i="13"/>
  <c r="G11951" i="13"/>
  <c r="G11950" i="13"/>
  <c r="G11949" i="13"/>
  <c r="G11948" i="13"/>
  <c r="G11947" i="13"/>
  <c r="G11946" i="13"/>
  <c r="G11945" i="13"/>
  <c r="G11944" i="13"/>
  <c r="G11943" i="13"/>
  <c r="G11942" i="13"/>
  <c r="G11941" i="13"/>
  <c r="G11940" i="13"/>
  <c r="G11939" i="13"/>
  <c r="G11938" i="13"/>
  <c r="G11937" i="13"/>
  <c r="G11936" i="13"/>
  <c r="G11935" i="13"/>
  <c r="G11934" i="13"/>
  <c r="G11933" i="13"/>
  <c r="G11932" i="13"/>
  <c r="G11931" i="13"/>
  <c r="G11930" i="13"/>
  <c r="G11929" i="13"/>
  <c r="G11928" i="13"/>
  <c r="G11927" i="13"/>
  <c r="G11926" i="13"/>
  <c r="G11925" i="13"/>
  <c r="G11924" i="13"/>
  <c r="G11923" i="13"/>
  <c r="G11922" i="13"/>
  <c r="G11921" i="13"/>
  <c r="G11920" i="13"/>
  <c r="G11919" i="13"/>
  <c r="G11918" i="13"/>
  <c r="G11917" i="13"/>
  <c r="G11916" i="13"/>
  <c r="G11915" i="13"/>
  <c r="G11914" i="13"/>
  <c r="G11913" i="13"/>
  <c r="G11912" i="13"/>
  <c r="G11911" i="13"/>
  <c r="G11910" i="13"/>
  <c r="G11909" i="13"/>
  <c r="G11908" i="13"/>
  <c r="G11907" i="13"/>
  <c r="G11906" i="13"/>
  <c r="G11905" i="13"/>
  <c r="G11904" i="13"/>
  <c r="G11903" i="13"/>
  <c r="G11902" i="13"/>
  <c r="G11901" i="13"/>
  <c r="G11900" i="13"/>
  <c r="G11899" i="13"/>
  <c r="G11898" i="13"/>
  <c r="G11897" i="13"/>
  <c r="G11896" i="13"/>
  <c r="G11895" i="13"/>
  <c r="G11894" i="13"/>
  <c r="G11893" i="13"/>
  <c r="G11892" i="13"/>
  <c r="G11891" i="13"/>
  <c r="G11890" i="13"/>
  <c r="G11889" i="13"/>
  <c r="G11888" i="13"/>
  <c r="G11887" i="13"/>
  <c r="G11886" i="13"/>
  <c r="G11885" i="13"/>
  <c r="G11884" i="13"/>
  <c r="G11883" i="13"/>
  <c r="G11882" i="13"/>
  <c r="G11881" i="13"/>
  <c r="G11880" i="13"/>
  <c r="G11879" i="13"/>
  <c r="G11878" i="13"/>
  <c r="G11877" i="13"/>
  <c r="G11876" i="13"/>
  <c r="G11875" i="13"/>
  <c r="G11874" i="13"/>
  <c r="G11873" i="13"/>
  <c r="G11872" i="13"/>
  <c r="G11871" i="13"/>
  <c r="G11870" i="13"/>
  <c r="G11869" i="13"/>
  <c r="G11868" i="13"/>
  <c r="G11867" i="13"/>
  <c r="G11866" i="13"/>
  <c r="G11865" i="13"/>
  <c r="G11864" i="13"/>
  <c r="G11863" i="13"/>
  <c r="G11862" i="13"/>
  <c r="G11861" i="13"/>
  <c r="G11860" i="13"/>
  <c r="G11859" i="13"/>
  <c r="G11858" i="13"/>
  <c r="G11857" i="13"/>
  <c r="G11856" i="13"/>
  <c r="G11855" i="13"/>
  <c r="G11854" i="13"/>
  <c r="G11853" i="13"/>
  <c r="G11852" i="13"/>
  <c r="G11851" i="13"/>
  <c r="G11850" i="13"/>
  <c r="G11849" i="13"/>
  <c r="G11848" i="13"/>
  <c r="G11847" i="13"/>
  <c r="G11846" i="13"/>
  <c r="G11845" i="13"/>
  <c r="G11844" i="13"/>
  <c r="G11843" i="13"/>
  <c r="G11842" i="13"/>
  <c r="G11841" i="13"/>
  <c r="G11840" i="13"/>
  <c r="G11839" i="13"/>
  <c r="G11838" i="13"/>
  <c r="G11837" i="13"/>
  <c r="G11836" i="13"/>
  <c r="G11835" i="13"/>
  <c r="G11834" i="13"/>
  <c r="G11833" i="13"/>
  <c r="G11832" i="13"/>
  <c r="G11831" i="13"/>
  <c r="G11830" i="13"/>
  <c r="G11829" i="13"/>
  <c r="G11828" i="13"/>
  <c r="G11827" i="13"/>
  <c r="G11826" i="13"/>
  <c r="G11825" i="13"/>
  <c r="G11824" i="13"/>
  <c r="G11823" i="13"/>
  <c r="G11822" i="13"/>
  <c r="G11821" i="13"/>
  <c r="G11820" i="13"/>
  <c r="G11819" i="13"/>
  <c r="G11818" i="13"/>
  <c r="G11817" i="13"/>
  <c r="G11816" i="13"/>
  <c r="G11815" i="13"/>
  <c r="G11814" i="13"/>
  <c r="G11813" i="13"/>
  <c r="G11812" i="13"/>
  <c r="G11811" i="13"/>
  <c r="G11810" i="13"/>
  <c r="G11809" i="13"/>
  <c r="G11808" i="13"/>
  <c r="G11807" i="13"/>
  <c r="G11806" i="13"/>
  <c r="G11805" i="13"/>
  <c r="G11804" i="13"/>
  <c r="G11803" i="13"/>
  <c r="G11802" i="13"/>
  <c r="G11801" i="13"/>
  <c r="G11800" i="13"/>
  <c r="G11799" i="13"/>
  <c r="G11798" i="13"/>
  <c r="G11797" i="13"/>
  <c r="G11796" i="13"/>
  <c r="G11795" i="13"/>
  <c r="G11794" i="13"/>
  <c r="G11793" i="13"/>
  <c r="G11792" i="13"/>
  <c r="G11791" i="13"/>
  <c r="G11790" i="13"/>
  <c r="G11789" i="13"/>
  <c r="G11788" i="13"/>
  <c r="G11787" i="13"/>
  <c r="G11786" i="13"/>
  <c r="G11785" i="13"/>
  <c r="G11784" i="13"/>
  <c r="G11783" i="13"/>
  <c r="G11782" i="13"/>
  <c r="G11781" i="13"/>
  <c r="G11780" i="13"/>
  <c r="G11779" i="13"/>
  <c r="G11778" i="13"/>
  <c r="G11777" i="13"/>
  <c r="G11776" i="13"/>
  <c r="G11775" i="13"/>
  <c r="G11774" i="13"/>
  <c r="G11773" i="13"/>
  <c r="G11772" i="13"/>
  <c r="G11771" i="13"/>
  <c r="G11770" i="13"/>
  <c r="G11769" i="13"/>
  <c r="G11768" i="13"/>
  <c r="G11767" i="13"/>
  <c r="G11766" i="13"/>
  <c r="G11765" i="13"/>
  <c r="G11764" i="13"/>
  <c r="G11763" i="13"/>
  <c r="G11762" i="13"/>
  <c r="G11761" i="13"/>
  <c r="G11760" i="13"/>
  <c r="G11759" i="13"/>
  <c r="G11758" i="13"/>
  <c r="G11757" i="13"/>
  <c r="G11756" i="13"/>
  <c r="G11755" i="13"/>
  <c r="G11754" i="13"/>
  <c r="G11753" i="13"/>
  <c r="G11752" i="13"/>
  <c r="G11751" i="13"/>
  <c r="G11750" i="13"/>
  <c r="G11749" i="13"/>
  <c r="G11748" i="13"/>
  <c r="G11747" i="13"/>
  <c r="G11746" i="13"/>
  <c r="G11745" i="13"/>
  <c r="G11744" i="13"/>
  <c r="G11743" i="13"/>
  <c r="G11742" i="13"/>
  <c r="G11741" i="13"/>
  <c r="G11740" i="13"/>
  <c r="G11739" i="13"/>
  <c r="G11738" i="13"/>
  <c r="G11737" i="13"/>
  <c r="G11736" i="13"/>
  <c r="G11735" i="13"/>
  <c r="G11734" i="13"/>
  <c r="G11733" i="13"/>
  <c r="G11732" i="13"/>
  <c r="G11731" i="13"/>
  <c r="G11730" i="13"/>
  <c r="G11729" i="13"/>
  <c r="G11728" i="13"/>
  <c r="G11727" i="13"/>
  <c r="G11726" i="13"/>
  <c r="G11725" i="13"/>
  <c r="G11724" i="13"/>
  <c r="G11723" i="13"/>
  <c r="G11722" i="13"/>
  <c r="G11721" i="13"/>
  <c r="G11720" i="13"/>
  <c r="G11719" i="13"/>
  <c r="G11718" i="13"/>
  <c r="G11717" i="13"/>
  <c r="G11716" i="13"/>
  <c r="G11715" i="13"/>
  <c r="G11714" i="13"/>
  <c r="G11713" i="13"/>
  <c r="G11712" i="13"/>
  <c r="G11711" i="13"/>
  <c r="G11710" i="13"/>
  <c r="G11709" i="13"/>
  <c r="G11708" i="13"/>
  <c r="G11707" i="13"/>
  <c r="G11706" i="13"/>
  <c r="G11705" i="13"/>
  <c r="G11704" i="13"/>
  <c r="G11703" i="13"/>
  <c r="G11702" i="13"/>
  <c r="G11701" i="13"/>
  <c r="G11700" i="13"/>
  <c r="G11699" i="13"/>
  <c r="G11698" i="13"/>
  <c r="G11697" i="13"/>
  <c r="G11696" i="13"/>
  <c r="G11695" i="13"/>
  <c r="G11694" i="13"/>
  <c r="G11693" i="13"/>
  <c r="G11692" i="13"/>
  <c r="G11691" i="13"/>
  <c r="G11690" i="13"/>
  <c r="G11689" i="13"/>
  <c r="G11688" i="13"/>
  <c r="G11687" i="13"/>
  <c r="G11686" i="13"/>
  <c r="G11685" i="13"/>
  <c r="G11684" i="13"/>
  <c r="G11683" i="13"/>
  <c r="G11682" i="13"/>
  <c r="G11681" i="13"/>
  <c r="G11680" i="13"/>
  <c r="G11679" i="13"/>
  <c r="G11678" i="13"/>
  <c r="G11677" i="13"/>
  <c r="G11676" i="13"/>
  <c r="G11675" i="13"/>
  <c r="G11674" i="13"/>
  <c r="G11673" i="13"/>
  <c r="G11672" i="13"/>
  <c r="G11671" i="13"/>
  <c r="G11670" i="13"/>
  <c r="G11669" i="13"/>
  <c r="G11668" i="13"/>
  <c r="G11667" i="13"/>
  <c r="G11666" i="13"/>
  <c r="G11665" i="13"/>
  <c r="G11664" i="13"/>
  <c r="G11663" i="13"/>
  <c r="G11662" i="13"/>
  <c r="G11661" i="13"/>
  <c r="G11660" i="13"/>
  <c r="G11659" i="13"/>
  <c r="G11658" i="13"/>
  <c r="G11657" i="13"/>
  <c r="G11656" i="13"/>
  <c r="G11655" i="13"/>
  <c r="G11654" i="13"/>
  <c r="G11653" i="13"/>
  <c r="G11652" i="13"/>
  <c r="G11651" i="13"/>
  <c r="G11650" i="13"/>
  <c r="G11649" i="13"/>
  <c r="G11648" i="13"/>
  <c r="G11647" i="13"/>
  <c r="G11646" i="13"/>
  <c r="G11645" i="13"/>
  <c r="G11644" i="13"/>
  <c r="G11643" i="13"/>
  <c r="G11642" i="13"/>
  <c r="G11641" i="13"/>
  <c r="G11640" i="13"/>
  <c r="G11639" i="13"/>
  <c r="G11638" i="13"/>
  <c r="G11637" i="13"/>
  <c r="G11636" i="13"/>
  <c r="G11635" i="13"/>
  <c r="G11634" i="13"/>
  <c r="G11633" i="13"/>
  <c r="G11632" i="13"/>
  <c r="G11631" i="13"/>
  <c r="G11630" i="13"/>
  <c r="G11629" i="13"/>
  <c r="G11628" i="13"/>
  <c r="G11627" i="13"/>
  <c r="G11626" i="13"/>
  <c r="G11625" i="13"/>
  <c r="G11624" i="13"/>
  <c r="G11623" i="13"/>
  <c r="G11622" i="13"/>
  <c r="G11621" i="13"/>
  <c r="G11620" i="13"/>
  <c r="G11619" i="13"/>
  <c r="G11618" i="13"/>
  <c r="G11617" i="13"/>
  <c r="G11616" i="13"/>
  <c r="G11615" i="13"/>
  <c r="G11614" i="13"/>
  <c r="G11613" i="13"/>
  <c r="G11612" i="13"/>
  <c r="G11611" i="13"/>
  <c r="G11610" i="13"/>
  <c r="G11609" i="13"/>
  <c r="G11608" i="13"/>
  <c r="G11607" i="13"/>
  <c r="G11606" i="13"/>
  <c r="G11605" i="13"/>
  <c r="G11604" i="13"/>
  <c r="G11603" i="13"/>
  <c r="G11602" i="13"/>
  <c r="G11601" i="13"/>
  <c r="G11600" i="13"/>
  <c r="G11599" i="13"/>
  <c r="G11598" i="13"/>
  <c r="G11597" i="13"/>
  <c r="G11596" i="13"/>
  <c r="G11595" i="13"/>
  <c r="G11594" i="13"/>
  <c r="G11593" i="13"/>
  <c r="G11592" i="13"/>
  <c r="G11591" i="13"/>
  <c r="G11590" i="13"/>
  <c r="G11589" i="13"/>
  <c r="G11588" i="13"/>
  <c r="G11587" i="13"/>
  <c r="G11586" i="13"/>
  <c r="G11585" i="13"/>
  <c r="G11584" i="13"/>
  <c r="G11583" i="13"/>
  <c r="G11582" i="13"/>
  <c r="G11581" i="13"/>
  <c r="G11580" i="13"/>
  <c r="G11579" i="13"/>
  <c r="G11578" i="13"/>
  <c r="G11577" i="13"/>
  <c r="G11576" i="13"/>
  <c r="G11575" i="13"/>
  <c r="G11574" i="13"/>
  <c r="G11573" i="13"/>
  <c r="G11572" i="13"/>
  <c r="G11571" i="13"/>
  <c r="G11570" i="13"/>
  <c r="G11569" i="13"/>
  <c r="G11568" i="13"/>
  <c r="G11567" i="13"/>
  <c r="G11566" i="13"/>
  <c r="G11565" i="13"/>
  <c r="G11564" i="13"/>
  <c r="G11563" i="13"/>
  <c r="G11562" i="13"/>
  <c r="G11561" i="13"/>
  <c r="G11560" i="13"/>
  <c r="G11559" i="13"/>
  <c r="G11558" i="13"/>
  <c r="G11557" i="13"/>
  <c r="G11556" i="13"/>
  <c r="G11555" i="13"/>
  <c r="G11554" i="13"/>
  <c r="G11553" i="13"/>
  <c r="G11552" i="13"/>
  <c r="G11551" i="13"/>
  <c r="G11550" i="13"/>
  <c r="G11549" i="13"/>
  <c r="G11548" i="13"/>
  <c r="G11547" i="13"/>
  <c r="G11546" i="13"/>
  <c r="G11545" i="13"/>
  <c r="G11544" i="13"/>
  <c r="G11543" i="13"/>
  <c r="G11542" i="13"/>
  <c r="G11541" i="13"/>
  <c r="G11540" i="13"/>
  <c r="G11539" i="13"/>
  <c r="G11538" i="13"/>
  <c r="G11537" i="13"/>
  <c r="G11536" i="13"/>
  <c r="G11535" i="13"/>
  <c r="G11534" i="13"/>
  <c r="G11533" i="13"/>
  <c r="G11532" i="13"/>
  <c r="G11531" i="13"/>
  <c r="G11530" i="13"/>
  <c r="G11529" i="13"/>
  <c r="G11528" i="13"/>
  <c r="G11527" i="13"/>
  <c r="G11526" i="13"/>
  <c r="G11525" i="13"/>
  <c r="G11524" i="13"/>
  <c r="G11523" i="13"/>
  <c r="G11522" i="13"/>
  <c r="G11521" i="13"/>
  <c r="G11520" i="13"/>
  <c r="G11519" i="13"/>
  <c r="G11518" i="13"/>
  <c r="G11517" i="13"/>
  <c r="G11516" i="13"/>
  <c r="G11515" i="13"/>
  <c r="G11514" i="13"/>
  <c r="G11513" i="13"/>
  <c r="G11512" i="13"/>
  <c r="G11511" i="13"/>
  <c r="G11510" i="13"/>
  <c r="G11509" i="13"/>
  <c r="G11508" i="13"/>
  <c r="G11507" i="13"/>
  <c r="G11506" i="13"/>
  <c r="G11505" i="13"/>
  <c r="G11504" i="13"/>
  <c r="G11503" i="13"/>
  <c r="G11502" i="13"/>
  <c r="G11501" i="13"/>
  <c r="G11500" i="13"/>
  <c r="G11499" i="13"/>
  <c r="G11498" i="13"/>
  <c r="G11497" i="13"/>
  <c r="G11496" i="13"/>
  <c r="G11495" i="13"/>
  <c r="G11494" i="13"/>
  <c r="G11493" i="13"/>
  <c r="G11492" i="13"/>
  <c r="G11491" i="13"/>
  <c r="G11490" i="13"/>
  <c r="G11489" i="13"/>
  <c r="G11488" i="13"/>
  <c r="G11487" i="13"/>
  <c r="G11486" i="13"/>
  <c r="G11485" i="13"/>
  <c r="G11484" i="13"/>
  <c r="G11483" i="13"/>
  <c r="G11482" i="13"/>
  <c r="G11481" i="13"/>
  <c r="G11480" i="13"/>
  <c r="G11479" i="13"/>
  <c r="G11478" i="13"/>
  <c r="G11477" i="13"/>
  <c r="G11476" i="13"/>
  <c r="G11475" i="13"/>
  <c r="G11474" i="13"/>
  <c r="G11473" i="13"/>
  <c r="G11472" i="13"/>
  <c r="G11471" i="13"/>
  <c r="G11470" i="13"/>
  <c r="G11469" i="13"/>
  <c r="G11468" i="13"/>
  <c r="G11467" i="13"/>
  <c r="G11466" i="13"/>
  <c r="G11465" i="13"/>
  <c r="G11464" i="13"/>
  <c r="G11463" i="13"/>
  <c r="G11462" i="13"/>
  <c r="G11461" i="13"/>
  <c r="G11460" i="13"/>
  <c r="G11459" i="13"/>
  <c r="G11458" i="13"/>
  <c r="G11457" i="13"/>
  <c r="G11456" i="13"/>
  <c r="G11455" i="13"/>
  <c r="G11454" i="13"/>
  <c r="G11453" i="13"/>
  <c r="G11452" i="13"/>
  <c r="G11451" i="13"/>
  <c r="G11450" i="13"/>
  <c r="G11449" i="13"/>
  <c r="G11448" i="13"/>
  <c r="G11447" i="13"/>
  <c r="G11446" i="13"/>
  <c r="G11445" i="13"/>
  <c r="G11444" i="13"/>
  <c r="G11443" i="13"/>
  <c r="G11442" i="13"/>
  <c r="G11441" i="13"/>
  <c r="G11440" i="13"/>
  <c r="G11439" i="13"/>
  <c r="G11438" i="13"/>
  <c r="G11437" i="13"/>
  <c r="G11436" i="13"/>
  <c r="G11435" i="13"/>
  <c r="G11434" i="13"/>
  <c r="G11433" i="13"/>
  <c r="G11432" i="13"/>
  <c r="G11431" i="13"/>
  <c r="G11430" i="13"/>
  <c r="G11429" i="13"/>
  <c r="G11428" i="13"/>
  <c r="G11427" i="13"/>
  <c r="G11426" i="13"/>
  <c r="G11425" i="13"/>
  <c r="G11424" i="13"/>
  <c r="G11423" i="13"/>
  <c r="G11422" i="13"/>
  <c r="G11421" i="13"/>
  <c r="G11420" i="13"/>
  <c r="G11419" i="13"/>
  <c r="G11418" i="13"/>
  <c r="G11417" i="13"/>
  <c r="G11416" i="13"/>
  <c r="G11415" i="13"/>
  <c r="G11414" i="13"/>
  <c r="G11413" i="13"/>
  <c r="G11412" i="13"/>
  <c r="G11411" i="13"/>
  <c r="G11410" i="13"/>
  <c r="G11409" i="13"/>
  <c r="G11408" i="13"/>
  <c r="G11407" i="13"/>
  <c r="G11406" i="13"/>
  <c r="G11405" i="13"/>
  <c r="G11404" i="13"/>
  <c r="G11403" i="13"/>
  <c r="G11402" i="13"/>
  <c r="G11401" i="13"/>
  <c r="G11400" i="13"/>
  <c r="G11399" i="13"/>
  <c r="G11398" i="13"/>
  <c r="G11397" i="13"/>
  <c r="G11396" i="13"/>
  <c r="G11395" i="13"/>
  <c r="G11394" i="13"/>
  <c r="G11393" i="13"/>
  <c r="G11392" i="13"/>
  <c r="G11391" i="13"/>
  <c r="G11390" i="13"/>
  <c r="G11389" i="13"/>
  <c r="G11388" i="13"/>
  <c r="G11387" i="13"/>
  <c r="G11386" i="13"/>
  <c r="G11385" i="13"/>
  <c r="G11384" i="13"/>
  <c r="G11383" i="13"/>
  <c r="G11382" i="13"/>
  <c r="G11381" i="13"/>
  <c r="G11380" i="13"/>
  <c r="G11379" i="13"/>
  <c r="G11378" i="13"/>
  <c r="G11377" i="13"/>
  <c r="G11376" i="13"/>
  <c r="G11375" i="13"/>
  <c r="G11374" i="13"/>
  <c r="G11373" i="13"/>
  <c r="G11372" i="13"/>
  <c r="G11371" i="13"/>
  <c r="G11370" i="13"/>
  <c r="G11369" i="13"/>
  <c r="G11368" i="13"/>
  <c r="G11367" i="13"/>
  <c r="G11366" i="13"/>
  <c r="G11365" i="13"/>
  <c r="G11364" i="13"/>
  <c r="G11363" i="13"/>
  <c r="G11362" i="13"/>
  <c r="G11361" i="13"/>
  <c r="G11360" i="13"/>
  <c r="G11359" i="13"/>
  <c r="G11358" i="13"/>
  <c r="G11357" i="13"/>
  <c r="G11356" i="13"/>
  <c r="G11355" i="13"/>
  <c r="G11354" i="13"/>
  <c r="G11353" i="13"/>
  <c r="G11352" i="13"/>
  <c r="G11351" i="13"/>
  <c r="G11350" i="13"/>
  <c r="G11349" i="13"/>
  <c r="G11348" i="13"/>
  <c r="G11347" i="13"/>
  <c r="G11346" i="13"/>
  <c r="G11345" i="13"/>
  <c r="G11344" i="13"/>
  <c r="G11343" i="13"/>
  <c r="G11342" i="13"/>
  <c r="G11341" i="13"/>
  <c r="G11340" i="13"/>
  <c r="G11339" i="13"/>
  <c r="G11338" i="13"/>
  <c r="G11337" i="13"/>
  <c r="G11336" i="13"/>
  <c r="G11335" i="13"/>
  <c r="G11334" i="13"/>
  <c r="G11333" i="13"/>
  <c r="G11332" i="13"/>
  <c r="G11331" i="13"/>
  <c r="G11330" i="13"/>
  <c r="G11329" i="13"/>
  <c r="G11328" i="13"/>
  <c r="G11327" i="13"/>
  <c r="G11326" i="13"/>
  <c r="G11325" i="13"/>
  <c r="G11324" i="13"/>
  <c r="G11323" i="13"/>
  <c r="G11322" i="13"/>
  <c r="G11321" i="13"/>
  <c r="G11320" i="13"/>
  <c r="G11319" i="13"/>
  <c r="G11318" i="13"/>
  <c r="G11317" i="13"/>
  <c r="G11316" i="13"/>
  <c r="G11315" i="13"/>
  <c r="G11314" i="13"/>
  <c r="G11313" i="13"/>
  <c r="G11312" i="13"/>
  <c r="G11311" i="13"/>
  <c r="G11310" i="13"/>
  <c r="G11309" i="13"/>
  <c r="G11308" i="13"/>
  <c r="G11307" i="13"/>
  <c r="G11306" i="13"/>
  <c r="G11305" i="13"/>
  <c r="G11304" i="13"/>
  <c r="G11303" i="13"/>
  <c r="G11302" i="13"/>
  <c r="G11301" i="13"/>
  <c r="G11300" i="13"/>
  <c r="G11299" i="13"/>
  <c r="G11298" i="13"/>
  <c r="G11297" i="13"/>
  <c r="G11296" i="13"/>
  <c r="G11295" i="13"/>
  <c r="G11294" i="13"/>
  <c r="G11293" i="13"/>
  <c r="G11292" i="13"/>
  <c r="G11291" i="13"/>
  <c r="G11290" i="13"/>
  <c r="G11289" i="13"/>
  <c r="G11288" i="13"/>
  <c r="G11287" i="13"/>
  <c r="G11286" i="13"/>
  <c r="G11285" i="13"/>
  <c r="G11284" i="13"/>
  <c r="G11283" i="13"/>
  <c r="G11282" i="13"/>
  <c r="G11281" i="13"/>
  <c r="G11280" i="13"/>
  <c r="G11279" i="13"/>
  <c r="G11278" i="13"/>
  <c r="G11277" i="13"/>
  <c r="G11276" i="13"/>
  <c r="G11275" i="13"/>
  <c r="G11274" i="13"/>
  <c r="G11273" i="13"/>
  <c r="G11272" i="13"/>
  <c r="G11271" i="13"/>
  <c r="G11270" i="13"/>
  <c r="G11269" i="13"/>
  <c r="G11268" i="13"/>
  <c r="G11267" i="13"/>
  <c r="G11266" i="13"/>
  <c r="G11265" i="13"/>
  <c r="G11264" i="13"/>
  <c r="G11263" i="13"/>
  <c r="G11262" i="13"/>
  <c r="G11261" i="13"/>
  <c r="G11260" i="13"/>
  <c r="G11259" i="13"/>
  <c r="G11258" i="13"/>
  <c r="G11257" i="13"/>
  <c r="G11256" i="13"/>
  <c r="G11255" i="13"/>
  <c r="G11254" i="13"/>
  <c r="G11253" i="13"/>
  <c r="G11252" i="13"/>
  <c r="G11251" i="13"/>
  <c r="G11250" i="13"/>
  <c r="G11249" i="13"/>
  <c r="G11248" i="13"/>
  <c r="G11247" i="13"/>
  <c r="G11246" i="13"/>
  <c r="G11245" i="13"/>
  <c r="G11244" i="13"/>
  <c r="G11243" i="13"/>
  <c r="G11242" i="13"/>
  <c r="G11241" i="13"/>
  <c r="G11240" i="13"/>
  <c r="G11239" i="13"/>
  <c r="G11238" i="13"/>
  <c r="G11237" i="13"/>
  <c r="G11236" i="13"/>
  <c r="G11235" i="13"/>
  <c r="G11234" i="13"/>
  <c r="G11233" i="13"/>
  <c r="G11232" i="13"/>
  <c r="G11231" i="13"/>
  <c r="G11230" i="13"/>
  <c r="G11229" i="13"/>
  <c r="G11228" i="13"/>
  <c r="G11227" i="13"/>
  <c r="G11226" i="13"/>
  <c r="G11225" i="13"/>
  <c r="G11224" i="13"/>
  <c r="G11223" i="13"/>
  <c r="G11222" i="13"/>
  <c r="G11221" i="13"/>
  <c r="G11220" i="13"/>
  <c r="G11219" i="13"/>
  <c r="G11218" i="13"/>
  <c r="G11217" i="13"/>
  <c r="G11216" i="13"/>
  <c r="G11215" i="13"/>
  <c r="G11214" i="13"/>
  <c r="G11213" i="13"/>
  <c r="G11212" i="13"/>
  <c r="G11211" i="13"/>
  <c r="G11210" i="13"/>
  <c r="G11209" i="13"/>
  <c r="G11208" i="13"/>
  <c r="G11207" i="13"/>
  <c r="G11206" i="13"/>
  <c r="G11205" i="13"/>
  <c r="G11204" i="13"/>
  <c r="G11203" i="13"/>
  <c r="G11202" i="13"/>
  <c r="G11201" i="13"/>
  <c r="G11200" i="13"/>
  <c r="G11199" i="13"/>
  <c r="G11198" i="13"/>
  <c r="G11197" i="13"/>
  <c r="G11196" i="13"/>
  <c r="G11195" i="13"/>
  <c r="G11194" i="13"/>
  <c r="G11193" i="13"/>
  <c r="G11192" i="13"/>
  <c r="G11191" i="13"/>
  <c r="G11190" i="13"/>
  <c r="G11189" i="13"/>
  <c r="G11188" i="13"/>
  <c r="G11187" i="13"/>
  <c r="G11186" i="13"/>
  <c r="G11185" i="13"/>
  <c r="G11184" i="13"/>
  <c r="G11183" i="13"/>
  <c r="G11182" i="13"/>
  <c r="G11181" i="13"/>
  <c r="G11180" i="13"/>
  <c r="G11179" i="13"/>
  <c r="G11178" i="13"/>
  <c r="G11177" i="13"/>
  <c r="G11176" i="13"/>
  <c r="G11175" i="13"/>
  <c r="G11174" i="13"/>
  <c r="G11173" i="13"/>
  <c r="G11172" i="13"/>
  <c r="G11171" i="13"/>
  <c r="G11170" i="13"/>
  <c r="G11169" i="13"/>
  <c r="G11168" i="13"/>
  <c r="G11167" i="13"/>
  <c r="G11166" i="13"/>
  <c r="G11165" i="13"/>
  <c r="G11164" i="13"/>
  <c r="G11163" i="13"/>
  <c r="G11162" i="13"/>
  <c r="G11161" i="13"/>
  <c r="G11160" i="13"/>
  <c r="G11159" i="13"/>
  <c r="G11158" i="13"/>
  <c r="G11157" i="13"/>
  <c r="G11156" i="13"/>
  <c r="G11155" i="13"/>
  <c r="G11154" i="13"/>
  <c r="G11153" i="13"/>
  <c r="G11152" i="13"/>
  <c r="G11151" i="13"/>
  <c r="G11150" i="13"/>
  <c r="G11149" i="13"/>
  <c r="G11148" i="13"/>
  <c r="G11147" i="13"/>
  <c r="G11146" i="13"/>
  <c r="G11145" i="13"/>
  <c r="G11144" i="13"/>
  <c r="G11143" i="13"/>
  <c r="G11142" i="13"/>
  <c r="G11141" i="13"/>
  <c r="G11140" i="13"/>
  <c r="G11139" i="13"/>
  <c r="G11138" i="13"/>
  <c r="G11137" i="13"/>
  <c r="G11136" i="13"/>
  <c r="G11135" i="13"/>
  <c r="G11134" i="13"/>
  <c r="G11133" i="13"/>
  <c r="G11132" i="13"/>
  <c r="G11131" i="13"/>
  <c r="G11130" i="13"/>
  <c r="G11129" i="13"/>
  <c r="G11128" i="13"/>
  <c r="G11127" i="13"/>
  <c r="G11126" i="13"/>
  <c r="G11125" i="13"/>
  <c r="G11124" i="13"/>
  <c r="G11123" i="13"/>
  <c r="G11122" i="13"/>
  <c r="G11121" i="13"/>
  <c r="G11120" i="13"/>
  <c r="G11119" i="13"/>
  <c r="G11118" i="13"/>
  <c r="G11117" i="13"/>
  <c r="G11116" i="13"/>
  <c r="G11115" i="13"/>
  <c r="G11114" i="13"/>
  <c r="G11113" i="13"/>
  <c r="G11112" i="13"/>
  <c r="G11111" i="13"/>
  <c r="G11110" i="13"/>
  <c r="G11109" i="13"/>
  <c r="G11108" i="13"/>
  <c r="G11107" i="13"/>
  <c r="G11106" i="13"/>
  <c r="G11105" i="13"/>
  <c r="G11104" i="13"/>
  <c r="G11103" i="13"/>
  <c r="G11102" i="13"/>
  <c r="G11101" i="13"/>
  <c r="G11100" i="13"/>
  <c r="G11099" i="13"/>
  <c r="G11098" i="13"/>
  <c r="G11097" i="13"/>
  <c r="G11096" i="13"/>
  <c r="G11095" i="13"/>
  <c r="G11094" i="13"/>
  <c r="G11093" i="13"/>
  <c r="G11092" i="13"/>
  <c r="G11091" i="13"/>
  <c r="G11090" i="13"/>
  <c r="G11089" i="13"/>
  <c r="G11088" i="13"/>
  <c r="G11087" i="13"/>
  <c r="G11086" i="13"/>
  <c r="G11085" i="13"/>
  <c r="G11084" i="13"/>
  <c r="G11083" i="13"/>
  <c r="G11082" i="13"/>
  <c r="G11081" i="13"/>
  <c r="G11080" i="13"/>
  <c r="G11079" i="13"/>
  <c r="G11078" i="13"/>
  <c r="G11077" i="13"/>
  <c r="G11076" i="13"/>
  <c r="G11075" i="13"/>
  <c r="G11074" i="13"/>
  <c r="G11073" i="13"/>
  <c r="G11072" i="13"/>
  <c r="G11071" i="13"/>
  <c r="G11070" i="13"/>
  <c r="G11069" i="13"/>
  <c r="G11068" i="13"/>
  <c r="G11067" i="13"/>
  <c r="G11066" i="13"/>
  <c r="G11065" i="13"/>
  <c r="G11064" i="13"/>
  <c r="G11063" i="13"/>
  <c r="G11062" i="13"/>
  <c r="G11061" i="13"/>
  <c r="G11060" i="13"/>
  <c r="G11059" i="13"/>
  <c r="G11058" i="13"/>
  <c r="G11057" i="13"/>
  <c r="G11056" i="13"/>
  <c r="G11055" i="13"/>
  <c r="G11054" i="13"/>
  <c r="G11053" i="13"/>
  <c r="G11052" i="13"/>
  <c r="G11051" i="13"/>
  <c r="G11050" i="13"/>
  <c r="G11049" i="13"/>
  <c r="G11048" i="13"/>
  <c r="G11047" i="13"/>
  <c r="G11046" i="13"/>
  <c r="G11045" i="13"/>
  <c r="G11044" i="13"/>
  <c r="G11043" i="13"/>
  <c r="G11042" i="13"/>
  <c r="G11041" i="13"/>
  <c r="G11040" i="13"/>
  <c r="G11039" i="13"/>
  <c r="G11038" i="13"/>
  <c r="G11037" i="13"/>
  <c r="G11036" i="13"/>
  <c r="G11035" i="13"/>
  <c r="G11034" i="13"/>
  <c r="G11033" i="13"/>
  <c r="G11032" i="13"/>
  <c r="G11031" i="13"/>
  <c r="G11030" i="13"/>
  <c r="G11029" i="13"/>
  <c r="G11028" i="13"/>
  <c r="G11027" i="13"/>
  <c r="G11026" i="13"/>
  <c r="G11025" i="13"/>
  <c r="G11024" i="13"/>
  <c r="G11023" i="13"/>
  <c r="G11022" i="13"/>
  <c r="G11021" i="13"/>
  <c r="G11020" i="13"/>
  <c r="G11019" i="13"/>
  <c r="G11018" i="13"/>
  <c r="G11017" i="13"/>
  <c r="G11016" i="13"/>
  <c r="G11015" i="13"/>
  <c r="G11014" i="13"/>
  <c r="G11013" i="13"/>
  <c r="G11012" i="13"/>
  <c r="G11011" i="13"/>
  <c r="G11010" i="13"/>
  <c r="G11009" i="13"/>
  <c r="G11008" i="13"/>
  <c r="G11007" i="13"/>
  <c r="G11006" i="13"/>
  <c r="G11005" i="13"/>
  <c r="G11004" i="13"/>
  <c r="G11003" i="13"/>
  <c r="G11002" i="13"/>
  <c r="G11001" i="13"/>
  <c r="G11000" i="13"/>
  <c r="G10999" i="13"/>
  <c r="G10998" i="13"/>
  <c r="G10997" i="13"/>
  <c r="G10996" i="13"/>
  <c r="G10995" i="13"/>
  <c r="G10994" i="13"/>
  <c r="G10993" i="13"/>
  <c r="G10992" i="13"/>
  <c r="G10991" i="13"/>
  <c r="G10990" i="13"/>
  <c r="G10989" i="13"/>
  <c r="G10988" i="13"/>
  <c r="G10987" i="13"/>
  <c r="G10986" i="13"/>
  <c r="G10985" i="13"/>
  <c r="G10984" i="13"/>
  <c r="G10983" i="13"/>
  <c r="G10982" i="13"/>
  <c r="G10981" i="13"/>
  <c r="G10980" i="13"/>
  <c r="G10979" i="13"/>
  <c r="G10978" i="13"/>
  <c r="G10977" i="13"/>
  <c r="G10976" i="13"/>
  <c r="G10975" i="13"/>
  <c r="G10974" i="13"/>
  <c r="G10973" i="13"/>
  <c r="G10972" i="13"/>
  <c r="G10971" i="13"/>
  <c r="G10970" i="13"/>
  <c r="G10969" i="13"/>
  <c r="G10968" i="13"/>
  <c r="G10967" i="13"/>
  <c r="G10966" i="13"/>
  <c r="G10965" i="13"/>
  <c r="G10964" i="13"/>
  <c r="G10963" i="13"/>
  <c r="G10962" i="13"/>
  <c r="G10961" i="13"/>
  <c r="G10960" i="13"/>
  <c r="G10959" i="13"/>
  <c r="G10958" i="13"/>
  <c r="G10957" i="13"/>
  <c r="G10956" i="13"/>
  <c r="G10955" i="13"/>
  <c r="G10954" i="13"/>
  <c r="G10953" i="13"/>
  <c r="G10952" i="13"/>
  <c r="G10951" i="13"/>
  <c r="G10950" i="13"/>
  <c r="G10949" i="13"/>
  <c r="G10948" i="13"/>
  <c r="G10947" i="13"/>
  <c r="G10946" i="13"/>
  <c r="G10945" i="13"/>
  <c r="G10944" i="13"/>
  <c r="G10943" i="13"/>
  <c r="G10942" i="13"/>
  <c r="G10941" i="13"/>
  <c r="G10940" i="13"/>
  <c r="G10939" i="13"/>
  <c r="G10938" i="13"/>
  <c r="G10937" i="13"/>
  <c r="G10936" i="13"/>
  <c r="G10935" i="13"/>
  <c r="G10934" i="13"/>
  <c r="G10933" i="13"/>
  <c r="G10932" i="13"/>
  <c r="G10931" i="13"/>
  <c r="G10930" i="13"/>
  <c r="G10929" i="13"/>
  <c r="G10928" i="13"/>
  <c r="G10927" i="13"/>
  <c r="G10926" i="13"/>
  <c r="G10925" i="13"/>
  <c r="G10924" i="13"/>
  <c r="G10923" i="13"/>
  <c r="G10922" i="13"/>
  <c r="G10921" i="13"/>
  <c r="G10920" i="13"/>
  <c r="G10919" i="13"/>
  <c r="G10918" i="13"/>
  <c r="G10917" i="13"/>
  <c r="G10916" i="13"/>
  <c r="G10915" i="13"/>
  <c r="G10914" i="13"/>
  <c r="G10913" i="13"/>
  <c r="G10912" i="13"/>
  <c r="G10911" i="13"/>
  <c r="G10910" i="13"/>
  <c r="G10909" i="13"/>
  <c r="G10908" i="13"/>
  <c r="G10907" i="13"/>
  <c r="G10906" i="13"/>
  <c r="G10905" i="13"/>
  <c r="G10904" i="13"/>
  <c r="G10903" i="13"/>
  <c r="G10902" i="13"/>
  <c r="G10901" i="13"/>
  <c r="G10900" i="13"/>
  <c r="G10899" i="13"/>
  <c r="G10898" i="13"/>
  <c r="G10897" i="13"/>
  <c r="G10896" i="13"/>
  <c r="G10895" i="13"/>
  <c r="G10894" i="13"/>
  <c r="G10893" i="13"/>
  <c r="G10892" i="13"/>
  <c r="G10891" i="13"/>
  <c r="G10890" i="13"/>
  <c r="G10889" i="13"/>
  <c r="G10888" i="13"/>
  <c r="G10887" i="13"/>
  <c r="G10886" i="13"/>
  <c r="G10885" i="13"/>
  <c r="G10884" i="13"/>
  <c r="G10883" i="13"/>
  <c r="G10882" i="13"/>
  <c r="G10881" i="13"/>
  <c r="G10880" i="13"/>
  <c r="G10879" i="13"/>
  <c r="G10878" i="13"/>
  <c r="G10877" i="13"/>
  <c r="G10876" i="13"/>
  <c r="G10875" i="13"/>
  <c r="G10874" i="13"/>
  <c r="G10873" i="13"/>
  <c r="G10872" i="13"/>
  <c r="G10871" i="13"/>
  <c r="G10870" i="13"/>
  <c r="G10869" i="13"/>
  <c r="G10868" i="13"/>
  <c r="G10867" i="13"/>
  <c r="G10866" i="13"/>
  <c r="G10865" i="13"/>
  <c r="G10864" i="13"/>
  <c r="G10863" i="13"/>
  <c r="G10862" i="13"/>
  <c r="G10861" i="13"/>
  <c r="G10860" i="13"/>
  <c r="G10859" i="13"/>
  <c r="G10858" i="13"/>
  <c r="G10857" i="13"/>
  <c r="G10856" i="13"/>
  <c r="G10855" i="13"/>
  <c r="G10854" i="13"/>
  <c r="G10853" i="13"/>
  <c r="G10852" i="13"/>
  <c r="G10851" i="13"/>
  <c r="G10850" i="13"/>
  <c r="G10849" i="13"/>
  <c r="G10848" i="13"/>
  <c r="G10847" i="13"/>
  <c r="G10846" i="13"/>
  <c r="G10845" i="13"/>
  <c r="G10844" i="13"/>
  <c r="G10843" i="13"/>
  <c r="G10842" i="13"/>
  <c r="G10841" i="13"/>
  <c r="G10840" i="13"/>
  <c r="G10839" i="13"/>
  <c r="G10838" i="13"/>
  <c r="G10837" i="13"/>
  <c r="G10836" i="13"/>
  <c r="G10835" i="13"/>
  <c r="G10834" i="13"/>
  <c r="G10833" i="13"/>
  <c r="G10832" i="13"/>
  <c r="G10831" i="13"/>
  <c r="G10830" i="13"/>
  <c r="G10829" i="13"/>
  <c r="G10828" i="13"/>
  <c r="G10827" i="13"/>
  <c r="G10826" i="13"/>
  <c r="G10825" i="13"/>
  <c r="G10824" i="13"/>
  <c r="G10823" i="13"/>
  <c r="G10822" i="13"/>
  <c r="G10821" i="13"/>
  <c r="G10820" i="13"/>
  <c r="G10819" i="13"/>
  <c r="G10818" i="13"/>
  <c r="G10817" i="13"/>
  <c r="G10816" i="13"/>
  <c r="G10815" i="13"/>
  <c r="G10814" i="13"/>
  <c r="G10813" i="13"/>
  <c r="G10812" i="13"/>
  <c r="G10811" i="13"/>
  <c r="G10810" i="13"/>
  <c r="G10809" i="13"/>
  <c r="G10808" i="13"/>
  <c r="G10807" i="13"/>
  <c r="G10806" i="13"/>
  <c r="G10805" i="13"/>
  <c r="G10804" i="13"/>
  <c r="G10803" i="13"/>
  <c r="G10802" i="13"/>
  <c r="G10801" i="13"/>
  <c r="G10800" i="13"/>
  <c r="G10799" i="13"/>
  <c r="G10798" i="13"/>
  <c r="G10797" i="13"/>
  <c r="G10796" i="13"/>
  <c r="G10795" i="13"/>
  <c r="G10794" i="13"/>
  <c r="G10793" i="13"/>
  <c r="G10792" i="13"/>
  <c r="G10791" i="13"/>
  <c r="G10790" i="13"/>
  <c r="G10789" i="13"/>
  <c r="G10788" i="13"/>
  <c r="G10787" i="13"/>
  <c r="G10786" i="13"/>
  <c r="G10785" i="13"/>
  <c r="G10784" i="13"/>
  <c r="G10783" i="13"/>
  <c r="G10782" i="13"/>
  <c r="G10781" i="13"/>
  <c r="G10780" i="13"/>
  <c r="G10779" i="13"/>
  <c r="G10778" i="13"/>
  <c r="G10777" i="13"/>
  <c r="G10776" i="13"/>
  <c r="G10775" i="13"/>
  <c r="G10774" i="13"/>
  <c r="G10773" i="13"/>
  <c r="G10772" i="13"/>
  <c r="G10771" i="13"/>
  <c r="G10770" i="13"/>
  <c r="G10769" i="13"/>
  <c r="G10768" i="13"/>
  <c r="G10767" i="13"/>
  <c r="G10766" i="13"/>
  <c r="G10765" i="13"/>
  <c r="G10764" i="13"/>
  <c r="G10763" i="13"/>
  <c r="G10762" i="13"/>
  <c r="G10761" i="13"/>
  <c r="G10760" i="13"/>
  <c r="G10759" i="13"/>
  <c r="G10758" i="13"/>
  <c r="G10757" i="13"/>
  <c r="G10756" i="13"/>
  <c r="G10755" i="13"/>
  <c r="G10754" i="13"/>
  <c r="G10753" i="13"/>
  <c r="G10752" i="13"/>
  <c r="G10751" i="13"/>
  <c r="G10750" i="13"/>
  <c r="G10749" i="13"/>
  <c r="G10748" i="13"/>
  <c r="G10747" i="13"/>
  <c r="G10746" i="13"/>
  <c r="G10745" i="13"/>
  <c r="G10744" i="13"/>
  <c r="G10743" i="13"/>
  <c r="G10742" i="13"/>
  <c r="G10741" i="13"/>
  <c r="G10740" i="13"/>
  <c r="G10739" i="13"/>
  <c r="G10738" i="13"/>
  <c r="G10737" i="13"/>
  <c r="G10736" i="13"/>
  <c r="G10735" i="13"/>
  <c r="G10734" i="13"/>
  <c r="G10733" i="13"/>
  <c r="G10732" i="13"/>
  <c r="G10731" i="13"/>
  <c r="G10730" i="13"/>
  <c r="G10729" i="13"/>
  <c r="G10728" i="13"/>
  <c r="G10727" i="13"/>
  <c r="G10726" i="13"/>
  <c r="G10725" i="13"/>
  <c r="G10724" i="13"/>
  <c r="G10723" i="13"/>
  <c r="G10722" i="13"/>
  <c r="G10721" i="13"/>
  <c r="G10720" i="13"/>
  <c r="G10719" i="13"/>
  <c r="G10718" i="13"/>
  <c r="G10717" i="13"/>
  <c r="G10716" i="13"/>
  <c r="G10715" i="13"/>
  <c r="G10714" i="13"/>
  <c r="G10713" i="13"/>
  <c r="G10712" i="13"/>
  <c r="G10711" i="13"/>
  <c r="G10710" i="13"/>
  <c r="G10709" i="13"/>
  <c r="G10708" i="13"/>
  <c r="G10707" i="13"/>
  <c r="G10706" i="13"/>
  <c r="G10705" i="13"/>
  <c r="G10704" i="13"/>
  <c r="G10703" i="13"/>
  <c r="G10702" i="13"/>
  <c r="G10701" i="13"/>
  <c r="G10700" i="13"/>
  <c r="G10699" i="13"/>
  <c r="G10698" i="13"/>
  <c r="G10697" i="13"/>
  <c r="G10696" i="13"/>
  <c r="G10695" i="13"/>
  <c r="G10694" i="13"/>
  <c r="G10693" i="13"/>
  <c r="G10692" i="13"/>
  <c r="G10691" i="13"/>
  <c r="G10690" i="13"/>
  <c r="G10689" i="13"/>
  <c r="G10688" i="13"/>
  <c r="G10687" i="13"/>
  <c r="G10686" i="13"/>
  <c r="G10685" i="13"/>
  <c r="G10684" i="13"/>
  <c r="G10683" i="13"/>
  <c r="G10682" i="13"/>
  <c r="G10681" i="13"/>
  <c r="G10680" i="13"/>
  <c r="G10679" i="13"/>
  <c r="G10678" i="13"/>
  <c r="G10677" i="13"/>
  <c r="G10676" i="13"/>
  <c r="G10675" i="13"/>
  <c r="G10674" i="13"/>
  <c r="G10673" i="13"/>
  <c r="G10672" i="13"/>
  <c r="G10671" i="13"/>
  <c r="G10670" i="13"/>
  <c r="G10669" i="13"/>
  <c r="G10668" i="13"/>
  <c r="G10667" i="13"/>
  <c r="G10666" i="13"/>
  <c r="G10665" i="13"/>
  <c r="G10664" i="13"/>
  <c r="G10663" i="13"/>
  <c r="G10662" i="13"/>
  <c r="G10661" i="13"/>
  <c r="G10660" i="13"/>
  <c r="G10659" i="13"/>
  <c r="G10658" i="13"/>
  <c r="G10657" i="13"/>
  <c r="G10656" i="13"/>
  <c r="G10655" i="13"/>
  <c r="G10654" i="13"/>
  <c r="G10653" i="13"/>
  <c r="G10652" i="13"/>
  <c r="G10651" i="13"/>
  <c r="G10650" i="13"/>
  <c r="G10649" i="13"/>
  <c r="G10648" i="13"/>
  <c r="G10647" i="13"/>
  <c r="G10646" i="13"/>
  <c r="G10645" i="13"/>
  <c r="G10644" i="13"/>
  <c r="G10643" i="13"/>
  <c r="G10642" i="13"/>
  <c r="G10641" i="13"/>
  <c r="G10640" i="13"/>
  <c r="G10639" i="13"/>
  <c r="G10638" i="13"/>
  <c r="G10637" i="13"/>
  <c r="G10636" i="13"/>
  <c r="G10635" i="13"/>
  <c r="G10634" i="13"/>
  <c r="G10633" i="13"/>
  <c r="G10632" i="13"/>
  <c r="G10631" i="13"/>
  <c r="G10630" i="13"/>
  <c r="G10629" i="13"/>
  <c r="G10628" i="13"/>
  <c r="G10627" i="13"/>
  <c r="G10626" i="13"/>
  <c r="G10625" i="13"/>
  <c r="G10624" i="13"/>
  <c r="G10623" i="13"/>
  <c r="G10622" i="13"/>
  <c r="G10621" i="13"/>
  <c r="G10620" i="13"/>
  <c r="G10619" i="13"/>
  <c r="G10618" i="13"/>
  <c r="G10617" i="13"/>
  <c r="G10616" i="13"/>
  <c r="G10615" i="13"/>
  <c r="G10614" i="13"/>
  <c r="G10613" i="13"/>
  <c r="G10612" i="13"/>
  <c r="G10611" i="13"/>
  <c r="G10610" i="13"/>
  <c r="G10609" i="13"/>
  <c r="G10608" i="13"/>
  <c r="G10607" i="13"/>
  <c r="G10606" i="13"/>
  <c r="G10605" i="13"/>
  <c r="G10604" i="13"/>
  <c r="G10603" i="13"/>
  <c r="G10602" i="13"/>
  <c r="G10601" i="13"/>
  <c r="G10600" i="13"/>
  <c r="G10599" i="13"/>
  <c r="G10598" i="13"/>
  <c r="G10597" i="13"/>
  <c r="G10596" i="13"/>
  <c r="G10595" i="13"/>
  <c r="G10594" i="13"/>
  <c r="G10593" i="13"/>
  <c r="G10592" i="13"/>
  <c r="G10591" i="13"/>
  <c r="G10590" i="13"/>
  <c r="G10589" i="13"/>
  <c r="G10588" i="13"/>
  <c r="G10587" i="13"/>
  <c r="G10586" i="13"/>
  <c r="G10585" i="13"/>
  <c r="G10584" i="13"/>
  <c r="G10583" i="13"/>
  <c r="G10582" i="13"/>
  <c r="G10581" i="13"/>
  <c r="G10580" i="13"/>
  <c r="G10579" i="13"/>
  <c r="G10578" i="13"/>
  <c r="G10577" i="13"/>
  <c r="G10576" i="13"/>
  <c r="G10575" i="13"/>
  <c r="G10574" i="13"/>
  <c r="G10573" i="13"/>
  <c r="G10572" i="13"/>
  <c r="G10571" i="13"/>
  <c r="G10570" i="13"/>
  <c r="G10569" i="13"/>
  <c r="G10568" i="13"/>
  <c r="G10567" i="13"/>
  <c r="G10566" i="13"/>
  <c r="G10565" i="13"/>
  <c r="G10564" i="13"/>
  <c r="G10563" i="13"/>
  <c r="G10562" i="13"/>
  <c r="G10561" i="13"/>
  <c r="G10560" i="13"/>
  <c r="G10559" i="13"/>
  <c r="G10558" i="13"/>
  <c r="G10557" i="13"/>
  <c r="G10556" i="13"/>
  <c r="G10555" i="13"/>
  <c r="G10554" i="13"/>
  <c r="G10553" i="13"/>
  <c r="G10552" i="13"/>
  <c r="G10551" i="13"/>
  <c r="G10550" i="13"/>
  <c r="G10549" i="13"/>
  <c r="G10548" i="13"/>
  <c r="G10547" i="13"/>
  <c r="G10546" i="13"/>
  <c r="G10545" i="13"/>
  <c r="G10544" i="13"/>
  <c r="G10543" i="13"/>
  <c r="G10542" i="13"/>
  <c r="G10541" i="13"/>
  <c r="G10540" i="13"/>
  <c r="G10539" i="13"/>
  <c r="G10538" i="13"/>
  <c r="G10537" i="13"/>
  <c r="G10536" i="13"/>
  <c r="G10535" i="13"/>
  <c r="G10534" i="13"/>
  <c r="G10533" i="13"/>
  <c r="G10532" i="13"/>
  <c r="G10531" i="13"/>
  <c r="G10530" i="13"/>
  <c r="G10529" i="13"/>
  <c r="G10528" i="13"/>
  <c r="G10527" i="13"/>
  <c r="G10526" i="13"/>
  <c r="G10525" i="13"/>
  <c r="G10524" i="13"/>
  <c r="G10523" i="13"/>
  <c r="G10522" i="13"/>
  <c r="G10521" i="13"/>
  <c r="G10520" i="13"/>
  <c r="G10519" i="13"/>
  <c r="G10518" i="13"/>
  <c r="G10517" i="13"/>
  <c r="G10516" i="13"/>
  <c r="G10515" i="13"/>
  <c r="G10514" i="13"/>
  <c r="G10513" i="13"/>
  <c r="G10512" i="13"/>
  <c r="G10511" i="13"/>
  <c r="G10510" i="13"/>
  <c r="G10509" i="13"/>
  <c r="G10508" i="13"/>
  <c r="G10507" i="13"/>
  <c r="G10506" i="13"/>
  <c r="G10505" i="13"/>
  <c r="G10504" i="13"/>
  <c r="G10503" i="13"/>
  <c r="G10502" i="13"/>
  <c r="G10501" i="13"/>
  <c r="G10500" i="13"/>
  <c r="G10499" i="13"/>
  <c r="G10498" i="13"/>
  <c r="G10497" i="13"/>
  <c r="G10496" i="13"/>
  <c r="G10495" i="13"/>
  <c r="G10494" i="13"/>
  <c r="G10493" i="13"/>
  <c r="G10492" i="13"/>
  <c r="G10491" i="13"/>
  <c r="G10490" i="13"/>
  <c r="G10489" i="13"/>
  <c r="G10488" i="13"/>
  <c r="G10487" i="13"/>
  <c r="G10486" i="13"/>
  <c r="G10485" i="13"/>
  <c r="G10484" i="13"/>
  <c r="G10483" i="13"/>
  <c r="G10482" i="13"/>
  <c r="G10481" i="13"/>
  <c r="G10480" i="13"/>
  <c r="G10479" i="13"/>
  <c r="G10478" i="13"/>
  <c r="G10477" i="13"/>
  <c r="G10476" i="13"/>
  <c r="G10475" i="13"/>
  <c r="G10474" i="13"/>
  <c r="G10473" i="13"/>
  <c r="G10472" i="13"/>
  <c r="G10471" i="13"/>
  <c r="G10470" i="13"/>
  <c r="G10469" i="13"/>
  <c r="G10468" i="13"/>
  <c r="G10467" i="13"/>
  <c r="G10466" i="13"/>
  <c r="G10465" i="13"/>
  <c r="G10464" i="13"/>
  <c r="G10463" i="13"/>
  <c r="G10462" i="13"/>
  <c r="G10461" i="13"/>
  <c r="G10460" i="13"/>
  <c r="G10459" i="13"/>
  <c r="G10458" i="13"/>
  <c r="G10457" i="13"/>
  <c r="G10456" i="13"/>
  <c r="G10455" i="13"/>
  <c r="G10454" i="13"/>
  <c r="G10453" i="13"/>
  <c r="G10452" i="13"/>
  <c r="G10451" i="13"/>
  <c r="G10450" i="13"/>
  <c r="G10449" i="13"/>
  <c r="G10448" i="13"/>
  <c r="G10447" i="13"/>
  <c r="G10446" i="13"/>
  <c r="G10445" i="13"/>
  <c r="G10444" i="13"/>
  <c r="G10443" i="13"/>
  <c r="G10442" i="13"/>
  <c r="G10441" i="13"/>
  <c r="G10440" i="13"/>
  <c r="G10439" i="13"/>
  <c r="G10438" i="13"/>
  <c r="G10437" i="13"/>
  <c r="G10436" i="13"/>
  <c r="G10435" i="13"/>
  <c r="G10434" i="13"/>
  <c r="G10433" i="13"/>
  <c r="G10432" i="13"/>
  <c r="G10431" i="13"/>
  <c r="G10430" i="13"/>
  <c r="G10429" i="13"/>
  <c r="G10428" i="13"/>
  <c r="G10427" i="13"/>
  <c r="G10426" i="13"/>
  <c r="G10425" i="13"/>
  <c r="G10424" i="13"/>
  <c r="G10423" i="13"/>
  <c r="G10422" i="13"/>
  <c r="G10421" i="13"/>
  <c r="G10420" i="13"/>
  <c r="G10419" i="13"/>
  <c r="G10418" i="13"/>
  <c r="G10417" i="13"/>
  <c r="G10416" i="13"/>
  <c r="G10415" i="13"/>
  <c r="G10414" i="13"/>
  <c r="G10413" i="13"/>
  <c r="G10412" i="13"/>
  <c r="G10411" i="13"/>
  <c r="G10410" i="13"/>
  <c r="G10409" i="13"/>
  <c r="G10408" i="13"/>
  <c r="G10407" i="13"/>
  <c r="G10406" i="13"/>
  <c r="G10405" i="13"/>
  <c r="G10404" i="13"/>
  <c r="G10403" i="13"/>
  <c r="G10402" i="13"/>
  <c r="G10401" i="13"/>
  <c r="G10400" i="13"/>
  <c r="G10399" i="13"/>
  <c r="G10398" i="13"/>
  <c r="G10397" i="13"/>
  <c r="G10396" i="13"/>
  <c r="G10395" i="13"/>
  <c r="G10394" i="13"/>
  <c r="G10393" i="13"/>
  <c r="G10392" i="13"/>
  <c r="G10391" i="13"/>
  <c r="G10390" i="13"/>
  <c r="G10389" i="13"/>
  <c r="G10388" i="13"/>
  <c r="G10387" i="13"/>
  <c r="G10386" i="13"/>
  <c r="G10385" i="13"/>
  <c r="G10384" i="13"/>
  <c r="G10383" i="13"/>
  <c r="G10382" i="13"/>
  <c r="G10381" i="13"/>
  <c r="G10380" i="13"/>
  <c r="G10379" i="13"/>
  <c r="G10378" i="13"/>
  <c r="G10377" i="13"/>
  <c r="G10376" i="13"/>
  <c r="G10375" i="13"/>
  <c r="G10374" i="13"/>
  <c r="G10373" i="13"/>
  <c r="G10372" i="13"/>
  <c r="G10371" i="13"/>
  <c r="G10370" i="13"/>
  <c r="G10369" i="13"/>
  <c r="G10368" i="13"/>
  <c r="G10367" i="13"/>
  <c r="G10366" i="13"/>
  <c r="G10365" i="13"/>
  <c r="G10364" i="13"/>
  <c r="G10363" i="13"/>
  <c r="G10362" i="13"/>
  <c r="G10361" i="13"/>
  <c r="G10360" i="13"/>
  <c r="G10359" i="13"/>
  <c r="G10358" i="13"/>
  <c r="G10357" i="13"/>
  <c r="G10356" i="13"/>
  <c r="G10355" i="13"/>
  <c r="G10354" i="13"/>
  <c r="G10353" i="13"/>
  <c r="G10352" i="13"/>
  <c r="G10351" i="13"/>
  <c r="G10350" i="13"/>
  <c r="G10349" i="13"/>
  <c r="G10348" i="13"/>
  <c r="G10347" i="13"/>
  <c r="G10346" i="13"/>
  <c r="G10345" i="13"/>
  <c r="G10344" i="13"/>
  <c r="G10343" i="13"/>
  <c r="G10342" i="13"/>
  <c r="G10341" i="13"/>
  <c r="G10340" i="13"/>
  <c r="G10339" i="13"/>
  <c r="G10338" i="13"/>
  <c r="G10337" i="13"/>
  <c r="G10336" i="13"/>
  <c r="G10335" i="13"/>
  <c r="G10334" i="13"/>
  <c r="G10333" i="13"/>
  <c r="G10332" i="13"/>
  <c r="G10331" i="13"/>
  <c r="G10330" i="13"/>
  <c r="G10329" i="13"/>
  <c r="G10328" i="13"/>
  <c r="G10327" i="13"/>
  <c r="G10326" i="13"/>
  <c r="G10325" i="13"/>
  <c r="G10324" i="13"/>
  <c r="G10323" i="13"/>
  <c r="G10322" i="13"/>
  <c r="G10321" i="13"/>
  <c r="G10320" i="13"/>
  <c r="G10319" i="13"/>
  <c r="G10318" i="13"/>
  <c r="G10317" i="13"/>
  <c r="G10316" i="13"/>
  <c r="G10315" i="13"/>
  <c r="G10314" i="13"/>
  <c r="G10313" i="13"/>
  <c r="G10312" i="13"/>
  <c r="G10311" i="13"/>
  <c r="G10310" i="13"/>
  <c r="G10309" i="13"/>
  <c r="G10308" i="13"/>
  <c r="G10307" i="13"/>
  <c r="G10306" i="13"/>
  <c r="G10305" i="13"/>
  <c r="G10304" i="13"/>
  <c r="G10303" i="13"/>
  <c r="G10302" i="13"/>
  <c r="G10301" i="13"/>
  <c r="G10300" i="13"/>
  <c r="G10299" i="13"/>
  <c r="G10298" i="13"/>
  <c r="G10297" i="13"/>
  <c r="G10296" i="13"/>
  <c r="G10295" i="13"/>
  <c r="G10294" i="13"/>
  <c r="G10293" i="13"/>
  <c r="G10292" i="13"/>
  <c r="G10291" i="13"/>
  <c r="G10290" i="13"/>
  <c r="G10289" i="13"/>
  <c r="G10288" i="13"/>
  <c r="G10287" i="13"/>
  <c r="G10286" i="13"/>
  <c r="G10285" i="13"/>
  <c r="G10284" i="13"/>
  <c r="G10283" i="13"/>
  <c r="G10282" i="13"/>
  <c r="G10281" i="13"/>
  <c r="G10280" i="13"/>
  <c r="G10279" i="13"/>
  <c r="G10278" i="13"/>
  <c r="G10277" i="13"/>
  <c r="G10276" i="13"/>
  <c r="G10275" i="13"/>
  <c r="G10274" i="13"/>
  <c r="G10273" i="13"/>
  <c r="G10272" i="13"/>
  <c r="G10271" i="13"/>
  <c r="G10270" i="13"/>
  <c r="G10269" i="13"/>
  <c r="G10268" i="13"/>
  <c r="G10267" i="13"/>
  <c r="G10266" i="13"/>
  <c r="G10265" i="13"/>
  <c r="G10264" i="13"/>
  <c r="G10263" i="13"/>
  <c r="G10262" i="13"/>
  <c r="G10261" i="13"/>
  <c r="G10260" i="13"/>
  <c r="G10259" i="13"/>
  <c r="G10258" i="13"/>
  <c r="G10257" i="13"/>
  <c r="G10256" i="13"/>
  <c r="G10255" i="13"/>
  <c r="G10254" i="13"/>
  <c r="G10253" i="13"/>
  <c r="G10252" i="13"/>
  <c r="G10251" i="13"/>
  <c r="G10250" i="13"/>
  <c r="G10249" i="13"/>
  <c r="G10248" i="13"/>
  <c r="G10247" i="13"/>
  <c r="G10246" i="13"/>
  <c r="G10245" i="13"/>
  <c r="G10244" i="13"/>
  <c r="G10243" i="13"/>
  <c r="G10242" i="13"/>
  <c r="G10241" i="13"/>
  <c r="G10240" i="13"/>
  <c r="G10239" i="13"/>
  <c r="G10238" i="13"/>
  <c r="G10237" i="13"/>
  <c r="G10236" i="13"/>
  <c r="G10235" i="13"/>
  <c r="G10234" i="13"/>
  <c r="G10233" i="13"/>
  <c r="G10232" i="13"/>
  <c r="G10231" i="13"/>
  <c r="G10230" i="13"/>
  <c r="G10229" i="13"/>
  <c r="G10228" i="13"/>
  <c r="G10227" i="13"/>
  <c r="G10226" i="13"/>
  <c r="G10225" i="13"/>
  <c r="G10224" i="13"/>
  <c r="G10223" i="13"/>
  <c r="G10222" i="13"/>
  <c r="G10221" i="13"/>
  <c r="G10220" i="13"/>
  <c r="G10219" i="13"/>
  <c r="G10218" i="13"/>
  <c r="G10217" i="13"/>
  <c r="G10216" i="13"/>
  <c r="G10215" i="13"/>
  <c r="G10214" i="13"/>
  <c r="G10213" i="13"/>
  <c r="G10212" i="13"/>
  <c r="G10211" i="13"/>
  <c r="G10210" i="13"/>
  <c r="G10209" i="13"/>
  <c r="G10208" i="13"/>
  <c r="G10207" i="13"/>
  <c r="G10206" i="13"/>
  <c r="G10205" i="13"/>
  <c r="G10204" i="13"/>
  <c r="G10203" i="13"/>
  <c r="G10202" i="13"/>
  <c r="G10201" i="13"/>
  <c r="G10200" i="13"/>
  <c r="G10199" i="13"/>
  <c r="G10198" i="13"/>
  <c r="G10197" i="13"/>
  <c r="G10196" i="13"/>
  <c r="G10195" i="13"/>
  <c r="G10194" i="13"/>
  <c r="G10193" i="13"/>
  <c r="G10192" i="13"/>
  <c r="G10191" i="13"/>
  <c r="G10190" i="13"/>
  <c r="G10189" i="13"/>
  <c r="G10188" i="13"/>
  <c r="G10187" i="13"/>
  <c r="G10186" i="13"/>
  <c r="G10185" i="13"/>
  <c r="G10184" i="13"/>
  <c r="G10183" i="13"/>
  <c r="G10182" i="13"/>
  <c r="G10181" i="13"/>
  <c r="G10180" i="13"/>
  <c r="G10179" i="13"/>
  <c r="G10178" i="13"/>
  <c r="G10177" i="13"/>
  <c r="G10176" i="13"/>
  <c r="G10175" i="13"/>
  <c r="G10174" i="13"/>
  <c r="G10173" i="13"/>
  <c r="G10172" i="13"/>
  <c r="G10171" i="13"/>
  <c r="G10170" i="13"/>
  <c r="G10169" i="13"/>
  <c r="G10168" i="13"/>
  <c r="G10167" i="13"/>
  <c r="G10166" i="13"/>
  <c r="G10165" i="13"/>
  <c r="G10164" i="13"/>
  <c r="G10163" i="13"/>
  <c r="G10162" i="13"/>
  <c r="G10161" i="13"/>
  <c r="G10160" i="13"/>
  <c r="G10159" i="13"/>
  <c r="G10158" i="13"/>
  <c r="G10157" i="13"/>
  <c r="G10156" i="13"/>
  <c r="G10155" i="13"/>
  <c r="G10154" i="13"/>
  <c r="G10153" i="13"/>
  <c r="G10152" i="13"/>
  <c r="G10151" i="13"/>
  <c r="G10150" i="13"/>
  <c r="G10149" i="13"/>
  <c r="G10148" i="13"/>
  <c r="G10147" i="13"/>
  <c r="G10146" i="13"/>
  <c r="G10145" i="13"/>
  <c r="G10144" i="13"/>
  <c r="G10143" i="13"/>
  <c r="G10142" i="13"/>
  <c r="G10141" i="13"/>
  <c r="G10140" i="13"/>
  <c r="G10139" i="13"/>
  <c r="G10138" i="13"/>
  <c r="G10137" i="13"/>
  <c r="G10136" i="13"/>
  <c r="G10135" i="13"/>
  <c r="G10134" i="13"/>
  <c r="G10133" i="13"/>
  <c r="G10132" i="13"/>
  <c r="G10131" i="13"/>
  <c r="G10130" i="13"/>
  <c r="G10129" i="13"/>
  <c r="G10128" i="13"/>
  <c r="G10127" i="13"/>
  <c r="G10126" i="13"/>
  <c r="G10125" i="13"/>
  <c r="G10124" i="13"/>
  <c r="G10123" i="13"/>
  <c r="G10122" i="13"/>
  <c r="G10121" i="13"/>
  <c r="G10120" i="13"/>
  <c r="G10119" i="13"/>
  <c r="G10118" i="13"/>
  <c r="G10117" i="13"/>
  <c r="G10116" i="13"/>
  <c r="G10115" i="13"/>
  <c r="G10114" i="13"/>
  <c r="G10113" i="13"/>
  <c r="G10112" i="13"/>
  <c r="G10111" i="13"/>
  <c r="G10110" i="13"/>
  <c r="G10109" i="13"/>
  <c r="G10108" i="13"/>
  <c r="G10107" i="13"/>
  <c r="G10106" i="13"/>
  <c r="G10105" i="13"/>
  <c r="G10104" i="13"/>
  <c r="G10103" i="13"/>
  <c r="G10102" i="13"/>
  <c r="G10101" i="13"/>
  <c r="G10100" i="13"/>
  <c r="G10099" i="13"/>
  <c r="G10098" i="13"/>
  <c r="G10097" i="13"/>
  <c r="G10096" i="13"/>
  <c r="G10095" i="13"/>
  <c r="G10094" i="13"/>
  <c r="G10093" i="13"/>
  <c r="G10092" i="13"/>
  <c r="G10091" i="13"/>
  <c r="G10090" i="13"/>
  <c r="G10089" i="13"/>
  <c r="G10088" i="13"/>
  <c r="G10087" i="13"/>
  <c r="G10086" i="13"/>
  <c r="G10085" i="13"/>
  <c r="G10084" i="13"/>
  <c r="G10083" i="13"/>
  <c r="G10082" i="13"/>
  <c r="G10081" i="13"/>
  <c r="G10080" i="13"/>
  <c r="G10079" i="13"/>
  <c r="G10078" i="13"/>
  <c r="G10077" i="13"/>
  <c r="G10076" i="13"/>
  <c r="G10075" i="13"/>
  <c r="G10074" i="13"/>
  <c r="G10073" i="13"/>
  <c r="G10072" i="13"/>
  <c r="G10071" i="13"/>
  <c r="G10070" i="13"/>
  <c r="G10069" i="13"/>
  <c r="G10068" i="13"/>
  <c r="G10067" i="13"/>
  <c r="G10066" i="13"/>
  <c r="G10065" i="13"/>
  <c r="G10064" i="13"/>
  <c r="G10063" i="13"/>
  <c r="G10062" i="13"/>
  <c r="G10061" i="13"/>
  <c r="G10060" i="13"/>
  <c r="G10059" i="13"/>
  <c r="G10058" i="13"/>
  <c r="G10057" i="13"/>
  <c r="G10056" i="13"/>
  <c r="G10055" i="13"/>
  <c r="G10054" i="13"/>
  <c r="G10053" i="13"/>
  <c r="G10052" i="13"/>
  <c r="G10051" i="13"/>
  <c r="G10050" i="13"/>
  <c r="G10049" i="13"/>
  <c r="G10048" i="13"/>
  <c r="G10047" i="13"/>
  <c r="G10046" i="13"/>
  <c r="G10045" i="13"/>
  <c r="G10044" i="13"/>
  <c r="G10043" i="13"/>
  <c r="G10042" i="13"/>
  <c r="G10041" i="13"/>
  <c r="G10040" i="13"/>
  <c r="G10039" i="13"/>
  <c r="G10038" i="13"/>
  <c r="G10037" i="13"/>
  <c r="G10036" i="13"/>
  <c r="G10035" i="13"/>
  <c r="G10034" i="13"/>
  <c r="G10033" i="13"/>
  <c r="G10032" i="13"/>
  <c r="G10031" i="13"/>
  <c r="G10030" i="13"/>
  <c r="G10029" i="13"/>
  <c r="G10028" i="13"/>
  <c r="G10027" i="13"/>
  <c r="G10026" i="13"/>
  <c r="G10025" i="13"/>
  <c r="G10024" i="13"/>
  <c r="G10023" i="13"/>
  <c r="G10022" i="13"/>
  <c r="G10021" i="13"/>
  <c r="G10020" i="13"/>
  <c r="G10019" i="13"/>
  <c r="G10018" i="13"/>
  <c r="G10017" i="13"/>
  <c r="G10016" i="13"/>
  <c r="G10015" i="13"/>
  <c r="G10014" i="13"/>
  <c r="G10013" i="13"/>
  <c r="G10012" i="13"/>
  <c r="G10011" i="13"/>
  <c r="G10010" i="13"/>
  <c r="G10009" i="13"/>
  <c r="G10008" i="13"/>
  <c r="G10007" i="13"/>
  <c r="G10006" i="13"/>
  <c r="G10005" i="13"/>
  <c r="G10004" i="13"/>
  <c r="G10003" i="13"/>
  <c r="G10002" i="13"/>
  <c r="G10001" i="13"/>
  <c r="G10000" i="13"/>
  <c r="G9999" i="13"/>
  <c r="G9998" i="13"/>
  <c r="G9997" i="13"/>
  <c r="G9996" i="13"/>
  <c r="G9995" i="13"/>
  <c r="G9994" i="13"/>
  <c r="G9993" i="13"/>
  <c r="G9992" i="13"/>
  <c r="G9991" i="13"/>
  <c r="G9990" i="13"/>
  <c r="G9989" i="13"/>
  <c r="G9988" i="13"/>
  <c r="G9987" i="13"/>
  <c r="G9986" i="13"/>
  <c r="G9985" i="13"/>
  <c r="G9984" i="13"/>
  <c r="G9983" i="13"/>
  <c r="G9982" i="13"/>
  <c r="G9981" i="13"/>
  <c r="G9980" i="13"/>
  <c r="G9979" i="13"/>
  <c r="G9978" i="13"/>
  <c r="G9977" i="13"/>
  <c r="G9976" i="13"/>
  <c r="G9975" i="13"/>
  <c r="G9974" i="13"/>
  <c r="G9973" i="13"/>
  <c r="G9972" i="13"/>
  <c r="G9971" i="13"/>
  <c r="G9970" i="13"/>
  <c r="G9969" i="13"/>
  <c r="G9968" i="13"/>
  <c r="G9967" i="13"/>
  <c r="G9966" i="13"/>
  <c r="G9965" i="13"/>
  <c r="G9964" i="13"/>
  <c r="G9963" i="13"/>
  <c r="G9962" i="13"/>
  <c r="G9961" i="13"/>
  <c r="G9960" i="13"/>
  <c r="G9959" i="13"/>
  <c r="G9958" i="13"/>
  <c r="G9957" i="13"/>
  <c r="G9956" i="13"/>
  <c r="G9955" i="13"/>
  <c r="G9954" i="13"/>
  <c r="G9953" i="13"/>
  <c r="G9952" i="13"/>
  <c r="G9951" i="13"/>
  <c r="G9950" i="13"/>
  <c r="G9949" i="13"/>
  <c r="G9948" i="13"/>
  <c r="G9947" i="13"/>
  <c r="G9946" i="13"/>
  <c r="G9945" i="13"/>
  <c r="G9944" i="13"/>
  <c r="G9943" i="13"/>
  <c r="G9942" i="13"/>
  <c r="G9941" i="13"/>
  <c r="G9940" i="13"/>
  <c r="G9939" i="13"/>
  <c r="G9938" i="13"/>
  <c r="G9937" i="13"/>
  <c r="G9936" i="13"/>
  <c r="G9935" i="13"/>
  <c r="G9934" i="13"/>
  <c r="G9933" i="13"/>
  <c r="G9932" i="13"/>
  <c r="G9931" i="13"/>
  <c r="G9930" i="13"/>
  <c r="G9929" i="13"/>
  <c r="G9928" i="13"/>
  <c r="G9927" i="13"/>
  <c r="G9926" i="13"/>
  <c r="G9925" i="13"/>
  <c r="G9924" i="13"/>
  <c r="G9923" i="13"/>
  <c r="G9922" i="13"/>
  <c r="G9921" i="13"/>
  <c r="G9920" i="13"/>
  <c r="G9919" i="13"/>
  <c r="G9918" i="13"/>
  <c r="G9917" i="13"/>
  <c r="G9916" i="13"/>
  <c r="G9915" i="13"/>
  <c r="G9914" i="13"/>
  <c r="G9913" i="13"/>
  <c r="G9912" i="13"/>
  <c r="G9911" i="13"/>
  <c r="G9910" i="13"/>
  <c r="G9909" i="13"/>
  <c r="G9908" i="13"/>
  <c r="G9907" i="13"/>
  <c r="G9906" i="13"/>
  <c r="G9905" i="13"/>
  <c r="G9904" i="13"/>
  <c r="G9903" i="13"/>
  <c r="G9902" i="13"/>
  <c r="G9901" i="13"/>
  <c r="G9900" i="13"/>
  <c r="G9899" i="13"/>
  <c r="G9898" i="13"/>
  <c r="G9897" i="13"/>
  <c r="G9896" i="13"/>
  <c r="G9895" i="13"/>
  <c r="G9894" i="13"/>
  <c r="G9893" i="13"/>
  <c r="G9892" i="13"/>
  <c r="G9891" i="13"/>
  <c r="G9890" i="13"/>
  <c r="G9889" i="13"/>
  <c r="G9888" i="13"/>
  <c r="G9887" i="13"/>
  <c r="G9886" i="13"/>
  <c r="G9885" i="13"/>
  <c r="G9884" i="13"/>
  <c r="G9883" i="13"/>
  <c r="G9882" i="13"/>
  <c r="G9881" i="13"/>
  <c r="G9880" i="13"/>
  <c r="G9879" i="13"/>
  <c r="G9878" i="13"/>
  <c r="G9877" i="13"/>
  <c r="G9876" i="13"/>
  <c r="G9875" i="13"/>
  <c r="G9874" i="13"/>
  <c r="G9873" i="13"/>
  <c r="G9872" i="13"/>
  <c r="G9871" i="13"/>
  <c r="G9870" i="13"/>
  <c r="G9869" i="13"/>
  <c r="G9868" i="13"/>
  <c r="G9867" i="13"/>
  <c r="G9866" i="13"/>
  <c r="G9865" i="13"/>
  <c r="G9864" i="13"/>
  <c r="G9863" i="13"/>
  <c r="G9862" i="13"/>
  <c r="G9861" i="13"/>
  <c r="G9860" i="13"/>
  <c r="G9859" i="13"/>
  <c r="G9858" i="13"/>
  <c r="G9857" i="13"/>
  <c r="G9856" i="13"/>
  <c r="G9855" i="13"/>
  <c r="G9854" i="13"/>
  <c r="G9853" i="13"/>
  <c r="G9852" i="13"/>
  <c r="G9851" i="13"/>
  <c r="G9850" i="13"/>
  <c r="G9849" i="13"/>
  <c r="G9848" i="13"/>
  <c r="G9847" i="13"/>
  <c r="G9846" i="13"/>
  <c r="G9845" i="13"/>
  <c r="G9844" i="13"/>
  <c r="G9843" i="13"/>
  <c r="G9842" i="13"/>
  <c r="G9841" i="13"/>
  <c r="G9840" i="13"/>
  <c r="G9839" i="13"/>
  <c r="G9838" i="13"/>
  <c r="G9837" i="13"/>
  <c r="G9836" i="13"/>
  <c r="G9835" i="13"/>
  <c r="G9834" i="13"/>
  <c r="G9833" i="13"/>
  <c r="G9832" i="13"/>
  <c r="G9831" i="13"/>
  <c r="G9830" i="13"/>
  <c r="G9829" i="13"/>
  <c r="G9828" i="13"/>
  <c r="G9827" i="13"/>
  <c r="G9826" i="13"/>
  <c r="G9825" i="13"/>
  <c r="G9824" i="13"/>
  <c r="G9823" i="13"/>
  <c r="G9822" i="13"/>
  <c r="G9821" i="13"/>
  <c r="G9820" i="13"/>
  <c r="G9819" i="13"/>
  <c r="G9818" i="13"/>
  <c r="G9817" i="13"/>
  <c r="G9816" i="13"/>
  <c r="G9815" i="13"/>
  <c r="G9814" i="13"/>
  <c r="G9813" i="13"/>
  <c r="G9812" i="13"/>
  <c r="G9811" i="13"/>
  <c r="G9810" i="13"/>
  <c r="G9809" i="13"/>
  <c r="G9808" i="13"/>
  <c r="G9807" i="13"/>
  <c r="G9806" i="13"/>
  <c r="G9805" i="13"/>
  <c r="G9804" i="13"/>
  <c r="G9803" i="13"/>
  <c r="G9802" i="13"/>
  <c r="G9801" i="13"/>
  <c r="G9800" i="13"/>
  <c r="G9799" i="13"/>
  <c r="G9798" i="13"/>
  <c r="G9797" i="13"/>
  <c r="G9796" i="13"/>
  <c r="G9795" i="13"/>
  <c r="G9794" i="13"/>
  <c r="G9793" i="13"/>
  <c r="G9792" i="13"/>
  <c r="G9791" i="13"/>
  <c r="G9790" i="13"/>
  <c r="G9789" i="13"/>
  <c r="G9788" i="13"/>
  <c r="G9787" i="13"/>
  <c r="G9786" i="13"/>
  <c r="G9785" i="13"/>
  <c r="G9784" i="13"/>
  <c r="G9783" i="13"/>
  <c r="G9782" i="13"/>
  <c r="G9781" i="13"/>
  <c r="G9780" i="13"/>
  <c r="G9779" i="13"/>
  <c r="G9778" i="13"/>
  <c r="G9777" i="13"/>
  <c r="G9776" i="13"/>
  <c r="G9775" i="13"/>
  <c r="G9774" i="13"/>
  <c r="G9773" i="13"/>
  <c r="G9772" i="13"/>
  <c r="G9771" i="13"/>
  <c r="G9770" i="13"/>
  <c r="G9769" i="13"/>
  <c r="G9768" i="13"/>
  <c r="G9767" i="13"/>
  <c r="G9766" i="13"/>
  <c r="G9765" i="13"/>
  <c r="G9764" i="13"/>
  <c r="G9763" i="13"/>
  <c r="G9762" i="13"/>
  <c r="G9761" i="13"/>
  <c r="G9760" i="13"/>
  <c r="G9759" i="13"/>
  <c r="G9758" i="13"/>
  <c r="G9757" i="13"/>
  <c r="G9756" i="13"/>
  <c r="G9755" i="13"/>
  <c r="G9754" i="13"/>
  <c r="G9753" i="13"/>
  <c r="G9752" i="13"/>
  <c r="G9751" i="13"/>
  <c r="G9750" i="13"/>
  <c r="G9749" i="13"/>
  <c r="G9748" i="13"/>
  <c r="G9747" i="13"/>
  <c r="G9746" i="13"/>
  <c r="G9745" i="13"/>
  <c r="G9744" i="13"/>
  <c r="G9743" i="13"/>
  <c r="G9742" i="13"/>
  <c r="G9741" i="13"/>
  <c r="G9740" i="13"/>
  <c r="G9739" i="13"/>
  <c r="G9738" i="13"/>
  <c r="G9737" i="13"/>
  <c r="G9736" i="13"/>
  <c r="G9735" i="13"/>
  <c r="G9734" i="13"/>
  <c r="G9733" i="13"/>
  <c r="G9732" i="13"/>
  <c r="G9731" i="13"/>
  <c r="G9730" i="13"/>
  <c r="G9729" i="13"/>
  <c r="G9728" i="13"/>
  <c r="G9727" i="13"/>
  <c r="G9726" i="13"/>
  <c r="G9725" i="13"/>
  <c r="G9724" i="13"/>
  <c r="G9723" i="13"/>
  <c r="G9722" i="13"/>
  <c r="G9721" i="13"/>
  <c r="G9720" i="13"/>
  <c r="G9719" i="13"/>
  <c r="G9718" i="13"/>
  <c r="G9717" i="13"/>
  <c r="G9716" i="13"/>
  <c r="G9715" i="13"/>
  <c r="G9714" i="13"/>
  <c r="G9713" i="13"/>
  <c r="G9712" i="13"/>
  <c r="G9711" i="13"/>
  <c r="G9710" i="13"/>
  <c r="G9709" i="13"/>
  <c r="G9708" i="13"/>
  <c r="G9707" i="13"/>
  <c r="G9706" i="13"/>
  <c r="G9705" i="13"/>
  <c r="G9704" i="13"/>
  <c r="G9703" i="13"/>
  <c r="G9702" i="13"/>
  <c r="G9701" i="13"/>
  <c r="G9700" i="13"/>
  <c r="G9699" i="13"/>
  <c r="G9698" i="13"/>
  <c r="G9697" i="13"/>
  <c r="G9696" i="13"/>
  <c r="G9695" i="13"/>
  <c r="G9694" i="13"/>
  <c r="G9693" i="13"/>
  <c r="G9692" i="13"/>
  <c r="G9691" i="13"/>
  <c r="G9690" i="13"/>
  <c r="G9689" i="13"/>
  <c r="G9688" i="13"/>
  <c r="G9687" i="13"/>
  <c r="G9686" i="13"/>
  <c r="G9685" i="13"/>
  <c r="G9684" i="13"/>
  <c r="G9683" i="13"/>
  <c r="G9682" i="13"/>
  <c r="G9681" i="13"/>
  <c r="G9680" i="13"/>
  <c r="G9679" i="13"/>
  <c r="G9678" i="13"/>
  <c r="G9677" i="13"/>
  <c r="G9676" i="13"/>
  <c r="G9675" i="13"/>
  <c r="G9674" i="13"/>
  <c r="G9673" i="13"/>
  <c r="G9672" i="13"/>
  <c r="G9671" i="13"/>
  <c r="G9670" i="13"/>
  <c r="G9669" i="13"/>
  <c r="G9668" i="13"/>
  <c r="G9667" i="13"/>
  <c r="G9666" i="13"/>
  <c r="G9665" i="13"/>
  <c r="G9664" i="13"/>
  <c r="G9663" i="13"/>
  <c r="G9662" i="13"/>
  <c r="G9661" i="13"/>
  <c r="G9660" i="13"/>
  <c r="G9659" i="13"/>
  <c r="G9658" i="13"/>
  <c r="G9657" i="13"/>
  <c r="G9656" i="13"/>
  <c r="G9655" i="13"/>
  <c r="G9654" i="13"/>
  <c r="G9653" i="13"/>
  <c r="G9652" i="13"/>
  <c r="G9651" i="13"/>
  <c r="G9650" i="13"/>
  <c r="G9649" i="13"/>
  <c r="G9648" i="13"/>
  <c r="G9647" i="13"/>
  <c r="G9646" i="13"/>
  <c r="G9645" i="13"/>
  <c r="G9644" i="13"/>
  <c r="G9643" i="13"/>
  <c r="G9642" i="13"/>
  <c r="G9641" i="13"/>
  <c r="G9640" i="13"/>
  <c r="G9639" i="13"/>
  <c r="G9638" i="13"/>
  <c r="G9637" i="13"/>
  <c r="G9636" i="13"/>
  <c r="G9635" i="13"/>
  <c r="G9634" i="13"/>
  <c r="G9633" i="13"/>
  <c r="G9632" i="13"/>
  <c r="G9631" i="13"/>
  <c r="G9630" i="13"/>
  <c r="G9629" i="13"/>
  <c r="G9628" i="13"/>
  <c r="G9627" i="13"/>
  <c r="G9626" i="13"/>
  <c r="G9625" i="13"/>
  <c r="G9624" i="13"/>
  <c r="G9623" i="13"/>
  <c r="G9622" i="13"/>
  <c r="G9621" i="13"/>
  <c r="G9620" i="13"/>
  <c r="G9619" i="13"/>
  <c r="G9618" i="13"/>
  <c r="G9617" i="13"/>
  <c r="G9616" i="13"/>
  <c r="G9615" i="13"/>
  <c r="G9614" i="13"/>
  <c r="G9613" i="13"/>
  <c r="G9612" i="13"/>
  <c r="G9611" i="13"/>
  <c r="G9610" i="13"/>
  <c r="G9609" i="13"/>
  <c r="G9608" i="13"/>
  <c r="G9607" i="13"/>
  <c r="G9606" i="13"/>
  <c r="G9605" i="13"/>
  <c r="G9604" i="13"/>
  <c r="G9603" i="13"/>
  <c r="G9602" i="13"/>
  <c r="G9601" i="13"/>
  <c r="G9600" i="13"/>
  <c r="G9599" i="13"/>
  <c r="G9598" i="13"/>
  <c r="G9597" i="13"/>
  <c r="G9596" i="13"/>
  <c r="G9595" i="13"/>
  <c r="G9594" i="13"/>
  <c r="G9593" i="13"/>
  <c r="G9592" i="13"/>
  <c r="G9591" i="13"/>
  <c r="G9590" i="13"/>
  <c r="G9589" i="13"/>
  <c r="G9588" i="13"/>
  <c r="G9587" i="13"/>
  <c r="G9586" i="13"/>
  <c r="G9585" i="13"/>
  <c r="G9584" i="13"/>
  <c r="G9583" i="13"/>
  <c r="G9582" i="13"/>
  <c r="G9581" i="13"/>
  <c r="G9580" i="13"/>
  <c r="G9579" i="13"/>
  <c r="G9578" i="13"/>
  <c r="G9577" i="13"/>
  <c r="G9576" i="13"/>
  <c r="G9575" i="13"/>
  <c r="G9574" i="13"/>
  <c r="G9573" i="13"/>
  <c r="G9572" i="13"/>
  <c r="G9571" i="13"/>
  <c r="G9570" i="13"/>
  <c r="G9569" i="13"/>
  <c r="G9568" i="13"/>
  <c r="G9567" i="13"/>
  <c r="G9566" i="13"/>
  <c r="G9565" i="13"/>
  <c r="G9564" i="13"/>
  <c r="G9563" i="13"/>
  <c r="G9562" i="13"/>
  <c r="G9561" i="13"/>
  <c r="G9560" i="13"/>
  <c r="G9559" i="13"/>
  <c r="G9558" i="13"/>
  <c r="G9557" i="13"/>
  <c r="G9556" i="13"/>
  <c r="G9555" i="13"/>
  <c r="G9554" i="13"/>
  <c r="G9553" i="13"/>
  <c r="G9552" i="13"/>
  <c r="G9551" i="13"/>
  <c r="G9550" i="13"/>
  <c r="G9549" i="13"/>
  <c r="G9548" i="13"/>
  <c r="G9547" i="13"/>
  <c r="G9546" i="13"/>
  <c r="G9545" i="13"/>
  <c r="G9544" i="13"/>
  <c r="G9543" i="13"/>
  <c r="G9542" i="13"/>
  <c r="G9541" i="13"/>
  <c r="G9540" i="13"/>
  <c r="G9539" i="13"/>
  <c r="G9538" i="13"/>
  <c r="G9537" i="13"/>
  <c r="G9536" i="13"/>
  <c r="G9535" i="13"/>
  <c r="G9534" i="13"/>
  <c r="G9533" i="13"/>
  <c r="G9532" i="13"/>
  <c r="G9531" i="13"/>
  <c r="G9530" i="13"/>
  <c r="G9529" i="13"/>
  <c r="G9528" i="13"/>
  <c r="G9527" i="13"/>
  <c r="G9526" i="13"/>
  <c r="G9525" i="13"/>
  <c r="G9524" i="13"/>
  <c r="G9523" i="13"/>
  <c r="G9522" i="13"/>
  <c r="G9521" i="13"/>
  <c r="G9520" i="13"/>
  <c r="G9519" i="13"/>
  <c r="G9518" i="13"/>
  <c r="G9517" i="13"/>
  <c r="G9516" i="13"/>
  <c r="G9515" i="13"/>
  <c r="G9514" i="13"/>
  <c r="G9513" i="13"/>
  <c r="G9512" i="13"/>
  <c r="G9511" i="13"/>
  <c r="G9510" i="13"/>
  <c r="G9509" i="13"/>
  <c r="G9508" i="13"/>
  <c r="G9507" i="13"/>
  <c r="G9506" i="13"/>
  <c r="G9505" i="13"/>
  <c r="G9504" i="13"/>
  <c r="G9503" i="13"/>
  <c r="G9502" i="13"/>
  <c r="G9501" i="13"/>
  <c r="G9500" i="13"/>
  <c r="G9499" i="13"/>
  <c r="G9498" i="13"/>
  <c r="G9497" i="13"/>
  <c r="G9496" i="13"/>
  <c r="G9495" i="13"/>
  <c r="G9494" i="13"/>
  <c r="G9493" i="13"/>
  <c r="G9492" i="13"/>
  <c r="G9491" i="13"/>
  <c r="G9490" i="13"/>
  <c r="G9489" i="13"/>
  <c r="G9488" i="13"/>
  <c r="G9487" i="13"/>
  <c r="G9486" i="13"/>
  <c r="G9485" i="13"/>
  <c r="G9484" i="13"/>
  <c r="G9483" i="13"/>
  <c r="G9482" i="13"/>
  <c r="G9481" i="13"/>
  <c r="G9480" i="13"/>
  <c r="G9479" i="13"/>
  <c r="G9478" i="13"/>
  <c r="G9477" i="13"/>
  <c r="G9476" i="13"/>
  <c r="G9475" i="13"/>
  <c r="G9474" i="13"/>
  <c r="G9473" i="13"/>
  <c r="G9472" i="13"/>
  <c r="G9471" i="13"/>
  <c r="G9470" i="13"/>
  <c r="G9469" i="13"/>
  <c r="G9468" i="13"/>
  <c r="G9467" i="13"/>
  <c r="G9466" i="13"/>
  <c r="G9465" i="13"/>
  <c r="G9464" i="13"/>
  <c r="G9463" i="13"/>
  <c r="G9462" i="13"/>
  <c r="G9461" i="13"/>
  <c r="G9460" i="13"/>
  <c r="G9459" i="13"/>
  <c r="G9458" i="13"/>
  <c r="G9457" i="13"/>
  <c r="G9456" i="13"/>
  <c r="G9455" i="13"/>
  <c r="G9454" i="13"/>
  <c r="G9453" i="13"/>
  <c r="G9452" i="13"/>
  <c r="G9451" i="13"/>
  <c r="G9450" i="13"/>
  <c r="G9449" i="13"/>
  <c r="G9448" i="13"/>
  <c r="G9447" i="13"/>
  <c r="G9446" i="13"/>
  <c r="G9445" i="13"/>
  <c r="G9444" i="13"/>
  <c r="G9443" i="13"/>
  <c r="G9442" i="13"/>
  <c r="G9441" i="13"/>
  <c r="G9440" i="13"/>
  <c r="G9439" i="13"/>
  <c r="G9438" i="13"/>
  <c r="G9437" i="13"/>
  <c r="G9436" i="13"/>
  <c r="G9435" i="13"/>
  <c r="G9434" i="13"/>
  <c r="G9433" i="13"/>
  <c r="G9432" i="13"/>
  <c r="G9431" i="13"/>
  <c r="G9430" i="13"/>
  <c r="G9429" i="13"/>
  <c r="G9428" i="13"/>
  <c r="G9427" i="13"/>
  <c r="G9426" i="13"/>
  <c r="G9425" i="13"/>
  <c r="G9424" i="13"/>
  <c r="G9423" i="13"/>
  <c r="G9422" i="13"/>
  <c r="G9421" i="13"/>
  <c r="G9420" i="13"/>
  <c r="G9419" i="13"/>
  <c r="G9418" i="13"/>
  <c r="G9417" i="13"/>
  <c r="G9416" i="13"/>
  <c r="G9415" i="13"/>
  <c r="G9414" i="13"/>
  <c r="G9413" i="13"/>
  <c r="G9412" i="13"/>
  <c r="G9411" i="13"/>
  <c r="G9410" i="13"/>
  <c r="G9409" i="13"/>
  <c r="G9408" i="13"/>
  <c r="G9407" i="13"/>
  <c r="G9406" i="13"/>
  <c r="G9405" i="13"/>
  <c r="G9404" i="13"/>
  <c r="G9403" i="13"/>
  <c r="G9402" i="13"/>
  <c r="G9401" i="13"/>
  <c r="G9400" i="13"/>
  <c r="G9399" i="13"/>
  <c r="G9398" i="13"/>
  <c r="G9397" i="13"/>
  <c r="G9396" i="13"/>
  <c r="G9395" i="13"/>
  <c r="G9394" i="13"/>
  <c r="G9393" i="13"/>
  <c r="G9392" i="13"/>
  <c r="G9391" i="13"/>
  <c r="G9390" i="13"/>
  <c r="G9389" i="13"/>
  <c r="G9388" i="13"/>
  <c r="G9387" i="13"/>
  <c r="G9386" i="13"/>
  <c r="G9385" i="13"/>
  <c r="G9384" i="13"/>
  <c r="G9383" i="13"/>
  <c r="G9382" i="13"/>
  <c r="G9381" i="13"/>
  <c r="G9380" i="13"/>
  <c r="G9379" i="13"/>
  <c r="G9378" i="13"/>
  <c r="G9377" i="13"/>
  <c r="G9376" i="13"/>
  <c r="G9375" i="13"/>
  <c r="G9374" i="13"/>
  <c r="G9373" i="13"/>
  <c r="G9372" i="13"/>
  <c r="G9371" i="13"/>
  <c r="G9370" i="13"/>
  <c r="G9369" i="13"/>
  <c r="G9368" i="13"/>
  <c r="G9367" i="13"/>
  <c r="G9366" i="13"/>
  <c r="G9365" i="13"/>
  <c r="G9364" i="13"/>
  <c r="G9363" i="13"/>
  <c r="G9362" i="13"/>
  <c r="G9361" i="13"/>
  <c r="G9360" i="13"/>
  <c r="G9359" i="13"/>
  <c r="G9358" i="13"/>
  <c r="G9357" i="13"/>
  <c r="G9356" i="13"/>
  <c r="G9355" i="13"/>
  <c r="G9354" i="13"/>
  <c r="G9353" i="13"/>
  <c r="G9352" i="13"/>
  <c r="G9351" i="13"/>
  <c r="G9350" i="13"/>
  <c r="G9349" i="13"/>
  <c r="G9348" i="13"/>
  <c r="G9347" i="13"/>
  <c r="G9346" i="13"/>
  <c r="G9345" i="13"/>
  <c r="G9344" i="13"/>
  <c r="G9343" i="13"/>
  <c r="G9342" i="13"/>
  <c r="G9341" i="13"/>
  <c r="G9340" i="13"/>
  <c r="G9339" i="13"/>
  <c r="G9338" i="13"/>
  <c r="G9337" i="13"/>
  <c r="G9336" i="13"/>
  <c r="G9335" i="13"/>
  <c r="G9334" i="13"/>
  <c r="G9333" i="13"/>
  <c r="G9332" i="13"/>
  <c r="G9331" i="13"/>
  <c r="G9330" i="13"/>
  <c r="G9329" i="13"/>
  <c r="G9328" i="13"/>
  <c r="G9327" i="13"/>
  <c r="G9326" i="13"/>
  <c r="G9325" i="13"/>
  <c r="G9324" i="13"/>
  <c r="G9323" i="13"/>
  <c r="G9322" i="13"/>
  <c r="G9321" i="13"/>
  <c r="G9320" i="13"/>
  <c r="G9319" i="13"/>
  <c r="G9318" i="13"/>
  <c r="G9317" i="13"/>
  <c r="G9316" i="13"/>
  <c r="G9315" i="13"/>
  <c r="G9314" i="13"/>
  <c r="G9313" i="13"/>
  <c r="G9312" i="13"/>
  <c r="G9311" i="13"/>
  <c r="G9310" i="13"/>
  <c r="G9309" i="13"/>
  <c r="G9308" i="13"/>
  <c r="G9307" i="13"/>
  <c r="G9306" i="13"/>
  <c r="G9305" i="13"/>
  <c r="G9304" i="13"/>
  <c r="G9303" i="13"/>
  <c r="G9302" i="13"/>
  <c r="G9301" i="13"/>
  <c r="G9300" i="13"/>
  <c r="G9299" i="13"/>
  <c r="G9298" i="13"/>
  <c r="G9297" i="13"/>
  <c r="G9296" i="13"/>
  <c r="G9295" i="13"/>
  <c r="G9294" i="13"/>
  <c r="G9293" i="13"/>
  <c r="G9292" i="13"/>
  <c r="G9291" i="13"/>
  <c r="G9290" i="13"/>
  <c r="G9289" i="13"/>
  <c r="G9288" i="13"/>
  <c r="G9287" i="13"/>
  <c r="G9286" i="13"/>
  <c r="G9285" i="13"/>
  <c r="G9284" i="13"/>
  <c r="G9283" i="13"/>
  <c r="G9282" i="13"/>
  <c r="G9281" i="13"/>
  <c r="G9280" i="13"/>
  <c r="G9279" i="13"/>
  <c r="G9278" i="13"/>
  <c r="G9277" i="13"/>
  <c r="G9276" i="13"/>
  <c r="G9275" i="13"/>
  <c r="G9274" i="13"/>
  <c r="G9273" i="13"/>
  <c r="G9272" i="13"/>
  <c r="G9271" i="13"/>
  <c r="G9270" i="13"/>
  <c r="G9269" i="13"/>
  <c r="G9268" i="13"/>
  <c r="G9267" i="13"/>
  <c r="G9266" i="13"/>
  <c r="G9265" i="13"/>
  <c r="G9264" i="13"/>
  <c r="G9263" i="13"/>
  <c r="G9262" i="13"/>
  <c r="G9261" i="13"/>
  <c r="G9260" i="13"/>
  <c r="G9259" i="13"/>
  <c r="G9258" i="13"/>
  <c r="G9257" i="13"/>
  <c r="G9256" i="13"/>
  <c r="G9255" i="13"/>
  <c r="G9254" i="13"/>
  <c r="G9253" i="13"/>
  <c r="G9252" i="13"/>
  <c r="G9251" i="13"/>
  <c r="G9250" i="13"/>
  <c r="G9249" i="13"/>
  <c r="G9248" i="13"/>
  <c r="G9247" i="13"/>
  <c r="G9246" i="13"/>
  <c r="G9245" i="13"/>
  <c r="G9244" i="13"/>
  <c r="G9243" i="13"/>
  <c r="G9242" i="13"/>
  <c r="G9241" i="13"/>
  <c r="G9240" i="13"/>
  <c r="G9239" i="13"/>
  <c r="G9238" i="13"/>
  <c r="G9237" i="13"/>
  <c r="G9236" i="13"/>
  <c r="G9235" i="13"/>
  <c r="G9234" i="13"/>
  <c r="G9233" i="13"/>
  <c r="G9232" i="13"/>
  <c r="G9231" i="13"/>
  <c r="G9230" i="13"/>
  <c r="G9229" i="13"/>
  <c r="G9228" i="13"/>
  <c r="G9227" i="13"/>
  <c r="G9226" i="13"/>
  <c r="G9225" i="13"/>
  <c r="G9224" i="13"/>
  <c r="G9223" i="13"/>
  <c r="G9222" i="13"/>
  <c r="G9221" i="13"/>
  <c r="G9220" i="13"/>
  <c r="G9219" i="13"/>
  <c r="G9218" i="13"/>
  <c r="G9217" i="13"/>
  <c r="G9216" i="13"/>
  <c r="G9215" i="13"/>
  <c r="G9214" i="13"/>
  <c r="G9213" i="13"/>
  <c r="G9212" i="13"/>
  <c r="G9211" i="13"/>
  <c r="G9210" i="13"/>
  <c r="G9209" i="13"/>
  <c r="G9208" i="13"/>
  <c r="G9207" i="13"/>
  <c r="G9206" i="13"/>
  <c r="G9205" i="13"/>
  <c r="G9204" i="13"/>
  <c r="G9203" i="13"/>
  <c r="G9202" i="13"/>
  <c r="G9201" i="13"/>
  <c r="G9200" i="13"/>
  <c r="G9199" i="13"/>
  <c r="G9198" i="13"/>
  <c r="G9197" i="13"/>
  <c r="G9196" i="13"/>
  <c r="G9195" i="13"/>
  <c r="G9194" i="13"/>
  <c r="G9193" i="13"/>
  <c r="G9192" i="13"/>
  <c r="G9191" i="13"/>
  <c r="G9190" i="13"/>
  <c r="G9189" i="13"/>
  <c r="G9188" i="13"/>
  <c r="G9187" i="13"/>
  <c r="G9186" i="13"/>
  <c r="G9185" i="13"/>
  <c r="G9184" i="13"/>
  <c r="G9183" i="13"/>
  <c r="G9182" i="13"/>
  <c r="G9181" i="13"/>
  <c r="G9180" i="13"/>
  <c r="G9179" i="13"/>
  <c r="G9178" i="13"/>
  <c r="G9177" i="13"/>
  <c r="G9176" i="13"/>
  <c r="G9175" i="13"/>
  <c r="G9174" i="13"/>
  <c r="G9173" i="13"/>
  <c r="G9172" i="13"/>
  <c r="G9171" i="13"/>
  <c r="G9170" i="13"/>
  <c r="G9169" i="13"/>
  <c r="G9168" i="13"/>
  <c r="G9167" i="13"/>
  <c r="G9166" i="13"/>
  <c r="G9165" i="13"/>
  <c r="G9164" i="13"/>
  <c r="G9163" i="13"/>
  <c r="G9162" i="13"/>
  <c r="G9161" i="13"/>
  <c r="G9160" i="13"/>
  <c r="G9159" i="13"/>
  <c r="G9158" i="13"/>
  <c r="G9157" i="13"/>
  <c r="G9156" i="13"/>
  <c r="G9155" i="13"/>
  <c r="G9154" i="13"/>
  <c r="G9153" i="13"/>
  <c r="G9152" i="13"/>
  <c r="G9151" i="13"/>
  <c r="G9150" i="13"/>
  <c r="G9149" i="13"/>
  <c r="G9148" i="13"/>
  <c r="G9147" i="13"/>
  <c r="G9146" i="13"/>
  <c r="G9145" i="13"/>
  <c r="G9144" i="13"/>
  <c r="G9143" i="13"/>
  <c r="G9142" i="13"/>
  <c r="G9141" i="13"/>
  <c r="G9140" i="13"/>
  <c r="G9139" i="13"/>
  <c r="G9138" i="13"/>
  <c r="G9137" i="13"/>
  <c r="G9136" i="13"/>
  <c r="G9135" i="13"/>
  <c r="G9134" i="13"/>
  <c r="G9133" i="13"/>
  <c r="G9132" i="13"/>
  <c r="G9131" i="13"/>
  <c r="G9130" i="13"/>
  <c r="G9129" i="13"/>
  <c r="G9128" i="13"/>
  <c r="G9127" i="13"/>
  <c r="G9126" i="13"/>
  <c r="G9125" i="13"/>
  <c r="G9124" i="13"/>
  <c r="G9123" i="13"/>
  <c r="G9122" i="13"/>
  <c r="G9121" i="13"/>
  <c r="G9120" i="13"/>
  <c r="G9119" i="13"/>
  <c r="G9118" i="13"/>
  <c r="G9117" i="13"/>
  <c r="G9116" i="13"/>
  <c r="G9115" i="13"/>
  <c r="G9114" i="13"/>
  <c r="G9113" i="13"/>
  <c r="G9112" i="13"/>
  <c r="G9111" i="13"/>
  <c r="G9110" i="13"/>
  <c r="G9109" i="13"/>
  <c r="G9108" i="13"/>
  <c r="G9107" i="13"/>
  <c r="G9106" i="13"/>
  <c r="G9105" i="13"/>
  <c r="G9104" i="13"/>
  <c r="G9103" i="13"/>
  <c r="G9102" i="13"/>
  <c r="G9101" i="13"/>
  <c r="G9100" i="13"/>
  <c r="G9099" i="13"/>
  <c r="G9098" i="13"/>
  <c r="G9097" i="13"/>
  <c r="G9096" i="13"/>
  <c r="G9095" i="13"/>
  <c r="G9094" i="13"/>
  <c r="G9093" i="13"/>
  <c r="G9092" i="13"/>
  <c r="G9091" i="13"/>
  <c r="G9090" i="13"/>
  <c r="G9089" i="13"/>
  <c r="G9088" i="13"/>
  <c r="G9087" i="13"/>
  <c r="G9086" i="13"/>
  <c r="G9085" i="13"/>
  <c r="G9084" i="13"/>
  <c r="G9083" i="13"/>
  <c r="G9082" i="13"/>
  <c r="G9081" i="13"/>
  <c r="G9080" i="13"/>
  <c r="G9079" i="13"/>
  <c r="G9078" i="13"/>
  <c r="G9077" i="13"/>
  <c r="G9076" i="13"/>
  <c r="G9075" i="13"/>
  <c r="G9074" i="13"/>
  <c r="G9073" i="13"/>
  <c r="G9072" i="13"/>
  <c r="G9071" i="13"/>
  <c r="G9070" i="13"/>
  <c r="G9069" i="13"/>
  <c r="G9068" i="13"/>
  <c r="G9067" i="13"/>
  <c r="G9066" i="13"/>
  <c r="G9065" i="13"/>
  <c r="G9064" i="13"/>
  <c r="G9063" i="13"/>
  <c r="G9062" i="13"/>
  <c r="G9061" i="13"/>
  <c r="G9060" i="13"/>
  <c r="G9059" i="13"/>
  <c r="G9058" i="13"/>
  <c r="G9057" i="13"/>
  <c r="G9056" i="13"/>
  <c r="G9055" i="13"/>
  <c r="G9054" i="13"/>
  <c r="G9053" i="13"/>
  <c r="G9052" i="13"/>
  <c r="G9051" i="13"/>
  <c r="G9050" i="13"/>
  <c r="G9049" i="13"/>
  <c r="G9048" i="13"/>
  <c r="G9047" i="13"/>
  <c r="G9046" i="13"/>
  <c r="G9045" i="13"/>
  <c r="G9044" i="13"/>
  <c r="G9043" i="13"/>
  <c r="G9042" i="13"/>
  <c r="G9041" i="13"/>
  <c r="G9040" i="13"/>
  <c r="G9039" i="13"/>
  <c r="G9038" i="13"/>
  <c r="G9037" i="13"/>
  <c r="G9036" i="13"/>
  <c r="G9035" i="13"/>
  <c r="G9034" i="13"/>
  <c r="G9033" i="13"/>
  <c r="G9032" i="13"/>
  <c r="G9031" i="13"/>
  <c r="G9030" i="13"/>
  <c r="G9029" i="13"/>
  <c r="G9028" i="13"/>
  <c r="G9027" i="13"/>
  <c r="G9026" i="13"/>
  <c r="G9025" i="13"/>
  <c r="G9024" i="13"/>
  <c r="G9023" i="13"/>
  <c r="G9022" i="13"/>
  <c r="G9021" i="13"/>
  <c r="G9020" i="13"/>
  <c r="G9019" i="13"/>
  <c r="G9018" i="13"/>
  <c r="G9017" i="13"/>
  <c r="G9016" i="13"/>
  <c r="G9015" i="13"/>
  <c r="G9014" i="13"/>
  <c r="G9013" i="13"/>
  <c r="G9012" i="13"/>
  <c r="G9011" i="13"/>
  <c r="G9010" i="13"/>
  <c r="G9009" i="13"/>
  <c r="G9008" i="13"/>
  <c r="G9007" i="13"/>
  <c r="G9006" i="13"/>
  <c r="G9005" i="13"/>
  <c r="G9004" i="13"/>
  <c r="G9003" i="13"/>
  <c r="G9002" i="13"/>
  <c r="G9001" i="13"/>
  <c r="G9000" i="13"/>
  <c r="G8999" i="13"/>
  <c r="G8998" i="13"/>
  <c r="G8997" i="13"/>
  <c r="G8996" i="13"/>
  <c r="G8995" i="13"/>
  <c r="G8994" i="13"/>
  <c r="G8993" i="13"/>
  <c r="G8992" i="13"/>
  <c r="G8991" i="13"/>
  <c r="G8990" i="13"/>
  <c r="G8989" i="13"/>
  <c r="G8988" i="13"/>
  <c r="G8987" i="13"/>
  <c r="G8986" i="13"/>
  <c r="G8985" i="13"/>
  <c r="G8984" i="13"/>
  <c r="G8983" i="13"/>
  <c r="G8982" i="13"/>
  <c r="G8981" i="13"/>
  <c r="G8980" i="13"/>
  <c r="G8979" i="13"/>
  <c r="G8978" i="13"/>
  <c r="G8977" i="13"/>
  <c r="G8976" i="13"/>
  <c r="G8975" i="13"/>
  <c r="G8974" i="13"/>
  <c r="G8973" i="13"/>
  <c r="G8972" i="13"/>
  <c r="G8971" i="13"/>
  <c r="G8970" i="13"/>
  <c r="G8969" i="13"/>
  <c r="G8968" i="13"/>
  <c r="G8967" i="13"/>
  <c r="G8966" i="13"/>
  <c r="G8965" i="13"/>
  <c r="G8964" i="13"/>
  <c r="G8963" i="13"/>
  <c r="G8962" i="13"/>
  <c r="G8961" i="13"/>
  <c r="G8960" i="13"/>
  <c r="G8959" i="13"/>
  <c r="G8958" i="13"/>
  <c r="G8957" i="13"/>
  <c r="G8956" i="13"/>
  <c r="G8955" i="13"/>
  <c r="G8954" i="13"/>
  <c r="G8953" i="13"/>
  <c r="G8952" i="13"/>
  <c r="G8951" i="13"/>
  <c r="G8950" i="13"/>
  <c r="G8949" i="13"/>
  <c r="G8948" i="13"/>
  <c r="G8947" i="13"/>
  <c r="G8946" i="13"/>
  <c r="G8945" i="13"/>
  <c r="G8944" i="13"/>
  <c r="G8943" i="13"/>
  <c r="G8942" i="13"/>
  <c r="G8941" i="13"/>
  <c r="G8940" i="13"/>
  <c r="G8939" i="13"/>
  <c r="G8938" i="13"/>
  <c r="G8937" i="13"/>
  <c r="G8936" i="13"/>
  <c r="G8935" i="13"/>
  <c r="G8934" i="13"/>
  <c r="G8933" i="13"/>
  <c r="G8932" i="13"/>
  <c r="G8931" i="13"/>
  <c r="G8930" i="13"/>
  <c r="G8929" i="13"/>
  <c r="G8928" i="13"/>
  <c r="G8927" i="13"/>
  <c r="G8926" i="13"/>
  <c r="G8925" i="13"/>
  <c r="G8924" i="13"/>
  <c r="G8923" i="13"/>
  <c r="G8922" i="13"/>
  <c r="G8921" i="13"/>
  <c r="G8920" i="13"/>
  <c r="G8919" i="13"/>
  <c r="G8918" i="13"/>
  <c r="G8917" i="13"/>
  <c r="G8916" i="13"/>
  <c r="G8915" i="13"/>
  <c r="G8914" i="13"/>
  <c r="G8913" i="13"/>
  <c r="G8912" i="13"/>
  <c r="G8911" i="13"/>
  <c r="G8910" i="13"/>
  <c r="G8909" i="13"/>
  <c r="G8908" i="13"/>
  <c r="G8907" i="13"/>
  <c r="G8906" i="13"/>
  <c r="G8905" i="13"/>
  <c r="G8904" i="13"/>
  <c r="G8903" i="13"/>
  <c r="G8902" i="13"/>
  <c r="G8901" i="13"/>
  <c r="G8900" i="13"/>
  <c r="G8899" i="13"/>
  <c r="G8898" i="13"/>
  <c r="G8897" i="13"/>
  <c r="G8896" i="13"/>
  <c r="G8895" i="13"/>
  <c r="G8894" i="13"/>
  <c r="G8893" i="13"/>
  <c r="G8892" i="13"/>
  <c r="G8891" i="13"/>
  <c r="G8890" i="13"/>
  <c r="G8889" i="13"/>
  <c r="G8888" i="13"/>
  <c r="G8887" i="13"/>
  <c r="G8886" i="13"/>
  <c r="G8885" i="13"/>
  <c r="G8884" i="13"/>
  <c r="G8883" i="13"/>
  <c r="G8882" i="13"/>
  <c r="G8881" i="13"/>
  <c r="G8880" i="13"/>
  <c r="G8879" i="13"/>
  <c r="G8878" i="13"/>
  <c r="G8877" i="13"/>
  <c r="G8876" i="13"/>
  <c r="G8875" i="13"/>
  <c r="G8874" i="13"/>
  <c r="G8873" i="13"/>
  <c r="G8872" i="13"/>
  <c r="G8871" i="13"/>
  <c r="G8870" i="13"/>
  <c r="G8869" i="13"/>
  <c r="G8868" i="13"/>
  <c r="G8867" i="13"/>
  <c r="G8866" i="13"/>
  <c r="G8865" i="13"/>
  <c r="G8864" i="13"/>
  <c r="G8863" i="13"/>
  <c r="G8862" i="13"/>
  <c r="G8861" i="13"/>
  <c r="G8860" i="13"/>
  <c r="G8859" i="13"/>
  <c r="G8858" i="13"/>
  <c r="G8857" i="13"/>
  <c r="G8856" i="13"/>
  <c r="G8855" i="13"/>
  <c r="G8854" i="13"/>
  <c r="G8853" i="13"/>
  <c r="G8852" i="13"/>
  <c r="G8851" i="13"/>
  <c r="G8850" i="13"/>
  <c r="G8849" i="13"/>
  <c r="G8848" i="13"/>
  <c r="G8847" i="13"/>
  <c r="G8846" i="13"/>
  <c r="G8845" i="13"/>
  <c r="G8844" i="13"/>
  <c r="G8843" i="13"/>
  <c r="G8842" i="13"/>
  <c r="G8841" i="13"/>
  <c r="G8840" i="13"/>
  <c r="G8839" i="13"/>
  <c r="G8838" i="13"/>
  <c r="G8837" i="13"/>
  <c r="G8836" i="13"/>
  <c r="G8835" i="13"/>
  <c r="G8834" i="13"/>
  <c r="G8833" i="13"/>
  <c r="G8832" i="13"/>
  <c r="G8831" i="13"/>
  <c r="G8830" i="13"/>
  <c r="G8829" i="13"/>
  <c r="G8828" i="13"/>
  <c r="G8827" i="13"/>
  <c r="G8826" i="13"/>
  <c r="G8825" i="13"/>
  <c r="G8824" i="13"/>
  <c r="G8823" i="13"/>
  <c r="G8822" i="13"/>
  <c r="G8821" i="13"/>
  <c r="G8820" i="13"/>
  <c r="G8819" i="13"/>
  <c r="G8818" i="13"/>
  <c r="G8817" i="13"/>
  <c r="G8816" i="13"/>
  <c r="G8815" i="13"/>
  <c r="G8814" i="13"/>
  <c r="G8813" i="13"/>
  <c r="G8812" i="13"/>
  <c r="G8811" i="13"/>
  <c r="G8810" i="13"/>
  <c r="G8809" i="13"/>
  <c r="G8808" i="13"/>
  <c r="G8807" i="13"/>
  <c r="G8806" i="13"/>
  <c r="G8805" i="13"/>
  <c r="G8804" i="13"/>
  <c r="G8803" i="13"/>
  <c r="G8802" i="13"/>
  <c r="G8801" i="13"/>
  <c r="G8800" i="13"/>
  <c r="G8799" i="13"/>
  <c r="G8798" i="13"/>
  <c r="G8797" i="13"/>
  <c r="G8796" i="13"/>
  <c r="G8795" i="13"/>
  <c r="G8794" i="13"/>
  <c r="G8793" i="13"/>
  <c r="G8792" i="13"/>
  <c r="G8791" i="13"/>
  <c r="G8790" i="13"/>
  <c r="G8789" i="13"/>
  <c r="G8788" i="13"/>
  <c r="G8787" i="13"/>
  <c r="G8786" i="13"/>
  <c r="G8785" i="13"/>
  <c r="G8784" i="13"/>
  <c r="G8783" i="13"/>
  <c r="G8782" i="13"/>
  <c r="G8781" i="13"/>
  <c r="G8780" i="13"/>
  <c r="G8779" i="13"/>
  <c r="G8778" i="13"/>
  <c r="G8777" i="13"/>
  <c r="G8776" i="13"/>
  <c r="G8775" i="13"/>
  <c r="G8774" i="13"/>
  <c r="G8773" i="13"/>
  <c r="G8772" i="13"/>
  <c r="G8771" i="13"/>
  <c r="G8770" i="13"/>
  <c r="G8769" i="13"/>
  <c r="G8768" i="13"/>
  <c r="G8767" i="13"/>
  <c r="G8766" i="13"/>
  <c r="G8765" i="13"/>
  <c r="G8764" i="13"/>
  <c r="G8763" i="13"/>
  <c r="G8762" i="13"/>
  <c r="G8761" i="13"/>
  <c r="G8760" i="13"/>
  <c r="G8759" i="13"/>
  <c r="G8758" i="13"/>
  <c r="G8757" i="13"/>
  <c r="G8756" i="13"/>
  <c r="G8755" i="13"/>
  <c r="G8754" i="13"/>
  <c r="G8753" i="13"/>
  <c r="G8752" i="13"/>
  <c r="G8751" i="13"/>
  <c r="G8750" i="13"/>
  <c r="G8749" i="13"/>
  <c r="G8748" i="13"/>
  <c r="G8747" i="13"/>
  <c r="G8746" i="13"/>
  <c r="G8745" i="13"/>
  <c r="G8744" i="13"/>
  <c r="G8743" i="13"/>
  <c r="G8742" i="13"/>
  <c r="G8741" i="13"/>
  <c r="G8740" i="13"/>
  <c r="G8739" i="13"/>
  <c r="G8738" i="13"/>
  <c r="G8737" i="13"/>
  <c r="G8736" i="13"/>
  <c r="G8735" i="13"/>
  <c r="G8734" i="13"/>
  <c r="G8733" i="13"/>
  <c r="G8732" i="13"/>
  <c r="G8731" i="13"/>
  <c r="G8730" i="13"/>
  <c r="G8729" i="13"/>
  <c r="G8728" i="13"/>
  <c r="G8727" i="13"/>
  <c r="G8726" i="13"/>
  <c r="G8725" i="13"/>
  <c r="G8724" i="13"/>
  <c r="G8723" i="13"/>
  <c r="G8722" i="13"/>
  <c r="G8721" i="13"/>
  <c r="G8720" i="13"/>
  <c r="G8719" i="13"/>
  <c r="G8718" i="13"/>
  <c r="G8717" i="13"/>
  <c r="G8716" i="13"/>
  <c r="G8715" i="13"/>
  <c r="G8714" i="13"/>
  <c r="G8713" i="13"/>
  <c r="G8712" i="13"/>
  <c r="G8711" i="13"/>
  <c r="G8710" i="13"/>
  <c r="G8709" i="13"/>
  <c r="G8708" i="13"/>
  <c r="G8707" i="13"/>
  <c r="G8706" i="13"/>
  <c r="G8705" i="13"/>
  <c r="G8704" i="13"/>
  <c r="G8703" i="13"/>
  <c r="G8702" i="13"/>
  <c r="G8701" i="13"/>
  <c r="G8700" i="13"/>
  <c r="G8699" i="13"/>
  <c r="G8698" i="13"/>
  <c r="G8697" i="13"/>
  <c r="G8696" i="13"/>
  <c r="G8695" i="13"/>
  <c r="G8694" i="13"/>
  <c r="G8693" i="13"/>
  <c r="G8692" i="13"/>
  <c r="G8691" i="13"/>
  <c r="G8690" i="13"/>
  <c r="G8689" i="13"/>
  <c r="G8688" i="13"/>
  <c r="G8687" i="13"/>
  <c r="G8686" i="13"/>
  <c r="G8685" i="13"/>
  <c r="G8684" i="13"/>
  <c r="G8683" i="13"/>
  <c r="G8682" i="13"/>
  <c r="G8681" i="13"/>
  <c r="G8680" i="13"/>
  <c r="G8679" i="13"/>
  <c r="G8678" i="13"/>
  <c r="G8677" i="13"/>
  <c r="G8676" i="13"/>
  <c r="G8675" i="13"/>
  <c r="G8674" i="13"/>
  <c r="G8673" i="13"/>
  <c r="G8672" i="13"/>
  <c r="G8671" i="13"/>
  <c r="G8670" i="13"/>
  <c r="G8669" i="13"/>
  <c r="G8668" i="13"/>
  <c r="G8667" i="13"/>
  <c r="G8666" i="13"/>
  <c r="G8665" i="13"/>
  <c r="G8664" i="13"/>
  <c r="G8663" i="13"/>
  <c r="G8662" i="13"/>
  <c r="G8661" i="13"/>
  <c r="G8660" i="13"/>
  <c r="G8659" i="13"/>
  <c r="G8658" i="13"/>
  <c r="G8657" i="13"/>
  <c r="G8656" i="13"/>
  <c r="G8655" i="13"/>
  <c r="G8654" i="13"/>
  <c r="G8653" i="13"/>
  <c r="G8652" i="13"/>
  <c r="G8651" i="13"/>
  <c r="G8650" i="13"/>
  <c r="G8649" i="13"/>
  <c r="G8648" i="13"/>
  <c r="G8647" i="13"/>
  <c r="G8646" i="13"/>
  <c r="G8645" i="13"/>
  <c r="G8644" i="13"/>
  <c r="G8643" i="13"/>
  <c r="G8642" i="13"/>
  <c r="G8641" i="13"/>
  <c r="G8640" i="13"/>
  <c r="G8639" i="13"/>
  <c r="G8638" i="13"/>
  <c r="G8637" i="13"/>
  <c r="G8636" i="13"/>
  <c r="G8635" i="13"/>
  <c r="G8634" i="13"/>
  <c r="G8633" i="13"/>
  <c r="G8632" i="13"/>
  <c r="G8631" i="13"/>
  <c r="G8630" i="13"/>
  <c r="G8629" i="13"/>
  <c r="G8628" i="13"/>
  <c r="G8627" i="13"/>
  <c r="G8626" i="13"/>
  <c r="G8625" i="13"/>
  <c r="G8624" i="13"/>
  <c r="G8623" i="13"/>
  <c r="G8622" i="13"/>
  <c r="G8621" i="13"/>
  <c r="G8620" i="13"/>
  <c r="G8619" i="13"/>
  <c r="G8618" i="13"/>
  <c r="G8617" i="13"/>
  <c r="G8616" i="13"/>
  <c r="G8615" i="13"/>
  <c r="G8614" i="13"/>
  <c r="G8613" i="13"/>
  <c r="G8612" i="13"/>
  <c r="G8611" i="13"/>
  <c r="G8610" i="13"/>
  <c r="G8609" i="13"/>
  <c r="G8608" i="13"/>
  <c r="G8607" i="13"/>
  <c r="G8606" i="13"/>
  <c r="G8605" i="13"/>
  <c r="G8604" i="13"/>
  <c r="G8603" i="13"/>
  <c r="G8602" i="13"/>
  <c r="G8601" i="13"/>
  <c r="G8600" i="13"/>
  <c r="G8599" i="13"/>
  <c r="G8598" i="13"/>
  <c r="G8597" i="13"/>
  <c r="G8596" i="13"/>
  <c r="G8595" i="13"/>
  <c r="G8594" i="13"/>
  <c r="G8593" i="13"/>
  <c r="G8592" i="13"/>
  <c r="G8591" i="13"/>
  <c r="G8590" i="13"/>
  <c r="G8589" i="13"/>
  <c r="G8588" i="13"/>
  <c r="G8587" i="13"/>
  <c r="G8586" i="13"/>
  <c r="G8585" i="13"/>
  <c r="G8584" i="13"/>
  <c r="G8583" i="13"/>
  <c r="G8582" i="13"/>
  <c r="G8581" i="13"/>
  <c r="G8580" i="13"/>
  <c r="G8579" i="13"/>
  <c r="G8578" i="13"/>
  <c r="G8577" i="13"/>
  <c r="G8576" i="13"/>
  <c r="G8575" i="13"/>
  <c r="G8574" i="13"/>
  <c r="G8573" i="13"/>
  <c r="G8572" i="13"/>
  <c r="G8571" i="13"/>
  <c r="G8570" i="13"/>
  <c r="G8569" i="13"/>
  <c r="G8568" i="13"/>
  <c r="G8567" i="13"/>
  <c r="G8566" i="13"/>
  <c r="G8565" i="13"/>
  <c r="G8564" i="13"/>
  <c r="G8563" i="13"/>
  <c r="G8562" i="13"/>
  <c r="G8561" i="13"/>
  <c r="G8560" i="13"/>
  <c r="G8559" i="13"/>
  <c r="G8558" i="13"/>
  <c r="G8557" i="13"/>
  <c r="G8556" i="13"/>
  <c r="G8555" i="13"/>
  <c r="G8554" i="13"/>
  <c r="G8553" i="13"/>
  <c r="G8552" i="13"/>
  <c r="G8551" i="13"/>
  <c r="G8550" i="13"/>
  <c r="G8549" i="13"/>
  <c r="G8548" i="13"/>
  <c r="G8547" i="13"/>
  <c r="G8546" i="13"/>
  <c r="G8545" i="13"/>
  <c r="G8544" i="13"/>
  <c r="G8543" i="13"/>
  <c r="G8542" i="13"/>
  <c r="G8541" i="13"/>
  <c r="G8540" i="13"/>
  <c r="G8539" i="13"/>
  <c r="G8538" i="13"/>
  <c r="G8537" i="13"/>
  <c r="G8536" i="13"/>
  <c r="G8535" i="13"/>
  <c r="G8534" i="13"/>
  <c r="G8533" i="13"/>
  <c r="G8532" i="13"/>
  <c r="G8531" i="13"/>
  <c r="G8530" i="13"/>
  <c r="G8529" i="13"/>
  <c r="G8528" i="13"/>
  <c r="G8527" i="13"/>
  <c r="G8526" i="13"/>
  <c r="G8525" i="13"/>
  <c r="G8524" i="13"/>
  <c r="G8523" i="13"/>
  <c r="G8522" i="13"/>
  <c r="G8521" i="13"/>
  <c r="G8520" i="13"/>
  <c r="G8519" i="13"/>
  <c r="G8518" i="13"/>
  <c r="G8517" i="13"/>
  <c r="G8516" i="13"/>
  <c r="G8515" i="13"/>
  <c r="G8514" i="13"/>
  <c r="G8513" i="13"/>
  <c r="G8512" i="13"/>
  <c r="G8511" i="13"/>
  <c r="G8510" i="13"/>
  <c r="G8509" i="13"/>
  <c r="G8508" i="13"/>
  <c r="G8507" i="13"/>
  <c r="G8506" i="13"/>
  <c r="G8505" i="13"/>
  <c r="G8504" i="13"/>
  <c r="G8503" i="13"/>
  <c r="G8502" i="13"/>
  <c r="G8501" i="13"/>
  <c r="G8500" i="13"/>
  <c r="G8499" i="13"/>
  <c r="G8498" i="13"/>
  <c r="G8497" i="13"/>
  <c r="G8496" i="13"/>
  <c r="G8495" i="13"/>
  <c r="G8494" i="13"/>
  <c r="G8493" i="13"/>
  <c r="G8492" i="13"/>
  <c r="G8491" i="13"/>
  <c r="G8490" i="13"/>
  <c r="G8489" i="13"/>
  <c r="G8488" i="13"/>
  <c r="G8487" i="13"/>
  <c r="G8486" i="13"/>
  <c r="G8485" i="13"/>
  <c r="G8484" i="13"/>
  <c r="G8483" i="13"/>
  <c r="G8482" i="13"/>
  <c r="G8481" i="13"/>
  <c r="G8480" i="13"/>
  <c r="G8479" i="13"/>
  <c r="G8478" i="13"/>
  <c r="G8477" i="13"/>
  <c r="G8476" i="13"/>
  <c r="G8475" i="13"/>
  <c r="G8474" i="13"/>
  <c r="G8473" i="13"/>
  <c r="G8472" i="13"/>
  <c r="G8471" i="13"/>
  <c r="G8470" i="13"/>
  <c r="G8469" i="13"/>
  <c r="G8468" i="13"/>
  <c r="G8467" i="13"/>
  <c r="G8466" i="13"/>
  <c r="G8465" i="13"/>
  <c r="G8464" i="13"/>
  <c r="G8463" i="13"/>
  <c r="G8462" i="13"/>
  <c r="G8461" i="13"/>
  <c r="G8460" i="13"/>
  <c r="G8459" i="13"/>
  <c r="G8458" i="13"/>
  <c r="G8457" i="13"/>
  <c r="G8456" i="13"/>
  <c r="G8455" i="13"/>
  <c r="G8454" i="13"/>
  <c r="G8453" i="13"/>
  <c r="G8452" i="13"/>
  <c r="G8451" i="13"/>
  <c r="G8450" i="13"/>
  <c r="G8449" i="13"/>
  <c r="G8448" i="13"/>
  <c r="G8447" i="13"/>
  <c r="G8446" i="13"/>
  <c r="G8445" i="13"/>
  <c r="G8444" i="13"/>
  <c r="G8443" i="13"/>
  <c r="G8442" i="13"/>
  <c r="G8441" i="13"/>
  <c r="G8440" i="13"/>
  <c r="G8439" i="13"/>
  <c r="G8438" i="13"/>
  <c r="G8437" i="13"/>
  <c r="G8436" i="13"/>
  <c r="G8435" i="13"/>
  <c r="G8434" i="13"/>
  <c r="G8433" i="13"/>
  <c r="G8432" i="13"/>
  <c r="G8431" i="13"/>
  <c r="G8430" i="13"/>
  <c r="G8429" i="13"/>
  <c r="G8428" i="13"/>
  <c r="G8427" i="13"/>
  <c r="G8426" i="13"/>
  <c r="G8425" i="13"/>
  <c r="G8424" i="13"/>
  <c r="G8423" i="13"/>
  <c r="G8422" i="13"/>
  <c r="G8421" i="13"/>
  <c r="G8420" i="13"/>
  <c r="G8419" i="13"/>
  <c r="G8418" i="13"/>
  <c r="G8417" i="13"/>
  <c r="G8416" i="13"/>
  <c r="G8415" i="13"/>
  <c r="G8414" i="13"/>
  <c r="G8413" i="13"/>
  <c r="G8412" i="13"/>
  <c r="G8411" i="13"/>
  <c r="G8410" i="13"/>
  <c r="G8409" i="13"/>
  <c r="G8408" i="13"/>
  <c r="G8407" i="13"/>
  <c r="G8406" i="13"/>
  <c r="G8405" i="13"/>
  <c r="G8404" i="13"/>
  <c r="G8403" i="13"/>
  <c r="G8402" i="13"/>
  <c r="G8401" i="13"/>
  <c r="G8400" i="13"/>
  <c r="G8399" i="13"/>
  <c r="G8398" i="13"/>
  <c r="G8397" i="13"/>
  <c r="G8396" i="13"/>
  <c r="G8395" i="13"/>
  <c r="G8394" i="13"/>
  <c r="G8393" i="13"/>
  <c r="G8392" i="13"/>
  <c r="G8391" i="13"/>
  <c r="G8390" i="13"/>
  <c r="G8389" i="13"/>
  <c r="G8388" i="13"/>
  <c r="G8387" i="13"/>
  <c r="G8386" i="13"/>
  <c r="G8385" i="13"/>
  <c r="G8384" i="13"/>
  <c r="G8383" i="13"/>
  <c r="G8382" i="13"/>
  <c r="G8381" i="13"/>
  <c r="G8380" i="13"/>
  <c r="G8379" i="13"/>
  <c r="G8378" i="13"/>
  <c r="G8377" i="13"/>
  <c r="G8376" i="13"/>
  <c r="G8375" i="13"/>
  <c r="G8374" i="13"/>
  <c r="G8373" i="13"/>
  <c r="G8372" i="13"/>
  <c r="G8371" i="13"/>
  <c r="G8370" i="13"/>
  <c r="G8369" i="13"/>
  <c r="G8368" i="13"/>
  <c r="G8367" i="13"/>
  <c r="G8366" i="13"/>
  <c r="G8365" i="13"/>
  <c r="G8364" i="13"/>
  <c r="G8363" i="13"/>
  <c r="G8362" i="13"/>
  <c r="G8361" i="13"/>
  <c r="G8360" i="13"/>
  <c r="G8359" i="13"/>
  <c r="G8358" i="13"/>
  <c r="G8357" i="13"/>
  <c r="G8356" i="13"/>
  <c r="G8355" i="13"/>
  <c r="G8354" i="13"/>
  <c r="G8353" i="13"/>
  <c r="G8352" i="13"/>
  <c r="G8351" i="13"/>
  <c r="G8350" i="13"/>
  <c r="G8349" i="13"/>
  <c r="G8348" i="13"/>
  <c r="G8347" i="13"/>
  <c r="G8346" i="13"/>
  <c r="G8345" i="13"/>
  <c r="G8344" i="13"/>
  <c r="G8343" i="13"/>
  <c r="G8342" i="13"/>
  <c r="G8341" i="13"/>
  <c r="G8340" i="13"/>
  <c r="G8339" i="13"/>
  <c r="G8338" i="13"/>
  <c r="G8337" i="13"/>
  <c r="G8336" i="13"/>
  <c r="G8335" i="13"/>
  <c r="G8334" i="13"/>
  <c r="G8333" i="13"/>
  <c r="G8332" i="13"/>
  <c r="G8331" i="13"/>
  <c r="G8330" i="13"/>
  <c r="G8329" i="13"/>
  <c r="G8328" i="13"/>
  <c r="G8327" i="13"/>
  <c r="G8326" i="13"/>
  <c r="G8325" i="13"/>
  <c r="G8324" i="13"/>
  <c r="G8323" i="13"/>
  <c r="G8322" i="13"/>
  <c r="G8321" i="13"/>
  <c r="G8320" i="13"/>
  <c r="G8319" i="13"/>
  <c r="G8318" i="13"/>
  <c r="G8317" i="13"/>
  <c r="G8316" i="13"/>
  <c r="G8315" i="13"/>
  <c r="G8314" i="13"/>
  <c r="G8313" i="13"/>
  <c r="G8312" i="13"/>
  <c r="G8311" i="13"/>
  <c r="G8310" i="13"/>
  <c r="G8309" i="13"/>
  <c r="G8308" i="13"/>
  <c r="G8307" i="13"/>
  <c r="G8306" i="13"/>
  <c r="G8305" i="13"/>
  <c r="G8304" i="13"/>
  <c r="G8303" i="13"/>
  <c r="G8302" i="13"/>
  <c r="G8301" i="13"/>
  <c r="G8300" i="13"/>
  <c r="G8299" i="13"/>
  <c r="G8298" i="13"/>
  <c r="G8297" i="13"/>
  <c r="G8296" i="13"/>
  <c r="G8295" i="13"/>
  <c r="G8294" i="13"/>
  <c r="G8293" i="13"/>
  <c r="G8292" i="13"/>
  <c r="G8291" i="13"/>
  <c r="G8290" i="13"/>
  <c r="G8289" i="13"/>
  <c r="G8288" i="13"/>
  <c r="G8287" i="13"/>
  <c r="G8286" i="13"/>
  <c r="G8285" i="13"/>
  <c r="G8284" i="13"/>
  <c r="G8283" i="13"/>
  <c r="G8282" i="13"/>
  <c r="G8281" i="13"/>
  <c r="G8280" i="13"/>
  <c r="G8279" i="13"/>
  <c r="G8278" i="13"/>
  <c r="G8277" i="13"/>
  <c r="G8276" i="13"/>
  <c r="G8275" i="13"/>
  <c r="G8274" i="13"/>
  <c r="G8273" i="13"/>
  <c r="G8272" i="13"/>
  <c r="G8271" i="13"/>
  <c r="G8270" i="13"/>
  <c r="G8269" i="13"/>
  <c r="G8268" i="13"/>
  <c r="G8267" i="13"/>
  <c r="G8266" i="13"/>
  <c r="G8265" i="13"/>
  <c r="G8264" i="13"/>
  <c r="G8263" i="13"/>
  <c r="G8262" i="13"/>
  <c r="G8261" i="13"/>
  <c r="G8260" i="13"/>
  <c r="G8259" i="13"/>
  <c r="G8258" i="13"/>
  <c r="G8257" i="13"/>
  <c r="G8256" i="13"/>
  <c r="G8255" i="13"/>
  <c r="G8254" i="13"/>
  <c r="G8253" i="13"/>
  <c r="G8252" i="13"/>
  <c r="G8251" i="13"/>
  <c r="G8250" i="13"/>
  <c r="G8249" i="13"/>
  <c r="G8248" i="13"/>
  <c r="G8247" i="13"/>
  <c r="G8246" i="13"/>
  <c r="G8245" i="13"/>
  <c r="G8244" i="13"/>
  <c r="G8243" i="13"/>
  <c r="G8242" i="13"/>
  <c r="G8241" i="13"/>
  <c r="G8240" i="13"/>
  <c r="G8239" i="13"/>
  <c r="G8238" i="13"/>
  <c r="G8237" i="13"/>
  <c r="G8236" i="13"/>
  <c r="G8235" i="13"/>
  <c r="G8234" i="13"/>
  <c r="G8233" i="13"/>
  <c r="G8232" i="13"/>
  <c r="G8231" i="13"/>
  <c r="G8230" i="13"/>
  <c r="G8229" i="13"/>
  <c r="G8228" i="13"/>
  <c r="G8227" i="13"/>
  <c r="G8226" i="13"/>
  <c r="G8225" i="13"/>
  <c r="G8224" i="13"/>
  <c r="G8223" i="13"/>
  <c r="G8222" i="13"/>
  <c r="G8221" i="13"/>
  <c r="G8220" i="13"/>
  <c r="G8219" i="13"/>
  <c r="G8218" i="13"/>
  <c r="G8217" i="13"/>
  <c r="G8216" i="13"/>
  <c r="G8215" i="13"/>
  <c r="G8214" i="13"/>
  <c r="G8213" i="13"/>
  <c r="G8212" i="13"/>
  <c r="G8211" i="13"/>
  <c r="G8210" i="13"/>
  <c r="G8209" i="13"/>
  <c r="G8208" i="13"/>
  <c r="G8207" i="13"/>
  <c r="G8206" i="13"/>
  <c r="G8205" i="13"/>
  <c r="G8204" i="13"/>
  <c r="G8203" i="13"/>
  <c r="G8202" i="13"/>
  <c r="G8201" i="13"/>
  <c r="G8200" i="13"/>
  <c r="G8199" i="13"/>
  <c r="G8198" i="13"/>
  <c r="G8197" i="13"/>
  <c r="G8196" i="13"/>
  <c r="G8195" i="13"/>
  <c r="G8194" i="13"/>
  <c r="G8193" i="13"/>
  <c r="G8192" i="13"/>
  <c r="G8191" i="13"/>
  <c r="G8190" i="13"/>
  <c r="G8189" i="13"/>
  <c r="G8188" i="13"/>
  <c r="G8187" i="13"/>
  <c r="G8186" i="13"/>
  <c r="G8185" i="13"/>
  <c r="G8184" i="13"/>
  <c r="G8183" i="13"/>
  <c r="G8182" i="13"/>
  <c r="G8181" i="13"/>
  <c r="G8180" i="13"/>
  <c r="G8179" i="13"/>
  <c r="G8178" i="13"/>
  <c r="G8177" i="13"/>
  <c r="G8176" i="13"/>
  <c r="G8175" i="13"/>
  <c r="G8174" i="13"/>
  <c r="G8173" i="13"/>
  <c r="G8172" i="13"/>
  <c r="G8171" i="13"/>
  <c r="G8170" i="13"/>
  <c r="G8169" i="13"/>
  <c r="G8168" i="13"/>
  <c r="G8167" i="13"/>
  <c r="G8166" i="13"/>
  <c r="G8165" i="13"/>
  <c r="G8164" i="13"/>
  <c r="G8163" i="13"/>
  <c r="G8162" i="13"/>
  <c r="G8161" i="13"/>
  <c r="G8160" i="13"/>
  <c r="G8159" i="13"/>
  <c r="G8158" i="13"/>
  <c r="G8157" i="13"/>
  <c r="G8156" i="13"/>
  <c r="G8155" i="13"/>
  <c r="G8154" i="13"/>
  <c r="G8153" i="13"/>
  <c r="G8152" i="13"/>
  <c r="G8151" i="13"/>
  <c r="G8150" i="13"/>
  <c r="G8149" i="13"/>
  <c r="G8148" i="13"/>
  <c r="G8147" i="13"/>
  <c r="G8146" i="13"/>
  <c r="G8145" i="13"/>
  <c r="G8144" i="13"/>
  <c r="G8143" i="13"/>
  <c r="G8142" i="13"/>
  <c r="G8141" i="13"/>
  <c r="G8140" i="13"/>
  <c r="G8139" i="13"/>
  <c r="G8138" i="13"/>
  <c r="G8137" i="13"/>
  <c r="G8136" i="13"/>
  <c r="G8135" i="13"/>
  <c r="G8134" i="13"/>
  <c r="G8133" i="13"/>
  <c r="G8132" i="13"/>
  <c r="G8131" i="13"/>
  <c r="G8130" i="13"/>
  <c r="G8129" i="13"/>
  <c r="G8128" i="13"/>
  <c r="G8127" i="13"/>
  <c r="G8126" i="13"/>
  <c r="G8125" i="13"/>
  <c r="G8124" i="13"/>
  <c r="G8123" i="13"/>
  <c r="G8122" i="13"/>
  <c r="G8121" i="13"/>
  <c r="G8120" i="13"/>
  <c r="G8119" i="13"/>
  <c r="G8118" i="13"/>
  <c r="G8117" i="13"/>
  <c r="G8116" i="13"/>
  <c r="G8115" i="13"/>
  <c r="G8114" i="13"/>
  <c r="G8113" i="13"/>
  <c r="G8112" i="13"/>
  <c r="G8111" i="13"/>
  <c r="G8110" i="13"/>
  <c r="G8109" i="13"/>
  <c r="G8108" i="13"/>
  <c r="G8107" i="13"/>
  <c r="G8106" i="13"/>
  <c r="G8105" i="13"/>
  <c r="G8104" i="13"/>
  <c r="G8103" i="13"/>
  <c r="G8102" i="13"/>
  <c r="G8101" i="13"/>
  <c r="G8100" i="13"/>
  <c r="G8099" i="13"/>
  <c r="G8098" i="13"/>
  <c r="G8097" i="13"/>
  <c r="G8096" i="13"/>
  <c r="G8095" i="13"/>
  <c r="G8094" i="13"/>
  <c r="G8093" i="13"/>
  <c r="G8092" i="13"/>
  <c r="G8091" i="13"/>
  <c r="G8090" i="13"/>
  <c r="G8089" i="13"/>
  <c r="G8088" i="13"/>
  <c r="G8087" i="13"/>
  <c r="G8086" i="13"/>
  <c r="G8085" i="13"/>
  <c r="G8084" i="13"/>
  <c r="G8083" i="13"/>
  <c r="G8082" i="13"/>
  <c r="G8081" i="13"/>
  <c r="G8080" i="13"/>
  <c r="G8079" i="13"/>
  <c r="G8078" i="13"/>
  <c r="G8077" i="13"/>
  <c r="G8076" i="13"/>
  <c r="G8075" i="13"/>
  <c r="G8074" i="13"/>
  <c r="G8073" i="13"/>
  <c r="G8072" i="13"/>
  <c r="G8071" i="13"/>
  <c r="G8070" i="13"/>
  <c r="G8069" i="13"/>
  <c r="G8068" i="13"/>
  <c r="G8067" i="13"/>
  <c r="G8066" i="13"/>
  <c r="G8065" i="13"/>
  <c r="G8064" i="13"/>
  <c r="G8063" i="13"/>
  <c r="G8062" i="13"/>
  <c r="G8061" i="13"/>
  <c r="G8060" i="13"/>
  <c r="G8059" i="13"/>
  <c r="G8058" i="13"/>
  <c r="G8057" i="13"/>
  <c r="G8056" i="13"/>
  <c r="G8055" i="13"/>
  <c r="G8054" i="13"/>
  <c r="G8053" i="13"/>
  <c r="G8052" i="13"/>
  <c r="G8051" i="13"/>
  <c r="G8050" i="13"/>
  <c r="G8049" i="13"/>
  <c r="G8048" i="13"/>
  <c r="G8047" i="13"/>
  <c r="G8046" i="13"/>
  <c r="G8045" i="13"/>
  <c r="G8044" i="13"/>
  <c r="G8043" i="13"/>
  <c r="G8042" i="13"/>
  <c r="G8041" i="13"/>
  <c r="G8040" i="13"/>
  <c r="G8039" i="13"/>
  <c r="G8038" i="13"/>
  <c r="G8037" i="13"/>
  <c r="G8036" i="13"/>
  <c r="G8035" i="13"/>
  <c r="G8034" i="13"/>
  <c r="G8033" i="13"/>
  <c r="G8032" i="13"/>
  <c r="G8031" i="13"/>
  <c r="G8030" i="13"/>
  <c r="G8029" i="13"/>
  <c r="G8028" i="13"/>
  <c r="G8027" i="13"/>
  <c r="G8026" i="13"/>
  <c r="G8025" i="13"/>
  <c r="G8024" i="13"/>
  <c r="G8023" i="13"/>
  <c r="G8022" i="13"/>
  <c r="G8021" i="13"/>
  <c r="G8020" i="13"/>
  <c r="G8019" i="13"/>
  <c r="G8018" i="13"/>
  <c r="G8017" i="13"/>
  <c r="G8016" i="13"/>
  <c r="G8015" i="13"/>
  <c r="G8014" i="13"/>
  <c r="G8013" i="13"/>
  <c r="G8012" i="13"/>
  <c r="G8011" i="13"/>
  <c r="G8010" i="13"/>
  <c r="G8009" i="13"/>
  <c r="G8008" i="13"/>
  <c r="G8007" i="13"/>
  <c r="G8006" i="13"/>
  <c r="G8005" i="13"/>
  <c r="G8004" i="13"/>
  <c r="G8003" i="13"/>
  <c r="G8002" i="13"/>
  <c r="G8001" i="13"/>
  <c r="G8000" i="13"/>
  <c r="G7999" i="13"/>
  <c r="G7998" i="13"/>
  <c r="G7997" i="13"/>
  <c r="G7996" i="13"/>
  <c r="G7995" i="13"/>
  <c r="G7994" i="13"/>
  <c r="G7993" i="13"/>
  <c r="G7992" i="13"/>
  <c r="G7991" i="13"/>
  <c r="G7990" i="13"/>
  <c r="G7989" i="13"/>
  <c r="G7988" i="13"/>
  <c r="G7987" i="13"/>
  <c r="G7986" i="13"/>
  <c r="G7985" i="13"/>
  <c r="G7984" i="13"/>
  <c r="G7983" i="13"/>
  <c r="G7982" i="13"/>
  <c r="G7981" i="13"/>
  <c r="G7980" i="13"/>
  <c r="G7979" i="13"/>
  <c r="G7978" i="13"/>
  <c r="G7977" i="13"/>
  <c r="G7976" i="13"/>
  <c r="G7975" i="13"/>
  <c r="G7974" i="13"/>
  <c r="G7973" i="13"/>
  <c r="G7972" i="13"/>
  <c r="G7971" i="13"/>
  <c r="G7970" i="13"/>
  <c r="G7969" i="13"/>
  <c r="G7968" i="13"/>
  <c r="G7967" i="13"/>
  <c r="G7966" i="13"/>
  <c r="G7965" i="13"/>
  <c r="G7964" i="13"/>
  <c r="G7963" i="13"/>
  <c r="G7962" i="13"/>
  <c r="G7961" i="13"/>
  <c r="G7960" i="13"/>
  <c r="G7959" i="13"/>
  <c r="G7958" i="13"/>
  <c r="G7957" i="13"/>
  <c r="G7956" i="13"/>
  <c r="G7955" i="13"/>
  <c r="G7954" i="13"/>
  <c r="G7953" i="13"/>
  <c r="G7952" i="13"/>
  <c r="G7951" i="13"/>
  <c r="G7950" i="13"/>
  <c r="G7949" i="13"/>
  <c r="G7948" i="13"/>
  <c r="G7947" i="13"/>
  <c r="G7946" i="13"/>
  <c r="G7945" i="13"/>
  <c r="G7944" i="13"/>
  <c r="G7943" i="13"/>
  <c r="G7942" i="13"/>
  <c r="G7941" i="13"/>
  <c r="G7940" i="13"/>
  <c r="G7939" i="13"/>
  <c r="G7938" i="13"/>
  <c r="G7937" i="13"/>
  <c r="G7936" i="13"/>
  <c r="G7935" i="13"/>
  <c r="G7934" i="13"/>
  <c r="G7933" i="13"/>
  <c r="G7932" i="13"/>
  <c r="G7931" i="13"/>
  <c r="G7930" i="13"/>
  <c r="G7929" i="13"/>
  <c r="G7928" i="13"/>
  <c r="G7927" i="13"/>
  <c r="G7926" i="13"/>
  <c r="G7925" i="13"/>
  <c r="G7924" i="13"/>
  <c r="G7923" i="13"/>
  <c r="G7922" i="13"/>
  <c r="G7921" i="13"/>
  <c r="G7920" i="13"/>
  <c r="G7919" i="13"/>
  <c r="G7918" i="13"/>
  <c r="G7917" i="13"/>
  <c r="G7916" i="13"/>
  <c r="G7915" i="13"/>
  <c r="G7914" i="13"/>
  <c r="G7913" i="13"/>
  <c r="G7912" i="13"/>
  <c r="G7911" i="13"/>
  <c r="G7910" i="13"/>
  <c r="G7909" i="13"/>
  <c r="G7908" i="13"/>
  <c r="G7907" i="13"/>
  <c r="G7906" i="13"/>
  <c r="G7905" i="13"/>
  <c r="G7904" i="13"/>
  <c r="G7903" i="13"/>
  <c r="G7902" i="13"/>
  <c r="G7901" i="13"/>
  <c r="G7900" i="13"/>
  <c r="G7899" i="13"/>
  <c r="G7898" i="13"/>
  <c r="G7897" i="13"/>
  <c r="G7896" i="13"/>
  <c r="G7895" i="13"/>
  <c r="G7894" i="13"/>
  <c r="G7893" i="13"/>
  <c r="G7892" i="13"/>
  <c r="G7891" i="13"/>
  <c r="G7890" i="13"/>
  <c r="G7889" i="13"/>
  <c r="G7888" i="13"/>
  <c r="G7887" i="13"/>
  <c r="G7886" i="13"/>
  <c r="G7885" i="13"/>
  <c r="G7884" i="13"/>
  <c r="G7883" i="13"/>
  <c r="G7882" i="13"/>
  <c r="G7881" i="13"/>
  <c r="G7880" i="13"/>
  <c r="G7879" i="13"/>
  <c r="G7878" i="13"/>
  <c r="G7877" i="13"/>
  <c r="G7876" i="13"/>
  <c r="G7875" i="13"/>
  <c r="G7874" i="13"/>
  <c r="G7873" i="13"/>
  <c r="G7872" i="13"/>
  <c r="G7871" i="13"/>
  <c r="G7870" i="13"/>
  <c r="G7869" i="13"/>
  <c r="G7868" i="13"/>
  <c r="G7867" i="13"/>
  <c r="G7866" i="13"/>
  <c r="G7865" i="13"/>
  <c r="G7864" i="13"/>
  <c r="G7863" i="13"/>
  <c r="G7862" i="13"/>
  <c r="G7861" i="13"/>
  <c r="G7860" i="13"/>
  <c r="G7859" i="13"/>
  <c r="G7858" i="13"/>
  <c r="G7857" i="13"/>
  <c r="G7856" i="13"/>
  <c r="G7855" i="13"/>
  <c r="G7854" i="13"/>
  <c r="G7853" i="13"/>
  <c r="G7852" i="13"/>
  <c r="G7851" i="13"/>
  <c r="G7850" i="13"/>
  <c r="G7849" i="13"/>
  <c r="G7848" i="13"/>
  <c r="G7847" i="13"/>
  <c r="G7846" i="13"/>
  <c r="G7845" i="13"/>
  <c r="G7844" i="13"/>
  <c r="G7843" i="13"/>
  <c r="G7842" i="13"/>
  <c r="G7841" i="13"/>
  <c r="G7840" i="13"/>
  <c r="G7839" i="13"/>
  <c r="G7838" i="13"/>
  <c r="G7837" i="13"/>
  <c r="G7836" i="13"/>
  <c r="G7835" i="13"/>
  <c r="G7834" i="13"/>
  <c r="G7833" i="13"/>
  <c r="G7832" i="13"/>
  <c r="G7831" i="13"/>
  <c r="G7830" i="13"/>
  <c r="G7829" i="13"/>
  <c r="G7828" i="13"/>
  <c r="G7827" i="13"/>
  <c r="G7826" i="13"/>
  <c r="G7825" i="13"/>
  <c r="G7824" i="13"/>
  <c r="G7823" i="13"/>
  <c r="G7822" i="13"/>
  <c r="G7821" i="13"/>
  <c r="G7820" i="13"/>
  <c r="G7819" i="13"/>
  <c r="G7818" i="13"/>
  <c r="G7817" i="13"/>
  <c r="G7816" i="13"/>
  <c r="G7815" i="13"/>
  <c r="G7814" i="13"/>
  <c r="G7813" i="13"/>
  <c r="G7812" i="13"/>
  <c r="G7811" i="13"/>
  <c r="G7810" i="13"/>
  <c r="G7809" i="13"/>
  <c r="G7808" i="13"/>
  <c r="G7807" i="13"/>
  <c r="G7806" i="13"/>
  <c r="G7805" i="13"/>
  <c r="G7804" i="13"/>
  <c r="G7803" i="13"/>
  <c r="G7802" i="13"/>
  <c r="G7801" i="13"/>
  <c r="G7800" i="13"/>
  <c r="G7799" i="13"/>
  <c r="G7798" i="13"/>
  <c r="G7797" i="13"/>
  <c r="G7796" i="13"/>
  <c r="G7795" i="13"/>
  <c r="G7794" i="13"/>
  <c r="G7793" i="13"/>
  <c r="G7792" i="13"/>
  <c r="G7791" i="13"/>
  <c r="G7790" i="13"/>
  <c r="G7789" i="13"/>
  <c r="G7788" i="13"/>
  <c r="G7787" i="13"/>
  <c r="G7786" i="13"/>
  <c r="G7785" i="13"/>
  <c r="G7784" i="13"/>
  <c r="G7783" i="13"/>
  <c r="G7782" i="13"/>
  <c r="G7781" i="13"/>
  <c r="G7780" i="13"/>
  <c r="G7779" i="13"/>
  <c r="G7778" i="13"/>
  <c r="G7777" i="13"/>
  <c r="G7776" i="13"/>
  <c r="G7775" i="13"/>
  <c r="G7774" i="13"/>
  <c r="G7773" i="13"/>
  <c r="G7772" i="13"/>
  <c r="G7771" i="13"/>
  <c r="G7770" i="13"/>
  <c r="G7769" i="13"/>
  <c r="G7768" i="13"/>
  <c r="G7767" i="13"/>
  <c r="G7766" i="13"/>
  <c r="G7765" i="13"/>
  <c r="G7764" i="13"/>
  <c r="G7763" i="13"/>
  <c r="G7762" i="13"/>
  <c r="G7761" i="13"/>
  <c r="G7760" i="13"/>
  <c r="G7759" i="13"/>
  <c r="G7758" i="13"/>
  <c r="G7757" i="13"/>
  <c r="G7756" i="13"/>
  <c r="G7755" i="13"/>
  <c r="G7754" i="13"/>
  <c r="G7753" i="13"/>
  <c r="G7752" i="13"/>
  <c r="G7751" i="13"/>
  <c r="G7750" i="13"/>
  <c r="G7749" i="13"/>
  <c r="G7748" i="13"/>
  <c r="G7747" i="13"/>
  <c r="G7746" i="13"/>
  <c r="G7745" i="13"/>
  <c r="G7744" i="13"/>
  <c r="G7743" i="13"/>
  <c r="G7742" i="13"/>
  <c r="G7741" i="13"/>
  <c r="G7740" i="13"/>
  <c r="G7739" i="13"/>
  <c r="G7738" i="13"/>
  <c r="G7737" i="13"/>
  <c r="G7736" i="13"/>
  <c r="G7735" i="13"/>
  <c r="G7734" i="13"/>
  <c r="G7733" i="13"/>
  <c r="G7732" i="13"/>
  <c r="G7731" i="13"/>
  <c r="G7730" i="13"/>
  <c r="G7729" i="13"/>
  <c r="G7728" i="13"/>
  <c r="G7727" i="13"/>
  <c r="G7726" i="13"/>
  <c r="G7725" i="13"/>
  <c r="G7724" i="13"/>
  <c r="G7723" i="13"/>
  <c r="G7722" i="13"/>
  <c r="G7721" i="13"/>
  <c r="G7720" i="13"/>
  <c r="G7719" i="13"/>
  <c r="G7718" i="13"/>
  <c r="G7717" i="13"/>
  <c r="G7716" i="13"/>
  <c r="G7715" i="13"/>
  <c r="G7714" i="13"/>
  <c r="G7713" i="13"/>
  <c r="G7712" i="13"/>
  <c r="G7711" i="13"/>
  <c r="G7710" i="13"/>
  <c r="G7709" i="13"/>
  <c r="G7708" i="13"/>
  <c r="G7707" i="13"/>
  <c r="G7706" i="13"/>
  <c r="G7705" i="13"/>
  <c r="G7704" i="13"/>
  <c r="G7703" i="13"/>
  <c r="G7702" i="13"/>
  <c r="G7701" i="13"/>
  <c r="G7700" i="13"/>
  <c r="G7699" i="13"/>
  <c r="G7698" i="13"/>
  <c r="G7697" i="13"/>
  <c r="G7696" i="13"/>
  <c r="G7695" i="13"/>
  <c r="G7694" i="13"/>
  <c r="G7693" i="13"/>
  <c r="G7692" i="13"/>
  <c r="G7691" i="13"/>
  <c r="G7690" i="13"/>
  <c r="G7689" i="13"/>
  <c r="G7688" i="13"/>
  <c r="G7687" i="13"/>
  <c r="G7686" i="13"/>
  <c r="G7685" i="13"/>
  <c r="G7684" i="13"/>
  <c r="G7683" i="13"/>
  <c r="G7682" i="13"/>
  <c r="G7681" i="13"/>
  <c r="G7680" i="13"/>
  <c r="G7679" i="13"/>
  <c r="G7678" i="13"/>
  <c r="G7677" i="13"/>
  <c r="G7676" i="13"/>
  <c r="G7675" i="13"/>
  <c r="G7674" i="13"/>
  <c r="G7673" i="13"/>
  <c r="G7672" i="13"/>
  <c r="G7671" i="13"/>
  <c r="G7670" i="13"/>
  <c r="G7669" i="13"/>
  <c r="G7668" i="13"/>
  <c r="G7667" i="13"/>
  <c r="G7666" i="13"/>
  <c r="G7665" i="13"/>
  <c r="G7664" i="13"/>
  <c r="G7663" i="13"/>
  <c r="G7662" i="13"/>
  <c r="G7661" i="13"/>
  <c r="G7660" i="13"/>
  <c r="G7659" i="13"/>
  <c r="G7658" i="13"/>
  <c r="G7657" i="13"/>
  <c r="G7656" i="13"/>
  <c r="G7655" i="13"/>
  <c r="G7654" i="13"/>
  <c r="G7653" i="13"/>
  <c r="G7652" i="13"/>
  <c r="G7651" i="13"/>
  <c r="G7650" i="13"/>
  <c r="G7649" i="13"/>
  <c r="G7648" i="13"/>
  <c r="G7647" i="13"/>
  <c r="G7646" i="13"/>
  <c r="G7645" i="13"/>
  <c r="G7644" i="13"/>
  <c r="G7643" i="13"/>
  <c r="G7642" i="13"/>
  <c r="G7641" i="13"/>
  <c r="G7640" i="13"/>
  <c r="G7639" i="13"/>
  <c r="G7638" i="13"/>
  <c r="G7637" i="13"/>
  <c r="G7636" i="13"/>
  <c r="G7635" i="13"/>
  <c r="G7634" i="13"/>
  <c r="G7633" i="13"/>
  <c r="G7632" i="13"/>
  <c r="G7631" i="13"/>
  <c r="G7630" i="13"/>
  <c r="G7629" i="13"/>
  <c r="G7628" i="13"/>
  <c r="G7627" i="13"/>
  <c r="G7626" i="13"/>
  <c r="G7625" i="13"/>
  <c r="G7624" i="13"/>
  <c r="G7623" i="13"/>
  <c r="G7622" i="13"/>
  <c r="G7621" i="13"/>
  <c r="G7620" i="13"/>
  <c r="G7619" i="13"/>
  <c r="G7618" i="13"/>
  <c r="G7617" i="13"/>
  <c r="G7616" i="13"/>
  <c r="G7615" i="13"/>
  <c r="G7614" i="13"/>
  <c r="G7613" i="13"/>
  <c r="G7612" i="13"/>
  <c r="G7611" i="13"/>
  <c r="G7610" i="13"/>
  <c r="G7609" i="13"/>
  <c r="G7608" i="13"/>
  <c r="G7607" i="13"/>
  <c r="G7606" i="13"/>
  <c r="G7605" i="13"/>
  <c r="G7604" i="13"/>
  <c r="G7603" i="13"/>
  <c r="G7602" i="13"/>
  <c r="G7601" i="13"/>
  <c r="G7600" i="13"/>
  <c r="G7599" i="13"/>
  <c r="G7598" i="13"/>
  <c r="G7597" i="13"/>
  <c r="G7596" i="13"/>
  <c r="G7595" i="13"/>
  <c r="G7594" i="13"/>
  <c r="G7593" i="13"/>
  <c r="G7592" i="13"/>
  <c r="G7591" i="13"/>
  <c r="G7590" i="13"/>
  <c r="G7589" i="13"/>
  <c r="G7588" i="13"/>
  <c r="G7587" i="13"/>
  <c r="G7586" i="13"/>
  <c r="G7585" i="13"/>
  <c r="G7584" i="13"/>
  <c r="G7583" i="13"/>
  <c r="G7582" i="13"/>
  <c r="G7581" i="13"/>
  <c r="G7580" i="13"/>
  <c r="G7579" i="13"/>
  <c r="G7578" i="13"/>
  <c r="G7577" i="13"/>
  <c r="G7576" i="13"/>
  <c r="G7575" i="13"/>
  <c r="G7574" i="13"/>
  <c r="G7573" i="13"/>
  <c r="G7572" i="13"/>
  <c r="G7571" i="13"/>
  <c r="G7570" i="13"/>
  <c r="G7569" i="13"/>
  <c r="G7568" i="13"/>
  <c r="G7567" i="13"/>
  <c r="G7566" i="13"/>
  <c r="G7565" i="13"/>
  <c r="G7564" i="13"/>
  <c r="G7563" i="13"/>
  <c r="G7562" i="13"/>
  <c r="G7561" i="13"/>
  <c r="G7560" i="13"/>
  <c r="G7559" i="13"/>
  <c r="G7558" i="13"/>
  <c r="G7557" i="13"/>
  <c r="G7556" i="13"/>
  <c r="G7555" i="13"/>
  <c r="G7554" i="13"/>
  <c r="G7553" i="13"/>
  <c r="G7552" i="13"/>
  <c r="G7551" i="13"/>
  <c r="G7550" i="13"/>
  <c r="G7549" i="13"/>
  <c r="G7548" i="13"/>
  <c r="G7547" i="13"/>
  <c r="G7546" i="13"/>
  <c r="G7545" i="13"/>
  <c r="G7544" i="13"/>
  <c r="G7543" i="13"/>
  <c r="G7542" i="13"/>
  <c r="G7541" i="13"/>
  <c r="G7540" i="13"/>
  <c r="G7539" i="13"/>
  <c r="G7538" i="13"/>
  <c r="G7537" i="13"/>
  <c r="G7536" i="13"/>
  <c r="G7535" i="13"/>
  <c r="G7534" i="13"/>
  <c r="G7533" i="13"/>
  <c r="G7532" i="13"/>
  <c r="G7531" i="13"/>
  <c r="G7530" i="13"/>
  <c r="G7529" i="13"/>
  <c r="G7528" i="13"/>
  <c r="G7527" i="13"/>
  <c r="G7526" i="13"/>
  <c r="G7525" i="13"/>
  <c r="G7524" i="13"/>
  <c r="G7523" i="13"/>
  <c r="G7522" i="13"/>
  <c r="G7521" i="13"/>
  <c r="G7520" i="13"/>
  <c r="G7519" i="13"/>
  <c r="G7518" i="13"/>
  <c r="G7517" i="13"/>
  <c r="G7516" i="13"/>
  <c r="G7515" i="13"/>
  <c r="G7514" i="13"/>
  <c r="G7513" i="13"/>
  <c r="G7512" i="13"/>
  <c r="G7511" i="13"/>
  <c r="G7510" i="13"/>
  <c r="G7509" i="13"/>
  <c r="G7508" i="13"/>
  <c r="G7507" i="13"/>
  <c r="G7506" i="13"/>
  <c r="G7505" i="13"/>
  <c r="G7504" i="13"/>
  <c r="G7503" i="13"/>
  <c r="G7502" i="13"/>
  <c r="G7501" i="13"/>
  <c r="G7500" i="13"/>
  <c r="G7499" i="13"/>
  <c r="G7498" i="13"/>
  <c r="G7497" i="13"/>
  <c r="G7496" i="13"/>
  <c r="G7495" i="13"/>
  <c r="G7494" i="13"/>
  <c r="G7493" i="13"/>
  <c r="G7492" i="13"/>
  <c r="G7491" i="13"/>
  <c r="G7490" i="13"/>
  <c r="G7489" i="13"/>
  <c r="G7488" i="13"/>
  <c r="G7487" i="13"/>
  <c r="G7486" i="13"/>
  <c r="G7485" i="13"/>
  <c r="G7484" i="13"/>
  <c r="G7483" i="13"/>
  <c r="G7482" i="13"/>
  <c r="G7481" i="13"/>
  <c r="G7480" i="13"/>
  <c r="G7479" i="13"/>
  <c r="G7478" i="13"/>
  <c r="G7477" i="13"/>
  <c r="G7476" i="13"/>
  <c r="G7475" i="13"/>
  <c r="G7474" i="13"/>
  <c r="G7473" i="13"/>
  <c r="G7472" i="13"/>
  <c r="G7471" i="13"/>
  <c r="G7470" i="13"/>
  <c r="G7469" i="13"/>
  <c r="G7468" i="13"/>
  <c r="G7467" i="13"/>
  <c r="G7466" i="13"/>
  <c r="G7465" i="13"/>
  <c r="G7464" i="13"/>
  <c r="G7463" i="13"/>
  <c r="G7462" i="13"/>
  <c r="G7461" i="13"/>
  <c r="G7460" i="13"/>
  <c r="G7459" i="13"/>
  <c r="G7458" i="13"/>
  <c r="G7457" i="13"/>
  <c r="G7456" i="13"/>
  <c r="G7455" i="13"/>
  <c r="G7454" i="13"/>
  <c r="G7453" i="13"/>
  <c r="G7452" i="13"/>
  <c r="G7451" i="13"/>
  <c r="G7450" i="13"/>
  <c r="G7449" i="13"/>
  <c r="G7448" i="13"/>
  <c r="G7447" i="13"/>
  <c r="G7446" i="13"/>
  <c r="G7445" i="13"/>
  <c r="G7444" i="13"/>
  <c r="G7443" i="13"/>
  <c r="G7442" i="13"/>
  <c r="G7441" i="13"/>
  <c r="G7440" i="13"/>
  <c r="G7439" i="13"/>
  <c r="G7438" i="13"/>
  <c r="G7437" i="13"/>
  <c r="G7436" i="13"/>
  <c r="G7435" i="13"/>
  <c r="G7434" i="13"/>
  <c r="G7433" i="13"/>
  <c r="G7432" i="13"/>
  <c r="G7431" i="13"/>
  <c r="G7430" i="13"/>
  <c r="G7429" i="13"/>
  <c r="G7428" i="13"/>
  <c r="G7427" i="13"/>
  <c r="G7426" i="13"/>
  <c r="G7425" i="13"/>
  <c r="G7424" i="13"/>
  <c r="G7423" i="13"/>
  <c r="G7422" i="13"/>
  <c r="G7421" i="13"/>
  <c r="G7420" i="13"/>
  <c r="G7419" i="13"/>
  <c r="G7418" i="13"/>
  <c r="G7417" i="13"/>
  <c r="G7416" i="13"/>
  <c r="G7415" i="13"/>
  <c r="G7414" i="13"/>
  <c r="G7413" i="13"/>
  <c r="G7412" i="13"/>
  <c r="G7411" i="13"/>
  <c r="G7410" i="13"/>
  <c r="G7409" i="13"/>
  <c r="G7408" i="13"/>
  <c r="G7407" i="13"/>
  <c r="G7406" i="13"/>
  <c r="G7405" i="13"/>
  <c r="G7404" i="13"/>
  <c r="G7403" i="13"/>
  <c r="G7402" i="13"/>
  <c r="G7401" i="13"/>
  <c r="G7400" i="13"/>
  <c r="G7399" i="13"/>
  <c r="G7398" i="13"/>
  <c r="G7397" i="13"/>
  <c r="G7396" i="13"/>
  <c r="G7395" i="13"/>
  <c r="G7394" i="13"/>
  <c r="G7393" i="13"/>
  <c r="G7392" i="13"/>
  <c r="G7391" i="13"/>
  <c r="G7390" i="13"/>
  <c r="G7389" i="13"/>
  <c r="G7388" i="13"/>
  <c r="G7387" i="13"/>
  <c r="G7386" i="13"/>
  <c r="G7385" i="13"/>
  <c r="G7384" i="13"/>
  <c r="G7383" i="13"/>
  <c r="G7382" i="13"/>
  <c r="G7381" i="13"/>
  <c r="G7380" i="13"/>
  <c r="G7379" i="13"/>
  <c r="G7378" i="13"/>
  <c r="G7377" i="13"/>
  <c r="G7376" i="13"/>
  <c r="G7375" i="13"/>
  <c r="G7374" i="13"/>
  <c r="G7373" i="13"/>
  <c r="G7372" i="13"/>
  <c r="G7371" i="13"/>
  <c r="G7370" i="13"/>
  <c r="G7369" i="13"/>
  <c r="G7368" i="13"/>
  <c r="G7367" i="13"/>
  <c r="G7366" i="13"/>
  <c r="G7365" i="13"/>
  <c r="G7364" i="13"/>
  <c r="G7363" i="13"/>
  <c r="G7362" i="13"/>
  <c r="G7361" i="13"/>
  <c r="G7360" i="13"/>
  <c r="G7359" i="13"/>
  <c r="G7358" i="13"/>
  <c r="G7357" i="13"/>
  <c r="G7356" i="13"/>
  <c r="G7355" i="13"/>
  <c r="G7354" i="13"/>
  <c r="G7353" i="13"/>
  <c r="G7352" i="13"/>
  <c r="G7351" i="13"/>
  <c r="G7350" i="13"/>
  <c r="G7349" i="13"/>
  <c r="G7348" i="13"/>
  <c r="G7347" i="13"/>
  <c r="G7346" i="13"/>
  <c r="G7345" i="13"/>
  <c r="G7344" i="13"/>
  <c r="G7343" i="13"/>
  <c r="G7342" i="13"/>
  <c r="G7341" i="13"/>
  <c r="G7340" i="13"/>
  <c r="G7339" i="13"/>
  <c r="G7338" i="13"/>
  <c r="G7337" i="13"/>
  <c r="G7336" i="13"/>
  <c r="G7335" i="13"/>
  <c r="G7334" i="13"/>
  <c r="G7333" i="13"/>
  <c r="G7332" i="13"/>
  <c r="G7331" i="13"/>
  <c r="G7330" i="13"/>
  <c r="G7329" i="13"/>
  <c r="G7328" i="13"/>
  <c r="G7327" i="13"/>
  <c r="G7326" i="13"/>
  <c r="G7325" i="13"/>
  <c r="G7324" i="13"/>
  <c r="G7323" i="13"/>
  <c r="G7322" i="13"/>
  <c r="G7321" i="13"/>
  <c r="G7320" i="13"/>
  <c r="G7319" i="13"/>
  <c r="G7318" i="13"/>
  <c r="G7317" i="13"/>
  <c r="G7316" i="13"/>
  <c r="G7315" i="13"/>
  <c r="G7314" i="13"/>
  <c r="G7313" i="13"/>
  <c r="G7312" i="13"/>
  <c r="G7311" i="13"/>
  <c r="G7310" i="13"/>
  <c r="G7309" i="13"/>
  <c r="G7308" i="13"/>
  <c r="G7307" i="13"/>
  <c r="G7306" i="13"/>
  <c r="G7305" i="13"/>
  <c r="G7304" i="13"/>
  <c r="G7303" i="13"/>
  <c r="G7302" i="13"/>
  <c r="G7301" i="13"/>
  <c r="G7300" i="13"/>
  <c r="G7299" i="13"/>
  <c r="G7298" i="13"/>
  <c r="G7297" i="13"/>
  <c r="G7296" i="13"/>
  <c r="G7295" i="13"/>
  <c r="G7294" i="13"/>
  <c r="G7293" i="13"/>
  <c r="G7292" i="13"/>
  <c r="G7291" i="13"/>
  <c r="G7290" i="13"/>
  <c r="G7289" i="13"/>
  <c r="G7288" i="13"/>
  <c r="G7287" i="13"/>
  <c r="G7286" i="13"/>
  <c r="G7285" i="13"/>
  <c r="G7284" i="13"/>
  <c r="G7283" i="13"/>
  <c r="G7282" i="13"/>
  <c r="G7281" i="13"/>
  <c r="G7280" i="13"/>
  <c r="G7279" i="13"/>
  <c r="G7278" i="13"/>
  <c r="G7277" i="13"/>
  <c r="G7276" i="13"/>
  <c r="G7275" i="13"/>
  <c r="G7274" i="13"/>
  <c r="G7273" i="13"/>
  <c r="G7272" i="13"/>
  <c r="G7271" i="13"/>
  <c r="G7270" i="13"/>
  <c r="G7269" i="13"/>
  <c r="G7268" i="13"/>
  <c r="G7267" i="13"/>
  <c r="G7266" i="13"/>
  <c r="G7265" i="13"/>
  <c r="G7264" i="13"/>
  <c r="G7263" i="13"/>
  <c r="G7262" i="13"/>
  <c r="G7261" i="13"/>
  <c r="G7260" i="13"/>
  <c r="G7259" i="13"/>
  <c r="G7258" i="13"/>
  <c r="G7257" i="13"/>
  <c r="G7256" i="13"/>
  <c r="G7255" i="13"/>
  <c r="G7254" i="13"/>
  <c r="G7253" i="13"/>
  <c r="G7252" i="13"/>
  <c r="G7251" i="13"/>
  <c r="G7250" i="13"/>
  <c r="G7249" i="13"/>
  <c r="G7248" i="13"/>
  <c r="G7247" i="13"/>
  <c r="G7246" i="13"/>
  <c r="G7245" i="13"/>
  <c r="G7244" i="13"/>
  <c r="G7243" i="13"/>
  <c r="G7242" i="13"/>
  <c r="G7241" i="13"/>
  <c r="G7240" i="13"/>
  <c r="G7239" i="13"/>
  <c r="G7238" i="13"/>
  <c r="G7237" i="13"/>
  <c r="G7236" i="13"/>
  <c r="G7235" i="13"/>
  <c r="G7234" i="13"/>
  <c r="G7233" i="13"/>
  <c r="G7232" i="13"/>
  <c r="G7231" i="13"/>
  <c r="G7230" i="13"/>
  <c r="G7229" i="13"/>
  <c r="G7228" i="13"/>
  <c r="G7227" i="13"/>
  <c r="G7226" i="13"/>
  <c r="G7225" i="13"/>
  <c r="G7224" i="13"/>
  <c r="G7223" i="13"/>
  <c r="G7222" i="13"/>
  <c r="G7221" i="13"/>
  <c r="G7220" i="13"/>
  <c r="G7219" i="13"/>
  <c r="G7218" i="13"/>
  <c r="G7217" i="13"/>
  <c r="G7216" i="13"/>
  <c r="G7215" i="13"/>
  <c r="G7214" i="13"/>
  <c r="G7213" i="13"/>
  <c r="G7212" i="13"/>
  <c r="G7211" i="13"/>
  <c r="G7210" i="13"/>
  <c r="G7209" i="13"/>
  <c r="G7208" i="13"/>
  <c r="G7207" i="13"/>
  <c r="G7206" i="13"/>
  <c r="G7205" i="13"/>
  <c r="G7204" i="13"/>
  <c r="G7203" i="13"/>
  <c r="G7202" i="13"/>
  <c r="G7201" i="13"/>
  <c r="G7200" i="13"/>
  <c r="G7199" i="13"/>
  <c r="G7198" i="13"/>
  <c r="G7197" i="13"/>
  <c r="G7196" i="13"/>
  <c r="G7195" i="13"/>
  <c r="G7194" i="13"/>
  <c r="G7193" i="13"/>
  <c r="G7192" i="13"/>
  <c r="G7191" i="13"/>
  <c r="G7190" i="13"/>
  <c r="G7189" i="13"/>
  <c r="G7188" i="13"/>
  <c r="G7187" i="13"/>
  <c r="G7186" i="13"/>
  <c r="G7185" i="13"/>
  <c r="G7184" i="13"/>
  <c r="G7183" i="13"/>
  <c r="G7182" i="13"/>
  <c r="G7181" i="13"/>
  <c r="G7180" i="13"/>
  <c r="G7179" i="13"/>
  <c r="G7178" i="13"/>
  <c r="G7177" i="13"/>
  <c r="G7176" i="13"/>
  <c r="G7175" i="13"/>
  <c r="G7174" i="13"/>
  <c r="G7173" i="13"/>
  <c r="G7172" i="13"/>
  <c r="G7171" i="13"/>
  <c r="G7170" i="13"/>
  <c r="G7169" i="13"/>
  <c r="G7168" i="13"/>
  <c r="G7167" i="13"/>
  <c r="G7166" i="13"/>
  <c r="G7165" i="13"/>
  <c r="G7164" i="13"/>
  <c r="G7163" i="13"/>
  <c r="G7162" i="13"/>
  <c r="G7161" i="13"/>
  <c r="G7160" i="13"/>
  <c r="G7159" i="13"/>
  <c r="G7158" i="13"/>
  <c r="G7157" i="13"/>
  <c r="G7156" i="13"/>
  <c r="G7155" i="13"/>
  <c r="G7154" i="13"/>
  <c r="G7153" i="13"/>
  <c r="G7152" i="13"/>
  <c r="G7151" i="13"/>
  <c r="G7150" i="13"/>
  <c r="G7149" i="13"/>
  <c r="G7148" i="13"/>
  <c r="G7147" i="13"/>
  <c r="G7146" i="13"/>
  <c r="G7145" i="13"/>
  <c r="G7144" i="13"/>
  <c r="G7143" i="13"/>
  <c r="G7142" i="13"/>
  <c r="G7141" i="13"/>
  <c r="G7140" i="13"/>
  <c r="G7139" i="13"/>
  <c r="G7138" i="13"/>
  <c r="G7137" i="13"/>
  <c r="G7136" i="13"/>
  <c r="G7135" i="13"/>
  <c r="G7134" i="13"/>
  <c r="G7133" i="13"/>
  <c r="G7132" i="13"/>
  <c r="G7131" i="13"/>
  <c r="G7130" i="13"/>
  <c r="G7129" i="13"/>
  <c r="G7128" i="13"/>
  <c r="G7127" i="13"/>
  <c r="G7126" i="13"/>
  <c r="G7125" i="13"/>
  <c r="G7124" i="13"/>
  <c r="G7123" i="13"/>
  <c r="G7122" i="13"/>
  <c r="G7121" i="13"/>
  <c r="G7120" i="13"/>
  <c r="G7119" i="13"/>
  <c r="G7118" i="13"/>
  <c r="G7117" i="13"/>
  <c r="G7116" i="13"/>
  <c r="G7115" i="13"/>
  <c r="G7114" i="13"/>
  <c r="G7113" i="13"/>
  <c r="G7112" i="13"/>
  <c r="G7111" i="13"/>
  <c r="G7110" i="13"/>
  <c r="G7109" i="13"/>
  <c r="G7108" i="13"/>
  <c r="G7107" i="13"/>
  <c r="G7106" i="13"/>
  <c r="G7105" i="13"/>
  <c r="G7104" i="13"/>
  <c r="G7103" i="13"/>
  <c r="G7102" i="13"/>
  <c r="G7101" i="13"/>
  <c r="G7100" i="13"/>
  <c r="G7099" i="13"/>
  <c r="G7098" i="13"/>
  <c r="G7097" i="13"/>
  <c r="G7096" i="13"/>
  <c r="G7095" i="13"/>
  <c r="G7094" i="13"/>
  <c r="G7093" i="13"/>
  <c r="G7092" i="13"/>
  <c r="G7091" i="13"/>
  <c r="G7090" i="13"/>
  <c r="G7089" i="13"/>
  <c r="G7088" i="13"/>
  <c r="G7087" i="13"/>
  <c r="G7086" i="13"/>
  <c r="G7085" i="13"/>
  <c r="G7084" i="13"/>
  <c r="G7083" i="13"/>
  <c r="G7082" i="13"/>
  <c r="G7081" i="13"/>
  <c r="G7080" i="13"/>
  <c r="G7079" i="13"/>
  <c r="G7078" i="13"/>
  <c r="G7077" i="13"/>
  <c r="G7076" i="13"/>
  <c r="G7075" i="13"/>
  <c r="G7074" i="13"/>
  <c r="G7073" i="13"/>
  <c r="G7072" i="13"/>
  <c r="G7071" i="13"/>
  <c r="G7070" i="13"/>
  <c r="G7069" i="13"/>
  <c r="G7068" i="13"/>
  <c r="G7067" i="13"/>
  <c r="G7066" i="13"/>
  <c r="G7065" i="13"/>
  <c r="G7064" i="13"/>
  <c r="G7063" i="13"/>
  <c r="G7062" i="13"/>
  <c r="G7061" i="13"/>
  <c r="G7060" i="13"/>
  <c r="G7059" i="13"/>
  <c r="G7058" i="13"/>
  <c r="G7057" i="13"/>
  <c r="G7056" i="13"/>
  <c r="G7055" i="13"/>
  <c r="G7054" i="13"/>
  <c r="G7053" i="13"/>
  <c r="G7052" i="13"/>
  <c r="G7051" i="13"/>
  <c r="G7050" i="13"/>
  <c r="G7049" i="13"/>
  <c r="G7048" i="13"/>
  <c r="G7047" i="13"/>
  <c r="G7046" i="13"/>
  <c r="G7045" i="13"/>
  <c r="G7044" i="13"/>
  <c r="G7043" i="13"/>
  <c r="G7042" i="13"/>
  <c r="G7041" i="13"/>
  <c r="G7040" i="13"/>
  <c r="G7039" i="13"/>
  <c r="G7038" i="13"/>
  <c r="G7037" i="13"/>
  <c r="G7036" i="13"/>
  <c r="G7035" i="13"/>
  <c r="G7034" i="13"/>
  <c r="G7033" i="13"/>
  <c r="G7032" i="13"/>
  <c r="G7031" i="13"/>
  <c r="G7030" i="13"/>
  <c r="G7029" i="13"/>
  <c r="G7028" i="13"/>
  <c r="G7027" i="13"/>
  <c r="G7026" i="13"/>
  <c r="G7025" i="13"/>
  <c r="G7024" i="13"/>
  <c r="G7023" i="13"/>
  <c r="G7022" i="13"/>
  <c r="G7021" i="13"/>
  <c r="G7020" i="13"/>
  <c r="G7019" i="13"/>
  <c r="G7018" i="13"/>
  <c r="G7017" i="13"/>
  <c r="G7016" i="13"/>
  <c r="G7015" i="13"/>
  <c r="G7014" i="13"/>
  <c r="G7013" i="13"/>
  <c r="G7012" i="13"/>
  <c r="G7011" i="13"/>
  <c r="G7010" i="13"/>
  <c r="G7009" i="13"/>
  <c r="G7008" i="13"/>
  <c r="G7007" i="13"/>
  <c r="G7006" i="13"/>
  <c r="G7005" i="13"/>
  <c r="G7004" i="13"/>
  <c r="G7003" i="13"/>
  <c r="G7002" i="13"/>
  <c r="G7001" i="13"/>
  <c r="G7000" i="13"/>
  <c r="G6999" i="13"/>
  <c r="G6998" i="13"/>
  <c r="G6997" i="13"/>
  <c r="G6996" i="13"/>
  <c r="G6995" i="13"/>
  <c r="G6994" i="13"/>
  <c r="G6993" i="13"/>
  <c r="G6992" i="13"/>
  <c r="G6991" i="13"/>
  <c r="G6990" i="13"/>
  <c r="G6989" i="13"/>
  <c r="G6988" i="13"/>
  <c r="G6987" i="13"/>
  <c r="G6986" i="13"/>
  <c r="G6985" i="13"/>
  <c r="G6984" i="13"/>
  <c r="G6983" i="13"/>
  <c r="G6982" i="13"/>
  <c r="G6981" i="13"/>
  <c r="G6980" i="13"/>
  <c r="G6979" i="13"/>
  <c r="G6978" i="13"/>
  <c r="G6977" i="13"/>
  <c r="G6976" i="13"/>
  <c r="G6975" i="13"/>
  <c r="G6974" i="13"/>
  <c r="G6973" i="13"/>
  <c r="G6972" i="13"/>
  <c r="G6971" i="13"/>
  <c r="G6970" i="13"/>
  <c r="G6969" i="13"/>
  <c r="G6968" i="13"/>
  <c r="G6967" i="13"/>
  <c r="G6966" i="13"/>
  <c r="G6965" i="13"/>
  <c r="G6964" i="13"/>
  <c r="G6963" i="13"/>
  <c r="G6962" i="13"/>
  <c r="G6961" i="13"/>
  <c r="G6960" i="13"/>
  <c r="G6959" i="13"/>
  <c r="G6958" i="13"/>
  <c r="G6957" i="13"/>
  <c r="G6956" i="13"/>
  <c r="G6955" i="13"/>
  <c r="G6954" i="13"/>
  <c r="G6953" i="13"/>
  <c r="G6952" i="13"/>
  <c r="G6951" i="13"/>
  <c r="G6950" i="13"/>
  <c r="G6949" i="13"/>
  <c r="G6948" i="13"/>
  <c r="G6947" i="13"/>
  <c r="G6946" i="13"/>
  <c r="G6945" i="13"/>
  <c r="G6944" i="13"/>
  <c r="G6943" i="13"/>
  <c r="G6942" i="13"/>
  <c r="G6941" i="13"/>
  <c r="G6940" i="13"/>
  <c r="G6939" i="13"/>
  <c r="G6938" i="13"/>
  <c r="G6937" i="13"/>
  <c r="G6936" i="13"/>
  <c r="G6935" i="13"/>
  <c r="G6934" i="13"/>
  <c r="G6933" i="13"/>
  <c r="G6932" i="13"/>
  <c r="G6931" i="13"/>
  <c r="G6930" i="13"/>
  <c r="G6929" i="13"/>
  <c r="G6928" i="13"/>
  <c r="G6927" i="13"/>
  <c r="G6926" i="13"/>
  <c r="G6925" i="13"/>
  <c r="G6924" i="13"/>
  <c r="G6923" i="13"/>
  <c r="G6922" i="13"/>
  <c r="G6921" i="13"/>
  <c r="G6920" i="13"/>
  <c r="G6919" i="13"/>
  <c r="G6918" i="13"/>
  <c r="G6917" i="13"/>
  <c r="G6916" i="13"/>
  <c r="G6915" i="13"/>
  <c r="G6914" i="13"/>
  <c r="G6913" i="13"/>
  <c r="G6912" i="13"/>
  <c r="G6911" i="13"/>
  <c r="G6910" i="13"/>
  <c r="G6909" i="13"/>
  <c r="G6908" i="13"/>
  <c r="G6907" i="13"/>
  <c r="G6906" i="13"/>
  <c r="G6905" i="13"/>
  <c r="G6904" i="13"/>
  <c r="G6903" i="13"/>
  <c r="G6902" i="13"/>
  <c r="G6901" i="13"/>
  <c r="G6900" i="13"/>
  <c r="G6899" i="13"/>
  <c r="G6898" i="13"/>
  <c r="G6897" i="13"/>
  <c r="G6896" i="13"/>
  <c r="G6895" i="13"/>
  <c r="G6894" i="13"/>
  <c r="G6893" i="13"/>
  <c r="G6892" i="13"/>
  <c r="G6891" i="13"/>
  <c r="G6890" i="13"/>
  <c r="G6889" i="13"/>
  <c r="G6888" i="13"/>
  <c r="G6887" i="13"/>
  <c r="G6886" i="13"/>
  <c r="G6885" i="13"/>
  <c r="G6884" i="13"/>
  <c r="G6883" i="13"/>
  <c r="G6882" i="13"/>
  <c r="G6881" i="13"/>
  <c r="G6880" i="13"/>
  <c r="G6879" i="13"/>
  <c r="G6878" i="13"/>
  <c r="G6877" i="13"/>
  <c r="G6876" i="13"/>
  <c r="G6875" i="13"/>
  <c r="G6874" i="13"/>
  <c r="G6873" i="13"/>
  <c r="G6872" i="13"/>
  <c r="G6871" i="13"/>
  <c r="G6870" i="13"/>
  <c r="G6869" i="13"/>
  <c r="G6868" i="13"/>
  <c r="G6867" i="13"/>
  <c r="G6866" i="13"/>
  <c r="G6865" i="13"/>
  <c r="G6864" i="13"/>
  <c r="G6863" i="13"/>
  <c r="G6862" i="13"/>
  <c r="G6861" i="13"/>
  <c r="G6860" i="13"/>
  <c r="G6859" i="13"/>
  <c r="G6858" i="13"/>
  <c r="G6857" i="13"/>
  <c r="G6856" i="13"/>
  <c r="G6855" i="13"/>
  <c r="G6854" i="13"/>
  <c r="G6853" i="13"/>
  <c r="G6852" i="13"/>
  <c r="G6851" i="13"/>
  <c r="G6850" i="13"/>
  <c r="G6849" i="13"/>
  <c r="G6848" i="13"/>
  <c r="G6847" i="13"/>
  <c r="G6846" i="13"/>
  <c r="G6845" i="13"/>
  <c r="G6844" i="13"/>
  <c r="G6843" i="13"/>
  <c r="G6842" i="13"/>
  <c r="G6841" i="13"/>
  <c r="G6840" i="13"/>
  <c r="G6839" i="13"/>
  <c r="G6838" i="13"/>
  <c r="G6837" i="13"/>
  <c r="G6836" i="13"/>
  <c r="G6835" i="13"/>
  <c r="G6834" i="13"/>
  <c r="G6833" i="13"/>
  <c r="G6832" i="13"/>
  <c r="G6831" i="13"/>
  <c r="G6830" i="13"/>
  <c r="G6829" i="13"/>
  <c r="G6828" i="13"/>
  <c r="G6827" i="13"/>
  <c r="G6826" i="13"/>
  <c r="G6825" i="13"/>
  <c r="G6824" i="13"/>
  <c r="G6823" i="13"/>
  <c r="G6822" i="13"/>
  <c r="G6821" i="13"/>
  <c r="G6820" i="13"/>
  <c r="G6819" i="13"/>
  <c r="G6818" i="13"/>
  <c r="G6817" i="13"/>
  <c r="G6816" i="13"/>
  <c r="G6815" i="13"/>
  <c r="G6814" i="13"/>
  <c r="G6813" i="13"/>
  <c r="G6812" i="13"/>
  <c r="G6811" i="13"/>
  <c r="G6810" i="13"/>
  <c r="G6809" i="13"/>
  <c r="G6808" i="13"/>
  <c r="G6807" i="13"/>
  <c r="G6806" i="13"/>
  <c r="G6805" i="13"/>
  <c r="G6804" i="13"/>
  <c r="G6803" i="13"/>
  <c r="G6802" i="13"/>
  <c r="G6801" i="13"/>
  <c r="G6800" i="13"/>
  <c r="G6799" i="13"/>
  <c r="G6798" i="13"/>
  <c r="G6797" i="13"/>
  <c r="G6796" i="13"/>
  <c r="G6795" i="13"/>
  <c r="G6794" i="13"/>
  <c r="G6793" i="13"/>
  <c r="G6792" i="13"/>
  <c r="G6791" i="13"/>
  <c r="G6790" i="13"/>
  <c r="G6789" i="13"/>
  <c r="G6788" i="13"/>
  <c r="G6787" i="13"/>
  <c r="G6786" i="13"/>
  <c r="G6785" i="13"/>
  <c r="G6784" i="13"/>
  <c r="G6783" i="13"/>
  <c r="G6782" i="13"/>
  <c r="G6781" i="13"/>
  <c r="G6780" i="13"/>
  <c r="G6779" i="13"/>
  <c r="G6778" i="13"/>
  <c r="G6777" i="13"/>
  <c r="G6776" i="13"/>
  <c r="G6775" i="13"/>
  <c r="G6774" i="13"/>
  <c r="G6773" i="13"/>
  <c r="G6772" i="13"/>
  <c r="G6771" i="13"/>
  <c r="G6770" i="13"/>
  <c r="G6769" i="13"/>
  <c r="G6768" i="13"/>
  <c r="G6767" i="13"/>
  <c r="G6766" i="13"/>
  <c r="G6765" i="13"/>
  <c r="G6764" i="13"/>
  <c r="G6763" i="13"/>
  <c r="G6762" i="13"/>
  <c r="G6761" i="13"/>
  <c r="G6760" i="13"/>
  <c r="G6759" i="13"/>
  <c r="G6758" i="13"/>
  <c r="G6757" i="13"/>
  <c r="G6756" i="13"/>
  <c r="G6755" i="13"/>
  <c r="G6754" i="13"/>
  <c r="G6753" i="13"/>
  <c r="G6752" i="13"/>
  <c r="G6751" i="13"/>
  <c r="G6750" i="13"/>
  <c r="G6749" i="13"/>
  <c r="G6748" i="13"/>
  <c r="G6747" i="13"/>
  <c r="G6746" i="13"/>
  <c r="G6745" i="13"/>
  <c r="G6744" i="13"/>
  <c r="G6743" i="13"/>
  <c r="G6742" i="13"/>
  <c r="G6741" i="13"/>
  <c r="G6740" i="13"/>
  <c r="G6739" i="13"/>
  <c r="G6738" i="13"/>
  <c r="G6737" i="13"/>
  <c r="G6736" i="13"/>
  <c r="G6735" i="13"/>
  <c r="G6734" i="13"/>
  <c r="G6733" i="13"/>
  <c r="G6732" i="13"/>
  <c r="G6731" i="13"/>
  <c r="G6730" i="13"/>
  <c r="G6729" i="13"/>
  <c r="G6728" i="13"/>
  <c r="G6727" i="13"/>
  <c r="G6726" i="13"/>
  <c r="G6725" i="13"/>
  <c r="G6724" i="13"/>
  <c r="G6723" i="13"/>
  <c r="G6722" i="13"/>
  <c r="G6721" i="13"/>
  <c r="G6720" i="13"/>
  <c r="G6719" i="13"/>
  <c r="G6718" i="13"/>
  <c r="G6717" i="13"/>
  <c r="G6716" i="13"/>
  <c r="G6715" i="13"/>
  <c r="G6714" i="13"/>
  <c r="G6713" i="13"/>
  <c r="G6712" i="13"/>
  <c r="G6711" i="13"/>
  <c r="G6710" i="13"/>
  <c r="G6709" i="13"/>
  <c r="G6708" i="13"/>
  <c r="G6707" i="13"/>
  <c r="G6706" i="13"/>
  <c r="G6705" i="13"/>
  <c r="G6704" i="13"/>
  <c r="G6703" i="13"/>
  <c r="G6702" i="13"/>
  <c r="G6701" i="13"/>
  <c r="G6700" i="13"/>
  <c r="G6699" i="13"/>
  <c r="G6698" i="13"/>
  <c r="G6697" i="13"/>
  <c r="G6696" i="13"/>
  <c r="G6695" i="13"/>
  <c r="G6694" i="13"/>
  <c r="G6693" i="13"/>
  <c r="G6692" i="13"/>
  <c r="G6691" i="13"/>
  <c r="G6690" i="13"/>
  <c r="G6689" i="13"/>
  <c r="G6688" i="13"/>
  <c r="G6687" i="13"/>
  <c r="G6686" i="13"/>
  <c r="G6685" i="13"/>
  <c r="G6684" i="13"/>
  <c r="G6683" i="13"/>
  <c r="G6682" i="13"/>
  <c r="G6681" i="13"/>
  <c r="G6680" i="13"/>
  <c r="G6679" i="13"/>
  <c r="G6678" i="13"/>
  <c r="G6677" i="13"/>
  <c r="G6676" i="13"/>
  <c r="G6675" i="13"/>
  <c r="G6674" i="13"/>
  <c r="G6673" i="13"/>
  <c r="G6672" i="13"/>
  <c r="G6671" i="13"/>
  <c r="G6670" i="13"/>
  <c r="G6669" i="13"/>
  <c r="G6668" i="13"/>
  <c r="G6667" i="13"/>
  <c r="G6666" i="13"/>
  <c r="G6665" i="13"/>
  <c r="G6664" i="13"/>
  <c r="G6663" i="13"/>
  <c r="G6662" i="13"/>
  <c r="G6661" i="13"/>
  <c r="G6660" i="13"/>
  <c r="G6659" i="13"/>
  <c r="G6658" i="13"/>
  <c r="G6657" i="13"/>
  <c r="G6656" i="13"/>
  <c r="G6655" i="13"/>
  <c r="G6654" i="13"/>
  <c r="G6653" i="13"/>
  <c r="G6652" i="13"/>
  <c r="G6651" i="13"/>
  <c r="G6650" i="13"/>
  <c r="G6649" i="13"/>
  <c r="G6648" i="13"/>
  <c r="G6647" i="13"/>
  <c r="G6646" i="13"/>
  <c r="G6645" i="13"/>
  <c r="G6644" i="13"/>
  <c r="G6643" i="13"/>
  <c r="G6642" i="13"/>
  <c r="G6641" i="13"/>
  <c r="G6640" i="13"/>
  <c r="G6639" i="13"/>
  <c r="G6638" i="13"/>
  <c r="G6637" i="13"/>
  <c r="G6636" i="13"/>
  <c r="G6635" i="13"/>
  <c r="G6634" i="13"/>
  <c r="G6633" i="13"/>
  <c r="G6632" i="13"/>
  <c r="G6631" i="13"/>
  <c r="G6630" i="13"/>
  <c r="G6629" i="13"/>
  <c r="G6628" i="13"/>
  <c r="G6627" i="13"/>
  <c r="G6626" i="13"/>
  <c r="G6625" i="13"/>
  <c r="G6624" i="13"/>
  <c r="G6623" i="13"/>
  <c r="G6622" i="13"/>
  <c r="G6621" i="13"/>
  <c r="G6620" i="13"/>
  <c r="G6619" i="13"/>
  <c r="G6618" i="13"/>
  <c r="G6617" i="13"/>
  <c r="G6616" i="13"/>
  <c r="G6615" i="13"/>
  <c r="G6614" i="13"/>
  <c r="G6613" i="13"/>
  <c r="G6612" i="13"/>
  <c r="G6611" i="13"/>
  <c r="G6610" i="13"/>
  <c r="G6609" i="13"/>
  <c r="G6608" i="13"/>
  <c r="G6607" i="13"/>
  <c r="G6606" i="13"/>
  <c r="G6605" i="13"/>
  <c r="G6604" i="13"/>
  <c r="G6603" i="13"/>
  <c r="G6602" i="13"/>
  <c r="G6601" i="13"/>
  <c r="G6600" i="13"/>
  <c r="G6599" i="13"/>
  <c r="G6598" i="13"/>
  <c r="G6597" i="13"/>
  <c r="G6596" i="13"/>
  <c r="G6595" i="13"/>
  <c r="G6594" i="13"/>
  <c r="G6593" i="13"/>
  <c r="G6592" i="13"/>
  <c r="G6591" i="13"/>
  <c r="G6590" i="13"/>
  <c r="G6589" i="13"/>
  <c r="G6588" i="13"/>
  <c r="G6587" i="13"/>
  <c r="G6586" i="13"/>
  <c r="G6585" i="13"/>
  <c r="G6584" i="13"/>
  <c r="G6583" i="13"/>
  <c r="G6582" i="13"/>
  <c r="G6581" i="13"/>
  <c r="G6580" i="13"/>
  <c r="G6579" i="13"/>
  <c r="G6578" i="13"/>
  <c r="G6577" i="13"/>
  <c r="G6576" i="13"/>
  <c r="G6575" i="13"/>
  <c r="G6574" i="13"/>
  <c r="G6573" i="13"/>
  <c r="G6572" i="13"/>
  <c r="G6571" i="13"/>
  <c r="G6570" i="13"/>
  <c r="G6569" i="13"/>
  <c r="G6568" i="13"/>
  <c r="G6567" i="13"/>
  <c r="G6566" i="13"/>
  <c r="G6565" i="13"/>
  <c r="G6564" i="13"/>
  <c r="G6563" i="13"/>
  <c r="G6562" i="13"/>
  <c r="G6561" i="13"/>
  <c r="G6560" i="13"/>
  <c r="G6559" i="13"/>
  <c r="G6558" i="13"/>
  <c r="G6557" i="13"/>
  <c r="G6556" i="13"/>
  <c r="G6555" i="13"/>
  <c r="G6554" i="13"/>
  <c r="G6553" i="13"/>
  <c r="G6552" i="13"/>
  <c r="G6551" i="13"/>
  <c r="G6550" i="13"/>
  <c r="G6549" i="13"/>
  <c r="G6548" i="13"/>
  <c r="G6547" i="13"/>
  <c r="G6546" i="13"/>
  <c r="G6545" i="13"/>
  <c r="G6544" i="13"/>
  <c r="G6543" i="13"/>
  <c r="G6542" i="13"/>
  <c r="G6541" i="13"/>
  <c r="G6540" i="13"/>
  <c r="G6539" i="13"/>
  <c r="G6538" i="13"/>
  <c r="G6537" i="13"/>
  <c r="G6536" i="13"/>
  <c r="G6535" i="13"/>
  <c r="G6534" i="13"/>
  <c r="G6533" i="13"/>
  <c r="G6532" i="13"/>
  <c r="G6531" i="13"/>
  <c r="G6530" i="13"/>
  <c r="G6529" i="13"/>
  <c r="G6528" i="13"/>
  <c r="G6527" i="13"/>
  <c r="G6526" i="13"/>
  <c r="G6525" i="13"/>
  <c r="G6524" i="13"/>
  <c r="G6523" i="13"/>
  <c r="G6522" i="13"/>
  <c r="G6521" i="13"/>
  <c r="G6520" i="13"/>
  <c r="G6519" i="13"/>
  <c r="G6518" i="13"/>
  <c r="G6517" i="13"/>
  <c r="G6516" i="13"/>
  <c r="G6515" i="13"/>
  <c r="G6514" i="13"/>
  <c r="G6513" i="13"/>
  <c r="G6512" i="13"/>
  <c r="G6511" i="13"/>
  <c r="G6510" i="13"/>
  <c r="G6509" i="13"/>
  <c r="G6508" i="13"/>
  <c r="G6507" i="13"/>
  <c r="G6506" i="13"/>
  <c r="G6505" i="13"/>
  <c r="G6504" i="13"/>
  <c r="G6503" i="13"/>
  <c r="G6502" i="13"/>
  <c r="G6501" i="13"/>
  <c r="G6500" i="13"/>
  <c r="G6499" i="13"/>
  <c r="G6498" i="13"/>
  <c r="G6497" i="13"/>
  <c r="G6496" i="13"/>
  <c r="G6495" i="13"/>
  <c r="G6494" i="13"/>
  <c r="G6493" i="13"/>
  <c r="G6492" i="13"/>
  <c r="G6491" i="13"/>
  <c r="G6490" i="13"/>
  <c r="G6489" i="13"/>
  <c r="G6488" i="13"/>
  <c r="G6487" i="13"/>
  <c r="G6486" i="13"/>
  <c r="G6485" i="13"/>
  <c r="G6484" i="13"/>
  <c r="G6483" i="13"/>
  <c r="G6482" i="13"/>
  <c r="G6481" i="13"/>
  <c r="G6480" i="13"/>
  <c r="G6479" i="13"/>
  <c r="G6478" i="13"/>
  <c r="G6477" i="13"/>
  <c r="G6476" i="13"/>
  <c r="G6475" i="13"/>
  <c r="G6474" i="13"/>
  <c r="G6473" i="13"/>
  <c r="G6472" i="13"/>
  <c r="G6471" i="13"/>
  <c r="G6470" i="13"/>
  <c r="G6469" i="13"/>
  <c r="G6468" i="13"/>
  <c r="G6467" i="13"/>
  <c r="G6466" i="13"/>
  <c r="G6465" i="13"/>
  <c r="G6464" i="13"/>
  <c r="G6463" i="13"/>
  <c r="G6462" i="13"/>
  <c r="G6461" i="13"/>
  <c r="G6460" i="13"/>
  <c r="G6459" i="13"/>
  <c r="G6458" i="13"/>
  <c r="G6457" i="13"/>
  <c r="G6456" i="13"/>
  <c r="G6455" i="13"/>
  <c r="G6454" i="13"/>
  <c r="G6453" i="13"/>
  <c r="G6452" i="13"/>
  <c r="G6451" i="13"/>
  <c r="G6450" i="13"/>
  <c r="G6449" i="13"/>
  <c r="G6448" i="13"/>
  <c r="G6447" i="13"/>
  <c r="G6446" i="13"/>
  <c r="G6445" i="13"/>
  <c r="G6444" i="13"/>
  <c r="G6443" i="13"/>
  <c r="G6442" i="13"/>
  <c r="G6441" i="13"/>
  <c r="G6440" i="13"/>
  <c r="G6439" i="13"/>
  <c r="G6438" i="13"/>
  <c r="G6437" i="13"/>
  <c r="G6436" i="13"/>
  <c r="G6435" i="13"/>
  <c r="G6434" i="13"/>
  <c r="G6433" i="13"/>
  <c r="G6432" i="13"/>
  <c r="G6431" i="13"/>
  <c r="G6430" i="13"/>
  <c r="G6429" i="13"/>
  <c r="G6428" i="13"/>
  <c r="G6427" i="13"/>
  <c r="G6426" i="13"/>
  <c r="G6425" i="13"/>
  <c r="G6424" i="13"/>
  <c r="G6423" i="13"/>
  <c r="G6422" i="13"/>
  <c r="G6421" i="13"/>
  <c r="G6420" i="13"/>
  <c r="G6419" i="13"/>
  <c r="G6418" i="13"/>
  <c r="G6417" i="13"/>
  <c r="G6416" i="13"/>
  <c r="G6415" i="13"/>
  <c r="G6414" i="13"/>
  <c r="G6413" i="13"/>
  <c r="G6412" i="13"/>
  <c r="G6411" i="13"/>
  <c r="G6410" i="13"/>
  <c r="G6409" i="13"/>
  <c r="G6408" i="13"/>
  <c r="G6407" i="13"/>
  <c r="G6406" i="13"/>
  <c r="G6405" i="13"/>
  <c r="G6404" i="13"/>
  <c r="G6403" i="13"/>
  <c r="G6402" i="13"/>
  <c r="G6401" i="13"/>
  <c r="G6400" i="13"/>
  <c r="G6399" i="13"/>
  <c r="G6398" i="13"/>
  <c r="G6397" i="13"/>
  <c r="G6396" i="13"/>
  <c r="G6395" i="13"/>
  <c r="G6394" i="13"/>
  <c r="G6393" i="13"/>
  <c r="G6392" i="13"/>
  <c r="G6391" i="13"/>
  <c r="G6390" i="13"/>
  <c r="G6389" i="13"/>
  <c r="G6388" i="13"/>
  <c r="G6387" i="13"/>
  <c r="G6386" i="13"/>
  <c r="G6385" i="13"/>
  <c r="G6384" i="13"/>
  <c r="G6383" i="13"/>
  <c r="G6382" i="13"/>
  <c r="G6381" i="13"/>
  <c r="G6380" i="13"/>
  <c r="G6379" i="13"/>
  <c r="G6378" i="13"/>
  <c r="G6377" i="13"/>
  <c r="G6376" i="13"/>
  <c r="G6375" i="13"/>
  <c r="G6374" i="13"/>
  <c r="G6373" i="13"/>
  <c r="G6372" i="13"/>
  <c r="G6371" i="13"/>
  <c r="G6370" i="13"/>
  <c r="G6369" i="13"/>
  <c r="G6368" i="13"/>
  <c r="G6367" i="13"/>
  <c r="G6366" i="13"/>
  <c r="G6365" i="13"/>
  <c r="G6364" i="13"/>
  <c r="G6363" i="13"/>
  <c r="G6362" i="13"/>
  <c r="G6361" i="13"/>
  <c r="G6360" i="13"/>
  <c r="G6359" i="13"/>
  <c r="G6358" i="13"/>
  <c r="G6357" i="13"/>
  <c r="G6356" i="13"/>
  <c r="G6355" i="13"/>
  <c r="G6354" i="13"/>
  <c r="G6353" i="13"/>
  <c r="G6352" i="13"/>
  <c r="G6351" i="13"/>
  <c r="G6350" i="13"/>
  <c r="G6349" i="13"/>
  <c r="G6348" i="13"/>
  <c r="G6347" i="13"/>
  <c r="G6346" i="13"/>
  <c r="G6345" i="13"/>
  <c r="G6344" i="13"/>
  <c r="G6343" i="13"/>
  <c r="G6342" i="13"/>
  <c r="G6341" i="13"/>
  <c r="G6340" i="13"/>
  <c r="G6339" i="13"/>
  <c r="G6338" i="13"/>
  <c r="G6337" i="13"/>
  <c r="G6336" i="13"/>
  <c r="G6335" i="13"/>
  <c r="G6334" i="13"/>
  <c r="G6333" i="13"/>
  <c r="G6332" i="13"/>
  <c r="G6331" i="13"/>
  <c r="G6330" i="13"/>
  <c r="G6329" i="13"/>
  <c r="G6328" i="13"/>
  <c r="G6327" i="13"/>
  <c r="G6326" i="13"/>
  <c r="G6325" i="13"/>
  <c r="G6324" i="13"/>
  <c r="G6323" i="13"/>
  <c r="G6322" i="13"/>
  <c r="G6321" i="13"/>
  <c r="G6320" i="13"/>
  <c r="G6319" i="13"/>
  <c r="G6318" i="13"/>
  <c r="G6317" i="13"/>
  <c r="G6316" i="13"/>
  <c r="G6315" i="13"/>
  <c r="G6314" i="13"/>
  <c r="G6313" i="13"/>
  <c r="G6312" i="13"/>
  <c r="G6311" i="13"/>
  <c r="G6310" i="13"/>
  <c r="G6309" i="13"/>
  <c r="G6308" i="13"/>
  <c r="G6307" i="13"/>
  <c r="G6306" i="13"/>
  <c r="G6305" i="13"/>
  <c r="G6304" i="13"/>
  <c r="G6303" i="13"/>
  <c r="G6302" i="13"/>
  <c r="G6301" i="13"/>
  <c r="G6300" i="13"/>
  <c r="G6299" i="13"/>
  <c r="G6298" i="13"/>
  <c r="G6297" i="13"/>
  <c r="G6296" i="13"/>
  <c r="G6295" i="13"/>
  <c r="G6294" i="13"/>
  <c r="G6293" i="13"/>
  <c r="G6292" i="13"/>
  <c r="G6291" i="13"/>
  <c r="G6290" i="13"/>
  <c r="G6289" i="13"/>
  <c r="G6288" i="13"/>
  <c r="G6287" i="13"/>
  <c r="G6286" i="13"/>
  <c r="G6285" i="13"/>
  <c r="G6284" i="13"/>
  <c r="G6283" i="13"/>
  <c r="G6282" i="13"/>
  <c r="G6281" i="13"/>
  <c r="G6280" i="13"/>
  <c r="G6279" i="13"/>
  <c r="G6278" i="13"/>
  <c r="G6277" i="13"/>
  <c r="G6276" i="13"/>
  <c r="G6275" i="13"/>
  <c r="G6274" i="13"/>
  <c r="G6273" i="13"/>
  <c r="G6272" i="13"/>
  <c r="G6271" i="13"/>
  <c r="G6270" i="13"/>
  <c r="G6269" i="13"/>
  <c r="G6268" i="13"/>
  <c r="G6267" i="13"/>
  <c r="G6266" i="13"/>
  <c r="G6265" i="13"/>
  <c r="G6264" i="13"/>
  <c r="G6263" i="13"/>
  <c r="G6262" i="13"/>
  <c r="G6261" i="13"/>
  <c r="G6260" i="13"/>
  <c r="G6259" i="13"/>
  <c r="G6258" i="13"/>
  <c r="G6257" i="13"/>
  <c r="G6256" i="13"/>
  <c r="G6255" i="13"/>
  <c r="G6254" i="13"/>
  <c r="G6253" i="13"/>
  <c r="G6252" i="13"/>
  <c r="G6251" i="13"/>
  <c r="G6250" i="13"/>
  <c r="G6249" i="13"/>
  <c r="G6248" i="13"/>
  <c r="G6247" i="13"/>
  <c r="G6246" i="13"/>
  <c r="G6245" i="13"/>
  <c r="G6244" i="13"/>
  <c r="G6243" i="13"/>
  <c r="G6242" i="13"/>
  <c r="G6241" i="13"/>
  <c r="G6240" i="13"/>
  <c r="G6239" i="13"/>
  <c r="G6238" i="13"/>
  <c r="G6237" i="13"/>
  <c r="G6236" i="13"/>
  <c r="G6235" i="13"/>
  <c r="G6234" i="13"/>
  <c r="G6233" i="13"/>
  <c r="G6232" i="13"/>
  <c r="G6231" i="13"/>
  <c r="G6230" i="13"/>
  <c r="G6229" i="13"/>
  <c r="G6228" i="13"/>
  <c r="G6227" i="13"/>
  <c r="G6226" i="13"/>
  <c r="G6225" i="13"/>
  <c r="G6224" i="13"/>
  <c r="G6223" i="13"/>
  <c r="G6222" i="13"/>
  <c r="G6221" i="13"/>
  <c r="G6220" i="13"/>
  <c r="G6219" i="13"/>
  <c r="G6218" i="13"/>
  <c r="G6217" i="13"/>
  <c r="G6216" i="13"/>
  <c r="G6215" i="13"/>
  <c r="G6214" i="13"/>
  <c r="G6213" i="13"/>
  <c r="G6212" i="13"/>
  <c r="G6211" i="13"/>
  <c r="G6210" i="13"/>
  <c r="G6209" i="13"/>
  <c r="G6208" i="13"/>
  <c r="G6207" i="13"/>
  <c r="G6206" i="13"/>
  <c r="G6205" i="13"/>
  <c r="G6204" i="13"/>
  <c r="G6203" i="13"/>
  <c r="G6202" i="13"/>
  <c r="G6201" i="13"/>
  <c r="G6200" i="13"/>
  <c r="G6199" i="13"/>
  <c r="G6198" i="13"/>
  <c r="G6197" i="13"/>
  <c r="G6196" i="13"/>
  <c r="G6195" i="13"/>
  <c r="G6194" i="13"/>
  <c r="G6193" i="13"/>
  <c r="G6192" i="13"/>
  <c r="G6191" i="13"/>
  <c r="G6190" i="13"/>
  <c r="G6189" i="13"/>
  <c r="G6188" i="13"/>
  <c r="G6187" i="13"/>
  <c r="G6186" i="13"/>
  <c r="G6185" i="13"/>
  <c r="G6184" i="13"/>
  <c r="G6183" i="13"/>
  <c r="G6182" i="13"/>
  <c r="G6181" i="13"/>
  <c r="G6180" i="13"/>
  <c r="G6179" i="13"/>
  <c r="G6178" i="13"/>
  <c r="G6177" i="13"/>
  <c r="G6176" i="13"/>
  <c r="G6175" i="13"/>
  <c r="G6174" i="13"/>
  <c r="G6173" i="13"/>
  <c r="G6172" i="13"/>
  <c r="G6171" i="13"/>
  <c r="G6170" i="13"/>
  <c r="G6169" i="13"/>
  <c r="G6168" i="13"/>
  <c r="G6167" i="13"/>
  <c r="G6166" i="13"/>
  <c r="G6165" i="13"/>
  <c r="G6164" i="13"/>
  <c r="G6163" i="13"/>
  <c r="G6162" i="13"/>
  <c r="G6161" i="13"/>
  <c r="G6160" i="13"/>
  <c r="G6159" i="13"/>
  <c r="G6158" i="13"/>
  <c r="G6157" i="13"/>
  <c r="G6156" i="13"/>
  <c r="G6155" i="13"/>
  <c r="G6154" i="13"/>
  <c r="G6153" i="13"/>
  <c r="G6152" i="13"/>
  <c r="G6151" i="13"/>
  <c r="G6150" i="13"/>
  <c r="G6149" i="13"/>
  <c r="G6148" i="13"/>
  <c r="G6147" i="13"/>
  <c r="G6146" i="13"/>
  <c r="G6145" i="13"/>
  <c r="G6144" i="13"/>
  <c r="G6143" i="13"/>
  <c r="G6142" i="13"/>
  <c r="G6141" i="13"/>
  <c r="G6140" i="13"/>
  <c r="G6139" i="13"/>
  <c r="G6138" i="13"/>
  <c r="G6137" i="13"/>
  <c r="G6136" i="13"/>
  <c r="G6135" i="13"/>
  <c r="G6134" i="13"/>
  <c r="G6133" i="13"/>
  <c r="G6132" i="13"/>
  <c r="G6131" i="13"/>
  <c r="G6130" i="13"/>
  <c r="G6129" i="13"/>
  <c r="G6128" i="13"/>
  <c r="G6127" i="13"/>
  <c r="G6126" i="13"/>
  <c r="G6125" i="13"/>
  <c r="G6124" i="13"/>
  <c r="G6123" i="13"/>
  <c r="G6122" i="13"/>
  <c r="G6121" i="13"/>
  <c r="G6120" i="13"/>
  <c r="G6119" i="13"/>
  <c r="G6118" i="13"/>
  <c r="G6117" i="13"/>
  <c r="G6116" i="13"/>
  <c r="G6115" i="13"/>
  <c r="G6114" i="13"/>
  <c r="G6113" i="13"/>
  <c r="G6112" i="13"/>
  <c r="G6111" i="13"/>
  <c r="G6110" i="13"/>
  <c r="G6109" i="13"/>
  <c r="G6108" i="13"/>
  <c r="G6107" i="13"/>
  <c r="G6106" i="13"/>
  <c r="G6105" i="13"/>
  <c r="G6104" i="13"/>
  <c r="G6103" i="13"/>
  <c r="G6102" i="13"/>
  <c r="G6101" i="13"/>
  <c r="G6100" i="13"/>
  <c r="G6099" i="13"/>
  <c r="G6098" i="13"/>
  <c r="G6097" i="13"/>
  <c r="G6096" i="13"/>
  <c r="G6095" i="13"/>
  <c r="G6094" i="13"/>
  <c r="G6093" i="13"/>
  <c r="G6092" i="13"/>
  <c r="G6091" i="13"/>
  <c r="G6090" i="13"/>
  <c r="G6089" i="13"/>
  <c r="G6088" i="13"/>
  <c r="G6087" i="13"/>
  <c r="G6086" i="13"/>
  <c r="G6085" i="13"/>
  <c r="G6084" i="13"/>
  <c r="G6083" i="13"/>
  <c r="G6082" i="13"/>
  <c r="G6081" i="13"/>
  <c r="G6080" i="13"/>
  <c r="G6079" i="13"/>
  <c r="G6078" i="13"/>
  <c r="G6077" i="13"/>
  <c r="G6076" i="13"/>
  <c r="G6075" i="13"/>
  <c r="G6074" i="13"/>
  <c r="G6073" i="13"/>
  <c r="G6072" i="13"/>
  <c r="G6071" i="13"/>
  <c r="G6070" i="13"/>
  <c r="G6069" i="13"/>
  <c r="G6068" i="13"/>
  <c r="G6067" i="13"/>
  <c r="G6066" i="13"/>
  <c r="G6065" i="13"/>
  <c r="G6064" i="13"/>
  <c r="G6063" i="13"/>
  <c r="G6062" i="13"/>
  <c r="G6061" i="13"/>
  <c r="G6060" i="13"/>
  <c r="G6059" i="13"/>
  <c r="G6058" i="13"/>
  <c r="G6057" i="13"/>
  <c r="G6056" i="13"/>
  <c r="G6055" i="13"/>
  <c r="G6054" i="13"/>
  <c r="G6053" i="13"/>
  <c r="G6052" i="13"/>
  <c r="G6051" i="13"/>
  <c r="G6050" i="13"/>
  <c r="G6049" i="13"/>
  <c r="G6048" i="13"/>
  <c r="G6047" i="13"/>
  <c r="G6046" i="13"/>
  <c r="G6045" i="13"/>
  <c r="G6044" i="13"/>
  <c r="G6043" i="13"/>
  <c r="G6042" i="13"/>
  <c r="G6041" i="13"/>
  <c r="G6040" i="13"/>
  <c r="G6039" i="13"/>
  <c r="G6038" i="13"/>
  <c r="G6037" i="13"/>
  <c r="G6036" i="13"/>
  <c r="G6035" i="13"/>
  <c r="G6034" i="13"/>
  <c r="G6033" i="13"/>
  <c r="G6032" i="13"/>
  <c r="G6031" i="13"/>
  <c r="G6030" i="13"/>
  <c r="G6029" i="13"/>
  <c r="G6028" i="13"/>
  <c r="G6027" i="13"/>
  <c r="G6026" i="13"/>
  <c r="G6025" i="13"/>
  <c r="G6024" i="13"/>
  <c r="G6023" i="13"/>
  <c r="G6022" i="13"/>
  <c r="G6021" i="13"/>
  <c r="G6020" i="13"/>
  <c r="G6019" i="13"/>
  <c r="G6018" i="13"/>
  <c r="G6017" i="13"/>
  <c r="G6016" i="13"/>
  <c r="G6015" i="13"/>
  <c r="G6014" i="13"/>
  <c r="G6013" i="13"/>
  <c r="G6012" i="13"/>
  <c r="G6011" i="13"/>
  <c r="G6010" i="13"/>
  <c r="G6009" i="13"/>
  <c r="G6008" i="13"/>
  <c r="G6007" i="13"/>
  <c r="G6006" i="13"/>
  <c r="G6005" i="13"/>
  <c r="G6004" i="13"/>
  <c r="G6003" i="13"/>
  <c r="G6002" i="13"/>
  <c r="G6001" i="13"/>
  <c r="G6000" i="13"/>
  <c r="G5999" i="13"/>
  <c r="G5998" i="13"/>
  <c r="G5997" i="13"/>
  <c r="G5996" i="13"/>
  <c r="G5995" i="13"/>
  <c r="G5994" i="13"/>
  <c r="G5993" i="13"/>
  <c r="G5992" i="13"/>
  <c r="G5991" i="13"/>
  <c r="G5990" i="13"/>
  <c r="G5989" i="13"/>
  <c r="G5988" i="13"/>
  <c r="G5987" i="13"/>
  <c r="G5986" i="13"/>
  <c r="G5985" i="13"/>
  <c r="G5984" i="13"/>
  <c r="G5983" i="13"/>
  <c r="G5982" i="13"/>
  <c r="G5981" i="13"/>
  <c r="G5980" i="13"/>
  <c r="G5979" i="13"/>
  <c r="G5978" i="13"/>
  <c r="G5977" i="13"/>
  <c r="G5976" i="13"/>
  <c r="G5975" i="13"/>
  <c r="G5974" i="13"/>
  <c r="G5973" i="13"/>
  <c r="G5972" i="13"/>
  <c r="G5971" i="13"/>
  <c r="G5970" i="13"/>
  <c r="G5969" i="13"/>
  <c r="G5968" i="13"/>
  <c r="G5967" i="13"/>
  <c r="G5966" i="13"/>
  <c r="G5965" i="13"/>
  <c r="G5964" i="13"/>
  <c r="G5963" i="13"/>
  <c r="G5962" i="13"/>
  <c r="G5961" i="13"/>
  <c r="G5960" i="13"/>
  <c r="G5959" i="13"/>
  <c r="G5958" i="13"/>
  <c r="G5957" i="13"/>
  <c r="G5956" i="13"/>
  <c r="G5955" i="13"/>
  <c r="G5954" i="13"/>
  <c r="G5953" i="13"/>
  <c r="G5952" i="13"/>
  <c r="G5951" i="13"/>
  <c r="G5950" i="13"/>
  <c r="G5949" i="13"/>
  <c r="G5948" i="13"/>
  <c r="G5947" i="13"/>
  <c r="G5946" i="13"/>
  <c r="G5945" i="13"/>
  <c r="G5944" i="13"/>
  <c r="G5943" i="13"/>
  <c r="G5942" i="13"/>
  <c r="G5941" i="13"/>
  <c r="G5940" i="13"/>
  <c r="G5939" i="13"/>
  <c r="G5938" i="13"/>
  <c r="G5937" i="13"/>
  <c r="G5936" i="13"/>
  <c r="G5935" i="13"/>
  <c r="G5934" i="13"/>
  <c r="G5933" i="13"/>
  <c r="G5932" i="13"/>
  <c r="G5931" i="13"/>
  <c r="G5930" i="13"/>
  <c r="G5929" i="13"/>
  <c r="G5928" i="13"/>
  <c r="G5927" i="13"/>
  <c r="G5926" i="13"/>
  <c r="G5925" i="13"/>
  <c r="G5924" i="13"/>
  <c r="G5923" i="13"/>
  <c r="G5922" i="13"/>
  <c r="G5921" i="13"/>
  <c r="G5920" i="13"/>
  <c r="G5919" i="13"/>
  <c r="G5918" i="13"/>
  <c r="G5917" i="13"/>
  <c r="G5916" i="13"/>
  <c r="G5915" i="13"/>
  <c r="G5914" i="13"/>
  <c r="G5913" i="13"/>
  <c r="G5912" i="13"/>
  <c r="G5911" i="13"/>
  <c r="G5910" i="13"/>
  <c r="G5909" i="13"/>
  <c r="G5908" i="13"/>
  <c r="G5907" i="13"/>
  <c r="G5906" i="13"/>
  <c r="G5905" i="13"/>
  <c r="G5904" i="13"/>
  <c r="G5903" i="13"/>
  <c r="G5902" i="13"/>
  <c r="G5901" i="13"/>
  <c r="G5900" i="13"/>
  <c r="G5899" i="13"/>
  <c r="G5898" i="13"/>
  <c r="G5897" i="13"/>
  <c r="G5896" i="13"/>
  <c r="G5895" i="13"/>
  <c r="G5894" i="13"/>
  <c r="G5893" i="13"/>
  <c r="G5892" i="13"/>
  <c r="G5891" i="13"/>
  <c r="G5890" i="13"/>
  <c r="G5889" i="13"/>
  <c r="G5888" i="13"/>
  <c r="G5887" i="13"/>
  <c r="G5886" i="13"/>
  <c r="G5885" i="13"/>
  <c r="G5884" i="13"/>
  <c r="G5883" i="13"/>
  <c r="G5882" i="13"/>
  <c r="G5881" i="13"/>
  <c r="G5880" i="13"/>
  <c r="G5879" i="13"/>
  <c r="G5878" i="13"/>
  <c r="G5877" i="13"/>
  <c r="G5876" i="13"/>
  <c r="G5875" i="13"/>
  <c r="G5874" i="13"/>
  <c r="G5873" i="13"/>
  <c r="G5872" i="13"/>
  <c r="G5871" i="13"/>
  <c r="G5870" i="13"/>
  <c r="G5869" i="13"/>
  <c r="G5868" i="13"/>
  <c r="G5867" i="13"/>
  <c r="G5866" i="13"/>
  <c r="G5865" i="13"/>
  <c r="G5864" i="13"/>
  <c r="G5863" i="13"/>
  <c r="G5862" i="13"/>
  <c r="G5861" i="13"/>
  <c r="G5860" i="13"/>
  <c r="G5859" i="13"/>
  <c r="G5858" i="13"/>
  <c r="G5857" i="13"/>
  <c r="G5856" i="13"/>
  <c r="G5855" i="13"/>
  <c r="G5854" i="13"/>
  <c r="G5853" i="13"/>
  <c r="G5852" i="13"/>
  <c r="G5851" i="13"/>
  <c r="G5850" i="13"/>
  <c r="G5849" i="13"/>
  <c r="G5848" i="13"/>
  <c r="G5847" i="13"/>
  <c r="G5846" i="13"/>
  <c r="G5845" i="13"/>
  <c r="G5844" i="13"/>
  <c r="G5843" i="13"/>
  <c r="G5842" i="13"/>
  <c r="G5841" i="13"/>
  <c r="G5840" i="13"/>
  <c r="G5839" i="13"/>
  <c r="G5838" i="13"/>
  <c r="G5837" i="13"/>
  <c r="G5836" i="13"/>
  <c r="G5835" i="13"/>
  <c r="G5834" i="13"/>
  <c r="G5833" i="13"/>
  <c r="G5832" i="13"/>
  <c r="G5831" i="13"/>
  <c r="G5830" i="13"/>
  <c r="G5829" i="13"/>
  <c r="G5828" i="13"/>
  <c r="G5827" i="13"/>
  <c r="G5826" i="13"/>
  <c r="G5825" i="13"/>
  <c r="G5824" i="13"/>
  <c r="G5823" i="13"/>
  <c r="G5822" i="13"/>
  <c r="G5821" i="13"/>
  <c r="G5820" i="13"/>
  <c r="G5819" i="13"/>
  <c r="G5818" i="13"/>
  <c r="G5817" i="13"/>
  <c r="G5816" i="13"/>
  <c r="G5815" i="13"/>
  <c r="G5814" i="13"/>
  <c r="G5813" i="13"/>
  <c r="G5812" i="13"/>
  <c r="G5811" i="13"/>
  <c r="G5810" i="13"/>
  <c r="G5809" i="13"/>
  <c r="G5808" i="13"/>
  <c r="G5807" i="13"/>
  <c r="G5806" i="13"/>
  <c r="G5805" i="13"/>
  <c r="G5804" i="13"/>
  <c r="G5803" i="13"/>
  <c r="G5802" i="13"/>
  <c r="G5801" i="13"/>
  <c r="G5800" i="13"/>
  <c r="G5799" i="13"/>
  <c r="G5798" i="13"/>
  <c r="G5797" i="13"/>
  <c r="G5796" i="13"/>
  <c r="G5795" i="13"/>
  <c r="G5794" i="13"/>
  <c r="G5793" i="13"/>
  <c r="G5792" i="13"/>
  <c r="G5791" i="13"/>
  <c r="G5790" i="13"/>
  <c r="G5789" i="13"/>
  <c r="G5788" i="13"/>
  <c r="G5787" i="13"/>
  <c r="G5786" i="13"/>
  <c r="G5785" i="13"/>
  <c r="G5784" i="13"/>
  <c r="G5783" i="13"/>
  <c r="G5782" i="13"/>
  <c r="G5781" i="13"/>
  <c r="G5780" i="13"/>
  <c r="G5779" i="13"/>
  <c r="G5778" i="13"/>
  <c r="G5777" i="13"/>
  <c r="G5776" i="13"/>
  <c r="G5775" i="13"/>
  <c r="G5774" i="13"/>
  <c r="G5773" i="13"/>
  <c r="G5772" i="13"/>
  <c r="G5771" i="13"/>
  <c r="G5770" i="13"/>
  <c r="G5769" i="13"/>
  <c r="G5768" i="13"/>
  <c r="G5767" i="13"/>
  <c r="G5766" i="13"/>
  <c r="G5765" i="13"/>
  <c r="G5764" i="13"/>
  <c r="G5763" i="13"/>
  <c r="G5762" i="13"/>
  <c r="G5761" i="13"/>
  <c r="G5760" i="13"/>
  <c r="G5759" i="13"/>
  <c r="G5758" i="13"/>
  <c r="G5757" i="13"/>
  <c r="G5756" i="13"/>
  <c r="G5755" i="13"/>
  <c r="G5754" i="13"/>
  <c r="G5753" i="13"/>
  <c r="G5752" i="13"/>
  <c r="G5751" i="13"/>
  <c r="G5750" i="13"/>
  <c r="G5749" i="13"/>
  <c r="G5748" i="13"/>
  <c r="G5747" i="13"/>
  <c r="G5746" i="13"/>
  <c r="G5745" i="13"/>
  <c r="G5744" i="13"/>
  <c r="G5743" i="13"/>
  <c r="G5742" i="13"/>
  <c r="G5741" i="13"/>
  <c r="G5740" i="13"/>
  <c r="G5739" i="13"/>
  <c r="G5738" i="13"/>
  <c r="G5737" i="13"/>
  <c r="G5736" i="13"/>
  <c r="G5735" i="13"/>
  <c r="G5734" i="13"/>
  <c r="G5733" i="13"/>
  <c r="G5732" i="13"/>
  <c r="G5731" i="13"/>
  <c r="G5730" i="13"/>
  <c r="G5729" i="13"/>
  <c r="G5728" i="13"/>
  <c r="G5727" i="13"/>
  <c r="G5726" i="13"/>
  <c r="G5725" i="13"/>
  <c r="G5724" i="13"/>
  <c r="G5723" i="13"/>
  <c r="G5722" i="13"/>
  <c r="G5721" i="13"/>
  <c r="G5720" i="13"/>
  <c r="G5719" i="13"/>
  <c r="G5718" i="13"/>
  <c r="G5717" i="13"/>
  <c r="G5716" i="13"/>
  <c r="G5715" i="13"/>
  <c r="G5714" i="13"/>
  <c r="G5713" i="13"/>
  <c r="G5712" i="13"/>
  <c r="G5711" i="13"/>
  <c r="G5710" i="13"/>
  <c r="G5709" i="13"/>
  <c r="G5708" i="13"/>
  <c r="G5707" i="13"/>
  <c r="G5706" i="13"/>
  <c r="G5705" i="13"/>
  <c r="G5704" i="13"/>
  <c r="G5703" i="13"/>
  <c r="G5702" i="13"/>
  <c r="G5701" i="13"/>
  <c r="G5700" i="13"/>
  <c r="G5699" i="13"/>
  <c r="G5698" i="13"/>
  <c r="G5697" i="13"/>
  <c r="G5696" i="13"/>
  <c r="G5695" i="13"/>
  <c r="G5694" i="13"/>
  <c r="G5693" i="13"/>
  <c r="G5692" i="13"/>
  <c r="G5691" i="13"/>
  <c r="G5690" i="13"/>
  <c r="G5689" i="13"/>
  <c r="G5688" i="13"/>
  <c r="G5687" i="13"/>
  <c r="G5686" i="13"/>
  <c r="G5685" i="13"/>
  <c r="G5684" i="13"/>
  <c r="G5683" i="13"/>
  <c r="G5682" i="13"/>
  <c r="G5681" i="13"/>
  <c r="G5680" i="13"/>
  <c r="G5679" i="13"/>
  <c r="G5678" i="13"/>
  <c r="G5677" i="13"/>
  <c r="G5676" i="13"/>
  <c r="G5675" i="13"/>
  <c r="G5674" i="13"/>
  <c r="G5673" i="13"/>
  <c r="G5672" i="13"/>
  <c r="G5671" i="13"/>
  <c r="G5670" i="13"/>
  <c r="G5669" i="13"/>
  <c r="G5668" i="13"/>
  <c r="G5667" i="13"/>
  <c r="G5666" i="13"/>
  <c r="G5665" i="13"/>
  <c r="G5664" i="13"/>
  <c r="G5663" i="13"/>
  <c r="G5662" i="13"/>
  <c r="G5661" i="13"/>
  <c r="G5660" i="13"/>
  <c r="G5659" i="13"/>
  <c r="G5658" i="13"/>
  <c r="G5657" i="13"/>
  <c r="G5656" i="13"/>
  <c r="G5655" i="13"/>
  <c r="G5654" i="13"/>
  <c r="G5653" i="13"/>
  <c r="G5652" i="13"/>
  <c r="G5651" i="13"/>
  <c r="G5650" i="13"/>
  <c r="G5649" i="13"/>
  <c r="G5648" i="13"/>
  <c r="G5647" i="13"/>
  <c r="G5646" i="13"/>
  <c r="G5645" i="13"/>
  <c r="G5644" i="13"/>
  <c r="G5643" i="13"/>
  <c r="G5642" i="13"/>
  <c r="G5641" i="13"/>
  <c r="G5640" i="13"/>
  <c r="G5639" i="13"/>
  <c r="G5638" i="13"/>
  <c r="G5637" i="13"/>
  <c r="G5636" i="13"/>
  <c r="G5635" i="13"/>
  <c r="G5634" i="13"/>
  <c r="G5633" i="13"/>
  <c r="G5632" i="13"/>
  <c r="G5631" i="13"/>
  <c r="G5630" i="13"/>
  <c r="G5629" i="13"/>
  <c r="G5628" i="13"/>
  <c r="G5627" i="13"/>
  <c r="G5626" i="13"/>
  <c r="G5625" i="13"/>
  <c r="G5624" i="13"/>
  <c r="G5623" i="13"/>
  <c r="G5622" i="13"/>
  <c r="G5621" i="13"/>
  <c r="G5620" i="13"/>
  <c r="G5619" i="13"/>
  <c r="G5618" i="13"/>
  <c r="G5617" i="13"/>
  <c r="G5616" i="13"/>
  <c r="G5615" i="13"/>
  <c r="G5614" i="13"/>
  <c r="G5613" i="13"/>
  <c r="G5612" i="13"/>
  <c r="G5611" i="13"/>
  <c r="G5610" i="13"/>
  <c r="G5609" i="13"/>
  <c r="G5608" i="13"/>
  <c r="G5607" i="13"/>
  <c r="G5606" i="13"/>
  <c r="G5605" i="13"/>
  <c r="G5604" i="13"/>
  <c r="G5603" i="13"/>
  <c r="G5602" i="13"/>
  <c r="G5601" i="13"/>
  <c r="G5600" i="13"/>
  <c r="G5599" i="13"/>
  <c r="G5598" i="13"/>
  <c r="G5597" i="13"/>
  <c r="G5596" i="13"/>
  <c r="G5595" i="13"/>
  <c r="G5594" i="13"/>
  <c r="G5593" i="13"/>
  <c r="G5592" i="13"/>
  <c r="G5591" i="13"/>
  <c r="G5590" i="13"/>
  <c r="G5589" i="13"/>
  <c r="G5588" i="13"/>
  <c r="G5587" i="13"/>
  <c r="G5586" i="13"/>
  <c r="G5585" i="13"/>
  <c r="G5584" i="13"/>
  <c r="G5583" i="13"/>
  <c r="G5582" i="13"/>
  <c r="G5581" i="13"/>
  <c r="G5580" i="13"/>
  <c r="G5579" i="13"/>
  <c r="G5578" i="13"/>
  <c r="G5577" i="13"/>
  <c r="G5576" i="13"/>
  <c r="G5575" i="13"/>
  <c r="G5574" i="13"/>
  <c r="G5573" i="13"/>
  <c r="G5572" i="13"/>
  <c r="G5571" i="13"/>
  <c r="G5570" i="13"/>
  <c r="G5569" i="13"/>
  <c r="G5568" i="13"/>
  <c r="G5567" i="13"/>
  <c r="G5566" i="13"/>
  <c r="G5565" i="13"/>
  <c r="G5564" i="13"/>
  <c r="G5563" i="13"/>
  <c r="G5562" i="13"/>
  <c r="G5561" i="13"/>
  <c r="G5560" i="13"/>
  <c r="G5559" i="13"/>
  <c r="G5558" i="13"/>
  <c r="G5557" i="13"/>
  <c r="G5556" i="13"/>
  <c r="G5555" i="13"/>
  <c r="G5554" i="13"/>
  <c r="G5553" i="13"/>
  <c r="G5552" i="13"/>
  <c r="G5551" i="13"/>
  <c r="G5550" i="13"/>
  <c r="G5549" i="13"/>
  <c r="G5548" i="13"/>
  <c r="G5547" i="13"/>
  <c r="G5546" i="13"/>
  <c r="G5545" i="13"/>
  <c r="G5544" i="13"/>
  <c r="G5543" i="13"/>
  <c r="G5542" i="13"/>
  <c r="G5541" i="13"/>
  <c r="G5540" i="13"/>
  <c r="G5539" i="13"/>
  <c r="G5538" i="13"/>
  <c r="G5537" i="13"/>
  <c r="G5536" i="13"/>
  <c r="G5535" i="13"/>
  <c r="G5534" i="13"/>
  <c r="G5533" i="13"/>
  <c r="G5532" i="13"/>
  <c r="G5531" i="13"/>
  <c r="G5530" i="13"/>
  <c r="G5529" i="13"/>
  <c r="G5528" i="13"/>
  <c r="G5527" i="13"/>
  <c r="G5526" i="13"/>
  <c r="G5525" i="13"/>
  <c r="G5524" i="13"/>
  <c r="G5523" i="13"/>
  <c r="G5522" i="13"/>
  <c r="G5521" i="13"/>
  <c r="G5520" i="13"/>
  <c r="G5519" i="13"/>
  <c r="G5518" i="13"/>
  <c r="G5517" i="13"/>
  <c r="G5516" i="13"/>
  <c r="G5515" i="13"/>
  <c r="G5514" i="13"/>
  <c r="G5513" i="13"/>
  <c r="G5512" i="13"/>
  <c r="G5511" i="13"/>
  <c r="G5510" i="13"/>
  <c r="G5509" i="13"/>
  <c r="G5508" i="13"/>
  <c r="G5507" i="13"/>
  <c r="G5506" i="13"/>
  <c r="G5505" i="13"/>
  <c r="G5504" i="13"/>
  <c r="G5503" i="13"/>
  <c r="G5502" i="13"/>
  <c r="G5501" i="13"/>
  <c r="G5500" i="13"/>
  <c r="G5499" i="13"/>
  <c r="G5498" i="13"/>
  <c r="G5497" i="13"/>
  <c r="G5496" i="13"/>
  <c r="G5495" i="13"/>
  <c r="G5494" i="13"/>
  <c r="G5493" i="13"/>
  <c r="G5492" i="13"/>
  <c r="G5491" i="13"/>
  <c r="G5490" i="13"/>
  <c r="G5489" i="13"/>
  <c r="G5488" i="13"/>
  <c r="G5487" i="13"/>
  <c r="G5486" i="13"/>
  <c r="G5485" i="13"/>
  <c r="G5484" i="13"/>
  <c r="G5483" i="13"/>
  <c r="G5482" i="13"/>
  <c r="G5481" i="13"/>
  <c r="G5480" i="13"/>
  <c r="G5479" i="13"/>
  <c r="G5478" i="13"/>
  <c r="G5477" i="13"/>
  <c r="G5476" i="13"/>
  <c r="G5475" i="13"/>
  <c r="G5474" i="13"/>
  <c r="G5473" i="13"/>
  <c r="G5472" i="13"/>
  <c r="G5471" i="13"/>
  <c r="G5470" i="13"/>
  <c r="G5469" i="13"/>
  <c r="G5468" i="13"/>
  <c r="G5467" i="13"/>
  <c r="G5466" i="13"/>
  <c r="G5465" i="13"/>
  <c r="G5464" i="13"/>
  <c r="G5463" i="13"/>
  <c r="G5462" i="13"/>
  <c r="G5461" i="13"/>
  <c r="G5460" i="13"/>
  <c r="G5459" i="13"/>
  <c r="G5458" i="13"/>
  <c r="G5457" i="13"/>
  <c r="G5456" i="13"/>
  <c r="G5455" i="13"/>
  <c r="G5454" i="13"/>
  <c r="G5453" i="13"/>
  <c r="G5452" i="13"/>
  <c r="G5451" i="13"/>
  <c r="G5450" i="13"/>
  <c r="G5449" i="13"/>
  <c r="G5448" i="13"/>
  <c r="G5447" i="13"/>
  <c r="G5446" i="13"/>
  <c r="G5445" i="13"/>
  <c r="G5444" i="13"/>
  <c r="G5443" i="13"/>
  <c r="G5442" i="13"/>
  <c r="G5441" i="13"/>
  <c r="G5440" i="13"/>
  <c r="G5439" i="13"/>
  <c r="G5438" i="13"/>
  <c r="G5437" i="13"/>
  <c r="G5436" i="13"/>
  <c r="G5435" i="13"/>
  <c r="G5434" i="13"/>
  <c r="G5433" i="13"/>
  <c r="G5432" i="13"/>
  <c r="G5431" i="13"/>
  <c r="G5430" i="13"/>
  <c r="G5429" i="13"/>
  <c r="G5428" i="13"/>
  <c r="G5427" i="13"/>
  <c r="G5426" i="13"/>
  <c r="G5425" i="13"/>
  <c r="G5424" i="13"/>
  <c r="G5423" i="13"/>
  <c r="G5422" i="13"/>
  <c r="G5421" i="13"/>
  <c r="G5420" i="13"/>
  <c r="G5419" i="13"/>
  <c r="G5418" i="13"/>
  <c r="G5417" i="13"/>
  <c r="G5416" i="13"/>
  <c r="G5415" i="13"/>
  <c r="G5414" i="13"/>
  <c r="G5413" i="13"/>
  <c r="G5412" i="13"/>
  <c r="G5411" i="13"/>
  <c r="G5410" i="13"/>
  <c r="G5409" i="13"/>
  <c r="G5408" i="13"/>
  <c r="G5407" i="13"/>
  <c r="G5406" i="13"/>
  <c r="G5405" i="13"/>
  <c r="G5404" i="13"/>
  <c r="G5403" i="13"/>
  <c r="G5402" i="13"/>
  <c r="G5401" i="13"/>
  <c r="G5400" i="13"/>
  <c r="G5399" i="13"/>
  <c r="G5398" i="13"/>
  <c r="G5397" i="13"/>
  <c r="G5396" i="13"/>
  <c r="G5395" i="13"/>
  <c r="G5394" i="13"/>
  <c r="G5393" i="13"/>
  <c r="G5392" i="13"/>
  <c r="G5391" i="13"/>
  <c r="G5390" i="13"/>
  <c r="G5389" i="13"/>
  <c r="G5388" i="13"/>
  <c r="G5387" i="13"/>
  <c r="G5386" i="13"/>
  <c r="G5385" i="13"/>
  <c r="G5384" i="13"/>
  <c r="G5383" i="13"/>
  <c r="G5382" i="13"/>
  <c r="G5381" i="13"/>
  <c r="G5380" i="13"/>
  <c r="G5379" i="13"/>
  <c r="G5378" i="13"/>
  <c r="G5377" i="13"/>
  <c r="G5376" i="13"/>
  <c r="G5375" i="13"/>
  <c r="G5374" i="13"/>
  <c r="G5373" i="13"/>
  <c r="G5372" i="13"/>
  <c r="G5371" i="13"/>
  <c r="G5370" i="13"/>
  <c r="G5369" i="13"/>
  <c r="G5368" i="13"/>
  <c r="G5367" i="13"/>
  <c r="G5366" i="13"/>
  <c r="G5365" i="13"/>
  <c r="G5364" i="13"/>
  <c r="G5363" i="13"/>
  <c r="G5362" i="13"/>
  <c r="G5361" i="13"/>
  <c r="G5360" i="13"/>
  <c r="G5359" i="13"/>
  <c r="G5358" i="13"/>
  <c r="G5357" i="13"/>
  <c r="G5356" i="13"/>
  <c r="G5355" i="13"/>
  <c r="G5354" i="13"/>
  <c r="G5353" i="13"/>
  <c r="G5352" i="13"/>
  <c r="G5351" i="13"/>
  <c r="G5350" i="13"/>
  <c r="G5349" i="13"/>
  <c r="G5348" i="13"/>
  <c r="G5347" i="13"/>
  <c r="G5346" i="13"/>
  <c r="G5345" i="13"/>
  <c r="G5344" i="13"/>
  <c r="G5343" i="13"/>
  <c r="G5342" i="13"/>
  <c r="G5341" i="13"/>
  <c r="G5340" i="13"/>
  <c r="G5339" i="13"/>
  <c r="G5338" i="13"/>
  <c r="G5337" i="13"/>
  <c r="G5336" i="13"/>
  <c r="G5335" i="13"/>
  <c r="G5334" i="13"/>
  <c r="G5333" i="13"/>
  <c r="G5332" i="13"/>
  <c r="G5331" i="13"/>
  <c r="G5330" i="13"/>
  <c r="G5329" i="13"/>
  <c r="G5328" i="13"/>
  <c r="G5327" i="13"/>
  <c r="G5326" i="13"/>
  <c r="G5325" i="13"/>
  <c r="G5324" i="13"/>
  <c r="G5323" i="13"/>
  <c r="G5322" i="13"/>
  <c r="G5321" i="13"/>
  <c r="G5320" i="13"/>
  <c r="G5319" i="13"/>
  <c r="G5318" i="13"/>
  <c r="G5317" i="13"/>
  <c r="G5316" i="13"/>
  <c r="G5315" i="13"/>
  <c r="G5314" i="13"/>
  <c r="G5313" i="13"/>
  <c r="G5312" i="13"/>
  <c r="G5311" i="13"/>
  <c r="G5310" i="13"/>
  <c r="G5309" i="13"/>
  <c r="G5308" i="13"/>
  <c r="G5307" i="13"/>
  <c r="G5306" i="13"/>
  <c r="G5305" i="13"/>
  <c r="G5304" i="13"/>
  <c r="G5303" i="13"/>
  <c r="G5302" i="13"/>
  <c r="G5301" i="13"/>
  <c r="G5300" i="13"/>
  <c r="G5299" i="13"/>
  <c r="G5298" i="13"/>
  <c r="G5297" i="13"/>
  <c r="G5296" i="13"/>
  <c r="G5295" i="13"/>
  <c r="G5294" i="13"/>
  <c r="G5293" i="13"/>
  <c r="G5292" i="13"/>
  <c r="G5291" i="13"/>
  <c r="G5290" i="13"/>
  <c r="G5289" i="13"/>
  <c r="G5288" i="13"/>
  <c r="G5287" i="13"/>
  <c r="G5286" i="13"/>
  <c r="G5285" i="13"/>
  <c r="G5284" i="13"/>
  <c r="G5283" i="13"/>
  <c r="G5282" i="13"/>
  <c r="G5281" i="13"/>
  <c r="G5280" i="13"/>
  <c r="G5279" i="13"/>
  <c r="G5278" i="13"/>
  <c r="G5277" i="13"/>
  <c r="G5276" i="13"/>
  <c r="G5275" i="13"/>
  <c r="G5274" i="13"/>
  <c r="G5273" i="13"/>
  <c r="G5272" i="13"/>
  <c r="G5271" i="13"/>
  <c r="G5270" i="13"/>
  <c r="G5269" i="13"/>
  <c r="G5268" i="13"/>
  <c r="G5267" i="13"/>
  <c r="G5266" i="13"/>
  <c r="G5265" i="13"/>
  <c r="G5264" i="13"/>
  <c r="G5263" i="13"/>
  <c r="G5262" i="13"/>
  <c r="G5261" i="13"/>
  <c r="G5260" i="13"/>
  <c r="G5259" i="13"/>
  <c r="G5258" i="13"/>
  <c r="G5257" i="13"/>
  <c r="G5256" i="13"/>
  <c r="G5255" i="13"/>
  <c r="G5254" i="13"/>
  <c r="G5253" i="13"/>
  <c r="G5252" i="13"/>
  <c r="G5251" i="13"/>
  <c r="G5250" i="13"/>
  <c r="G5249" i="13"/>
  <c r="G5248" i="13"/>
  <c r="G5247" i="13"/>
  <c r="G5246" i="13"/>
  <c r="G5245" i="13"/>
  <c r="G5244" i="13"/>
  <c r="G5243" i="13"/>
  <c r="G5242" i="13"/>
  <c r="G5241" i="13"/>
  <c r="G5240" i="13"/>
  <c r="G5239" i="13"/>
  <c r="G5238" i="13"/>
  <c r="G5237" i="13"/>
  <c r="G5236" i="13"/>
  <c r="G5235" i="13"/>
  <c r="G5234" i="13"/>
  <c r="G5233" i="13"/>
  <c r="G5232" i="13"/>
  <c r="G5231" i="13"/>
  <c r="G5230" i="13"/>
  <c r="G5229" i="13"/>
  <c r="G5228" i="13"/>
  <c r="G5227" i="13"/>
  <c r="G5226" i="13"/>
  <c r="G5225" i="13"/>
  <c r="G5224" i="13"/>
  <c r="G5223" i="13"/>
  <c r="G5222" i="13"/>
  <c r="G5221" i="13"/>
  <c r="G5220" i="13"/>
  <c r="G5219" i="13"/>
  <c r="G5218" i="13"/>
  <c r="G5217" i="13"/>
  <c r="G5216" i="13"/>
  <c r="G5215" i="13"/>
  <c r="G5214" i="13"/>
  <c r="G5213" i="13"/>
  <c r="G5212" i="13"/>
  <c r="G5211" i="13"/>
  <c r="G5210" i="13"/>
  <c r="G5209" i="13"/>
  <c r="G5208" i="13"/>
  <c r="G5207" i="13"/>
  <c r="G5206" i="13"/>
  <c r="G5205" i="13"/>
  <c r="G5204" i="13"/>
  <c r="G5203" i="13"/>
  <c r="G5202" i="13"/>
  <c r="G5201" i="13"/>
  <c r="G5200" i="13"/>
  <c r="G5199" i="13"/>
  <c r="G5198" i="13"/>
  <c r="G5197" i="13"/>
  <c r="G5196" i="13"/>
  <c r="G5195" i="13"/>
  <c r="G5194" i="13"/>
  <c r="G5193" i="13"/>
  <c r="G5192" i="13"/>
  <c r="G5191" i="13"/>
  <c r="G5190" i="13"/>
  <c r="G5189" i="13"/>
  <c r="G5188" i="13"/>
  <c r="G5187" i="13"/>
  <c r="G5186" i="13"/>
  <c r="G5185" i="13"/>
  <c r="G5184" i="13"/>
  <c r="G5183" i="13"/>
  <c r="G5182" i="13"/>
  <c r="G5181" i="13"/>
  <c r="G5180" i="13"/>
  <c r="G5179" i="13"/>
  <c r="G5178" i="13"/>
  <c r="G5177" i="13"/>
  <c r="G5176" i="13"/>
  <c r="G5175" i="13"/>
  <c r="G5174" i="13"/>
  <c r="G5173" i="13"/>
  <c r="G5172" i="13"/>
  <c r="G5171" i="13"/>
  <c r="G5170" i="13"/>
  <c r="G5169" i="13"/>
  <c r="G5168" i="13"/>
  <c r="G5167" i="13"/>
  <c r="G5166" i="13"/>
  <c r="G5165" i="13"/>
  <c r="G5164" i="13"/>
  <c r="G5163" i="13"/>
  <c r="G5162" i="13"/>
  <c r="G5161" i="13"/>
  <c r="G5160" i="13"/>
  <c r="G5159" i="13"/>
  <c r="G5158" i="13"/>
  <c r="G5157" i="13"/>
  <c r="G5156" i="13"/>
  <c r="G5155" i="13"/>
  <c r="G5154" i="13"/>
  <c r="G5153" i="13"/>
  <c r="G5152" i="13"/>
  <c r="G5151" i="13"/>
  <c r="G5150" i="13"/>
  <c r="G5149" i="13"/>
  <c r="G5148" i="13"/>
  <c r="G5147" i="13"/>
  <c r="G5146" i="13"/>
  <c r="G5145" i="13"/>
  <c r="G5144" i="13"/>
  <c r="G5143" i="13"/>
  <c r="G5142" i="13"/>
  <c r="G5141" i="13"/>
  <c r="G5140" i="13"/>
  <c r="G5139" i="13"/>
  <c r="G5138" i="13"/>
  <c r="G5137" i="13"/>
  <c r="G5136" i="13"/>
  <c r="G5135" i="13"/>
  <c r="G5134" i="13"/>
  <c r="G5133" i="13"/>
  <c r="G5132" i="13"/>
  <c r="G5131" i="13"/>
  <c r="G5130" i="13"/>
  <c r="G5129" i="13"/>
  <c r="G5128" i="13"/>
  <c r="G5127" i="13"/>
  <c r="G5126" i="13"/>
  <c r="G5125" i="13"/>
  <c r="G5124" i="13"/>
  <c r="G5123" i="13"/>
  <c r="G5122" i="13"/>
  <c r="G5121" i="13"/>
  <c r="G5120" i="13"/>
  <c r="G5119" i="13"/>
  <c r="G5118" i="13"/>
  <c r="G5117" i="13"/>
  <c r="G5116" i="13"/>
  <c r="G5115" i="13"/>
  <c r="G5114" i="13"/>
  <c r="G5113" i="13"/>
  <c r="G5112" i="13"/>
  <c r="G5111" i="13"/>
  <c r="G5110" i="13"/>
  <c r="G5109" i="13"/>
  <c r="G5108" i="13"/>
  <c r="G5107" i="13"/>
  <c r="G5106" i="13"/>
  <c r="G5105" i="13"/>
  <c r="G5104" i="13"/>
  <c r="G5103" i="13"/>
  <c r="G5102" i="13"/>
  <c r="G5101" i="13"/>
  <c r="G5100" i="13"/>
  <c r="G5099" i="13"/>
  <c r="G5098" i="13"/>
  <c r="G5097" i="13"/>
  <c r="G5096" i="13"/>
  <c r="G5095" i="13"/>
  <c r="G5094" i="13"/>
  <c r="G5093" i="13"/>
  <c r="G5092" i="13"/>
  <c r="G5091" i="13"/>
  <c r="G5090" i="13"/>
  <c r="G5089" i="13"/>
  <c r="G5088" i="13"/>
  <c r="G5087" i="13"/>
  <c r="G5086" i="13"/>
  <c r="G5085" i="13"/>
  <c r="G5084" i="13"/>
  <c r="G5083" i="13"/>
  <c r="G5082" i="13"/>
  <c r="G5081" i="13"/>
  <c r="G5080" i="13"/>
  <c r="G5079" i="13"/>
  <c r="G5078" i="13"/>
  <c r="G5077" i="13"/>
  <c r="G5076" i="13"/>
  <c r="G5075" i="13"/>
  <c r="G5074" i="13"/>
  <c r="G5073" i="13"/>
  <c r="G5072" i="13"/>
  <c r="G5071" i="13"/>
  <c r="G5070" i="13"/>
  <c r="G5069" i="13"/>
  <c r="G5068" i="13"/>
  <c r="G5067" i="13"/>
  <c r="G5066" i="13"/>
  <c r="G5065" i="13"/>
  <c r="G5064" i="13"/>
  <c r="G5063" i="13"/>
  <c r="G5062" i="13"/>
  <c r="G5061" i="13"/>
  <c r="G5060" i="13"/>
  <c r="G5059" i="13"/>
  <c r="G5058" i="13"/>
  <c r="G5057" i="13"/>
  <c r="G5056" i="13"/>
  <c r="G5055" i="13"/>
  <c r="G5054" i="13"/>
  <c r="G5053" i="13"/>
  <c r="G5052" i="13"/>
  <c r="G5051" i="13"/>
  <c r="G5050" i="13"/>
  <c r="G5049" i="13"/>
  <c r="G5048" i="13"/>
  <c r="G5047" i="13"/>
  <c r="G5046" i="13"/>
  <c r="G5045" i="13"/>
  <c r="G5044" i="13"/>
  <c r="G5043" i="13"/>
  <c r="G5042" i="13"/>
  <c r="G5041" i="13"/>
  <c r="G5040" i="13"/>
  <c r="G5039" i="13"/>
  <c r="G5038" i="13"/>
  <c r="G5037" i="13"/>
  <c r="G5036" i="13"/>
  <c r="G5035" i="13"/>
  <c r="G5034" i="13"/>
  <c r="G5033" i="13"/>
  <c r="G5032" i="13"/>
  <c r="G5031" i="13"/>
  <c r="G5030" i="13"/>
  <c r="G5029" i="13"/>
  <c r="G5028" i="13"/>
  <c r="G5027" i="13"/>
  <c r="G5026" i="13"/>
  <c r="G5025" i="13"/>
  <c r="G5024" i="13"/>
  <c r="G5023" i="13"/>
  <c r="G5022" i="13"/>
  <c r="G5021" i="13"/>
  <c r="G5020" i="13"/>
  <c r="G5019" i="13"/>
  <c r="G5018" i="13"/>
  <c r="G5017" i="13"/>
  <c r="G5016" i="13"/>
  <c r="G5015" i="13"/>
  <c r="G5014" i="13"/>
  <c r="G5013" i="13"/>
  <c r="G5012" i="13"/>
  <c r="G5011" i="13"/>
  <c r="G5010" i="13"/>
  <c r="G5009" i="13"/>
  <c r="G5008" i="13"/>
  <c r="G5007" i="13"/>
  <c r="G5006" i="13"/>
  <c r="G5005" i="13"/>
  <c r="G5004" i="13"/>
  <c r="G5003" i="13"/>
  <c r="G5002" i="13"/>
  <c r="G5001" i="13"/>
  <c r="G5000" i="13"/>
  <c r="G4999" i="13"/>
  <c r="G4998" i="13"/>
  <c r="G4997" i="13"/>
  <c r="G4996" i="13"/>
  <c r="G4995" i="13"/>
  <c r="G4994" i="13"/>
  <c r="G4993" i="13"/>
  <c r="G4992" i="13"/>
  <c r="G4991" i="13"/>
  <c r="G4990" i="13"/>
  <c r="G4989" i="13"/>
  <c r="G4988" i="13"/>
  <c r="G4987" i="13"/>
  <c r="G4986" i="13"/>
  <c r="G4985" i="13"/>
  <c r="G4984" i="13"/>
  <c r="G4983" i="13"/>
  <c r="G4982" i="13"/>
  <c r="G4981" i="13"/>
  <c r="G4980" i="13"/>
  <c r="G4979" i="13"/>
  <c r="G4978" i="13"/>
  <c r="G4977" i="13"/>
  <c r="G4976" i="13"/>
  <c r="G4975" i="13"/>
  <c r="G4974" i="13"/>
  <c r="G4973" i="13"/>
  <c r="G4972" i="13"/>
  <c r="G4971" i="13"/>
  <c r="G4970" i="13"/>
  <c r="G4969" i="13"/>
  <c r="G4968" i="13"/>
  <c r="G4967" i="13"/>
  <c r="G4966" i="13"/>
  <c r="G4965" i="13"/>
  <c r="G4964" i="13"/>
  <c r="G4963" i="13"/>
  <c r="G4962" i="13"/>
  <c r="G4961" i="13"/>
  <c r="G4960" i="13"/>
  <c r="G4959" i="13"/>
  <c r="G4958" i="13"/>
  <c r="G4957" i="13"/>
  <c r="G4956" i="13"/>
  <c r="G4955" i="13"/>
  <c r="G4954" i="13"/>
  <c r="G4953" i="13"/>
  <c r="G4952" i="13"/>
  <c r="G4951" i="13"/>
  <c r="G4950" i="13"/>
  <c r="G4949" i="13"/>
  <c r="G4948" i="13"/>
  <c r="G4947" i="13"/>
  <c r="G4946" i="13"/>
  <c r="G4945" i="13"/>
  <c r="G4944" i="13"/>
  <c r="G4943" i="13"/>
  <c r="G4942" i="13"/>
  <c r="G4941" i="13"/>
  <c r="G4940" i="13"/>
  <c r="G4939" i="13"/>
  <c r="G4938" i="13"/>
  <c r="G4937" i="13"/>
  <c r="G4936" i="13"/>
  <c r="G4935" i="13"/>
  <c r="G4934" i="13"/>
  <c r="G4933" i="13"/>
  <c r="G4932" i="13"/>
  <c r="G4931" i="13"/>
  <c r="G4930" i="13"/>
  <c r="G4929" i="13"/>
  <c r="G4928" i="13"/>
  <c r="G4927" i="13"/>
  <c r="G4926" i="13"/>
  <c r="G4925" i="13"/>
  <c r="G4924" i="13"/>
  <c r="G4923" i="13"/>
  <c r="G4922" i="13"/>
  <c r="G4921" i="13"/>
  <c r="G4920" i="13"/>
  <c r="G4919" i="13"/>
  <c r="G4918" i="13"/>
  <c r="G4917" i="13"/>
  <c r="G4916" i="13"/>
  <c r="G4915" i="13"/>
  <c r="G4914" i="13"/>
  <c r="G4913" i="13"/>
  <c r="G4912" i="13"/>
  <c r="G4911" i="13"/>
  <c r="G4910" i="13"/>
  <c r="G4909" i="13"/>
  <c r="G4908" i="13"/>
  <c r="G4907" i="13"/>
  <c r="G4906" i="13"/>
  <c r="G4905" i="13"/>
  <c r="G4904" i="13"/>
  <c r="G4903" i="13"/>
  <c r="G4902" i="13"/>
  <c r="G4901" i="13"/>
  <c r="G4900" i="13"/>
  <c r="G4899" i="13"/>
  <c r="G4898" i="13"/>
  <c r="G4897" i="13"/>
  <c r="G4896" i="13"/>
  <c r="G4895" i="13"/>
  <c r="G4894" i="13"/>
  <c r="G4893" i="13"/>
  <c r="G4892" i="13"/>
  <c r="G4891" i="13"/>
  <c r="G4890" i="13"/>
  <c r="G4889" i="13"/>
  <c r="G4888" i="13"/>
  <c r="G4887" i="13"/>
  <c r="G4886" i="13"/>
  <c r="G4885" i="13"/>
  <c r="G4884" i="13"/>
  <c r="G4883" i="13"/>
  <c r="G4882" i="13"/>
  <c r="G4881" i="13"/>
  <c r="G4880" i="13"/>
  <c r="G4879" i="13"/>
  <c r="G4878" i="13"/>
  <c r="G4877" i="13"/>
  <c r="G4876" i="13"/>
  <c r="G4875" i="13"/>
  <c r="G4874" i="13"/>
  <c r="G4873" i="13"/>
  <c r="G4872" i="13"/>
  <c r="G4871" i="13"/>
  <c r="G4870" i="13"/>
  <c r="G4869" i="13"/>
  <c r="G4868" i="13"/>
  <c r="G4867" i="13"/>
  <c r="G4866" i="13"/>
  <c r="G4865" i="13"/>
  <c r="G4864" i="13"/>
  <c r="G4863" i="13"/>
  <c r="G4862" i="13"/>
  <c r="G4861" i="13"/>
  <c r="G4860" i="13"/>
  <c r="G4859" i="13"/>
  <c r="G4858" i="13"/>
  <c r="G4857" i="13"/>
  <c r="G4856" i="13"/>
  <c r="G4855" i="13"/>
  <c r="G4854" i="13"/>
  <c r="G4853" i="13"/>
  <c r="G4852" i="13"/>
  <c r="G4851" i="13"/>
  <c r="G4850" i="13"/>
  <c r="G4849" i="13"/>
  <c r="G4848" i="13"/>
  <c r="G4847" i="13"/>
  <c r="G4846" i="13"/>
  <c r="G4845" i="13"/>
  <c r="G4844" i="13"/>
  <c r="G4843" i="13"/>
  <c r="G4842" i="13"/>
  <c r="G4841" i="13"/>
  <c r="G4840" i="13"/>
  <c r="G4839" i="13"/>
  <c r="G4838" i="13"/>
  <c r="G4837" i="13"/>
  <c r="G4836" i="13"/>
  <c r="G4835" i="13"/>
  <c r="G4834" i="13"/>
  <c r="G4833" i="13"/>
  <c r="G4832" i="13"/>
  <c r="G4831" i="13"/>
  <c r="G4830" i="13"/>
  <c r="G4829" i="13"/>
  <c r="G4828" i="13"/>
  <c r="G4827" i="13"/>
  <c r="G4826" i="13"/>
  <c r="G4825" i="13"/>
  <c r="G4824" i="13"/>
  <c r="G4823" i="13"/>
  <c r="G4822" i="13"/>
  <c r="G4821" i="13"/>
  <c r="G4820" i="13"/>
  <c r="G4819" i="13"/>
  <c r="G4818" i="13"/>
  <c r="G4817" i="13"/>
  <c r="G4816" i="13"/>
  <c r="G4815" i="13"/>
  <c r="G4814" i="13"/>
  <c r="G4813" i="13"/>
  <c r="G4812" i="13"/>
  <c r="G4811" i="13"/>
  <c r="G4810" i="13"/>
  <c r="G4809" i="13"/>
  <c r="G4808" i="13"/>
  <c r="G4807" i="13"/>
  <c r="G4806" i="13"/>
  <c r="G4805" i="13"/>
  <c r="G4804" i="13"/>
  <c r="G4803" i="13"/>
  <c r="G4802" i="13"/>
  <c r="G4801" i="13"/>
  <c r="G4800" i="13"/>
  <c r="G4799" i="13"/>
  <c r="G4798" i="13"/>
  <c r="G4797" i="13"/>
  <c r="G4796" i="13"/>
  <c r="G4795" i="13"/>
  <c r="G4794" i="13"/>
  <c r="G4793" i="13"/>
  <c r="G4792" i="13"/>
  <c r="G4791" i="13"/>
  <c r="G4790" i="13"/>
  <c r="G4789" i="13"/>
  <c r="G4788" i="13"/>
  <c r="G4787" i="13"/>
  <c r="G4786" i="13"/>
  <c r="G4785" i="13"/>
  <c r="G4784" i="13"/>
  <c r="G4783" i="13"/>
  <c r="G4782" i="13"/>
  <c r="G4781" i="13"/>
  <c r="G4780" i="13"/>
  <c r="G4779" i="13"/>
  <c r="G4778" i="13"/>
  <c r="G4777" i="13"/>
  <c r="G4776" i="13"/>
  <c r="G4775" i="13"/>
  <c r="G4774" i="13"/>
  <c r="G4773" i="13"/>
  <c r="G4772" i="13"/>
  <c r="G4771" i="13"/>
  <c r="G4770" i="13"/>
  <c r="G4769" i="13"/>
  <c r="G4768" i="13"/>
  <c r="G4767" i="13"/>
  <c r="G4766" i="13"/>
  <c r="G4765" i="13"/>
  <c r="G4764" i="13"/>
  <c r="G4763" i="13"/>
  <c r="G4762" i="13"/>
  <c r="G4761" i="13"/>
  <c r="G4760" i="13"/>
  <c r="G4759" i="13"/>
  <c r="G4758" i="13"/>
  <c r="G4757" i="13"/>
  <c r="G4756" i="13"/>
  <c r="G4755" i="13"/>
  <c r="G4754" i="13"/>
  <c r="G4753" i="13"/>
  <c r="G4752" i="13"/>
  <c r="G4751" i="13"/>
  <c r="G4750" i="13"/>
  <c r="G4749" i="13"/>
  <c r="G4748" i="13"/>
  <c r="G4747" i="13"/>
  <c r="G4746" i="13"/>
  <c r="G4745" i="13"/>
  <c r="G4744" i="13"/>
  <c r="G4743" i="13"/>
  <c r="G4742" i="13"/>
  <c r="G4741" i="13"/>
  <c r="G4740" i="13"/>
  <c r="G4739" i="13"/>
  <c r="G4738" i="13"/>
  <c r="G4737" i="13"/>
  <c r="G4736" i="13"/>
  <c r="G4735" i="13"/>
  <c r="G4734" i="13"/>
  <c r="G4733" i="13"/>
  <c r="G4732" i="13"/>
  <c r="G4731" i="13"/>
  <c r="G4730" i="13"/>
  <c r="G4729" i="13"/>
  <c r="G4728" i="13"/>
  <c r="G4727" i="13"/>
  <c r="G4726" i="13"/>
  <c r="G4725" i="13"/>
  <c r="G4724" i="13"/>
  <c r="G4723" i="13"/>
  <c r="G4722" i="13"/>
  <c r="G4721" i="13"/>
  <c r="G4720" i="13"/>
  <c r="G4719" i="13"/>
  <c r="G4718" i="13"/>
  <c r="G4717" i="13"/>
  <c r="G4716" i="13"/>
  <c r="G4715" i="13"/>
  <c r="G4714" i="13"/>
  <c r="G4713" i="13"/>
  <c r="G4712" i="13"/>
  <c r="G4711" i="13"/>
  <c r="G4710" i="13"/>
  <c r="G4709" i="13"/>
  <c r="G4708" i="13"/>
  <c r="G4707" i="13"/>
  <c r="G4706" i="13"/>
  <c r="G4705" i="13"/>
  <c r="G4704" i="13"/>
  <c r="G4703" i="13"/>
  <c r="G4702" i="13"/>
  <c r="G4701" i="13"/>
  <c r="G4700" i="13"/>
  <c r="G4699" i="13"/>
  <c r="G4698" i="13"/>
  <c r="G4697" i="13"/>
  <c r="G4696" i="13"/>
  <c r="G4695" i="13"/>
  <c r="G4694" i="13"/>
  <c r="G4693" i="13"/>
  <c r="G4692" i="13"/>
  <c r="G4691" i="13"/>
  <c r="G4690" i="13"/>
  <c r="G4689" i="13"/>
  <c r="G4688" i="13"/>
  <c r="G4687" i="13"/>
  <c r="G4686" i="13"/>
  <c r="G4685" i="13"/>
  <c r="G4684" i="13"/>
  <c r="G4683" i="13"/>
  <c r="G4682" i="13"/>
  <c r="G4681" i="13"/>
  <c r="G4680" i="13"/>
  <c r="G4679" i="13"/>
  <c r="G4678" i="13"/>
  <c r="G4677" i="13"/>
  <c r="G4676" i="13"/>
  <c r="G4675" i="13"/>
  <c r="G4674" i="13"/>
  <c r="G4673" i="13"/>
  <c r="G4672" i="13"/>
  <c r="G4671" i="13"/>
  <c r="G4670" i="13"/>
  <c r="G4669" i="13"/>
  <c r="G4668" i="13"/>
  <c r="G4667" i="13"/>
  <c r="G4666" i="13"/>
  <c r="G4665" i="13"/>
  <c r="G4664" i="13"/>
  <c r="G4663" i="13"/>
  <c r="G4662" i="13"/>
  <c r="G4661" i="13"/>
  <c r="G4660" i="13"/>
  <c r="G4659" i="13"/>
  <c r="G4658" i="13"/>
  <c r="G4657" i="13"/>
  <c r="G4656" i="13"/>
  <c r="G4655" i="13"/>
  <c r="G4654" i="13"/>
  <c r="G4653" i="13"/>
  <c r="G4652" i="13"/>
  <c r="G4651" i="13"/>
  <c r="G4650" i="13"/>
  <c r="G4649" i="13"/>
  <c r="G4648" i="13"/>
  <c r="G4647" i="13"/>
  <c r="G4646" i="13"/>
  <c r="G4645" i="13"/>
  <c r="G4644" i="13"/>
  <c r="G4643" i="13"/>
  <c r="G4642" i="13"/>
  <c r="G4641" i="13"/>
  <c r="G4640" i="13"/>
  <c r="G4639" i="13"/>
  <c r="G4638" i="13"/>
  <c r="G4637" i="13"/>
  <c r="G4636" i="13"/>
  <c r="G4635" i="13"/>
  <c r="G4634" i="13"/>
  <c r="G4633" i="13"/>
  <c r="G4632" i="13"/>
  <c r="G4631" i="13"/>
  <c r="G4630" i="13"/>
  <c r="G4629" i="13"/>
  <c r="G4628" i="13"/>
  <c r="G4627" i="13"/>
  <c r="G4626" i="13"/>
  <c r="G4625" i="13"/>
  <c r="G4624" i="13"/>
  <c r="G4623" i="13"/>
  <c r="G4622" i="13"/>
  <c r="G4621" i="13"/>
  <c r="G4620" i="13"/>
  <c r="G4619" i="13"/>
  <c r="G4618" i="13"/>
  <c r="G4617" i="13"/>
  <c r="G4616" i="13"/>
  <c r="G4615" i="13"/>
  <c r="G4614" i="13"/>
  <c r="G4613" i="13"/>
  <c r="G4612" i="13"/>
  <c r="G4611" i="13"/>
  <c r="G4610" i="13"/>
  <c r="G4609" i="13"/>
  <c r="G4608" i="13"/>
  <c r="G4607" i="13"/>
  <c r="G4606" i="13"/>
  <c r="G4605" i="13"/>
  <c r="G4604" i="13"/>
  <c r="G4603" i="13"/>
  <c r="G4602" i="13"/>
  <c r="G4601" i="13"/>
  <c r="G4600" i="13"/>
  <c r="G4599" i="13"/>
  <c r="G4598" i="13"/>
  <c r="G4597" i="13"/>
  <c r="G4596" i="13"/>
  <c r="G4595" i="13"/>
  <c r="G4594" i="13"/>
  <c r="G4593" i="13"/>
  <c r="G4592" i="13"/>
  <c r="G4591" i="13"/>
  <c r="G4590" i="13"/>
  <c r="G4589" i="13"/>
  <c r="G4588" i="13"/>
  <c r="G4587" i="13"/>
  <c r="G4586" i="13"/>
  <c r="G4585" i="13"/>
  <c r="G4584" i="13"/>
  <c r="G4583" i="13"/>
  <c r="G4582" i="13"/>
  <c r="G4581" i="13"/>
  <c r="G4580" i="13"/>
  <c r="G4579" i="13"/>
  <c r="G4578" i="13"/>
  <c r="G4577" i="13"/>
  <c r="G4576" i="13"/>
  <c r="G4575" i="13"/>
  <c r="G4574" i="13"/>
  <c r="G4573" i="13"/>
  <c r="G4572" i="13"/>
  <c r="G4571" i="13"/>
  <c r="G4570" i="13"/>
  <c r="G4569" i="13"/>
  <c r="G4568" i="13"/>
  <c r="G4567" i="13"/>
  <c r="G4566" i="13"/>
  <c r="G4565" i="13"/>
  <c r="G4564" i="13"/>
  <c r="G4563" i="13"/>
  <c r="G4562" i="13"/>
  <c r="G4561" i="13"/>
  <c r="G4560" i="13"/>
  <c r="G4559" i="13"/>
  <c r="G4558" i="13"/>
  <c r="G4557" i="13"/>
  <c r="G4556" i="13"/>
  <c r="G4555" i="13"/>
  <c r="G4554" i="13"/>
  <c r="G4553" i="13"/>
  <c r="G4552" i="13"/>
  <c r="G4551" i="13"/>
  <c r="G4550" i="13"/>
  <c r="G4549" i="13"/>
  <c r="G4548" i="13"/>
  <c r="G4547" i="13"/>
  <c r="G4546" i="13"/>
  <c r="G4545" i="13"/>
  <c r="G4544" i="13"/>
  <c r="G4543" i="13"/>
  <c r="G4542" i="13"/>
  <c r="G4541" i="13"/>
  <c r="G4540" i="13"/>
  <c r="G4539" i="13"/>
  <c r="G4538" i="13"/>
  <c r="G4537" i="13"/>
  <c r="G4536" i="13"/>
  <c r="G4535" i="13"/>
  <c r="G4534" i="13"/>
  <c r="G4533" i="13"/>
  <c r="G4532" i="13"/>
  <c r="G4531" i="13"/>
  <c r="G4530" i="13"/>
  <c r="G4529" i="13"/>
  <c r="G4528" i="13"/>
  <c r="G4527" i="13"/>
  <c r="G4526" i="13"/>
  <c r="G4525" i="13"/>
  <c r="G4524" i="13"/>
  <c r="G4523" i="13"/>
  <c r="G4522" i="13"/>
  <c r="G4521" i="13"/>
  <c r="G4520" i="13"/>
  <c r="G4519" i="13"/>
  <c r="G4518" i="13"/>
  <c r="G4517" i="13"/>
  <c r="G4516" i="13"/>
  <c r="G4515" i="13"/>
  <c r="G4514" i="13"/>
  <c r="G4513" i="13"/>
  <c r="G4512" i="13"/>
  <c r="G4511" i="13"/>
  <c r="G4510" i="13"/>
  <c r="G4509" i="13"/>
  <c r="G4508" i="13"/>
  <c r="G4507" i="13"/>
  <c r="G4506" i="13"/>
  <c r="G4505" i="13"/>
  <c r="G4504" i="13"/>
  <c r="G4503" i="13"/>
  <c r="G4502" i="13"/>
  <c r="G4501" i="13"/>
  <c r="G4500" i="13"/>
  <c r="G4499" i="13"/>
  <c r="G4498" i="13"/>
  <c r="G4497" i="13"/>
  <c r="G4496" i="13"/>
  <c r="G4495" i="13"/>
  <c r="G4494" i="13"/>
  <c r="G4493" i="13"/>
  <c r="G4492" i="13"/>
  <c r="G4491" i="13"/>
  <c r="G4490" i="13"/>
  <c r="G4489" i="13"/>
  <c r="G4488" i="13"/>
  <c r="G4487" i="13"/>
  <c r="G4486" i="13"/>
  <c r="G4485" i="13"/>
  <c r="G4484" i="13"/>
  <c r="G4483" i="13"/>
  <c r="G4482" i="13"/>
  <c r="G4481" i="13"/>
  <c r="G4480" i="13"/>
  <c r="G4479" i="13"/>
  <c r="G4478" i="13"/>
  <c r="G4477" i="13"/>
  <c r="G4476" i="13"/>
  <c r="G4475" i="13"/>
  <c r="G4474" i="13"/>
  <c r="G4473" i="13"/>
  <c r="G4472" i="13"/>
  <c r="G4471" i="13"/>
  <c r="G4470" i="13"/>
  <c r="G4469" i="13"/>
  <c r="G4468" i="13"/>
  <c r="G4467" i="13"/>
  <c r="G4466" i="13"/>
  <c r="G4465" i="13"/>
  <c r="G4464" i="13"/>
  <c r="G4463" i="13"/>
  <c r="G4462" i="13"/>
  <c r="G4461" i="13"/>
  <c r="G4460" i="13"/>
  <c r="G4459" i="13"/>
  <c r="G4458" i="13"/>
  <c r="G4457" i="13"/>
  <c r="G4456" i="13"/>
  <c r="G4455" i="13"/>
  <c r="G4454" i="13"/>
  <c r="G4453" i="13"/>
  <c r="G4452" i="13"/>
  <c r="G4451" i="13"/>
  <c r="G4450" i="13"/>
  <c r="G4449" i="13"/>
  <c r="G4448" i="13"/>
  <c r="G4447" i="13"/>
  <c r="G4446" i="13"/>
  <c r="G4445" i="13"/>
  <c r="G4444" i="13"/>
  <c r="G4443" i="13"/>
  <c r="G4442" i="13"/>
  <c r="G4441" i="13"/>
  <c r="G4440" i="13"/>
  <c r="G4439" i="13"/>
  <c r="G4438" i="13"/>
  <c r="G4437" i="13"/>
  <c r="G4436" i="13"/>
  <c r="G4435" i="13"/>
  <c r="G4434" i="13"/>
  <c r="G4433" i="13"/>
  <c r="G4432" i="13"/>
  <c r="G4431" i="13"/>
  <c r="G4430" i="13"/>
  <c r="G4429" i="13"/>
  <c r="G4428" i="13"/>
  <c r="G4427" i="13"/>
  <c r="G4426" i="13"/>
  <c r="G4425" i="13"/>
  <c r="G4424" i="13"/>
  <c r="G4423" i="13"/>
  <c r="G4422" i="13"/>
  <c r="G4421" i="13"/>
  <c r="G4420" i="13"/>
  <c r="G4419" i="13"/>
  <c r="G4418" i="13"/>
  <c r="G4417" i="13"/>
  <c r="G4416" i="13"/>
  <c r="G4415" i="13"/>
  <c r="G4414" i="13"/>
  <c r="G4413" i="13"/>
  <c r="G4412" i="13"/>
  <c r="G4411" i="13"/>
  <c r="G4410" i="13"/>
  <c r="G4409" i="13"/>
  <c r="G4408" i="13"/>
  <c r="G4407" i="13"/>
  <c r="G4406" i="13"/>
  <c r="G4405" i="13"/>
  <c r="G4404" i="13"/>
  <c r="G4403" i="13"/>
  <c r="G4402" i="13"/>
  <c r="G4401" i="13"/>
  <c r="G4400" i="13"/>
  <c r="G4399" i="13"/>
  <c r="G4398" i="13"/>
  <c r="G4397" i="13"/>
  <c r="G4396" i="13"/>
  <c r="G4395" i="13"/>
  <c r="G4394" i="13"/>
  <c r="G4393" i="13"/>
  <c r="G4392" i="13"/>
  <c r="G4391" i="13"/>
  <c r="G4390" i="13"/>
  <c r="G4389" i="13"/>
  <c r="G4388" i="13"/>
  <c r="G4387" i="13"/>
  <c r="G4386" i="13"/>
  <c r="G4385" i="13"/>
  <c r="G4384" i="13"/>
  <c r="G4383" i="13"/>
  <c r="G4382" i="13"/>
  <c r="G4381" i="13"/>
  <c r="G4380" i="13"/>
  <c r="G4379" i="13"/>
  <c r="G4378" i="13"/>
  <c r="G4377" i="13"/>
  <c r="G4376" i="13"/>
  <c r="G4375" i="13"/>
  <c r="G4374" i="13"/>
  <c r="G4373" i="13"/>
  <c r="G4372" i="13"/>
  <c r="G4371" i="13"/>
  <c r="G4370" i="13"/>
  <c r="G4369" i="13"/>
  <c r="G4368" i="13"/>
  <c r="G4367" i="13"/>
  <c r="G4366" i="13"/>
  <c r="G4365" i="13"/>
  <c r="G4364" i="13"/>
  <c r="G4363" i="13"/>
  <c r="G4362" i="13"/>
  <c r="G4361" i="13"/>
  <c r="G4360" i="13"/>
  <c r="G4359" i="13"/>
  <c r="G4358" i="13"/>
  <c r="G4357" i="13"/>
  <c r="G4356" i="13"/>
  <c r="G4355" i="13"/>
  <c r="G4354" i="13"/>
  <c r="G4353" i="13"/>
  <c r="G4352" i="13"/>
  <c r="G4351" i="13"/>
  <c r="G4350" i="13"/>
  <c r="G4349" i="13"/>
  <c r="G4348" i="13"/>
  <c r="G4347" i="13"/>
  <c r="G4346" i="13"/>
  <c r="G4345" i="13"/>
  <c r="G4344" i="13"/>
  <c r="G4343" i="13"/>
  <c r="G4342" i="13"/>
  <c r="G4341" i="13"/>
  <c r="G4340" i="13"/>
  <c r="G4339" i="13"/>
  <c r="G4338" i="13"/>
  <c r="G4337" i="13"/>
  <c r="G4336" i="13"/>
  <c r="G4335" i="13"/>
  <c r="G4334" i="13"/>
  <c r="G4333" i="13"/>
  <c r="G4332" i="13"/>
  <c r="G4331" i="13"/>
  <c r="G4330" i="13"/>
  <c r="G4329" i="13"/>
  <c r="G4328" i="13"/>
  <c r="G4327" i="13"/>
  <c r="G4326" i="13"/>
  <c r="G4325" i="13"/>
  <c r="G4324" i="13"/>
  <c r="G4323" i="13"/>
  <c r="G4322" i="13"/>
  <c r="G4321" i="13"/>
  <c r="G4320" i="13"/>
  <c r="G4319" i="13"/>
  <c r="G4318" i="13"/>
  <c r="G4317" i="13"/>
  <c r="G4316" i="13"/>
  <c r="G4315" i="13"/>
  <c r="G4314" i="13"/>
  <c r="G4313" i="13"/>
  <c r="G4312" i="13"/>
  <c r="G4311" i="13"/>
  <c r="G4310" i="13"/>
  <c r="G4309" i="13"/>
  <c r="G4308" i="13"/>
  <c r="G4307" i="13"/>
  <c r="G4306" i="13"/>
  <c r="G4305" i="13"/>
  <c r="G4304" i="13"/>
  <c r="G4303" i="13"/>
  <c r="G4302" i="13"/>
  <c r="G4301" i="13"/>
  <c r="G4300" i="13"/>
  <c r="G4299" i="13"/>
  <c r="G4298" i="13"/>
  <c r="G4297" i="13"/>
  <c r="G4296" i="13"/>
  <c r="G4295" i="13"/>
  <c r="G4294" i="13"/>
  <c r="G4293" i="13"/>
  <c r="G4292" i="13"/>
  <c r="G4291" i="13"/>
  <c r="G4290" i="13"/>
  <c r="G4289" i="13"/>
  <c r="G4288" i="13"/>
  <c r="G4287" i="13"/>
  <c r="G4286" i="13"/>
  <c r="G4285" i="13"/>
  <c r="G4284" i="13"/>
  <c r="G4283" i="13"/>
  <c r="G4282" i="13"/>
  <c r="G4281" i="13"/>
  <c r="G4280" i="13"/>
  <c r="G4279" i="13"/>
  <c r="G4278" i="13"/>
  <c r="G4277" i="13"/>
  <c r="G4276" i="13"/>
  <c r="G4275" i="13"/>
  <c r="G4274" i="13"/>
  <c r="G4273" i="13"/>
  <c r="G4272" i="13"/>
  <c r="G4271" i="13"/>
  <c r="G4270" i="13"/>
  <c r="G4269" i="13"/>
  <c r="G4268" i="13"/>
  <c r="G4267" i="13"/>
  <c r="G4266" i="13"/>
  <c r="G4265" i="13"/>
  <c r="G4264" i="13"/>
  <c r="G4263" i="13"/>
  <c r="G4262" i="13"/>
  <c r="G4261" i="13"/>
  <c r="G4260" i="13"/>
  <c r="G4259" i="13"/>
  <c r="G4258" i="13"/>
  <c r="G4257" i="13"/>
  <c r="G4256" i="13"/>
  <c r="G4255" i="13"/>
  <c r="G4254" i="13"/>
  <c r="G4253" i="13"/>
  <c r="G4252" i="13"/>
  <c r="G4251" i="13"/>
  <c r="G4250" i="13"/>
  <c r="G4249" i="13"/>
  <c r="G4248" i="13"/>
  <c r="G4247" i="13"/>
  <c r="G4246" i="13"/>
  <c r="G4245" i="13"/>
  <c r="G4244" i="13"/>
  <c r="G4243" i="13"/>
  <c r="G4242" i="13"/>
  <c r="G4241" i="13"/>
  <c r="G4240" i="13"/>
  <c r="G4239" i="13"/>
  <c r="G4238" i="13"/>
  <c r="G4237" i="13"/>
  <c r="G4236" i="13"/>
  <c r="G4235" i="13"/>
  <c r="G4234" i="13"/>
  <c r="G4233" i="13"/>
  <c r="G4232" i="13"/>
  <c r="G4231" i="13"/>
  <c r="G4230" i="13"/>
  <c r="G4229" i="13"/>
  <c r="G4228" i="13"/>
  <c r="G4227" i="13"/>
  <c r="G4226" i="13"/>
  <c r="G4225" i="13"/>
  <c r="G4224" i="13"/>
  <c r="G4223" i="13"/>
  <c r="G4222" i="13"/>
  <c r="G4221" i="13"/>
  <c r="G4220" i="13"/>
  <c r="G4219" i="13"/>
  <c r="G4218" i="13"/>
  <c r="G4217" i="13"/>
  <c r="G4216" i="13"/>
  <c r="G4215" i="13"/>
  <c r="G4214" i="13"/>
  <c r="G4213" i="13"/>
  <c r="G4212" i="13"/>
  <c r="G4211" i="13"/>
  <c r="G4210" i="13"/>
  <c r="G4209" i="13"/>
  <c r="G4208" i="13"/>
  <c r="G4207" i="13"/>
  <c r="G4206" i="13"/>
  <c r="G4205" i="13"/>
  <c r="G4204" i="13"/>
  <c r="G4203" i="13"/>
  <c r="G4202" i="13"/>
  <c r="G4201" i="13"/>
  <c r="G4200" i="13"/>
  <c r="G4199" i="13"/>
  <c r="G4198" i="13"/>
  <c r="G4197" i="13"/>
  <c r="G4196" i="13"/>
  <c r="G4195" i="13"/>
  <c r="G4194" i="13"/>
  <c r="G4193" i="13"/>
  <c r="G4192" i="13"/>
  <c r="G4191" i="13"/>
  <c r="G4190" i="13"/>
  <c r="G4189" i="13"/>
  <c r="G4188" i="13"/>
  <c r="G4187" i="13"/>
  <c r="G4186" i="13"/>
  <c r="G4185" i="13"/>
  <c r="G4184" i="13"/>
  <c r="G4183" i="13"/>
  <c r="G4182" i="13"/>
  <c r="G4181" i="13"/>
  <c r="G4180" i="13"/>
  <c r="G4179" i="13"/>
  <c r="G4178" i="13"/>
  <c r="G4177" i="13"/>
  <c r="G4176" i="13"/>
  <c r="G4175" i="13"/>
  <c r="G4174" i="13"/>
  <c r="G4173" i="13"/>
  <c r="G4172" i="13"/>
  <c r="G4171" i="13"/>
  <c r="G4170" i="13"/>
  <c r="G4169" i="13"/>
  <c r="G4168" i="13"/>
  <c r="G4167" i="13"/>
  <c r="G4166" i="13"/>
  <c r="G4165" i="13"/>
  <c r="G4164" i="13"/>
  <c r="G4163" i="13"/>
  <c r="G4162" i="13"/>
  <c r="G4161" i="13"/>
  <c r="G4160" i="13"/>
  <c r="G4159" i="13"/>
  <c r="G4158" i="13"/>
  <c r="G4157" i="13"/>
  <c r="G4156" i="13"/>
  <c r="G4155" i="13"/>
  <c r="G4154" i="13"/>
  <c r="G4153" i="13"/>
  <c r="G4152" i="13"/>
  <c r="G4151" i="13"/>
  <c r="G4150" i="13"/>
  <c r="G4149" i="13"/>
  <c r="G4148" i="13"/>
  <c r="G4147" i="13"/>
  <c r="G4146" i="13"/>
  <c r="G4145" i="13"/>
  <c r="G4144" i="13"/>
  <c r="G4143" i="13"/>
  <c r="G4142" i="13"/>
  <c r="G4141" i="13"/>
  <c r="G4140" i="13"/>
  <c r="G4139" i="13"/>
  <c r="G4138" i="13"/>
  <c r="G4137" i="13"/>
  <c r="G4136" i="13"/>
  <c r="G4135" i="13"/>
  <c r="G4134" i="13"/>
  <c r="G4133" i="13"/>
  <c r="G4132" i="13"/>
  <c r="G4131" i="13"/>
  <c r="G4130" i="13"/>
  <c r="G4129" i="13"/>
  <c r="G4128" i="13"/>
  <c r="G4127" i="13"/>
  <c r="G4126" i="13"/>
  <c r="G4125" i="13"/>
  <c r="G4124" i="13"/>
  <c r="G4123" i="13"/>
  <c r="G4122" i="13"/>
  <c r="G4121" i="13"/>
  <c r="G4120" i="13"/>
  <c r="G4119" i="13"/>
  <c r="G4118" i="13"/>
  <c r="G4117" i="13"/>
  <c r="A4117" i="13"/>
  <c r="G4116" i="13"/>
  <c r="A4116" i="13"/>
  <c r="G4115" i="13"/>
  <c r="G4114" i="13"/>
  <c r="G4113" i="13"/>
  <c r="G4112" i="13"/>
  <c r="G4111" i="13"/>
  <c r="G4110" i="13"/>
  <c r="G4109" i="13"/>
  <c r="G4108" i="13"/>
  <c r="G4107" i="13"/>
  <c r="G4106" i="13"/>
  <c r="G4105" i="13"/>
  <c r="G4104" i="13"/>
  <c r="G4103" i="13"/>
  <c r="G4102" i="13"/>
  <c r="G4101" i="13"/>
  <c r="G4100" i="13"/>
  <c r="G4099" i="13"/>
  <c r="G4098" i="13"/>
  <c r="G4097" i="13"/>
  <c r="G4096" i="13"/>
  <c r="G4095" i="13"/>
  <c r="G4094" i="13"/>
  <c r="G4093" i="13"/>
  <c r="G4092" i="13"/>
  <c r="G4091" i="13"/>
  <c r="G4090" i="13"/>
  <c r="G4089" i="13"/>
  <c r="G4088" i="13"/>
  <c r="G4087" i="13"/>
  <c r="G4086" i="13"/>
  <c r="G4085" i="13"/>
  <c r="G4084" i="13"/>
  <c r="G4083" i="13"/>
  <c r="G4082" i="13"/>
  <c r="G4081" i="13"/>
  <c r="G4080" i="13"/>
  <c r="G4079" i="13"/>
  <c r="G4078" i="13"/>
  <c r="G4077" i="13"/>
  <c r="G4076" i="13"/>
  <c r="G4075" i="13"/>
  <c r="G4074" i="13"/>
  <c r="G4073" i="13"/>
  <c r="G4072" i="13"/>
  <c r="G4071" i="13"/>
  <c r="G4070" i="13"/>
  <c r="G4069" i="13"/>
  <c r="G4068" i="13"/>
  <c r="G4067" i="13"/>
  <c r="G4066" i="13"/>
  <c r="G4065" i="13"/>
  <c r="G4064" i="13"/>
  <c r="G4063" i="13"/>
  <c r="G4062" i="13"/>
  <c r="G4061" i="13"/>
  <c r="G4060" i="13"/>
  <c r="G4059" i="13"/>
  <c r="G4058" i="13"/>
  <c r="G4057" i="13"/>
  <c r="G4056" i="13"/>
  <c r="G4055" i="13"/>
  <c r="G4054" i="13"/>
  <c r="G4053" i="13"/>
  <c r="G4052" i="13"/>
  <c r="G4051" i="13"/>
  <c r="G4050" i="13"/>
  <c r="G4049" i="13"/>
  <c r="G4048" i="13"/>
  <c r="G4047" i="13"/>
  <c r="G4046" i="13"/>
  <c r="G4045" i="13"/>
  <c r="G4044" i="13"/>
  <c r="G4043" i="13"/>
  <c r="G4042" i="13"/>
  <c r="G4041" i="13"/>
  <c r="G4040" i="13"/>
  <c r="G4039" i="13"/>
  <c r="G4038" i="13"/>
  <c r="G4037" i="13"/>
  <c r="G4036" i="13"/>
  <c r="G4035" i="13"/>
  <c r="G4034" i="13"/>
  <c r="G4033" i="13"/>
  <c r="G4032" i="13"/>
  <c r="G4031" i="13"/>
  <c r="G4030" i="13"/>
  <c r="G4029" i="13"/>
  <c r="G4028" i="13"/>
  <c r="G4027" i="13"/>
  <c r="G4026" i="13"/>
  <c r="G4025" i="13"/>
  <c r="G4024" i="13"/>
  <c r="G4023" i="13"/>
  <c r="G4022" i="13"/>
  <c r="G4021" i="13"/>
  <c r="G4020" i="13"/>
  <c r="G4019" i="13"/>
  <c r="G4018" i="13"/>
  <c r="G4017" i="13"/>
  <c r="G4016" i="13"/>
  <c r="G4015" i="13"/>
  <c r="G4014" i="13"/>
  <c r="G4013" i="13"/>
  <c r="G4012" i="13"/>
  <c r="G4011" i="13"/>
  <c r="G4010" i="13"/>
  <c r="G4009" i="13"/>
  <c r="G4008" i="13"/>
  <c r="G4007" i="13"/>
  <c r="G4006" i="13"/>
  <c r="G4005" i="13"/>
  <c r="G4004" i="13"/>
  <c r="G4003" i="13"/>
  <c r="G4002" i="13"/>
  <c r="G4001" i="13"/>
  <c r="G4000" i="13"/>
  <c r="G3999" i="13"/>
  <c r="G3998" i="13"/>
  <c r="G3997" i="13"/>
  <c r="G3996" i="13"/>
  <c r="G3995" i="13"/>
  <c r="G3994" i="13"/>
  <c r="G3993" i="13"/>
  <c r="G3992" i="13"/>
  <c r="G3991" i="13"/>
  <c r="G3990" i="13"/>
  <c r="G3989" i="13"/>
  <c r="G3988" i="13"/>
  <c r="G3987" i="13"/>
  <c r="G3986" i="13"/>
  <c r="G3985" i="13"/>
  <c r="G3984" i="13"/>
  <c r="G3983" i="13"/>
  <c r="G3982" i="13"/>
  <c r="G3981" i="13"/>
  <c r="G3980" i="13"/>
  <c r="G3979" i="13"/>
  <c r="G3978" i="13"/>
  <c r="G3977" i="13"/>
  <c r="G3976" i="13"/>
  <c r="G3975" i="13"/>
  <c r="G3974" i="13"/>
  <c r="G3973" i="13"/>
  <c r="G3972" i="13"/>
  <c r="G3971" i="13"/>
  <c r="G3970" i="13"/>
  <c r="G3969" i="13"/>
  <c r="G3968" i="13"/>
  <c r="G3967" i="13"/>
  <c r="G3966" i="13"/>
  <c r="G3965" i="13"/>
  <c r="G3964" i="13"/>
  <c r="G3963" i="13"/>
  <c r="G3962" i="13"/>
  <c r="G3961" i="13"/>
  <c r="G3960" i="13"/>
  <c r="G3959" i="13"/>
  <c r="G3958" i="13"/>
  <c r="G3957" i="13"/>
  <c r="G3956" i="13"/>
  <c r="G3955" i="13"/>
  <c r="G3954" i="13"/>
  <c r="G3953" i="13"/>
  <c r="G3952" i="13"/>
  <c r="G3951" i="13"/>
  <c r="G3950" i="13"/>
  <c r="G3949" i="13"/>
  <c r="G3948" i="13"/>
  <c r="G3947" i="13"/>
  <c r="G3946" i="13"/>
  <c r="G3945" i="13"/>
  <c r="G3944" i="13"/>
  <c r="G3943" i="13"/>
  <c r="G3942" i="13"/>
  <c r="G3941" i="13"/>
  <c r="G3940" i="13"/>
  <c r="G3939" i="13"/>
  <c r="G3938" i="13"/>
  <c r="G3937" i="13"/>
  <c r="G3936" i="13"/>
  <c r="G3935" i="13"/>
  <c r="G3934" i="13"/>
  <c r="G3933" i="13"/>
  <c r="G3932" i="13"/>
  <c r="G3931" i="13"/>
  <c r="G3930" i="13"/>
  <c r="G3929" i="13"/>
  <c r="G3928" i="13"/>
  <c r="G3927" i="13"/>
  <c r="G3926" i="13"/>
  <c r="G3925" i="13"/>
  <c r="G3924" i="13"/>
  <c r="G3923" i="13"/>
  <c r="G3922" i="13"/>
  <c r="G3921" i="13"/>
  <c r="G3920" i="13"/>
  <c r="G3919" i="13"/>
  <c r="G3918" i="13"/>
  <c r="G3917" i="13"/>
  <c r="G3916" i="13"/>
  <c r="G3915" i="13"/>
  <c r="G3914" i="13"/>
  <c r="G3913" i="13"/>
  <c r="G3912" i="13"/>
  <c r="G3911" i="13"/>
  <c r="G3910" i="13"/>
  <c r="G3909" i="13"/>
  <c r="G3908" i="13"/>
  <c r="G3907" i="13"/>
  <c r="G3906" i="13"/>
  <c r="G3905" i="13"/>
  <c r="G3904" i="13"/>
  <c r="G3903" i="13"/>
  <c r="G3902" i="13"/>
  <c r="G3901" i="13"/>
  <c r="G3900" i="13"/>
  <c r="G3899" i="13"/>
  <c r="G3898" i="13"/>
  <c r="G3897" i="13"/>
  <c r="G3896" i="13"/>
  <c r="G3895" i="13"/>
  <c r="G3894" i="13"/>
  <c r="G3893" i="13"/>
  <c r="G3892" i="13"/>
  <c r="G3891" i="13"/>
  <c r="G3890" i="13"/>
  <c r="G3889" i="13"/>
  <c r="G3888" i="13"/>
  <c r="G3887" i="13"/>
  <c r="G3886" i="13"/>
  <c r="G3885" i="13"/>
  <c r="G3884" i="13"/>
  <c r="G3883" i="13"/>
  <c r="G3882" i="13"/>
  <c r="G3881" i="13"/>
  <c r="G3880" i="13"/>
  <c r="G3879" i="13"/>
  <c r="G3878" i="13"/>
  <c r="G3877" i="13"/>
  <c r="G3876" i="13"/>
  <c r="G3875" i="13"/>
  <c r="G3874" i="13"/>
  <c r="G3873" i="13"/>
  <c r="G3872" i="13"/>
  <c r="G3871" i="13"/>
  <c r="G3870" i="13"/>
  <c r="G3869" i="13"/>
  <c r="G3868" i="13"/>
  <c r="G3867" i="13"/>
  <c r="G3866" i="13"/>
  <c r="G3865" i="13"/>
  <c r="G3864" i="13"/>
  <c r="G3863" i="13"/>
  <c r="G3862" i="13"/>
  <c r="G3861" i="13"/>
  <c r="G3860" i="13"/>
  <c r="G3859" i="13"/>
  <c r="G3858" i="13"/>
  <c r="G3857" i="13"/>
  <c r="G3856" i="13"/>
  <c r="G3855" i="13"/>
  <c r="G3854" i="13"/>
  <c r="G3853" i="13"/>
  <c r="G3852" i="13"/>
  <c r="G3851" i="13"/>
  <c r="G3850" i="13"/>
  <c r="G3849" i="13"/>
  <c r="G3848" i="13"/>
  <c r="G3847" i="13"/>
  <c r="G3846" i="13"/>
  <c r="G3845" i="13"/>
  <c r="G3844" i="13"/>
  <c r="G3843" i="13"/>
  <c r="G3842" i="13"/>
  <c r="G3841" i="13"/>
  <c r="G3840" i="13"/>
  <c r="G3839" i="13"/>
  <c r="G3838" i="13"/>
  <c r="G3837" i="13"/>
  <c r="G3836" i="13"/>
  <c r="G3835" i="13"/>
  <c r="G3834" i="13"/>
  <c r="G3833" i="13"/>
  <c r="G3832" i="13"/>
  <c r="G3831" i="13"/>
  <c r="G3830" i="13"/>
  <c r="G3829" i="13"/>
  <c r="G3828" i="13"/>
  <c r="G3827" i="13"/>
  <c r="G3826" i="13"/>
  <c r="G3825" i="13"/>
  <c r="G3824" i="13"/>
  <c r="G3823" i="13"/>
  <c r="G3822" i="13"/>
  <c r="G3821" i="13"/>
  <c r="G3820" i="13"/>
  <c r="G3819" i="13"/>
  <c r="G3818" i="13"/>
  <c r="G3817" i="13"/>
  <c r="G3816" i="13"/>
  <c r="G3815" i="13"/>
  <c r="G3814" i="13"/>
  <c r="G3813" i="13"/>
  <c r="G3812" i="13"/>
  <c r="G3811" i="13"/>
  <c r="G3810" i="13"/>
  <c r="G3809" i="13"/>
  <c r="G3808" i="13"/>
  <c r="G3807" i="13"/>
  <c r="G3806" i="13"/>
  <c r="G3805" i="13"/>
  <c r="G3804" i="13"/>
  <c r="G3803" i="13"/>
  <c r="G3802" i="13"/>
  <c r="G3801" i="13"/>
  <c r="G3800" i="13"/>
  <c r="G3799" i="13"/>
  <c r="G3798" i="13"/>
  <c r="G3797" i="13"/>
  <c r="G3796" i="13"/>
  <c r="G3795" i="13"/>
  <c r="G3794" i="13"/>
  <c r="G3793" i="13"/>
  <c r="G3792" i="13"/>
  <c r="G3791" i="13"/>
  <c r="G3790" i="13"/>
  <c r="G3789" i="13"/>
  <c r="G3788" i="13"/>
  <c r="G3787" i="13"/>
  <c r="G3786" i="13"/>
  <c r="G3785" i="13"/>
  <c r="G3784" i="13"/>
  <c r="G3783" i="13"/>
  <c r="G3782" i="13"/>
  <c r="G3781" i="13"/>
  <c r="G3780" i="13"/>
  <c r="G3779" i="13"/>
  <c r="G3778" i="13"/>
  <c r="G3777" i="13"/>
  <c r="G3776" i="13"/>
  <c r="G3775" i="13"/>
  <c r="G3774" i="13"/>
  <c r="G3773" i="13"/>
  <c r="G3772" i="13"/>
  <c r="G3771" i="13"/>
  <c r="G3770" i="13"/>
  <c r="G3769" i="13"/>
  <c r="G3768" i="13"/>
  <c r="G3767" i="13"/>
  <c r="G3766" i="13"/>
  <c r="G3765" i="13"/>
  <c r="G3764" i="13"/>
  <c r="G3763" i="13"/>
  <c r="G3762" i="13"/>
  <c r="G3761" i="13"/>
  <c r="G3760" i="13"/>
  <c r="G3759" i="13"/>
  <c r="G3758" i="13"/>
  <c r="G3757" i="13"/>
  <c r="G3756" i="13"/>
  <c r="G3755" i="13"/>
  <c r="G3754" i="13"/>
  <c r="G3753" i="13"/>
  <c r="G3752" i="13"/>
  <c r="G3751" i="13"/>
  <c r="G3750" i="13"/>
  <c r="G3749" i="13"/>
  <c r="G3748" i="13"/>
  <c r="G3747" i="13"/>
  <c r="G3746" i="13"/>
  <c r="G3745" i="13"/>
  <c r="G3744" i="13"/>
  <c r="G3743" i="13"/>
  <c r="G3742" i="13"/>
  <c r="G3741" i="13"/>
  <c r="G3740" i="13"/>
  <c r="G3739" i="13"/>
  <c r="G3738" i="13"/>
  <c r="G3737" i="13"/>
  <c r="A3737" i="13"/>
  <c r="G3736" i="13"/>
  <c r="A3736" i="13"/>
  <c r="G3735" i="13"/>
  <c r="G3734" i="13"/>
  <c r="G3733" i="13"/>
  <c r="G3732" i="13"/>
  <c r="G3731" i="13"/>
  <c r="G3730" i="13"/>
  <c r="G3729" i="13"/>
  <c r="G3728" i="13"/>
  <c r="G3727" i="13"/>
  <c r="G3726" i="13"/>
  <c r="G3725" i="13"/>
  <c r="G3724" i="13"/>
  <c r="G3723" i="13"/>
  <c r="G3722" i="13"/>
  <c r="G3721" i="13"/>
  <c r="G3720" i="13"/>
  <c r="G3719" i="13"/>
  <c r="G3718" i="13"/>
  <c r="G3717" i="13"/>
  <c r="G3716" i="13"/>
  <c r="G3715" i="13"/>
  <c r="G3714" i="13"/>
  <c r="G3713" i="13"/>
  <c r="G3712" i="13"/>
  <c r="G3711" i="13"/>
  <c r="G3710" i="13"/>
  <c r="G3709" i="13"/>
  <c r="G3708" i="13"/>
  <c r="G3707" i="13"/>
  <c r="G3706" i="13"/>
  <c r="G3705" i="13"/>
  <c r="G3704" i="13"/>
  <c r="G3703" i="13"/>
  <c r="G3702" i="13"/>
  <c r="G3701" i="13"/>
  <c r="G3700" i="13"/>
  <c r="G3699" i="13"/>
  <c r="G3698" i="13"/>
  <c r="G3697" i="13"/>
  <c r="G3696" i="13"/>
  <c r="G3695" i="13"/>
  <c r="G3694" i="13"/>
  <c r="G3693" i="13"/>
  <c r="G3692" i="13"/>
  <c r="G3691" i="13"/>
  <c r="G3690" i="13"/>
  <c r="G3689" i="13"/>
  <c r="G3688" i="13"/>
  <c r="G3687" i="13"/>
  <c r="G3686" i="13"/>
  <c r="G3685" i="13"/>
  <c r="G3684" i="13"/>
  <c r="G3683" i="13"/>
  <c r="G3682" i="13"/>
  <c r="G3681" i="13"/>
  <c r="G3680" i="13"/>
  <c r="G3679" i="13"/>
  <c r="G3678" i="13"/>
  <c r="G3677" i="13"/>
  <c r="G3676" i="13"/>
  <c r="G3675" i="13"/>
  <c r="G3674" i="13"/>
  <c r="G3673" i="13"/>
  <c r="G3672" i="13"/>
  <c r="G3671" i="13"/>
  <c r="G3670" i="13"/>
  <c r="G3669" i="13"/>
  <c r="G3668" i="13"/>
  <c r="G3667" i="13"/>
  <c r="G3666" i="13"/>
  <c r="G3665" i="13"/>
  <c r="G3664" i="13"/>
  <c r="G3663" i="13"/>
  <c r="G3662" i="13"/>
  <c r="G3661" i="13"/>
  <c r="G3660" i="13"/>
  <c r="G3659" i="13"/>
  <c r="G3658" i="13"/>
  <c r="G3657" i="13"/>
  <c r="G3656" i="13"/>
  <c r="G3655" i="13"/>
  <c r="G3654" i="13"/>
  <c r="G3653" i="13"/>
  <c r="G3652" i="13"/>
  <c r="G3651" i="13"/>
  <c r="G3650" i="13"/>
  <c r="G3649" i="13"/>
  <c r="G3648" i="13"/>
  <c r="G3647" i="13"/>
  <c r="G3646" i="13"/>
  <c r="G3645" i="13"/>
  <c r="G3644" i="13"/>
  <c r="G3643" i="13"/>
  <c r="G3642" i="13"/>
  <c r="G3641" i="13"/>
  <c r="G3640" i="13"/>
  <c r="G3639" i="13"/>
  <c r="G3638" i="13"/>
  <c r="G3637" i="13"/>
  <c r="G3636" i="13"/>
  <c r="G3635" i="13"/>
  <c r="G3634" i="13"/>
  <c r="G3633" i="13"/>
  <c r="G3632" i="13"/>
  <c r="G3631" i="13"/>
  <c r="G3630" i="13"/>
  <c r="G3629" i="13"/>
  <c r="G3628" i="13"/>
  <c r="G3627" i="13"/>
  <c r="G3626" i="13"/>
  <c r="G3625" i="13"/>
  <c r="G3624" i="13"/>
  <c r="G3623" i="13"/>
  <c r="G3622" i="13"/>
  <c r="G3621" i="13"/>
  <c r="G3620" i="13"/>
  <c r="G3619" i="13"/>
  <c r="G3618" i="13"/>
  <c r="G3617" i="13"/>
  <c r="G3616" i="13"/>
  <c r="G3615" i="13"/>
  <c r="G3614" i="13"/>
  <c r="G3613" i="13"/>
  <c r="G3612" i="13"/>
  <c r="G3611" i="13"/>
  <c r="G3610" i="13"/>
  <c r="G3609" i="13"/>
  <c r="G3608" i="13"/>
  <c r="G3607" i="13"/>
  <c r="G3606" i="13"/>
  <c r="G3605" i="13"/>
  <c r="G3604" i="13"/>
  <c r="G3603" i="13"/>
  <c r="G3602" i="13"/>
  <c r="G3601" i="13"/>
  <c r="G3600" i="13"/>
  <c r="G3599" i="13"/>
  <c r="G3598" i="13"/>
  <c r="G3597" i="13"/>
  <c r="G3596" i="13"/>
  <c r="G3595" i="13"/>
  <c r="G3594" i="13"/>
  <c r="G3593" i="13"/>
  <c r="G3592" i="13"/>
  <c r="G3591" i="13"/>
  <c r="G3590" i="13"/>
  <c r="G3589" i="13"/>
  <c r="G3588" i="13"/>
  <c r="G3587" i="13"/>
  <c r="G3586" i="13"/>
  <c r="G3585" i="13"/>
  <c r="G3584" i="13"/>
  <c r="G3583" i="13"/>
  <c r="G3582" i="13"/>
  <c r="G3581" i="13"/>
  <c r="G3580" i="13"/>
  <c r="G3579" i="13"/>
  <c r="G3578" i="13"/>
  <c r="G3577" i="13"/>
  <c r="G3576" i="13"/>
  <c r="G3575" i="13"/>
  <c r="G3574" i="13"/>
  <c r="G3573" i="13"/>
  <c r="G3572" i="13"/>
  <c r="G3571" i="13"/>
  <c r="G3570" i="13"/>
  <c r="G3569" i="13"/>
  <c r="G3568" i="13"/>
  <c r="G3567" i="13"/>
  <c r="G3566" i="13"/>
  <c r="G3565" i="13"/>
  <c r="G3564" i="13"/>
  <c r="G3563" i="13"/>
  <c r="G3562" i="13"/>
  <c r="G3561" i="13"/>
  <c r="G3560" i="13"/>
  <c r="G3559" i="13"/>
  <c r="G3558" i="13"/>
  <c r="G3557" i="13"/>
  <c r="G3556" i="13"/>
  <c r="G3555" i="13"/>
  <c r="G3554" i="13"/>
  <c r="G3553" i="13"/>
  <c r="G3552" i="13"/>
  <c r="G3551" i="13"/>
  <c r="G3550" i="13"/>
  <c r="G3549" i="13"/>
  <c r="G3548" i="13"/>
  <c r="G3547" i="13"/>
  <c r="G3546" i="13"/>
  <c r="G3545" i="13"/>
  <c r="G3544" i="13"/>
  <c r="G3543" i="13"/>
  <c r="G3542" i="13"/>
  <c r="G3541" i="13"/>
  <c r="G3540" i="13"/>
  <c r="G3539" i="13"/>
  <c r="G3538" i="13"/>
  <c r="G3537" i="13"/>
  <c r="G3536" i="13"/>
  <c r="G3535" i="13"/>
  <c r="G3534" i="13"/>
  <c r="G3533" i="13"/>
  <c r="G3532" i="13"/>
  <c r="G3531" i="13"/>
  <c r="G3530" i="13"/>
  <c r="G3529" i="13"/>
  <c r="G3528" i="13"/>
  <c r="G3527" i="13"/>
  <c r="G3526" i="13"/>
  <c r="G3525" i="13"/>
  <c r="G3524" i="13"/>
  <c r="G3523" i="13"/>
  <c r="G3522" i="13"/>
  <c r="G3521" i="13"/>
  <c r="G3520" i="13"/>
  <c r="G3519" i="13"/>
  <c r="G3518" i="13"/>
  <c r="G3517" i="13"/>
  <c r="G3516" i="13"/>
  <c r="G3515" i="13"/>
  <c r="G3514" i="13"/>
  <c r="G3513" i="13"/>
  <c r="G3512" i="13"/>
  <c r="G3511" i="13"/>
  <c r="G3510" i="13"/>
  <c r="G3509" i="13"/>
  <c r="G3508" i="13"/>
  <c r="G3507" i="13"/>
  <c r="G3506" i="13"/>
  <c r="G3505" i="13"/>
  <c r="G3504" i="13"/>
  <c r="G3503" i="13"/>
  <c r="G3502" i="13"/>
  <c r="G3501" i="13"/>
  <c r="G3500" i="13"/>
  <c r="G3499" i="13"/>
  <c r="G3498" i="13"/>
  <c r="G3497" i="13"/>
  <c r="G3496" i="13"/>
  <c r="G3495" i="13"/>
  <c r="G3494" i="13"/>
  <c r="G3493" i="13"/>
  <c r="G3492" i="13"/>
  <c r="G3491" i="13"/>
  <c r="G3490" i="13"/>
  <c r="G3489" i="13"/>
  <c r="G3488" i="13"/>
  <c r="G3487" i="13"/>
  <c r="G3486" i="13"/>
  <c r="G3485" i="13"/>
  <c r="G3484" i="13"/>
  <c r="G3483" i="13"/>
  <c r="G3482" i="13"/>
  <c r="G3481" i="13"/>
  <c r="G3480" i="13"/>
  <c r="G3479" i="13"/>
  <c r="G3478" i="13"/>
  <c r="G3477" i="13"/>
  <c r="G3476" i="13"/>
  <c r="G3475" i="13"/>
  <c r="G3474" i="13"/>
  <c r="G3473" i="13"/>
  <c r="G3472" i="13"/>
  <c r="G3471" i="13"/>
  <c r="G3470" i="13"/>
  <c r="G3469" i="13"/>
  <c r="G3468" i="13"/>
  <c r="G3467" i="13"/>
  <c r="G3466" i="13"/>
  <c r="G3465" i="13"/>
  <c r="G3464" i="13"/>
  <c r="G3463" i="13"/>
  <c r="G3462" i="13"/>
  <c r="G3461" i="13"/>
  <c r="G3460" i="13"/>
  <c r="G3459" i="13"/>
  <c r="G3458" i="13"/>
  <c r="G3457" i="13"/>
  <c r="G3456" i="13"/>
  <c r="G3455" i="13"/>
  <c r="G3454" i="13"/>
  <c r="G3453" i="13"/>
  <c r="G3452" i="13"/>
  <c r="G3451" i="13"/>
  <c r="G3450" i="13"/>
  <c r="G3449" i="13"/>
  <c r="G3448" i="13"/>
  <c r="G3447" i="13"/>
  <c r="G3446" i="13"/>
  <c r="G3445" i="13"/>
  <c r="G3444" i="13"/>
  <c r="G3443" i="13"/>
  <c r="G3442" i="13"/>
  <c r="G3441" i="13"/>
  <c r="G3440" i="13"/>
  <c r="G3439" i="13"/>
  <c r="G3438" i="13"/>
  <c r="G3437" i="13"/>
  <c r="G3436" i="13"/>
  <c r="G3435" i="13"/>
  <c r="G3434" i="13"/>
  <c r="G3433" i="13"/>
  <c r="G3432" i="13"/>
  <c r="G3431" i="13"/>
  <c r="G3430" i="13"/>
  <c r="G3429" i="13"/>
  <c r="G3428" i="13"/>
  <c r="G3427" i="13"/>
  <c r="G3426" i="13"/>
  <c r="G3425" i="13"/>
  <c r="G3424" i="13"/>
  <c r="G3423" i="13"/>
  <c r="G3422" i="13"/>
  <c r="G3421" i="13"/>
  <c r="G3420" i="13"/>
  <c r="G3419" i="13"/>
  <c r="G3418" i="13"/>
  <c r="G3417" i="13"/>
  <c r="G3416" i="13"/>
  <c r="G3415" i="13"/>
  <c r="G3414" i="13"/>
  <c r="G3413" i="13"/>
  <c r="G3412" i="13"/>
  <c r="G3411" i="13"/>
  <c r="G3410" i="13"/>
  <c r="G3409" i="13"/>
  <c r="G3408" i="13"/>
  <c r="G3407" i="13"/>
  <c r="G3406" i="13"/>
  <c r="G3405" i="13"/>
  <c r="G3404" i="13"/>
  <c r="G3403" i="13"/>
  <c r="G3402" i="13"/>
  <c r="G3401" i="13"/>
  <c r="G3400" i="13"/>
  <c r="G3399" i="13"/>
  <c r="G3398" i="13"/>
  <c r="G3397" i="13"/>
  <c r="G3396" i="13"/>
  <c r="G3395" i="13"/>
  <c r="G3394" i="13"/>
  <c r="G3393" i="13"/>
  <c r="G3392" i="13"/>
  <c r="G3391" i="13"/>
  <c r="G3390" i="13"/>
  <c r="G3389" i="13"/>
  <c r="G3388" i="13"/>
  <c r="G3387" i="13"/>
  <c r="G3386" i="13"/>
  <c r="G3385" i="13"/>
  <c r="G3384" i="13"/>
  <c r="G3383" i="13"/>
  <c r="G3382" i="13"/>
  <c r="G3381" i="13"/>
  <c r="G3380" i="13"/>
  <c r="G3379" i="13"/>
  <c r="G3378" i="13"/>
  <c r="G3377" i="13"/>
  <c r="G3376" i="13"/>
  <c r="G3375" i="13"/>
  <c r="G3374" i="13"/>
  <c r="G3373" i="13"/>
  <c r="G3372" i="13"/>
  <c r="G3371" i="13"/>
  <c r="G3370" i="13"/>
  <c r="G3369" i="13"/>
  <c r="G3368" i="13"/>
  <c r="G3367" i="13"/>
  <c r="G3366" i="13"/>
  <c r="G3365" i="13"/>
  <c r="G3364" i="13"/>
  <c r="G3363" i="13"/>
  <c r="G3362" i="13"/>
  <c r="G3361" i="13"/>
  <c r="G3360" i="13"/>
  <c r="G3359" i="13"/>
  <c r="G3358" i="13"/>
  <c r="G3357" i="13"/>
  <c r="G3356" i="13"/>
  <c r="A3356" i="13"/>
  <c r="G3355" i="13"/>
  <c r="A3355" i="13"/>
  <c r="G3354" i="13"/>
  <c r="G3353" i="13"/>
  <c r="G3352" i="13"/>
  <c r="G3351" i="13"/>
  <c r="G3350" i="13"/>
  <c r="G3349" i="13"/>
  <c r="G3348" i="13"/>
  <c r="G3347" i="13"/>
  <c r="G3346" i="13"/>
  <c r="G3345" i="13"/>
  <c r="G3344" i="13"/>
  <c r="G3343" i="13"/>
  <c r="G3342" i="13"/>
  <c r="G3341" i="13"/>
  <c r="G3340" i="13"/>
  <c r="G3339" i="13"/>
  <c r="G3338" i="13"/>
  <c r="G3337" i="13"/>
  <c r="G3336" i="13"/>
  <c r="G3335" i="13"/>
  <c r="G3334" i="13"/>
  <c r="G3333" i="13"/>
  <c r="G3332" i="13"/>
  <c r="G3331" i="13"/>
  <c r="G3330" i="13"/>
  <c r="G3329" i="13"/>
  <c r="G3328" i="13"/>
  <c r="G3327" i="13"/>
  <c r="G3326" i="13"/>
  <c r="G3325" i="13"/>
  <c r="G3324" i="13"/>
  <c r="G3323" i="13"/>
  <c r="G3322" i="13"/>
  <c r="G3321" i="13"/>
  <c r="G3320" i="13"/>
  <c r="G3319" i="13"/>
  <c r="G3318" i="13"/>
  <c r="G3317" i="13"/>
  <c r="G3316" i="13"/>
  <c r="G3315" i="13"/>
  <c r="G3314" i="13"/>
  <c r="G3313" i="13"/>
  <c r="G3312" i="13"/>
  <c r="G3311" i="13"/>
  <c r="G3310" i="13"/>
  <c r="G3309" i="13"/>
  <c r="G3308" i="13"/>
  <c r="G3307" i="13"/>
  <c r="G3306" i="13"/>
  <c r="G3305" i="13"/>
  <c r="G3304" i="13"/>
  <c r="G3303" i="13"/>
  <c r="G3302" i="13"/>
  <c r="G3301" i="13"/>
  <c r="G3300" i="13"/>
  <c r="G3299" i="13"/>
  <c r="G3298" i="13"/>
  <c r="G3297" i="13"/>
  <c r="G3296" i="13"/>
  <c r="G3295" i="13"/>
  <c r="G3294" i="13"/>
  <c r="G3293" i="13"/>
  <c r="G3292" i="13"/>
  <c r="G3291" i="13"/>
  <c r="G3290" i="13"/>
  <c r="G3289" i="13"/>
  <c r="G3288" i="13"/>
  <c r="G3287" i="13"/>
  <c r="G3286" i="13"/>
  <c r="G3285" i="13"/>
  <c r="G3284" i="13"/>
  <c r="G3283" i="13"/>
  <c r="G3282" i="13"/>
  <c r="G3281" i="13"/>
  <c r="G3280" i="13"/>
  <c r="G3279" i="13"/>
  <c r="G3278" i="13"/>
  <c r="G3277" i="13"/>
  <c r="G3276" i="13"/>
  <c r="G3275" i="13"/>
  <c r="G3274" i="13"/>
  <c r="G3273" i="13"/>
  <c r="G3272" i="13"/>
  <c r="G3271" i="13"/>
  <c r="G3270" i="13"/>
  <c r="G3269" i="13"/>
  <c r="G3268" i="13"/>
  <c r="G3267" i="13"/>
  <c r="G3266" i="13"/>
  <c r="G3265" i="13"/>
  <c r="G3264" i="13"/>
  <c r="G3263" i="13"/>
  <c r="G3262" i="13"/>
  <c r="G3261" i="13"/>
  <c r="G3260" i="13"/>
  <c r="G3259" i="13"/>
  <c r="G3258" i="13"/>
  <c r="G3257" i="13"/>
  <c r="G3256" i="13"/>
  <c r="G3255" i="13"/>
  <c r="G3254" i="13"/>
  <c r="G3253" i="13"/>
  <c r="G3252" i="13"/>
  <c r="G3251" i="13"/>
  <c r="G3250" i="13"/>
  <c r="G3249" i="13"/>
  <c r="G3248" i="13"/>
  <c r="G3247" i="13"/>
  <c r="G3246" i="13"/>
  <c r="G3245" i="13"/>
  <c r="G3244" i="13"/>
  <c r="G3243" i="13"/>
  <c r="G3242" i="13"/>
  <c r="G3241" i="13"/>
  <c r="G3240" i="13"/>
  <c r="G3239" i="13"/>
  <c r="G3238" i="13"/>
  <c r="G3237" i="13"/>
  <c r="G3236" i="13"/>
  <c r="G3235" i="13"/>
  <c r="G3234" i="13"/>
  <c r="G3233" i="13"/>
  <c r="G3232" i="13"/>
  <c r="G3231" i="13"/>
  <c r="G3230" i="13"/>
  <c r="G3229" i="13"/>
  <c r="G3228" i="13"/>
  <c r="G3227" i="13"/>
  <c r="G3226" i="13"/>
  <c r="G3225" i="13"/>
  <c r="G3224" i="13"/>
  <c r="G3223" i="13"/>
  <c r="G3222" i="13"/>
  <c r="G3221" i="13"/>
  <c r="G3220" i="13"/>
  <c r="G3219" i="13"/>
  <c r="G3218" i="13"/>
  <c r="G3217" i="13"/>
  <c r="G3216" i="13"/>
  <c r="G3215" i="13"/>
  <c r="G3214" i="13"/>
  <c r="G3213" i="13"/>
  <c r="G3212" i="13"/>
  <c r="G3211" i="13"/>
  <c r="G3210" i="13"/>
  <c r="G3209" i="13"/>
  <c r="G3208" i="13"/>
  <c r="G3207" i="13"/>
  <c r="G3206" i="13"/>
  <c r="G3205" i="13"/>
  <c r="G3204" i="13"/>
  <c r="G3203" i="13"/>
  <c r="G3202" i="13"/>
  <c r="G3201" i="13"/>
  <c r="G3200" i="13"/>
  <c r="G3199" i="13"/>
  <c r="G3198" i="13"/>
  <c r="G3197" i="13"/>
  <c r="G3196" i="13"/>
  <c r="G3195" i="13"/>
  <c r="G3194" i="13"/>
  <c r="G3193" i="13"/>
  <c r="G3192" i="13"/>
  <c r="G3191" i="13"/>
  <c r="G3190" i="13"/>
  <c r="G3189" i="13"/>
  <c r="G3188" i="13"/>
  <c r="G3187" i="13"/>
  <c r="G3186" i="13"/>
  <c r="G3185" i="13"/>
  <c r="G3184" i="13"/>
  <c r="G3183" i="13"/>
  <c r="G3182" i="13"/>
  <c r="G3181" i="13"/>
  <c r="G3180" i="13"/>
  <c r="G3179" i="13"/>
  <c r="G3178" i="13"/>
  <c r="G3177" i="13"/>
  <c r="G3176" i="13"/>
  <c r="G3175" i="13"/>
  <c r="G3174" i="13"/>
  <c r="G3173" i="13"/>
  <c r="G3172" i="13"/>
  <c r="G3171" i="13"/>
  <c r="G3170" i="13"/>
  <c r="G3169" i="13"/>
  <c r="G3168" i="13"/>
  <c r="G3167" i="13"/>
  <c r="G3166" i="13"/>
  <c r="G3165" i="13"/>
  <c r="G3164" i="13"/>
  <c r="G3163" i="13"/>
  <c r="G3162" i="13"/>
  <c r="G3161" i="13"/>
  <c r="G3160" i="13"/>
  <c r="G3159" i="13"/>
  <c r="G3158" i="13"/>
  <c r="G3157" i="13"/>
  <c r="G3156" i="13"/>
  <c r="G3155" i="13"/>
  <c r="G3154" i="13"/>
  <c r="G3153" i="13"/>
  <c r="G3152" i="13"/>
  <c r="G3151" i="13"/>
  <c r="G3150" i="13"/>
  <c r="G3149" i="13"/>
  <c r="G3148" i="13"/>
  <c r="G3147" i="13"/>
  <c r="G3146" i="13"/>
  <c r="G3145" i="13"/>
  <c r="G3144" i="13"/>
  <c r="G3143" i="13"/>
  <c r="G3142" i="13"/>
  <c r="G3141" i="13"/>
  <c r="G3140" i="13"/>
  <c r="G3139" i="13"/>
  <c r="G3138" i="13"/>
  <c r="G3137" i="13"/>
  <c r="G3136" i="13"/>
  <c r="G3135" i="13"/>
  <c r="G3134" i="13"/>
  <c r="G3133" i="13"/>
  <c r="G3132" i="13"/>
  <c r="G3131" i="13"/>
  <c r="G3130" i="13"/>
  <c r="G3129" i="13"/>
  <c r="G3128" i="13"/>
  <c r="G3127" i="13"/>
  <c r="G3126" i="13"/>
  <c r="G3125" i="13"/>
  <c r="G3124" i="13"/>
  <c r="G3123" i="13"/>
  <c r="G3122" i="13"/>
  <c r="G3121" i="13"/>
  <c r="G3120" i="13"/>
  <c r="G3119" i="13"/>
  <c r="G3118" i="13"/>
  <c r="G3117" i="13"/>
  <c r="G3116" i="13"/>
  <c r="G3115" i="13"/>
  <c r="G3114" i="13"/>
  <c r="G3113" i="13"/>
  <c r="G3112" i="13"/>
  <c r="G3111" i="13"/>
  <c r="G3110" i="13"/>
  <c r="G3109" i="13"/>
  <c r="G3108" i="13"/>
  <c r="G3107" i="13"/>
  <c r="G3106" i="13"/>
  <c r="G3105" i="13"/>
  <c r="G3104" i="13"/>
  <c r="G3103" i="13"/>
  <c r="G3102" i="13"/>
  <c r="G3101" i="13"/>
  <c r="G3100" i="13"/>
  <c r="G3099" i="13"/>
  <c r="G3098" i="13"/>
  <c r="G3097" i="13"/>
  <c r="G3096" i="13"/>
  <c r="G3095" i="13"/>
  <c r="G3094" i="13"/>
  <c r="G3093" i="13"/>
  <c r="G3092" i="13"/>
  <c r="G3091" i="13"/>
  <c r="G3090" i="13"/>
  <c r="G3089" i="13"/>
  <c r="G3088" i="13"/>
  <c r="G3087" i="13"/>
  <c r="G3086" i="13"/>
  <c r="G3085" i="13"/>
  <c r="G3084" i="13"/>
  <c r="G3083" i="13"/>
  <c r="G3082" i="13"/>
  <c r="G3081" i="13"/>
  <c r="G3080" i="13"/>
  <c r="G3079" i="13"/>
  <c r="G3078" i="13"/>
  <c r="G3077" i="13"/>
  <c r="G3076" i="13"/>
  <c r="G3075" i="13"/>
  <c r="G3074" i="13"/>
  <c r="G3073" i="13"/>
  <c r="G3072" i="13"/>
  <c r="G3071" i="13"/>
  <c r="G3070" i="13"/>
  <c r="G3069" i="13"/>
  <c r="G3068" i="13"/>
  <c r="G3067" i="13"/>
  <c r="G3066" i="13"/>
  <c r="G3065" i="13"/>
  <c r="G3064" i="13"/>
  <c r="G3063" i="13"/>
  <c r="G3062" i="13"/>
  <c r="G3061" i="13"/>
  <c r="G3060" i="13"/>
  <c r="G3059" i="13"/>
  <c r="G3058" i="13"/>
  <c r="G3057" i="13"/>
  <c r="G3056" i="13"/>
  <c r="G3055" i="13"/>
  <c r="G3054" i="13"/>
  <c r="G3053" i="13"/>
  <c r="G3052" i="13"/>
  <c r="G3051" i="13"/>
  <c r="G3050" i="13"/>
  <c r="G3049" i="13"/>
  <c r="G3048" i="13"/>
  <c r="G3047" i="13"/>
  <c r="G3046" i="13"/>
  <c r="G3045" i="13"/>
  <c r="G3044" i="13"/>
  <c r="G3043" i="13"/>
  <c r="G3042" i="13"/>
  <c r="G3041" i="13"/>
  <c r="G3040" i="13"/>
  <c r="G3039" i="13"/>
  <c r="G3038" i="13"/>
  <c r="G3037" i="13"/>
  <c r="G3036" i="13"/>
  <c r="G3035" i="13"/>
  <c r="G3034" i="13"/>
  <c r="G3033" i="13"/>
  <c r="G3032" i="13"/>
  <c r="G3031" i="13"/>
  <c r="G3030" i="13"/>
  <c r="G3029" i="13"/>
  <c r="G3028" i="13"/>
  <c r="G3027" i="13"/>
  <c r="G3026" i="13"/>
  <c r="G3025" i="13"/>
  <c r="G3024" i="13"/>
  <c r="G3023" i="13"/>
  <c r="G3022" i="13"/>
  <c r="G3021" i="13"/>
  <c r="G3020" i="13"/>
  <c r="G3019" i="13"/>
  <c r="G3018" i="13"/>
  <c r="G3017" i="13"/>
  <c r="G3016" i="13"/>
  <c r="G3015" i="13"/>
  <c r="G3014" i="13"/>
  <c r="G3013" i="13"/>
  <c r="G3012" i="13"/>
  <c r="G3011" i="13"/>
  <c r="G3010" i="13"/>
  <c r="G3009" i="13"/>
  <c r="G3008" i="13"/>
  <c r="G3007" i="13"/>
  <c r="G3006" i="13"/>
  <c r="G3005" i="13"/>
  <c r="G3004" i="13"/>
  <c r="G3003" i="13"/>
  <c r="G3002" i="13"/>
  <c r="G3001" i="13"/>
  <c r="G3000" i="13"/>
  <c r="G2999" i="13"/>
  <c r="G2998" i="13"/>
  <c r="G2997" i="13"/>
  <c r="G2996" i="13"/>
  <c r="G2995" i="13"/>
  <c r="G2994" i="13"/>
  <c r="G2993" i="13"/>
  <c r="G2992" i="13"/>
  <c r="G2991" i="13"/>
  <c r="G2990" i="13"/>
  <c r="G2989" i="13"/>
  <c r="G2988" i="13"/>
  <c r="G2987" i="13"/>
  <c r="G2986" i="13"/>
  <c r="G2985" i="13"/>
  <c r="G2984" i="13"/>
  <c r="G2983" i="13"/>
  <c r="G2982" i="13"/>
  <c r="G2981" i="13"/>
  <c r="G2980" i="13"/>
  <c r="G2979" i="13"/>
  <c r="G2978" i="13"/>
  <c r="G2977" i="13"/>
  <c r="G2976" i="13"/>
  <c r="G2975" i="13"/>
  <c r="G2974" i="13"/>
  <c r="G2973" i="13"/>
  <c r="G2972" i="13"/>
  <c r="G2971" i="13"/>
  <c r="G2970" i="13"/>
  <c r="G2969" i="13"/>
  <c r="G2968" i="13"/>
  <c r="G2967" i="13"/>
  <c r="G2966" i="13"/>
  <c r="G2965" i="13"/>
  <c r="G2964" i="13"/>
  <c r="G2963" i="13"/>
  <c r="G2962" i="13"/>
  <c r="G2961" i="13"/>
  <c r="G2960" i="13"/>
  <c r="G2959" i="13"/>
  <c r="G2958" i="13"/>
  <c r="G2957" i="13"/>
  <c r="G2956" i="13"/>
  <c r="G2955" i="13"/>
  <c r="G2954" i="13"/>
  <c r="G2953" i="13"/>
  <c r="G2952" i="13"/>
  <c r="G2951" i="13"/>
  <c r="G2950" i="13"/>
  <c r="G2949" i="13"/>
  <c r="G2948" i="13"/>
  <c r="G2947" i="13"/>
  <c r="G2946" i="13"/>
  <c r="G2945" i="13"/>
  <c r="G2944" i="13"/>
  <c r="A2944" i="13"/>
  <c r="G2943" i="13"/>
  <c r="A2943" i="13"/>
  <c r="G2942" i="13"/>
  <c r="G2941" i="13"/>
  <c r="G2940" i="13"/>
  <c r="G2939" i="13"/>
  <c r="G2938" i="13"/>
  <c r="G2937" i="13"/>
  <c r="G2936" i="13"/>
  <c r="G2935" i="13"/>
  <c r="G2934" i="13"/>
  <c r="G2933" i="13"/>
  <c r="G2932" i="13"/>
  <c r="G2931" i="13"/>
  <c r="G2930" i="13"/>
  <c r="G2929" i="13"/>
  <c r="G2928" i="13"/>
  <c r="G2927" i="13"/>
  <c r="G2926" i="13"/>
  <c r="G2925" i="13"/>
  <c r="G2924" i="13"/>
  <c r="G2923" i="13"/>
  <c r="G2922" i="13"/>
  <c r="G2921" i="13"/>
  <c r="G2920" i="13"/>
  <c r="G2919" i="13"/>
  <c r="G2918" i="13"/>
  <c r="G2917" i="13"/>
  <c r="G2916" i="13"/>
  <c r="G2915" i="13"/>
  <c r="G2914" i="13"/>
  <c r="G2913" i="13"/>
  <c r="G2912" i="13"/>
  <c r="G2911" i="13"/>
  <c r="G2910" i="13"/>
  <c r="G2909" i="13"/>
  <c r="G2908" i="13"/>
  <c r="G2907" i="13"/>
  <c r="G2906" i="13"/>
  <c r="G2905" i="13"/>
  <c r="G2904" i="13"/>
  <c r="G2903" i="13"/>
  <c r="G2902" i="13"/>
  <c r="G2901" i="13"/>
  <c r="G2900" i="13"/>
  <c r="G2899" i="13"/>
  <c r="G2898" i="13"/>
  <c r="G2897" i="13"/>
  <c r="G2896" i="13"/>
  <c r="G2895" i="13"/>
  <c r="G2894" i="13"/>
  <c r="G2893" i="13"/>
  <c r="G2892" i="13"/>
  <c r="G2891" i="13"/>
  <c r="G2890" i="13"/>
  <c r="G2889" i="13"/>
  <c r="G2888" i="13"/>
  <c r="G2887" i="13"/>
  <c r="G2886" i="13"/>
  <c r="G2885" i="13"/>
  <c r="G2884" i="13"/>
  <c r="G2883" i="13"/>
  <c r="G2882" i="13"/>
  <c r="G2881" i="13"/>
  <c r="G2880" i="13"/>
  <c r="G2879" i="13"/>
  <c r="G2878" i="13"/>
  <c r="G2877" i="13"/>
  <c r="G2876" i="13"/>
  <c r="G2875" i="13"/>
  <c r="G2874" i="13"/>
  <c r="G2873" i="13"/>
  <c r="G2872" i="13"/>
  <c r="G2871" i="13"/>
  <c r="G2870" i="13"/>
  <c r="G2869" i="13"/>
  <c r="G2868" i="13"/>
  <c r="G2867" i="13"/>
  <c r="G2866" i="13"/>
  <c r="G2865" i="13"/>
  <c r="G2864" i="13"/>
  <c r="G2863" i="13"/>
  <c r="G2862" i="13"/>
  <c r="G2861" i="13"/>
  <c r="G2860" i="13"/>
  <c r="G2859" i="13"/>
  <c r="G2858" i="13"/>
  <c r="G2857" i="13"/>
  <c r="G2856" i="13"/>
  <c r="G2855" i="13"/>
  <c r="G2854" i="13"/>
  <c r="G2853" i="13"/>
  <c r="G2852" i="13"/>
  <c r="G2851" i="13"/>
  <c r="G2850" i="13"/>
  <c r="G2849" i="13"/>
  <c r="G2848" i="13"/>
  <c r="G2847" i="13"/>
  <c r="G2846" i="13"/>
  <c r="G2845" i="13"/>
  <c r="G2844" i="13"/>
  <c r="G2843" i="13"/>
  <c r="G2842" i="13"/>
  <c r="G2841" i="13"/>
  <c r="G2840" i="13"/>
  <c r="G2839" i="13"/>
  <c r="G2838" i="13"/>
  <c r="G2837" i="13"/>
  <c r="G2836" i="13"/>
  <c r="G2835" i="13"/>
  <c r="G2834" i="13"/>
  <c r="G2833" i="13"/>
  <c r="G2832" i="13"/>
  <c r="G2831" i="13"/>
  <c r="G2830" i="13"/>
  <c r="G2829" i="13"/>
  <c r="G2828" i="13"/>
  <c r="G2827" i="13"/>
  <c r="G2826" i="13"/>
  <c r="G2825" i="13"/>
  <c r="G2824" i="13"/>
  <c r="G2823" i="13"/>
  <c r="G2822" i="13"/>
  <c r="G2821" i="13"/>
  <c r="G2820" i="13"/>
  <c r="G2819" i="13"/>
  <c r="G2818" i="13"/>
  <c r="G2817" i="13"/>
  <c r="G2816" i="13"/>
  <c r="G2815" i="13"/>
  <c r="G2814" i="13"/>
  <c r="G2813" i="13"/>
  <c r="G2812" i="13"/>
  <c r="G2811" i="13"/>
  <c r="G2810" i="13"/>
  <c r="G2809" i="13"/>
  <c r="G2808" i="13"/>
  <c r="G2807" i="13"/>
  <c r="G2806" i="13"/>
  <c r="G2805" i="13"/>
  <c r="G2804" i="13"/>
  <c r="G2803" i="13"/>
  <c r="G2802" i="13"/>
  <c r="G2801" i="13"/>
  <c r="G2800" i="13"/>
  <c r="G2799" i="13"/>
  <c r="G2798" i="13"/>
  <c r="G2797" i="13"/>
  <c r="G2796" i="13"/>
  <c r="G2795" i="13"/>
  <c r="G2794" i="13"/>
  <c r="G2793" i="13"/>
  <c r="G2792" i="13"/>
  <c r="G2791" i="13"/>
  <c r="G2790" i="13"/>
  <c r="G2789" i="13"/>
  <c r="G2788" i="13"/>
  <c r="G2787" i="13"/>
  <c r="G2786" i="13"/>
  <c r="G2785" i="13"/>
  <c r="G2784" i="13"/>
  <c r="G2783" i="13"/>
  <c r="G2782" i="13"/>
  <c r="G2781" i="13"/>
  <c r="G2780" i="13"/>
  <c r="G2779" i="13"/>
  <c r="G2778" i="13"/>
  <c r="G2777" i="13"/>
  <c r="G2776" i="13"/>
  <c r="G2775" i="13"/>
  <c r="G2774" i="13"/>
  <c r="G2773" i="13"/>
  <c r="G2772" i="13"/>
  <c r="G2771" i="13"/>
  <c r="G2770" i="13"/>
  <c r="G2769" i="13"/>
  <c r="G2768" i="13"/>
  <c r="G2767" i="13"/>
  <c r="G2766" i="13"/>
  <c r="G2765" i="13"/>
  <c r="G2764" i="13"/>
  <c r="G2763" i="13"/>
  <c r="G2762" i="13"/>
  <c r="G2761" i="13"/>
  <c r="G2760" i="13"/>
  <c r="G2759" i="13"/>
  <c r="G2758" i="13"/>
  <c r="G2757" i="13"/>
  <c r="G2756" i="13"/>
  <c r="G2755" i="13"/>
  <c r="G2754" i="13"/>
  <c r="G2753" i="13"/>
  <c r="G2752" i="13"/>
  <c r="G2751" i="13"/>
  <c r="G2750" i="13"/>
  <c r="G2749" i="13"/>
  <c r="G2748" i="13"/>
  <c r="G2747" i="13"/>
  <c r="G2746" i="13"/>
  <c r="G2745" i="13"/>
  <c r="G2744" i="13"/>
  <c r="G2743" i="13"/>
  <c r="G2742" i="13"/>
  <c r="G2741" i="13"/>
  <c r="G2740" i="13"/>
  <c r="G2739" i="13"/>
  <c r="G2738" i="13"/>
  <c r="G2737" i="13"/>
  <c r="G2736" i="13"/>
  <c r="G2735" i="13"/>
  <c r="G2734" i="13"/>
  <c r="G2733" i="13"/>
  <c r="G2732" i="13"/>
  <c r="G2731" i="13"/>
  <c r="G2730" i="13"/>
  <c r="G2729" i="13"/>
  <c r="G2728" i="13"/>
  <c r="G2727" i="13"/>
  <c r="G2726" i="13"/>
  <c r="G2725" i="13"/>
  <c r="G2724" i="13"/>
  <c r="G2723" i="13"/>
  <c r="G2722" i="13"/>
  <c r="G2721" i="13"/>
  <c r="G2720" i="13"/>
  <c r="G2719" i="13"/>
  <c r="G2718" i="13"/>
  <c r="G2717" i="13"/>
  <c r="G2716" i="13"/>
  <c r="G2715" i="13"/>
  <c r="G2714" i="13"/>
  <c r="G2713" i="13"/>
  <c r="G2712" i="13"/>
  <c r="G2711" i="13"/>
  <c r="G2710" i="13"/>
  <c r="G2709" i="13"/>
  <c r="G2708" i="13"/>
  <c r="G2707" i="13"/>
  <c r="G2706" i="13"/>
  <c r="G2705" i="13"/>
  <c r="G2704" i="13"/>
  <c r="G2703" i="13"/>
  <c r="G2702" i="13"/>
  <c r="G2701" i="13"/>
  <c r="G2700" i="13"/>
  <c r="G2699" i="13"/>
  <c r="G2698" i="13"/>
  <c r="G2697" i="13"/>
  <c r="G2696" i="13"/>
  <c r="G2695" i="13"/>
  <c r="G2694" i="13"/>
  <c r="G2693" i="13"/>
  <c r="G2692" i="13"/>
  <c r="G2691" i="13"/>
  <c r="G2690" i="13"/>
  <c r="G2689" i="13"/>
  <c r="G2688" i="13"/>
  <c r="G2687" i="13"/>
  <c r="G2686" i="13"/>
  <c r="G2685" i="13"/>
  <c r="G2684" i="13"/>
  <c r="G2683" i="13"/>
  <c r="G2682" i="13"/>
  <c r="G2681" i="13"/>
  <c r="G2680" i="13"/>
  <c r="G2679" i="13"/>
  <c r="G2678" i="13"/>
  <c r="G2677" i="13"/>
  <c r="G2676" i="13"/>
  <c r="G2675" i="13"/>
  <c r="G2674" i="13"/>
  <c r="G2673" i="13"/>
  <c r="G2672" i="13"/>
  <c r="G2671" i="13"/>
  <c r="G2670" i="13"/>
  <c r="G2669" i="13"/>
  <c r="G2668" i="13"/>
  <c r="G2667" i="13"/>
  <c r="G2666" i="13"/>
  <c r="G2665" i="13"/>
  <c r="G2664" i="13"/>
  <c r="G2663" i="13"/>
  <c r="G2662" i="13"/>
  <c r="G2661" i="13"/>
  <c r="G2660" i="13"/>
  <c r="G2659" i="13"/>
  <c r="G2658" i="13"/>
  <c r="G2657" i="13"/>
  <c r="G2656" i="13"/>
  <c r="G2655" i="13"/>
  <c r="G2654" i="13"/>
  <c r="G2653" i="13"/>
  <c r="G2652" i="13"/>
  <c r="G2651" i="13"/>
  <c r="G2650" i="13"/>
  <c r="G2649" i="13"/>
  <c r="G2648" i="13"/>
  <c r="G2647" i="13"/>
  <c r="G2646" i="13"/>
  <c r="G2645" i="13"/>
  <c r="G2644" i="13"/>
  <c r="G2643" i="13"/>
  <c r="G2642" i="13"/>
  <c r="G2641" i="13"/>
  <c r="G2640" i="13"/>
  <c r="G2639" i="13"/>
  <c r="G2638" i="13"/>
  <c r="G2637" i="13"/>
  <c r="G2636" i="13"/>
  <c r="G2635" i="13"/>
  <c r="G2634" i="13"/>
  <c r="G2633" i="13"/>
  <c r="G2632" i="13"/>
  <c r="G2631" i="13"/>
  <c r="G2630" i="13"/>
  <c r="G2629" i="13"/>
  <c r="G2628" i="13"/>
  <c r="G2627" i="13"/>
  <c r="G2626" i="13"/>
  <c r="G2625" i="13"/>
  <c r="G2624" i="13"/>
  <c r="G2623" i="13"/>
  <c r="G2622" i="13"/>
  <c r="G2621" i="13"/>
  <c r="G2620" i="13"/>
  <c r="G2619" i="13"/>
  <c r="G2618" i="13"/>
  <c r="G2617" i="13"/>
  <c r="G2616" i="13"/>
  <c r="G2615" i="13"/>
  <c r="G2614" i="13"/>
  <c r="G2613" i="13"/>
  <c r="G2612" i="13"/>
  <c r="G2611" i="13"/>
  <c r="G2610" i="13"/>
  <c r="G2609" i="13"/>
  <c r="G2608" i="13"/>
  <c r="G2607" i="13"/>
  <c r="G2606" i="13"/>
  <c r="G2605" i="13"/>
  <c r="G2604" i="13"/>
  <c r="G2603" i="13"/>
  <c r="G2602" i="13"/>
  <c r="G2601" i="13"/>
  <c r="G2600" i="13"/>
  <c r="G2599" i="13"/>
  <c r="G2598" i="13"/>
  <c r="G2597" i="13"/>
  <c r="G2596" i="13"/>
  <c r="G2595" i="13"/>
  <c r="G2594" i="13"/>
  <c r="G2593" i="13"/>
  <c r="G2592" i="13"/>
  <c r="G2591" i="13"/>
  <c r="G2590" i="13"/>
  <c r="G2589" i="13"/>
  <c r="G2588" i="13"/>
  <c r="G2587" i="13"/>
  <c r="G2586" i="13"/>
  <c r="G2585" i="13"/>
  <c r="G2584" i="13"/>
  <c r="G2583" i="13"/>
  <c r="G2582" i="13"/>
  <c r="G2581" i="13"/>
  <c r="G2580" i="13"/>
  <c r="G2579" i="13"/>
  <c r="G2578" i="13"/>
  <c r="G2577" i="13"/>
  <c r="G2576" i="13"/>
  <c r="G2575" i="13"/>
  <c r="G2574" i="13"/>
  <c r="G2573" i="13"/>
  <c r="G2572" i="13"/>
  <c r="G2571" i="13"/>
  <c r="G2570" i="13"/>
  <c r="G2569" i="13"/>
  <c r="G2568" i="13"/>
  <c r="G2567" i="13"/>
  <c r="G2566" i="13"/>
  <c r="G2565" i="13"/>
  <c r="G2564" i="13"/>
  <c r="G2563" i="13"/>
  <c r="G2562" i="13"/>
  <c r="G2561" i="13"/>
  <c r="G2560" i="13"/>
  <c r="G2559" i="13"/>
  <c r="G2558" i="13"/>
  <c r="G2557" i="13"/>
  <c r="G2556" i="13"/>
  <c r="G2555" i="13"/>
  <c r="G2554" i="13"/>
  <c r="G2553" i="13"/>
  <c r="G2552" i="13"/>
  <c r="G2551" i="13"/>
  <c r="G2550" i="13"/>
  <c r="G2549" i="13"/>
  <c r="G2548" i="13"/>
  <c r="G2547" i="13"/>
  <c r="G2546" i="13"/>
  <c r="G2545" i="13"/>
  <c r="G2544" i="13"/>
  <c r="G2543" i="13"/>
  <c r="G2542" i="13"/>
  <c r="G2541" i="13"/>
  <c r="G2540" i="13"/>
  <c r="G2539" i="13"/>
  <c r="G2538" i="13"/>
  <c r="G2537" i="13"/>
  <c r="G2536" i="13"/>
  <c r="G2535" i="13"/>
  <c r="G2534" i="13"/>
  <c r="G2533" i="13"/>
  <c r="G2532" i="13"/>
  <c r="G2531" i="13"/>
  <c r="G2530" i="13"/>
  <c r="G2529" i="13"/>
  <c r="G2528" i="13"/>
  <c r="G2527" i="13"/>
  <c r="G2526" i="13"/>
  <c r="G2525" i="13"/>
  <c r="G2524" i="13"/>
  <c r="G2523" i="13"/>
  <c r="G2522" i="13"/>
  <c r="G2521" i="13"/>
  <c r="G2520" i="13"/>
  <c r="G2519" i="13"/>
  <c r="G2518" i="13"/>
  <c r="G2517" i="13"/>
  <c r="G2516" i="13"/>
  <c r="G2515" i="13"/>
  <c r="G2514" i="13"/>
  <c r="G2513" i="13"/>
  <c r="G2512" i="13"/>
  <c r="G2511" i="13"/>
  <c r="G2510" i="13"/>
  <c r="G2509" i="13"/>
  <c r="G2508" i="13"/>
  <c r="G2507" i="13"/>
  <c r="G2506" i="13"/>
  <c r="G2505" i="13"/>
  <c r="G2504" i="13"/>
  <c r="G2503" i="13"/>
  <c r="G2502" i="13"/>
  <c r="G2501" i="13"/>
  <c r="G2500" i="13"/>
  <c r="G2499" i="13"/>
  <c r="G2498" i="13"/>
  <c r="G2497" i="13"/>
  <c r="G2496" i="13"/>
  <c r="G2495" i="13"/>
  <c r="G2494" i="13"/>
  <c r="G2493" i="13"/>
  <c r="G2492" i="13"/>
  <c r="G2491" i="13"/>
  <c r="G2490" i="13"/>
  <c r="G2489" i="13"/>
  <c r="G2488" i="13"/>
  <c r="G2487" i="13"/>
  <c r="G2486" i="13"/>
  <c r="G2485" i="13"/>
  <c r="G2484" i="13"/>
  <c r="A2484" i="13"/>
  <c r="G2483" i="13"/>
  <c r="A2483" i="13"/>
  <c r="G2482" i="13"/>
  <c r="G2481" i="13"/>
  <c r="G2480" i="13"/>
  <c r="G2479" i="13"/>
  <c r="G2478" i="13"/>
  <c r="G2477" i="13"/>
  <c r="G2476" i="13"/>
  <c r="G2475" i="13"/>
  <c r="G2474" i="13"/>
  <c r="G2473" i="13"/>
  <c r="G2472" i="13"/>
  <c r="G2471" i="13"/>
  <c r="G2470" i="13"/>
  <c r="G2469" i="13"/>
  <c r="G2468" i="13"/>
  <c r="G2467" i="13"/>
  <c r="G2466" i="13"/>
  <c r="G2465" i="13"/>
  <c r="G2464" i="13"/>
  <c r="G2463" i="13"/>
  <c r="G2462" i="13"/>
  <c r="G2461" i="13"/>
  <c r="G2460" i="13"/>
  <c r="G2459" i="13"/>
  <c r="G2458" i="13"/>
  <c r="G2457" i="13"/>
  <c r="G2456" i="13"/>
  <c r="G2455" i="13"/>
  <c r="G2454" i="13"/>
  <c r="G2453" i="13"/>
  <c r="G2452" i="13"/>
  <c r="G2451" i="13"/>
  <c r="G2450" i="13"/>
  <c r="G2449" i="13"/>
  <c r="G2448" i="13"/>
  <c r="G2447" i="13"/>
  <c r="G2446" i="13"/>
  <c r="G2445" i="13"/>
  <c r="G2444" i="13"/>
  <c r="G2443" i="13"/>
  <c r="G2442" i="13"/>
  <c r="G2441" i="13"/>
  <c r="G2440" i="13"/>
  <c r="G2439" i="13"/>
  <c r="G2438" i="13"/>
  <c r="G2437" i="13"/>
  <c r="G2436" i="13"/>
  <c r="G2435" i="13"/>
  <c r="G2434" i="13"/>
  <c r="G2433" i="13"/>
  <c r="G2432" i="13"/>
  <c r="G2431" i="13"/>
  <c r="G2430" i="13"/>
  <c r="G2429" i="13"/>
  <c r="G2428" i="13"/>
  <c r="G2427" i="13"/>
  <c r="G2426" i="13"/>
  <c r="G2425" i="13"/>
  <c r="G2424" i="13"/>
  <c r="G2423" i="13"/>
  <c r="G2422" i="13"/>
  <c r="G2421" i="13"/>
  <c r="G2420" i="13"/>
  <c r="G2419" i="13"/>
  <c r="G2418" i="13"/>
  <c r="G2417" i="13"/>
  <c r="G2416" i="13"/>
  <c r="G2415" i="13"/>
  <c r="G2414" i="13"/>
  <c r="G2413" i="13"/>
  <c r="G2412" i="13"/>
  <c r="G2411" i="13"/>
  <c r="G2410" i="13"/>
  <c r="G2409" i="13"/>
  <c r="G2408" i="13"/>
  <c r="G2407" i="13"/>
  <c r="G2406" i="13"/>
  <c r="G2405" i="13"/>
  <c r="G2404" i="13"/>
  <c r="G2403" i="13"/>
  <c r="G2402" i="13"/>
  <c r="G2401" i="13"/>
  <c r="G2400" i="13"/>
  <c r="G2399" i="13"/>
  <c r="G2398" i="13"/>
  <c r="G2397" i="13"/>
  <c r="G2396" i="13"/>
  <c r="G2395" i="13"/>
  <c r="G2394" i="13"/>
  <c r="G2393" i="13"/>
  <c r="G2392" i="13"/>
  <c r="G2391" i="13"/>
  <c r="G2390" i="13"/>
  <c r="G2389" i="13"/>
  <c r="G2388" i="13"/>
  <c r="G2387" i="13"/>
  <c r="G2386" i="13"/>
  <c r="G2385" i="13"/>
  <c r="G2384" i="13"/>
  <c r="G2383" i="13"/>
  <c r="G2382" i="13"/>
  <c r="G2381" i="13"/>
  <c r="G2380" i="13"/>
  <c r="G2379" i="13"/>
  <c r="G2378" i="13"/>
  <c r="G2377" i="13"/>
  <c r="G2376" i="13"/>
  <c r="G2375" i="13"/>
  <c r="G2374" i="13"/>
  <c r="G2373" i="13"/>
  <c r="G2372" i="13"/>
  <c r="G2371" i="13"/>
  <c r="G2370" i="13"/>
  <c r="G2369" i="13"/>
  <c r="G2368" i="13"/>
  <c r="G2367" i="13"/>
  <c r="G2366" i="13"/>
  <c r="G2365" i="13"/>
  <c r="G2364" i="13"/>
  <c r="G2363" i="13"/>
  <c r="G2362" i="13"/>
  <c r="G2361" i="13"/>
  <c r="G2360" i="13"/>
  <c r="G2359" i="13"/>
  <c r="G2358" i="13"/>
  <c r="G2357" i="13"/>
  <c r="G2356" i="13"/>
  <c r="G2355" i="13"/>
  <c r="G2354" i="13"/>
  <c r="G2353" i="13"/>
  <c r="G2352" i="13"/>
  <c r="G2351" i="13"/>
  <c r="G2350" i="13"/>
  <c r="G2349" i="13"/>
  <c r="G2348" i="13"/>
  <c r="G2347" i="13"/>
  <c r="G2346" i="13"/>
  <c r="G2345" i="13"/>
  <c r="G2344" i="13"/>
  <c r="G2343" i="13"/>
  <c r="G2342" i="13"/>
  <c r="G2341" i="13"/>
  <c r="G2340" i="13"/>
  <c r="G2339" i="13"/>
  <c r="G2338" i="13"/>
  <c r="G2337" i="13"/>
  <c r="G2336" i="13"/>
  <c r="G2335" i="13"/>
  <c r="G2334" i="13"/>
  <c r="G2333" i="13"/>
  <c r="G2332" i="13"/>
  <c r="G2331" i="13"/>
  <c r="G2330" i="13"/>
  <c r="G2329" i="13"/>
  <c r="G2328" i="13"/>
  <c r="G2327" i="13"/>
  <c r="G2326" i="13"/>
  <c r="G2325" i="13"/>
  <c r="G2324" i="13"/>
  <c r="G2323" i="13"/>
  <c r="G2322" i="13"/>
  <c r="G2321" i="13"/>
  <c r="G2320" i="13"/>
  <c r="G2319" i="13"/>
  <c r="G2318" i="13"/>
  <c r="G2317" i="13"/>
  <c r="G2316" i="13"/>
  <c r="G2315" i="13"/>
  <c r="G2314" i="13"/>
  <c r="G2313" i="13"/>
  <c r="G2312" i="13"/>
  <c r="G2311" i="13"/>
  <c r="G2310" i="13"/>
  <c r="G2309" i="13"/>
  <c r="G2308" i="13"/>
  <c r="G2307" i="13"/>
  <c r="G2306" i="13"/>
  <c r="G2305" i="13"/>
  <c r="G2304" i="13"/>
  <c r="G2303" i="13"/>
  <c r="G2302" i="13"/>
  <c r="G2301" i="13"/>
  <c r="G2300" i="13"/>
  <c r="G2299" i="13"/>
  <c r="G2298" i="13"/>
  <c r="G2297" i="13"/>
  <c r="G2296" i="13"/>
  <c r="G2295" i="13"/>
  <c r="G2294" i="13"/>
  <c r="G2293" i="13"/>
  <c r="G2292" i="13"/>
  <c r="G2291" i="13"/>
  <c r="G2290" i="13"/>
  <c r="G2289" i="13"/>
  <c r="G2288" i="13"/>
  <c r="G2287" i="13"/>
  <c r="G2286" i="13"/>
  <c r="G2285" i="13"/>
  <c r="G2284" i="13"/>
  <c r="G2283" i="13"/>
  <c r="G2282" i="13"/>
  <c r="G2281" i="13"/>
  <c r="G2280" i="13"/>
  <c r="G2279" i="13"/>
  <c r="G2278" i="13"/>
  <c r="G2277" i="13"/>
  <c r="G2276" i="13"/>
  <c r="G2275" i="13"/>
  <c r="G2274" i="13"/>
  <c r="G2273" i="13"/>
  <c r="G2272" i="13"/>
  <c r="G2271" i="13"/>
  <c r="G2270" i="13"/>
  <c r="G2269" i="13"/>
  <c r="G2268" i="13"/>
  <c r="G2267" i="13"/>
  <c r="G2266" i="13"/>
  <c r="G2265" i="13"/>
  <c r="G2264" i="13"/>
  <c r="G2263" i="13"/>
  <c r="G2262" i="13"/>
  <c r="G2261" i="13"/>
  <c r="G2260" i="13"/>
  <c r="G2259" i="13"/>
  <c r="G2258" i="13"/>
  <c r="G2257" i="13"/>
  <c r="G2256" i="13"/>
  <c r="G2255" i="13"/>
  <c r="G2254" i="13"/>
  <c r="G2253" i="13"/>
  <c r="G2252" i="13"/>
  <c r="G2251" i="13"/>
  <c r="G2250" i="13"/>
  <c r="G2249" i="13"/>
  <c r="G2248" i="13"/>
  <c r="G2247" i="13"/>
  <c r="G2246" i="13"/>
  <c r="G2245" i="13"/>
  <c r="G2244" i="13"/>
  <c r="G2243" i="13"/>
  <c r="G2242" i="13"/>
  <c r="G2241" i="13"/>
  <c r="G2240" i="13"/>
  <c r="G2239" i="13"/>
  <c r="G2238" i="13"/>
  <c r="G2237" i="13"/>
  <c r="G2236" i="13"/>
  <c r="G2235" i="13"/>
  <c r="G2234" i="13"/>
  <c r="G2233" i="13"/>
  <c r="G2232" i="13"/>
  <c r="G2231" i="13"/>
  <c r="G2230" i="13"/>
  <c r="G2229" i="13"/>
  <c r="G2228" i="13"/>
  <c r="G2227" i="13"/>
  <c r="G2226" i="13"/>
  <c r="G2225" i="13"/>
  <c r="G2224" i="13"/>
  <c r="G2223" i="13"/>
  <c r="A2223" i="13"/>
  <c r="G2222" i="13"/>
  <c r="A2222" i="13"/>
  <c r="G2221" i="13"/>
  <c r="G2220" i="13"/>
  <c r="G2219" i="13"/>
  <c r="G2218" i="13"/>
  <c r="G2217" i="13"/>
  <c r="G2216" i="13"/>
  <c r="G2215" i="13"/>
  <c r="G2214" i="13"/>
  <c r="G2213" i="13"/>
  <c r="G2212" i="13"/>
  <c r="G2211" i="13"/>
  <c r="G2210" i="13"/>
  <c r="G2209" i="13"/>
  <c r="G2208" i="13"/>
  <c r="G2207" i="13"/>
  <c r="G2206" i="13"/>
  <c r="G2205" i="13"/>
  <c r="G2204" i="13"/>
  <c r="G2203" i="13"/>
  <c r="G2202" i="13"/>
  <c r="G2201" i="13"/>
  <c r="G2200" i="13"/>
  <c r="G2199" i="13"/>
  <c r="G2198" i="13"/>
  <c r="G2197" i="13"/>
  <c r="G2196" i="13"/>
  <c r="G2195" i="13"/>
  <c r="G2194" i="13"/>
  <c r="G2193" i="13"/>
  <c r="G2192" i="13"/>
  <c r="G2191" i="13"/>
  <c r="G2190" i="13"/>
  <c r="G2189" i="13"/>
  <c r="G2188" i="13"/>
  <c r="G2187" i="13"/>
  <c r="G2186" i="13"/>
  <c r="G2185" i="13"/>
  <c r="G2184" i="13"/>
  <c r="G2183" i="13"/>
  <c r="G2182" i="13"/>
  <c r="G2181" i="13"/>
  <c r="G2180" i="13"/>
  <c r="G2179" i="13"/>
  <c r="G2178" i="13"/>
  <c r="G2177" i="13"/>
  <c r="G2176" i="13"/>
  <c r="G2175" i="13"/>
  <c r="G2174" i="13"/>
  <c r="G2173" i="13"/>
  <c r="G2172" i="13"/>
  <c r="G2171" i="13"/>
  <c r="G2170" i="13"/>
  <c r="G2169" i="13"/>
  <c r="G2168" i="13"/>
  <c r="G2167" i="13"/>
  <c r="G2166" i="13"/>
  <c r="G2165" i="13"/>
  <c r="G2164" i="13"/>
  <c r="G2163" i="13"/>
  <c r="G2162" i="13"/>
  <c r="G2161" i="13"/>
  <c r="G2160" i="13"/>
  <c r="G2159" i="13"/>
  <c r="G2158" i="13"/>
  <c r="G2157" i="13"/>
  <c r="G2156" i="13"/>
  <c r="G2155" i="13"/>
  <c r="G2154" i="13"/>
  <c r="G2153" i="13"/>
  <c r="G2152" i="13"/>
  <c r="G2151" i="13"/>
  <c r="G2150" i="13"/>
  <c r="G2149" i="13"/>
  <c r="G2148" i="13"/>
  <c r="G2147" i="13"/>
  <c r="G2146" i="13"/>
  <c r="G2145" i="13"/>
  <c r="G2144" i="13"/>
  <c r="G2143" i="13"/>
  <c r="G2142" i="13"/>
  <c r="G2141" i="13"/>
  <c r="G2140" i="13"/>
  <c r="G2139" i="13"/>
  <c r="G2138" i="13"/>
  <c r="G2137" i="13"/>
  <c r="G2136" i="13"/>
  <c r="G2135" i="13"/>
  <c r="G2134" i="13"/>
  <c r="G2133" i="13"/>
  <c r="G2132" i="13"/>
  <c r="G2131" i="13"/>
  <c r="G2130" i="13"/>
  <c r="G2129" i="13"/>
  <c r="G2128" i="13"/>
  <c r="G2127" i="13"/>
  <c r="G2126" i="13"/>
  <c r="G2125" i="13"/>
  <c r="G2124" i="13"/>
  <c r="G2123" i="13"/>
  <c r="G2122" i="13"/>
  <c r="G2121" i="13"/>
  <c r="G2120" i="13"/>
  <c r="G2119" i="13"/>
  <c r="G2118" i="13"/>
  <c r="G2117" i="13"/>
  <c r="G2116" i="13"/>
  <c r="G2115" i="13"/>
  <c r="G2114" i="13"/>
  <c r="G2113" i="13"/>
  <c r="G2112" i="13"/>
  <c r="G2111" i="13"/>
  <c r="G2110" i="13"/>
  <c r="G2109" i="13"/>
  <c r="G2108" i="13"/>
  <c r="G2107" i="13"/>
  <c r="G2106" i="13"/>
  <c r="G2105" i="13"/>
  <c r="G2104" i="13"/>
  <c r="G2103" i="13"/>
  <c r="G2102" i="13"/>
  <c r="G2101" i="13"/>
  <c r="G2100" i="13"/>
  <c r="G2099" i="13"/>
  <c r="G2098" i="13"/>
  <c r="G2097" i="13"/>
  <c r="G2096" i="13"/>
  <c r="G2095" i="13"/>
  <c r="G2094" i="13"/>
  <c r="G2093" i="13"/>
  <c r="G2092" i="13"/>
  <c r="G2091" i="13"/>
  <c r="G2090" i="13"/>
  <c r="G2089" i="13"/>
  <c r="G2088" i="13"/>
  <c r="G2087" i="13"/>
  <c r="G2086" i="13"/>
  <c r="G2085" i="13"/>
  <c r="G2084" i="13"/>
  <c r="G2083" i="13"/>
  <c r="G2082" i="13"/>
  <c r="G2081" i="13"/>
  <c r="G2080" i="13"/>
  <c r="G2079" i="13"/>
  <c r="G2078" i="13"/>
  <c r="G2077" i="13"/>
  <c r="G2076" i="13"/>
  <c r="G2075" i="13"/>
  <c r="G2074" i="13"/>
  <c r="G2073" i="13"/>
  <c r="G2072" i="13"/>
  <c r="G2071" i="13"/>
  <c r="G2070" i="13"/>
  <c r="G2069" i="13"/>
  <c r="G2068" i="13"/>
  <c r="G2067" i="13"/>
  <c r="G2066" i="13"/>
  <c r="G2065" i="13"/>
  <c r="G2064" i="13"/>
  <c r="G2063" i="13"/>
  <c r="G2062" i="13"/>
  <c r="G2061" i="13"/>
  <c r="G2060" i="13"/>
  <c r="G2059" i="13"/>
  <c r="G2058" i="13"/>
  <c r="G2057" i="13"/>
  <c r="G2056" i="13"/>
  <c r="G2055" i="13"/>
  <c r="G2054" i="13"/>
  <c r="G2053" i="13"/>
  <c r="G2052" i="13"/>
  <c r="G2051" i="13"/>
  <c r="G2050" i="13"/>
  <c r="G2049" i="13"/>
  <c r="G2048" i="13"/>
  <c r="G2047" i="13"/>
  <c r="G2046" i="13"/>
  <c r="G2045" i="13"/>
  <c r="G2044" i="13"/>
  <c r="G2043" i="13"/>
  <c r="G2042" i="13"/>
  <c r="G2041" i="13"/>
  <c r="G2040" i="13"/>
  <c r="G2039" i="13"/>
  <c r="G2038" i="13"/>
  <c r="G2037" i="13"/>
  <c r="G2036" i="13"/>
  <c r="G2035" i="13"/>
  <c r="G2034" i="13"/>
  <c r="G2033" i="13"/>
  <c r="G2032" i="13"/>
  <c r="G2031" i="13"/>
  <c r="G2030" i="13"/>
  <c r="G2029" i="13"/>
  <c r="G2028" i="13"/>
  <c r="G2027" i="13"/>
  <c r="G2026" i="13"/>
  <c r="G2025" i="13"/>
  <c r="G2024" i="13"/>
  <c r="G2023" i="13"/>
  <c r="G2022" i="13"/>
  <c r="G2021" i="13"/>
  <c r="G2020" i="13"/>
  <c r="G2019" i="13"/>
  <c r="G2018" i="13"/>
  <c r="G2017" i="13"/>
  <c r="G2016" i="13"/>
  <c r="G2015" i="13"/>
  <c r="G2014" i="13"/>
  <c r="G2013" i="13"/>
  <c r="G2012" i="13"/>
  <c r="G2011" i="13"/>
  <c r="G2010" i="13"/>
  <c r="G2009" i="13"/>
  <c r="G2008" i="13"/>
  <c r="G2007" i="13"/>
  <c r="G2006" i="13"/>
  <c r="G2005" i="13"/>
  <c r="G2004" i="13"/>
  <c r="G2003" i="13"/>
  <c r="G2002" i="13"/>
  <c r="G2001" i="13"/>
  <c r="G2000" i="13"/>
  <c r="G1999" i="13"/>
  <c r="G1998" i="13"/>
  <c r="G1997" i="13"/>
  <c r="G1996" i="13"/>
  <c r="G1995" i="13"/>
  <c r="G1994" i="13"/>
  <c r="G1993" i="13"/>
  <c r="G1992" i="13"/>
  <c r="G1991" i="13"/>
  <c r="G1990" i="13"/>
  <c r="G1989" i="13"/>
  <c r="G1988" i="13"/>
  <c r="G1987" i="13"/>
  <c r="G1986" i="13"/>
  <c r="G1985" i="13"/>
  <c r="G1984" i="13"/>
  <c r="G1983" i="13"/>
  <c r="G1982" i="13"/>
  <c r="G1981" i="13"/>
  <c r="G1980" i="13"/>
  <c r="G1979" i="13"/>
  <c r="G1978" i="13"/>
  <c r="G1977" i="13"/>
  <c r="G1976" i="13"/>
  <c r="G1975" i="13"/>
  <c r="G1974" i="13"/>
  <c r="G1973" i="13"/>
  <c r="G1972" i="13"/>
  <c r="G1971" i="13"/>
  <c r="G1970" i="13"/>
  <c r="G1969" i="13"/>
  <c r="G1968" i="13"/>
  <c r="G1967" i="13"/>
  <c r="G1966" i="13"/>
  <c r="G1965" i="13"/>
  <c r="G1964" i="13"/>
  <c r="G1963" i="13"/>
  <c r="G1962" i="13"/>
  <c r="G1961" i="13"/>
  <c r="G1960" i="13"/>
  <c r="G1959" i="13"/>
  <c r="G1958" i="13"/>
  <c r="G1957" i="13"/>
  <c r="G1956" i="13"/>
  <c r="G1955" i="13"/>
  <c r="G1954" i="13"/>
  <c r="G1953" i="13"/>
  <c r="G1952" i="13"/>
  <c r="G1951" i="13"/>
  <c r="G1950" i="13"/>
  <c r="G1949" i="13"/>
  <c r="G1948" i="13"/>
  <c r="G1947" i="13"/>
  <c r="G1946" i="13"/>
  <c r="G1945" i="13"/>
  <c r="G1944" i="13"/>
  <c r="G1943" i="13"/>
  <c r="G1942" i="13"/>
  <c r="G1941" i="13"/>
  <c r="G1940" i="13"/>
  <c r="G1939" i="13"/>
  <c r="G1938" i="13"/>
  <c r="G1937" i="13"/>
  <c r="G1936" i="13"/>
  <c r="G1935" i="13"/>
  <c r="G1934" i="13"/>
  <c r="G1933" i="13"/>
  <c r="G1932" i="13"/>
  <c r="G1931" i="13"/>
  <c r="G1930" i="13"/>
  <c r="G1929" i="13"/>
  <c r="G1928" i="13"/>
  <c r="G1927" i="13"/>
  <c r="G1926" i="13"/>
  <c r="G1925" i="13"/>
  <c r="G1924" i="13"/>
  <c r="G1923" i="13"/>
  <c r="G1922" i="13"/>
  <c r="G1921" i="13"/>
  <c r="G1920" i="13"/>
  <c r="G1919" i="13"/>
  <c r="G1918" i="13"/>
  <c r="G1917" i="13"/>
  <c r="G1916" i="13"/>
  <c r="G1915" i="13"/>
  <c r="G1914" i="13"/>
  <c r="G1913" i="13"/>
  <c r="G1912" i="13"/>
  <c r="G1911" i="13"/>
  <c r="G1910" i="13"/>
  <c r="G1909" i="13"/>
  <c r="G1908" i="13"/>
  <c r="G1907" i="13"/>
  <c r="G1906" i="13"/>
  <c r="G1905" i="13"/>
  <c r="G1904" i="13"/>
  <c r="G1903" i="13"/>
  <c r="G1902" i="13"/>
  <c r="G1901" i="13"/>
  <c r="G1900" i="13"/>
  <c r="G1899" i="13"/>
  <c r="G1898" i="13"/>
  <c r="G1897" i="13"/>
  <c r="G1896" i="13"/>
  <c r="G1895" i="13"/>
  <c r="G1894" i="13"/>
  <c r="G1893" i="13"/>
  <c r="G1892" i="13"/>
  <c r="G1891" i="13"/>
  <c r="G1890" i="13"/>
  <c r="G1889" i="13"/>
  <c r="G1888" i="13"/>
  <c r="G1887" i="13"/>
  <c r="G1886" i="13"/>
  <c r="G1885" i="13"/>
  <c r="G1884" i="13"/>
  <c r="G1883" i="13"/>
  <c r="G1882" i="13"/>
  <c r="G1881" i="13"/>
  <c r="G1880" i="13"/>
  <c r="G1879" i="13"/>
  <c r="G1878" i="13"/>
  <c r="G1877" i="13"/>
  <c r="G1876" i="13"/>
  <c r="G1875" i="13"/>
  <c r="G1874" i="13"/>
  <c r="G1873" i="13"/>
  <c r="G1872" i="13"/>
  <c r="G1871" i="13"/>
  <c r="G1870" i="13"/>
  <c r="G1869" i="13"/>
  <c r="G1868" i="13"/>
  <c r="G1867" i="13"/>
  <c r="G1866" i="13"/>
  <c r="G1865" i="13"/>
  <c r="G1864" i="13"/>
  <c r="G1863" i="13"/>
  <c r="G1862" i="13"/>
  <c r="G1861" i="13"/>
  <c r="G1860" i="13"/>
  <c r="G1859" i="13"/>
  <c r="G1858" i="13"/>
  <c r="G1857" i="13"/>
  <c r="G1856" i="13"/>
  <c r="G1855" i="13"/>
  <c r="G1854" i="13"/>
  <c r="G1853" i="13"/>
  <c r="G1852" i="13"/>
  <c r="G1851" i="13"/>
  <c r="G1850" i="13"/>
  <c r="G1849" i="13"/>
  <c r="G1848" i="13"/>
  <c r="G1847" i="13"/>
  <c r="A1847" i="13"/>
  <c r="G1846" i="13"/>
  <c r="A1846" i="13"/>
  <c r="G1845" i="13"/>
  <c r="G1844" i="13"/>
  <c r="G1843" i="13"/>
  <c r="G1842" i="13"/>
  <c r="G1841" i="13"/>
  <c r="G1840" i="13"/>
  <c r="G1839" i="13"/>
  <c r="G1838" i="13"/>
  <c r="G1837" i="13"/>
  <c r="G1836" i="13"/>
  <c r="G1835" i="13"/>
  <c r="G1834" i="13"/>
  <c r="G1833" i="13"/>
  <c r="G1832" i="13"/>
  <c r="G1831" i="13"/>
  <c r="G1830" i="13"/>
  <c r="G1829" i="13"/>
  <c r="G1828" i="13"/>
  <c r="G1827" i="13"/>
  <c r="G1826" i="13"/>
  <c r="G1825" i="13"/>
  <c r="G1824" i="13"/>
  <c r="G1823" i="13"/>
  <c r="G1822" i="13"/>
  <c r="G1821" i="13"/>
  <c r="G1820" i="13"/>
  <c r="G1819" i="13"/>
  <c r="G1818" i="13"/>
  <c r="G1817" i="13"/>
  <c r="G1816" i="13"/>
  <c r="G1815" i="13"/>
  <c r="G1814" i="13"/>
  <c r="G1813" i="13"/>
  <c r="G1812" i="13"/>
  <c r="G1811" i="13"/>
  <c r="G1810" i="13"/>
  <c r="G1809" i="13"/>
  <c r="G1808" i="13"/>
  <c r="G1807" i="13"/>
  <c r="G1806" i="13"/>
  <c r="G1805" i="13"/>
  <c r="G1804" i="13"/>
  <c r="G1803" i="13"/>
  <c r="G1802" i="13"/>
  <c r="G1801" i="13"/>
  <c r="G1800" i="13"/>
  <c r="G1799" i="13"/>
  <c r="G1798" i="13"/>
  <c r="G1797" i="13"/>
  <c r="G1796" i="13"/>
  <c r="G1795" i="13"/>
  <c r="G1794" i="13"/>
  <c r="G1793" i="13"/>
  <c r="G1792" i="13"/>
  <c r="G1791" i="13"/>
  <c r="G1790" i="13"/>
  <c r="G1789" i="13"/>
  <c r="G1788" i="13"/>
  <c r="G1787" i="13"/>
  <c r="G1786" i="13"/>
  <c r="G1785" i="13"/>
  <c r="G1784" i="13"/>
  <c r="G1783" i="13"/>
  <c r="G1782" i="13"/>
  <c r="G1781" i="13"/>
  <c r="G1780" i="13"/>
  <c r="G1779" i="13"/>
  <c r="G1778" i="13"/>
  <c r="G1777" i="13"/>
  <c r="G1776" i="13"/>
  <c r="G1775" i="13"/>
  <c r="G1774" i="13"/>
  <c r="G1773" i="13"/>
  <c r="G1772" i="13"/>
  <c r="G1771" i="13"/>
  <c r="G1770" i="13"/>
  <c r="G1769" i="13"/>
  <c r="G1768" i="13"/>
  <c r="G1767" i="13"/>
  <c r="G1766" i="13"/>
  <c r="G1765" i="13"/>
  <c r="G1764" i="13"/>
  <c r="G1763" i="13"/>
  <c r="G1762" i="13"/>
  <c r="G1761" i="13"/>
  <c r="G1760" i="13"/>
  <c r="G1759" i="13"/>
  <c r="G1758" i="13"/>
  <c r="G1757" i="13"/>
  <c r="G1756" i="13"/>
  <c r="G1755" i="13"/>
  <c r="G1754" i="13"/>
  <c r="G1753" i="13"/>
  <c r="G1752" i="13"/>
  <c r="G1751" i="13"/>
  <c r="G1750" i="13"/>
  <c r="G1749" i="13"/>
  <c r="G1748" i="13"/>
  <c r="G1747" i="13"/>
  <c r="G1746" i="13"/>
  <c r="G1745" i="13"/>
  <c r="G1744" i="13"/>
  <c r="G1743" i="13"/>
  <c r="G1742" i="13"/>
  <c r="G1741" i="13"/>
  <c r="G1740" i="13"/>
  <c r="G1739" i="13"/>
  <c r="G1738" i="13"/>
  <c r="G1737" i="13"/>
  <c r="G1736" i="13"/>
  <c r="G1735" i="13"/>
  <c r="G1734" i="13"/>
  <c r="G1733" i="13"/>
  <c r="G1732" i="13"/>
  <c r="G1731" i="13"/>
  <c r="G1730" i="13"/>
  <c r="G1729" i="13"/>
  <c r="G1728" i="13"/>
  <c r="G1727" i="13"/>
  <c r="G1726" i="13"/>
  <c r="G1725" i="13"/>
  <c r="G1724" i="13"/>
  <c r="G1723" i="13"/>
  <c r="G1722" i="13"/>
  <c r="G1721" i="13"/>
  <c r="G1720" i="13"/>
  <c r="G1719" i="13"/>
  <c r="G1718" i="13"/>
  <c r="G1717" i="13"/>
  <c r="G1716" i="13"/>
  <c r="G1715" i="13"/>
  <c r="G1714" i="13"/>
  <c r="G1713" i="13"/>
  <c r="G1712" i="13"/>
  <c r="G1711" i="13"/>
  <c r="G1710" i="13"/>
  <c r="G1709" i="13"/>
  <c r="G1708" i="13"/>
  <c r="G1707" i="13"/>
  <c r="G1706" i="13"/>
  <c r="G1705" i="13"/>
  <c r="G1704" i="13"/>
  <c r="G1703" i="13"/>
  <c r="G1702" i="13"/>
  <c r="G1701" i="13"/>
  <c r="G1700" i="13"/>
  <c r="G1699" i="13"/>
  <c r="G1698" i="13"/>
  <c r="G1697" i="13"/>
  <c r="G1696" i="13"/>
  <c r="G1695" i="13"/>
  <c r="G1694" i="13"/>
  <c r="G1693" i="13"/>
  <c r="G1692" i="13"/>
  <c r="G1691" i="13"/>
  <c r="G1690" i="13"/>
  <c r="G1689" i="13"/>
  <c r="G1688" i="13"/>
  <c r="G1687" i="13"/>
  <c r="G1686" i="13"/>
  <c r="G1685" i="13"/>
  <c r="G1684" i="13"/>
  <c r="G1683" i="13"/>
  <c r="G1682" i="13"/>
  <c r="G1681" i="13"/>
  <c r="G1680" i="13"/>
  <c r="G1679" i="13"/>
  <c r="G1678" i="13"/>
  <c r="G1677" i="13"/>
  <c r="G1676" i="13"/>
  <c r="G1675" i="13"/>
  <c r="G1674" i="13"/>
  <c r="G1673" i="13"/>
  <c r="G1672" i="13"/>
  <c r="G1671" i="13"/>
  <c r="G1670" i="13"/>
  <c r="G1669" i="13"/>
  <c r="G1668" i="13"/>
  <c r="G1667" i="13"/>
  <c r="G1666" i="13"/>
  <c r="G1665" i="13"/>
  <c r="G1664" i="13"/>
  <c r="G1663" i="13"/>
  <c r="G1662" i="13"/>
  <c r="G1661" i="13"/>
  <c r="G1660" i="13"/>
  <c r="G1659" i="13"/>
  <c r="G1658" i="13"/>
  <c r="G1657" i="13"/>
  <c r="G1656" i="13"/>
  <c r="G1655" i="13"/>
  <c r="G1654" i="13"/>
  <c r="G1653" i="13"/>
  <c r="G1652" i="13"/>
  <c r="G1651" i="13"/>
  <c r="G1650" i="13"/>
  <c r="G1649" i="13"/>
  <c r="G1648" i="13"/>
  <c r="G1647" i="13"/>
  <c r="G1646" i="13"/>
  <c r="G1645" i="13"/>
  <c r="G1644" i="13"/>
  <c r="G1643" i="13"/>
  <c r="G1642" i="13"/>
  <c r="G1641" i="13"/>
  <c r="G1640" i="13"/>
  <c r="G1639" i="13"/>
  <c r="G1638" i="13"/>
  <c r="G1637" i="13"/>
  <c r="G1636" i="13"/>
  <c r="G1635" i="13"/>
  <c r="G1634" i="13"/>
  <c r="G1633" i="13"/>
  <c r="G1632" i="13"/>
  <c r="G1631" i="13"/>
  <c r="G1630" i="13"/>
  <c r="G1629" i="13"/>
  <c r="G1628" i="13"/>
  <c r="G1627" i="13"/>
  <c r="G1626" i="13"/>
  <c r="G1625" i="13"/>
  <c r="G1624" i="13"/>
  <c r="G1623" i="13"/>
  <c r="G1622" i="13"/>
  <c r="G1621" i="13"/>
  <c r="G1620" i="13"/>
  <c r="G1619" i="13"/>
  <c r="G1618" i="13"/>
  <c r="G1617" i="13"/>
  <c r="G1616" i="13"/>
  <c r="G1615" i="13"/>
  <c r="G1614" i="13"/>
  <c r="G1613" i="13"/>
  <c r="G1612" i="13"/>
  <c r="G1611" i="13"/>
  <c r="G1610" i="13"/>
  <c r="G1609" i="13"/>
  <c r="G1608" i="13"/>
  <c r="G1607" i="13"/>
  <c r="G1606" i="13"/>
  <c r="G1605" i="13"/>
  <c r="G1604" i="13"/>
  <c r="G1603" i="13"/>
  <c r="G1602" i="13"/>
  <c r="G1601" i="13"/>
  <c r="G1600" i="13"/>
  <c r="G1599" i="13"/>
  <c r="G1598" i="13"/>
  <c r="G1597" i="13"/>
  <c r="G1596" i="13"/>
  <c r="G1595" i="13"/>
  <c r="G1594" i="13"/>
  <c r="G1593" i="13"/>
  <c r="G1592" i="13"/>
  <c r="G1591" i="13"/>
  <c r="G1590" i="13"/>
  <c r="G1589" i="13"/>
  <c r="G1588" i="13"/>
  <c r="G1587" i="13"/>
  <c r="G1586" i="13"/>
  <c r="G1585" i="13"/>
  <c r="G1584" i="13"/>
  <c r="G1583" i="13"/>
  <c r="G1582" i="13"/>
  <c r="G1581" i="13"/>
  <c r="G1580" i="13"/>
  <c r="G1579" i="13"/>
  <c r="G1578" i="13"/>
  <c r="G1577" i="13"/>
  <c r="G1576" i="13"/>
  <c r="G1575" i="13"/>
  <c r="G1574" i="13"/>
  <c r="G1573" i="13"/>
  <c r="G1572" i="13"/>
  <c r="G1571" i="13"/>
  <c r="G1570" i="13"/>
  <c r="G1569" i="13"/>
  <c r="G1568" i="13"/>
  <c r="G1567" i="13"/>
  <c r="G1566" i="13"/>
  <c r="G1565" i="13"/>
  <c r="G1564" i="13"/>
  <c r="G1563" i="13"/>
  <c r="G1562" i="13"/>
  <c r="G1561" i="13"/>
  <c r="G1560" i="13"/>
  <c r="G1559" i="13"/>
  <c r="G1558" i="13"/>
  <c r="G1557" i="13"/>
  <c r="G1556" i="13"/>
  <c r="G1555" i="13"/>
  <c r="G1554" i="13"/>
  <c r="G1553" i="13"/>
  <c r="G1552" i="13"/>
  <c r="G1551" i="13"/>
  <c r="G1550" i="13"/>
  <c r="G1549" i="13"/>
  <c r="G1548" i="13"/>
  <c r="G1547" i="13"/>
  <c r="G1546" i="13"/>
  <c r="G1545" i="13"/>
  <c r="G1544" i="13"/>
  <c r="G1543" i="13"/>
  <c r="G1542" i="13"/>
  <c r="G1541" i="13"/>
  <c r="G1540" i="13"/>
  <c r="G1539" i="13"/>
  <c r="G1538" i="13"/>
  <c r="G1537" i="13"/>
  <c r="G1536" i="13"/>
  <c r="G1535" i="13"/>
  <c r="G1534" i="13"/>
  <c r="G1533" i="13"/>
  <c r="G1532" i="13"/>
  <c r="G1531" i="13"/>
  <c r="G1530" i="13"/>
  <c r="G1529" i="13"/>
  <c r="G1528" i="13"/>
  <c r="G1527" i="13"/>
  <c r="G1526" i="13"/>
  <c r="G1525" i="13"/>
  <c r="G1524" i="13"/>
  <c r="G1523" i="13"/>
  <c r="G1522" i="13"/>
  <c r="G1521" i="13"/>
  <c r="G1520" i="13"/>
  <c r="G1519" i="13"/>
  <c r="G1518" i="13"/>
  <c r="G1517" i="13"/>
  <c r="G1516" i="13"/>
  <c r="G1515" i="13"/>
  <c r="G1514" i="13"/>
  <c r="G1513" i="13"/>
  <c r="G1512" i="13"/>
  <c r="G1511" i="13"/>
  <c r="G1510" i="13"/>
  <c r="G1509" i="13"/>
  <c r="G1508" i="13"/>
  <c r="G1507" i="13"/>
  <c r="G1506" i="13"/>
  <c r="G1505" i="13"/>
  <c r="G1504" i="13"/>
  <c r="G1503" i="13"/>
  <c r="G1502" i="13"/>
  <c r="G1501" i="13"/>
  <c r="G1500" i="13"/>
  <c r="G1499" i="13"/>
  <c r="G1498" i="13"/>
  <c r="G1497" i="13"/>
  <c r="G1496" i="13"/>
  <c r="G1495" i="13"/>
  <c r="G1494" i="13"/>
  <c r="G1493" i="13"/>
  <c r="G1492" i="13"/>
  <c r="G1491" i="13"/>
  <c r="G1490" i="13"/>
  <c r="G1489" i="13"/>
  <c r="G1488" i="13"/>
  <c r="G1487" i="13"/>
  <c r="G1486" i="13"/>
  <c r="G1485" i="13"/>
  <c r="G1484" i="13"/>
  <c r="G1483" i="13"/>
  <c r="G1482" i="13"/>
  <c r="G1481" i="13"/>
  <c r="G1480" i="13"/>
  <c r="G1479" i="13"/>
  <c r="G1478" i="13"/>
  <c r="G1477" i="13"/>
  <c r="G1476" i="13"/>
  <c r="G1475" i="13"/>
  <c r="G1474" i="13"/>
  <c r="G1473" i="13"/>
  <c r="G1472" i="13"/>
  <c r="G1471" i="13"/>
  <c r="G1470" i="13"/>
  <c r="G1469" i="13"/>
  <c r="G1468" i="13"/>
  <c r="G1467" i="13"/>
  <c r="A1467" i="13"/>
  <c r="G1466" i="13"/>
  <c r="A1466" i="13"/>
  <c r="G1465" i="13"/>
  <c r="G1464" i="13"/>
  <c r="G1463" i="13"/>
  <c r="G1462" i="13"/>
  <c r="G1461" i="13"/>
  <c r="G1460" i="13"/>
  <c r="G1459" i="13"/>
  <c r="G1458" i="13"/>
  <c r="G1457" i="13"/>
  <c r="G1456" i="13"/>
  <c r="G1455" i="13"/>
  <c r="G1454" i="13"/>
  <c r="G1453" i="13"/>
  <c r="G1452" i="13"/>
  <c r="G1451" i="13"/>
  <c r="G1450" i="13"/>
  <c r="G1449" i="13"/>
  <c r="G1448" i="13"/>
  <c r="G1447" i="13"/>
  <c r="G1446" i="13"/>
  <c r="G1445" i="13"/>
  <c r="G1444" i="13"/>
  <c r="G1443" i="13"/>
  <c r="G1442" i="13"/>
  <c r="G1441" i="13"/>
  <c r="G1440" i="13"/>
  <c r="G1439" i="13"/>
  <c r="G1438" i="13"/>
  <c r="G1437" i="13"/>
  <c r="G1436" i="13"/>
  <c r="G1435" i="13"/>
  <c r="G1434" i="13"/>
  <c r="G1433" i="13"/>
  <c r="G1432" i="13"/>
  <c r="G1431" i="13"/>
  <c r="G1430" i="13"/>
  <c r="G1429" i="13"/>
  <c r="G1428" i="13"/>
  <c r="G1427" i="13"/>
  <c r="G1426" i="13"/>
  <c r="G1425" i="13"/>
  <c r="G1424" i="13"/>
  <c r="G1423" i="13"/>
  <c r="G1422" i="13"/>
  <c r="G1421" i="13"/>
  <c r="G1420" i="13"/>
  <c r="G1419" i="13"/>
  <c r="G1418" i="13"/>
  <c r="G1417" i="13"/>
  <c r="G1416" i="13"/>
  <c r="G1415" i="13"/>
  <c r="G1414" i="13"/>
  <c r="G1413" i="13"/>
  <c r="G1412" i="13"/>
  <c r="G1411" i="13"/>
  <c r="G1410" i="13"/>
  <c r="G1409" i="13"/>
  <c r="G1408" i="13"/>
  <c r="G1407" i="13"/>
  <c r="G1406" i="13"/>
  <c r="G1405" i="13"/>
  <c r="G1404" i="13"/>
  <c r="G1403" i="13"/>
  <c r="G1402" i="13"/>
  <c r="G1401" i="13"/>
  <c r="G1400" i="13"/>
  <c r="G1399" i="13"/>
  <c r="G1398" i="13"/>
  <c r="G1397" i="13"/>
  <c r="G1396" i="13"/>
  <c r="G1395" i="13"/>
  <c r="G1394" i="13"/>
  <c r="G1393" i="13"/>
  <c r="G1392" i="13"/>
  <c r="G1391" i="13"/>
  <c r="G1390" i="13"/>
  <c r="G1389" i="13"/>
  <c r="G1388" i="13"/>
  <c r="G1387" i="13"/>
  <c r="G1386" i="13"/>
  <c r="G1385" i="13"/>
  <c r="G1384" i="13"/>
  <c r="G1383" i="13"/>
  <c r="G1382" i="13"/>
  <c r="G1381" i="13"/>
  <c r="G1380" i="13"/>
  <c r="G1379" i="13"/>
  <c r="G1378" i="13"/>
  <c r="G1377" i="13"/>
  <c r="G1376" i="13"/>
  <c r="G1375" i="13"/>
  <c r="G1374" i="13"/>
  <c r="G1373" i="13"/>
  <c r="G1372" i="13"/>
  <c r="G1371" i="13"/>
  <c r="G1370" i="13"/>
  <c r="G1369" i="13"/>
  <c r="G1368" i="13"/>
  <c r="G1367" i="13"/>
  <c r="G1366" i="13"/>
  <c r="G1365" i="13"/>
  <c r="G1364" i="13"/>
  <c r="G1363" i="13"/>
  <c r="G1362" i="13"/>
  <c r="G1361" i="13"/>
  <c r="G1360" i="13"/>
  <c r="G1359" i="13"/>
  <c r="G1358" i="13"/>
  <c r="G1357" i="13"/>
  <c r="G1356" i="13"/>
  <c r="G1355" i="13"/>
  <c r="G1354" i="13"/>
  <c r="G1353" i="13"/>
  <c r="G1352" i="13"/>
  <c r="G1351" i="13"/>
  <c r="G1350" i="13"/>
  <c r="G1349" i="13"/>
  <c r="G1348" i="13"/>
  <c r="G1347" i="13"/>
  <c r="G1346" i="13"/>
  <c r="G1345" i="13"/>
  <c r="G1344" i="13"/>
  <c r="G1343" i="13"/>
  <c r="G1342" i="13"/>
  <c r="G1341" i="13"/>
  <c r="G1340" i="13"/>
  <c r="G1339" i="13"/>
  <c r="G1338" i="13"/>
  <c r="G1337" i="13"/>
  <c r="G1336" i="13"/>
  <c r="G1335" i="13"/>
  <c r="G1334" i="13"/>
  <c r="G1333" i="13"/>
  <c r="G1332" i="13"/>
  <c r="G1331" i="13"/>
  <c r="G1330" i="13"/>
  <c r="G1329" i="13"/>
  <c r="G1328" i="13"/>
  <c r="G1327" i="13"/>
  <c r="G1326" i="13"/>
  <c r="G1325" i="13"/>
  <c r="G1324" i="13"/>
  <c r="G1323" i="13"/>
  <c r="G1322" i="13"/>
  <c r="G1321" i="13"/>
  <c r="G1320" i="13"/>
  <c r="G1319" i="13"/>
  <c r="G1318" i="13"/>
  <c r="G1317" i="13"/>
  <c r="G1316" i="13"/>
  <c r="G1315" i="13"/>
  <c r="G1314" i="13"/>
  <c r="G1313" i="13"/>
  <c r="G1312" i="13"/>
  <c r="G1311" i="13"/>
  <c r="G1310" i="13"/>
  <c r="G1309" i="13"/>
  <c r="G1308" i="13"/>
  <c r="G1307" i="13"/>
  <c r="G1306" i="13"/>
  <c r="G1305" i="13"/>
  <c r="G1304" i="13"/>
  <c r="G1303" i="13"/>
  <c r="G1302" i="13"/>
  <c r="G1301" i="13"/>
  <c r="G1300" i="13"/>
  <c r="G1299" i="13"/>
  <c r="G1298" i="13"/>
  <c r="G1297" i="13"/>
  <c r="G1296" i="13"/>
  <c r="G1295" i="13"/>
  <c r="G1294" i="13"/>
  <c r="G1293" i="13"/>
  <c r="G1292" i="13"/>
  <c r="G1291" i="13"/>
  <c r="G1290" i="13"/>
  <c r="G1289" i="13"/>
  <c r="G1288" i="13"/>
  <c r="G1287" i="13"/>
  <c r="G1286" i="13"/>
  <c r="G1285" i="13"/>
  <c r="G1284" i="13"/>
  <c r="G1283" i="13"/>
  <c r="G1282" i="13"/>
  <c r="G1281" i="13"/>
  <c r="G1280" i="13"/>
  <c r="G1279" i="13"/>
  <c r="G1278" i="13"/>
  <c r="G1277" i="13"/>
  <c r="G1276" i="13"/>
  <c r="G1275" i="13"/>
  <c r="G1274" i="13"/>
  <c r="G1273" i="13"/>
  <c r="G1272" i="13"/>
  <c r="G1271" i="13"/>
  <c r="G1270" i="13"/>
  <c r="G1269" i="13"/>
  <c r="G1268" i="13"/>
  <c r="G1267" i="13"/>
  <c r="G1266" i="13"/>
  <c r="G1265" i="13"/>
  <c r="G1264" i="13"/>
  <c r="G1263" i="13"/>
  <c r="G1262" i="13"/>
  <c r="G1261" i="13"/>
  <c r="G1260" i="13"/>
  <c r="G1259" i="13"/>
  <c r="G1258" i="13"/>
  <c r="G1257" i="13"/>
  <c r="G1256" i="13"/>
  <c r="G1255" i="13"/>
  <c r="G1254" i="13"/>
  <c r="G1253" i="13"/>
  <c r="G1252" i="13"/>
  <c r="G1251" i="13"/>
  <c r="G1250" i="13"/>
  <c r="G1249" i="13"/>
  <c r="G1248" i="13"/>
  <c r="G1247" i="13"/>
  <c r="G1246" i="13"/>
  <c r="G1245" i="13"/>
  <c r="G1244" i="13"/>
  <c r="G1243" i="13"/>
  <c r="G1242" i="13"/>
  <c r="G1241" i="13"/>
  <c r="G1240" i="13"/>
  <c r="G1239" i="13"/>
  <c r="G1238" i="13"/>
  <c r="G1237" i="13"/>
  <c r="G1236" i="13"/>
  <c r="G1235" i="13"/>
  <c r="G1234" i="13"/>
  <c r="G1233" i="13"/>
  <c r="G1232" i="13"/>
  <c r="G1231" i="13"/>
  <c r="G1230" i="13"/>
  <c r="G1229" i="13"/>
  <c r="G1228" i="13"/>
  <c r="G1227" i="13"/>
  <c r="G1226" i="13"/>
  <c r="G1225" i="13"/>
  <c r="G1224" i="13"/>
  <c r="G1223" i="13"/>
  <c r="G1222" i="13"/>
  <c r="G1221" i="13"/>
  <c r="G1220" i="13"/>
  <c r="G1219" i="13"/>
  <c r="G1218" i="13"/>
  <c r="G1217" i="13"/>
  <c r="G1216" i="13"/>
  <c r="G1215" i="13"/>
  <c r="G1214" i="13"/>
  <c r="G1213" i="13"/>
  <c r="G1212" i="13"/>
  <c r="G1211" i="13"/>
  <c r="G1210" i="13"/>
  <c r="G1209" i="13"/>
  <c r="G1208" i="13"/>
  <c r="G1207" i="13"/>
  <c r="G1206" i="13"/>
  <c r="G1205" i="13"/>
  <c r="G1204" i="13"/>
  <c r="G1203" i="13"/>
  <c r="G1202" i="13"/>
  <c r="G1201" i="13"/>
  <c r="G1200" i="13"/>
  <c r="G1199" i="13"/>
  <c r="G1198" i="13"/>
  <c r="G1197" i="13"/>
  <c r="G1196" i="13"/>
  <c r="G1195" i="13"/>
  <c r="G1194" i="13"/>
  <c r="G1193" i="13"/>
  <c r="G1192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G1167" i="13"/>
  <c r="G1166" i="13"/>
  <c r="G1165" i="13"/>
  <c r="G1164" i="13"/>
  <c r="G1163" i="13"/>
  <c r="G1162" i="13"/>
  <c r="G1161" i="13"/>
  <c r="G1160" i="13"/>
  <c r="G1159" i="13"/>
  <c r="G1158" i="13"/>
  <c r="G1157" i="13"/>
  <c r="G1156" i="13"/>
  <c r="G1155" i="13"/>
  <c r="G1154" i="13"/>
  <c r="G1153" i="13"/>
  <c r="G1152" i="13"/>
  <c r="G1151" i="13"/>
  <c r="G1150" i="13"/>
  <c r="G1149" i="13"/>
  <c r="G1148" i="13"/>
  <c r="G1147" i="13"/>
  <c r="G1146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3" i="13"/>
  <c r="G1122" i="13"/>
  <c r="G1121" i="13"/>
  <c r="G1120" i="13"/>
  <c r="G1119" i="13"/>
  <c r="G1118" i="13"/>
  <c r="G1117" i="13"/>
  <c r="G1116" i="13"/>
  <c r="G1115" i="13"/>
  <c r="G1114" i="13"/>
  <c r="G1113" i="13"/>
  <c r="G1112" i="13"/>
  <c r="G1111" i="13"/>
  <c r="G1110" i="13"/>
  <c r="G1109" i="13"/>
  <c r="G1108" i="13"/>
  <c r="G1107" i="13"/>
  <c r="G1106" i="13"/>
  <c r="G1105" i="13"/>
  <c r="G1104" i="13"/>
  <c r="G1103" i="13"/>
  <c r="G1102" i="13"/>
  <c r="G1101" i="13"/>
  <c r="G1100" i="13"/>
  <c r="G1099" i="13"/>
  <c r="G1098" i="13"/>
  <c r="G1097" i="13"/>
  <c r="G1096" i="13"/>
  <c r="G1095" i="13"/>
  <c r="G1094" i="13"/>
  <c r="G1093" i="13"/>
  <c r="G1092" i="13"/>
  <c r="G1091" i="13"/>
  <c r="G1090" i="13"/>
  <c r="G1089" i="13"/>
  <c r="G1088" i="13"/>
  <c r="G1087" i="13"/>
  <c r="G1086" i="13"/>
  <c r="A1086" i="13"/>
  <c r="G1085" i="13"/>
  <c r="A1085" i="13"/>
  <c r="G1084" i="13"/>
  <c r="G1083" i="13"/>
  <c r="G1082" i="13"/>
  <c r="G1081" i="13"/>
  <c r="G1080" i="13"/>
  <c r="G1079" i="13"/>
  <c r="G1078" i="13"/>
  <c r="G1077" i="13"/>
  <c r="G1076" i="13"/>
  <c r="G1075" i="13"/>
  <c r="G1074" i="13"/>
  <c r="G1073" i="13"/>
  <c r="G1072" i="13"/>
  <c r="G1071" i="13"/>
  <c r="G1070" i="13"/>
  <c r="G1069" i="13"/>
  <c r="G1068" i="13"/>
  <c r="G1067" i="13"/>
  <c r="G1066" i="13"/>
  <c r="G1065" i="13"/>
  <c r="G1064" i="13"/>
  <c r="G1063" i="13"/>
  <c r="G1062" i="13"/>
  <c r="G1061" i="13"/>
  <c r="G1060" i="13"/>
  <c r="G1059" i="13"/>
  <c r="G1058" i="13"/>
  <c r="G1057" i="13"/>
  <c r="G1056" i="13"/>
  <c r="G1055" i="13"/>
  <c r="G1054" i="13"/>
  <c r="G1053" i="13"/>
  <c r="G1052" i="13"/>
  <c r="G1051" i="13"/>
  <c r="G1050" i="13"/>
  <c r="G1049" i="13"/>
  <c r="G1048" i="13"/>
  <c r="G1047" i="13"/>
  <c r="G1046" i="13"/>
  <c r="G1045" i="13"/>
  <c r="G1044" i="13"/>
  <c r="G1043" i="13"/>
  <c r="G1042" i="13"/>
  <c r="G1041" i="13"/>
  <c r="G1040" i="13"/>
  <c r="G1039" i="13"/>
  <c r="G1038" i="13"/>
  <c r="G1037" i="13"/>
  <c r="G1036" i="13"/>
  <c r="G1035" i="13"/>
  <c r="G1034" i="13"/>
  <c r="G1033" i="13"/>
  <c r="G1032" i="13"/>
  <c r="G1031" i="13"/>
  <c r="G1030" i="13"/>
  <c r="G1029" i="13"/>
  <c r="G1028" i="13"/>
  <c r="G1027" i="13"/>
  <c r="G1026" i="13"/>
  <c r="G1025" i="13"/>
  <c r="G1024" i="13"/>
  <c r="G1023" i="13"/>
  <c r="G1022" i="13"/>
  <c r="G1021" i="13"/>
  <c r="G1020" i="13"/>
  <c r="G1019" i="13"/>
  <c r="G1018" i="13"/>
  <c r="G1017" i="13"/>
  <c r="G1016" i="13"/>
  <c r="G1015" i="13"/>
  <c r="G1014" i="13"/>
  <c r="G1013" i="13"/>
  <c r="G1012" i="13"/>
  <c r="G1011" i="13"/>
  <c r="G1010" i="13"/>
  <c r="G1009" i="13"/>
  <c r="G1008" i="13"/>
  <c r="G1007" i="13"/>
  <c r="G1006" i="13"/>
  <c r="G1005" i="13"/>
  <c r="G1004" i="13"/>
  <c r="G1003" i="13"/>
  <c r="G1002" i="13"/>
  <c r="G1001" i="13"/>
  <c r="G1000" i="13"/>
  <c r="G999" i="13"/>
  <c r="G998" i="13"/>
  <c r="G997" i="13"/>
  <c r="G996" i="13"/>
  <c r="G995" i="13"/>
  <c r="G994" i="13"/>
  <c r="G993" i="13"/>
  <c r="G992" i="13"/>
  <c r="G991" i="13"/>
  <c r="G990" i="13"/>
  <c r="G989" i="13"/>
  <c r="G988" i="13"/>
  <c r="G987" i="13"/>
  <c r="G986" i="13"/>
  <c r="G985" i="13"/>
  <c r="G984" i="13"/>
  <c r="G983" i="13"/>
  <c r="G982" i="13"/>
  <c r="G981" i="13"/>
  <c r="G980" i="13"/>
  <c r="G979" i="13"/>
  <c r="G978" i="13"/>
  <c r="G977" i="13"/>
  <c r="G976" i="13"/>
  <c r="G975" i="13"/>
  <c r="G974" i="13"/>
  <c r="G973" i="13"/>
  <c r="G972" i="13"/>
  <c r="G971" i="13"/>
  <c r="G970" i="13"/>
  <c r="G969" i="13"/>
  <c r="G968" i="13"/>
  <c r="G967" i="13"/>
  <c r="G966" i="13"/>
  <c r="G965" i="13"/>
  <c r="G964" i="13"/>
  <c r="G963" i="13"/>
  <c r="G962" i="13"/>
  <c r="G961" i="13"/>
  <c r="G960" i="13"/>
  <c r="G959" i="13"/>
  <c r="G958" i="13"/>
  <c r="G957" i="13"/>
  <c r="G956" i="13"/>
  <c r="G955" i="13"/>
  <c r="G954" i="13"/>
  <c r="G953" i="13"/>
  <c r="G952" i="13"/>
  <c r="G951" i="13"/>
  <c r="G950" i="13"/>
  <c r="G949" i="13"/>
  <c r="G948" i="13"/>
  <c r="G947" i="13"/>
  <c r="G946" i="13"/>
  <c r="G945" i="13"/>
  <c r="G944" i="13"/>
  <c r="G943" i="13"/>
  <c r="G942" i="13"/>
  <c r="G941" i="13"/>
  <c r="G940" i="13"/>
  <c r="G939" i="13"/>
  <c r="G938" i="13"/>
  <c r="G937" i="13"/>
  <c r="G936" i="13"/>
  <c r="G935" i="13"/>
  <c r="G934" i="13"/>
  <c r="G933" i="13"/>
  <c r="G932" i="13"/>
  <c r="G931" i="13"/>
  <c r="G930" i="13"/>
  <c r="G929" i="13"/>
  <c r="G928" i="13"/>
  <c r="G927" i="13"/>
  <c r="G926" i="13"/>
  <c r="G925" i="13"/>
  <c r="G924" i="13"/>
  <c r="G923" i="13"/>
  <c r="G922" i="13"/>
  <c r="G921" i="13"/>
  <c r="G920" i="13"/>
  <c r="G919" i="13"/>
  <c r="G918" i="13"/>
  <c r="G917" i="13"/>
  <c r="G916" i="13"/>
  <c r="G915" i="13"/>
  <c r="G914" i="13"/>
  <c r="G913" i="13"/>
  <c r="G912" i="13"/>
  <c r="G911" i="13"/>
  <c r="G910" i="13"/>
  <c r="G909" i="13"/>
  <c r="G908" i="13"/>
  <c r="G907" i="13"/>
  <c r="G906" i="13"/>
  <c r="G905" i="13"/>
  <c r="G904" i="13"/>
  <c r="G903" i="13"/>
  <c r="G902" i="13"/>
  <c r="G901" i="13"/>
  <c r="G900" i="13"/>
  <c r="G899" i="13"/>
  <c r="G898" i="13"/>
  <c r="G897" i="13"/>
  <c r="G896" i="13"/>
  <c r="G895" i="13"/>
  <c r="G894" i="13"/>
  <c r="G893" i="13"/>
  <c r="G892" i="13"/>
  <c r="G891" i="13"/>
  <c r="G890" i="13"/>
  <c r="G889" i="13"/>
  <c r="G888" i="13"/>
  <c r="G887" i="13"/>
  <c r="G886" i="13"/>
  <c r="G885" i="13"/>
  <c r="G884" i="13"/>
  <c r="G883" i="13"/>
  <c r="G882" i="13"/>
  <c r="G881" i="13"/>
  <c r="G880" i="13"/>
  <c r="G879" i="13"/>
  <c r="G878" i="13"/>
  <c r="G877" i="13"/>
  <c r="G876" i="13"/>
  <c r="G875" i="13"/>
  <c r="G874" i="13"/>
  <c r="G873" i="13"/>
  <c r="G872" i="13"/>
  <c r="G871" i="13"/>
  <c r="G870" i="13"/>
  <c r="G869" i="13"/>
  <c r="G868" i="13"/>
  <c r="G867" i="13"/>
  <c r="G866" i="13"/>
  <c r="G865" i="13"/>
  <c r="G864" i="13"/>
  <c r="G863" i="13"/>
  <c r="G862" i="13"/>
  <c r="G861" i="13"/>
  <c r="G860" i="13"/>
  <c r="G859" i="13"/>
  <c r="G858" i="13"/>
  <c r="G857" i="13"/>
  <c r="G856" i="13"/>
  <c r="G855" i="13"/>
  <c r="G854" i="13"/>
  <c r="G853" i="13"/>
  <c r="G852" i="13"/>
  <c r="G851" i="13"/>
  <c r="G850" i="13"/>
  <c r="G849" i="13"/>
  <c r="G848" i="13"/>
  <c r="G847" i="13"/>
  <c r="G846" i="13"/>
  <c r="G845" i="13"/>
  <c r="G844" i="13"/>
  <c r="G843" i="13"/>
  <c r="G842" i="13"/>
  <c r="G841" i="13"/>
  <c r="G840" i="13"/>
  <c r="G839" i="13"/>
  <c r="G838" i="13"/>
  <c r="G837" i="13"/>
  <c r="G836" i="13"/>
  <c r="G835" i="13"/>
  <c r="G834" i="13"/>
  <c r="G833" i="13"/>
  <c r="G832" i="13"/>
  <c r="G831" i="13"/>
  <c r="G830" i="13"/>
  <c r="G829" i="13"/>
  <c r="G828" i="13"/>
  <c r="G827" i="13"/>
  <c r="G826" i="13"/>
  <c r="G825" i="13"/>
  <c r="G824" i="13"/>
  <c r="G823" i="13"/>
  <c r="G822" i="13"/>
  <c r="G821" i="13"/>
  <c r="G820" i="13"/>
  <c r="G819" i="13"/>
  <c r="G818" i="13"/>
  <c r="G817" i="13"/>
  <c r="G816" i="13"/>
  <c r="G815" i="13"/>
  <c r="G814" i="13"/>
  <c r="G813" i="13"/>
  <c r="G812" i="13"/>
  <c r="G811" i="13"/>
  <c r="G810" i="13"/>
  <c r="G809" i="13"/>
  <c r="G808" i="13"/>
  <c r="G807" i="13"/>
  <c r="G806" i="13"/>
  <c r="G805" i="13"/>
  <c r="G804" i="13"/>
  <c r="G803" i="13"/>
  <c r="G802" i="13"/>
  <c r="G801" i="13"/>
  <c r="G800" i="13"/>
  <c r="G799" i="13"/>
  <c r="G798" i="13"/>
  <c r="G797" i="13"/>
  <c r="G796" i="13"/>
  <c r="G795" i="13"/>
  <c r="G794" i="13"/>
  <c r="G793" i="13"/>
  <c r="G792" i="13"/>
  <c r="G791" i="13"/>
  <c r="G790" i="13"/>
  <c r="G789" i="13"/>
  <c r="G788" i="13"/>
  <c r="G787" i="13"/>
  <c r="G786" i="13"/>
  <c r="G785" i="13"/>
  <c r="G784" i="13"/>
  <c r="G783" i="13"/>
  <c r="G782" i="13"/>
  <c r="G781" i="13"/>
  <c r="G780" i="13"/>
  <c r="G779" i="13"/>
  <c r="G778" i="13"/>
  <c r="G777" i="13"/>
  <c r="G776" i="13"/>
  <c r="G775" i="13"/>
  <c r="G774" i="13"/>
  <c r="G773" i="13"/>
  <c r="G772" i="13"/>
  <c r="G771" i="13"/>
  <c r="G770" i="13"/>
  <c r="G769" i="13"/>
  <c r="G768" i="13"/>
  <c r="G767" i="13"/>
  <c r="G766" i="13"/>
  <c r="G765" i="13"/>
  <c r="G764" i="13"/>
  <c r="G763" i="13"/>
  <c r="G762" i="13"/>
  <c r="G761" i="13"/>
  <c r="G760" i="13"/>
  <c r="G759" i="13"/>
  <c r="G758" i="13"/>
  <c r="G757" i="13"/>
  <c r="G756" i="13"/>
  <c r="G755" i="13"/>
  <c r="G754" i="13"/>
  <c r="G753" i="13"/>
  <c r="G752" i="13"/>
  <c r="G751" i="13"/>
  <c r="G750" i="13"/>
  <c r="G749" i="13"/>
  <c r="G748" i="13"/>
  <c r="G747" i="13"/>
  <c r="G746" i="13"/>
  <c r="G745" i="13"/>
  <c r="G744" i="13"/>
  <c r="G743" i="13"/>
  <c r="G742" i="13"/>
  <c r="G741" i="13"/>
  <c r="G740" i="13"/>
  <c r="G739" i="13"/>
  <c r="G738" i="13"/>
  <c r="G737" i="13"/>
  <c r="G736" i="13"/>
  <c r="G735" i="13"/>
  <c r="G734" i="13"/>
  <c r="G733" i="13"/>
  <c r="G732" i="13"/>
  <c r="G731" i="13"/>
  <c r="G730" i="13"/>
  <c r="G729" i="13"/>
  <c r="G728" i="13"/>
  <c r="G727" i="13"/>
  <c r="G726" i="13"/>
  <c r="G725" i="13"/>
  <c r="G724" i="13"/>
  <c r="G723" i="13"/>
  <c r="G722" i="13"/>
  <c r="G721" i="13"/>
  <c r="G720" i="13"/>
  <c r="G719" i="13"/>
  <c r="G718" i="13"/>
  <c r="G717" i="13"/>
  <c r="G716" i="13"/>
  <c r="G715" i="13"/>
  <c r="G714" i="13"/>
  <c r="G713" i="13"/>
  <c r="G712" i="13"/>
  <c r="G711" i="13"/>
  <c r="G710" i="13"/>
  <c r="G709" i="13"/>
  <c r="G708" i="13"/>
  <c r="G707" i="13"/>
  <c r="G706" i="13"/>
  <c r="G705" i="13"/>
  <c r="G704" i="13"/>
  <c r="G703" i="13"/>
  <c r="G702" i="13"/>
  <c r="G701" i="13"/>
  <c r="G700" i="13"/>
  <c r="G699" i="13"/>
  <c r="G698" i="13"/>
  <c r="G697" i="13"/>
  <c r="G696" i="13"/>
  <c r="G695" i="13"/>
  <c r="G694" i="13"/>
  <c r="G693" i="13"/>
  <c r="G692" i="13"/>
  <c r="G691" i="13"/>
  <c r="G690" i="13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4" i="13"/>
  <c r="A674" i="13"/>
  <c r="G673" i="13"/>
  <c r="A673" i="13"/>
  <c r="G672" i="13"/>
  <c r="G671" i="13"/>
  <c r="G670" i="13"/>
  <c r="G669" i="13"/>
  <c r="G668" i="13"/>
  <c r="G667" i="13"/>
  <c r="G666" i="13"/>
  <c r="G665" i="13"/>
  <c r="G664" i="13"/>
  <c r="G663" i="13"/>
  <c r="G662" i="13"/>
  <c r="G661" i="13"/>
  <c r="G660" i="13"/>
  <c r="G659" i="13"/>
  <c r="G658" i="13"/>
  <c r="G657" i="13"/>
  <c r="G656" i="13"/>
  <c r="G655" i="13"/>
  <c r="G654" i="13"/>
  <c r="G653" i="13"/>
  <c r="G652" i="13"/>
  <c r="G651" i="13"/>
  <c r="G650" i="13"/>
  <c r="G649" i="13"/>
  <c r="G648" i="13"/>
  <c r="G647" i="13"/>
  <c r="G646" i="13"/>
  <c r="G645" i="13"/>
  <c r="G644" i="13"/>
  <c r="G643" i="13"/>
  <c r="G642" i="13"/>
  <c r="G641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10" i="13"/>
  <c r="G609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587" i="13"/>
  <c r="G586" i="13"/>
  <c r="G585" i="13"/>
  <c r="G584" i="13"/>
  <c r="G583" i="13"/>
  <c r="G582" i="13"/>
  <c r="G581" i="13"/>
  <c r="G580" i="13"/>
  <c r="G579" i="13"/>
  <c r="G578" i="13"/>
  <c r="G577" i="13"/>
  <c r="G576" i="13"/>
  <c r="G575" i="13"/>
  <c r="G574" i="13"/>
  <c r="G573" i="13"/>
  <c r="G572" i="13"/>
  <c r="G571" i="13"/>
  <c r="G570" i="13"/>
  <c r="G569" i="13"/>
  <c r="G568" i="13"/>
  <c r="G567" i="13"/>
  <c r="G566" i="13"/>
  <c r="G565" i="13"/>
  <c r="G564" i="13"/>
  <c r="G563" i="13"/>
  <c r="G562" i="13"/>
  <c r="G561" i="13"/>
  <c r="G560" i="13"/>
  <c r="G559" i="13"/>
  <c r="G558" i="13"/>
  <c r="G557" i="13"/>
  <c r="G556" i="13"/>
  <c r="G555" i="13"/>
  <c r="G554" i="13"/>
  <c r="G553" i="13"/>
  <c r="G552" i="13"/>
  <c r="G551" i="13"/>
  <c r="G550" i="13"/>
  <c r="G549" i="13"/>
  <c r="G548" i="13"/>
  <c r="G547" i="13"/>
  <c r="G546" i="13"/>
  <c r="G545" i="13"/>
  <c r="G544" i="13"/>
  <c r="G543" i="13"/>
  <c r="G542" i="13"/>
  <c r="G541" i="13"/>
  <c r="G540" i="13"/>
  <c r="G539" i="13"/>
  <c r="G538" i="13"/>
  <c r="G537" i="13"/>
  <c r="G536" i="13"/>
  <c r="G535" i="13"/>
  <c r="G534" i="13"/>
  <c r="G533" i="13"/>
  <c r="G532" i="13"/>
  <c r="G531" i="13"/>
  <c r="G530" i="13"/>
  <c r="G529" i="13"/>
  <c r="G528" i="13"/>
  <c r="G527" i="13"/>
  <c r="G526" i="13"/>
  <c r="G525" i="13"/>
  <c r="G524" i="13"/>
  <c r="G523" i="13"/>
  <c r="G522" i="13"/>
  <c r="G521" i="13"/>
  <c r="G520" i="13"/>
  <c r="G519" i="13"/>
  <c r="G518" i="13"/>
  <c r="G517" i="13"/>
  <c r="G516" i="13"/>
  <c r="G515" i="13"/>
  <c r="G514" i="13"/>
  <c r="G513" i="13"/>
  <c r="G512" i="13"/>
  <c r="G511" i="13"/>
  <c r="G510" i="13"/>
  <c r="G509" i="13"/>
  <c r="G508" i="13"/>
  <c r="G507" i="13"/>
  <c r="G506" i="13"/>
  <c r="G505" i="13"/>
  <c r="G504" i="13"/>
  <c r="G503" i="13"/>
  <c r="G502" i="13"/>
  <c r="G501" i="13"/>
  <c r="G500" i="13"/>
  <c r="G499" i="13"/>
  <c r="G498" i="13"/>
  <c r="G497" i="13"/>
  <c r="G496" i="13"/>
  <c r="G495" i="13"/>
  <c r="G494" i="13"/>
  <c r="G493" i="13"/>
  <c r="G492" i="13"/>
  <c r="G491" i="13"/>
  <c r="G490" i="13"/>
  <c r="G489" i="13"/>
  <c r="G488" i="13"/>
  <c r="G487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G451" i="13"/>
  <c r="G450" i="13"/>
  <c r="G449" i="13"/>
  <c r="G448" i="13"/>
  <c r="G447" i="13"/>
  <c r="G446" i="13"/>
  <c r="G445" i="13"/>
  <c r="G444" i="13"/>
  <c r="G443" i="13"/>
  <c r="G442" i="13"/>
  <c r="G441" i="13"/>
  <c r="G440" i="13"/>
  <c r="G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G412" i="13"/>
  <c r="G411" i="13"/>
  <c r="G410" i="13"/>
  <c r="G409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A214" i="13"/>
  <c r="G213" i="13"/>
  <c r="A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15" i="12"/>
  <c r="F14" i="12"/>
  <c r="G14" i="12" s="1"/>
  <c r="F13" i="12"/>
  <c r="G13" i="12" s="1"/>
  <c r="F12" i="12"/>
  <c r="G12" i="12" s="1"/>
  <c r="G11" i="12"/>
  <c r="F11" i="12"/>
  <c r="F10" i="12"/>
  <c r="J29" i="11"/>
  <c r="I16" i="11"/>
  <c r="I15" i="11"/>
  <c r="H9" i="11"/>
  <c r="I9" i="11" s="1"/>
  <c r="H8" i="11"/>
  <c r="H6" i="11"/>
  <c r="H5" i="11"/>
  <c r="I6" i="11" s="1"/>
  <c r="K72" i="10"/>
  <c r="W71" i="10"/>
  <c r="V71" i="10"/>
  <c r="V72" i="10" s="1"/>
  <c r="O68" i="10"/>
  <c r="U66" i="10"/>
  <c r="U67" i="10" s="1"/>
  <c r="U68" i="10" s="1"/>
  <c r="U69" i="10" s="1"/>
  <c r="U70" i="10" s="1"/>
  <c r="U71" i="10" s="1"/>
  <c r="U72" i="10" s="1"/>
  <c r="N66" i="10"/>
  <c r="N68" i="10" s="1"/>
  <c r="N69" i="10" s="1"/>
  <c r="N70" i="10" s="1"/>
  <c r="N71" i="10" s="1"/>
  <c r="N72" i="10" s="1"/>
  <c r="N65" i="10"/>
  <c r="V64" i="10"/>
  <c r="V65" i="10" s="1"/>
  <c r="V66" i="10" s="1"/>
  <c r="V67" i="10" s="1"/>
  <c r="V68" i="10" s="1"/>
  <c r="V69" i="10" s="1"/>
  <c r="V70" i="10" s="1"/>
  <c r="U64" i="10"/>
  <c r="U65" i="10" s="1"/>
  <c r="N64" i="10"/>
  <c r="N59" i="10"/>
  <c r="N58" i="10"/>
  <c r="K58" i="10"/>
  <c r="R48" i="10"/>
  <c r="R46" i="10"/>
  <c r="S45" i="10"/>
  <c r="S44" i="10"/>
  <c r="P44" i="10"/>
  <c r="O44" i="10" s="1"/>
  <c r="S42" i="10"/>
  <c r="S41" i="10"/>
  <c r="S46" i="10" s="1"/>
  <c r="S40" i="10"/>
  <c r="S39" i="10"/>
  <c r="T33" i="10"/>
  <c r="U33" i="10" s="1"/>
  <c r="U34" i="10" s="1"/>
  <c r="T32" i="10"/>
  <c r="U32" i="10" s="1"/>
  <c r="J29" i="10"/>
  <c r="I16" i="10"/>
  <c r="I15" i="10"/>
  <c r="E10" i="10"/>
  <c r="G10" i="10" s="1"/>
  <c r="M9" i="10"/>
  <c r="H9" i="10"/>
  <c r="H8" i="10"/>
  <c r="I9" i="10" s="1"/>
  <c r="H6" i="10"/>
  <c r="H5" i="10"/>
  <c r="I6" i="10" s="1"/>
  <c r="J29" i="9"/>
  <c r="I16" i="9"/>
  <c r="I15" i="9"/>
  <c r="H9" i="9"/>
  <c r="H8" i="9"/>
  <c r="I9" i="9" s="1"/>
  <c r="H6" i="9"/>
  <c r="I6" i="9" s="1"/>
  <c r="H5" i="9"/>
  <c r="S35" i="8"/>
  <c r="I16" i="8"/>
  <c r="I15" i="8"/>
  <c r="I9" i="8"/>
  <c r="H9" i="8"/>
  <c r="H8" i="8"/>
  <c r="H6" i="8"/>
  <c r="I6" i="8" s="1"/>
  <c r="H23" i="8" s="1"/>
  <c r="H5" i="8"/>
  <c r="J29" i="7"/>
  <c r="I16" i="7"/>
  <c r="I15" i="7"/>
  <c r="H6" i="7"/>
  <c r="H5" i="7"/>
  <c r="I6" i="7" s="1"/>
  <c r="H26" i="7" s="1"/>
  <c r="J29" i="6"/>
  <c r="H22" i="6"/>
  <c r="H21" i="6"/>
  <c r="I16" i="6"/>
  <c r="I15" i="6"/>
  <c r="H6" i="6"/>
  <c r="I6" i="6" s="1"/>
  <c r="H5" i="6"/>
  <c r="J29" i="5"/>
  <c r="H22" i="5"/>
  <c r="H21" i="5"/>
  <c r="I16" i="5"/>
  <c r="I15" i="5"/>
  <c r="I6" i="5"/>
  <c r="H24" i="5" s="1"/>
  <c r="H6" i="5"/>
  <c r="H5" i="5"/>
  <c r="J29" i="4"/>
  <c r="M28" i="4"/>
  <c r="H22" i="4"/>
  <c r="H21" i="4"/>
  <c r="I16" i="4"/>
  <c r="I15" i="4"/>
  <c r="I6" i="4"/>
  <c r="H24" i="4" s="1"/>
  <c r="H6" i="4"/>
  <c r="H5" i="4"/>
  <c r="J29" i="3"/>
  <c r="H26" i="3"/>
  <c r="H21" i="3"/>
  <c r="I16" i="3"/>
  <c r="I15" i="3"/>
  <c r="H6" i="3"/>
  <c r="I6" i="3" s="1"/>
  <c r="H5" i="3"/>
  <c r="R125" i="2"/>
  <c r="X114" i="2" s="1"/>
  <c r="Y114" i="2" s="1"/>
  <c r="R124" i="2"/>
  <c r="P124" i="2"/>
  <c r="N124" i="2"/>
  <c r="K124" i="2"/>
  <c r="R123" i="2"/>
  <c r="P123" i="2"/>
  <c r="AE115" i="2"/>
  <c r="K15" i="12" s="1"/>
  <c r="M15" i="12" s="1"/>
  <c r="AD115" i="2"/>
  <c r="I15" i="12" s="1"/>
  <c r="M115" i="2"/>
  <c r="N115" i="2" s="1"/>
  <c r="J115" i="2"/>
  <c r="U114" i="2"/>
  <c r="V114" i="2" s="1"/>
  <c r="N114" i="2"/>
  <c r="M114" i="2"/>
  <c r="K114" i="2"/>
  <c r="J114" i="2"/>
  <c r="P114" i="2" s="1"/>
  <c r="H114" i="2"/>
  <c r="AD114" i="2" s="1"/>
  <c r="U113" i="2"/>
  <c r="V113" i="2" s="1"/>
  <c r="R113" i="2"/>
  <c r="S113" i="2" s="1"/>
  <c r="M113" i="2"/>
  <c r="N113" i="2" s="1"/>
  <c r="J113" i="2"/>
  <c r="K113" i="2" s="1"/>
  <c r="H113" i="2"/>
  <c r="AD113" i="2" s="1"/>
  <c r="X112" i="2"/>
  <c r="Y112" i="2" s="1"/>
  <c r="U112" i="2"/>
  <c r="V112" i="2" s="1"/>
  <c r="N112" i="2"/>
  <c r="M112" i="2"/>
  <c r="J112" i="2"/>
  <c r="H112" i="2"/>
  <c r="AD112" i="2" s="1"/>
  <c r="AD111" i="2"/>
  <c r="I11" i="12" s="1"/>
  <c r="U111" i="2"/>
  <c r="V111" i="2" s="1"/>
  <c r="M111" i="2"/>
  <c r="N111" i="2" s="1"/>
  <c r="J111" i="2"/>
  <c r="P111" i="2" s="1"/>
  <c r="H111" i="2"/>
  <c r="U110" i="2"/>
  <c r="U115" i="2" s="1"/>
  <c r="V115" i="2" s="1"/>
  <c r="M110" i="2"/>
  <c r="N110" i="2" s="1"/>
  <c r="K110" i="2"/>
  <c r="J110" i="2"/>
  <c r="H110" i="2"/>
  <c r="AD110" i="2" s="1"/>
  <c r="I10" i="12" s="1"/>
  <c r="AD108" i="2"/>
  <c r="AE108" i="2" s="1"/>
  <c r="N108" i="2"/>
  <c r="M108" i="2"/>
  <c r="K108" i="2"/>
  <c r="I25" i="8" s="1"/>
  <c r="I39" i="8" s="1"/>
  <c r="J108" i="2"/>
  <c r="P108" i="2" s="1"/>
  <c r="U107" i="2"/>
  <c r="V107" i="2" s="1"/>
  <c r="M107" i="2"/>
  <c r="N107" i="2" s="1"/>
  <c r="I26" i="19" s="1"/>
  <c r="K107" i="2"/>
  <c r="J107" i="2"/>
  <c r="H107" i="2"/>
  <c r="AD107" i="2" s="1"/>
  <c r="AE107" i="2" s="1"/>
  <c r="X106" i="2"/>
  <c r="Y106" i="2" s="1"/>
  <c r="U106" i="2"/>
  <c r="V106" i="2" s="1"/>
  <c r="M106" i="2"/>
  <c r="J106" i="2"/>
  <c r="K106" i="2" s="1"/>
  <c r="H106" i="2"/>
  <c r="AD106" i="2" s="1"/>
  <c r="AE106" i="2" s="1"/>
  <c r="U105" i="2"/>
  <c r="V105" i="2" s="1"/>
  <c r="M105" i="2"/>
  <c r="N105" i="2" s="1"/>
  <c r="J105" i="2"/>
  <c r="H105" i="2"/>
  <c r="AD105" i="2" s="1"/>
  <c r="AE105" i="2" s="1"/>
  <c r="AD104" i="2"/>
  <c r="AE104" i="2" s="1"/>
  <c r="I24" i="11" s="1"/>
  <c r="K24" i="11" s="1"/>
  <c r="U104" i="2"/>
  <c r="V104" i="2" s="1"/>
  <c r="M104" i="2"/>
  <c r="N104" i="2" s="1"/>
  <c r="I26" i="5" s="1"/>
  <c r="J104" i="2"/>
  <c r="H104" i="2"/>
  <c r="X103" i="2"/>
  <c r="X108" i="2" s="1"/>
  <c r="Y108" i="2" s="1"/>
  <c r="U103" i="2"/>
  <c r="U108" i="2" s="1"/>
  <c r="V108" i="2" s="1"/>
  <c r="P103" i="2"/>
  <c r="M103" i="2"/>
  <c r="N103" i="2" s="1"/>
  <c r="K103" i="2"/>
  <c r="I25" i="9" s="1"/>
  <c r="K25" i="9" s="1"/>
  <c r="H103" i="2"/>
  <c r="AD103" i="2" s="1"/>
  <c r="AE103" i="2" s="1"/>
  <c r="AA69" i="2"/>
  <c r="AA67" i="2"/>
  <c r="U67" i="2"/>
  <c r="U73" i="2" s="1"/>
  <c r="U56" i="2"/>
  <c r="U71" i="2" s="1"/>
  <c r="AA54" i="2"/>
  <c r="AA56" i="2" s="1"/>
  <c r="AA71" i="2" s="1"/>
  <c r="AA73" i="2" s="1"/>
  <c r="D52" i="2"/>
  <c r="D56" i="2" s="1"/>
  <c r="L50" i="2"/>
  <c r="L52" i="2" s="1"/>
  <c r="D50" i="2"/>
  <c r="P48" i="2"/>
  <c r="L48" i="2"/>
  <c r="I48" i="2"/>
  <c r="AA46" i="2"/>
  <c r="AA44" i="2"/>
  <c r="U44" i="2"/>
  <c r="U48" i="2" s="1"/>
  <c r="U50" i="2" s="1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I29" i="2"/>
  <c r="F29" i="2"/>
  <c r="AA28" i="2"/>
  <c r="AA27" i="2"/>
  <c r="AA26" i="2"/>
  <c r="P22" i="2"/>
  <c r="P50" i="2" s="1"/>
  <c r="P52" i="2" s="1"/>
  <c r="L22" i="2"/>
  <c r="I22" i="2"/>
  <c r="I50" i="2" s="1"/>
  <c r="I52" i="2" s="1"/>
  <c r="D22" i="2"/>
  <c r="I123" i="2" s="1"/>
  <c r="AA21" i="2"/>
  <c r="U21" i="2"/>
  <c r="AA14" i="2"/>
  <c r="U14" i="2"/>
  <c r="AA12" i="2"/>
  <c r="AA11" i="2"/>
  <c r="AA10" i="2"/>
  <c r="AA9" i="2"/>
  <c r="AA8" i="2"/>
  <c r="AA7" i="2"/>
  <c r="AA6" i="2"/>
  <c r="AA5" i="2"/>
  <c r="I26" i="1"/>
  <c r="N19" i="1"/>
  <c r="M19" i="1"/>
  <c r="K19" i="1"/>
  <c r="L19" i="1" s="1"/>
  <c r="H19" i="1"/>
  <c r="M18" i="1"/>
  <c r="K18" i="1"/>
  <c r="L18" i="1" s="1"/>
  <c r="M17" i="1"/>
  <c r="K17" i="1"/>
  <c r="L17" i="1" s="1"/>
  <c r="K13" i="1"/>
  <c r="H13" i="1"/>
  <c r="M12" i="1"/>
  <c r="R107" i="2"/>
  <c r="S107" i="2" s="1"/>
  <c r="I12" i="1"/>
  <c r="P11" i="1"/>
  <c r="Q11" i="1" s="1"/>
  <c r="M11" i="1"/>
  <c r="L11" i="1"/>
  <c r="M10" i="1"/>
  <c r="L10" i="1"/>
  <c r="M9" i="1"/>
  <c r="L9" i="1"/>
  <c r="P9" i="1" s="1"/>
  <c r="Q9" i="1" s="1"/>
  <c r="Q5" i="1"/>
  <c r="P4" i="1"/>
  <c r="AE114" i="2" l="1"/>
  <c r="K14" i="12" s="1"/>
  <c r="M14" i="12" s="1"/>
  <c r="I14" i="12"/>
  <c r="L53" i="2"/>
  <c r="I26" i="11"/>
  <c r="K26" i="11" s="1"/>
  <c r="AA48" i="2"/>
  <c r="X105" i="2"/>
  <c r="Y105" i="2" s="1"/>
  <c r="P110" i="2"/>
  <c r="X110" i="2"/>
  <c r="K111" i="2"/>
  <c r="X111" i="2"/>
  <c r="Y111" i="2" s="1"/>
  <c r="I24" i="8"/>
  <c r="X104" i="2"/>
  <c r="Y104" i="2" s="1"/>
  <c r="X113" i="2"/>
  <c r="Y113" i="2" s="1"/>
  <c r="AB113" i="2" s="1"/>
  <c r="J13" i="12" s="1"/>
  <c r="L13" i="12" s="1"/>
  <c r="I24" i="5"/>
  <c r="I24" i="7"/>
  <c r="I26" i="4"/>
  <c r="P104" i="2"/>
  <c r="X107" i="2"/>
  <c r="Y107" i="2" s="1"/>
  <c r="I22" i="19" s="1"/>
  <c r="K22" i="19" s="1"/>
  <c r="I26" i="3"/>
  <c r="I26" i="10"/>
  <c r="I21" i="4"/>
  <c r="I21" i="7"/>
  <c r="K21" i="7" s="1"/>
  <c r="I21" i="6"/>
  <c r="J21" i="6" s="1"/>
  <c r="V103" i="2"/>
  <c r="I21" i="19"/>
  <c r="AB107" i="2"/>
  <c r="AH107" i="2" s="1"/>
  <c r="J24" i="5"/>
  <c r="J38" i="5" s="1"/>
  <c r="J22" i="6"/>
  <c r="P19" i="1"/>
  <c r="Q19" i="1"/>
  <c r="P17" i="1"/>
  <c r="J26" i="3"/>
  <c r="I23" i="19"/>
  <c r="K23" i="19" s="1"/>
  <c r="L23" i="19" s="1"/>
  <c r="I23" i="16"/>
  <c r="K23" i="16" s="1"/>
  <c r="L23" i="16" s="1"/>
  <c r="I6" i="19"/>
  <c r="H23" i="19" s="1"/>
  <c r="W71" i="19"/>
  <c r="V71" i="19"/>
  <c r="V72" i="19" s="1"/>
  <c r="U71" i="19"/>
  <c r="U72" i="19" s="1"/>
  <c r="L22" i="19"/>
  <c r="K21" i="19"/>
  <c r="I43" i="19"/>
  <c r="I24" i="19"/>
  <c r="K26" i="19"/>
  <c r="I25" i="19"/>
  <c r="I40" i="19" s="1"/>
  <c r="I6" i="18"/>
  <c r="H23" i="18" s="1"/>
  <c r="I25" i="18"/>
  <c r="K24" i="18"/>
  <c r="I26" i="18"/>
  <c r="I6" i="16"/>
  <c r="H26" i="16" s="1"/>
  <c r="I24" i="16"/>
  <c r="I21" i="16"/>
  <c r="I26" i="16"/>
  <c r="I22" i="16"/>
  <c r="K22" i="16" s="1"/>
  <c r="I25" i="16"/>
  <c r="H22" i="10"/>
  <c r="H23" i="10"/>
  <c r="H21" i="10"/>
  <c r="Q10" i="1"/>
  <c r="K26" i="5"/>
  <c r="I43" i="10"/>
  <c r="K26" i="10"/>
  <c r="K26" i="3"/>
  <c r="M26" i="11"/>
  <c r="N26" i="11" s="1"/>
  <c r="R111" i="2"/>
  <c r="N106" i="2"/>
  <c r="R108" i="2"/>
  <c r="L22" i="10"/>
  <c r="P106" i="2"/>
  <c r="K18" i="14"/>
  <c r="K21" i="14" s="1"/>
  <c r="K24" i="14" s="1"/>
  <c r="K26" i="14" s="1"/>
  <c r="K28" i="14" s="1"/>
  <c r="K30" i="14" s="1"/>
  <c r="R67" i="14"/>
  <c r="L21" i="7"/>
  <c r="K24" i="8"/>
  <c r="I38" i="8"/>
  <c r="H25" i="11"/>
  <c r="H21" i="11"/>
  <c r="H23" i="11"/>
  <c r="AE112" i="2"/>
  <c r="K12" i="12" s="1"/>
  <c r="M12" i="12" s="1"/>
  <c r="I12" i="12"/>
  <c r="R114" i="2"/>
  <c r="I22" i="8"/>
  <c r="I39" i="9"/>
  <c r="K26" i="4"/>
  <c r="AE111" i="2"/>
  <c r="K11" i="12" s="1"/>
  <c r="M11" i="12" s="1"/>
  <c r="I22" i="7"/>
  <c r="K22" i="7" s="1"/>
  <c r="P21" i="14"/>
  <c r="P24" i="14" s="1"/>
  <c r="P26" i="14" s="1"/>
  <c r="P28" i="14" s="1"/>
  <c r="Q19" i="14"/>
  <c r="Q21" i="14" s="1"/>
  <c r="Q24" i="14" s="1"/>
  <c r="Q26" i="14" s="1"/>
  <c r="Q28" i="14" s="1"/>
  <c r="Q30" i="14" s="1"/>
  <c r="N17" i="1"/>
  <c r="P112" i="2"/>
  <c r="H24" i="3"/>
  <c r="H23" i="3"/>
  <c r="H22" i="3"/>
  <c r="J22" i="3" s="1"/>
  <c r="H24" i="7"/>
  <c r="J24" i="7" s="1"/>
  <c r="J38" i="7" s="1"/>
  <c r="H21" i="8"/>
  <c r="L25" i="9"/>
  <c r="L39" i="9" s="1"/>
  <c r="K39" i="9"/>
  <c r="I13" i="12"/>
  <c r="AE113" i="2"/>
  <c r="K13" i="12" s="1"/>
  <c r="M13" i="12" s="1"/>
  <c r="K24" i="7"/>
  <c r="I38" i="7"/>
  <c r="P65" i="14"/>
  <c r="Q65" i="14" s="1"/>
  <c r="P70" i="14"/>
  <c r="Q70" i="14" s="1"/>
  <c r="P63" i="14"/>
  <c r="Q63" i="14" s="1"/>
  <c r="P68" i="14"/>
  <c r="Q68" i="14" s="1"/>
  <c r="M63" i="14"/>
  <c r="M74" i="14" s="1"/>
  <c r="P66" i="14"/>
  <c r="Q66" i="14" s="1"/>
  <c r="P71" i="14"/>
  <c r="Q71" i="14" s="1"/>
  <c r="P64" i="14"/>
  <c r="Q64" i="14" s="1"/>
  <c r="P69" i="14"/>
  <c r="Q69" i="14" s="1"/>
  <c r="P67" i="14"/>
  <c r="Q67" i="14" s="1"/>
  <c r="P72" i="14"/>
  <c r="Q72" i="14" s="1"/>
  <c r="H24" i="8"/>
  <c r="J24" i="8" s="1"/>
  <c r="J38" i="8" s="1"/>
  <c r="Q17" i="1"/>
  <c r="AA107" i="2"/>
  <c r="AG107" i="2" s="1"/>
  <c r="P107" i="2"/>
  <c r="K112" i="2"/>
  <c r="I24" i="3"/>
  <c r="I21" i="3"/>
  <c r="I21" i="8"/>
  <c r="H26" i="9"/>
  <c r="H21" i="9"/>
  <c r="H25" i="9"/>
  <c r="J25" i="9" s="1"/>
  <c r="J39" i="9" s="1"/>
  <c r="H24" i="9"/>
  <c r="H23" i="9"/>
  <c r="H22" i="9"/>
  <c r="Q18" i="1"/>
  <c r="I24" i="4"/>
  <c r="H22" i="8"/>
  <c r="P105" i="2"/>
  <c r="K105" i="2"/>
  <c r="I22" i="4"/>
  <c r="K22" i="4" s="1"/>
  <c r="L22" i="4" s="1"/>
  <c r="I26" i="9"/>
  <c r="H22" i="11"/>
  <c r="N18" i="1"/>
  <c r="J95" i="2"/>
  <c r="AC73" i="2"/>
  <c r="P115" i="2"/>
  <c r="K115" i="2"/>
  <c r="J21" i="4"/>
  <c r="I21" i="9"/>
  <c r="I24" i="9"/>
  <c r="I22" i="11"/>
  <c r="P18" i="1"/>
  <c r="U52" i="2"/>
  <c r="AA50" i="2"/>
  <c r="AA52" i="2" s="1"/>
  <c r="M95" i="2"/>
  <c r="AA75" i="2"/>
  <c r="N95" i="2" s="1"/>
  <c r="K21" i="4"/>
  <c r="K24" i="5"/>
  <c r="I38" i="5"/>
  <c r="J22" i="10"/>
  <c r="J74" i="14"/>
  <c r="AE110" i="2"/>
  <c r="I24" i="18" s="1"/>
  <c r="I38" i="18" s="1"/>
  <c r="H25" i="3"/>
  <c r="I22" i="5"/>
  <c r="K22" i="5" s="1"/>
  <c r="L22" i="5" s="1"/>
  <c r="I26" i="8"/>
  <c r="H26" i="10"/>
  <c r="J26" i="10" s="1"/>
  <c r="H25" i="10"/>
  <c r="H24" i="10"/>
  <c r="G28" i="14"/>
  <c r="K74" i="14"/>
  <c r="K76" i="14" s="1"/>
  <c r="R66" i="14"/>
  <c r="R71" i="14"/>
  <c r="R64" i="14"/>
  <c r="H25" i="7"/>
  <c r="H23" i="7"/>
  <c r="H22" i="7"/>
  <c r="H21" i="7"/>
  <c r="J21" i="7" s="1"/>
  <c r="R115" i="2"/>
  <c r="S115" i="2" s="1"/>
  <c r="R110" i="2"/>
  <c r="R104" i="2"/>
  <c r="S104" i="2" s="1"/>
  <c r="I23" i="5" s="1"/>
  <c r="K23" i="5" s="1"/>
  <c r="L23" i="5" s="1"/>
  <c r="R105" i="2"/>
  <c r="S105" i="2" s="1"/>
  <c r="AB105" i="2" s="1"/>
  <c r="R112" i="2"/>
  <c r="S112" i="2" s="1"/>
  <c r="AB112" i="2" s="1"/>
  <c r="P12" i="1"/>
  <c r="Q12" i="1" s="1"/>
  <c r="R106" i="2"/>
  <c r="S106" i="2" s="1"/>
  <c r="AB106" i="2" s="1"/>
  <c r="AH106" i="2" s="1"/>
  <c r="R103" i="2"/>
  <c r="AA103" i="2" s="1"/>
  <c r="U75" i="2"/>
  <c r="AA113" i="2"/>
  <c r="K25" i="8"/>
  <c r="H24" i="6"/>
  <c r="H23" i="6"/>
  <c r="H26" i="6"/>
  <c r="H25" i="6"/>
  <c r="H24" i="11"/>
  <c r="J24" i="11" s="1"/>
  <c r="P113" i="2"/>
  <c r="I21" i="5"/>
  <c r="J21" i="5" s="1"/>
  <c r="I24" i="6"/>
  <c r="H26" i="11"/>
  <c r="J26" i="11" s="1"/>
  <c r="L26" i="11" s="1"/>
  <c r="V110" i="2"/>
  <c r="I21" i="10" s="1"/>
  <c r="H25" i="4"/>
  <c r="H25" i="5"/>
  <c r="H25" i="8"/>
  <c r="J25" i="8" s="1"/>
  <c r="J39" i="8" s="1"/>
  <c r="I26" i="7"/>
  <c r="J26" i="7" s="1"/>
  <c r="Y103" i="2"/>
  <c r="I22" i="9" s="1"/>
  <c r="H26" i="4"/>
  <c r="J26" i="4" s="1"/>
  <c r="H26" i="5"/>
  <c r="J26" i="5" s="1"/>
  <c r="I26" i="6"/>
  <c r="H26" i="8"/>
  <c r="N19" i="14"/>
  <c r="N21" i="14" s="1"/>
  <c r="N24" i="14" s="1"/>
  <c r="N26" i="14" s="1"/>
  <c r="N28" i="14" s="1"/>
  <c r="N30" i="14" s="1"/>
  <c r="H23" i="4"/>
  <c r="H23" i="5"/>
  <c r="K104" i="2"/>
  <c r="I25" i="10"/>
  <c r="I40" i="10" s="1"/>
  <c r="I21" i="11"/>
  <c r="X115" i="2" l="1"/>
  <c r="Y115" i="2" s="1"/>
  <c r="Y110" i="2"/>
  <c r="AB115" i="2"/>
  <c r="I22" i="3"/>
  <c r="K22" i="3" s="1"/>
  <c r="L22" i="3" s="1"/>
  <c r="I22" i="6"/>
  <c r="K22" i="6" s="1"/>
  <c r="L22" i="6" s="1"/>
  <c r="J22" i="7"/>
  <c r="K21" i="6"/>
  <c r="I34" i="19"/>
  <c r="J22" i="11"/>
  <c r="L22" i="11" s="1"/>
  <c r="I21" i="18"/>
  <c r="J21" i="18" s="1"/>
  <c r="J26" i="6"/>
  <c r="J26" i="8"/>
  <c r="J40" i="8" s="1"/>
  <c r="AH105" i="2"/>
  <c r="P20" i="1"/>
  <c r="Q13" i="1"/>
  <c r="J23" i="5"/>
  <c r="AA105" i="2"/>
  <c r="AG105" i="2" s="1"/>
  <c r="AA106" i="2"/>
  <c r="AG106" i="2" s="1"/>
  <c r="I36" i="19"/>
  <c r="J23" i="19"/>
  <c r="I23" i="11"/>
  <c r="J23" i="11" s="1"/>
  <c r="L23" i="11" s="1"/>
  <c r="AB104" i="2"/>
  <c r="AH104" i="2" s="1"/>
  <c r="I23" i="7"/>
  <c r="K23" i="7" s="1"/>
  <c r="L23" i="7" s="1"/>
  <c r="I23" i="6"/>
  <c r="K23" i="6" s="1"/>
  <c r="L23" i="6" s="1"/>
  <c r="I23" i="4"/>
  <c r="K23" i="4" s="1"/>
  <c r="L23" i="4" s="1"/>
  <c r="J21" i="9"/>
  <c r="I23" i="3"/>
  <c r="K23" i="3" s="1"/>
  <c r="L23" i="3" s="1"/>
  <c r="I35" i="19"/>
  <c r="J22" i="9"/>
  <c r="J22" i="5"/>
  <c r="J23" i="7"/>
  <c r="J34" i="7" s="1"/>
  <c r="I34" i="6"/>
  <c r="J24" i="9"/>
  <c r="J38" i="9" s="1"/>
  <c r="J21" i="10"/>
  <c r="I42" i="19"/>
  <c r="H22" i="19"/>
  <c r="J22" i="19" s="1"/>
  <c r="H24" i="19"/>
  <c r="H25" i="19"/>
  <c r="J25" i="19" s="1"/>
  <c r="J39" i="19" s="1"/>
  <c r="H26" i="19"/>
  <c r="J26" i="19" s="1"/>
  <c r="H21" i="19"/>
  <c r="J21" i="19" s="1"/>
  <c r="J24" i="19"/>
  <c r="J38" i="19" s="1"/>
  <c r="I38" i="19"/>
  <c r="K24" i="19"/>
  <c r="K36" i="19" s="1"/>
  <c r="L21" i="19"/>
  <c r="K34" i="19"/>
  <c r="K35" i="19"/>
  <c r="K43" i="19"/>
  <c r="L26" i="19"/>
  <c r="I41" i="19"/>
  <c r="I37" i="19"/>
  <c r="I27" i="19"/>
  <c r="I39" i="19"/>
  <c r="K25" i="19"/>
  <c r="K40" i="19" s="1"/>
  <c r="H25" i="18"/>
  <c r="J25" i="18" s="1"/>
  <c r="J39" i="18" s="1"/>
  <c r="H22" i="18"/>
  <c r="J22" i="18" s="1"/>
  <c r="H26" i="18"/>
  <c r="J26" i="18" s="1"/>
  <c r="H21" i="18"/>
  <c r="H24" i="18"/>
  <c r="J24" i="18" s="1"/>
  <c r="J38" i="18" s="1"/>
  <c r="I43" i="18"/>
  <c r="K26" i="18"/>
  <c r="I40" i="18"/>
  <c r="K21" i="18"/>
  <c r="I39" i="18"/>
  <c r="K25" i="18"/>
  <c r="L22" i="18"/>
  <c r="K38" i="18"/>
  <c r="L24" i="18"/>
  <c r="L38" i="18" s="1"/>
  <c r="H21" i="16"/>
  <c r="J21" i="16" s="1"/>
  <c r="H22" i="16"/>
  <c r="J22" i="16" s="1"/>
  <c r="H23" i="16"/>
  <c r="J23" i="16" s="1"/>
  <c r="H24" i="16"/>
  <c r="J24" i="16" s="1"/>
  <c r="J38" i="16" s="1"/>
  <c r="H25" i="16"/>
  <c r="L22" i="16"/>
  <c r="I42" i="16"/>
  <c r="I37" i="16"/>
  <c r="I27" i="16"/>
  <c r="K21" i="16"/>
  <c r="I41" i="16"/>
  <c r="I34" i="16"/>
  <c r="J25" i="16"/>
  <c r="J39" i="16" s="1"/>
  <c r="K26" i="16"/>
  <c r="I36" i="16"/>
  <c r="I35" i="16"/>
  <c r="I40" i="16"/>
  <c r="I43" i="16"/>
  <c r="K25" i="16"/>
  <c r="I39" i="16"/>
  <c r="I38" i="16"/>
  <c r="K24" i="16"/>
  <c r="J26" i="16"/>
  <c r="K38" i="5"/>
  <c r="L24" i="5"/>
  <c r="L38" i="5" s="1"/>
  <c r="I40" i="9"/>
  <c r="I43" i="9"/>
  <c r="K26" i="9"/>
  <c r="J26" i="9"/>
  <c r="I36" i="5"/>
  <c r="K10" i="12"/>
  <c r="M10" i="12" s="1"/>
  <c r="I24" i="10"/>
  <c r="J24" i="10" s="1"/>
  <c r="J38" i="10" s="1"/>
  <c r="K21" i="8"/>
  <c r="I35" i="5"/>
  <c r="AC66" i="14"/>
  <c r="AB66" i="14"/>
  <c r="AA66" i="14"/>
  <c r="Z66" i="14"/>
  <c r="X66" i="14"/>
  <c r="W66" i="14"/>
  <c r="V66" i="14"/>
  <c r="U66" i="14"/>
  <c r="T66" i="14"/>
  <c r="AD66" i="14"/>
  <c r="K43" i="10"/>
  <c r="L26" i="10"/>
  <c r="K25" i="10"/>
  <c r="I39" i="10"/>
  <c r="L21" i="4"/>
  <c r="M98" i="2"/>
  <c r="M96" i="2"/>
  <c r="M97" i="2"/>
  <c r="J22" i="8"/>
  <c r="R65" i="14"/>
  <c r="K24" i="4"/>
  <c r="I38" i="4"/>
  <c r="Q20" i="1"/>
  <c r="Q22" i="1" s="1"/>
  <c r="K21" i="11"/>
  <c r="M21" i="11"/>
  <c r="L22" i="7"/>
  <c r="J24" i="6"/>
  <c r="J38" i="6" s="1"/>
  <c r="K34" i="6"/>
  <c r="L21" i="6"/>
  <c r="K39" i="8"/>
  <c r="L25" i="8"/>
  <c r="L39" i="8" s="1"/>
  <c r="K22" i="8"/>
  <c r="I42" i="8"/>
  <c r="K22" i="11"/>
  <c r="M22" i="11"/>
  <c r="N22" i="11" s="1"/>
  <c r="J21" i="8"/>
  <c r="K24" i="6"/>
  <c r="I38" i="6"/>
  <c r="K21" i="3"/>
  <c r="I25" i="4"/>
  <c r="I25" i="5"/>
  <c r="L26" i="5"/>
  <c r="AC64" i="14"/>
  <c r="AD64" i="14"/>
  <c r="AB64" i="14"/>
  <c r="AA64" i="14"/>
  <c r="Z64" i="14"/>
  <c r="X64" i="14"/>
  <c r="W64" i="14"/>
  <c r="V64" i="14"/>
  <c r="U64" i="14"/>
  <c r="T64" i="14"/>
  <c r="AD71" i="14"/>
  <c r="AC71" i="14"/>
  <c r="AB71" i="14"/>
  <c r="Z71" i="14"/>
  <c r="AA71" i="14"/>
  <c r="W71" i="14"/>
  <c r="V71" i="14"/>
  <c r="T71" i="14"/>
  <c r="U71" i="14"/>
  <c r="X71" i="14"/>
  <c r="J22" i="4"/>
  <c r="AH113" i="2"/>
  <c r="N98" i="2"/>
  <c r="N97" i="2"/>
  <c r="N96" i="2"/>
  <c r="H13" i="12"/>
  <c r="AG113" i="2"/>
  <c r="S114" i="2"/>
  <c r="AB114" i="2" s="1"/>
  <c r="AA114" i="2"/>
  <c r="K21" i="10"/>
  <c r="K38" i="8"/>
  <c r="L24" i="8"/>
  <c r="L38" i="8" s="1"/>
  <c r="I34" i="5"/>
  <c r="K21" i="5"/>
  <c r="K36" i="5" s="1"/>
  <c r="J96" i="2"/>
  <c r="P95" i="2"/>
  <c r="J98" i="2"/>
  <c r="J97" i="2"/>
  <c r="AD67" i="14"/>
  <c r="AC67" i="14"/>
  <c r="AB67" i="14"/>
  <c r="AA67" i="14"/>
  <c r="Z67" i="14"/>
  <c r="X67" i="14"/>
  <c r="V67" i="14"/>
  <c r="U67" i="14"/>
  <c r="T67" i="14"/>
  <c r="W67" i="14"/>
  <c r="L26" i="4"/>
  <c r="I38" i="3"/>
  <c r="K24" i="3"/>
  <c r="R68" i="14"/>
  <c r="R70" i="14"/>
  <c r="I25" i="6"/>
  <c r="I37" i="6" s="1"/>
  <c r="J25" i="10"/>
  <c r="J39" i="10" s="1"/>
  <c r="K21" i="9"/>
  <c r="J24" i="3"/>
  <c r="I40" i="8"/>
  <c r="K26" i="8"/>
  <c r="I25" i="7"/>
  <c r="R69" i="14"/>
  <c r="AA112" i="2"/>
  <c r="AA104" i="2"/>
  <c r="AG104" i="2" s="1"/>
  <c r="L26" i="3"/>
  <c r="P13" i="1"/>
  <c r="L24" i="7"/>
  <c r="L38" i="7" s="1"/>
  <c r="K38" i="7"/>
  <c r="I25" i="3"/>
  <c r="J25" i="3" s="1"/>
  <c r="J39" i="3" s="1"/>
  <c r="I35" i="6"/>
  <c r="I36" i="6"/>
  <c r="K26" i="6"/>
  <c r="J12" i="12"/>
  <c r="L12" i="12" s="1"/>
  <c r="AH112" i="2"/>
  <c r="R63" i="14"/>
  <c r="AA58" i="2"/>
  <c r="H17" i="1"/>
  <c r="K123" i="2" s="1"/>
  <c r="J35" i="7"/>
  <c r="AC75" i="2"/>
  <c r="K95" i="2"/>
  <c r="U58" i="2"/>
  <c r="H18" i="1"/>
  <c r="N123" i="2" s="1"/>
  <c r="AA108" i="2"/>
  <c r="AG108" i="2" s="1"/>
  <c r="S108" i="2"/>
  <c r="AB108" i="2" s="1"/>
  <c r="I35" i="7"/>
  <c r="K26" i="7"/>
  <c r="J21" i="3"/>
  <c r="S103" i="2"/>
  <c r="AB103" i="2" s="1"/>
  <c r="I42" i="9"/>
  <c r="K22" i="9"/>
  <c r="J21" i="11"/>
  <c r="K24" i="9"/>
  <c r="I38" i="9"/>
  <c r="J24" i="4"/>
  <c r="J38" i="4" s="1"/>
  <c r="J23" i="3"/>
  <c r="S111" i="2"/>
  <c r="AB111" i="2" s="1"/>
  <c r="AA111" i="2"/>
  <c r="J43" i="10"/>
  <c r="R72" i="14"/>
  <c r="S110" i="2"/>
  <c r="AA110" i="2"/>
  <c r="I25" i="11"/>
  <c r="K25" i="11" s="1"/>
  <c r="AA115" i="2" l="1"/>
  <c r="I22" i="10"/>
  <c r="K22" i="10" s="1"/>
  <c r="I22" i="18"/>
  <c r="K22" i="18" s="1"/>
  <c r="I34" i="4"/>
  <c r="K34" i="4"/>
  <c r="J42" i="9"/>
  <c r="K23" i="11"/>
  <c r="K27" i="11" s="1"/>
  <c r="M23" i="11"/>
  <c r="N23" i="11" s="1"/>
  <c r="K35" i="4"/>
  <c r="K36" i="4"/>
  <c r="K35" i="3"/>
  <c r="K42" i="18"/>
  <c r="J34" i="5"/>
  <c r="J23" i="4"/>
  <c r="J34" i="4" s="1"/>
  <c r="I35" i="3"/>
  <c r="J42" i="8"/>
  <c r="K36" i="3"/>
  <c r="I36" i="7"/>
  <c r="J36" i="7"/>
  <c r="I35" i="4"/>
  <c r="J36" i="5"/>
  <c r="J35" i="5"/>
  <c r="I36" i="4"/>
  <c r="P22" i="1"/>
  <c r="R25" i="1" s="1"/>
  <c r="AB110" i="2"/>
  <c r="I23" i="18"/>
  <c r="I34" i="7"/>
  <c r="L34" i="7"/>
  <c r="J42" i="19"/>
  <c r="J23" i="6"/>
  <c r="J36" i="6" s="1"/>
  <c r="I36" i="3"/>
  <c r="I34" i="3"/>
  <c r="K34" i="7"/>
  <c r="J35" i="3"/>
  <c r="J48" i="18"/>
  <c r="K41" i="19"/>
  <c r="K35" i="5"/>
  <c r="I27" i="6"/>
  <c r="J35" i="19"/>
  <c r="J27" i="19"/>
  <c r="J31" i="19" s="1"/>
  <c r="J34" i="19"/>
  <c r="J43" i="19"/>
  <c r="J40" i="19"/>
  <c r="J41" i="19"/>
  <c r="J37" i="19"/>
  <c r="J36" i="19"/>
  <c r="L35" i="19"/>
  <c r="L43" i="19"/>
  <c r="L25" i="19"/>
  <c r="K39" i="19"/>
  <c r="K42" i="19"/>
  <c r="K27" i="19"/>
  <c r="L34" i="19"/>
  <c r="K37" i="19"/>
  <c r="L24" i="19"/>
  <c r="L38" i="19" s="1"/>
  <c r="K38" i="19"/>
  <c r="L21" i="18"/>
  <c r="J43" i="18"/>
  <c r="J40" i="18"/>
  <c r="K39" i="18"/>
  <c r="L25" i="18"/>
  <c r="L39" i="18" s="1"/>
  <c r="L26" i="18"/>
  <c r="K43" i="18"/>
  <c r="K40" i="18"/>
  <c r="J36" i="16"/>
  <c r="J35" i="16"/>
  <c r="J40" i="16"/>
  <c r="J43" i="16"/>
  <c r="L24" i="16"/>
  <c r="L38" i="16" s="1"/>
  <c r="K38" i="16"/>
  <c r="J42" i="16"/>
  <c r="J37" i="16"/>
  <c r="J27" i="16"/>
  <c r="J31" i="16" s="1"/>
  <c r="J41" i="16"/>
  <c r="J34" i="16"/>
  <c r="L25" i="16"/>
  <c r="L39" i="16" s="1"/>
  <c r="K39" i="16"/>
  <c r="K35" i="16"/>
  <c r="K36" i="16"/>
  <c r="L26" i="16"/>
  <c r="K40" i="16"/>
  <c r="K43" i="16"/>
  <c r="K37" i="16"/>
  <c r="K27" i="16"/>
  <c r="K41" i="16"/>
  <c r="L21" i="16"/>
  <c r="K34" i="16"/>
  <c r="K42" i="16"/>
  <c r="I39" i="7"/>
  <c r="K25" i="7"/>
  <c r="L35" i="4"/>
  <c r="M27" i="11"/>
  <c r="N21" i="11"/>
  <c r="N27" i="11" s="1"/>
  <c r="K40" i="9"/>
  <c r="L26" i="9"/>
  <c r="K43" i="9"/>
  <c r="M87" i="2"/>
  <c r="AA60" i="2"/>
  <c r="N87" i="2" s="1"/>
  <c r="L21" i="11"/>
  <c r="L27" i="11" s="1"/>
  <c r="J38" i="3"/>
  <c r="J36" i="3"/>
  <c r="L22" i="8"/>
  <c r="K42" i="8"/>
  <c r="K38" i="4"/>
  <c r="L24" i="4"/>
  <c r="L38" i="4" s="1"/>
  <c r="I39" i="4"/>
  <c r="K25" i="4"/>
  <c r="K37" i="4" s="1"/>
  <c r="I27" i="4"/>
  <c r="L24" i="9"/>
  <c r="L38" i="9" s="1"/>
  <c r="K38" i="9"/>
  <c r="I39" i="5"/>
  <c r="K25" i="5"/>
  <c r="K27" i="5" s="1"/>
  <c r="AD65" i="14"/>
  <c r="AC65" i="14"/>
  <c r="AA65" i="14"/>
  <c r="Z65" i="14"/>
  <c r="U65" i="14"/>
  <c r="T65" i="14"/>
  <c r="AB65" i="14"/>
  <c r="V65" i="14"/>
  <c r="W65" i="14"/>
  <c r="X65" i="14"/>
  <c r="I37" i="7"/>
  <c r="J25" i="5"/>
  <c r="I37" i="4"/>
  <c r="W63" i="14"/>
  <c r="V63" i="14"/>
  <c r="U63" i="14"/>
  <c r="T63" i="14"/>
  <c r="AD63" i="14"/>
  <c r="Z63" i="14"/>
  <c r="X63" i="14"/>
  <c r="AC63" i="14"/>
  <c r="AB63" i="14"/>
  <c r="AA63" i="14"/>
  <c r="L21" i="9"/>
  <c r="AD72" i="14"/>
  <c r="AC72" i="14"/>
  <c r="AB72" i="14"/>
  <c r="AA72" i="14"/>
  <c r="Z72" i="14"/>
  <c r="W72" i="14"/>
  <c r="V72" i="14"/>
  <c r="X72" i="14"/>
  <c r="U72" i="14"/>
  <c r="T72" i="14"/>
  <c r="K34" i="3"/>
  <c r="L21" i="3"/>
  <c r="L35" i="3" s="1"/>
  <c r="L21" i="8"/>
  <c r="K24" i="10"/>
  <c r="I38" i="10"/>
  <c r="J40" i="10"/>
  <c r="U60" i="2"/>
  <c r="AC58" i="2"/>
  <c r="J87" i="2"/>
  <c r="AD69" i="14"/>
  <c r="AC69" i="14"/>
  <c r="AB69" i="14"/>
  <c r="AA69" i="14"/>
  <c r="Z69" i="14"/>
  <c r="X69" i="14"/>
  <c r="W69" i="14"/>
  <c r="V69" i="14"/>
  <c r="U69" i="14"/>
  <c r="T69" i="14"/>
  <c r="X68" i="14"/>
  <c r="W68" i="14"/>
  <c r="V68" i="14"/>
  <c r="U68" i="14"/>
  <c r="T68" i="14"/>
  <c r="AA68" i="14"/>
  <c r="Z68" i="14"/>
  <c r="AD68" i="14"/>
  <c r="AC68" i="14"/>
  <c r="AB68" i="14"/>
  <c r="K34" i="5"/>
  <c r="L21" i="5"/>
  <c r="L36" i="5" s="1"/>
  <c r="L43" i="10"/>
  <c r="K42" i="9"/>
  <c r="L22" i="9"/>
  <c r="J15" i="12"/>
  <c r="L15" i="12" s="1"/>
  <c r="AH115" i="2"/>
  <c r="L34" i="6"/>
  <c r="Q95" i="2"/>
  <c r="K98" i="2"/>
  <c r="K97" i="2"/>
  <c r="K96" i="2"/>
  <c r="L24" i="6"/>
  <c r="L38" i="6" s="1"/>
  <c r="K38" i="6"/>
  <c r="J25" i="7"/>
  <c r="K25" i="3"/>
  <c r="K27" i="3" s="1"/>
  <c r="I39" i="3"/>
  <c r="H10" i="12"/>
  <c r="AG110" i="2"/>
  <c r="I23" i="10"/>
  <c r="I36" i="10" s="1"/>
  <c r="AH108" i="2"/>
  <c r="I23" i="8"/>
  <c r="P98" i="2"/>
  <c r="P97" i="2"/>
  <c r="P96" i="2"/>
  <c r="T70" i="14"/>
  <c r="AD70" i="14"/>
  <c r="AB70" i="14"/>
  <c r="AA70" i="14"/>
  <c r="V70" i="14"/>
  <c r="U70" i="14"/>
  <c r="AC70" i="14"/>
  <c r="Z70" i="14"/>
  <c r="X70" i="14"/>
  <c r="W70" i="14"/>
  <c r="I37" i="5"/>
  <c r="L25" i="10"/>
  <c r="L40" i="10" s="1"/>
  <c r="K39" i="10"/>
  <c r="K42" i="10"/>
  <c r="K38" i="3"/>
  <c r="L24" i="3"/>
  <c r="L38" i="3" s="1"/>
  <c r="AG111" i="2"/>
  <c r="H11" i="12"/>
  <c r="K40" i="8"/>
  <c r="L26" i="8"/>
  <c r="L26" i="6"/>
  <c r="K35" i="6"/>
  <c r="K36" i="6"/>
  <c r="L21" i="10"/>
  <c r="AH103" i="2"/>
  <c r="I23" i="9"/>
  <c r="J34" i="3"/>
  <c r="J27" i="3"/>
  <c r="J31" i="3" s="1"/>
  <c r="J37" i="3"/>
  <c r="K35" i="7"/>
  <c r="K36" i="7"/>
  <c r="L26" i="7"/>
  <c r="J25" i="11"/>
  <c r="J27" i="11" s="1"/>
  <c r="J31" i="11" s="1"/>
  <c r="I37" i="3"/>
  <c r="L34" i="4"/>
  <c r="I39" i="6"/>
  <c r="K25" i="6"/>
  <c r="I27" i="3"/>
  <c r="J25" i="6"/>
  <c r="J39" i="6" s="1"/>
  <c r="AG114" i="2"/>
  <c r="H14" i="12"/>
  <c r="H12" i="12"/>
  <c r="AG112" i="2"/>
  <c r="I27" i="7"/>
  <c r="AH114" i="2"/>
  <c r="J14" i="12"/>
  <c r="L14" i="12" s="1"/>
  <c r="J25" i="4"/>
  <c r="J39" i="4" s="1"/>
  <c r="H15" i="12"/>
  <c r="AG115" i="2"/>
  <c r="I27" i="5"/>
  <c r="J11" i="12"/>
  <c r="L11" i="12" s="1"/>
  <c r="AH111" i="2"/>
  <c r="K40" i="10"/>
  <c r="J40" i="9"/>
  <c r="J43" i="9"/>
  <c r="J36" i="4" l="1"/>
  <c r="J35" i="4"/>
  <c r="L35" i="5"/>
  <c r="K27" i="4"/>
  <c r="J35" i="6"/>
  <c r="J34" i="6"/>
  <c r="K23" i="18"/>
  <c r="I41" i="18"/>
  <c r="J23" i="18"/>
  <c r="I36" i="18"/>
  <c r="I27" i="18"/>
  <c r="I42" i="18"/>
  <c r="I34" i="18"/>
  <c r="I35" i="18"/>
  <c r="I37" i="18"/>
  <c r="L42" i="9"/>
  <c r="K37" i="3"/>
  <c r="L36" i="3"/>
  <c r="J19" i="11"/>
  <c r="J37" i="4"/>
  <c r="L41" i="19"/>
  <c r="L37" i="19"/>
  <c r="L39" i="19"/>
  <c r="L42" i="19"/>
  <c r="L27" i="19"/>
  <c r="L40" i="19"/>
  <c r="L36" i="19"/>
  <c r="L43" i="18"/>
  <c r="L40" i="18"/>
  <c r="L42" i="18"/>
  <c r="L27" i="16"/>
  <c r="L37" i="16"/>
  <c r="L41" i="16"/>
  <c r="L34" i="16"/>
  <c r="L36" i="16"/>
  <c r="L40" i="16"/>
  <c r="L35" i="16"/>
  <c r="L43" i="16"/>
  <c r="L42" i="16"/>
  <c r="M88" i="2"/>
  <c r="M90" i="2"/>
  <c r="M89" i="2"/>
  <c r="L25" i="6"/>
  <c r="L39" i="6" s="1"/>
  <c r="K39" i="6"/>
  <c r="K37" i="6"/>
  <c r="K27" i="6"/>
  <c r="K23" i="8"/>
  <c r="J23" i="8"/>
  <c r="I37" i="8"/>
  <c r="I27" i="8"/>
  <c r="I41" i="8"/>
  <c r="I34" i="8"/>
  <c r="I35" i="8"/>
  <c r="I36" i="8"/>
  <c r="L24" i="10"/>
  <c r="K38" i="10"/>
  <c r="L40" i="8"/>
  <c r="J27" i="6"/>
  <c r="J31" i="6" s="1"/>
  <c r="L34" i="5"/>
  <c r="N90" i="2"/>
  <c r="N89" i="2"/>
  <c r="N88" i="2"/>
  <c r="J37" i="6"/>
  <c r="L34" i="3"/>
  <c r="K39" i="3"/>
  <c r="L25" i="3"/>
  <c r="L39" i="3" s="1"/>
  <c r="J39" i="7"/>
  <c r="J37" i="7"/>
  <c r="J27" i="7"/>
  <c r="J31" i="7" s="1"/>
  <c r="J88" i="2"/>
  <c r="P87" i="2"/>
  <c r="J90" i="2"/>
  <c r="J89" i="2"/>
  <c r="L36" i="4"/>
  <c r="L36" i="6"/>
  <c r="L35" i="6"/>
  <c r="L40" i="9"/>
  <c r="L43" i="9"/>
  <c r="K23" i="10"/>
  <c r="K36" i="10" s="1"/>
  <c r="I35" i="10"/>
  <c r="J23" i="10"/>
  <c r="I42" i="10"/>
  <c r="I41" i="10"/>
  <c r="I34" i="10"/>
  <c r="I37" i="10"/>
  <c r="I27" i="10"/>
  <c r="K39" i="4"/>
  <c r="L25" i="4"/>
  <c r="J39" i="5"/>
  <c r="J27" i="5"/>
  <c r="J31" i="5" s="1"/>
  <c r="J37" i="5"/>
  <c r="K39" i="7"/>
  <c r="L25" i="7"/>
  <c r="K27" i="7"/>
  <c r="K37" i="7"/>
  <c r="Q98" i="2"/>
  <c r="Q97" i="2"/>
  <c r="Q96" i="2"/>
  <c r="K39" i="5"/>
  <c r="L25" i="5"/>
  <c r="L39" i="5" s="1"/>
  <c r="L35" i="7"/>
  <c r="L36" i="7"/>
  <c r="J10" i="12"/>
  <c r="L10" i="12" s="1"/>
  <c r="AH110" i="2"/>
  <c r="L39" i="10"/>
  <c r="L42" i="10"/>
  <c r="K23" i="9"/>
  <c r="J23" i="9"/>
  <c r="I37" i="9"/>
  <c r="I41" i="9"/>
  <c r="I27" i="9"/>
  <c r="I36" i="9"/>
  <c r="I34" i="9"/>
  <c r="I35" i="9"/>
  <c r="K37" i="5"/>
  <c r="J27" i="4"/>
  <c r="J31" i="4" s="1"/>
  <c r="K87" i="2"/>
  <c r="AC60" i="2"/>
  <c r="L42" i="8"/>
  <c r="L27" i="6" l="1"/>
  <c r="L37" i="3"/>
  <c r="L27" i="3"/>
  <c r="L23" i="18"/>
  <c r="K37" i="18"/>
  <c r="K35" i="18"/>
  <c r="K27" i="18"/>
  <c r="K34" i="18"/>
  <c r="K41" i="18"/>
  <c r="K36" i="18"/>
  <c r="J27" i="18"/>
  <c r="J31" i="18" s="1"/>
  <c r="J36" i="18"/>
  <c r="J41" i="18"/>
  <c r="J42" i="18"/>
  <c r="J34" i="18"/>
  <c r="J45" i="18" s="1"/>
  <c r="J47" i="18" s="1"/>
  <c r="J35" i="18"/>
  <c r="J37" i="18"/>
  <c r="J35" i="10"/>
  <c r="J34" i="10"/>
  <c r="J41" i="10"/>
  <c r="J37" i="10"/>
  <c r="J42" i="10"/>
  <c r="J27" i="10"/>
  <c r="J31" i="10" s="1"/>
  <c r="J36" i="10"/>
  <c r="L23" i="8"/>
  <c r="K41" i="8"/>
  <c r="K34" i="8"/>
  <c r="K27" i="8"/>
  <c r="K36" i="8"/>
  <c r="K37" i="8"/>
  <c r="K35" i="8"/>
  <c r="L37" i="5"/>
  <c r="P90" i="2"/>
  <c r="P88" i="2"/>
  <c r="P89" i="2"/>
  <c r="J35" i="8"/>
  <c r="J36" i="8"/>
  <c r="J37" i="8"/>
  <c r="J34" i="8"/>
  <c r="J27" i="8"/>
  <c r="J31" i="8" s="1"/>
  <c r="J41" i="8"/>
  <c r="K88" i="2"/>
  <c r="Q87" i="2"/>
  <c r="K90" i="2"/>
  <c r="K89" i="2"/>
  <c r="L27" i="5"/>
  <c r="L39" i="4"/>
  <c r="L27" i="4"/>
  <c r="L37" i="4"/>
  <c r="J34" i="9"/>
  <c r="J37" i="9"/>
  <c r="J41" i="9"/>
  <c r="J27" i="9"/>
  <c r="J31" i="9" s="1"/>
  <c r="J36" i="9"/>
  <c r="J35" i="9"/>
  <c r="L23" i="9"/>
  <c r="K36" i="9"/>
  <c r="K35" i="9"/>
  <c r="K41" i="9"/>
  <c r="K27" i="9"/>
  <c r="K37" i="9"/>
  <c r="K34" i="9"/>
  <c r="L38" i="10"/>
  <c r="L23" i="10"/>
  <c r="K35" i="10"/>
  <c r="K41" i="10"/>
  <c r="K27" i="10"/>
  <c r="K34" i="10"/>
  <c r="K37" i="10"/>
  <c r="L39" i="7"/>
  <c r="L27" i="7"/>
  <c r="L37" i="7"/>
  <c r="L37" i="6"/>
  <c r="L36" i="18" l="1"/>
  <c r="L27" i="18"/>
  <c r="L35" i="18"/>
  <c r="L41" i="18"/>
  <c r="L37" i="18"/>
  <c r="L34" i="18"/>
  <c r="L35" i="8"/>
  <c r="L36" i="8"/>
  <c r="L41" i="8"/>
  <c r="L34" i="8"/>
  <c r="L27" i="8"/>
  <c r="L37" i="8"/>
  <c r="L41" i="9"/>
  <c r="L34" i="9"/>
  <c r="L27" i="9"/>
  <c r="L37" i="9"/>
  <c r="L35" i="9"/>
  <c r="L36" i="9"/>
  <c r="L35" i="10"/>
  <c r="L34" i="10"/>
  <c r="L41" i="10"/>
  <c r="L27" i="10"/>
  <c r="L37" i="10"/>
  <c r="Q90" i="2"/>
  <c r="Q88" i="2"/>
  <c r="Q89" i="2"/>
  <c r="L3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I4" authorId="0" shapeId="0" xr:uid="{00000000-0006-0000-00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 xml:space="preserve">Based on other turn on periods
</t>
        </r>
      </text>
    </comment>
    <comment ref="G5" authorId="0" shapeId="0" xr:uid="{00000000-0006-0000-00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same as above, but without N2 data</t>
        </r>
      </text>
    </comment>
    <comment ref="I9" authorId="0" shapeId="0" xr:uid="{00000000-0006-0000-0000-000003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1" authorId="0" shapeId="0" xr:uid="{00000000-0006-0000-0000-000004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V5 data</t>
        </r>
      </text>
    </comment>
    <comment ref="I17" authorId="0" shapeId="0" xr:uid="{00000000-0006-0000-0000-000005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8" authorId="0" shapeId="0" xr:uid="{00000000-0006-0000-0000-000006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19" authorId="0" shapeId="0" xr:uid="{00000000-0006-0000-0000-000007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Based on looking at some flight data</t>
        </r>
      </text>
    </comment>
    <comment ref="I28" authorId="0" shapeId="0" xr:uid="{00000000-0006-0000-0000-000008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  <comment ref="I29" authorId="0" shapeId="0" xr:uid="{00000000-0006-0000-0000-000009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limited either by solar activity or by allowed number of bursts (commanded)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Jaskulek, Steve</author>
  </authors>
  <commentList>
    <comment ref="F19" authorId="0" shapeId="0" xr:uid="{00000000-0006-0000-0D00-000001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4 bits will generally be enough, but I put in 5 for padding</t>
        </r>
      </text>
    </comment>
    <comment ref="F55" authorId="0" shapeId="0" xr:uid="{00000000-0006-0000-0D00-000002000000}">
      <text>
        <r>
          <rPr>
            <sz val="10"/>
            <rFont val="Arial"/>
            <family val="2"/>
          </rPr>
          <t xml:space="preserve">Jaskulek, Steve:
</t>
        </r>
        <r>
          <rPr>
            <sz val="9"/>
            <color rgb="FF000000"/>
            <rFont val="Tahoma"/>
            <family val="2"/>
            <charset val="1"/>
          </rPr>
          <t>Looking at some data, it appears that 3 bits will generally be enough, but I put in 4 for padding</t>
        </r>
      </text>
    </comment>
  </commentList>
</comments>
</file>

<file path=xl/sharedStrings.xml><?xml version="1.0" encoding="utf-8"?>
<sst xmlns="http://schemas.openxmlformats.org/spreadsheetml/2006/main" count="13385" uniqueCount="328">
  <si>
    <t>packet size (bits)</t>
  </si>
  <si>
    <t>historical size</t>
  </si>
  <si>
    <t># of power cycles</t>
  </si>
  <si>
    <t>integration time (s)</t>
  </si>
  <si>
    <t>bps</t>
  </si>
  <si>
    <t>sec/day</t>
  </si>
  <si>
    <t>data collection (days)</t>
  </si>
  <si>
    <t>Total recorded data (Mbits)</t>
  </si>
  <si>
    <t>Total  downlinked data (Mbits)</t>
  </si>
  <si>
    <t>Data Generated during Power Cycle</t>
  </si>
  <si>
    <t>Data sent to Recorder</t>
  </si>
  <si>
    <t>Data sent to the Ground</t>
  </si>
  <si>
    <t>max bits</t>
  </si>
  <si>
    <t>Enabled?</t>
  </si>
  <si>
    <t>Survey Data</t>
  </si>
  <si>
    <t>N1</t>
  </si>
  <si>
    <t>N2 normal</t>
  </si>
  <si>
    <t>N3+ extra</t>
  </si>
  <si>
    <t xml:space="preserve">HK/status </t>
  </si>
  <si>
    <t>months/ year</t>
  </si>
  <si>
    <t>Burst Data</t>
  </si>
  <si>
    <t>High Time Resolution Buffered Rate (10) Data</t>
  </si>
  <si>
    <t>Trigger assessment data</t>
  </si>
  <si>
    <t>N2 burst data</t>
  </si>
  <si>
    <t xml:space="preserve">Total </t>
  </si>
  <si>
    <t>Mbits</t>
  </si>
  <si>
    <t>Assumptions</t>
  </si>
  <si>
    <r>
      <rPr>
        <sz val="11"/>
        <color rgb="FF000000"/>
        <rFont val="Calibri"/>
        <family val="2"/>
        <charset val="1"/>
      </rPr>
      <t>Commanded N2</t>
    </r>
    <r>
      <rPr>
        <vertAlign val="subscript"/>
        <sz val="11"/>
        <color rgb="FF000000"/>
        <rFont val="Calibri"/>
        <family val="2"/>
        <charset val="1"/>
      </rPr>
      <t>Monitor</t>
    </r>
    <r>
      <rPr>
        <sz val="11"/>
        <color rgb="FF000000"/>
        <rFont val="Calibri"/>
        <family val="2"/>
        <charset val="1"/>
      </rPr>
      <t xml:space="preserve"> int time</t>
    </r>
  </si>
  <si>
    <t>Total for hibernation period</t>
  </si>
  <si>
    <t>Mbit</t>
  </si>
  <si>
    <t>pre-trigger data (days)</t>
  </si>
  <si>
    <t>post-trigger data (days)</t>
  </si>
  <si>
    <t>Number of bursts occurring in this period</t>
  </si>
  <si>
    <t># of N2 bursts downlinked in this period</t>
  </si>
  <si>
    <t>0x694 Medium Prior N2</t>
  </si>
  <si>
    <t>0x691 High Prior N1</t>
  </si>
  <si>
    <t>0x693 Low Prior N3</t>
  </si>
  <si>
    <t>0x694 Low Prior N3</t>
  </si>
  <si>
    <t>0x68A Trig Assess.</t>
  </si>
  <si>
    <t>0x699 Pre-Trigger Dat</t>
  </si>
  <si>
    <t>Version</t>
  </si>
  <si>
    <t>Type</t>
  </si>
  <si>
    <t>Secondary?</t>
  </si>
  <si>
    <t>App ID</t>
  </si>
  <si>
    <t>Grouping</t>
  </si>
  <si>
    <t>Sequence Count</t>
  </si>
  <si>
    <t>Length</t>
  </si>
  <si>
    <t>Secondary Header</t>
  </si>
  <si>
    <t>Header total</t>
  </si>
  <si>
    <t>Data Header</t>
  </si>
  <si>
    <t>Ring buffer slot</t>
  </si>
  <si>
    <t>Payload length</t>
  </si>
  <si>
    <t>Last capture time</t>
  </si>
  <si>
    <t>Blocks (aka Chunks)</t>
  </si>
  <si>
    <t>Data Header Subtotal</t>
  </si>
  <si>
    <t>16 values compressed</t>
  </si>
  <si>
    <t>N1= N2 * X</t>
  </si>
  <si>
    <t>Each block:</t>
  </si>
  <si>
    <t># bytes in block</t>
  </si>
  <si>
    <t>#bits</t>
  </si>
  <si>
    <t>(&lt;--this is the max size, but typically fewer)</t>
  </si>
  <si>
    <t>initial</t>
  </si>
  <si>
    <t>"</t>
  </si>
  <si>
    <t>padding</t>
  </si>
  <si>
    <t>Packet Accum Time</t>
  </si>
  <si>
    <t>worst case</t>
  </si>
  <si>
    <t>Block total</t>
  </si>
  <si>
    <t>bits per second</t>
  </si>
  <si>
    <t>Max 4 blocks/packet</t>
  </si>
  <si>
    <t>Mbit/Per day</t>
  </si>
  <si>
    <t>Packet total</t>
  </si>
  <si>
    <t>N1+N3</t>
  </si>
  <si>
    <t>number of days</t>
  </si>
  <si>
    <t>readouts per channel per packet</t>
  </si>
  <si>
    <t>(&lt;--this assumes full packets, which is typical)</t>
  </si>
  <si>
    <t>totals</t>
  </si>
  <si>
    <t>Total N2 data</t>
  </si>
  <si>
    <t>predicted</t>
  </si>
  <si>
    <t>See next tab for partial channel use numbers</t>
  </si>
  <si>
    <t>worst case (based on no useful compression)</t>
  </si>
  <si>
    <t>N2</t>
  </si>
  <si>
    <t>Trig Assessment</t>
  </si>
  <si>
    <t>Buffered Rates</t>
  </si>
  <si>
    <t>Total burst products</t>
  </si>
  <si>
    <t>bits/sec</t>
  </si>
  <si>
    <t>Mbits/day</t>
  </si>
  <si>
    <t>predicted (based on earlier in-flight forced trigger telemetry)</t>
  </si>
  <si>
    <t>Predicted data rates during continuous N2 production every 3 (or 2) sec (based on Pre-Trigger Test July 2024)</t>
  </si>
  <si>
    <t>Macro</t>
  </si>
  <si>
    <t>N2 Active</t>
  </si>
  <si>
    <t xml:space="preserve">N2 </t>
  </si>
  <si>
    <t>Trigger+Buffer</t>
  </si>
  <si>
    <t>HK/Status Data</t>
  </si>
  <si>
    <t>N3</t>
  </si>
  <si>
    <r>
      <rPr>
        <b/>
        <sz val="11"/>
        <color rgb="FF000000"/>
        <rFont val="Calibri"/>
        <family val="2"/>
        <charset val="1"/>
      </rPr>
      <t xml:space="preserve">Total </t>
    </r>
    <r>
      <rPr>
        <b/>
        <sz val="11"/>
        <color rgb="FFFF0000"/>
        <rFont val="Calibri"/>
        <family val="2"/>
        <charset val="1"/>
      </rPr>
      <t>survey</t>
    </r>
    <r>
      <rPr>
        <b/>
        <sz val="11"/>
        <color rgb="FF000000"/>
        <rFont val="Calibri"/>
        <family val="2"/>
        <charset val="1"/>
      </rPr>
      <t xml:space="preserve"> products</t>
    </r>
  </si>
  <si>
    <t>Avg N2*</t>
  </si>
  <si>
    <t>Total telemetry put on recorder/day</t>
  </si>
  <si>
    <t>Number</t>
  </si>
  <si>
    <t>(sec/12 hour)</t>
  </si>
  <si>
    <t>Mon</t>
  </si>
  <si>
    <t>Hibernation mode (5 min/12 hour of N2)</t>
  </si>
  <si>
    <t>Hibernation mode (10 min/12 hour of N2)</t>
  </si>
  <si>
    <t>Hibernation mode (14 min/12 hour of N2)</t>
  </si>
  <si>
    <t>Hibernation mode (20 min/12 hour of N2)</t>
  </si>
  <si>
    <t>Hibernation mode (30 min/12 hour of N2)</t>
  </si>
  <si>
    <t>Termination Shock Crossing mode (assumes continuous 3 sec N2)</t>
  </si>
  <si>
    <t>continuous</t>
  </si>
  <si>
    <t>Termination Shock Crossing mode (assumes continuous 2 sec N2)</t>
  </si>
  <si>
    <t xml:space="preserve">status = </t>
  </si>
  <si>
    <t xml:space="preserve">n1= </t>
  </si>
  <si>
    <t>n3=</t>
  </si>
  <si>
    <t>* Note: N2 data only sent by request (selective downlink)</t>
  </si>
  <si>
    <t>From Pre-Trigger Test July 2024 (days 212 and 213)</t>
  </si>
  <si>
    <t>Trig Asses.</t>
  </si>
  <si>
    <t xml:space="preserve"> </t>
  </si>
  <si>
    <t>Status</t>
  </si>
  <si>
    <t>0x692</t>
  </si>
  <si>
    <t>0x697  or 0x699)</t>
  </si>
  <si>
    <t>0x68A</t>
  </si>
  <si>
    <t>0x691</t>
  </si>
  <si>
    <t>0x693</t>
  </si>
  <si>
    <t>0x685</t>
  </si>
  <si>
    <t>Max packet size (bits)</t>
  </si>
  <si>
    <t>Previous estimate Avg packet size (bits)</t>
  </si>
  <si>
    <t>Measured Avg packet size (bits)</t>
  </si>
  <si>
    <t>Load number:</t>
  </si>
  <si>
    <t>First</t>
  </si>
  <si>
    <t>DOY</t>
  </si>
  <si>
    <t>Hour</t>
  </si>
  <si>
    <t>Min</t>
  </si>
  <si>
    <t>Days:</t>
  </si>
  <si>
    <t>Delta</t>
  </si>
  <si>
    <t>Burst enabled?</t>
  </si>
  <si>
    <t>Start:</t>
  </si>
  <si>
    <t>Stop:</t>
  </si>
  <si>
    <t>yes</t>
  </si>
  <si>
    <t>Second</t>
  </si>
  <si>
    <t>The fields in blue need to be updated for each load</t>
  </si>
  <si>
    <t>How many power-on instances are in this load?:</t>
  </si>
  <si>
    <t>Settings:</t>
  </si>
  <si>
    <t>Macro 103/104?</t>
  </si>
  <si>
    <t>--&gt;</t>
  </si>
  <si>
    <t>N2mon =</t>
  </si>
  <si>
    <t>Macro 105-110?</t>
  </si>
  <si>
    <t>macro used=</t>
  </si>
  <si>
    <t>&lt;-- if macro=101, then macro 103/104 field is ignored, and settings for macro 103/106 are automatically used</t>
  </si>
  <si>
    <t xml:space="preserve">Science </t>
  </si>
  <si>
    <t>Telemetry product:</t>
  </si>
  <si>
    <t>Days</t>
  </si>
  <si>
    <t>Total Mbits</t>
  </si>
  <si>
    <t>bytes/s</t>
  </si>
  <si>
    <t>PEPSSI_DT1</t>
  </si>
  <si>
    <t>PEPSSI_DT2</t>
  </si>
  <si>
    <t>INST_HSK_3</t>
  </si>
  <si>
    <t>PEPSSI_DT3</t>
  </si>
  <si>
    <t>Trigger packet</t>
  </si>
  <si>
    <t>PEPSSI_DT4</t>
  </si>
  <si>
    <t xml:space="preserve">Buffered Rates </t>
  </si>
  <si>
    <t xml:space="preserve">0x697  </t>
  </si>
  <si>
    <t>DT2 if Mac102, otherwise DT3</t>
  </si>
  <si>
    <t>SubTotal</t>
  </si>
  <si>
    <t xml:space="preserve">Power-on </t>
  </si>
  <si>
    <t>Total</t>
  </si>
  <si>
    <t>N1/N3/Status</t>
  </si>
  <si>
    <t>DT1, DT2, HSK3</t>
  </si>
  <si>
    <t>buff rates + N1/N3/Status</t>
  </si>
  <si>
    <t>DT1, DT2, HSK3 (if Macro102)</t>
  </si>
  <si>
    <t>N2, buff rates, N1/N3/Status</t>
  </si>
  <si>
    <t>DT1, DT2, DT3,HSK3</t>
  </si>
  <si>
    <t>Trig Assess, N2, buff rates, N1/N3/Status</t>
  </si>
  <si>
    <t>DT1, DT2, DT3, DT4, HSK3</t>
  </si>
  <si>
    <t>DT3</t>
  </si>
  <si>
    <t xml:space="preserve">trig assess </t>
  </si>
  <si>
    <t>DT4</t>
  </si>
  <si>
    <t>Survey</t>
  </si>
  <si>
    <t>PEPSSI_DT2 if macro 102</t>
  </si>
  <si>
    <t>Notes:</t>
  </si>
  <si>
    <t>For this load 25139, also 25118 and 25096 I actually used 4.8625 based on the numbers</t>
  </si>
  <si>
    <t>in the PDR slides which included Trig Assessment. I did not play those data back, Mops playbacks did.</t>
  </si>
  <si>
    <t xml:space="preserve">Therefore the science playback tracks will be undersubscribed by ~8%. </t>
  </si>
  <si>
    <t>HOWEVER, the Mops playbacks do play back the PEPSSI DT4 and those I believe did not assume the correct rate,</t>
  </si>
  <si>
    <t xml:space="preserve">they were likely oversubscribed so it should all work out. I’ll check with Karl. </t>
  </si>
  <si>
    <t>Hopefully things will be better going forward!</t>
  </si>
  <si>
    <t>135-160</t>
  </si>
  <si>
    <t>160-178</t>
  </si>
  <si>
    <t>yes!</t>
  </si>
  <si>
    <t>178/1930-181/0210</t>
  </si>
  <si>
    <t>178-181</t>
  </si>
  <si>
    <t>survey+br</t>
  </si>
  <si>
    <t>Trig Assess, buff rates</t>
  </si>
  <si>
    <t>N1, N2, Status, Trig Assess</t>
  </si>
  <si>
    <t>DT1, DT3, DT4, HSK3</t>
  </si>
  <si>
    <t>N1, Status, Trig Assess</t>
  </si>
  <si>
    <t>DT1, DT4, HSK3</t>
  </si>
  <si>
    <t>no</t>
  </si>
  <si>
    <t>181-201</t>
  </si>
  <si>
    <t>surv+br</t>
  </si>
  <si>
    <t>206-207</t>
  </si>
  <si>
    <t>surv only</t>
  </si>
  <si>
    <t>N3, buff rates</t>
  </si>
  <si>
    <t>DT2 with macro 102</t>
  </si>
  <si>
    <t>days</t>
  </si>
  <si>
    <t>not played</t>
  </si>
  <si>
    <t>dt4</t>
  </si>
  <si>
    <t>207-218</t>
  </si>
  <si>
    <t>DT3 if Macro 102</t>
  </si>
  <si>
    <t>total swap</t>
  </si>
  <si>
    <t>total pepssi</t>
  </si>
  <si>
    <t>for ralph</t>
  </si>
  <si>
    <t>rtcs</t>
  </si>
  <si>
    <t>swap</t>
  </si>
  <si>
    <t>pep</t>
  </si>
  <si>
    <t>Thru 159</t>
  </si>
  <si>
    <t>Dt4 – hib</t>
  </si>
  <si>
    <t>Dt4 96</t>
  </si>
  <si>
    <t>Dt4 118</t>
  </si>
  <si>
    <t>Dt4 139</t>
  </si>
  <si>
    <t>96-107 n2</t>
  </si>
  <si>
    <t>107-119 n2</t>
  </si>
  <si>
    <t>119-135 n2</t>
  </si>
  <si>
    <t>96-107 n1/n3/st/br</t>
  </si>
  <si>
    <t>107-119 n1/n3/st/br</t>
  </si>
  <si>
    <t>119-135 n1/n3/st/br</t>
  </si>
  <si>
    <t>136-178 n1/n3/st/br</t>
  </si>
  <si>
    <t>total thru start 181</t>
  </si>
  <si>
    <t>left</t>
  </si>
  <si>
    <t>actual</t>
  </si>
  <si>
    <t>Starting 25181 playback</t>
  </si>
  <si>
    <t>predict</t>
  </si>
  <si>
    <t>178-181 n1/n3/st/br – finish 25159</t>
  </si>
  <si>
    <t>160-181 ddt4 – 25159 trig assess</t>
  </si>
  <si>
    <t>181-183 n1/n2/st/TA</t>
  </si>
  <si>
    <t>183-188 n1/n2/st/TA</t>
  </si>
  <si>
    <t>183/1246-201/1640 n1/n2/st/TA</t>
  </si>
  <si>
    <t>188-202  n1/n2/st/TA</t>
  </si>
  <si>
    <t>206/2015 pwr on survey to 27/1524 (survey)</t>
  </si>
  <si>
    <t>207/1724 n1/n2/st/TA to 218/1727</t>
  </si>
  <si>
    <t>170/0000-1031 N2</t>
  </si>
  <si>
    <t>n2 from 25159</t>
  </si>
  <si>
    <t>347/0119-45/0454 hib</t>
  </si>
  <si>
    <t>181-202 BR/N3</t>
  </si>
  <si>
    <t>N3/BR from wherever</t>
  </si>
  <si>
    <t>choose from:</t>
  </si>
  <si>
    <t xml:space="preserve">181-202 N3/BR </t>
  </si>
  <si>
    <t>202-218 N3/BR</t>
  </si>
  <si>
    <t>all bps</t>
  </si>
  <si>
    <t>PB Mbits</t>
  </si>
  <si>
    <t>PB bps</t>
  </si>
  <si>
    <t>comes down with PEPSSI DT2 (if Macro 102)</t>
  </si>
  <si>
    <t>Estimated bps</t>
  </si>
  <si>
    <t>Estimated Mbit/day</t>
  </si>
  <si>
    <t>Estimated Mbit/year</t>
  </si>
  <si>
    <t>Macro Number</t>
  </si>
  <si>
    <t>Minutes of N2 every 12 hours</t>
  </si>
  <si>
    <t>N2 Production per 12 hours (sec)</t>
  </si>
  <si>
    <t>N2 disabled per 12 hours (sec)</t>
  </si>
  <si>
    <t>N2 Selective Data</t>
  </si>
  <si>
    <t>** Sets up for original burst mode which monitors Valid rate and generates burst data when rates jump up</t>
  </si>
  <si>
    <t>** Sets up for original continuous burst mode (i.e. 10 minutes of N2 packets every 12 hours)</t>
  </si>
  <si>
    <t>** pokes ApID assignment in SRAM to change buffered rate packet from 0x699 to 0x697</t>
  </si>
  <si>
    <t>** parameter setup for fully continuous N2 packets with N2=3 seconds</t>
  </si>
  <si>
    <t>** parameter setup for fully continuous N2 packets with N2=2 seconds</t>
  </si>
  <si>
    <t>Continuous</t>
  </si>
  <si>
    <t>Data produced by Pre-hibernation test.</t>
  </si>
  <si>
    <t>MET</t>
  </si>
  <si>
    <t>ApID</t>
  </si>
  <si>
    <t>Sequ Count</t>
  </si>
  <si>
    <t>Packet Length Bits</t>
  </si>
  <si>
    <t>0x0683</t>
  </si>
  <si>
    <t>0x0685</t>
  </si>
  <si>
    <t>0x0693</t>
  </si>
  <si>
    <t>0x0694</t>
  </si>
  <si>
    <t>0x0691</t>
  </si>
  <si>
    <t>0x0004</t>
  </si>
  <si>
    <t>0x0687</t>
  </si>
  <si>
    <t>0x0692</t>
  </si>
  <si>
    <t>0x0699</t>
  </si>
  <si>
    <t>0x068a</t>
  </si>
  <si>
    <t>0x0681</t>
  </si>
  <si>
    <t>0x0697</t>
  </si>
  <si>
    <t>Max</t>
  </si>
  <si>
    <t>Avg</t>
  </si>
  <si>
    <t>fewer channels used</t>
  </si>
  <si>
    <t>bits</t>
  </si>
  <si>
    <t>bytes</t>
  </si>
  <si>
    <t>Primary Header</t>
  </si>
  <si>
    <t>Per block:</t>
  </si>
  <si>
    <t>Number of bytes in Chunk</t>
  </si>
  <si>
    <t>Number of bits per compressed sample</t>
  </si>
  <si>
    <r>
      <rPr>
        <sz val="11"/>
        <color rgb="FF000000"/>
        <rFont val="Calibri"/>
        <family val="2"/>
        <charset val="1"/>
      </rPr>
      <t>1</t>
    </r>
    <r>
      <rPr>
        <vertAlign val="superscript"/>
        <sz val="12"/>
        <color rgb="FF000000"/>
        <rFont val="Times New Roman"/>
        <family val="1"/>
        <charset val="1"/>
      </rPr>
      <t>st</t>
    </r>
    <r>
      <rPr>
        <sz val="12"/>
        <color rgb="FF000000"/>
        <rFont val="Times New Roman"/>
        <family val="1"/>
        <charset val="1"/>
      </rPr>
      <t xml:space="preserve">  sample (uncompressed)</t>
    </r>
  </si>
  <si>
    <t>next 15 n-bit words, where n=11 (10 plus sign), with pad</t>
  </si>
  <si>
    <t>next 15 n-bit words, where n=6 (5 plus sign), with pad</t>
  </si>
  <si>
    <t>next 15 n-bit words, where n=0 (no data), with pad</t>
  </si>
  <si>
    <t>Block subtotal</t>
  </si>
  <si>
    <t>4 blocks:</t>
  </si>
  <si>
    <t>4 x per block size per channel</t>
  </si>
  <si>
    <t>For total number of channels</t>
  </si>
  <si>
    <t>Total packet size</t>
  </si>
  <si>
    <t>Value for "Length" field in packet</t>
  </si>
  <si>
    <t>0x699</t>
  </si>
  <si>
    <r>
      <rPr>
        <sz val="12"/>
        <color rgb="FF000000"/>
        <rFont val="Times New Roman"/>
        <family val="1"/>
        <charset val="1"/>
      </rPr>
      <t>1</t>
    </r>
    <r>
      <rPr>
        <vertAlign val="superscript"/>
        <sz val="12"/>
        <color rgb="FF000000"/>
        <rFont val="Times New Roman"/>
        <family val="1"/>
        <charset val="1"/>
      </rPr>
      <t>st</t>
    </r>
    <r>
      <rPr>
        <sz val="12"/>
        <color rgb="FF000000"/>
        <rFont val="Times New Roman"/>
        <family val="1"/>
        <charset val="1"/>
      </rPr>
      <t xml:space="preserve">  sample (uncompressed)</t>
    </r>
  </si>
  <si>
    <t>next 15 n-bit words, where n=5 (4 plus sign), with pad</t>
  </si>
  <si>
    <t>channels</t>
  </si>
  <si>
    <t>bit/s vs. N2Monitor settng</t>
  </si>
  <si>
    <t>Mbit/s vs. N2Monitor settng</t>
  </si>
  <si>
    <t>Used</t>
  </si>
  <si>
    <t>unused</t>
  </si>
  <si>
    <t>Total packet size (bits)</t>
  </si>
  <si>
    <t>`</t>
  </si>
  <si>
    <t xml:space="preserve">DT1, DT2, HSK3 (if Macro102) </t>
  </si>
  <si>
    <t>DT1, DT2, DT3,HSK3 (no macro102?)</t>
  </si>
  <si>
    <t>DT1, DT2, HSK3 (no Macro 102)</t>
  </si>
  <si>
    <t>N1/N3/Status - "Survey"</t>
  </si>
  <si>
    <t xml:space="preserve">DT1, DT2, DT3,HSK3  </t>
  </si>
  <si>
    <t>Can't command this (buff rates either comes with N2 or N3 depending on Macro 102)</t>
  </si>
  <si>
    <t>DT1, DT3, DT4, HSK3 (no Macro 102)</t>
  </si>
  <si>
    <t>80 gm protein</t>
  </si>
  <si>
    <t>most metabolic organ is muscle</t>
  </si>
  <si>
    <t>fat slows things down</t>
  </si>
  <si>
    <t>don't want to lose muscle</t>
  </si>
  <si>
    <t>DT3 nominally, DT2 if Mac102</t>
  </si>
  <si>
    <t>=526/64/N2=&gt;DT4</t>
  </si>
  <si>
    <t>=512/STAT=&gt;HSK3</t>
  </si>
  <si>
    <t>=1988/N1=&gt;DT1</t>
  </si>
  <si>
    <t>=18176/N3=&gt;DT2</t>
  </si>
  <si>
    <r>
      <t>=2087/64/N2=&gt;DT3(</t>
    </r>
    <r>
      <rPr>
        <sz val="11"/>
        <color theme="1"/>
        <rFont val="Aptos Narrow"/>
        <family val="2"/>
      </rPr>
      <t>¬</t>
    </r>
    <r>
      <rPr>
        <sz val="8.25"/>
        <color theme="1"/>
        <rFont val="Calibri"/>
        <family val="2"/>
        <charset val="1"/>
      </rPr>
      <t>102)</t>
    </r>
    <r>
      <rPr>
        <sz val="11"/>
        <color theme="1"/>
        <rFont val="Calibri"/>
        <family val="2"/>
        <charset val="1"/>
      </rPr>
      <t xml:space="preserve"> or DT2(102)]</t>
    </r>
  </si>
  <si>
    <t>0x693 or 0x694</t>
  </si>
  <si>
    <t>=(1266/N2)*([Macro105-110]/12h)=&gt;DT3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</si>
</sst>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_(* #,##0.00_);_(* \(#,##0.00\);_(* \-??_);_(@_)"/>
    <numFmt numFmtId="166" formatCode="_(* #,##0.0_);_(* \(#,##0.0\);_(* \-??_);_(@_)"/>
    <numFmt numFmtId="167" formatCode="0.000"/>
    <numFmt numFmtId="168" formatCode="0.000000"/>
    <numFmt numFmtId="170" formatCode="0.000000000"/>
    <numFmt numFmtId="171" formatCode="0.00000"/>
    <numFmt numFmtId="172" formatCode="0.0000"/>
  </numFmts>
  <fonts count="2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vertAlign val="superscript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sz val="11"/>
      <color theme="1"/>
      <name val="Aptos Narrow"/>
      <family val="2"/>
    </font>
    <font>
      <sz val="8.25"/>
      <color theme="1"/>
      <name val="Calibri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rgb="FFB7B3CA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0.39988402966399123"/>
        <bgColor rgb="FFFFDE59"/>
      </patternFill>
    </fill>
    <fill>
      <patternFill patternType="solid">
        <fgColor theme="8" tint="0.39988402966399123"/>
        <bgColor rgb="FFADB9CA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5" tint="0.39988402966399123"/>
        <bgColor rgb="FFEC9BA4"/>
      </patternFill>
    </fill>
    <fill>
      <patternFill patternType="solid">
        <fgColor theme="3" tint="0.59987182226020086"/>
        <bgColor rgb="FFB7B3CA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0.14999847407452621"/>
        <bgColor rgb="FFDEDC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D428"/>
        <bgColor rgb="FFFFDE59"/>
      </patternFill>
    </fill>
    <fill>
      <patternFill patternType="solid">
        <fgColor rgb="FFE6E905"/>
        <bgColor rgb="FFFFFF00"/>
      </patternFill>
    </fill>
    <fill>
      <patternFill patternType="solid">
        <fgColor rgb="FFFFBF00"/>
        <bgColor rgb="FFFFD428"/>
      </patternFill>
    </fill>
    <fill>
      <patternFill patternType="solid">
        <fgColor rgb="FFAFD095"/>
        <bgColor rgb="FFC5E0B4"/>
      </patternFill>
    </fill>
    <fill>
      <patternFill patternType="solid">
        <fgColor rgb="FFFFD7D7"/>
        <bgColor rgb="FFF8CBAD"/>
      </patternFill>
    </fill>
    <fill>
      <patternFill patternType="solid">
        <fgColor rgb="FFE0C2CD"/>
        <bgColor rgb="FFF8CBAD"/>
      </patternFill>
    </fill>
    <fill>
      <patternFill patternType="solid">
        <fgColor rgb="FFDEDCE6"/>
        <bgColor rgb="FFD9D9D9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DE59"/>
        <bgColor rgb="FFFFD966"/>
      </patternFill>
    </fill>
    <fill>
      <patternFill patternType="solid">
        <fgColor rgb="FFBBE33D"/>
        <bgColor rgb="FFD4EA6B"/>
      </patternFill>
    </fill>
    <fill>
      <patternFill patternType="solid">
        <fgColor rgb="FFEC9BA4"/>
        <bgColor rgb="FFF4B183"/>
      </patternFill>
    </fill>
    <fill>
      <patternFill patternType="solid">
        <fgColor rgb="FFB7B3CA"/>
        <bgColor rgb="FFADB9CA"/>
      </patternFill>
    </fill>
    <fill>
      <patternFill patternType="solid">
        <fgColor rgb="FFD4EA6B"/>
        <bgColor rgb="FFBBE33D"/>
      </patternFill>
    </fill>
    <fill>
      <patternFill patternType="solid">
        <fgColor rgb="FFB4C7DC"/>
        <bgColor rgb="FFADB9CA"/>
      </patternFill>
    </fill>
    <fill>
      <patternFill patternType="solid">
        <fgColor theme="5" tint="0.59987182226020086"/>
        <bgColor rgb="FFFFD7D7"/>
      </patternFill>
    </fill>
    <fill>
      <patternFill patternType="solid">
        <fgColor theme="4" tint="0.59987182226020086"/>
        <bgColor rgb="FFB4C7D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1E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8" fillId="0" borderId="0" applyBorder="0" applyProtection="0"/>
  </cellStyleXfs>
  <cellXfs count="177">
    <xf numFmtId="0" fontId="0" fillId="0" borderId="0" xfId="0"/>
    <xf numFmtId="0" fontId="0" fillId="0" borderId="0" xfId="0" applyAlignment="1">
      <alignment horizontal="center" wrapText="1"/>
    </xf>
    <xf numFmtId="2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18" fillId="0" borderId="0" xfId="1" applyBorder="1" applyAlignment="1" applyProtection="1">
      <alignment horizontal="center"/>
    </xf>
    <xf numFmtId="166" fontId="18" fillId="0" borderId="0" xfId="1" applyNumberFormat="1" applyBorder="1" applyAlignment="1" applyProtection="1">
      <alignment horizontal="center"/>
    </xf>
    <xf numFmtId="2" fontId="0" fillId="0" borderId="0" xfId="0" applyNumberFormat="1"/>
    <xf numFmtId="165" fontId="18" fillId="0" borderId="1" xfId="1" applyBorder="1" applyAlignment="1" applyProtection="1">
      <alignment horizontal="center"/>
    </xf>
    <xf numFmtId="165" fontId="1" fillId="0" borderId="0" xfId="0" applyNumberFormat="1" applyFont="1" applyAlignment="1">
      <alignment horizontal="center"/>
    </xf>
    <xf numFmtId="0" fontId="0" fillId="3" borderId="0" xfId="0" applyFill="1" applyAlignment="1">
      <alignment horizontal="right"/>
    </xf>
    <xf numFmtId="165" fontId="0" fillId="0" borderId="0" xfId="0" applyNumberFormat="1" applyAlignment="1">
      <alignment horizontal="center"/>
    </xf>
    <xf numFmtId="0" fontId="0" fillId="3" borderId="0" xfId="0" applyFill="1"/>
    <xf numFmtId="165" fontId="1" fillId="4" borderId="0" xfId="0" applyNumberFormat="1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0" fillId="7" borderId="0" xfId="0" applyFill="1"/>
    <xf numFmtId="165" fontId="6" fillId="7" borderId="0" xfId="0" applyNumberFormat="1" applyFont="1" applyFill="1" applyAlignment="1">
      <alignment horizontal="center"/>
    </xf>
    <xf numFmtId="0" fontId="7" fillId="7" borderId="0" xfId="0" applyFont="1" applyFill="1"/>
    <xf numFmtId="0" fontId="0" fillId="6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167" fontId="0" fillId="0" borderId="0" xfId="0" applyNumberFormat="1"/>
    <xf numFmtId="167" fontId="0" fillId="0" borderId="4" xfId="0" applyNumberFormat="1" applyBorder="1"/>
    <xf numFmtId="2" fontId="0" fillId="3" borderId="0" xfId="0" applyNumberFormat="1" applyFill="1"/>
    <xf numFmtId="2" fontId="0" fillId="3" borderId="0" xfId="0" applyNumberFormat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2" fontId="0" fillId="11" borderId="0" xfId="0" applyNumberFormat="1" applyFill="1"/>
    <xf numFmtId="167" fontId="0" fillId="11" borderId="0" xfId="0" applyNumberFormat="1" applyFill="1" applyAlignment="1">
      <alignment horizontal="right"/>
    </xf>
    <xf numFmtId="167" fontId="0" fillId="11" borderId="0" xfId="0" applyNumberFormat="1" applyFill="1"/>
    <xf numFmtId="0" fontId="0" fillId="0" borderId="0" xfId="0" applyAlignment="1">
      <alignment horizontal="right" wrapText="1"/>
    </xf>
    <xf numFmtId="0" fontId="1" fillId="12" borderId="0" xfId="0" applyFont="1" applyFill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2" fontId="0" fillId="0" borderId="2" xfId="0" applyNumberFormat="1" applyBorder="1"/>
    <xf numFmtId="2" fontId="0" fillId="10" borderId="0" xfId="0" applyNumberFormat="1" applyFill="1"/>
    <xf numFmtId="2" fontId="1" fillId="12" borderId="0" xfId="0" applyNumberFormat="1" applyFont="1" applyFill="1"/>
    <xf numFmtId="0" fontId="5" fillId="0" borderId="0" xfId="0" applyFont="1"/>
    <xf numFmtId="0" fontId="1" fillId="10" borderId="0" xfId="0" applyFont="1" applyFill="1"/>
    <xf numFmtId="2" fontId="1" fillId="10" borderId="0" xfId="0" applyNumberFormat="1" applyFont="1" applyFill="1"/>
    <xf numFmtId="0" fontId="1" fillId="0" borderId="0" xfId="0" applyFont="1" applyAlignment="1">
      <alignment horizontal="right"/>
    </xf>
    <xf numFmtId="164" fontId="0" fillId="0" borderId="2" xfId="0" applyNumberFormat="1" applyBorder="1"/>
    <xf numFmtId="1" fontId="0" fillId="0" borderId="2" xfId="0" applyNumberFormat="1" applyBorder="1"/>
    <xf numFmtId="0" fontId="1" fillId="0" borderId="0" xfId="0" applyFont="1" applyAlignment="1">
      <alignment horizontal="center"/>
    </xf>
    <xf numFmtId="1" fontId="0" fillId="0" borderId="0" xfId="0" applyNumberForma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13" borderId="0" xfId="0" applyFill="1"/>
    <xf numFmtId="0" fontId="1" fillId="0" borderId="0" xfId="0" applyFont="1"/>
    <xf numFmtId="0" fontId="0" fillId="11" borderId="0" xfId="0" applyFill="1" applyAlignment="1">
      <alignment horizontal="center"/>
    </xf>
    <xf numFmtId="0" fontId="0" fillId="11" borderId="5" xfId="0" applyFill="1" applyBorder="1"/>
    <xf numFmtId="0" fontId="0" fillId="11" borderId="3" xfId="0" applyFill="1" applyBorder="1"/>
    <xf numFmtId="0" fontId="0" fillId="11" borderId="6" xfId="0" applyFill="1" applyBorder="1"/>
    <xf numFmtId="0" fontId="15" fillId="0" borderId="0" xfId="0" applyFont="1"/>
    <xf numFmtId="0" fontId="1" fillId="1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8" fontId="5" fillId="15" borderId="0" xfId="0" applyNumberFormat="1" applyFont="1" applyFill="1" applyAlignment="1">
      <alignment horizontal="center"/>
    </xf>
    <xf numFmtId="0" fontId="0" fillId="15" borderId="0" xfId="0" applyFill="1"/>
    <xf numFmtId="0" fontId="1" fillId="15" borderId="0" xfId="0" applyFont="1" applyFill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8" fontId="0" fillId="15" borderId="2" xfId="0" applyNumberForma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right"/>
    </xf>
    <xf numFmtId="2" fontId="0" fillId="17" borderId="0" xfId="0" applyNumberFormat="1" applyFill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right"/>
    </xf>
    <xf numFmtId="2" fontId="0" fillId="18" borderId="0" xfId="0" applyNumberFormat="1" applyFill="1" applyAlignment="1">
      <alignment horizontal="center"/>
    </xf>
    <xf numFmtId="0" fontId="0" fillId="19" borderId="0" xfId="0" applyFill="1"/>
    <xf numFmtId="0" fontId="0" fillId="19" borderId="0" xfId="0" applyFill="1" applyAlignment="1">
      <alignment horizontal="right"/>
    </xf>
    <xf numFmtId="2" fontId="0" fillId="19" borderId="0" xfId="0" applyNumberForma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right"/>
    </xf>
    <xf numFmtId="2" fontId="0" fillId="20" borderId="0" xfId="0" applyNumberFormat="1" applyFill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center"/>
    </xf>
    <xf numFmtId="2" fontId="0" fillId="21" borderId="0" xfId="0" applyNumberFormat="1" applyFill="1" applyAlignment="1">
      <alignment horizontal="center"/>
    </xf>
    <xf numFmtId="168" fontId="0" fillId="21" borderId="0" xfId="0" applyNumberForma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right"/>
    </xf>
    <xf numFmtId="2" fontId="0" fillId="22" borderId="0" xfId="0" applyNumberForma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right"/>
    </xf>
    <xf numFmtId="2" fontId="0" fillId="23" borderId="0" xfId="0" applyNumberForma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right"/>
    </xf>
    <xf numFmtId="2" fontId="0" fillId="24" borderId="0" xfId="0" applyNumberFormat="1" applyFill="1" applyAlignment="1">
      <alignment horizontal="center"/>
    </xf>
    <xf numFmtId="0" fontId="0" fillId="25" borderId="0" xfId="0" applyFill="1"/>
    <xf numFmtId="0" fontId="0" fillId="25" borderId="0" xfId="0" applyFill="1" applyAlignment="1">
      <alignment horizontal="right"/>
    </xf>
    <xf numFmtId="2" fontId="0" fillId="25" borderId="0" xfId="0" applyNumberFormat="1" applyFill="1" applyAlignment="1">
      <alignment horizontal="center"/>
    </xf>
    <xf numFmtId="0" fontId="0" fillId="15" borderId="0" xfId="0" applyFill="1" applyAlignment="1">
      <alignment horizontal="right"/>
    </xf>
    <xf numFmtId="2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/>
    <xf numFmtId="164" fontId="0" fillId="16" borderId="0" xfId="0" applyNumberFormat="1" applyFill="1" applyAlignment="1">
      <alignment horizontal="center"/>
    </xf>
    <xf numFmtId="0" fontId="0" fillId="26" borderId="0" xfId="0" applyFill="1" applyAlignment="1">
      <alignment horizontal="center"/>
    </xf>
    <xf numFmtId="0" fontId="0" fillId="26" borderId="0" xfId="0" applyFill="1" applyAlignment="1">
      <alignment horizontal="left"/>
    </xf>
    <xf numFmtId="0" fontId="0" fillId="26" borderId="0" xfId="0" applyFill="1"/>
    <xf numFmtId="0" fontId="0" fillId="23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0" fontId="0" fillId="27" borderId="0" xfId="0" applyFill="1" applyAlignment="1">
      <alignment horizontal="center"/>
    </xf>
    <xf numFmtId="0" fontId="0" fillId="27" borderId="0" xfId="0" applyFill="1"/>
    <xf numFmtId="2" fontId="5" fillId="15" borderId="0" xfId="0" applyNumberFormat="1" applyFont="1" applyFill="1" applyAlignment="1">
      <alignment horizontal="center"/>
    </xf>
    <xf numFmtId="164" fontId="0" fillId="28" borderId="2" xfId="0" applyNumberFormat="1" applyFill="1" applyBorder="1" applyAlignment="1">
      <alignment horizontal="center"/>
    </xf>
    <xf numFmtId="164" fontId="0" fillId="15" borderId="2" xfId="0" applyNumberFormat="1" applyFill="1" applyBorder="1" applyAlignment="1">
      <alignment horizontal="center"/>
    </xf>
    <xf numFmtId="0" fontId="1" fillId="1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29" borderId="0" xfId="0" applyFill="1" applyAlignment="1">
      <alignment horizontal="center"/>
    </xf>
    <xf numFmtId="0" fontId="0" fillId="30" borderId="0" xfId="0" applyFill="1"/>
    <xf numFmtId="0" fontId="0" fillId="12" borderId="0" xfId="0" applyFill="1" applyAlignment="1">
      <alignment horizontal="center"/>
    </xf>
    <xf numFmtId="0" fontId="2" fillId="0" borderId="0" xfId="0" applyFont="1"/>
    <xf numFmtId="0" fontId="17" fillId="0" borderId="0" xfId="0" applyFont="1"/>
    <xf numFmtId="167" fontId="1" fillId="0" borderId="5" xfId="0" applyNumberFormat="1" applyFont="1" applyBorder="1"/>
    <xf numFmtId="167" fontId="1" fillId="0" borderId="3" xfId="0" applyNumberFormat="1" applyFont="1" applyBorder="1"/>
    <xf numFmtId="167" fontId="1" fillId="0" borderId="6" xfId="0" applyNumberFormat="1" applyFont="1" applyBorder="1"/>
    <xf numFmtId="168" fontId="0" fillId="0" borderId="2" xfId="0" applyNumberFormat="1" applyBorder="1"/>
    <xf numFmtId="170" fontId="0" fillId="0" borderId="2" xfId="0" applyNumberFormat="1" applyBorder="1"/>
    <xf numFmtId="171" fontId="0" fillId="0" borderId="0" xfId="0" applyNumberFormat="1"/>
    <xf numFmtId="164" fontId="0" fillId="0" borderId="0" xfId="0" quotePrefix="1" applyNumberFormat="1"/>
    <xf numFmtId="0" fontId="0" fillId="0" borderId="0" xfId="0" applyAlignment="1">
      <alignment horizontal="left" vertical="top" textRotation="113"/>
    </xf>
    <xf numFmtId="164" fontId="0" fillId="31" borderId="0" xfId="0" quotePrefix="1" applyNumberFormat="1" applyFill="1"/>
    <xf numFmtId="0" fontId="0" fillId="31" borderId="0" xfId="0" applyFill="1" applyAlignment="1">
      <alignment horizontal="center"/>
    </xf>
    <xf numFmtId="164" fontId="0" fillId="31" borderId="0" xfId="0" applyNumberFormat="1" applyFill="1" applyAlignment="1">
      <alignment horizontal="left" vertical="top" textRotation="113"/>
    </xf>
    <xf numFmtId="164" fontId="0" fillId="32" borderId="0" xfId="0" quotePrefix="1" applyNumberFormat="1" applyFill="1"/>
    <xf numFmtId="0" fontId="0" fillId="32" borderId="0" xfId="0" applyFill="1"/>
    <xf numFmtId="164" fontId="0" fillId="32" borderId="0" xfId="0" applyNumberFormat="1" applyFill="1" applyAlignment="1">
      <alignment horizontal="left" vertical="top" textRotation="113"/>
    </xf>
    <xf numFmtId="164" fontId="0" fillId="33" borderId="0" xfId="0" quotePrefix="1" applyNumberFormat="1" applyFill="1"/>
    <xf numFmtId="164" fontId="0" fillId="33" borderId="0" xfId="0" applyNumberFormat="1" applyFill="1" applyAlignment="1">
      <alignment horizontal="left" vertical="top" textRotation="113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left" vertical="top" textRotation="113"/>
    </xf>
    <xf numFmtId="164" fontId="0" fillId="34" borderId="0" xfId="0" quotePrefix="1" applyNumberFormat="1" applyFill="1"/>
    <xf numFmtId="0" fontId="0" fillId="35" borderId="0" xfId="0" applyFill="1" applyAlignment="1">
      <alignment horizontal="center"/>
    </xf>
    <xf numFmtId="164" fontId="0" fillId="35" borderId="0" xfId="0" applyNumberFormat="1" applyFill="1" applyAlignment="1">
      <alignment horizontal="left" vertical="top" textRotation="113"/>
    </xf>
    <xf numFmtId="164" fontId="0" fillId="35" borderId="0" xfId="0" quotePrefix="1" applyNumberFormat="1" applyFill="1"/>
    <xf numFmtId="0" fontId="0" fillId="36" borderId="0" xfId="0" applyFill="1" applyAlignment="1">
      <alignment horizontal="center"/>
    </xf>
    <xf numFmtId="164" fontId="0" fillId="36" borderId="0" xfId="0" applyNumberFormat="1" applyFill="1" applyAlignment="1">
      <alignment horizontal="left" vertical="top" textRotation="113"/>
    </xf>
    <xf numFmtId="164" fontId="0" fillId="36" borderId="0" xfId="0" quotePrefix="1" applyNumberFormat="1" applyFill="1"/>
    <xf numFmtId="0" fontId="1" fillId="12" borderId="0" xfId="0" applyFon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0" fontId="0" fillId="13" borderId="0" xfId="0" applyFill="1" applyAlignment="1">
      <alignment horizontal="center"/>
    </xf>
    <xf numFmtId="2" fontId="10" fillId="12" borderId="0" xfId="0" applyNumberFormat="1" applyFont="1" applyFill="1" applyAlignment="1">
      <alignment horizontal="center"/>
    </xf>
    <xf numFmtId="2" fontId="11" fillId="12" borderId="0" xfId="0" applyNumberFormat="1" applyFont="1" applyFill="1" applyAlignment="1">
      <alignment horizontal="center"/>
    </xf>
    <xf numFmtId="0" fontId="0" fillId="6" borderId="2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2" fillId="6" borderId="2" xfId="0" applyFont="1" applyFill="1" applyBorder="1" applyAlignment="1">
      <alignment horizontal="right"/>
    </xf>
    <xf numFmtId="0" fontId="0" fillId="0" borderId="0" xfId="0" applyAlignment="1">
      <alignment horizontal="center" wrapText="1"/>
    </xf>
    <xf numFmtId="172" fontId="0" fillId="34" borderId="2" xfId="0" applyNumberFormat="1" applyFill="1" applyBorder="1"/>
    <xf numFmtId="172" fontId="0" fillId="35" borderId="2" xfId="0" applyNumberFormat="1" applyFill="1" applyBorder="1"/>
    <xf numFmtId="172" fontId="0" fillId="35" borderId="2" xfId="0" applyNumberFormat="1" applyFill="1" applyBorder="1" applyAlignment="1">
      <alignment wrapText="1"/>
    </xf>
    <xf numFmtId="172" fontId="0" fillId="36" borderId="2" xfId="0" applyNumberFormat="1" applyFill="1" applyBorder="1"/>
    <xf numFmtId="172" fontId="0" fillId="32" borderId="2" xfId="0" applyNumberFormat="1" applyFill="1" applyBorder="1"/>
    <xf numFmtId="172" fontId="0" fillId="31" borderId="2" xfId="0" applyNumberFormat="1" applyFill="1" applyBorder="1"/>
    <xf numFmtId="172" fontId="0" fillId="33" borderId="2" xfId="0" applyNumberFormat="1" applyFill="1" applyBorder="1"/>
  </cellXfs>
  <cellStyles count="2">
    <cellStyle name="Comma" xfId="1" builtinId="3"/>
    <cellStyle name="Normal" xfId="0" builtinId="0"/>
  </cellStyles>
  <dxfs count="1">
    <dxf>
      <font>
        <sz val="11"/>
        <color rgb="FFFFFF00"/>
        <name val="Calibri"/>
        <family val="2"/>
        <charset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E994"/>
      <rgbColor rgb="FF0000FF"/>
      <rgbColor rgb="FFFFFF00"/>
      <rgbColor rgb="FFFF00FF"/>
      <rgbColor rgb="FFDEDCE6"/>
      <rgbColor rgb="FF800000"/>
      <rgbColor rgb="FF008000"/>
      <rgbColor rgb="FF000080"/>
      <rgbColor rgb="FFD4EA6B"/>
      <rgbColor rgb="FF800080"/>
      <rgbColor rgb="FF008080"/>
      <rgbColor rgb="FFBFBFBF"/>
      <rgbColor rgb="FF808080"/>
      <rgbColor rgb="FF8FAADC"/>
      <rgbColor rgb="FFFFD7D7"/>
      <rgbColor rgb="FFFFF2CC"/>
      <rgbColor rgb="FFDEEBF7"/>
      <rgbColor rgb="FF660066"/>
      <rgbColor rgb="FFF4B183"/>
      <rgbColor rgb="FF0066CC"/>
      <rgbColor rgb="FFBDD7EE"/>
      <rgbColor rgb="FF000080"/>
      <rgbColor rgb="FFFF00FF"/>
      <rgbColor rgb="FFE6E905"/>
      <rgbColor rgb="FFFFE699"/>
      <rgbColor rgb="FF800080"/>
      <rgbColor rgb="FF800000"/>
      <rgbColor rgb="FF008080"/>
      <rgbColor rgb="FF0000FF"/>
      <rgbColor rgb="FFD9D9D9"/>
      <rgbColor rgb="FFDAE3F3"/>
      <rgbColor rgb="FFE2F0D9"/>
      <rgbColor rgb="FFE8F2A1"/>
      <rgbColor rgb="FFB4C7DC"/>
      <rgbColor rgb="FFEC9BA4"/>
      <rgbColor rgb="FFB7B3CA"/>
      <rgbColor rgb="FFF8CBAD"/>
      <rgbColor rgb="FF2E75B6"/>
      <rgbColor rgb="FFAFD095"/>
      <rgbColor rgb="FFBBE33D"/>
      <rgbColor rgb="FFFFBF00"/>
      <rgbColor rgb="FFFFD428"/>
      <rgbColor rgb="FFFFD966"/>
      <rgbColor rgb="FFE0C2CD"/>
      <rgbColor rgb="FFADB9CA"/>
      <rgbColor rgb="FF003366"/>
      <rgbColor rgb="FFC5E0B4"/>
      <rgbColor rgb="FF003300"/>
      <rgbColor rgb="FF333300"/>
      <rgbColor rgb="FF993300"/>
      <rgbColor rgb="FFFFDE59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1E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30"/>
  <sheetViews>
    <sheetView topLeftCell="C6" zoomScaleNormal="100" workbookViewId="0">
      <selection activeCell="L12" sqref="L12"/>
    </sheetView>
  </sheetViews>
  <sheetFormatPr defaultColWidth="8.7109375" defaultRowHeight="14.25" customHeight="1" x14ac:dyDescent="0.25"/>
  <cols>
    <col min="4" max="4" width="12.5703125" customWidth="1"/>
    <col min="5" max="5" width="12.28515625" customWidth="1"/>
    <col min="7" max="7" width="20.28515625" customWidth="1"/>
    <col min="8" max="8" width="8.5703125" customWidth="1"/>
    <col min="9" max="9" width="9.140625" customWidth="1"/>
    <col min="10" max="10" width="10.5703125" style="4" customWidth="1"/>
    <col min="11" max="11" width="10" customWidth="1"/>
    <col min="12" max="12" width="9.42578125" customWidth="1"/>
    <col min="14" max="14" width="15.28515625" style="4" customWidth="1"/>
    <col min="15" max="15" width="8.7109375" style="4" customWidth="1"/>
    <col min="16" max="16" width="17.28515625" customWidth="1"/>
    <col min="17" max="17" width="22" customWidth="1"/>
    <col min="18" max="18" width="9.140625" customWidth="1"/>
  </cols>
  <sheetData>
    <row r="1" spans="5:17" ht="15" x14ac:dyDescent="0.25">
      <c r="H1" s="166" t="s">
        <v>0</v>
      </c>
      <c r="I1" s="166"/>
    </row>
    <row r="2" spans="5:17" ht="28.5" customHeight="1" x14ac:dyDescent="0.25">
      <c r="F2" s="5"/>
      <c r="G2" s="6"/>
      <c r="H2" s="7"/>
      <c r="I2" s="7" t="s">
        <v>1</v>
      </c>
      <c r="J2" s="7" t="s">
        <v>2</v>
      </c>
      <c r="K2" s="7" t="s">
        <v>3</v>
      </c>
      <c r="L2" s="7" t="s">
        <v>4</v>
      </c>
      <c r="M2" s="7" t="s">
        <v>5</v>
      </c>
      <c r="N2" s="7" t="s">
        <v>6</v>
      </c>
      <c r="O2" s="7"/>
      <c r="P2" s="7" t="s">
        <v>7</v>
      </c>
      <c r="Q2" s="7" t="s">
        <v>8</v>
      </c>
    </row>
    <row r="3" spans="5:17" ht="15" x14ac:dyDescent="0.25">
      <c r="F3" s="8" t="s">
        <v>9</v>
      </c>
      <c r="G3" s="9"/>
      <c r="H3" s="1"/>
      <c r="I3" s="1"/>
      <c r="J3" s="1"/>
      <c r="K3" s="1"/>
      <c r="L3" s="1"/>
      <c r="M3" s="1"/>
      <c r="N3" s="1"/>
      <c r="O3" s="1"/>
      <c r="P3" s="1"/>
    </row>
    <row r="4" spans="5:17" ht="15" x14ac:dyDescent="0.25">
      <c r="G4" s="10" t="s">
        <v>10</v>
      </c>
      <c r="I4">
        <v>1.579</v>
      </c>
      <c r="J4" s="4">
        <v>1</v>
      </c>
      <c r="L4" s="11"/>
      <c r="O4" s="12"/>
      <c r="P4">
        <f>I4*J4</f>
        <v>1.579</v>
      </c>
      <c r="Q4" s="13"/>
    </row>
    <row r="5" spans="5:17" ht="15" x14ac:dyDescent="0.25">
      <c r="G5" s="10" t="s">
        <v>11</v>
      </c>
      <c r="I5">
        <v>1.4830000000000001</v>
      </c>
      <c r="J5" s="4">
        <v>1</v>
      </c>
      <c r="Q5">
        <f>I5*J5</f>
        <v>1.4830000000000001</v>
      </c>
    </row>
    <row r="6" spans="5:17" ht="15" x14ac:dyDescent="0.25">
      <c r="H6" s="166"/>
      <c r="I6" s="166"/>
    </row>
    <row r="7" spans="5:17" ht="28.5" customHeight="1" x14ac:dyDescent="0.25">
      <c r="F7" s="5"/>
      <c r="G7" s="6"/>
      <c r="H7" s="7" t="s">
        <v>12</v>
      </c>
      <c r="I7" s="7" t="s">
        <v>1</v>
      </c>
      <c r="J7" s="7" t="s">
        <v>13</v>
      </c>
      <c r="K7" s="7" t="s">
        <v>3</v>
      </c>
      <c r="L7" s="7" t="s">
        <v>4</v>
      </c>
      <c r="M7" s="7" t="s">
        <v>5</v>
      </c>
      <c r="N7" s="7" t="s">
        <v>6</v>
      </c>
      <c r="O7" s="7"/>
      <c r="P7" s="7" t="s">
        <v>7</v>
      </c>
      <c r="Q7" s="7" t="s">
        <v>8</v>
      </c>
    </row>
    <row r="8" spans="5:17" ht="15" x14ac:dyDescent="0.25">
      <c r="F8" s="8" t="s">
        <v>14</v>
      </c>
      <c r="G8" s="9"/>
      <c r="H8" s="1"/>
      <c r="I8" s="1"/>
      <c r="J8" s="1"/>
      <c r="K8" s="1"/>
      <c r="L8" s="1"/>
      <c r="M8" s="1"/>
      <c r="N8" s="1"/>
      <c r="O8" s="1"/>
      <c r="P8" s="1"/>
    </row>
    <row r="9" spans="5:17" ht="15" x14ac:dyDescent="0.25">
      <c r="G9" s="10" t="s">
        <v>15</v>
      </c>
      <c r="H9">
        <v>5680</v>
      </c>
      <c r="I9">
        <v>2400</v>
      </c>
      <c r="J9" s="4">
        <v>1</v>
      </c>
      <c r="K9">
        <v>180</v>
      </c>
      <c r="L9" s="139">
        <f>J9*I9/K9</f>
        <v>13.333333333333334</v>
      </c>
      <c r="M9">
        <f>3600*24</f>
        <v>86400</v>
      </c>
      <c r="N9" s="4">
        <v>14.5</v>
      </c>
      <c r="O9" s="12"/>
      <c r="P9" s="14">
        <f>L9*M9*N9/1000000</f>
        <v>16.704000000000001</v>
      </c>
      <c r="Q9" s="13">
        <f>P9</f>
        <v>16.704000000000001</v>
      </c>
    </row>
    <row r="10" spans="5:17" ht="15" x14ac:dyDescent="0.25">
      <c r="G10" s="10" t="s">
        <v>16</v>
      </c>
      <c r="H10">
        <v>4928</v>
      </c>
      <c r="I10">
        <v>1920</v>
      </c>
      <c r="J10" s="4">
        <v>0</v>
      </c>
      <c r="K10">
        <v>180</v>
      </c>
      <c r="L10" s="139">
        <f>J10*I10/K10</f>
        <v>0</v>
      </c>
      <c r="M10">
        <f>3600*24</f>
        <v>86400</v>
      </c>
      <c r="N10" s="4">
        <v>14.5</v>
      </c>
      <c r="O10" s="12"/>
      <c r="P10" s="14">
        <f>L10*M10*N10*O10/1000000</f>
        <v>0</v>
      </c>
      <c r="Q10" s="13">
        <f>P10</f>
        <v>0</v>
      </c>
    </row>
    <row r="11" spans="5:17" ht="15" x14ac:dyDescent="0.25">
      <c r="G11" s="10" t="s">
        <v>17</v>
      </c>
      <c r="H11">
        <v>64000</v>
      </c>
      <c r="I11">
        <v>20000</v>
      </c>
      <c r="J11" s="4">
        <v>1</v>
      </c>
      <c r="K11">
        <v>7200</v>
      </c>
      <c r="L11" s="139">
        <f>J11*I11/K11</f>
        <v>2.7777777777777777</v>
      </c>
      <c r="M11">
        <f>3600*24</f>
        <v>86400</v>
      </c>
      <c r="N11" s="4">
        <v>14.5</v>
      </c>
      <c r="O11" s="12"/>
      <c r="P11" s="14">
        <f>L11*M11*N11/1000000</f>
        <v>3.48</v>
      </c>
      <c r="Q11" s="13">
        <f>P11</f>
        <v>3.48</v>
      </c>
    </row>
    <row r="12" spans="5:17" ht="15" x14ac:dyDescent="0.25">
      <c r="E12" s="15"/>
      <c r="G12" s="10" t="s">
        <v>18</v>
      </c>
      <c r="H12">
        <v>512</v>
      </c>
      <c r="I12">
        <f>H12</f>
        <v>512</v>
      </c>
      <c r="J12" s="4">
        <v>1</v>
      </c>
      <c r="K12">
        <v>1800</v>
      </c>
      <c r="L12" s="139">
        <f>J12*I12/K12</f>
        <v>0.28444444444444444</v>
      </c>
      <c r="M12">
        <f>3600*24</f>
        <v>86400</v>
      </c>
      <c r="N12" s="4">
        <v>14.5</v>
      </c>
      <c r="O12" s="12"/>
      <c r="P12" s="16">
        <f>L12*M12*N12/1000000</f>
        <v>0.356352</v>
      </c>
      <c r="Q12" s="16">
        <f>P12</f>
        <v>0.356352</v>
      </c>
    </row>
    <row r="13" spans="5:17" ht="15" x14ac:dyDescent="0.25">
      <c r="E13" s="15"/>
      <c r="F13" s="15"/>
      <c r="G13" s="10"/>
      <c r="H13">
        <f>E12/30</f>
        <v>0</v>
      </c>
      <c r="K13" s="4" t="str">
        <f>IF(AND( (K9/K10)=INT(K9/K10), (K11/K10)=INT(K11/K10) ), " ", "error")</f>
        <v xml:space="preserve"> </v>
      </c>
      <c r="P13" s="17">
        <f>SUM(P9:P12)</f>
        <v>20.540352000000002</v>
      </c>
      <c r="Q13" s="13">
        <f>SUM(Q9:Q12)</f>
        <v>20.540352000000002</v>
      </c>
    </row>
    <row r="14" spans="5:17" ht="15" x14ac:dyDescent="0.25">
      <c r="E14" s="15"/>
      <c r="F14" s="15"/>
      <c r="P14" s="4"/>
    </row>
    <row r="15" spans="5:17" ht="28.5" customHeight="1" x14ac:dyDescent="0.25">
      <c r="F15" s="5"/>
      <c r="G15" s="6"/>
      <c r="H15" s="7" t="s">
        <v>12</v>
      </c>
      <c r="I15" s="7" t="s">
        <v>1</v>
      </c>
      <c r="J15" s="7" t="s">
        <v>13</v>
      </c>
      <c r="K15" s="7" t="s">
        <v>3</v>
      </c>
      <c r="L15" s="7" t="s">
        <v>4</v>
      </c>
      <c r="M15" s="7" t="s">
        <v>5</v>
      </c>
      <c r="N15" s="7" t="s">
        <v>6</v>
      </c>
      <c r="O15" s="7" t="s">
        <v>19</v>
      </c>
      <c r="P15" s="7" t="s">
        <v>7</v>
      </c>
      <c r="Q15" s="7" t="s">
        <v>8</v>
      </c>
    </row>
    <row r="16" spans="5:17" ht="15" x14ac:dyDescent="0.25">
      <c r="F16" s="8" t="s">
        <v>20</v>
      </c>
      <c r="G16" s="18"/>
      <c r="P16" s="4"/>
    </row>
    <row r="17" spans="6:22" ht="15" x14ac:dyDescent="0.25">
      <c r="G17" s="10" t="s">
        <v>21</v>
      </c>
      <c r="H17">
        <f>'Packet size and rates'!AA52</f>
        <v>8480</v>
      </c>
      <c r="I17">
        <v>2900</v>
      </c>
      <c r="J17" s="4">
        <v>1</v>
      </c>
      <c r="K17">
        <f>I25*64</f>
        <v>1280</v>
      </c>
      <c r="L17" s="11">
        <f>J17*I17/K17</f>
        <v>2.265625</v>
      </c>
      <c r="M17">
        <f>3600*24</f>
        <v>86400</v>
      </c>
      <c r="N17" s="4">
        <f>I28*(I26+I27)</f>
        <v>20.399999999999999</v>
      </c>
      <c r="P17" s="13">
        <f>L17*M17*I28*((I26+I27))/1000000</f>
        <v>3.9933000000000001</v>
      </c>
      <c r="Q17" s="13">
        <f>L17*M17*I29*((I26+I27))/1000000</f>
        <v>0.66554999999999997</v>
      </c>
    </row>
    <row r="18" spans="6:22" ht="15" x14ac:dyDescent="0.25">
      <c r="G18" s="10" t="s">
        <v>22</v>
      </c>
      <c r="H18">
        <f>'Packet size and rates'!U52</f>
        <v>992</v>
      </c>
      <c r="I18">
        <v>600</v>
      </c>
      <c r="J18" s="4">
        <v>1</v>
      </c>
      <c r="K18">
        <f>I25*64</f>
        <v>1280</v>
      </c>
      <c r="L18" s="11">
        <f>J18*I18/K18</f>
        <v>0.46875</v>
      </c>
      <c r="M18">
        <f>3600*24</f>
        <v>86400</v>
      </c>
      <c r="N18" s="4">
        <f>I29*(I26+I27)</f>
        <v>3.4</v>
      </c>
      <c r="P18" s="13">
        <f>L18*M18*I28*((I26+I27))/1000000</f>
        <v>0.82620000000000005</v>
      </c>
      <c r="Q18" s="13">
        <f>L18*M18*I28*((I26+I27))/1000000</f>
        <v>0.82620000000000005</v>
      </c>
    </row>
    <row r="19" spans="6:22" ht="15" x14ac:dyDescent="0.25">
      <c r="G19" s="10" t="s">
        <v>23</v>
      </c>
      <c r="H19">
        <f>H10</f>
        <v>4928</v>
      </c>
      <c r="I19">
        <v>1400</v>
      </c>
      <c r="J19" s="4">
        <v>1</v>
      </c>
      <c r="K19">
        <f>I25</f>
        <v>20</v>
      </c>
      <c r="L19" s="11">
        <f>J19*I19/K19</f>
        <v>70</v>
      </c>
      <c r="M19">
        <f>3600*24</f>
        <v>86400</v>
      </c>
      <c r="N19" s="4">
        <f>I29*I27</f>
        <v>2</v>
      </c>
      <c r="P19" s="16">
        <f>L19*M19*I28*I27/1000000</f>
        <v>72.575999999999993</v>
      </c>
      <c r="Q19" s="16">
        <f>L19*M19*I29*I27/1000000</f>
        <v>12.096</v>
      </c>
    </row>
    <row r="20" spans="6:22" ht="15" x14ac:dyDescent="0.25">
      <c r="P20" s="17">
        <f>SUM(P17:P19)</f>
        <v>77.395499999999998</v>
      </c>
      <c r="Q20" s="17">
        <f>SUM(Q17:Q19)</f>
        <v>13.58775</v>
      </c>
    </row>
    <row r="21" spans="6:22" ht="15" x14ac:dyDescent="0.25">
      <c r="P21" s="19"/>
    </row>
    <row r="22" spans="6:22" ht="15" x14ac:dyDescent="0.25">
      <c r="F22" s="8" t="s">
        <v>24</v>
      </c>
      <c r="G22" s="20"/>
      <c r="P22" s="21">
        <f>P4+P13+P20</f>
        <v>99.514852000000005</v>
      </c>
      <c r="Q22" s="21">
        <f>Q5+Q13+Q20</f>
        <v>35.611102000000002</v>
      </c>
      <c r="R22" t="s">
        <v>25</v>
      </c>
    </row>
    <row r="24" spans="6:22" ht="15" x14ac:dyDescent="0.25">
      <c r="F24" s="167" t="s">
        <v>26</v>
      </c>
      <c r="G24" s="167"/>
      <c r="H24" s="167"/>
      <c r="I24" s="167"/>
    </row>
    <row r="25" spans="6:22" ht="18" x14ac:dyDescent="0.35">
      <c r="F25" s="168" t="s">
        <v>27</v>
      </c>
      <c r="G25" s="168"/>
      <c r="H25" s="168"/>
      <c r="I25" s="22">
        <v>20</v>
      </c>
      <c r="O25" s="23"/>
      <c r="P25" s="24" t="s">
        <v>28</v>
      </c>
      <c r="Q25" s="24"/>
      <c r="R25" s="25">
        <f>P22</f>
        <v>99.514852000000005</v>
      </c>
      <c r="S25" s="26" t="s">
        <v>29</v>
      </c>
    </row>
    <row r="26" spans="6:22" ht="15" x14ac:dyDescent="0.25">
      <c r="F26" s="165" t="s">
        <v>30</v>
      </c>
      <c r="G26" s="165"/>
      <c r="H26" s="165"/>
      <c r="I26" s="22">
        <f>0.7*I25/10</f>
        <v>1.4</v>
      </c>
    </row>
    <row r="27" spans="6:22" ht="15" x14ac:dyDescent="0.25">
      <c r="F27" s="165" t="s">
        <v>31</v>
      </c>
      <c r="G27" s="165"/>
      <c r="H27" s="165"/>
      <c r="I27" s="22">
        <v>2</v>
      </c>
    </row>
    <row r="28" spans="6:22" ht="15" x14ac:dyDescent="0.25">
      <c r="F28" s="165" t="s">
        <v>32</v>
      </c>
      <c r="G28" s="165"/>
      <c r="H28" s="165"/>
      <c r="I28" s="27">
        <v>6</v>
      </c>
    </row>
    <row r="29" spans="6:22" ht="15" x14ac:dyDescent="0.25">
      <c r="F29" s="165" t="s">
        <v>33</v>
      </c>
      <c r="G29" s="165"/>
      <c r="H29" s="165"/>
      <c r="I29" s="27">
        <v>1</v>
      </c>
    </row>
    <row r="30" spans="6:22" ht="15" x14ac:dyDescent="0.25">
      <c r="T30" s="28"/>
      <c r="U30" s="28"/>
      <c r="V30" s="28"/>
    </row>
  </sheetData>
  <mergeCells count="8">
    <mergeCell ref="F27:H27"/>
    <mergeCell ref="F28:H28"/>
    <mergeCell ref="F29:H29"/>
    <mergeCell ref="H1:I1"/>
    <mergeCell ref="H6:I6"/>
    <mergeCell ref="F24:I24"/>
    <mergeCell ref="F25:H25"/>
    <mergeCell ref="F26:H26"/>
  </mergeCells>
  <conditionalFormatting sqref="K13">
    <cfRule type="containsText" dxfId="0" priority="2" operator="containsText" text="error">
      <formula>NOT(ISERROR(SEARCH("error",K13)))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H130"/>
  <sheetViews>
    <sheetView tabSelected="1" topLeftCell="F99" zoomScale="89" zoomScaleNormal="89" workbookViewId="0">
      <selection activeCell="Z126" sqref="Z126"/>
    </sheetView>
  </sheetViews>
  <sheetFormatPr defaultColWidth="8.7109375" defaultRowHeight="14.25" customHeight="1" x14ac:dyDescent="0.25"/>
  <cols>
    <col min="6" max="6" width="27" customWidth="1"/>
    <col min="7" max="7" width="11.28515625" customWidth="1"/>
    <col min="8" max="8" width="12.5703125" customWidth="1"/>
    <col min="11" max="11" width="11.85546875" customWidth="1"/>
    <col min="15" max="15" width="7.85546875" customWidth="1"/>
    <col min="18" max="18" width="14" customWidth="1"/>
    <col min="19" max="19" width="10" customWidth="1"/>
    <col min="20" max="20" width="7" customWidth="1"/>
    <col min="21" max="21" width="14.28515625" customWidth="1"/>
    <col min="22" max="22" width="12.5703125" customWidth="1"/>
    <col min="24" max="24" width="9" customWidth="1"/>
    <col min="25" max="25" width="5.85546875" customWidth="1"/>
    <col min="26" max="26" width="9.85546875" customWidth="1"/>
    <col min="27" max="27" width="11.140625" customWidth="1"/>
    <col min="28" max="28" width="13.7109375" customWidth="1"/>
    <col min="29" max="29" width="5.42578125" customWidth="1"/>
    <col min="30" max="30" width="9.28515625" customWidth="1"/>
  </cols>
  <sheetData>
    <row r="3" spans="1:27" ht="15" x14ac:dyDescent="0.25">
      <c r="D3" s="4" t="s">
        <v>34</v>
      </c>
      <c r="I3" s="4" t="s">
        <v>35</v>
      </c>
      <c r="K3" s="29"/>
      <c r="L3" s="30" t="s">
        <v>36</v>
      </c>
      <c r="M3" s="29"/>
      <c r="O3" s="29"/>
      <c r="P3" s="30" t="s">
        <v>37</v>
      </c>
      <c r="Q3" s="29"/>
      <c r="S3" s="29"/>
      <c r="T3" s="30" t="s">
        <v>38</v>
      </c>
      <c r="U3" s="29"/>
      <c r="X3" s="29"/>
      <c r="Y3" s="30" t="s">
        <v>39</v>
      </c>
      <c r="Z3" s="29"/>
    </row>
    <row r="4" spans="1:27" ht="15" x14ac:dyDescent="0.25">
      <c r="D4" s="4"/>
      <c r="I4" s="4"/>
      <c r="L4" s="4"/>
      <c r="P4" s="4"/>
      <c r="T4" s="4"/>
      <c r="Y4" s="4"/>
    </row>
    <row r="5" spans="1:27" ht="15" x14ac:dyDescent="0.25">
      <c r="B5" s="10" t="s">
        <v>40</v>
      </c>
      <c r="D5">
        <v>3</v>
      </c>
      <c r="I5">
        <v>3</v>
      </c>
      <c r="L5">
        <v>3</v>
      </c>
      <c r="P5">
        <v>3</v>
      </c>
      <c r="U5">
        <v>3</v>
      </c>
      <c r="AA5">
        <f t="shared" ref="AA5:AA12" si="0">U5</f>
        <v>3</v>
      </c>
    </row>
    <row r="6" spans="1:27" ht="15" x14ac:dyDescent="0.25">
      <c r="B6" s="10" t="s">
        <v>41</v>
      </c>
      <c r="D6">
        <v>1</v>
      </c>
      <c r="I6">
        <v>1</v>
      </c>
      <c r="L6">
        <v>1</v>
      </c>
      <c r="P6">
        <v>1</v>
      </c>
      <c r="U6">
        <v>1</v>
      </c>
      <c r="AA6">
        <f t="shared" si="0"/>
        <v>1</v>
      </c>
    </row>
    <row r="7" spans="1:27" ht="15" x14ac:dyDescent="0.25">
      <c r="B7" s="10" t="s">
        <v>42</v>
      </c>
      <c r="D7">
        <v>1</v>
      </c>
      <c r="I7">
        <v>1</v>
      </c>
      <c r="L7">
        <v>1</v>
      </c>
      <c r="P7">
        <v>1</v>
      </c>
      <c r="U7">
        <v>1</v>
      </c>
      <c r="AA7">
        <f t="shared" si="0"/>
        <v>1</v>
      </c>
    </row>
    <row r="8" spans="1:27" ht="15" x14ac:dyDescent="0.25">
      <c r="B8" s="10" t="s">
        <v>43</v>
      </c>
      <c r="D8">
        <v>11</v>
      </c>
      <c r="I8">
        <v>11</v>
      </c>
      <c r="L8">
        <v>11</v>
      </c>
      <c r="P8">
        <v>11</v>
      </c>
      <c r="U8">
        <v>11</v>
      </c>
      <c r="AA8">
        <f t="shared" si="0"/>
        <v>11</v>
      </c>
    </row>
    <row r="9" spans="1:27" ht="15" x14ac:dyDescent="0.25">
      <c r="B9" s="10" t="s">
        <v>44</v>
      </c>
      <c r="D9">
        <v>2</v>
      </c>
      <c r="I9">
        <v>2</v>
      </c>
      <c r="L9">
        <v>2</v>
      </c>
      <c r="P9">
        <v>2</v>
      </c>
      <c r="U9">
        <v>2</v>
      </c>
      <c r="AA9">
        <f t="shared" si="0"/>
        <v>2</v>
      </c>
    </row>
    <row r="10" spans="1:27" ht="15" x14ac:dyDescent="0.25">
      <c r="B10" s="10" t="s">
        <v>45</v>
      </c>
      <c r="D10">
        <v>14</v>
      </c>
      <c r="I10">
        <v>14</v>
      </c>
      <c r="L10">
        <v>14</v>
      </c>
      <c r="P10">
        <v>14</v>
      </c>
      <c r="U10">
        <v>14</v>
      </c>
      <c r="AA10">
        <f t="shared" si="0"/>
        <v>14</v>
      </c>
    </row>
    <row r="11" spans="1:27" ht="15" x14ac:dyDescent="0.25">
      <c r="A11" s="31"/>
      <c r="B11" s="32" t="s">
        <v>46</v>
      </c>
      <c r="C11" s="31"/>
      <c r="D11" s="31">
        <v>16</v>
      </c>
      <c r="E11" s="31"/>
      <c r="I11">
        <v>16</v>
      </c>
      <c r="L11">
        <v>16</v>
      </c>
      <c r="P11">
        <v>16</v>
      </c>
      <c r="U11">
        <v>16</v>
      </c>
      <c r="AA11">
        <f t="shared" si="0"/>
        <v>16</v>
      </c>
    </row>
    <row r="12" spans="1:27" ht="15" x14ac:dyDescent="0.25">
      <c r="A12" s="33"/>
      <c r="B12" s="34" t="s">
        <v>47</v>
      </c>
      <c r="C12" s="33"/>
      <c r="D12" s="33">
        <v>32</v>
      </c>
      <c r="E12" s="33"/>
      <c r="I12">
        <v>32</v>
      </c>
      <c r="L12">
        <v>32</v>
      </c>
      <c r="P12">
        <v>32</v>
      </c>
      <c r="U12">
        <v>32</v>
      </c>
      <c r="AA12">
        <f t="shared" si="0"/>
        <v>32</v>
      </c>
    </row>
    <row r="13" spans="1:27" ht="15" x14ac:dyDescent="0.25">
      <c r="B13" s="10"/>
      <c r="U13" s="35"/>
    </row>
    <row r="14" spans="1:27" ht="15" x14ac:dyDescent="0.25">
      <c r="D14">
        <v>1824</v>
      </c>
      <c r="I14">
        <v>1824</v>
      </c>
      <c r="L14">
        <v>32000</v>
      </c>
      <c r="P14">
        <v>32000</v>
      </c>
      <c r="T14" t="s">
        <v>48</v>
      </c>
      <c r="U14">
        <f>SUM(U5:U13)</f>
        <v>80</v>
      </c>
      <c r="AA14">
        <f>U14</f>
        <v>80</v>
      </c>
    </row>
    <row r="15" spans="1:27" ht="15" x14ac:dyDescent="0.25">
      <c r="D15">
        <v>144</v>
      </c>
      <c r="I15">
        <v>144</v>
      </c>
    </row>
    <row r="16" spans="1:27" ht="15" x14ac:dyDescent="0.25">
      <c r="D16">
        <v>896</v>
      </c>
      <c r="I16">
        <v>1792</v>
      </c>
      <c r="S16" t="s">
        <v>49</v>
      </c>
      <c r="Y16" t="s">
        <v>49</v>
      </c>
    </row>
    <row r="17" spans="4:27" ht="15" x14ac:dyDescent="0.25">
      <c r="D17">
        <v>384</v>
      </c>
      <c r="I17">
        <v>512</v>
      </c>
      <c r="T17" s="10" t="s">
        <v>50</v>
      </c>
      <c r="U17">
        <v>16</v>
      </c>
      <c r="Z17" s="10" t="s">
        <v>50</v>
      </c>
      <c r="AA17">
        <v>16</v>
      </c>
    </row>
    <row r="18" spans="4:27" ht="15" x14ac:dyDescent="0.25">
      <c r="I18">
        <v>528</v>
      </c>
      <c r="T18" s="10" t="s">
        <v>51</v>
      </c>
      <c r="U18">
        <v>16</v>
      </c>
      <c r="Z18" s="10" t="s">
        <v>51</v>
      </c>
      <c r="AA18">
        <v>16</v>
      </c>
    </row>
    <row r="19" spans="4:27" ht="15" x14ac:dyDescent="0.25">
      <c r="D19">
        <v>1600</v>
      </c>
      <c r="I19">
        <v>800</v>
      </c>
      <c r="T19" s="10" t="s">
        <v>52</v>
      </c>
      <c r="U19">
        <v>32</v>
      </c>
      <c r="Z19" s="10" t="s">
        <v>52</v>
      </c>
      <c r="AA19">
        <v>32</v>
      </c>
    </row>
    <row r="20" spans="4:27" ht="15" x14ac:dyDescent="0.25">
      <c r="T20" s="10" t="s">
        <v>53</v>
      </c>
      <c r="U20" s="31">
        <v>16</v>
      </c>
      <c r="Z20" s="10" t="s">
        <v>53</v>
      </c>
      <c r="AA20" s="31">
        <v>16</v>
      </c>
    </row>
    <row r="21" spans="4:27" ht="15" x14ac:dyDescent="0.25">
      <c r="D21" s="35"/>
      <c r="I21" s="35"/>
      <c r="L21" s="35"/>
      <c r="P21" s="35"/>
      <c r="T21" s="10" t="s">
        <v>54</v>
      </c>
      <c r="U21">
        <f>SUM(U17:U20)</f>
        <v>80</v>
      </c>
      <c r="Z21" s="10" t="s">
        <v>54</v>
      </c>
      <c r="AA21">
        <f>SUM(AA17:AA20)</f>
        <v>80</v>
      </c>
    </row>
    <row r="22" spans="4:27" ht="15" x14ac:dyDescent="0.25">
      <c r="D22">
        <f>SUM(D5:D19)</f>
        <v>4928</v>
      </c>
      <c r="I22">
        <f>SUM(I5:I20)</f>
        <v>5680</v>
      </c>
      <c r="L22">
        <f>SUM(L5:L20)</f>
        <v>32080</v>
      </c>
      <c r="P22">
        <f>SUM(P5:P20)</f>
        <v>32080</v>
      </c>
    </row>
    <row r="24" spans="4:27" ht="15" x14ac:dyDescent="0.25">
      <c r="S24" s="36"/>
      <c r="T24" s="37" t="s">
        <v>55</v>
      </c>
      <c r="U24" s="36"/>
    </row>
    <row r="25" spans="4:27" ht="15" x14ac:dyDescent="0.25">
      <c r="I25" t="s">
        <v>56</v>
      </c>
      <c r="S25" t="s">
        <v>57</v>
      </c>
    </row>
    <row r="26" spans="4:27" ht="15" x14ac:dyDescent="0.25">
      <c r="T26" t="s">
        <v>58</v>
      </c>
      <c r="U26">
        <v>8</v>
      </c>
      <c r="AA26">
        <f t="shared" ref="AA26:AA44" si="1">U26</f>
        <v>8</v>
      </c>
    </row>
    <row r="27" spans="4:27" ht="15" x14ac:dyDescent="0.25">
      <c r="T27" t="s">
        <v>59</v>
      </c>
      <c r="U27">
        <v>8</v>
      </c>
      <c r="V27" t="s">
        <v>60</v>
      </c>
      <c r="AA27">
        <f t="shared" si="1"/>
        <v>8</v>
      </c>
    </row>
    <row r="28" spans="4:27" ht="15" x14ac:dyDescent="0.25">
      <c r="T28" t="s">
        <v>61</v>
      </c>
      <c r="U28">
        <v>16</v>
      </c>
      <c r="AA28">
        <f t="shared" si="1"/>
        <v>16</v>
      </c>
    </row>
    <row r="29" spans="4:27" ht="15" x14ac:dyDescent="0.25">
      <c r="F29">
        <f>3600*24</f>
        <v>86400</v>
      </c>
      <c r="I29">
        <f>1896/60/30</f>
        <v>1.0533333333333335</v>
      </c>
      <c r="U29">
        <v>11</v>
      </c>
      <c r="V29" t="s">
        <v>60</v>
      </c>
      <c r="AA29">
        <f t="shared" si="1"/>
        <v>11</v>
      </c>
    </row>
    <row r="30" spans="4:27" ht="15" x14ac:dyDescent="0.25">
      <c r="U30">
        <v>11</v>
      </c>
      <c r="V30" s="4" t="s">
        <v>62</v>
      </c>
      <c r="AA30">
        <f t="shared" si="1"/>
        <v>11</v>
      </c>
    </row>
    <row r="31" spans="4:27" ht="15" x14ac:dyDescent="0.25">
      <c r="U31">
        <v>11</v>
      </c>
      <c r="V31" s="4" t="s">
        <v>62</v>
      </c>
      <c r="AA31">
        <f t="shared" si="1"/>
        <v>11</v>
      </c>
    </row>
    <row r="32" spans="4:27" ht="15" x14ac:dyDescent="0.25">
      <c r="U32">
        <v>11</v>
      </c>
      <c r="V32" s="4" t="s">
        <v>62</v>
      </c>
      <c r="AA32">
        <f t="shared" si="1"/>
        <v>11</v>
      </c>
    </row>
    <row r="33" spans="2:29" ht="15" x14ac:dyDescent="0.25">
      <c r="U33">
        <v>11</v>
      </c>
      <c r="V33" s="4" t="s">
        <v>62</v>
      </c>
      <c r="AA33">
        <f t="shared" si="1"/>
        <v>11</v>
      </c>
    </row>
    <row r="34" spans="2:29" ht="15" x14ac:dyDescent="0.25">
      <c r="U34">
        <v>11</v>
      </c>
      <c r="V34" s="4" t="s">
        <v>62</v>
      </c>
      <c r="AA34">
        <f t="shared" si="1"/>
        <v>11</v>
      </c>
    </row>
    <row r="35" spans="2:29" ht="15" x14ac:dyDescent="0.25">
      <c r="U35">
        <v>11</v>
      </c>
      <c r="V35" s="4" t="s">
        <v>62</v>
      </c>
      <c r="AA35">
        <f t="shared" si="1"/>
        <v>11</v>
      </c>
    </row>
    <row r="36" spans="2:29" ht="15" x14ac:dyDescent="0.25">
      <c r="U36">
        <v>11</v>
      </c>
      <c r="V36" s="4" t="s">
        <v>62</v>
      </c>
      <c r="AA36">
        <f t="shared" si="1"/>
        <v>11</v>
      </c>
    </row>
    <row r="37" spans="2:29" ht="15" x14ac:dyDescent="0.25">
      <c r="U37">
        <v>11</v>
      </c>
      <c r="V37" s="4" t="s">
        <v>62</v>
      </c>
      <c r="AA37">
        <f t="shared" si="1"/>
        <v>11</v>
      </c>
    </row>
    <row r="38" spans="2:29" ht="15" x14ac:dyDescent="0.25">
      <c r="U38">
        <v>11</v>
      </c>
      <c r="V38" s="4" t="s">
        <v>62</v>
      </c>
      <c r="AA38">
        <f t="shared" si="1"/>
        <v>11</v>
      </c>
    </row>
    <row r="39" spans="2:29" ht="15" x14ac:dyDescent="0.25">
      <c r="U39">
        <v>11</v>
      </c>
      <c r="V39" s="4" t="s">
        <v>62</v>
      </c>
      <c r="AA39">
        <f t="shared" si="1"/>
        <v>11</v>
      </c>
    </row>
    <row r="40" spans="2:29" ht="15" x14ac:dyDescent="0.25">
      <c r="U40">
        <v>11</v>
      </c>
      <c r="V40" s="4" t="s">
        <v>62</v>
      </c>
      <c r="AA40">
        <f t="shared" si="1"/>
        <v>11</v>
      </c>
    </row>
    <row r="41" spans="2:29" ht="15" x14ac:dyDescent="0.25">
      <c r="U41">
        <v>11</v>
      </c>
      <c r="V41" s="4" t="s">
        <v>62</v>
      </c>
      <c r="AA41">
        <f t="shared" si="1"/>
        <v>11</v>
      </c>
    </row>
    <row r="42" spans="2:29" ht="15" x14ac:dyDescent="0.25">
      <c r="U42">
        <v>11</v>
      </c>
      <c r="V42" s="4" t="s">
        <v>62</v>
      </c>
      <c r="AA42">
        <f t="shared" si="1"/>
        <v>11</v>
      </c>
    </row>
    <row r="43" spans="2:29" ht="15" x14ac:dyDescent="0.25">
      <c r="U43" s="35">
        <v>11</v>
      </c>
      <c r="V43" s="4" t="s">
        <v>62</v>
      </c>
      <c r="AA43">
        <f t="shared" si="1"/>
        <v>11</v>
      </c>
    </row>
    <row r="44" spans="2:29" ht="15" x14ac:dyDescent="0.25">
      <c r="U44">
        <f>SUM(U26:U43)</f>
        <v>197</v>
      </c>
      <c r="AA44">
        <f t="shared" si="1"/>
        <v>197</v>
      </c>
    </row>
    <row r="46" spans="2:29" ht="15" x14ac:dyDescent="0.25">
      <c r="T46" t="s">
        <v>63</v>
      </c>
      <c r="U46">
        <v>11</v>
      </c>
      <c r="V46" t="s">
        <v>60</v>
      </c>
      <c r="AA46">
        <f>U46</f>
        <v>11</v>
      </c>
    </row>
    <row r="47" spans="2:29" ht="15" x14ac:dyDescent="0.25">
      <c r="U47" s="35"/>
      <c r="AA47" s="35"/>
    </row>
    <row r="48" spans="2:29" ht="15" x14ac:dyDescent="0.25">
      <c r="B48" t="s">
        <v>64</v>
      </c>
      <c r="D48">
        <v>20</v>
      </c>
      <c r="I48">
        <f>3600*4</f>
        <v>14400</v>
      </c>
      <c r="L48">
        <f>3600*4</f>
        <v>14400</v>
      </c>
      <c r="P48">
        <f>3600*4</f>
        <v>14400</v>
      </c>
      <c r="R48" s="38" t="s">
        <v>65</v>
      </c>
      <c r="S48" s="20"/>
      <c r="T48" s="20" t="s">
        <v>66</v>
      </c>
      <c r="U48" s="20">
        <f>U44+U46</f>
        <v>208</v>
      </c>
      <c r="V48" s="20" t="s">
        <v>60</v>
      </c>
      <c r="W48" s="20"/>
      <c r="X48" s="20"/>
      <c r="Y48" s="20"/>
      <c r="Z48" s="20"/>
      <c r="AA48" s="20">
        <f>U48</f>
        <v>208</v>
      </c>
      <c r="AB48" s="20"/>
      <c r="AC48" s="20"/>
    </row>
    <row r="49" spans="2:29" ht="15" x14ac:dyDescent="0.25"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2:29" ht="15" x14ac:dyDescent="0.25">
      <c r="B50" t="s">
        <v>67</v>
      </c>
      <c r="D50">
        <f>D22/D48</f>
        <v>246.4</v>
      </c>
      <c r="I50">
        <f>I22/I48</f>
        <v>0.39444444444444443</v>
      </c>
      <c r="L50">
        <f>L22/L48</f>
        <v>2.2277777777777779</v>
      </c>
      <c r="P50">
        <f>P22/P48</f>
        <v>2.2277777777777779</v>
      </c>
      <c r="R50" s="20"/>
      <c r="S50" s="20" t="s">
        <v>68</v>
      </c>
      <c r="T50" s="20"/>
      <c r="U50" s="20">
        <f>4*U48</f>
        <v>832</v>
      </c>
      <c r="V50" s="20" t="s">
        <v>60</v>
      </c>
      <c r="W50" s="20"/>
      <c r="X50" s="20"/>
      <c r="Y50" s="20"/>
      <c r="Z50" s="20"/>
      <c r="AA50" s="20">
        <f>10*U50</f>
        <v>8320</v>
      </c>
      <c r="AB50" s="20"/>
      <c r="AC50" s="20"/>
    </row>
    <row r="51" spans="2:29" ht="15" x14ac:dyDescent="0.25"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2:29" ht="15" x14ac:dyDescent="0.25">
      <c r="B52" t="s">
        <v>69</v>
      </c>
      <c r="D52" s="11">
        <f>D50*3600*24/1000000</f>
        <v>21.288959999999999</v>
      </c>
      <c r="E52" s="39"/>
      <c r="F52" s="39"/>
      <c r="G52" s="39"/>
      <c r="H52" s="39"/>
      <c r="I52" s="40">
        <f>I50*3600*24/1000000</f>
        <v>3.4079999999999999E-2</v>
      </c>
      <c r="J52" s="40"/>
      <c r="K52" s="40"/>
      <c r="L52" s="40">
        <f>L50*3600*24/1000000</f>
        <v>0.19248000000000001</v>
      </c>
      <c r="M52" s="40"/>
      <c r="N52" s="40"/>
      <c r="O52" s="40"/>
      <c r="P52" s="40">
        <f>P50*3600*24/1000000</f>
        <v>0.19248000000000001</v>
      </c>
      <c r="R52" s="20"/>
      <c r="S52" s="20"/>
      <c r="T52" s="20" t="s">
        <v>70</v>
      </c>
      <c r="U52" s="20">
        <f>U50+U21+U14</f>
        <v>992</v>
      </c>
      <c r="V52" s="20"/>
      <c r="W52" s="20"/>
      <c r="X52" s="20"/>
      <c r="Y52" s="20"/>
      <c r="Z52" s="20"/>
      <c r="AA52" s="20">
        <f>AA50+AA21+AA14</f>
        <v>8480</v>
      </c>
      <c r="AB52" s="20"/>
      <c r="AC52" s="20"/>
    </row>
    <row r="53" spans="2:29" ht="15" x14ac:dyDescent="0.25">
      <c r="K53" s="10" t="s">
        <v>71</v>
      </c>
      <c r="L53" s="39">
        <f>I52+L52+P52</f>
        <v>0.41904000000000002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2:29" ht="15" x14ac:dyDescent="0.25">
      <c r="B54" t="s">
        <v>72</v>
      </c>
      <c r="D54">
        <v>2</v>
      </c>
      <c r="R54" s="20"/>
      <c r="S54" s="20"/>
      <c r="T54" s="18" t="s">
        <v>73</v>
      </c>
      <c r="U54" s="20">
        <v>64</v>
      </c>
      <c r="V54" s="20" t="s">
        <v>74</v>
      </c>
      <c r="W54" s="20"/>
      <c r="X54" s="20"/>
      <c r="Y54" s="20"/>
      <c r="Z54" s="20"/>
      <c r="AA54" s="20">
        <f>U54</f>
        <v>64</v>
      </c>
      <c r="AB54" s="20"/>
      <c r="AC54" s="20"/>
    </row>
    <row r="55" spans="2:29" ht="15" x14ac:dyDescent="0.25"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 t="s">
        <v>75</v>
      </c>
    </row>
    <row r="56" spans="2:29" ht="15" x14ac:dyDescent="0.25">
      <c r="B56" t="s">
        <v>76</v>
      </c>
      <c r="D56" s="11">
        <f>D54*D52</f>
        <v>42.577919999999999</v>
      </c>
      <c r="R56" s="20"/>
      <c r="S56" s="20"/>
      <c r="T56" s="18" t="s">
        <v>64</v>
      </c>
      <c r="U56" s="20">
        <f>D48*U54</f>
        <v>1280</v>
      </c>
      <c r="V56" s="20"/>
      <c r="W56" s="20"/>
      <c r="X56" s="20"/>
      <c r="Y56" s="20"/>
      <c r="Z56" s="20"/>
      <c r="AA56" s="20">
        <f>D48*AA54</f>
        <v>1280</v>
      </c>
      <c r="AB56" s="20"/>
      <c r="AC56" s="20"/>
    </row>
    <row r="57" spans="2:29" ht="15" x14ac:dyDescent="0.25">
      <c r="R57" s="20"/>
      <c r="S57" s="20"/>
      <c r="T57" s="18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 ht="15" x14ac:dyDescent="0.25">
      <c r="R58" s="20"/>
      <c r="S58" s="20"/>
      <c r="T58" s="18" t="s">
        <v>67</v>
      </c>
      <c r="U58" s="41">
        <f>U52/U56</f>
        <v>0.77500000000000002</v>
      </c>
      <c r="V58" s="41"/>
      <c r="W58" s="41"/>
      <c r="X58" s="41"/>
      <c r="Y58" s="41"/>
      <c r="Z58" s="41"/>
      <c r="AA58" s="41">
        <f>AA52/AA56</f>
        <v>6.625</v>
      </c>
      <c r="AB58" s="41"/>
      <c r="AC58" s="41">
        <f>U58+AA58</f>
        <v>7.4</v>
      </c>
    </row>
    <row r="59" spans="2:29" ht="15" x14ac:dyDescent="0.25">
      <c r="R59" s="20"/>
      <c r="S59" s="20"/>
      <c r="T59" s="18"/>
      <c r="U59" s="41"/>
      <c r="V59" s="41"/>
      <c r="W59" s="41"/>
      <c r="X59" s="41"/>
      <c r="Y59" s="41"/>
      <c r="Z59" s="41"/>
      <c r="AA59" s="41"/>
      <c r="AB59" s="41"/>
      <c r="AC59" s="41"/>
    </row>
    <row r="60" spans="2:29" ht="15" x14ac:dyDescent="0.25">
      <c r="R60" s="20"/>
      <c r="S60" s="20"/>
      <c r="T60" s="18" t="s">
        <v>69</v>
      </c>
      <c r="U60" s="42">
        <f>U58*3600*24/1000000</f>
        <v>6.6960000000000006E-2</v>
      </c>
      <c r="V60" s="42"/>
      <c r="W60" s="42"/>
      <c r="X60" s="42"/>
      <c r="Y60" s="42"/>
      <c r="Z60" s="42"/>
      <c r="AA60" s="42">
        <f>AA58*3600*24/1000000</f>
        <v>0.57240000000000002</v>
      </c>
      <c r="AB60" s="41"/>
      <c r="AC60" s="41">
        <f>U60+AA60</f>
        <v>0.63936000000000004</v>
      </c>
    </row>
    <row r="61" spans="2:29" ht="15" x14ac:dyDescent="0.25">
      <c r="R61" s="20"/>
      <c r="S61" s="20"/>
      <c r="T61" s="18"/>
      <c r="U61" s="41"/>
      <c r="V61" s="41"/>
      <c r="W61" s="41"/>
      <c r="X61" s="41"/>
      <c r="Y61" s="41"/>
      <c r="Z61" s="41"/>
      <c r="AA61" s="41"/>
      <c r="AB61" s="41"/>
      <c r="AC61" s="41"/>
    </row>
    <row r="62" spans="2:29" ht="15" x14ac:dyDescent="0.25">
      <c r="T62" s="10"/>
    </row>
    <row r="63" spans="2:29" ht="15" x14ac:dyDescent="0.25">
      <c r="AA63">
        <v>8016</v>
      </c>
    </row>
    <row r="65" spans="4:29" ht="15" x14ac:dyDescent="0.25">
      <c r="T65" s="10"/>
    </row>
    <row r="66" spans="4:29" ht="15" x14ac:dyDescent="0.25">
      <c r="R66" s="38" t="s">
        <v>77</v>
      </c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spans="4:29" ht="15" x14ac:dyDescent="0.25">
      <c r="D67" s="11"/>
      <c r="R67" s="43"/>
      <c r="S67" s="43"/>
      <c r="T67" s="43" t="s">
        <v>70</v>
      </c>
      <c r="U67" s="43">
        <f>'Volume estimator'!I18</f>
        <v>600</v>
      </c>
      <c r="V67" s="43"/>
      <c r="W67" s="43"/>
      <c r="X67" s="43"/>
      <c r="Y67" s="43"/>
      <c r="Z67" s="43"/>
      <c r="AA67" s="43">
        <f>'Volume estimator'!I17</f>
        <v>2900</v>
      </c>
      <c r="AB67" s="43"/>
      <c r="AC67" s="43"/>
    </row>
    <row r="68" spans="4:29" ht="15" x14ac:dyDescent="0.25">
      <c r="D68" s="11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spans="4:29" ht="15" x14ac:dyDescent="0.25">
      <c r="D69" s="11"/>
      <c r="R69" s="43"/>
      <c r="S69" s="43"/>
      <c r="T69" s="44" t="s">
        <v>73</v>
      </c>
      <c r="U69" s="43">
        <v>64</v>
      </c>
      <c r="V69" s="43" t="s">
        <v>74</v>
      </c>
      <c r="W69" s="43"/>
      <c r="X69" s="43"/>
      <c r="Y69" s="43"/>
      <c r="Z69" s="43"/>
      <c r="AA69" s="43">
        <f>U69</f>
        <v>64</v>
      </c>
      <c r="AB69" s="43"/>
      <c r="AC69" s="43"/>
    </row>
    <row r="70" spans="4:29" ht="15" x14ac:dyDescent="0.25"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 t="s">
        <v>75</v>
      </c>
    </row>
    <row r="71" spans="4:29" ht="17.25" customHeight="1" x14ac:dyDescent="0.25">
      <c r="R71" s="43"/>
      <c r="S71" s="43"/>
      <c r="T71" s="44" t="s">
        <v>64</v>
      </c>
      <c r="U71" s="43">
        <f>U56</f>
        <v>1280</v>
      </c>
      <c r="V71" s="43"/>
      <c r="W71" s="43"/>
      <c r="X71" s="43"/>
      <c r="Y71" s="43"/>
      <c r="Z71" s="43"/>
      <c r="AA71" s="43">
        <f>AA56</f>
        <v>1280</v>
      </c>
      <c r="AB71" s="43"/>
      <c r="AC71" s="43"/>
    </row>
    <row r="72" spans="4:29" ht="15" x14ac:dyDescent="0.25">
      <c r="R72" s="43"/>
      <c r="S72" s="43"/>
      <c r="T72" s="44"/>
      <c r="U72" s="43"/>
      <c r="V72" s="43"/>
      <c r="W72" s="43"/>
      <c r="X72" s="43"/>
      <c r="Y72" s="43"/>
      <c r="Z72" s="43"/>
      <c r="AA72" s="43"/>
      <c r="AB72" s="43"/>
      <c r="AC72" s="43"/>
    </row>
    <row r="73" spans="4:29" ht="15" x14ac:dyDescent="0.25">
      <c r="D73" s="15"/>
      <c r="R73" s="43"/>
      <c r="S73" s="43"/>
      <c r="T73" s="44" t="s">
        <v>67</v>
      </c>
      <c r="U73" s="45">
        <f>U67/U71</f>
        <v>0.46875</v>
      </c>
      <c r="V73" s="45"/>
      <c r="W73" s="45"/>
      <c r="X73" s="45"/>
      <c r="Y73" s="45"/>
      <c r="Z73" s="45"/>
      <c r="AA73" s="45">
        <f>AA67/AA71</f>
        <v>2.265625</v>
      </c>
      <c r="AB73" s="45"/>
      <c r="AC73" s="45">
        <f>U73+AA73</f>
        <v>2.734375</v>
      </c>
    </row>
    <row r="74" spans="4:29" ht="15" x14ac:dyDescent="0.25">
      <c r="R74" s="43"/>
      <c r="S74" s="43"/>
      <c r="T74" s="44"/>
      <c r="U74" s="43"/>
      <c r="V74" s="43"/>
      <c r="W74" s="43"/>
      <c r="X74" s="43"/>
      <c r="Y74" s="43"/>
      <c r="Z74" s="43"/>
      <c r="AA74" s="43"/>
      <c r="AB74" s="43"/>
      <c r="AC74" s="43"/>
    </row>
    <row r="75" spans="4:29" ht="15" x14ac:dyDescent="0.25">
      <c r="R75" s="43"/>
      <c r="S75" s="43"/>
      <c r="T75" s="44" t="s">
        <v>69</v>
      </c>
      <c r="U75" s="46">
        <f>U73*3600*24/1000000</f>
        <v>4.0500000000000001E-2</v>
      </c>
      <c r="V75" s="46"/>
      <c r="W75" s="46"/>
      <c r="X75" s="46"/>
      <c r="Y75" s="46"/>
      <c r="Z75" s="46"/>
      <c r="AA75" s="46">
        <f>AA73*3600*24/1000000</f>
        <v>0.19575000000000001</v>
      </c>
      <c r="AB75" s="46"/>
      <c r="AC75" s="46">
        <f>U75+AA75</f>
        <v>0.23625000000000002</v>
      </c>
    </row>
    <row r="76" spans="4:29" ht="15" x14ac:dyDescent="0.25">
      <c r="R76" s="43"/>
      <c r="S76" s="43"/>
      <c r="T76" s="44"/>
      <c r="U76" s="47"/>
      <c r="V76" s="43"/>
      <c r="W76" s="43"/>
      <c r="X76" s="43"/>
      <c r="Y76" s="43"/>
      <c r="Z76" s="43"/>
      <c r="AA76" s="43"/>
      <c r="AB76" s="43"/>
      <c r="AC76" s="43"/>
    </row>
    <row r="77" spans="4:29" ht="15" x14ac:dyDescent="0.25">
      <c r="T77" t="s">
        <v>78</v>
      </c>
    </row>
    <row r="79" spans="4:29" ht="15" x14ac:dyDescent="0.25">
      <c r="S79" s="28"/>
      <c r="T79" s="48"/>
      <c r="U79" s="28"/>
      <c r="V79" s="28"/>
      <c r="W79" s="28"/>
      <c r="X79" s="28"/>
      <c r="Y79" s="28"/>
    </row>
    <row r="84" spans="6:17" ht="15" x14ac:dyDescent="0.25">
      <c r="I84" s="38" t="s">
        <v>79</v>
      </c>
      <c r="J84" s="38"/>
      <c r="K84" s="38"/>
      <c r="L84" s="38"/>
      <c r="M84" s="38"/>
      <c r="N84" s="38"/>
      <c r="O84" s="38"/>
      <c r="P84" s="38"/>
      <c r="Q84" s="38"/>
    </row>
    <row r="85" spans="6:17" ht="15" x14ac:dyDescent="0.25">
      <c r="I85" s="3" t="s">
        <v>80</v>
      </c>
      <c r="J85" s="160" t="s">
        <v>81</v>
      </c>
      <c r="K85" s="160"/>
      <c r="L85" s="49"/>
      <c r="M85" s="160" t="s">
        <v>82</v>
      </c>
      <c r="N85" s="160"/>
      <c r="O85" s="49"/>
      <c r="P85" s="160" t="s">
        <v>83</v>
      </c>
      <c r="Q85" s="160"/>
    </row>
    <row r="86" spans="6:17" ht="15" x14ac:dyDescent="0.25">
      <c r="F86" s="50"/>
      <c r="G86" s="50"/>
      <c r="H86" s="50"/>
      <c r="I86" s="49"/>
      <c r="J86" s="49" t="s">
        <v>84</v>
      </c>
      <c r="K86" s="49" t="s">
        <v>85</v>
      </c>
      <c r="L86" s="49"/>
      <c r="M86" s="49" t="s">
        <v>84</v>
      </c>
      <c r="N86" s="49" t="s">
        <v>85</v>
      </c>
      <c r="O86" s="49"/>
      <c r="P86" s="49" t="s">
        <v>84</v>
      </c>
      <c r="Q86" s="49" t="s">
        <v>85</v>
      </c>
    </row>
    <row r="87" spans="6:17" ht="15" x14ac:dyDescent="0.25">
      <c r="I87" s="51">
        <v>20</v>
      </c>
      <c r="J87" s="52">
        <f>U58</f>
        <v>0.77500000000000002</v>
      </c>
      <c r="K87" s="52">
        <f>U60</f>
        <v>6.6960000000000006E-2</v>
      </c>
      <c r="L87" s="52"/>
      <c r="M87" s="52">
        <f>AA58</f>
        <v>6.625</v>
      </c>
      <c r="N87" s="52">
        <f>AA60</f>
        <v>0.57240000000000002</v>
      </c>
      <c r="O87" s="52"/>
      <c r="P87" s="52">
        <f>J87+M87</f>
        <v>7.4</v>
      </c>
      <c r="Q87" s="52">
        <f>K87+N87</f>
        <v>0.63936000000000004</v>
      </c>
    </row>
    <row r="88" spans="6:17" ht="15" x14ac:dyDescent="0.25">
      <c r="I88" s="51">
        <v>10</v>
      </c>
      <c r="J88" s="52">
        <f t="shared" ref="J88:K90" si="2">J$87*($I$87/$I88)</f>
        <v>1.55</v>
      </c>
      <c r="K88" s="52">
        <f t="shared" si="2"/>
        <v>0.13392000000000001</v>
      </c>
      <c r="L88" s="52"/>
      <c r="M88" s="52">
        <f t="shared" ref="M88:N90" si="3">M$87*($I$87/$I88)</f>
        <v>13.25</v>
      </c>
      <c r="N88" s="52">
        <f t="shared" si="3"/>
        <v>1.1448</v>
      </c>
      <c r="O88" s="52"/>
      <c r="P88" s="52">
        <f t="shared" ref="P88:Q90" si="4">P$87*($I$87/$I88)</f>
        <v>14.8</v>
      </c>
      <c r="Q88" s="52">
        <f t="shared" si="4"/>
        <v>1.2787200000000001</v>
      </c>
    </row>
    <row r="89" spans="6:17" ht="15" x14ac:dyDescent="0.25">
      <c r="I89" s="51">
        <v>3</v>
      </c>
      <c r="J89" s="52">
        <f t="shared" si="2"/>
        <v>5.166666666666667</v>
      </c>
      <c r="K89" s="52">
        <f t="shared" si="2"/>
        <v>0.44640000000000007</v>
      </c>
      <c r="L89" s="52"/>
      <c r="M89" s="52">
        <f t="shared" si="3"/>
        <v>44.166666666666671</v>
      </c>
      <c r="N89" s="52">
        <f t="shared" si="3"/>
        <v>3.8160000000000003</v>
      </c>
      <c r="O89" s="52"/>
      <c r="P89" s="52">
        <f t="shared" si="4"/>
        <v>49.333333333333336</v>
      </c>
      <c r="Q89" s="52">
        <f t="shared" si="4"/>
        <v>4.2624000000000004</v>
      </c>
    </row>
    <row r="90" spans="6:17" ht="15" x14ac:dyDescent="0.25">
      <c r="I90" s="51">
        <v>2</v>
      </c>
      <c r="J90" s="52">
        <f t="shared" si="2"/>
        <v>7.75</v>
      </c>
      <c r="K90" s="52">
        <f t="shared" si="2"/>
        <v>0.66960000000000008</v>
      </c>
      <c r="L90" s="52"/>
      <c r="M90" s="52">
        <f t="shared" si="3"/>
        <v>66.25</v>
      </c>
      <c r="N90" s="52">
        <f t="shared" si="3"/>
        <v>5.7240000000000002</v>
      </c>
      <c r="O90" s="52"/>
      <c r="P90" s="52">
        <f t="shared" si="4"/>
        <v>74</v>
      </c>
      <c r="Q90" s="52">
        <f t="shared" si="4"/>
        <v>6.3936000000000002</v>
      </c>
    </row>
    <row r="91" spans="6:17" ht="15" x14ac:dyDescent="0.25">
      <c r="J91" s="15"/>
      <c r="K91" s="15"/>
      <c r="L91" s="15"/>
      <c r="M91" s="15"/>
      <c r="N91" s="15"/>
      <c r="O91" s="15"/>
      <c r="P91" s="15"/>
      <c r="Q91" s="15"/>
    </row>
    <row r="92" spans="6:17" ht="15" x14ac:dyDescent="0.25">
      <c r="I92" s="38" t="s">
        <v>86</v>
      </c>
      <c r="J92" s="53"/>
      <c r="K92" s="53"/>
      <c r="L92" s="53"/>
      <c r="M92" s="53"/>
      <c r="N92" s="53"/>
      <c r="O92" s="53"/>
      <c r="P92" s="53"/>
      <c r="Q92" s="53"/>
    </row>
    <row r="93" spans="6:17" ht="15" x14ac:dyDescent="0.25">
      <c r="I93" s="3" t="s">
        <v>80</v>
      </c>
      <c r="J93" s="161" t="s">
        <v>81</v>
      </c>
      <c r="K93" s="161"/>
      <c r="L93" s="54"/>
      <c r="M93" s="161" t="s">
        <v>82</v>
      </c>
      <c r="N93" s="161"/>
      <c r="O93" s="54"/>
      <c r="P93" s="161" t="s">
        <v>83</v>
      </c>
      <c r="Q93" s="161"/>
    </row>
    <row r="94" spans="6:17" ht="15" x14ac:dyDescent="0.25">
      <c r="I94" s="49"/>
      <c r="J94" s="54" t="s">
        <v>84</v>
      </c>
      <c r="K94" s="54" t="s">
        <v>85</v>
      </c>
      <c r="L94" s="54"/>
      <c r="M94" s="54" t="s">
        <v>84</v>
      </c>
      <c r="N94" s="54" t="s">
        <v>85</v>
      </c>
      <c r="O94" s="54"/>
      <c r="P94" s="54" t="s">
        <v>84</v>
      </c>
      <c r="Q94" s="54" t="s">
        <v>85</v>
      </c>
    </row>
    <row r="95" spans="6:17" ht="15" x14ac:dyDescent="0.25">
      <c r="I95" s="51">
        <v>20</v>
      </c>
      <c r="J95" s="52">
        <f>U73</f>
        <v>0.46875</v>
      </c>
      <c r="K95" s="52">
        <f>U75</f>
        <v>4.0500000000000001E-2</v>
      </c>
      <c r="L95" s="52"/>
      <c r="M95" s="52">
        <f>AA73</f>
        <v>2.265625</v>
      </c>
      <c r="N95" s="52">
        <f>AA75</f>
        <v>0.19575000000000001</v>
      </c>
      <c r="O95" s="52"/>
      <c r="P95" s="52">
        <f>J95+M95</f>
        <v>2.734375</v>
      </c>
      <c r="Q95" s="52">
        <f>K95+N95</f>
        <v>0.23625000000000002</v>
      </c>
    </row>
    <row r="96" spans="6:17" ht="15" x14ac:dyDescent="0.25">
      <c r="I96" s="51">
        <v>10</v>
      </c>
      <c r="J96" s="52">
        <f t="shared" ref="J96:K98" si="5">J$95*($I$95/$I96)</f>
        <v>0.9375</v>
      </c>
      <c r="K96" s="52">
        <f t="shared" si="5"/>
        <v>8.1000000000000003E-2</v>
      </c>
      <c r="L96" s="52"/>
      <c r="M96" s="52">
        <f t="shared" ref="M96:N98" si="6">M$95*($I$95/$I96)</f>
        <v>4.53125</v>
      </c>
      <c r="N96" s="52">
        <f t="shared" si="6"/>
        <v>0.39150000000000001</v>
      </c>
      <c r="O96" s="52"/>
      <c r="P96" s="52">
        <f t="shared" ref="P96:Q98" si="7">P$95*($I$95/$I96)</f>
        <v>5.46875</v>
      </c>
      <c r="Q96" s="52">
        <f t="shared" si="7"/>
        <v>0.47250000000000003</v>
      </c>
    </row>
    <row r="97" spans="1:34" ht="15" x14ac:dyDescent="0.25">
      <c r="I97" s="51">
        <v>3</v>
      </c>
      <c r="J97" s="52">
        <f t="shared" si="5"/>
        <v>3.125</v>
      </c>
      <c r="K97" s="52">
        <f t="shared" si="5"/>
        <v>0.27</v>
      </c>
      <c r="L97" s="52"/>
      <c r="M97" s="52">
        <f t="shared" si="6"/>
        <v>15.104166666666668</v>
      </c>
      <c r="N97" s="52">
        <f t="shared" si="6"/>
        <v>1.3050000000000002</v>
      </c>
      <c r="O97" s="52"/>
      <c r="P97" s="52">
        <f t="shared" si="7"/>
        <v>18.229166666666668</v>
      </c>
      <c r="Q97" s="52">
        <f t="shared" si="7"/>
        <v>1.5750000000000002</v>
      </c>
    </row>
    <row r="98" spans="1:34" s="55" customFormat="1" ht="15" x14ac:dyDescent="0.25">
      <c r="A98"/>
      <c r="B98"/>
      <c r="C98"/>
      <c r="D98"/>
      <c r="E98"/>
      <c r="F98"/>
      <c r="G98"/>
      <c r="H98"/>
      <c r="I98" s="51">
        <v>2</v>
      </c>
      <c r="J98" s="52">
        <f t="shared" si="5"/>
        <v>4.6875</v>
      </c>
      <c r="K98" s="52">
        <f t="shared" si="5"/>
        <v>0.40500000000000003</v>
      </c>
      <c r="L98" s="52"/>
      <c r="M98" s="52">
        <f t="shared" si="6"/>
        <v>22.65625</v>
      </c>
      <c r="N98" s="52">
        <f t="shared" si="6"/>
        <v>1.9575</v>
      </c>
      <c r="O98" s="52"/>
      <c r="P98" s="52">
        <f t="shared" si="7"/>
        <v>27.34375</v>
      </c>
      <c r="Q98" s="52">
        <f t="shared" si="7"/>
        <v>2.3625000000000003</v>
      </c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5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</row>
    <row r="100" spans="1:34" ht="15" x14ac:dyDescent="0.25">
      <c r="G100" s="56"/>
      <c r="H100" s="56"/>
      <c r="I100" s="38" t="s">
        <v>87</v>
      </c>
      <c r="J100" s="57"/>
      <c r="K100" s="57"/>
      <c r="L100" s="57"/>
      <c r="M100" s="57"/>
      <c r="N100" s="57"/>
      <c r="O100" s="57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4" ht="15" x14ac:dyDescent="0.25">
      <c r="G101" s="3" t="s">
        <v>88</v>
      </c>
      <c r="H101" s="3" t="s">
        <v>89</v>
      </c>
      <c r="I101" s="3" t="s">
        <v>90</v>
      </c>
      <c r="J101" s="161" t="s">
        <v>81</v>
      </c>
      <c r="K101" s="161"/>
      <c r="L101" s="54"/>
      <c r="M101" s="161" t="s">
        <v>82</v>
      </c>
      <c r="N101" s="161"/>
      <c r="O101" s="54"/>
      <c r="P101" s="163" t="s">
        <v>91</v>
      </c>
      <c r="Q101" s="163"/>
      <c r="R101" s="161" t="s">
        <v>92</v>
      </c>
      <c r="S101" s="161"/>
      <c r="T101" s="54"/>
      <c r="U101" s="161" t="s">
        <v>15</v>
      </c>
      <c r="V101" s="161"/>
      <c r="W101" s="54"/>
      <c r="X101" s="161" t="s">
        <v>93</v>
      </c>
      <c r="Y101" s="161"/>
      <c r="Z101" s="164" t="s">
        <v>94</v>
      </c>
      <c r="AA101" s="164"/>
      <c r="AB101" s="164"/>
      <c r="AC101" s="54"/>
      <c r="AD101" s="161" t="s">
        <v>95</v>
      </c>
      <c r="AE101" s="161"/>
      <c r="AF101" s="54"/>
      <c r="AG101" s="2" t="s">
        <v>96</v>
      </c>
      <c r="AH101" s="2"/>
    </row>
    <row r="102" spans="1:34" ht="15" x14ac:dyDescent="0.25">
      <c r="G102" s="3" t="s">
        <v>97</v>
      </c>
      <c r="H102" s="3" t="s">
        <v>98</v>
      </c>
      <c r="I102" s="3" t="s">
        <v>99</v>
      </c>
      <c r="J102" s="54" t="s">
        <v>84</v>
      </c>
      <c r="K102" s="54" t="s">
        <v>85</v>
      </c>
      <c r="L102" s="54"/>
      <c r="M102" s="54" t="s">
        <v>84</v>
      </c>
      <c r="N102" s="54" t="s">
        <v>85</v>
      </c>
      <c r="O102" s="54"/>
      <c r="P102" s="161" t="s">
        <v>84</v>
      </c>
      <c r="Q102" s="161"/>
      <c r="R102" s="54" t="s">
        <v>84</v>
      </c>
      <c r="S102" s="54" t="s">
        <v>85</v>
      </c>
      <c r="T102" s="54"/>
      <c r="U102" s="54" t="s">
        <v>84</v>
      </c>
      <c r="V102" s="54" t="s">
        <v>85</v>
      </c>
      <c r="W102" s="54"/>
      <c r="X102" s="54" t="s">
        <v>84</v>
      </c>
      <c r="Y102" s="54" t="s">
        <v>85</v>
      </c>
      <c r="Z102" s="54"/>
      <c r="AA102" s="2" t="s">
        <v>84</v>
      </c>
      <c r="AB102" s="54" t="s">
        <v>85</v>
      </c>
      <c r="AC102" s="54"/>
      <c r="AD102" s="54" t="s">
        <v>84</v>
      </c>
      <c r="AE102" s="54" t="s">
        <v>85</v>
      </c>
      <c r="AF102" s="54"/>
      <c r="AG102" s="2" t="s">
        <v>84</v>
      </c>
      <c r="AH102" s="54" t="s">
        <v>85</v>
      </c>
    </row>
    <row r="103" spans="1:34" ht="15" x14ac:dyDescent="0.25">
      <c r="F103" s="58" t="s">
        <v>100</v>
      </c>
      <c r="G103" s="51">
        <v>105</v>
      </c>
      <c r="H103" s="51">
        <f>5*60</f>
        <v>300</v>
      </c>
      <c r="I103" s="51">
        <v>3</v>
      </c>
      <c r="J103" s="171">
        <f>N$125/(64*$I103)</f>
        <v>2.7395833333333335</v>
      </c>
      <c r="K103" s="59">
        <f t="shared" ref="K103:K108" si="8">J103*3600*24/1000000</f>
        <v>0.23669999999999999</v>
      </c>
      <c r="L103" s="60"/>
      <c r="M103" s="170">
        <f t="shared" ref="M103:M108" si="9">K$125/(64*$I103)</f>
        <v>10.869791666666666</v>
      </c>
      <c r="N103" s="59">
        <f>M103*3600*24/1000000</f>
        <v>0.93915000000000004</v>
      </c>
      <c r="O103" s="60"/>
      <c r="P103" s="59">
        <f t="shared" ref="P103:P108" si="10">J103+M103</f>
        <v>13.609375</v>
      </c>
      <c r="Q103" s="60"/>
      <c r="R103" s="173">
        <f>'Volume estimator'!$L$12</f>
        <v>0.28444444444444444</v>
      </c>
      <c r="S103" s="52">
        <f>R103*3600*24/1000000</f>
        <v>2.4576000000000001E-2</v>
      </c>
      <c r="T103" s="60"/>
      <c r="U103" s="174">
        <f>P$125/($V$117)</f>
        <v>11.044444444444444</v>
      </c>
      <c r="V103" s="59">
        <f>U103*(24*3600)/1000000</f>
        <v>0.95423999999999998</v>
      </c>
      <c r="W103" s="60"/>
      <c r="X103" s="175">
        <f>R$125/($Y$117)</f>
        <v>2.5244444444444443</v>
      </c>
      <c r="Y103" s="59">
        <f>X103*(24*3600)/1000000</f>
        <v>0.21811199999999997</v>
      </c>
      <c r="Z103" s="60"/>
      <c r="AA103" s="137">
        <f>J103+M103+R103+U103+X103</f>
        <v>27.462708333333335</v>
      </c>
      <c r="AB103" s="138">
        <f t="shared" ref="AA103:AB108" si="11">K103+N103+S103+V103+Y103</f>
        <v>2.3727779999999998</v>
      </c>
      <c r="AC103" s="60"/>
      <c r="AD103" s="176">
        <f>I$125/($I103)*(H103*2)/(24*3600)</f>
        <v>2.9305555555555554</v>
      </c>
      <c r="AE103" s="59">
        <f t="shared" ref="AE103:AE108" si="12">AD103*24*3600/1000000</f>
        <v>0.25319999999999998</v>
      </c>
      <c r="AF103" s="60"/>
      <c r="AG103" s="60">
        <f>AA103+AD103</f>
        <v>30.393263888888889</v>
      </c>
      <c r="AH103" s="59">
        <f t="shared" ref="AG103:AH108" si="13">AB103+AE103</f>
        <v>2.6259779999999999</v>
      </c>
    </row>
    <row r="104" spans="1:34" ht="15" x14ac:dyDescent="0.25">
      <c r="F104" s="58" t="s">
        <v>101</v>
      </c>
      <c r="G104" s="51">
        <v>106</v>
      </c>
      <c r="H104" s="51">
        <f>10*60</f>
        <v>600</v>
      </c>
      <c r="I104" s="51">
        <v>3</v>
      </c>
      <c r="J104" s="171">
        <f t="shared" ref="J104:J108" si="14">N$125/(64*$I104)</f>
        <v>2.7395833333333335</v>
      </c>
      <c r="K104" s="59">
        <f t="shared" si="8"/>
        <v>0.23669999999999999</v>
      </c>
      <c r="L104" s="60"/>
      <c r="M104" s="170">
        <f t="shared" si="9"/>
        <v>10.869791666666666</v>
      </c>
      <c r="N104" s="59">
        <f>M104*3600*24/1000000</f>
        <v>0.93915000000000004</v>
      </c>
      <c r="O104" s="60"/>
      <c r="P104" s="59">
        <f t="shared" si="10"/>
        <v>13.609375</v>
      </c>
      <c r="Q104" s="60"/>
      <c r="R104" s="173">
        <f>'Volume estimator'!$L$12</f>
        <v>0.28444444444444444</v>
      </c>
      <c r="S104" s="52">
        <f>R104*3600*24/1000000</f>
        <v>2.4576000000000001E-2</v>
      </c>
      <c r="T104" s="60"/>
      <c r="U104" s="174">
        <f>P$125/($V$117)</f>
        <v>11.044444444444444</v>
      </c>
      <c r="V104" s="59">
        <f>U104*(24*3600)/1000000</f>
        <v>0.95423999999999998</v>
      </c>
      <c r="W104" s="60"/>
      <c r="X104" s="175">
        <f>R$125/($Y$117)</f>
        <v>2.5244444444444443</v>
      </c>
      <c r="Y104" s="59">
        <f>X104*(24*3600)/1000000</f>
        <v>0.21811199999999997</v>
      </c>
      <c r="Z104" s="60"/>
      <c r="AA104" s="137">
        <f t="shared" si="11"/>
        <v>27.462708333333335</v>
      </c>
      <c r="AB104" s="138">
        <f t="shared" si="11"/>
        <v>2.3727779999999998</v>
      </c>
      <c r="AC104" s="60"/>
      <c r="AD104" s="176">
        <f>I$125/($I104)*(H104*2)/(24*3600)</f>
        <v>5.8611111111111107</v>
      </c>
      <c r="AE104" s="59">
        <f t="shared" si="12"/>
        <v>0.50639999999999996</v>
      </c>
      <c r="AF104" s="60"/>
      <c r="AG104" s="60">
        <f t="shared" si="13"/>
        <v>33.323819444444446</v>
      </c>
      <c r="AH104" s="59">
        <f t="shared" si="13"/>
        <v>2.8791779999999996</v>
      </c>
    </row>
    <row r="105" spans="1:34" ht="15" x14ac:dyDescent="0.25">
      <c r="F105" s="58" t="s">
        <v>102</v>
      </c>
      <c r="G105" s="51">
        <v>107</v>
      </c>
      <c r="H105" s="51">
        <f>14*60</f>
        <v>840</v>
      </c>
      <c r="I105" s="51">
        <v>3</v>
      </c>
      <c r="J105" s="171">
        <f t="shared" si="14"/>
        <v>2.7395833333333335</v>
      </c>
      <c r="K105" s="59">
        <f t="shared" si="8"/>
        <v>0.23669999999999999</v>
      </c>
      <c r="L105" s="60"/>
      <c r="M105" s="170">
        <f t="shared" si="9"/>
        <v>10.869791666666666</v>
      </c>
      <c r="N105" s="59">
        <f>M105*3600*24/1000000</f>
        <v>0.93915000000000004</v>
      </c>
      <c r="O105" s="60"/>
      <c r="P105" s="59">
        <f t="shared" si="10"/>
        <v>13.609375</v>
      </c>
      <c r="Q105" s="60"/>
      <c r="R105" s="173">
        <f>'Volume estimator'!$L$12</f>
        <v>0.28444444444444444</v>
      </c>
      <c r="S105" s="52">
        <f>R105*3600*24/1000000</f>
        <v>2.4576000000000001E-2</v>
      </c>
      <c r="T105" s="60"/>
      <c r="U105" s="174">
        <f>P$125/($V$117)</f>
        <v>11.044444444444444</v>
      </c>
      <c r="V105" s="59">
        <f>U105*(24*3600)/1000000</f>
        <v>0.95423999999999998</v>
      </c>
      <c r="W105" s="60"/>
      <c r="X105" s="175">
        <f>R$125/($Y$117)</f>
        <v>2.5244444444444443</v>
      </c>
      <c r="Y105" s="59">
        <f>X105*(24*3600)/1000000</f>
        <v>0.21811199999999997</v>
      </c>
      <c r="Z105" s="60"/>
      <c r="AA105" s="137">
        <f t="shared" si="11"/>
        <v>27.462708333333335</v>
      </c>
      <c r="AB105" s="138">
        <f t="shared" si="11"/>
        <v>2.3727779999999998</v>
      </c>
      <c r="AC105" s="60"/>
      <c r="AD105" s="176">
        <f>I$125/($I105)*(H105*2)/(24*3600)</f>
        <v>8.2055555555555557</v>
      </c>
      <c r="AE105" s="59">
        <f t="shared" si="12"/>
        <v>0.70896000000000003</v>
      </c>
      <c r="AF105" s="60"/>
      <c r="AG105" s="60">
        <f t="shared" si="13"/>
        <v>35.668263888888887</v>
      </c>
      <c r="AH105" s="59">
        <f t="shared" si="13"/>
        <v>3.0817379999999996</v>
      </c>
    </row>
    <row r="106" spans="1:34" ht="15" x14ac:dyDescent="0.25">
      <c r="F106" s="58" t="s">
        <v>103</v>
      </c>
      <c r="G106" s="51">
        <v>108</v>
      </c>
      <c r="H106" s="51">
        <f>20*60</f>
        <v>1200</v>
      </c>
      <c r="I106" s="51">
        <v>3</v>
      </c>
      <c r="J106" s="171">
        <f t="shared" si="14"/>
        <v>2.7395833333333335</v>
      </c>
      <c r="K106" s="59">
        <f t="shared" si="8"/>
        <v>0.23669999999999999</v>
      </c>
      <c r="L106" s="60"/>
      <c r="M106" s="170">
        <f t="shared" si="9"/>
        <v>10.869791666666666</v>
      </c>
      <c r="N106" s="59">
        <f>M106*3600*24/1000000</f>
        <v>0.93915000000000004</v>
      </c>
      <c r="O106" s="60"/>
      <c r="P106" s="59">
        <f t="shared" si="10"/>
        <v>13.609375</v>
      </c>
      <c r="Q106" s="60"/>
      <c r="R106" s="173">
        <f>'Volume estimator'!$L$12</f>
        <v>0.28444444444444444</v>
      </c>
      <c r="S106" s="52">
        <f>R106*3600*24/1000000</f>
        <v>2.4576000000000001E-2</v>
      </c>
      <c r="T106" s="60"/>
      <c r="U106" s="174">
        <f>P$125/($V$117)</f>
        <v>11.044444444444444</v>
      </c>
      <c r="V106" s="59">
        <f>U106*(24*3600)/1000000</f>
        <v>0.95423999999999998</v>
      </c>
      <c r="W106" s="60"/>
      <c r="X106" s="175">
        <f>R$125/($Y$117)</f>
        <v>2.5244444444444443</v>
      </c>
      <c r="Y106" s="59">
        <f>X106*(24*3600)/1000000</f>
        <v>0.21811199999999997</v>
      </c>
      <c r="Z106" s="60"/>
      <c r="AA106" s="137">
        <f t="shared" si="11"/>
        <v>27.462708333333335</v>
      </c>
      <c r="AB106" s="138">
        <f t="shared" si="11"/>
        <v>2.3727779999999998</v>
      </c>
      <c r="AC106" s="60"/>
      <c r="AD106" s="176">
        <f>I$125/($I106)*(H106*2)/(24*3600)</f>
        <v>11.722222222222221</v>
      </c>
      <c r="AE106" s="59">
        <f t="shared" si="12"/>
        <v>1.0127999999999999</v>
      </c>
      <c r="AF106" s="60"/>
      <c r="AG106" s="60">
        <f t="shared" si="13"/>
        <v>39.184930555555553</v>
      </c>
      <c r="AH106" s="59">
        <f t="shared" si="13"/>
        <v>3.3855779999999998</v>
      </c>
    </row>
    <row r="107" spans="1:34" ht="15" x14ac:dyDescent="0.25">
      <c r="F107" s="58" t="s">
        <v>104</v>
      </c>
      <c r="G107" s="51">
        <v>109</v>
      </c>
      <c r="H107" s="51">
        <f>30*60</f>
        <v>1800</v>
      </c>
      <c r="I107" s="51">
        <v>3</v>
      </c>
      <c r="J107" s="171">
        <f t="shared" si="14"/>
        <v>2.7395833333333335</v>
      </c>
      <c r="K107" s="59">
        <f t="shared" si="8"/>
        <v>0.23669999999999999</v>
      </c>
      <c r="L107" s="60"/>
      <c r="M107" s="170">
        <f t="shared" si="9"/>
        <v>10.869791666666666</v>
      </c>
      <c r="N107" s="59">
        <f>M107*3600*24/1000000</f>
        <v>0.93915000000000004</v>
      </c>
      <c r="O107" s="60"/>
      <c r="P107" s="59">
        <f t="shared" si="10"/>
        <v>13.609375</v>
      </c>
      <c r="Q107" s="60"/>
      <c r="R107" s="173">
        <f>'Volume estimator'!$L$12</f>
        <v>0.28444444444444444</v>
      </c>
      <c r="S107" s="52">
        <f>R107*3600*24/1000000</f>
        <v>2.4576000000000001E-2</v>
      </c>
      <c r="T107" s="60"/>
      <c r="U107" s="174">
        <f>P$125/($V$117)</f>
        <v>11.044444444444444</v>
      </c>
      <c r="V107" s="59">
        <f>U107*(24*3600)/1000000</f>
        <v>0.95423999999999998</v>
      </c>
      <c r="W107" s="60"/>
      <c r="X107" s="175">
        <f>R$125/($Y$117)</f>
        <v>2.5244444444444443</v>
      </c>
      <c r="Y107" s="59">
        <f>X107*(24*3600)/1000000</f>
        <v>0.21811199999999997</v>
      </c>
      <c r="Z107" s="60"/>
      <c r="AA107" s="137">
        <f t="shared" si="11"/>
        <v>27.462708333333335</v>
      </c>
      <c r="AB107" s="138">
        <f t="shared" si="11"/>
        <v>2.3727779999999998</v>
      </c>
      <c r="AC107" s="60"/>
      <c r="AD107" s="176">
        <f>I$125/($I107)*(H107*2)/(24*3600)</f>
        <v>17.583333333333332</v>
      </c>
      <c r="AE107" s="59">
        <f t="shared" si="12"/>
        <v>1.5192000000000001</v>
      </c>
      <c r="AF107" s="60"/>
      <c r="AG107" s="60">
        <f t="shared" si="13"/>
        <v>45.046041666666667</v>
      </c>
      <c r="AH107" s="59">
        <f t="shared" si="13"/>
        <v>3.8919779999999999</v>
      </c>
    </row>
    <row r="108" spans="1:34" ht="15" x14ac:dyDescent="0.25">
      <c r="F108" s="58" t="s">
        <v>105</v>
      </c>
      <c r="G108" s="51">
        <v>110</v>
      </c>
      <c r="H108" s="51" t="s">
        <v>106</v>
      </c>
      <c r="I108" s="51">
        <v>3</v>
      </c>
      <c r="J108" s="171">
        <f t="shared" si="14"/>
        <v>2.7395833333333335</v>
      </c>
      <c r="K108" s="59">
        <f t="shared" si="8"/>
        <v>0.23669999999999999</v>
      </c>
      <c r="L108" s="60"/>
      <c r="M108" s="170">
        <f t="shared" si="9"/>
        <v>10.869791666666666</v>
      </c>
      <c r="N108" s="59">
        <f>M108*(3600*24)/1000000</f>
        <v>0.93915000000000004</v>
      </c>
      <c r="O108" s="60"/>
      <c r="P108" s="59">
        <f t="shared" si="10"/>
        <v>13.609375</v>
      </c>
      <c r="Q108" s="60"/>
      <c r="R108" s="173">
        <f>'Volume estimator'!$L$12</f>
        <v>0.28444444444444444</v>
      </c>
      <c r="S108" s="52">
        <f>R108*(3600*24)/1000000</f>
        <v>2.4576000000000001E-2</v>
      </c>
      <c r="T108" s="60"/>
      <c r="U108" s="174">
        <f>U103</f>
        <v>11.044444444444444</v>
      </c>
      <c r="V108" s="59">
        <f>U108*(3600*24)/1000000</f>
        <v>0.95423999999999998</v>
      </c>
      <c r="W108" s="60"/>
      <c r="X108" s="175">
        <f>X103</f>
        <v>2.5244444444444443</v>
      </c>
      <c r="Y108" s="59">
        <f>X108*(3600*24)/1000000</f>
        <v>0.21811199999999997</v>
      </c>
      <c r="Z108" s="60"/>
      <c r="AA108" s="137">
        <f t="shared" si="11"/>
        <v>27.462708333333335</v>
      </c>
      <c r="AB108" s="138">
        <f t="shared" si="11"/>
        <v>2.3727779999999998</v>
      </c>
      <c r="AC108" s="60"/>
      <c r="AD108" s="176">
        <f>I$125/($I108)</f>
        <v>422</v>
      </c>
      <c r="AE108" s="59">
        <f t="shared" si="12"/>
        <v>36.460799999999999</v>
      </c>
      <c r="AF108" s="60"/>
      <c r="AG108" s="60">
        <f t="shared" si="13"/>
        <v>449.46270833333335</v>
      </c>
      <c r="AH108" s="59">
        <f t="shared" si="13"/>
        <v>38.833577999999996</v>
      </c>
    </row>
    <row r="109" spans="1:34" ht="15" x14ac:dyDescent="0.25">
      <c r="F109" s="58"/>
      <c r="G109" s="51"/>
      <c r="H109" s="51"/>
      <c r="I109" s="51"/>
      <c r="J109" s="172"/>
      <c r="K109" s="59"/>
      <c r="L109" s="60"/>
      <c r="M109" s="170"/>
      <c r="N109" s="59"/>
      <c r="O109" s="60"/>
      <c r="P109" s="60"/>
      <c r="Q109" s="60"/>
      <c r="R109" s="173"/>
      <c r="S109" s="52"/>
      <c r="T109" s="60"/>
      <c r="U109" s="174"/>
      <c r="V109" s="59"/>
      <c r="W109" s="60"/>
      <c r="X109" s="175"/>
      <c r="Y109" s="59"/>
      <c r="Z109" s="60"/>
      <c r="AA109" s="137"/>
      <c r="AB109" s="138"/>
      <c r="AC109" s="60"/>
      <c r="AD109" s="176"/>
      <c r="AE109" s="59"/>
      <c r="AF109" s="60"/>
      <c r="AG109" s="60"/>
      <c r="AH109" s="59"/>
    </row>
    <row r="110" spans="1:34" ht="15" x14ac:dyDescent="0.25">
      <c r="F110" s="58" t="s">
        <v>100</v>
      </c>
      <c r="G110" s="51">
        <v>105</v>
      </c>
      <c r="H110" s="51">
        <f>5*60</f>
        <v>300</v>
      </c>
      <c r="I110" s="51">
        <v>2</v>
      </c>
      <c r="J110" s="171">
        <f t="shared" ref="J110:J115" si="15">N$125/(64*$I110)</f>
        <v>4.109375</v>
      </c>
      <c r="K110" s="59">
        <f t="shared" ref="K110:K115" si="16">J110*3600*24/1000000</f>
        <v>0.35504999999999998</v>
      </c>
      <c r="L110" s="60"/>
      <c r="M110" s="170">
        <f t="shared" ref="M110:M115" si="17">K$125/(64*$I110)</f>
        <v>16.3046875</v>
      </c>
      <c r="N110" s="59">
        <f>M110*3600*24/1000000</f>
        <v>1.408725</v>
      </c>
      <c r="O110" s="60"/>
      <c r="P110" s="59">
        <f t="shared" ref="P110:P115" si="18">J110+M110</f>
        <v>20.4140625</v>
      </c>
      <c r="Q110" s="60"/>
      <c r="R110" s="173">
        <f>'Volume estimator'!$L$12</f>
        <v>0.28444444444444444</v>
      </c>
      <c r="S110" s="52">
        <f>R110*3600*24/1000000</f>
        <v>2.4576000000000001E-2</v>
      </c>
      <c r="T110" s="60"/>
      <c r="U110" s="174">
        <f>P$125/($V$117)</f>
        <v>11.044444444444444</v>
      </c>
      <c r="V110" s="59">
        <f>U110*(24*3600)/1000000</f>
        <v>0.95423999999999998</v>
      </c>
      <c r="W110" s="60"/>
      <c r="X110" s="175">
        <f>R$125/($Y$117)</f>
        <v>2.5244444444444443</v>
      </c>
      <c r="Y110" s="59">
        <f>X110*(24*3600)/1000000</f>
        <v>0.21811199999999997</v>
      </c>
      <c r="Z110" s="60"/>
      <c r="AA110" s="137">
        <f t="shared" ref="AA110:AB115" si="19">J110+M110+R110+U110+X110</f>
        <v>34.267395833333332</v>
      </c>
      <c r="AB110" s="138">
        <f t="shared" si="19"/>
        <v>2.9607030000000001</v>
      </c>
      <c r="AC110" s="60"/>
      <c r="AD110" s="176">
        <f>I$125/($I110)*(H110*2)/(24*3600)</f>
        <v>4.395833333333333</v>
      </c>
      <c r="AE110" s="59">
        <f t="shared" ref="AE110:AE115" si="20">AD110*24*3600/1000000</f>
        <v>0.37980000000000003</v>
      </c>
      <c r="AF110" s="60"/>
      <c r="AG110" s="60">
        <f t="shared" ref="AG110:AH115" si="21">AA110+AD110</f>
        <v>38.663229166666667</v>
      </c>
      <c r="AH110" s="59">
        <f t="shared" si="21"/>
        <v>3.340503</v>
      </c>
    </row>
    <row r="111" spans="1:34" ht="15" x14ac:dyDescent="0.25">
      <c r="F111" s="58" t="s">
        <v>101</v>
      </c>
      <c r="G111" s="51">
        <v>106</v>
      </c>
      <c r="H111" s="51">
        <f>10*60</f>
        <v>600</v>
      </c>
      <c r="I111" s="51">
        <v>2</v>
      </c>
      <c r="J111" s="171">
        <f t="shared" si="15"/>
        <v>4.109375</v>
      </c>
      <c r="K111" s="59">
        <f t="shared" si="16"/>
        <v>0.35504999999999998</v>
      </c>
      <c r="L111" s="60"/>
      <c r="M111" s="170">
        <f t="shared" si="17"/>
        <v>16.3046875</v>
      </c>
      <c r="N111" s="59">
        <f>M111*3600*24/1000000</f>
        <v>1.408725</v>
      </c>
      <c r="O111" s="60"/>
      <c r="P111" s="59">
        <f t="shared" si="18"/>
        <v>20.4140625</v>
      </c>
      <c r="Q111" s="60"/>
      <c r="R111" s="173">
        <f>'Volume estimator'!$L$12</f>
        <v>0.28444444444444444</v>
      </c>
      <c r="S111" s="52">
        <f>R111*3600*24/1000000</f>
        <v>2.4576000000000001E-2</v>
      </c>
      <c r="T111" s="60"/>
      <c r="U111" s="174">
        <f>P$125/($V$117)</f>
        <v>11.044444444444444</v>
      </c>
      <c r="V111" s="59">
        <f>U111*(24*3600)/1000000</f>
        <v>0.95423999999999998</v>
      </c>
      <c r="W111" s="60"/>
      <c r="X111" s="175">
        <f>R$125/($Y$117)</f>
        <v>2.5244444444444443</v>
      </c>
      <c r="Y111" s="59">
        <f>X111*(24*3600)/1000000</f>
        <v>0.21811199999999997</v>
      </c>
      <c r="Z111" s="60"/>
      <c r="AA111" s="137">
        <f t="shared" si="19"/>
        <v>34.267395833333332</v>
      </c>
      <c r="AB111" s="138">
        <f t="shared" si="19"/>
        <v>2.9607030000000001</v>
      </c>
      <c r="AC111" s="60"/>
      <c r="AD111" s="176">
        <f>I$125/($I111)*(H111*2)/(24*3600)</f>
        <v>8.7916666666666661</v>
      </c>
      <c r="AE111" s="59">
        <f t="shared" si="20"/>
        <v>0.75960000000000005</v>
      </c>
      <c r="AF111" s="60"/>
      <c r="AG111" s="60">
        <f t="shared" si="21"/>
        <v>43.059062499999996</v>
      </c>
      <c r="AH111" s="59">
        <f t="shared" si="21"/>
        <v>3.7203030000000004</v>
      </c>
    </row>
    <row r="112" spans="1:34" ht="15" x14ac:dyDescent="0.25">
      <c r="F112" s="58" t="s">
        <v>102</v>
      </c>
      <c r="G112" s="51">
        <v>107</v>
      </c>
      <c r="H112" s="51">
        <f>14*60</f>
        <v>840</v>
      </c>
      <c r="I112" s="51">
        <v>2</v>
      </c>
      <c r="J112" s="171">
        <f t="shared" si="15"/>
        <v>4.109375</v>
      </c>
      <c r="K112" s="59">
        <f t="shared" si="16"/>
        <v>0.35504999999999998</v>
      </c>
      <c r="L112" s="60"/>
      <c r="M112" s="170">
        <f t="shared" si="17"/>
        <v>16.3046875</v>
      </c>
      <c r="N112" s="59">
        <f>M112*3600*24/1000000</f>
        <v>1.408725</v>
      </c>
      <c r="O112" s="60"/>
      <c r="P112" s="59">
        <f t="shared" si="18"/>
        <v>20.4140625</v>
      </c>
      <c r="Q112" s="60"/>
      <c r="R112" s="173">
        <f>'Volume estimator'!$L$12</f>
        <v>0.28444444444444444</v>
      </c>
      <c r="S112" s="52">
        <f>R112*3600*24/1000000</f>
        <v>2.4576000000000001E-2</v>
      </c>
      <c r="T112" s="60"/>
      <c r="U112" s="174">
        <f>P$125/($V$117)</f>
        <v>11.044444444444444</v>
      </c>
      <c r="V112" s="59">
        <f>U112*(24*3600)/1000000</f>
        <v>0.95423999999999998</v>
      </c>
      <c r="W112" s="60"/>
      <c r="X112" s="175">
        <f>R$125/($Y$117)</f>
        <v>2.5244444444444443</v>
      </c>
      <c r="Y112" s="59">
        <f>X112*(24*3600)/1000000</f>
        <v>0.21811199999999997</v>
      </c>
      <c r="Z112" s="60"/>
      <c r="AA112" s="137">
        <f t="shared" si="19"/>
        <v>34.267395833333332</v>
      </c>
      <c r="AB112" s="138">
        <f t="shared" si="19"/>
        <v>2.9607030000000001</v>
      </c>
      <c r="AC112" s="60"/>
      <c r="AD112" s="176">
        <f>I$125/($I112)*(H112*2)/(24*3600)</f>
        <v>12.308333333333334</v>
      </c>
      <c r="AE112" s="59">
        <f t="shared" si="20"/>
        <v>1.0634399999999999</v>
      </c>
      <c r="AF112" s="60"/>
      <c r="AG112" s="60">
        <f t="shared" si="21"/>
        <v>46.575729166666662</v>
      </c>
      <c r="AH112" s="59">
        <f t="shared" si="21"/>
        <v>4.0241430000000005</v>
      </c>
    </row>
    <row r="113" spans="6:34" ht="15" x14ac:dyDescent="0.25">
      <c r="F113" s="58" t="s">
        <v>103</v>
      </c>
      <c r="G113" s="51">
        <v>108</v>
      </c>
      <c r="H113" s="51">
        <f>20*60</f>
        <v>1200</v>
      </c>
      <c r="I113" s="51">
        <v>2</v>
      </c>
      <c r="J113" s="171">
        <f t="shared" si="15"/>
        <v>4.109375</v>
      </c>
      <c r="K113" s="59">
        <f t="shared" si="16"/>
        <v>0.35504999999999998</v>
      </c>
      <c r="L113" s="60"/>
      <c r="M113" s="170">
        <f t="shared" si="17"/>
        <v>16.3046875</v>
      </c>
      <c r="N113" s="59">
        <f>M113*3600*24/1000000</f>
        <v>1.408725</v>
      </c>
      <c r="O113" s="60"/>
      <c r="P113" s="59">
        <f t="shared" si="18"/>
        <v>20.4140625</v>
      </c>
      <c r="Q113" s="60"/>
      <c r="R113" s="173">
        <f>'Volume estimator'!$L$12</f>
        <v>0.28444444444444444</v>
      </c>
      <c r="S113" s="52">
        <f>R113*3600*24/1000000</f>
        <v>2.4576000000000001E-2</v>
      </c>
      <c r="T113" s="60"/>
      <c r="U113" s="174">
        <f>P$125/($V$117)</f>
        <v>11.044444444444444</v>
      </c>
      <c r="V113" s="59">
        <f>U113*(24*3600)/1000000</f>
        <v>0.95423999999999998</v>
      </c>
      <c r="W113" s="60"/>
      <c r="X113" s="175">
        <f>R$125/($Y$117)</f>
        <v>2.5244444444444443</v>
      </c>
      <c r="Y113" s="59">
        <f>X113*(24*3600)/1000000</f>
        <v>0.21811199999999997</v>
      </c>
      <c r="Z113" s="60"/>
      <c r="AA113" s="137">
        <f t="shared" si="19"/>
        <v>34.267395833333332</v>
      </c>
      <c r="AB113" s="138">
        <f t="shared" si="19"/>
        <v>2.9607030000000001</v>
      </c>
      <c r="AC113" s="60"/>
      <c r="AD113" s="176">
        <f>I$125/($I113)*(H113*2)/(24*3600)</f>
        <v>17.583333333333332</v>
      </c>
      <c r="AE113" s="59">
        <f t="shared" si="20"/>
        <v>1.5192000000000001</v>
      </c>
      <c r="AF113" s="60"/>
      <c r="AG113" s="60">
        <f t="shared" si="21"/>
        <v>51.850729166666667</v>
      </c>
      <c r="AH113" s="59">
        <f t="shared" si="21"/>
        <v>4.4799030000000002</v>
      </c>
    </row>
    <row r="114" spans="6:34" ht="15" x14ac:dyDescent="0.25">
      <c r="F114" s="58" t="s">
        <v>104</v>
      </c>
      <c r="G114" s="51">
        <v>109</v>
      </c>
      <c r="H114" s="51">
        <f>30*60</f>
        <v>1800</v>
      </c>
      <c r="I114" s="51">
        <v>2</v>
      </c>
      <c r="J114" s="171">
        <f t="shared" si="15"/>
        <v>4.109375</v>
      </c>
      <c r="K114" s="59">
        <f t="shared" si="16"/>
        <v>0.35504999999999998</v>
      </c>
      <c r="L114" s="60"/>
      <c r="M114" s="170">
        <f t="shared" si="17"/>
        <v>16.3046875</v>
      </c>
      <c r="N114" s="59">
        <f>M114*3600*24/1000000</f>
        <v>1.408725</v>
      </c>
      <c r="O114" s="60"/>
      <c r="P114" s="59">
        <f t="shared" si="18"/>
        <v>20.4140625</v>
      </c>
      <c r="Q114" s="60"/>
      <c r="R114" s="173">
        <f>'Volume estimator'!$L$12</f>
        <v>0.28444444444444444</v>
      </c>
      <c r="S114" s="52">
        <f>R114*3600*24/1000000</f>
        <v>2.4576000000000001E-2</v>
      </c>
      <c r="T114" s="60"/>
      <c r="U114" s="174">
        <f>P$125/($V$117)</f>
        <v>11.044444444444444</v>
      </c>
      <c r="V114" s="59">
        <f>U114*(24*3600)/1000000</f>
        <v>0.95423999999999998</v>
      </c>
      <c r="W114" s="60"/>
      <c r="X114" s="175">
        <f>R$125/($Y$117)</f>
        <v>2.5244444444444443</v>
      </c>
      <c r="Y114" s="59">
        <f>X114*(24*3600)/1000000</f>
        <v>0.21811199999999997</v>
      </c>
      <c r="Z114" s="60"/>
      <c r="AA114" s="137">
        <f t="shared" si="19"/>
        <v>34.267395833333332</v>
      </c>
      <c r="AB114" s="138">
        <f t="shared" si="19"/>
        <v>2.9607030000000001</v>
      </c>
      <c r="AC114" s="60"/>
      <c r="AD114" s="176">
        <f>I$125/($I114)*(H114*2)/(24*3600)</f>
        <v>26.375</v>
      </c>
      <c r="AE114" s="59">
        <f t="shared" si="20"/>
        <v>2.2787999999999999</v>
      </c>
      <c r="AF114" s="60"/>
      <c r="AG114" s="60">
        <f t="shared" si="21"/>
        <v>60.642395833333332</v>
      </c>
      <c r="AH114" s="59">
        <f t="shared" si="21"/>
        <v>5.239503</v>
      </c>
    </row>
    <row r="115" spans="6:34" ht="15" x14ac:dyDescent="0.25">
      <c r="F115" s="58" t="s">
        <v>107</v>
      </c>
      <c r="G115" s="51">
        <v>110</v>
      </c>
      <c r="H115" s="51" t="s">
        <v>106</v>
      </c>
      <c r="I115" s="51">
        <v>2</v>
      </c>
      <c r="J115" s="171">
        <f t="shared" si="15"/>
        <v>4.109375</v>
      </c>
      <c r="K115" s="59">
        <f t="shared" si="16"/>
        <v>0.35504999999999998</v>
      </c>
      <c r="L115" s="60"/>
      <c r="M115" s="170">
        <f t="shared" si="17"/>
        <v>16.3046875</v>
      </c>
      <c r="N115" s="59">
        <f>M115*(3600*24)/1000000</f>
        <v>1.408725</v>
      </c>
      <c r="O115" s="60"/>
      <c r="P115" s="59">
        <f t="shared" si="18"/>
        <v>20.4140625</v>
      </c>
      <c r="Q115" s="60"/>
      <c r="R115" s="173">
        <f>'Volume estimator'!$L$12</f>
        <v>0.28444444444444444</v>
      </c>
      <c r="S115" s="52">
        <f>R115*(3600*24)/1000000</f>
        <v>2.4576000000000001E-2</v>
      </c>
      <c r="T115" s="60"/>
      <c r="U115" s="174">
        <f>U110</f>
        <v>11.044444444444444</v>
      </c>
      <c r="V115" s="59">
        <f>U115*(3600*24)/1000000</f>
        <v>0.95423999999999998</v>
      </c>
      <c r="W115" s="60"/>
      <c r="X115" s="175">
        <f>X110</f>
        <v>2.5244444444444443</v>
      </c>
      <c r="Y115" s="59">
        <f>X115*(3600*24)/1000000</f>
        <v>0.21811199999999997</v>
      </c>
      <c r="Z115" s="60"/>
      <c r="AA115" s="137">
        <f>J115+M115+R115+U115+X115</f>
        <v>34.267395833333332</v>
      </c>
      <c r="AB115" s="138">
        <f t="shared" si="19"/>
        <v>2.9607030000000001</v>
      </c>
      <c r="AC115" s="60"/>
      <c r="AD115" s="176">
        <f>I$125/($I115)</f>
        <v>633</v>
      </c>
      <c r="AE115" s="59">
        <f t="shared" si="20"/>
        <v>54.691200000000002</v>
      </c>
      <c r="AF115" s="60"/>
      <c r="AG115" s="60">
        <f t="shared" si="21"/>
        <v>667.26739583333335</v>
      </c>
      <c r="AH115" s="59">
        <f t="shared" si="21"/>
        <v>57.651903000000004</v>
      </c>
    </row>
    <row r="116" spans="6:34" ht="15" x14ac:dyDescent="0.25">
      <c r="F116" s="58"/>
      <c r="G116" s="61"/>
      <c r="H116" s="61"/>
      <c r="I116" s="61"/>
      <c r="J116" s="156" t="s">
        <v>321</v>
      </c>
      <c r="K116" s="11"/>
      <c r="L116" s="62"/>
      <c r="M116" s="153" t="s">
        <v>325</v>
      </c>
      <c r="N116" s="11"/>
      <c r="O116" s="62"/>
      <c r="P116" s="11"/>
      <c r="Q116" s="62"/>
      <c r="R116" s="159" t="s">
        <v>322</v>
      </c>
      <c r="S116" s="15"/>
      <c r="T116" s="62"/>
      <c r="U116" s="145" t="s">
        <v>323</v>
      </c>
      <c r="V116" s="11"/>
      <c r="W116" s="62"/>
      <c r="X116" s="142" t="s">
        <v>324</v>
      </c>
      <c r="Y116" s="11"/>
      <c r="Z116" s="62"/>
      <c r="AA116" s="62"/>
      <c r="AB116" s="11"/>
      <c r="AC116" s="62"/>
      <c r="AD116" s="148" t="s">
        <v>327</v>
      </c>
      <c r="AE116" s="11"/>
      <c r="AF116" s="62"/>
      <c r="AG116" s="62"/>
      <c r="AH116" s="11"/>
    </row>
    <row r="117" spans="6:34" ht="15" x14ac:dyDescent="0.25">
      <c r="R117" s="10" t="s">
        <v>108</v>
      </c>
      <c r="S117">
        <v>1800</v>
      </c>
      <c r="U117" s="10" t="s">
        <v>109</v>
      </c>
      <c r="V117">
        <v>180</v>
      </c>
      <c r="X117" s="10" t="s">
        <v>110</v>
      </c>
      <c r="Y117">
        <v>7200</v>
      </c>
    </row>
    <row r="118" spans="6:34" ht="15" x14ac:dyDescent="0.25">
      <c r="AC118" t="s">
        <v>111</v>
      </c>
    </row>
    <row r="119" spans="6:34" ht="15" x14ac:dyDescent="0.25">
      <c r="G119" s="63">
        <v>1</v>
      </c>
      <c r="H119" s="64">
        <v>2</v>
      </c>
      <c r="I119" s="63">
        <v>3</v>
      </c>
      <c r="J119" s="64">
        <v>4</v>
      </c>
      <c r="K119" s="63">
        <v>5</v>
      </c>
      <c r="L119" s="64">
        <v>6</v>
      </c>
      <c r="M119" s="63">
        <v>7</v>
      </c>
      <c r="N119" s="64">
        <v>8</v>
      </c>
      <c r="O119" s="63">
        <v>9</v>
      </c>
      <c r="P119" s="64">
        <v>10</v>
      </c>
      <c r="Q119" s="63">
        <v>11</v>
      </c>
      <c r="R119" s="64">
        <v>12</v>
      </c>
      <c r="S119" s="63">
        <v>13</v>
      </c>
      <c r="T119" s="64">
        <v>14</v>
      </c>
      <c r="U119" s="63">
        <v>15</v>
      </c>
      <c r="V119" s="64">
        <v>16</v>
      </c>
      <c r="W119" s="63">
        <v>17</v>
      </c>
      <c r="X119" s="64">
        <v>18</v>
      </c>
      <c r="Y119" s="63">
        <v>19</v>
      </c>
      <c r="Z119" s="64">
        <v>20</v>
      </c>
      <c r="AA119" s="63">
        <v>21</v>
      </c>
      <c r="AB119" s="64">
        <v>22</v>
      </c>
      <c r="AC119" s="63">
        <v>23</v>
      </c>
      <c r="AD119" s="64">
        <v>24</v>
      </c>
      <c r="AE119" s="63">
        <v>25</v>
      </c>
      <c r="AF119" s="64">
        <v>26</v>
      </c>
      <c r="AG119" s="63">
        <v>27</v>
      </c>
      <c r="AH119" s="64">
        <v>28</v>
      </c>
    </row>
    <row r="120" spans="6:34" ht="15" x14ac:dyDescent="0.25">
      <c r="F120" s="162" t="s">
        <v>112</v>
      </c>
      <c r="G120" s="162"/>
      <c r="H120" s="162"/>
      <c r="I120" s="162"/>
      <c r="J120" s="162"/>
      <c r="K120" s="162"/>
      <c r="L120" s="162"/>
      <c r="M120" s="65"/>
      <c r="N120" s="65"/>
      <c r="O120" s="65"/>
    </row>
    <row r="121" spans="6:34" ht="15" x14ac:dyDescent="0.25">
      <c r="I121" s="4" t="s">
        <v>80</v>
      </c>
      <c r="K121" t="s">
        <v>82</v>
      </c>
      <c r="N121" t="s">
        <v>113</v>
      </c>
      <c r="P121" t="s">
        <v>15</v>
      </c>
      <c r="Q121" t="s">
        <v>114</v>
      </c>
      <c r="R121" t="s">
        <v>93</v>
      </c>
      <c r="U121" t="s">
        <v>115</v>
      </c>
    </row>
    <row r="122" spans="6:34" ht="15" x14ac:dyDescent="0.25">
      <c r="I122" s="4" t="s">
        <v>116</v>
      </c>
      <c r="K122" t="s">
        <v>117</v>
      </c>
      <c r="N122" t="s">
        <v>118</v>
      </c>
      <c r="P122" t="s">
        <v>119</v>
      </c>
      <c r="R122" t="s">
        <v>326</v>
      </c>
      <c r="U122" t="s">
        <v>121</v>
      </c>
    </row>
    <row r="123" spans="6:34" ht="15" x14ac:dyDescent="0.25">
      <c r="F123" s="10" t="s">
        <v>122</v>
      </c>
      <c r="G123" s="10"/>
      <c r="H123" s="10"/>
      <c r="I123" s="4">
        <f>D22</f>
        <v>4928</v>
      </c>
      <c r="J123" s="4"/>
      <c r="K123" s="4">
        <f>'Volume estimator'!H17</f>
        <v>8480</v>
      </c>
      <c r="L123" s="4"/>
      <c r="M123" s="4"/>
      <c r="N123" s="4">
        <f>'Volume estimator'!H18</f>
        <v>992</v>
      </c>
      <c r="P123">
        <f>'Volume estimator'!H9</f>
        <v>5680</v>
      </c>
      <c r="R123" s="4">
        <f>'Volume estimator'!H11</f>
        <v>64000</v>
      </c>
      <c r="S123" s="4"/>
      <c r="U123" s="4">
        <v>512</v>
      </c>
    </row>
    <row r="124" spans="6:34" ht="15" x14ac:dyDescent="0.25">
      <c r="F124" s="10" t="s">
        <v>123</v>
      </c>
      <c r="G124" s="10"/>
      <c r="H124" s="10"/>
      <c r="I124" s="4">
        <v>1920</v>
      </c>
      <c r="J124" s="4"/>
      <c r="K124" s="4">
        <f>'Volume estimator'!I17</f>
        <v>2900</v>
      </c>
      <c r="L124" s="4"/>
      <c r="M124" s="4"/>
      <c r="N124" s="4">
        <f>'Volume estimator'!I18</f>
        <v>600</v>
      </c>
      <c r="P124">
        <f>'Volume estimator'!I9</f>
        <v>2400</v>
      </c>
      <c r="R124" s="4">
        <f>'Volume estimator'!I11</f>
        <v>20000</v>
      </c>
      <c r="S124" s="4"/>
    </row>
    <row r="125" spans="6:34" ht="15" x14ac:dyDescent="0.25">
      <c r="F125" s="10" t="s">
        <v>124</v>
      </c>
      <c r="G125" s="10"/>
      <c r="H125" s="10"/>
      <c r="I125" s="150">
        <v>1266</v>
      </c>
      <c r="J125" s="4"/>
      <c r="K125" s="151">
        <v>2087</v>
      </c>
      <c r="L125" s="4"/>
      <c r="M125" s="4"/>
      <c r="N125" s="154">
        <v>526</v>
      </c>
      <c r="P125" s="146">
        <v>1988</v>
      </c>
      <c r="R125" s="143">
        <f>9088 + 9088</f>
        <v>18176</v>
      </c>
      <c r="S125" s="4"/>
      <c r="U125" s="157">
        <v>512</v>
      </c>
    </row>
    <row r="126" spans="6:34" s="141" customFormat="1" ht="87.75" x14ac:dyDescent="0.25">
      <c r="I126" s="149" t="str">
        <f>$AD$116</f>
        <v>=(1266/N2)*([Macro105-110]/12h)=&gt;DT3</v>
      </c>
      <c r="K126" s="152" t="str">
        <f>$M$116</f>
        <v>=2087/64/N2=&gt;DT3(¬102) or DT2(102)]</v>
      </c>
      <c r="N126" s="155" t="str">
        <f>$J$116</f>
        <v>=526/64/N2=&gt;DT4</v>
      </c>
      <c r="P126" s="147" t="str">
        <f>$U$116</f>
        <v>=1988/N1=&gt;DT1</v>
      </c>
      <c r="R126" s="144" t="str">
        <f>$X$116</f>
        <v>=18176/N3=&gt;DT2</v>
      </c>
      <c r="U126" s="158" t="str">
        <f>$R$116</f>
        <v>=512/STAT=&gt;HSK3</v>
      </c>
    </row>
    <row r="127" spans="6:34" ht="14.25" customHeight="1" x14ac:dyDescent="0.25">
      <c r="K127" s="140"/>
    </row>
    <row r="128" spans="6:34" ht="14.25" customHeight="1" x14ac:dyDescent="0.25">
      <c r="K128" s="73"/>
      <c r="P128" s="73"/>
      <c r="U128" s="73"/>
    </row>
    <row r="130" spans="9:18" ht="14.25" customHeight="1" x14ac:dyDescent="0.25">
      <c r="I130" s="73"/>
      <c r="N130" s="73"/>
      <c r="R130" s="73"/>
    </row>
  </sheetData>
  <mergeCells count="16">
    <mergeCell ref="AD101:AE101"/>
    <mergeCell ref="P102:Q102"/>
    <mergeCell ref="F120:L120"/>
    <mergeCell ref="J101:K101"/>
    <mergeCell ref="M101:N101"/>
    <mergeCell ref="P101:Q101"/>
    <mergeCell ref="R101:S101"/>
    <mergeCell ref="U101:V101"/>
    <mergeCell ref="X101:Y101"/>
    <mergeCell ref="Z101:AB101"/>
    <mergeCell ref="J85:K85"/>
    <mergeCell ref="M85:N85"/>
    <mergeCell ref="P85:Q85"/>
    <mergeCell ref="J93:K93"/>
    <mergeCell ref="M93:N93"/>
    <mergeCell ref="P93:Q9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E699"/>
  </sheetPr>
  <dimension ref="C3:S39"/>
  <sheetViews>
    <sheetView topLeftCell="D12" zoomScaleNormal="100" workbookViewId="0">
      <selection activeCell="K13" activeCellId="1" sqref="P21:P26 K13"/>
    </sheetView>
  </sheetViews>
  <sheetFormatPr defaultColWidth="8.7109375" defaultRowHeight="14.25" customHeight="1" x14ac:dyDescent="0.25"/>
  <cols>
    <col min="5" max="5" width="14.140625" customWidth="1"/>
    <col min="10" max="10" width="10.140625" customWidth="1"/>
    <col min="11" max="11" width="10.42578125" customWidth="1"/>
    <col min="12" max="12" width="8.5703125" customWidth="1"/>
  </cols>
  <sheetData>
    <row r="3" spans="3:19" ht="15" x14ac:dyDescent="0.25">
      <c r="C3" s="49" t="s">
        <v>125</v>
      </c>
      <c r="D3" s="49"/>
      <c r="E3" s="49">
        <v>24267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0</v>
      </c>
      <c r="F5" s="67">
        <v>0</v>
      </c>
      <c r="G5" s="67">
        <v>0</v>
      </c>
      <c r="H5" s="12">
        <f>E5+(F5+G5/60)/24</f>
        <v>0</v>
      </c>
      <c r="I5" s="4"/>
      <c r="L5" s="4"/>
      <c r="M5" s="4"/>
      <c r="N5" s="4"/>
    </row>
    <row r="6" spans="3:19" ht="15" x14ac:dyDescent="0.25">
      <c r="D6" t="s">
        <v>134</v>
      </c>
      <c r="E6" s="67">
        <v>365</v>
      </c>
      <c r="F6" s="67">
        <v>0</v>
      </c>
      <c r="G6" s="67">
        <v>0</v>
      </c>
      <c r="H6" s="12">
        <f>E6+(F6+G6/60)/24</f>
        <v>365</v>
      </c>
      <c r="I6" s="12">
        <f>H6-H5</f>
        <v>365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/>
      <c r="I8" s="4"/>
      <c r="L8" s="4"/>
      <c r="M8" s="4"/>
      <c r="N8" s="4"/>
    </row>
    <row r="9" spans="3:19" ht="15" x14ac:dyDescent="0.25">
      <c r="D9" t="s">
        <v>134</v>
      </c>
      <c r="E9" s="67"/>
      <c r="F9" s="67"/>
      <c r="G9" s="67"/>
      <c r="H9" s="12"/>
      <c r="I9" s="12"/>
      <c r="K9" s="67"/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180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5" ht="15" x14ac:dyDescent="0.25">
      <c r="E17" t="s">
        <v>93</v>
      </c>
      <c r="F17" s="43">
        <v>7200</v>
      </c>
    </row>
    <row r="18" spans="4:15" ht="15" x14ac:dyDescent="0.25">
      <c r="E18" t="s">
        <v>115</v>
      </c>
      <c r="F18" s="43">
        <v>1800</v>
      </c>
      <c r="J18" s="10"/>
    </row>
    <row r="19" spans="4:15" ht="14.25" customHeight="1" x14ac:dyDescent="0.25">
      <c r="L19" s="72" t="s">
        <v>146</v>
      </c>
    </row>
    <row r="20" spans="4:15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5" ht="15" x14ac:dyDescent="0.25">
      <c r="E21" t="s">
        <v>15</v>
      </c>
      <c r="F21" s="4" t="s">
        <v>119</v>
      </c>
      <c r="H21" s="12">
        <f>I$6+I$9</f>
        <v>365</v>
      </c>
      <c r="I21" s="12">
        <f>IF(I15=2,(VLOOKUP($I$16,'Packet size and rates'!G110:AH115, 16,FALSE())), (VLOOKUP($I$16,'Packet size and rates'!G103:AH108, 16,FALSE())))*('Packet size and rates'!V117/F14)</f>
        <v>0.95423999999999998</v>
      </c>
      <c r="J21" s="73">
        <f t="shared" ref="J21:J26" si="0">H21*I21</f>
        <v>348.29759999999999</v>
      </c>
      <c r="K21" s="74">
        <f t="shared" ref="K21:K26" si="1">1000000*I21/(24*3600)</f>
        <v>11.044444444444444</v>
      </c>
      <c r="L21" s="75">
        <f t="shared" ref="L21:L26" si="2">K21/8</f>
        <v>1.3805555555555555</v>
      </c>
      <c r="M21" s="76" t="s">
        <v>151</v>
      </c>
      <c r="N21" s="75"/>
    </row>
    <row r="22" spans="4:15" ht="15" x14ac:dyDescent="0.25">
      <c r="E22" t="s">
        <v>93</v>
      </c>
      <c r="F22" s="4" t="s">
        <v>120</v>
      </c>
      <c r="H22" s="12">
        <f>I$6+I$9</f>
        <v>365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79.610879999999995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</row>
    <row r="23" spans="4:15" ht="15" x14ac:dyDescent="0.25">
      <c r="E23" t="s">
        <v>115</v>
      </c>
      <c r="F23" s="4" t="s">
        <v>121</v>
      </c>
      <c r="H23" s="12">
        <f>I$6+I$9</f>
        <v>365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8.9702400000000004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</row>
    <row r="24" spans="4:15" ht="15" x14ac:dyDescent="0.25">
      <c r="E24" t="s">
        <v>80</v>
      </c>
      <c r="F24" s="4" t="s">
        <v>116</v>
      </c>
      <c r="H24" s="12">
        <f>IF(K$9="yes",I$9,0)+IF(K$6="yes",I$6,0)</f>
        <v>365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184.83599999999998</v>
      </c>
      <c r="K24" s="74">
        <f t="shared" si="1"/>
        <v>5.8611111111111107</v>
      </c>
      <c r="L24" s="75">
        <f t="shared" si="2"/>
        <v>0.73263888888888884</v>
      </c>
      <c r="M24" s="76" t="s">
        <v>154</v>
      </c>
      <c r="N24" s="76"/>
    </row>
    <row r="25" spans="4:15" ht="15" x14ac:dyDescent="0.25">
      <c r="E25" t="s">
        <v>155</v>
      </c>
      <c r="F25" s="4" t="s">
        <v>118</v>
      </c>
      <c r="H25" s="12">
        <f>IF(K$9="yes",I$9,0)+IF(K$6="yes",I$6,0)</f>
        <v>365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86.395499999999998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</row>
    <row r="26" spans="4:15" ht="15" x14ac:dyDescent="0.25">
      <c r="E26" s="31" t="s">
        <v>157</v>
      </c>
      <c r="F26" s="77" t="s">
        <v>158</v>
      </c>
      <c r="G26" s="31"/>
      <c r="H26" s="78">
        <f>IF(K$9="yes",I$9,0)+IF(K$6="yes",I$6,0)</f>
        <v>365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342.78975000000003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</row>
    <row r="27" spans="4:15" ht="15" x14ac:dyDescent="0.25">
      <c r="E27" s="66" t="s">
        <v>160</v>
      </c>
      <c r="I27" s="73">
        <f>SUM(I21:I26)</f>
        <v>2.879178</v>
      </c>
      <c r="J27" s="73">
        <f>SUM(J21:J26)</f>
        <v>1050.8999699999999</v>
      </c>
      <c r="K27" s="80">
        <f>SUM(K21:K26)</f>
        <v>33.323819444444446</v>
      </c>
      <c r="L27" s="80">
        <f>SUM(L21:L26)</f>
        <v>4.1654774305555557</v>
      </c>
    </row>
    <row r="29" spans="4:15" ht="15" x14ac:dyDescent="0.25">
      <c r="E29" t="s">
        <v>161</v>
      </c>
      <c r="J29" s="4">
        <f>1.6*G11</f>
        <v>1.6</v>
      </c>
    </row>
    <row r="30" spans="4:15" ht="15" x14ac:dyDescent="0.25">
      <c r="E30" s="31"/>
      <c r="F30" s="31"/>
      <c r="G30" s="31"/>
      <c r="H30" s="31"/>
      <c r="I30" s="31"/>
      <c r="J30" s="77"/>
    </row>
    <row r="31" spans="4:15" ht="15" x14ac:dyDescent="0.25">
      <c r="E31" s="66" t="s">
        <v>162</v>
      </c>
      <c r="F31" s="66"/>
      <c r="G31" s="66"/>
      <c r="H31" s="66"/>
      <c r="I31" s="66"/>
      <c r="J31" s="81">
        <f>J27+J29</f>
        <v>1052.4999699999998</v>
      </c>
    </row>
    <row r="33" spans="5:13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3" ht="14.25" customHeight="1" x14ac:dyDescent="0.25">
      <c r="E34" s="83"/>
      <c r="F34" s="83"/>
      <c r="G34" s="83"/>
      <c r="H34" s="84" t="s">
        <v>163</v>
      </c>
      <c r="I34" s="85">
        <f>I21+I22+I23</f>
        <v>1.196928</v>
      </c>
      <c r="J34" s="85">
        <f>J21+J22+J23</f>
        <v>436.87871999999999</v>
      </c>
      <c r="K34" s="83">
        <f>K21+K22+K23</f>
        <v>13.853333333333333</v>
      </c>
      <c r="L34" s="83">
        <f>L21+L22+L23</f>
        <v>1.7316666666666667</v>
      </c>
      <c r="M34" t="s">
        <v>164</v>
      </c>
    </row>
    <row r="35" spans="5:13" ht="14.25" customHeight="1" x14ac:dyDescent="0.25">
      <c r="E35" s="86"/>
      <c r="F35" s="86"/>
      <c r="G35" s="86"/>
      <c r="H35" s="87" t="s">
        <v>165</v>
      </c>
      <c r="I35" s="88">
        <f>I26+I23+I22+I21</f>
        <v>2.1360779999999999</v>
      </c>
      <c r="J35" s="88">
        <f>J26+J23+J22+J21</f>
        <v>779.66847000000007</v>
      </c>
      <c r="K35" s="86">
        <f>K26+K23+K22+K21</f>
        <v>24.723125</v>
      </c>
      <c r="L35" s="86">
        <f>L26+L23+L22+L21</f>
        <v>3.0903906249999999</v>
      </c>
      <c r="M35" t="s">
        <v>166</v>
      </c>
    </row>
    <row r="36" spans="5:13" ht="14.25" customHeight="1" x14ac:dyDescent="0.25">
      <c r="E36" s="89"/>
      <c r="F36" s="89"/>
      <c r="G36" s="89"/>
      <c r="H36" s="90" t="s">
        <v>167</v>
      </c>
      <c r="I36" s="91">
        <f>I26+I24+I23+I22+I21</f>
        <v>2.6424779999999997</v>
      </c>
      <c r="J36" s="91">
        <f>J26+J24+J23+J22+J21</f>
        <v>964.50446999999997</v>
      </c>
      <c r="K36" s="89">
        <f>K26+K24+K23+K22+K21</f>
        <v>30.58423611111111</v>
      </c>
      <c r="L36" s="89">
        <f>L26+L24+L23+L22+L21</f>
        <v>3.8230295138888888</v>
      </c>
      <c r="M36" t="s">
        <v>168</v>
      </c>
    </row>
    <row r="37" spans="5:13" ht="14.25" customHeight="1" x14ac:dyDescent="0.25">
      <c r="E37" s="92"/>
      <c r="F37" s="92"/>
      <c r="G37" s="92"/>
      <c r="H37" s="93" t="s">
        <v>169</v>
      </c>
      <c r="I37" s="94">
        <f>SUM(I21:I26)</f>
        <v>2.879178</v>
      </c>
      <c r="J37" s="94">
        <f>SUM(J21:J26)</f>
        <v>1050.8999699999999</v>
      </c>
      <c r="K37" s="92">
        <f>SUM(K21:K26)</f>
        <v>33.323819444444446</v>
      </c>
      <c r="L37" s="92">
        <f>SUM(L21:L26)</f>
        <v>4.1654774305555557</v>
      </c>
      <c r="M37" t="s">
        <v>170</v>
      </c>
    </row>
    <row r="38" spans="5:13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0.50639999999999996</v>
      </c>
      <c r="J38" s="97">
        <f t="shared" si="3"/>
        <v>184.83599999999998</v>
      </c>
      <c r="K38" s="98">
        <f t="shared" si="3"/>
        <v>5.8611111111111107</v>
      </c>
      <c r="L38" s="98">
        <f t="shared" si="3"/>
        <v>0.73263888888888884</v>
      </c>
      <c r="M38" t="s">
        <v>171</v>
      </c>
    </row>
    <row r="39" spans="5:13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86.395499999999998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E699"/>
  </sheetPr>
  <dimension ref="C3:S39"/>
  <sheetViews>
    <sheetView topLeftCell="B19" zoomScaleNormal="100" workbookViewId="0">
      <selection activeCell="E39" activeCellId="1" sqref="P21:P26 E39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2" max="12" width="9.140625" customWidth="1"/>
  </cols>
  <sheetData>
    <row r="3" spans="3:19" ht="15" x14ac:dyDescent="0.25">
      <c r="C3" s="49" t="s">
        <v>125</v>
      </c>
      <c r="D3" s="49"/>
      <c r="E3" s="49">
        <v>25139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0</v>
      </c>
      <c r="F5" s="67">
        <v>0</v>
      </c>
      <c r="G5" s="67">
        <v>0</v>
      </c>
      <c r="H5" s="12">
        <f>E5+(F5+G5/60)/24</f>
        <v>0</v>
      </c>
      <c r="I5" s="4"/>
      <c r="L5" s="4"/>
      <c r="M5" s="4"/>
      <c r="N5" s="4"/>
    </row>
    <row r="6" spans="3:19" ht="15" x14ac:dyDescent="0.25">
      <c r="D6" t="s">
        <v>134</v>
      </c>
      <c r="E6" s="67">
        <v>172</v>
      </c>
      <c r="F6" s="67">
        <v>0</v>
      </c>
      <c r="G6" s="67">
        <v>0</v>
      </c>
      <c r="H6" s="12">
        <f>E6+(F6+G6/60)/24</f>
        <v>172</v>
      </c>
      <c r="I6" s="12">
        <f>H6-H5</f>
        <v>172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/>
      <c r="I8" s="4"/>
      <c r="L8" s="4"/>
      <c r="M8" s="4"/>
      <c r="N8" s="4"/>
    </row>
    <row r="9" spans="3:19" ht="15" x14ac:dyDescent="0.25">
      <c r="D9" t="s">
        <v>134</v>
      </c>
      <c r="E9" s="67"/>
      <c r="F9" s="67"/>
      <c r="G9" s="67"/>
      <c r="H9" s="12"/>
      <c r="I9" s="12"/>
      <c r="K9" s="67"/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180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5" ht="15" x14ac:dyDescent="0.25">
      <c r="E17" t="s">
        <v>93</v>
      </c>
      <c r="F17" s="43">
        <v>7200</v>
      </c>
    </row>
    <row r="18" spans="4:15" ht="15" x14ac:dyDescent="0.25">
      <c r="E18" t="s">
        <v>115</v>
      </c>
      <c r="F18" s="43">
        <v>1800</v>
      </c>
    </row>
    <row r="19" spans="4:15" ht="14.25" customHeight="1" x14ac:dyDescent="0.25">
      <c r="L19" s="72" t="s">
        <v>146</v>
      </c>
    </row>
    <row r="20" spans="4:15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5" ht="15" x14ac:dyDescent="0.25">
      <c r="E21" t="s">
        <v>15</v>
      </c>
      <c r="F21" s="4" t="s">
        <v>119</v>
      </c>
      <c r="H21" s="12">
        <f>I$6+I$9</f>
        <v>172</v>
      </c>
      <c r="I21" s="12">
        <f>IF(I15=2,(VLOOKUP($I$16,'Packet size and rates'!G110:AH115, 16,FALSE())), (VLOOKUP($I$16,'Packet size and rates'!G103:AH108, 16,FALSE())))*('Packet size and rates'!V117/F14)</f>
        <v>0.95423999999999998</v>
      </c>
      <c r="J21" s="73">
        <f t="shared" ref="J21:J26" si="0">H21*I21</f>
        <v>164.12927999999999</v>
      </c>
      <c r="K21" s="74">
        <f t="shared" ref="K21:K26" si="1">1000000*I21/(24*3600)</f>
        <v>11.044444444444444</v>
      </c>
      <c r="L21" s="75">
        <f t="shared" ref="L21:L26" si="2">K21/8</f>
        <v>1.3805555555555555</v>
      </c>
      <c r="M21" s="76" t="s">
        <v>151</v>
      </c>
      <c r="N21" s="75"/>
    </row>
    <row r="22" spans="4:15" ht="15" x14ac:dyDescent="0.25">
      <c r="E22" t="s">
        <v>93</v>
      </c>
      <c r="F22" s="4" t="s">
        <v>120</v>
      </c>
      <c r="H22" s="12">
        <f>I$6+I$9</f>
        <v>172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37.515263999999995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</row>
    <row r="23" spans="4:15" ht="15" x14ac:dyDescent="0.25">
      <c r="E23" t="s">
        <v>115</v>
      </c>
      <c r="F23" s="4" t="s">
        <v>121</v>
      </c>
      <c r="H23" s="12">
        <f>I$6+I$9</f>
        <v>172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4.2270719999999997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</row>
    <row r="24" spans="4:15" ht="15" x14ac:dyDescent="0.25">
      <c r="E24" t="s">
        <v>80</v>
      </c>
      <c r="F24" s="4" t="s">
        <v>116</v>
      </c>
      <c r="H24" s="12">
        <f>IF(K$9="yes",I$9,0)+IF(K$6="yes",I$6,0)</f>
        <v>172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87.100799999999992</v>
      </c>
      <c r="K24" s="74">
        <f t="shared" si="1"/>
        <v>5.8611111111111107</v>
      </c>
      <c r="L24" s="75">
        <f t="shared" si="2"/>
        <v>0.73263888888888884</v>
      </c>
      <c r="M24" s="76" t="s">
        <v>154</v>
      </c>
      <c r="N24" s="76"/>
    </row>
    <row r="25" spans="4:15" ht="15" x14ac:dyDescent="0.25">
      <c r="E25" t="s">
        <v>155</v>
      </c>
      <c r="F25" s="4" t="s">
        <v>118</v>
      </c>
      <c r="H25" s="12">
        <f>IF(K$9="yes",I$9,0)+IF(K$6="yes",I$6,0)</f>
        <v>172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40.712400000000002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</row>
    <row r="26" spans="4:15" ht="15" x14ac:dyDescent="0.25">
      <c r="E26" s="31" t="s">
        <v>157</v>
      </c>
      <c r="F26" s="77" t="s">
        <v>158</v>
      </c>
      <c r="G26" s="31"/>
      <c r="H26" s="78">
        <f>IF(K$9="yes",I$9,0)+IF(K$6="yes",I$6,0)</f>
        <v>172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161.53380000000001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</row>
    <row r="27" spans="4:15" ht="15" x14ac:dyDescent="0.25">
      <c r="E27" s="66" t="s">
        <v>160</v>
      </c>
      <c r="I27" s="73">
        <f>SUM(I21:I26)</f>
        <v>2.879178</v>
      </c>
      <c r="J27" s="73">
        <f>SUM(J21:J26)</f>
        <v>495.218616</v>
      </c>
      <c r="K27" s="80">
        <f>SUM(K21:K26)</f>
        <v>33.323819444444446</v>
      </c>
      <c r="L27" s="80">
        <f>SUM(L21:L26)</f>
        <v>4.1654774305555557</v>
      </c>
    </row>
    <row r="28" spans="4:15" ht="14.25" customHeight="1" x14ac:dyDescent="0.25">
      <c r="M28">
        <f>M27*86400/1000000</f>
        <v>0</v>
      </c>
    </row>
    <row r="29" spans="4:15" ht="15" x14ac:dyDescent="0.25">
      <c r="E29" t="s">
        <v>161</v>
      </c>
      <c r="J29" s="4">
        <f>1.6*G11</f>
        <v>1.6</v>
      </c>
    </row>
    <row r="30" spans="4:15" ht="15" x14ac:dyDescent="0.25">
      <c r="E30" s="31"/>
      <c r="F30" s="31"/>
      <c r="G30" s="31"/>
      <c r="H30" s="31"/>
      <c r="I30" s="31"/>
      <c r="J30" s="77"/>
    </row>
    <row r="31" spans="4:15" ht="15" x14ac:dyDescent="0.25">
      <c r="E31" s="66" t="s">
        <v>162</v>
      </c>
      <c r="F31" s="66"/>
      <c r="G31" s="66"/>
      <c r="H31" s="66"/>
      <c r="I31" s="66"/>
      <c r="J31" s="81">
        <f>J27+J29</f>
        <v>496.81861600000002</v>
      </c>
    </row>
    <row r="32" spans="4:15" ht="14.25" customHeight="1" x14ac:dyDescent="0.25">
      <c r="K32" s="4"/>
    </row>
    <row r="33" spans="5:14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4" ht="14.25" customHeight="1" x14ac:dyDescent="0.25">
      <c r="E34" s="83"/>
      <c r="F34" s="83"/>
      <c r="G34" s="83"/>
      <c r="H34" s="84" t="s">
        <v>163</v>
      </c>
      <c r="I34" s="85">
        <f>I21+I22+I23</f>
        <v>1.196928</v>
      </c>
      <c r="J34" s="85">
        <f>J21+J22+J23</f>
        <v>205.87161599999999</v>
      </c>
      <c r="K34" s="83">
        <f>K21+K22+K23</f>
        <v>13.853333333333333</v>
      </c>
      <c r="L34" s="83">
        <f>L21+L22+L23</f>
        <v>1.7316666666666667</v>
      </c>
      <c r="M34" t="s">
        <v>164</v>
      </c>
      <c r="N34" t="s">
        <v>174</v>
      </c>
    </row>
    <row r="35" spans="5:14" ht="14.25" customHeight="1" x14ac:dyDescent="0.25">
      <c r="E35" s="86"/>
      <c r="F35" s="86"/>
      <c r="G35" s="86"/>
      <c r="H35" s="87" t="s">
        <v>165</v>
      </c>
      <c r="I35" s="88">
        <f>I26+I23+I22+I21</f>
        <v>2.1360779999999999</v>
      </c>
      <c r="J35" s="88">
        <f>J26+J23+J22+J21</f>
        <v>367.405416</v>
      </c>
      <c r="K35" s="86">
        <f>K26+K23+K22+K21</f>
        <v>24.723125</v>
      </c>
      <c r="L35" s="86">
        <f>L26+L23+L22+L21</f>
        <v>3.0903906249999999</v>
      </c>
      <c r="M35" t="s">
        <v>166</v>
      </c>
      <c r="N35" t="s">
        <v>175</v>
      </c>
    </row>
    <row r="36" spans="5:14" ht="14.25" customHeight="1" x14ac:dyDescent="0.25">
      <c r="E36" s="89"/>
      <c r="F36" s="89"/>
      <c r="G36" s="89"/>
      <c r="H36" s="90" t="s">
        <v>167</v>
      </c>
      <c r="I36" s="91">
        <f>I26+I24+I23+I22+I21</f>
        <v>2.6424779999999997</v>
      </c>
      <c r="J36" s="91">
        <f>J26+J24+J23+J22+J21</f>
        <v>454.50621599999999</v>
      </c>
      <c r="K36" s="89">
        <f>K26+K24+K23+K22+K21</f>
        <v>30.58423611111111</v>
      </c>
      <c r="L36" s="89">
        <f>L26+L24+L23+L22+L21</f>
        <v>3.8230295138888888</v>
      </c>
      <c r="M36" t="s">
        <v>168</v>
      </c>
    </row>
    <row r="37" spans="5:14" ht="14.25" customHeight="1" x14ac:dyDescent="0.25">
      <c r="E37" s="92"/>
      <c r="F37" s="92"/>
      <c r="G37" s="92"/>
      <c r="H37" s="93" t="s">
        <v>169</v>
      </c>
      <c r="I37" s="94">
        <f>SUM(I21:I26)</f>
        <v>2.879178</v>
      </c>
      <c r="J37" s="94">
        <f>SUM(J21:J26)</f>
        <v>495.218616</v>
      </c>
      <c r="K37" s="92">
        <f>SUM(K21:K26)</f>
        <v>33.323819444444446</v>
      </c>
      <c r="L37" s="92">
        <f>SUM(L21:L26)</f>
        <v>4.1654774305555557</v>
      </c>
      <c r="M37" t="s">
        <v>170</v>
      </c>
    </row>
    <row r="38" spans="5:14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0.50639999999999996</v>
      </c>
      <c r="J38" s="97">
        <f t="shared" si="3"/>
        <v>87.100799999999992</v>
      </c>
      <c r="K38" s="98">
        <f t="shared" si="3"/>
        <v>5.8611111111111107</v>
      </c>
      <c r="L38" s="98">
        <f t="shared" si="3"/>
        <v>0.73263888888888884</v>
      </c>
      <c r="M38" t="s">
        <v>171</v>
      </c>
    </row>
    <row r="39" spans="5:14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40.712400000000002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E699"/>
  </sheetPr>
  <dimension ref="C3:S39"/>
  <sheetViews>
    <sheetView topLeftCell="C19" zoomScaleNormal="100" workbookViewId="0">
      <selection activeCell="E39" activeCellId="1" sqref="P21:P26 E39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2" max="12" width="9.140625" customWidth="1"/>
  </cols>
  <sheetData>
    <row r="3" spans="3:19" ht="15" x14ac:dyDescent="0.25">
      <c r="C3" s="49" t="s">
        <v>125</v>
      </c>
      <c r="D3" s="49"/>
      <c r="E3" s="49">
        <v>25096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107</v>
      </c>
      <c r="F5" s="67">
        <v>0</v>
      </c>
      <c r="G5" s="67">
        <v>0</v>
      </c>
      <c r="H5" s="12">
        <f>E5+(F5+G5/60)/24</f>
        <v>107</v>
      </c>
      <c r="I5" s="4"/>
      <c r="L5" s="4"/>
      <c r="M5" s="4"/>
      <c r="N5" s="4"/>
    </row>
    <row r="6" spans="3:19" ht="15" x14ac:dyDescent="0.25">
      <c r="D6" t="s">
        <v>134</v>
      </c>
      <c r="E6" s="67">
        <v>119</v>
      </c>
      <c r="F6" s="67">
        <v>0</v>
      </c>
      <c r="G6" s="67">
        <v>0</v>
      </c>
      <c r="H6" s="12">
        <f>E6+(F6+G6/60)/24</f>
        <v>119</v>
      </c>
      <c r="I6" s="12">
        <f>H6-H5</f>
        <v>12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/>
      <c r="I8" s="4"/>
      <c r="L8" s="4"/>
      <c r="M8" s="4"/>
      <c r="N8" s="4"/>
    </row>
    <row r="9" spans="3:19" ht="15" x14ac:dyDescent="0.25">
      <c r="D9" t="s">
        <v>134</v>
      </c>
      <c r="E9" s="67"/>
      <c r="F9" s="67"/>
      <c r="G9" s="67"/>
      <c r="H9" s="12"/>
      <c r="I9" s="12"/>
      <c r="K9" s="67"/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120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7" ht="15" x14ac:dyDescent="0.25">
      <c r="E17" t="s">
        <v>93</v>
      </c>
      <c r="F17" s="43">
        <v>7200</v>
      </c>
    </row>
    <row r="18" spans="4:17" ht="15" x14ac:dyDescent="0.25">
      <c r="E18" t="s">
        <v>115</v>
      </c>
      <c r="F18" s="43">
        <v>1800</v>
      </c>
      <c r="Q18" t="s">
        <v>176</v>
      </c>
    </row>
    <row r="19" spans="4:17" ht="14.25" customHeight="1" x14ac:dyDescent="0.25">
      <c r="L19" s="72" t="s">
        <v>146</v>
      </c>
      <c r="Q19" t="s">
        <v>177</v>
      </c>
    </row>
    <row r="20" spans="4:17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  <c r="Q20" t="s">
        <v>178</v>
      </c>
    </row>
    <row r="21" spans="4:17" ht="15" x14ac:dyDescent="0.25">
      <c r="E21" t="s">
        <v>15</v>
      </c>
      <c r="F21" s="4" t="s">
        <v>119</v>
      </c>
      <c r="H21" s="12">
        <f>I$6+I$9</f>
        <v>12</v>
      </c>
      <c r="I21" s="12">
        <f>IF(I15=2,(VLOOKUP($I$16,'Packet size and rates'!G110:AH115, 16,FALSE())), (VLOOKUP($I$16,'Packet size and rates'!G103:AH108, 16,FALSE())))*('Packet size and rates'!V117/F14)</f>
        <v>1.43136</v>
      </c>
      <c r="J21" s="73">
        <f t="shared" ref="J21:J26" si="0">H21*I21</f>
        <v>17.17632</v>
      </c>
      <c r="K21" s="74">
        <f t="shared" ref="K21:K26" si="1">1000000*I21/(24*3600)</f>
        <v>16.566666666666666</v>
      </c>
      <c r="L21" s="75">
        <f t="shared" ref="L21:L26" si="2">K21/8</f>
        <v>2.0708333333333333</v>
      </c>
      <c r="M21" s="76" t="s">
        <v>151</v>
      </c>
      <c r="N21" s="75"/>
      <c r="Q21" t="s">
        <v>179</v>
      </c>
    </row>
    <row r="22" spans="4:17" ht="15" x14ac:dyDescent="0.25">
      <c r="E22" t="s">
        <v>93</v>
      </c>
      <c r="F22" s="4" t="s">
        <v>120</v>
      </c>
      <c r="H22" s="12">
        <f>I$6+I$9</f>
        <v>12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2.6173439999999997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Q22" t="s">
        <v>180</v>
      </c>
    </row>
    <row r="23" spans="4:17" ht="15" x14ac:dyDescent="0.25">
      <c r="E23" t="s">
        <v>115</v>
      </c>
      <c r="F23" s="4" t="s">
        <v>121</v>
      </c>
      <c r="H23" s="12">
        <f>I$6+I$9</f>
        <v>12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0.29491200000000001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Q23" t="s">
        <v>181</v>
      </c>
    </row>
    <row r="24" spans="4:17" ht="15" x14ac:dyDescent="0.25">
      <c r="E24" t="s">
        <v>80</v>
      </c>
      <c r="F24" s="4" t="s">
        <v>116</v>
      </c>
      <c r="H24" s="12">
        <f>IF(K$9="yes",I$9,0)+IF(K$6="yes",I$6,0)</f>
        <v>12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6.0767999999999995</v>
      </c>
      <c r="K24" s="74">
        <f t="shared" si="1"/>
        <v>5.8611111111111107</v>
      </c>
      <c r="L24" s="75">
        <f t="shared" si="2"/>
        <v>0.73263888888888884</v>
      </c>
      <c r="M24" s="76" t="s">
        <v>154</v>
      </c>
      <c r="N24" s="76"/>
      <c r="Q24" t="s">
        <v>182</v>
      </c>
    </row>
    <row r="25" spans="4:17" ht="15" x14ac:dyDescent="0.25">
      <c r="E25" t="s">
        <v>155</v>
      </c>
      <c r="F25" s="4" t="s">
        <v>118</v>
      </c>
      <c r="H25" s="12">
        <f>IF(K$9="yes",I$9,0)+IF(K$6="yes",I$6,0)</f>
        <v>12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2.8403999999999998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</row>
    <row r="26" spans="4:17" ht="15" x14ac:dyDescent="0.25">
      <c r="E26" s="31" t="s">
        <v>157</v>
      </c>
      <c r="F26" s="77" t="s">
        <v>158</v>
      </c>
      <c r="G26" s="31"/>
      <c r="H26" s="78">
        <f>IF(K$9="yes",I$9,0)+IF(K$6="yes",I$6,0)</f>
        <v>12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11.2698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</row>
    <row r="27" spans="4:17" ht="15" x14ac:dyDescent="0.25">
      <c r="E27" s="66" t="s">
        <v>160</v>
      </c>
      <c r="I27" s="73">
        <f>SUM(I21:I26)</f>
        <v>3.3562979999999998</v>
      </c>
      <c r="J27" s="73">
        <f>SUM(J21:J26)</f>
        <v>40.275576000000001</v>
      </c>
      <c r="K27" s="80">
        <f>SUM(K21:K26)</f>
        <v>38.846041666666665</v>
      </c>
      <c r="L27" s="80">
        <f>SUM(L21:L26)</f>
        <v>4.8557552083333331</v>
      </c>
    </row>
    <row r="29" spans="4:17" ht="15" x14ac:dyDescent="0.25">
      <c r="E29" t="s">
        <v>161</v>
      </c>
      <c r="J29" s="4">
        <f>1.6*G11</f>
        <v>1.6</v>
      </c>
    </row>
    <row r="30" spans="4:17" ht="15" x14ac:dyDescent="0.25">
      <c r="E30" s="31"/>
      <c r="F30" s="31"/>
      <c r="G30" s="31"/>
      <c r="H30" s="31"/>
      <c r="I30" s="31"/>
      <c r="J30" s="77"/>
    </row>
    <row r="31" spans="4:17" ht="15" x14ac:dyDescent="0.25">
      <c r="E31" s="66" t="s">
        <v>162</v>
      </c>
      <c r="F31" s="66"/>
      <c r="G31" s="66"/>
      <c r="H31" s="66"/>
      <c r="I31" s="66"/>
      <c r="J31" s="81">
        <f>J27+J29</f>
        <v>41.875576000000002</v>
      </c>
    </row>
    <row r="33" spans="5:14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4" ht="14.25" customHeight="1" x14ac:dyDescent="0.25">
      <c r="E34" s="83"/>
      <c r="F34" s="83"/>
      <c r="G34" s="83"/>
      <c r="H34" s="84" t="s">
        <v>163</v>
      </c>
      <c r="I34" s="85">
        <f>I21+I22+I23</f>
        <v>1.6740479999999998</v>
      </c>
      <c r="J34" s="85">
        <f>J21+J22+J23</f>
        <v>20.088576</v>
      </c>
      <c r="K34" s="83">
        <f>K21+K22+K23</f>
        <v>19.375555555555554</v>
      </c>
      <c r="L34" s="83">
        <f>L21+L22+L23</f>
        <v>2.4219444444444442</v>
      </c>
      <c r="M34" t="s">
        <v>164</v>
      </c>
      <c r="N34" t="s">
        <v>174</v>
      </c>
    </row>
    <row r="35" spans="5:14" ht="14.25" customHeight="1" x14ac:dyDescent="0.25">
      <c r="E35" s="86"/>
      <c r="F35" s="86"/>
      <c r="G35" s="86"/>
      <c r="H35" s="87" t="s">
        <v>165</v>
      </c>
      <c r="I35" s="88">
        <f>I26+I23+I22+I21</f>
        <v>2.6131979999999997</v>
      </c>
      <c r="J35" s="88">
        <f>J26+J23+J22+J21</f>
        <v>31.358376</v>
      </c>
      <c r="K35" s="86">
        <f>K26+K23+K22+K21</f>
        <v>30.245347222222222</v>
      </c>
      <c r="L35" s="86">
        <f>L26+L23+L22+L21</f>
        <v>3.7806684027777777</v>
      </c>
      <c r="M35" t="s">
        <v>166</v>
      </c>
      <c r="N35" t="s">
        <v>175</v>
      </c>
    </row>
    <row r="36" spans="5:14" ht="14.25" customHeight="1" x14ac:dyDescent="0.25">
      <c r="E36" s="89"/>
      <c r="F36" s="89"/>
      <c r="G36" s="89"/>
      <c r="H36" s="90" t="s">
        <v>167</v>
      </c>
      <c r="I36" s="91">
        <f>I26+I24+I23+I22+I21</f>
        <v>3.1195979999999999</v>
      </c>
      <c r="J36" s="91">
        <f>J26+J24+J23+J22+J21</f>
        <v>37.435175999999998</v>
      </c>
      <c r="K36" s="89">
        <f>K26+K24+K23+K22+K21</f>
        <v>36.106458333333336</v>
      </c>
      <c r="L36" s="89">
        <f>L26+L24+L23+L22+L21</f>
        <v>4.513307291666667</v>
      </c>
      <c r="M36" t="s">
        <v>168</v>
      </c>
    </row>
    <row r="37" spans="5:14" ht="14.25" customHeight="1" x14ac:dyDescent="0.25">
      <c r="E37" s="92"/>
      <c r="F37" s="92"/>
      <c r="G37" s="92"/>
      <c r="H37" s="93" t="s">
        <v>169</v>
      </c>
      <c r="I37" s="94">
        <f>SUM(I21:I26)</f>
        <v>3.3562979999999998</v>
      </c>
      <c r="J37" s="94">
        <f>SUM(J21:J26)</f>
        <v>40.275576000000001</v>
      </c>
      <c r="K37" s="92">
        <f>SUM(K21:K26)</f>
        <v>38.846041666666665</v>
      </c>
      <c r="L37" s="92">
        <f>SUM(L21:L26)</f>
        <v>4.8557552083333331</v>
      </c>
      <c r="M37" t="s">
        <v>170</v>
      </c>
    </row>
    <row r="38" spans="5:14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0.50639999999999996</v>
      </c>
      <c r="J38" s="97">
        <f t="shared" si="3"/>
        <v>6.0767999999999995</v>
      </c>
      <c r="K38" s="98">
        <f t="shared" si="3"/>
        <v>5.8611111111111107</v>
      </c>
      <c r="L38" s="98">
        <f t="shared" si="3"/>
        <v>0.73263888888888884</v>
      </c>
      <c r="M38" t="s">
        <v>171</v>
      </c>
    </row>
    <row r="39" spans="5:14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2.8403999999999998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699"/>
  </sheetPr>
  <dimension ref="C3:S39"/>
  <sheetViews>
    <sheetView topLeftCell="A19" zoomScaleNormal="100" workbookViewId="0">
      <selection activeCell="C24" activeCellId="1" sqref="P21:P26 C24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2" max="12" width="9.140625" customWidth="1"/>
  </cols>
  <sheetData>
    <row r="3" spans="3:19" ht="15" x14ac:dyDescent="0.25">
      <c r="C3" s="49" t="s">
        <v>125</v>
      </c>
      <c r="D3" s="49"/>
      <c r="E3" s="49">
        <v>25118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119</v>
      </c>
      <c r="F5" s="67">
        <v>0</v>
      </c>
      <c r="G5" s="67">
        <v>0</v>
      </c>
      <c r="H5" s="12">
        <f>E5+(F5+G5/60)/24</f>
        <v>119</v>
      </c>
      <c r="I5" s="4"/>
      <c r="L5" s="4"/>
      <c r="M5" s="67">
        <v>135</v>
      </c>
      <c r="N5" s="67">
        <v>0</v>
      </c>
      <c r="O5" s="67">
        <v>0</v>
      </c>
    </row>
    <row r="6" spans="3:19" ht="15" x14ac:dyDescent="0.25">
      <c r="D6" t="s">
        <v>134</v>
      </c>
      <c r="E6" s="67">
        <v>160</v>
      </c>
      <c r="F6" s="67">
        <v>0</v>
      </c>
      <c r="G6" s="67">
        <v>0</v>
      </c>
      <c r="H6" s="12">
        <f>E6+(F6+G6/60)/24</f>
        <v>160</v>
      </c>
      <c r="I6" s="12">
        <f>H6-H5</f>
        <v>41</v>
      </c>
      <c r="K6" s="67" t="s">
        <v>135</v>
      </c>
      <c r="L6" s="4"/>
      <c r="M6" s="67">
        <v>160</v>
      </c>
      <c r="N6" s="67">
        <v>0</v>
      </c>
      <c r="O6" s="67">
        <v>0</v>
      </c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/>
      <c r="I8" s="4"/>
      <c r="L8" s="4"/>
      <c r="M8" s="4"/>
      <c r="N8" s="4"/>
    </row>
    <row r="9" spans="3:19" ht="15" x14ac:dyDescent="0.25">
      <c r="D9" t="s">
        <v>134</v>
      </c>
      <c r="E9" s="67"/>
      <c r="F9" s="67"/>
      <c r="G9" s="67"/>
      <c r="H9" s="12"/>
      <c r="I9" s="12"/>
      <c r="K9" s="67"/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120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5" ht="15" x14ac:dyDescent="0.25">
      <c r="E17" t="s">
        <v>93</v>
      </c>
      <c r="F17" s="43">
        <v>7200</v>
      </c>
    </row>
    <row r="18" spans="4:15" ht="15" x14ac:dyDescent="0.25">
      <c r="E18" t="s">
        <v>115</v>
      </c>
      <c r="F18" s="43">
        <v>1800</v>
      </c>
    </row>
    <row r="19" spans="4:15" ht="14.25" customHeight="1" x14ac:dyDescent="0.25">
      <c r="L19" s="72" t="s">
        <v>146</v>
      </c>
    </row>
    <row r="20" spans="4:15" ht="15" x14ac:dyDescent="0.25">
      <c r="D20" t="s">
        <v>147</v>
      </c>
      <c r="H20" s="4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5" ht="15" x14ac:dyDescent="0.25">
      <c r="E21" t="s">
        <v>15</v>
      </c>
      <c r="F21" s="4" t="s">
        <v>119</v>
      </c>
      <c r="H21" s="12">
        <f>I$6+I$9</f>
        <v>41</v>
      </c>
      <c r="I21" s="12">
        <f>IF(I15=2,(VLOOKUP($I$16,'Packet size and rates'!G110:AH115, 16,FALSE())), (VLOOKUP($I$16,'Packet size and rates'!G103:AH108, 16,FALSE())))*('Packet size and rates'!V117/F14)</f>
        <v>1.43136</v>
      </c>
      <c r="J21" s="73">
        <f t="shared" ref="J21:J26" si="0">H21*I21</f>
        <v>58.685760000000002</v>
      </c>
      <c r="K21" s="74">
        <f t="shared" ref="K21:K26" si="1">1000000*I21/(24*3600)</f>
        <v>16.566666666666666</v>
      </c>
      <c r="L21" s="75">
        <f t="shared" ref="L21:L26" si="2">K21/8</f>
        <v>2.0708333333333333</v>
      </c>
      <c r="M21" s="76" t="s">
        <v>151</v>
      </c>
      <c r="N21" s="75"/>
    </row>
    <row r="22" spans="4:15" ht="15" x14ac:dyDescent="0.25">
      <c r="E22" t="s">
        <v>93</v>
      </c>
      <c r="F22" s="4" t="s">
        <v>120</v>
      </c>
      <c r="H22" s="12">
        <f>I$6+I$9</f>
        <v>41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8.9425919999999994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</row>
    <row r="23" spans="4:15" ht="15" x14ac:dyDescent="0.25">
      <c r="E23" t="s">
        <v>115</v>
      </c>
      <c r="F23" s="4" t="s">
        <v>121</v>
      </c>
      <c r="H23" s="12">
        <f>I$6+I$9</f>
        <v>41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1.0076160000000001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</row>
    <row r="24" spans="4:15" ht="15" x14ac:dyDescent="0.25">
      <c r="E24" t="s">
        <v>80</v>
      </c>
      <c r="F24" s="4" t="s">
        <v>116</v>
      </c>
      <c r="H24" s="12">
        <f>IF(K$9="yes",I$9,0)+IF(K$6="yes",I$6,0)</f>
        <v>41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20.7624</v>
      </c>
      <c r="K24" s="74">
        <f t="shared" si="1"/>
        <v>5.8611111111111107</v>
      </c>
      <c r="L24" s="75">
        <f t="shared" si="2"/>
        <v>0.73263888888888884</v>
      </c>
      <c r="M24" s="76" t="s">
        <v>154</v>
      </c>
      <c r="N24" s="76"/>
    </row>
    <row r="25" spans="4:15" ht="15" x14ac:dyDescent="0.25">
      <c r="E25" t="s">
        <v>155</v>
      </c>
      <c r="F25" s="4" t="s">
        <v>118</v>
      </c>
      <c r="H25" s="12">
        <f>IF(K$9="yes",I$9,0)+IF(K$6="yes",I$6,0)</f>
        <v>41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9.704699999999999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</row>
    <row r="26" spans="4:15" ht="15" x14ac:dyDescent="0.25">
      <c r="E26" s="31" t="s">
        <v>157</v>
      </c>
      <c r="F26" s="77" t="s">
        <v>158</v>
      </c>
      <c r="G26" s="31"/>
      <c r="H26" s="78">
        <f>IF(K$9="yes",I$9,0)+IF(K$6="yes",I$6,0)</f>
        <v>41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38.50515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</row>
    <row r="27" spans="4:15" ht="15" x14ac:dyDescent="0.25">
      <c r="E27" s="66" t="s">
        <v>160</v>
      </c>
      <c r="I27" s="73">
        <f>SUM(I21:I26)</f>
        <v>3.3562979999999998</v>
      </c>
      <c r="J27" s="73">
        <f>SUM(J21:J26)</f>
        <v>137.60821800000002</v>
      </c>
      <c r="K27" s="80">
        <f>SUM(K21:K26)</f>
        <v>38.846041666666665</v>
      </c>
      <c r="L27" s="80">
        <f>SUM(L21:L26)</f>
        <v>4.8557552083333331</v>
      </c>
    </row>
    <row r="29" spans="4:15" ht="15" x14ac:dyDescent="0.25">
      <c r="E29" t="s">
        <v>161</v>
      </c>
      <c r="J29" s="4">
        <f>1.6*G11</f>
        <v>1.6</v>
      </c>
    </row>
    <row r="30" spans="4:15" ht="15" x14ac:dyDescent="0.25">
      <c r="E30" s="31"/>
      <c r="F30" s="31"/>
      <c r="G30" s="31"/>
      <c r="H30" s="31"/>
      <c r="I30" s="31"/>
      <c r="J30" s="77"/>
    </row>
    <row r="31" spans="4:15" ht="15" x14ac:dyDescent="0.25">
      <c r="E31" s="66" t="s">
        <v>162</v>
      </c>
      <c r="F31" s="66"/>
      <c r="G31" s="66"/>
      <c r="H31" s="66"/>
      <c r="I31" s="66"/>
      <c r="J31" s="81">
        <f>J27+J29</f>
        <v>139.20821800000002</v>
      </c>
    </row>
    <row r="33" spans="5:14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4" ht="14.25" customHeight="1" x14ac:dyDescent="0.25">
      <c r="E34" s="83"/>
      <c r="F34" s="83"/>
      <c r="G34" s="83"/>
      <c r="H34" s="84" t="s">
        <v>163</v>
      </c>
      <c r="I34" s="85">
        <f>I21+I22+I23</f>
        <v>1.6740479999999998</v>
      </c>
      <c r="J34" s="85">
        <f>J21+J22+J23</f>
        <v>68.635968000000005</v>
      </c>
      <c r="K34" s="83">
        <f>K21+K22+K23</f>
        <v>19.375555555555554</v>
      </c>
      <c r="L34" s="83">
        <f>L21+L22+L23</f>
        <v>2.4219444444444442</v>
      </c>
      <c r="M34" t="s">
        <v>164</v>
      </c>
      <c r="N34" t="s">
        <v>174</v>
      </c>
    </row>
    <row r="35" spans="5:14" ht="14.25" customHeight="1" x14ac:dyDescent="0.25">
      <c r="E35" s="86"/>
      <c r="F35" s="86"/>
      <c r="G35" s="86"/>
      <c r="H35" s="87" t="s">
        <v>165</v>
      </c>
      <c r="I35" s="88">
        <f>I26+I23+I22+I21</f>
        <v>2.6131979999999997</v>
      </c>
      <c r="J35" s="88">
        <f>J26+J23+J22+J21</f>
        <v>107.14111800000001</v>
      </c>
      <c r="K35" s="86">
        <f>K26+K23+K22+K21</f>
        <v>30.245347222222222</v>
      </c>
      <c r="L35" s="86">
        <f>L26+L23+L22+L21</f>
        <v>3.7806684027777777</v>
      </c>
      <c r="M35" t="s">
        <v>166</v>
      </c>
      <c r="N35" t="s">
        <v>175</v>
      </c>
    </row>
    <row r="36" spans="5:14" ht="14.25" customHeight="1" x14ac:dyDescent="0.25">
      <c r="E36" s="89"/>
      <c r="F36" s="89"/>
      <c r="G36" s="89"/>
      <c r="H36" s="90" t="s">
        <v>167</v>
      </c>
      <c r="I36" s="91">
        <f>I26+I24+I23+I22+I21</f>
        <v>3.1195979999999999</v>
      </c>
      <c r="J36" s="91">
        <f>J26+J24+J23+J22+J21</f>
        <v>127.90351800000001</v>
      </c>
      <c r="K36" s="89">
        <f>K26+K24+K23+K22+K21</f>
        <v>36.106458333333336</v>
      </c>
      <c r="L36" s="89">
        <f>L26+L24+L23+L22+L21</f>
        <v>4.513307291666667</v>
      </c>
      <c r="M36" t="s">
        <v>168</v>
      </c>
    </row>
    <row r="37" spans="5:14" ht="14.25" customHeight="1" x14ac:dyDescent="0.25">
      <c r="E37" s="92"/>
      <c r="F37" s="92"/>
      <c r="G37" s="92"/>
      <c r="H37" s="93" t="s">
        <v>169</v>
      </c>
      <c r="I37" s="94">
        <f>SUM(I21:I26)</f>
        <v>3.3562979999999998</v>
      </c>
      <c r="J37" s="94">
        <f>SUM(J21:J26)</f>
        <v>137.60821800000002</v>
      </c>
      <c r="K37" s="92">
        <f>SUM(K21:K26)</f>
        <v>38.846041666666665</v>
      </c>
      <c r="L37" s="92">
        <f>SUM(L21:L26)</f>
        <v>4.8557552083333331</v>
      </c>
      <c r="M37" t="s">
        <v>170</v>
      </c>
    </row>
    <row r="38" spans="5:14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0.50639999999999996</v>
      </c>
      <c r="J38" s="97">
        <f t="shared" si="3"/>
        <v>20.7624</v>
      </c>
      <c r="K38" s="98">
        <f t="shared" si="3"/>
        <v>5.8611111111111107</v>
      </c>
      <c r="L38" s="98">
        <f t="shared" si="3"/>
        <v>0.73263888888888884</v>
      </c>
      <c r="M38" t="s">
        <v>171</v>
      </c>
    </row>
    <row r="39" spans="5:14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9.704699999999999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E699"/>
  </sheetPr>
  <dimension ref="C3:S39"/>
  <sheetViews>
    <sheetView topLeftCell="D31" zoomScaleNormal="100" workbookViewId="0">
      <selection activeCell="P21" sqref="P21:P26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2" max="12" width="9.140625" customWidth="1"/>
  </cols>
  <sheetData>
    <row r="3" spans="3:19" ht="15" x14ac:dyDescent="0.25">
      <c r="C3" s="49" t="s">
        <v>125</v>
      </c>
      <c r="D3" s="49"/>
      <c r="E3" s="49">
        <v>25139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135</v>
      </c>
      <c r="F5" s="67">
        <v>13</v>
      </c>
      <c r="G5" s="67">
        <v>16</v>
      </c>
      <c r="H5" s="12">
        <f>E5+(F5+G5/60)/24</f>
        <v>135.55277777777778</v>
      </c>
      <c r="I5" s="4"/>
      <c r="L5" s="4"/>
      <c r="M5" s="4"/>
      <c r="N5" s="4"/>
    </row>
    <row r="6" spans="3:19" ht="15" x14ac:dyDescent="0.25">
      <c r="D6" t="s">
        <v>134</v>
      </c>
      <c r="E6" s="67">
        <v>160</v>
      </c>
      <c r="F6" s="67">
        <v>3</v>
      </c>
      <c r="G6" s="67">
        <v>2</v>
      </c>
      <c r="H6" s="12">
        <f>E6+(F6+G6/60)/24</f>
        <v>160.1263888888889</v>
      </c>
      <c r="I6" s="12">
        <f>H6-H5</f>
        <v>24.57361111111112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/>
      <c r="I8" s="4"/>
      <c r="L8" s="4"/>
      <c r="M8" s="4"/>
      <c r="N8" s="4"/>
    </row>
    <row r="9" spans="3:19" ht="15" x14ac:dyDescent="0.25">
      <c r="D9" t="s">
        <v>134</v>
      </c>
      <c r="E9" s="67"/>
      <c r="F9" s="67"/>
      <c r="G9" s="67"/>
      <c r="H9" s="12"/>
      <c r="I9" s="12"/>
      <c r="K9" s="67"/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120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6" ht="15" x14ac:dyDescent="0.25">
      <c r="E17" t="s">
        <v>93</v>
      </c>
      <c r="F17" s="43">
        <v>7200</v>
      </c>
    </row>
    <row r="18" spans="4:16" ht="15" x14ac:dyDescent="0.25">
      <c r="E18" t="s">
        <v>115</v>
      </c>
      <c r="F18" s="43">
        <v>1800</v>
      </c>
    </row>
    <row r="19" spans="4:16" ht="14.25" customHeight="1" x14ac:dyDescent="0.25">
      <c r="L19" s="72" t="s">
        <v>146</v>
      </c>
    </row>
    <row r="20" spans="4:16" ht="15" x14ac:dyDescent="0.25">
      <c r="D20" t="s">
        <v>147</v>
      </c>
      <c r="H20" s="4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6" ht="15" x14ac:dyDescent="0.25">
      <c r="E21" t="s">
        <v>15</v>
      </c>
      <c r="F21" s="4" t="s">
        <v>119</v>
      </c>
      <c r="H21" s="12">
        <f>I$6+I$9</f>
        <v>24.57361111111112</v>
      </c>
      <c r="I21" s="12">
        <f>IF(I15=2,(VLOOKUP($I$16,'Packet size and rates'!G110:AH115, 16,FALSE())), (VLOOKUP($I$16,'Packet size and rates'!G103:AH108, 16,FALSE())))*('Packet size and rates'!V117/F14)</f>
        <v>1.43136</v>
      </c>
      <c r="J21" s="73">
        <f t="shared" ref="J21:J26" si="0">H21*I21</f>
        <v>35.173684000000009</v>
      </c>
      <c r="K21" s="74">
        <f t="shared" ref="K21:K26" si="1">1000000*I21/(24*3600)</f>
        <v>16.566666666666666</v>
      </c>
      <c r="L21" s="75">
        <f t="shared" ref="L21:L26" si="2">K21/8</f>
        <v>2.0708333333333333</v>
      </c>
      <c r="M21" s="76" t="s">
        <v>151</v>
      </c>
      <c r="N21" s="75"/>
      <c r="P21">
        <v>16.566666666666698</v>
      </c>
    </row>
    <row r="22" spans="4:16" ht="15" x14ac:dyDescent="0.25">
      <c r="E22" t="s">
        <v>93</v>
      </c>
      <c r="F22" s="4" t="s">
        <v>120</v>
      </c>
      <c r="H22" s="12">
        <f>I$6+I$9</f>
        <v>24.57361111111112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5.3597994666666677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P22">
        <v>2.5244444444444398</v>
      </c>
    </row>
    <row r="23" spans="4:16" ht="15" x14ac:dyDescent="0.25">
      <c r="E23" t="s">
        <v>115</v>
      </c>
      <c r="F23" s="4" t="s">
        <v>121</v>
      </c>
      <c r="H23" s="12">
        <f>I$6+I$9</f>
        <v>24.57361111111112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0.60392106666666689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4:16" ht="15" x14ac:dyDescent="0.25">
      <c r="E24" t="s">
        <v>80</v>
      </c>
      <c r="F24" s="4" t="s">
        <v>116</v>
      </c>
      <c r="H24" s="12">
        <f>IF(K$9="yes",I$9,0)+IF(K$6="yes",I$6,0)</f>
        <v>24.57361111111112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12.444076666666669</v>
      </c>
      <c r="K24" s="74">
        <f t="shared" si="1"/>
        <v>5.8611111111111107</v>
      </c>
      <c r="L24" s="75">
        <f t="shared" si="2"/>
        <v>0.73263888888888884</v>
      </c>
      <c r="M24" s="76" t="s">
        <v>154</v>
      </c>
      <c r="N24" s="76"/>
      <c r="P24">
        <v>5.8611111111111098</v>
      </c>
    </row>
    <row r="25" spans="4:16" ht="15" x14ac:dyDescent="0.25">
      <c r="E25" t="s">
        <v>155</v>
      </c>
      <c r="F25" s="4" t="s">
        <v>118</v>
      </c>
      <c r="H25" s="12">
        <f>IF(K$9="yes",I$9,0)+IF(K$6="yes",I$6,0)</f>
        <v>24.57361111111112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5.8165737500000017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  <c r="P25">
        <v>2.7395833333333299</v>
      </c>
    </row>
    <row r="26" spans="4:16" ht="15" x14ac:dyDescent="0.25">
      <c r="E26" s="31" t="s">
        <v>157</v>
      </c>
      <c r="F26" s="77" t="s">
        <v>158</v>
      </c>
      <c r="G26" s="31"/>
      <c r="H26" s="78">
        <f>IF(K$9="yes",I$9,0)+IF(K$6="yes",I$6,0)</f>
        <v>24.57361111111112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23.07830687500001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  <c r="P26">
        <v>10.8697916666667</v>
      </c>
    </row>
    <row r="27" spans="4:16" ht="15" x14ac:dyDescent="0.25">
      <c r="E27" s="66" t="s">
        <v>160</v>
      </c>
      <c r="I27" s="73">
        <f>SUM(I21:I26)</f>
        <v>3.3562979999999998</v>
      </c>
      <c r="J27" s="73">
        <f>SUM(J21:J26)</f>
        <v>82.476361825000026</v>
      </c>
      <c r="K27" s="80">
        <f>SUM(K21:K26)</f>
        <v>38.846041666666665</v>
      </c>
      <c r="L27" s="80">
        <f>SUM(L21:L26)</f>
        <v>4.8557552083333331</v>
      </c>
    </row>
    <row r="29" spans="4:16" ht="15" x14ac:dyDescent="0.25">
      <c r="E29" t="s">
        <v>161</v>
      </c>
      <c r="J29" s="4">
        <f>1.6*G11</f>
        <v>1.6</v>
      </c>
    </row>
    <row r="30" spans="4:16" ht="15" x14ac:dyDescent="0.25">
      <c r="E30" s="31"/>
      <c r="F30" s="31"/>
      <c r="G30" s="31"/>
      <c r="H30" s="31"/>
      <c r="I30" s="31"/>
      <c r="J30" s="77"/>
    </row>
    <row r="31" spans="4:16" ht="15" x14ac:dyDescent="0.25">
      <c r="E31" s="66" t="s">
        <v>162</v>
      </c>
      <c r="F31" s="66"/>
      <c r="G31" s="66"/>
      <c r="H31" s="66"/>
      <c r="I31" s="66"/>
      <c r="J31" s="81">
        <f>J27+J29</f>
        <v>84.076361825000021</v>
      </c>
    </row>
    <row r="33" spans="5:14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4" ht="14.25" customHeight="1" x14ac:dyDescent="0.25">
      <c r="E34" s="83"/>
      <c r="F34" s="83"/>
      <c r="G34" s="83"/>
      <c r="H34" s="84" t="s">
        <v>163</v>
      </c>
      <c r="I34" s="85">
        <f>I21+I22+I23</f>
        <v>1.6740479999999998</v>
      </c>
      <c r="J34" s="85">
        <f>J21+J22+J23</f>
        <v>41.137404533333338</v>
      </c>
      <c r="K34" s="83">
        <f>K21+K22+K23</f>
        <v>19.375555555555554</v>
      </c>
      <c r="L34" s="83">
        <f>L21+L22+L23</f>
        <v>2.4219444444444442</v>
      </c>
      <c r="M34" t="s">
        <v>164</v>
      </c>
      <c r="N34" t="s">
        <v>174</v>
      </c>
    </row>
    <row r="35" spans="5:14" ht="14.25" customHeight="1" x14ac:dyDescent="0.25">
      <c r="E35" s="86"/>
      <c r="F35" s="86"/>
      <c r="G35" s="86"/>
      <c r="H35" s="87" t="s">
        <v>165</v>
      </c>
      <c r="I35" s="88">
        <f>I26+I23+I22+I21</f>
        <v>2.6131979999999997</v>
      </c>
      <c r="J35" s="88">
        <f>J26+J23+J22+J21</f>
        <v>64.215711408333362</v>
      </c>
      <c r="K35" s="86">
        <f>K26+K23+K22+K21</f>
        <v>30.245347222222222</v>
      </c>
      <c r="L35" s="86">
        <f>L26+L23+L22+L21</f>
        <v>3.7806684027777777</v>
      </c>
      <c r="M35" t="s">
        <v>166</v>
      </c>
      <c r="N35" t="s">
        <v>175</v>
      </c>
    </row>
    <row r="36" spans="5:14" ht="14.25" customHeight="1" x14ac:dyDescent="0.25">
      <c r="E36" s="89"/>
      <c r="F36" s="89"/>
      <c r="G36" s="89"/>
      <c r="H36" s="90" t="s">
        <v>167</v>
      </c>
      <c r="I36" s="91">
        <f>I26+I24+I23+I22+I21</f>
        <v>3.1195979999999999</v>
      </c>
      <c r="J36" s="91">
        <f>J26+J24+J23+J22+J21</f>
        <v>76.659788075000023</v>
      </c>
      <c r="K36" s="89">
        <f>K26+K24+K23+K22+K21</f>
        <v>36.106458333333336</v>
      </c>
      <c r="L36" s="89">
        <f>L26+L24+L23+L22+L21</f>
        <v>4.513307291666667</v>
      </c>
      <c r="M36" t="s">
        <v>168</v>
      </c>
    </row>
    <row r="37" spans="5:14" ht="14.25" customHeight="1" x14ac:dyDescent="0.25">
      <c r="E37" s="92"/>
      <c r="F37" s="92"/>
      <c r="G37" s="92"/>
      <c r="H37" s="93" t="s">
        <v>169</v>
      </c>
      <c r="I37" s="94">
        <f>SUM(I21:I26)</f>
        <v>3.3562979999999998</v>
      </c>
      <c r="J37" s="94">
        <f>SUM(J21:J26)</f>
        <v>82.476361825000026</v>
      </c>
      <c r="K37" s="92">
        <f>SUM(K21:K26)</f>
        <v>38.846041666666665</v>
      </c>
      <c r="L37" s="92">
        <f>SUM(L21:L26)</f>
        <v>4.8557552083333331</v>
      </c>
      <c r="M37" t="s">
        <v>170</v>
      </c>
    </row>
    <row r="38" spans="5:14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0.50639999999999996</v>
      </c>
      <c r="J38" s="97">
        <f t="shared" si="3"/>
        <v>12.444076666666669</v>
      </c>
      <c r="K38" s="98">
        <f t="shared" si="3"/>
        <v>5.8611111111111107</v>
      </c>
      <c r="L38" s="98">
        <f t="shared" si="3"/>
        <v>0.73263888888888884</v>
      </c>
      <c r="M38" t="s">
        <v>171</v>
      </c>
    </row>
    <row r="39" spans="5:14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5.8165737500000017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E699"/>
  </sheetPr>
  <dimension ref="C2:V42"/>
  <sheetViews>
    <sheetView topLeftCell="D1" zoomScaleNormal="100" workbookViewId="0">
      <selection activeCell="G1" sqref="G1"/>
    </sheetView>
  </sheetViews>
  <sheetFormatPr defaultColWidth="8.7109375" defaultRowHeight="14.25" customHeight="1" x14ac:dyDescent="0.25"/>
  <cols>
    <col min="5" max="5" width="14.140625" customWidth="1"/>
    <col min="10" max="10" width="9.85546875" customWidth="1"/>
    <col min="11" max="11" width="11" customWidth="1"/>
    <col min="12" max="12" width="10.42578125" customWidth="1"/>
  </cols>
  <sheetData>
    <row r="2" spans="3:19" ht="14.25" customHeight="1" x14ac:dyDescent="0.25">
      <c r="N2" s="67">
        <v>160</v>
      </c>
      <c r="O2" s="67">
        <v>3</v>
      </c>
      <c r="P2" s="67">
        <v>11</v>
      </c>
    </row>
    <row r="3" spans="3:19" ht="15" x14ac:dyDescent="0.25">
      <c r="C3" s="49" t="s">
        <v>125</v>
      </c>
      <c r="D3" s="49"/>
      <c r="E3" s="49">
        <v>25159</v>
      </c>
      <c r="N3" s="67">
        <v>178</v>
      </c>
      <c r="O3" s="67">
        <v>19</v>
      </c>
      <c r="P3" s="67">
        <v>30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160</v>
      </c>
      <c r="F5" s="67">
        <v>3</v>
      </c>
      <c r="G5" s="67">
        <v>11</v>
      </c>
      <c r="H5" s="12">
        <f>E5+(F5+G5/60)/24</f>
        <v>160.13263888888889</v>
      </c>
      <c r="I5" s="4"/>
      <c r="L5" s="4"/>
      <c r="M5" s="4"/>
      <c r="N5" s="4"/>
    </row>
    <row r="6" spans="3:19" ht="15" x14ac:dyDescent="0.25">
      <c r="D6" t="s">
        <v>134</v>
      </c>
      <c r="E6" s="67">
        <v>178</v>
      </c>
      <c r="F6" s="67">
        <v>19</v>
      </c>
      <c r="G6" s="67">
        <v>30</v>
      </c>
      <c r="H6" s="12">
        <f>E6+(F6+G6/60)/24</f>
        <v>178.8125</v>
      </c>
      <c r="I6" s="12">
        <f>H6-H5</f>
        <v>18.679861111111109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>
        <v>178</v>
      </c>
      <c r="F8" s="67">
        <v>19</v>
      </c>
      <c r="G8" s="67">
        <v>30</v>
      </c>
      <c r="H8" s="12">
        <f>E8+(F8+G8/60)/24</f>
        <v>178.8125</v>
      </c>
      <c r="I8" s="4"/>
      <c r="L8" s="4"/>
      <c r="M8" s="4"/>
      <c r="N8" s="4"/>
    </row>
    <row r="9" spans="3:19" ht="15" x14ac:dyDescent="0.25">
      <c r="D9" t="s">
        <v>134</v>
      </c>
      <c r="E9" s="67">
        <v>181</v>
      </c>
      <c r="F9" s="67">
        <v>2</v>
      </c>
      <c r="G9" s="67">
        <v>10</v>
      </c>
      <c r="H9" s="12">
        <f>E9+(F9+G9/60)/24</f>
        <v>181.09027777777777</v>
      </c>
      <c r="I9" s="12">
        <f>H9-H8</f>
        <v>2.2777777777777715</v>
      </c>
      <c r="K9" s="67" t="s">
        <v>135</v>
      </c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180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110</v>
      </c>
      <c r="H16" s="10" t="s">
        <v>144</v>
      </c>
      <c r="I16" s="4">
        <f>IF(F16=101,106, F16)</f>
        <v>110</v>
      </c>
      <c r="J16" s="71" t="s">
        <v>145</v>
      </c>
    </row>
    <row r="17" spans="4:16" ht="15" x14ac:dyDescent="0.25">
      <c r="E17" t="s">
        <v>93</v>
      </c>
      <c r="F17" s="43">
        <v>7200</v>
      </c>
    </row>
    <row r="18" spans="4:16" ht="15" x14ac:dyDescent="0.25">
      <c r="E18" t="s">
        <v>115</v>
      </c>
      <c r="F18" s="43">
        <v>1800</v>
      </c>
    </row>
    <row r="19" spans="4:16" ht="14.25" customHeight="1" x14ac:dyDescent="0.25">
      <c r="L19" s="72" t="s">
        <v>146</v>
      </c>
    </row>
    <row r="20" spans="4:16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6" ht="15" x14ac:dyDescent="0.25">
      <c r="E21" t="s">
        <v>15</v>
      </c>
      <c r="F21" s="4" t="s">
        <v>119</v>
      </c>
      <c r="H21" s="12">
        <f>I$6+I$9</f>
        <v>20.95763888888888</v>
      </c>
      <c r="I21" s="12">
        <f>IF(I15=2,(VLOOKUP($I$16,'Packet size and rates'!G110:AH115, 16,FALSE())), (VLOOKUP($I$16,'Packet size and rates'!G103:AH108, 16,FALSE())))*('Packet size and rates'!V117/F14)</f>
        <v>0.95423999999999998</v>
      </c>
      <c r="J21" s="73">
        <f t="shared" ref="J21:J26" si="0">H21*I21</f>
        <v>19.998617333333325</v>
      </c>
      <c r="K21" s="74">
        <f t="shared" ref="K21:K26" si="1">1000000*I21/(24*3600)</f>
        <v>11.044444444444444</v>
      </c>
      <c r="L21" s="75">
        <f t="shared" ref="L21:L26" si="2">K21/8</f>
        <v>1.3805555555555555</v>
      </c>
      <c r="M21" s="76" t="s">
        <v>151</v>
      </c>
      <c r="N21" s="75"/>
      <c r="P21">
        <v>11.0444444444444</v>
      </c>
    </row>
    <row r="22" spans="4:16" ht="15" x14ac:dyDescent="0.25">
      <c r="E22" t="s">
        <v>93</v>
      </c>
      <c r="F22" s="4" t="s">
        <v>120</v>
      </c>
      <c r="H22" s="12">
        <f>I$6+I$9</f>
        <v>20.95763888888888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4.5711125333333307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P22">
        <v>2.5244444444444398</v>
      </c>
    </row>
    <row r="23" spans="4:16" ht="15" x14ac:dyDescent="0.25">
      <c r="E23" t="s">
        <v>115</v>
      </c>
      <c r="F23" s="4" t="s">
        <v>121</v>
      </c>
      <c r="H23" s="12">
        <f>I$6+I$9</f>
        <v>20.95763888888888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0.51505493333333308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4:16" ht="15" x14ac:dyDescent="0.25">
      <c r="E24" t="s">
        <v>80</v>
      </c>
      <c r="F24" s="4" t="s">
        <v>116</v>
      </c>
      <c r="H24" s="12">
        <f>IF(K$9="yes",I$9,0)+IF(K$6="yes",I$6,0)</f>
        <v>20.95763888888888</v>
      </c>
      <c r="I24" s="12">
        <f>IF(I15=2,(VLOOKUP($I$16,'Packet size and rates'!G110:AH115, 25,FALSE())), (VLOOKUP($I$16,'Packet size and rates'!G103:AH108, 25,FALSE())))</f>
        <v>36.460799999999999</v>
      </c>
      <c r="J24" s="73">
        <f t="shared" si="0"/>
        <v>764.1322799999997</v>
      </c>
      <c r="K24" s="74">
        <f t="shared" si="1"/>
        <v>422</v>
      </c>
      <c r="L24" s="75">
        <f t="shared" si="2"/>
        <v>52.75</v>
      </c>
      <c r="M24" s="76" t="s">
        <v>154</v>
      </c>
      <c r="N24" s="76"/>
      <c r="P24">
        <v>422</v>
      </c>
    </row>
    <row r="25" spans="4:16" ht="15" x14ac:dyDescent="0.25">
      <c r="E25" t="s">
        <v>155</v>
      </c>
      <c r="F25" s="4" t="s">
        <v>118</v>
      </c>
      <c r="H25" s="12">
        <f>IF(K$9="yes",I$9,0)+IF(K$6="yes",I$6,0)</f>
        <v>20.95763888888888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4.9606731249999978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  <c r="P25">
        <v>2.7395833333333299</v>
      </c>
    </row>
    <row r="26" spans="4:16" ht="15" x14ac:dyDescent="0.25">
      <c r="E26" s="31" t="s">
        <v>157</v>
      </c>
      <c r="F26" s="77" t="s">
        <v>158</v>
      </c>
      <c r="G26" s="31"/>
      <c r="H26" s="78">
        <f>IF(K$9="yes",I$9,0)+IF(K$6="yes",I$6,0)</f>
        <v>20.95763888888888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19.682366562499993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  <c r="P26">
        <v>10.8697916666667</v>
      </c>
    </row>
    <row r="27" spans="4:16" ht="15" x14ac:dyDescent="0.25">
      <c r="E27" s="66" t="s">
        <v>160</v>
      </c>
      <c r="I27" s="73">
        <f>SUM(I21:I26)</f>
        <v>38.833577999999996</v>
      </c>
      <c r="J27" s="73">
        <f>SUM(J21:J26)</f>
        <v>813.8601044874996</v>
      </c>
      <c r="K27" s="80">
        <f>SUM(K21:K26)</f>
        <v>449.46270833333335</v>
      </c>
      <c r="L27" s="80">
        <f>SUM(L21:L26)</f>
        <v>56.182838541666669</v>
      </c>
    </row>
    <row r="29" spans="4:16" ht="15" x14ac:dyDescent="0.25">
      <c r="E29" t="s">
        <v>161</v>
      </c>
      <c r="J29" s="4">
        <v>1.6</v>
      </c>
    </row>
    <row r="30" spans="4:16" ht="15" x14ac:dyDescent="0.25">
      <c r="E30" s="31"/>
      <c r="F30" s="31"/>
      <c r="G30" s="31"/>
      <c r="H30" s="31"/>
      <c r="I30" s="31"/>
      <c r="J30" s="77"/>
    </row>
    <row r="31" spans="4:16" ht="15" x14ac:dyDescent="0.25">
      <c r="E31" s="66" t="s">
        <v>162</v>
      </c>
      <c r="F31" s="66"/>
      <c r="G31" s="66"/>
      <c r="H31" s="66"/>
      <c r="I31" s="66"/>
      <c r="J31" s="81">
        <f>J27+J29</f>
        <v>815.46010448749962</v>
      </c>
    </row>
    <row r="33" spans="5:22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  <c r="S33">
        <v>64.22</v>
      </c>
      <c r="T33">
        <v>25139</v>
      </c>
      <c r="U33" t="s">
        <v>183</v>
      </c>
    </row>
    <row r="34" spans="5:22" ht="14.25" customHeight="1" x14ac:dyDescent="0.25">
      <c r="E34" s="83"/>
      <c r="F34" s="83"/>
      <c r="G34" s="83"/>
      <c r="H34" s="84" t="s">
        <v>163</v>
      </c>
      <c r="I34" s="85">
        <f>I21+I22+I23</f>
        <v>1.196928</v>
      </c>
      <c r="J34" s="85">
        <f>J21+J22+J23</f>
        <v>25.084784799999987</v>
      </c>
      <c r="K34" s="83">
        <f>K21+K22+K23</f>
        <v>13.853333333333333</v>
      </c>
      <c r="L34" s="83">
        <f>L21+L22+L23</f>
        <v>1.7316666666666667</v>
      </c>
      <c r="M34" t="s">
        <v>164</v>
      </c>
      <c r="O34" t="s">
        <v>174</v>
      </c>
      <c r="S34">
        <v>39.9</v>
      </c>
      <c r="T34">
        <v>25159</v>
      </c>
      <c r="U34" t="s">
        <v>184</v>
      </c>
    </row>
    <row r="35" spans="5:22" ht="14.25" customHeight="1" x14ac:dyDescent="0.25">
      <c r="E35" s="86"/>
      <c r="F35" s="86"/>
      <c r="G35" s="86"/>
      <c r="H35" s="87" t="s">
        <v>165</v>
      </c>
      <c r="I35" s="88">
        <f>I26+I23+I22+I21</f>
        <v>2.1360779999999999</v>
      </c>
      <c r="J35" s="88">
        <f>J26+J23+J22+J21</f>
        <v>44.76715136249998</v>
      </c>
      <c r="K35" s="86">
        <f>K26+K23+K22+K21</f>
        <v>24.723125</v>
      </c>
      <c r="L35" s="86">
        <f>L26+L23+L22+L21</f>
        <v>3.0903906249999999</v>
      </c>
      <c r="M35" t="s">
        <v>166</v>
      </c>
      <c r="N35" t="s">
        <v>175</v>
      </c>
      <c r="S35">
        <f>64.22+39.9</f>
        <v>104.12</v>
      </c>
      <c r="T35" t="s">
        <v>185</v>
      </c>
      <c r="U35" t="s">
        <v>186</v>
      </c>
    </row>
    <row r="36" spans="5:22" ht="14.25" customHeight="1" x14ac:dyDescent="0.25">
      <c r="E36" s="89"/>
      <c r="F36" s="89"/>
      <c r="G36" s="89"/>
      <c r="H36" s="90" t="s">
        <v>167</v>
      </c>
      <c r="I36" s="91">
        <f>I26+I24+I23+I22+I21</f>
        <v>38.596877999999997</v>
      </c>
      <c r="J36" s="91">
        <f>J26+J24+J23+J22+J21</f>
        <v>808.89943136249963</v>
      </c>
      <c r="K36" s="89">
        <f>K26+K24+K23+K22+K21</f>
        <v>446.72312499999998</v>
      </c>
      <c r="L36" s="89">
        <f>L26+L24+L23+L22+L21</f>
        <v>55.840390624999998</v>
      </c>
      <c r="M36" t="s">
        <v>168</v>
      </c>
    </row>
    <row r="37" spans="5:22" ht="14.25" customHeight="1" x14ac:dyDescent="0.25">
      <c r="E37" s="92"/>
      <c r="F37" s="92"/>
      <c r="G37" s="92"/>
      <c r="H37" s="93" t="s">
        <v>169</v>
      </c>
      <c r="I37" s="94">
        <f>SUM(I21:I26)</f>
        <v>38.833577999999996</v>
      </c>
      <c r="J37" s="94">
        <f>SUM(J21:J26)</f>
        <v>813.8601044874996</v>
      </c>
      <c r="K37" s="92">
        <f>SUM(K21:K26)</f>
        <v>449.46270833333335</v>
      </c>
      <c r="L37" s="92">
        <f>SUM(L21:L26)</f>
        <v>56.182838541666669</v>
      </c>
      <c r="M37" t="s">
        <v>170</v>
      </c>
    </row>
    <row r="38" spans="5:22" ht="14.25" customHeight="1" x14ac:dyDescent="0.25">
      <c r="E38" s="95"/>
      <c r="F38" s="95"/>
      <c r="G38" s="95"/>
      <c r="H38" s="96" t="s">
        <v>90</v>
      </c>
      <c r="I38" s="97">
        <f t="shared" ref="I38:L39" si="3">I24</f>
        <v>36.460799999999999</v>
      </c>
      <c r="J38" s="97">
        <f t="shared" si="3"/>
        <v>764.1322799999997</v>
      </c>
      <c r="K38" s="98">
        <f t="shared" si="3"/>
        <v>422</v>
      </c>
      <c r="L38" s="98">
        <f t="shared" si="3"/>
        <v>52.75</v>
      </c>
      <c r="M38" t="s">
        <v>171</v>
      </c>
      <c r="S38">
        <v>4.87</v>
      </c>
      <c r="U38" t="s">
        <v>187</v>
      </c>
      <c r="V38" t="s">
        <v>188</v>
      </c>
    </row>
    <row r="39" spans="5:22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4.9606731249999978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  <row r="40" spans="5:22" ht="14.25" customHeight="1" x14ac:dyDescent="0.25">
      <c r="E40" s="102"/>
      <c r="F40" s="102"/>
      <c r="G40" s="102"/>
      <c r="H40" s="103" t="s">
        <v>189</v>
      </c>
      <c r="I40" s="104">
        <f>I26+I25</f>
        <v>1.1758500000000001</v>
      </c>
      <c r="J40" s="104">
        <f>J26+J25</f>
        <v>24.643039687499993</v>
      </c>
      <c r="K40" s="104">
        <f>K26+K25</f>
        <v>13.609375</v>
      </c>
      <c r="L40" s="104">
        <f>L26+L25</f>
        <v>1.701171875</v>
      </c>
      <c r="M40" t="s">
        <v>170</v>
      </c>
    </row>
    <row r="41" spans="5:22" ht="14.25" customHeight="1" x14ac:dyDescent="0.25">
      <c r="E41" s="105"/>
      <c r="F41" s="105"/>
      <c r="G41" s="105"/>
      <c r="H41" s="106" t="s">
        <v>190</v>
      </c>
      <c r="I41" s="107">
        <f>I21+I23+I24+I25</f>
        <v>37.676316</v>
      </c>
      <c r="J41" s="107">
        <f>J21+J23+J24+J25</f>
        <v>789.60662539166628</v>
      </c>
      <c r="K41" s="107">
        <f>K21+K23+K24+K25</f>
        <v>436.06847222222223</v>
      </c>
      <c r="L41" s="107">
        <f>L21+L23+L24+L25</f>
        <v>54.508559027777778</v>
      </c>
      <c r="M41" t="s">
        <v>191</v>
      </c>
    </row>
    <row r="42" spans="5:22" ht="14.25" customHeight="1" x14ac:dyDescent="0.25">
      <c r="E42" s="108"/>
      <c r="F42" s="108"/>
      <c r="G42" s="108"/>
      <c r="H42" s="109" t="s">
        <v>192</v>
      </c>
      <c r="I42" s="110">
        <f>I22+I25+I26</f>
        <v>1.3939620000000001</v>
      </c>
      <c r="J42" s="110">
        <f>J22+J25+J26</f>
        <v>29.21415222083332</v>
      </c>
      <c r="K42" s="110">
        <f>K22+K25+K26</f>
        <v>16.133819444444445</v>
      </c>
      <c r="L42" s="110">
        <f>L22+L25+L26</f>
        <v>2.0167274305555556</v>
      </c>
      <c r="M42" t="s">
        <v>193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E699"/>
  </sheetPr>
  <dimension ref="C2:T43"/>
  <sheetViews>
    <sheetView zoomScaleNormal="100" workbookViewId="0">
      <selection activeCell="C9" sqref="C9"/>
    </sheetView>
  </sheetViews>
  <sheetFormatPr defaultColWidth="8.7109375" defaultRowHeight="14.25" customHeight="1" x14ac:dyDescent="0.25"/>
  <cols>
    <col min="5" max="5" width="14.140625" customWidth="1"/>
    <col min="11" max="11" width="10.7109375" customWidth="1"/>
  </cols>
  <sheetData>
    <row r="2" spans="3:19" ht="14.25" customHeight="1" x14ac:dyDescent="0.25">
      <c r="N2" s="67">
        <v>188</v>
      </c>
      <c r="O2" s="67">
        <v>5</v>
      </c>
      <c r="P2" s="67">
        <v>28</v>
      </c>
    </row>
    <row r="3" spans="3:19" ht="15" x14ac:dyDescent="0.25">
      <c r="C3" s="49" t="s">
        <v>125</v>
      </c>
      <c r="D3" s="49"/>
      <c r="E3" s="49">
        <v>25181</v>
      </c>
      <c r="N3" s="67">
        <v>202</v>
      </c>
      <c r="O3" s="67">
        <v>2</v>
      </c>
      <c r="P3" s="67">
        <v>6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181</v>
      </c>
      <c r="F5" s="67">
        <v>3</v>
      </c>
      <c r="G5" s="67">
        <v>15</v>
      </c>
      <c r="H5" s="12">
        <f>E5+(F5+G5/60)/24</f>
        <v>181.13541666666666</v>
      </c>
      <c r="I5" s="4"/>
      <c r="L5" s="4"/>
      <c r="M5" s="4"/>
      <c r="N5" s="67">
        <v>181</v>
      </c>
      <c r="O5" s="67">
        <v>3</v>
      </c>
      <c r="P5" s="67">
        <v>10</v>
      </c>
    </row>
    <row r="6" spans="3:19" ht="15" x14ac:dyDescent="0.25">
      <c r="D6" t="s">
        <v>134</v>
      </c>
      <c r="E6" s="67">
        <v>201</v>
      </c>
      <c r="F6" s="67">
        <v>17</v>
      </c>
      <c r="G6" s="67">
        <v>35</v>
      </c>
      <c r="H6" s="12">
        <f>E6+(F6+G6/60)/24</f>
        <v>201.73263888888889</v>
      </c>
      <c r="I6" s="12">
        <f>H6-H5</f>
        <v>20.597222222222229</v>
      </c>
      <c r="K6" s="67" t="s">
        <v>135</v>
      </c>
      <c r="L6" s="4"/>
      <c r="M6" s="4"/>
      <c r="N6" s="67">
        <v>201</v>
      </c>
      <c r="O6" s="67">
        <v>17</v>
      </c>
      <c r="P6" s="67">
        <v>35</v>
      </c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>
        <v>206</v>
      </c>
      <c r="F8" s="67">
        <v>20</v>
      </c>
      <c r="G8" s="67">
        <v>15</v>
      </c>
      <c r="H8" s="12">
        <f>E8+(F8+G8/60)/24</f>
        <v>206.84375</v>
      </c>
      <c r="I8" s="4"/>
      <c r="L8" s="4"/>
      <c r="M8" s="4"/>
      <c r="N8" s="67">
        <v>206</v>
      </c>
      <c r="O8" s="67">
        <v>20</v>
      </c>
      <c r="P8" s="67">
        <v>15</v>
      </c>
    </row>
    <row r="9" spans="3:19" ht="15" x14ac:dyDescent="0.25">
      <c r="D9" t="s">
        <v>134</v>
      </c>
      <c r="E9" s="67">
        <v>207</v>
      </c>
      <c r="F9" s="67">
        <v>17</v>
      </c>
      <c r="G9" s="67">
        <v>23</v>
      </c>
      <c r="H9" s="12">
        <f>E9+(F9+G9/60)/24</f>
        <v>207.72430555555556</v>
      </c>
      <c r="I9" s="12">
        <f>H9-H8</f>
        <v>0.88055555555555998</v>
      </c>
      <c r="K9" s="67" t="s">
        <v>194</v>
      </c>
      <c r="L9" s="12"/>
      <c r="M9" s="4"/>
      <c r="N9" s="67">
        <v>207</v>
      </c>
      <c r="O9" s="67">
        <v>0</v>
      </c>
      <c r="P9" s="67">
        <v>0</v>
      </c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180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105</v>
      </c>
      <c r="H16" s="10" t="s">
        <v>144</v>
      </c>
      <c r="I16" s="4">
        <f>IF(F16=101,106, F16)</f>
        <v>105</v>
      </c>
      <c r="J16" s="71" t="s">
        <v>145</v>
      </c>
    </row>
    <row r="17" spans="4:17" ht="15" x14ac:dyDescent="0.25">
      <c r="E17" t="s">
        <v>93</v>
      </c>
      <c r="F17" s="43">
        <v>7200</v>
      </c>
    </row>
    <row r="18" spans="4:17" ht="15" x14ac:dyDescent="0.25">
      <c r="E18" t="s">
        <v>115</v>
      </c>
      <c r="F18" s="43">
        <v>1800</v>
      </c>
    </row>
    <row r="19" spans="4:17" ht="14.25" customHeight="1" x14ac:dyDescent="0.25">
      <c r="L19" s="72" t="s">
        <v>146</v>
      </c>
    </row>
    <row r="20" spans="4:17" ht="15" x14ac:dyDescent="0.25">
      <c r="D20" t="s">
        <v>147</v>
      </c>
      <c r="H20" s="4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7" ht="15" x14ac:dyDescent="0.25">
      <c r="E21" t="s">
        <v>15</v>
      </c>
      <c r="F21" s="4" t="s">
        <v>119</v>
      </c>
      <c r="H21" s="12">
        <f>I$6+I$9</f>
        <v>21.477777777777789</v>
      </c>
      <c r="I21" s="12">
        <f>IF(I15=2,(VLOOKUP($I$16,'Packet size and rates'!G110:AH115, 16,FALSE())), (VLOOKUP($I$16,'Packet size and rates'!G103:AH108, 16,FALSE())))*('Packet size and rates'!V117/F14)</f>
        <v>0.95423999999999998</v>
      </c>
      <c r="J21" s="73">
        <f t="shared" ref="J21:J26" si="0">H21*I21</f>
        <v>20.494954666666676</v>
      </c>
      <c r="K21" s="74">
        <f t="shared" ref="K21:K26" si="1">1000000*I21/(24*3600)</f>
        <v>11.044444444444444</v>
      </c>
      <c r="L21" s="75">
        <f t="shared" ref="L21:L26" si="2">K21/8</f>
        <v>1.3805555555555555</v>
      </c>
      <c r="M21" s="76" t="s">
        <v>151</v>
      </c>
      <c r="N21" s="75"/>
      <c r="P21">
        <v>11.0444444444444</v>
      </c>
      <c r="Q21">
        <v>1.38055555555556</v>
      </c>
    </row>
    <row r="22" spans="4:17" ht="15" x14ac:dyDescent="0.25">
      <c r="E22" t="s">
        <v>93</v>
      </c>
      <c r="F22" s="4" t="s">
        <v>120</v>
      </c>
      <c r="H22" s="12">
        <f>I$6+I$9</f>
        <v>21.477777777777789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4.6845610666666682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P22">
        <v>2.5244444444444398</v>
      </c>
      <c r="Q22">
        <v>0.31555555555555598</v>
      </c>
    </row>
    <row r="23" spans="4:17" ht="15" x14ac:dyDescent="0.25">
      <c r="E23" t="s">
        <v>115</v>
      </c>
      <c r="F23" s="4" t="s">
        <v>121</v>
      </c>
      <c r="H23" s="12">
        <f>I$6+I$9</f>
        <v>21.477777777777789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0.52783786666666699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  <c r="Q23">
        <v>3.5555555555555597E-2</v>
      </c>
    </row>
    <row r="24" spans="4:17" ht="15" x14ac:dyDescent="0.25">
      <c r="E24" t="s">
        <v>80</v>
      </c>
      <c r="F24" s="4" t="s">
        <v>116</v>
      </c>
      <c r="H24" s="12">
        <f>IF(K$9="yes",I$9,0)+IF(K$6="yes",I$6,0)</f>
        <v>20.597222222222229</v>
      </c>
      <c r="I24" s="12">
        <f>IF(I15=2,(VLOOKUP($I$16,'Packet size and rates'!G110:AH115, 25,FALSE())), (VLOOKUP($I$16,'Packet size and rates'!G103:AH108, 25,FALSE())))</f>
        <v>0.25319999999999998</v>
      </c>
      <c r="J24" s="73">
        <f t="shared" si="0"/>
        <v>5.2152166666666675</v>
      </c>
      <c r="K24" s="74">
        <f t="shared" si="1"/>
        <v>2.9305555555555554</v>
      </c>
      <c r="L24" s="75">
        <f t="shared" si="2"/>
        <v>0.36631944444444442</v>
      </c>
      <c r="M24" s="76" t="s">
        <v>154</v>
      </c>
      <c r="N24" s="76"/>
      <c r="P24">
        <v>2.9305555555555598</v>
      </c>
      <c r="Q24">
        <v>0.36631944444444398</v>
      </c>
    </row>
    <row r="25" spans="4:17" ht="15" x14ac:dyDescent="0.25">
      <c r="E25" t="s">
        <v>155</v>
      </c>
      <c r="F25" s="4" t="s">
        <v>118</v>
      </c>
      <c r="H25" s="12">
        <f>IF(K$9="yes",I$9,0)+IF(K$6="yes",I$6,0)</f>
        <v>20.597222222222229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4.8753625000000014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  <c r="P25">
        <v>2.7395833333333299</v>
      </c>
      <c r="Q25">
        <v>0.34244791666666702</v>
      </c>
    </row>
    <row r="26" spans="4:17" ht="15" x14ac:dyDescent="0.25">
      <c r="E26" s="31" t="s">
        <v>157</v>
      </c>
      <c r="F26" s="77" t="s">
        <v>158</v>
      </c>
      <c r="G26" s="31"/>
      <c r="H26" s="78">
        <f>IF(K$9="yes",I$9,0)+IF(K$6="yes",I$6,0)</f>
        <v>20.597222222222229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19.343881250000006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  <c r="P26">
        <v>10.8697916666667</v>
      </c>
      <c r="Q26">
        <v>1.3587239583333299</v>
      </c>
    </row>
    <row r="27" spans="4:17" ht="15" x14ac:dyDescent="0.25">
      <c r="E27" s="66" t="s">
        <v>160</v>
      </c>
      <c r="I27" s="73">
        <f>SUM(I21:I26)</f>
        <v>2.6259779999999999</v>
      </c>
      <c r="J27" s="73">
        <f>SUM(J21:J26)</f>
        <v>55.141814016666686</v>
      </c>
      <c r="K27" s="80">
        <f>SUM(K21:K26)</f>
        <v>30.393263888888889</v>
      </c>
      <c r="L27" s="80">
        <f>SUM(L21:L26)</f>
        <v>3.7991579861111111</v>
      </c>
    </row>
    <row r="29" spans="4:17" ht="15" x14ac:dyDescent="0.25">
      <c r="E29" t="s">
        <v>161</v>
      </c>
      <c r="J29" s="4">
        <f>1.6*G11</f>
        <v>1.6</v>
      </c>
    </row>
    <row r="30" spans="4:17" ht="15" x14ac:dyDescent="0.25">
      <c r="E30" s="31"/>
      <c r="F30" s="31"/>
      <c r="G30" s="31"/>
      <c r="H30" s="31"/>
      <c r="I30" s="31"/>
      <c r="J30" s="77"/>
    </row>
    <row r="31" spans="4:17" ht="15" x14ac:dyDescent="0.25">
      <c r="E31" s="66" t="s">
        <v>162</v>
      </c>
      <c r="F31" s="66"/>
      <c r="G31" s="66"/>
      <c r="H31" s="66"/>
      <c r="I31" s="66"/>
      <c r="J31" s="81">
        <f>J27+J29</f>
        <v>56.741814016666687</v>
      </c>
    </row>
    <row r="33" spans="5:20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20" ht="14.25" customHeight="1" x14ac:dyDescent="0.25">
      <c r="E34" s="83"/>
      <c r="F34" s="83"/>
      <c r="G34" s="83"/>
      <c r="H34" s="84" t="s">
        <v>163</v>
      </c>
      <c r="I34" s="85">
        <f>I21+I22+I23</f>
        <v>1.196928</v>
      </c>
      <c r="J34" s="85">
        <f>J21+J22+J23</f>
        <v>25.707353600000008</v>
      </c>
      <c r="K34" s="83">
        <f>K21+K22+K23</f>
        <v>13.853333333333333</v>
      </c>
      <c r="L34" s="83">
        <f>L21+L22+L23</f>
        <v>1.7316666666666667</v>
      </c>
      <c r="M34" t="s">
        <v>164</v>
      </c>
      <c r="N34" t="s">
        <v>174</v>
      </c>
    </row>
    <row r="35" spans="5:20" ht="14.25" customHeight="1" x14ac:dyDescent="0.25">
      <c r="E35" s="86"/>
      <c r="F35" s="86"/>
      <c r="G35" s="86"/>
      <c r="H35" s="87" t="s">
        <v>165</v>
      </c>
      <c r="I35" s="88">
        <f>I26+I23+I22+I21</f>
        <v>2.1360779999999999</v>
      </c>
      <c r="J35" s="88">
        <f>J26+J23+J22+J21</f>
        <v>45.051234850000014</v>
      </c>
      <c r="K35" s="86">
        <f>K26+K23+K22+K21</f>
        <v>24.723125</v>
      </c>
      <c r="L35" s="86">
        <f>L26+L23+L22+L21</f>
        <v>3.0903906249999999</v>
      </c>
      <c r="M35" t="s">
        <v>166</v>
      </c>
      <c r="N35" t="s">
        <v>175</v>
      </c>
      <c r="R35" t="s">
        <v>195</v>
      </c>
      <c r="S35" s="4">
        <v>44</v>
      </c>
      <c r="T35" t="s">
        <v>196</v>
      </c>
    </row>
    <row r="36" spans="5:20" ht="14.25" customHeight="1" x14ac:dyDescent="0.25">
      <c r="E36" s="89"/>
      <c r="F36" s="89"/>
      <c r="G36" s="89"/>
      <c r="H36" s="90" t="s">
        <v>167</v>
      </c>
      <c r="I36" s="91">
        <f>I26+I24+I23+I22+I21</f>
        <v>2.389278</v>
      </c>
      <c r="J36" s="91">
        <f>J26+J24+J23+J22+J21</f>
        <v>50.266451516666677</v>
      </c>
      <c r="K36" s="89">
        <f>K26+K24+K23+K22+K21</f>
        <v>27.653680555555553</v>
      </c>
      <c r="L36" s="89">
        <f>L26+L24+L23+L22+L21</f>
        <v>3.4567100694444441</v>
      </c>
      <c r="M36" t="s">
        <v>168</v>
      </c>
      <c r="R36" t="s">
        <v>197</v>
      </c>
      <c r="S36" s="4">
        <v>0.2</v>
      </c>
      <c r="T36" t="s">
        <v>198</v>
      </c>
    </row>
    <row r="37" spans="5:20" ht="14.25" customHeight="1" x14ac:dyDescent="0.25">
      <c r="E37" s="92"/>
      <c r="F37" s="92"/>
      <c r="G37" s="92"/>
      <c r="H37" s="93" t="s">
        <v>169</v>
      </c>
      <c r="I37" s="94">
        <f>SUM(I21:I26)</f>
        <v>2.6259779999999999</v>
      </c>
      <c r="J37" s="94">
        <f>SUM(J21:J26)</f>
        <v>55.141814016666686</v>
      </c>
      <c r="K37" s="92">
        <f>SUM(K21:K26)</f>
        <v>30.393263888888889</v>
      </c>
      <c r="L37" s="92">
        <f>SUM(L21:L26)</f>
        <v>3.7991579861111111</v>
      </c>
      <c r="M37" t="s">
        <v>170</v>
      </c>
    </row>
    <row r="38" spans="5:20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0.25319999999999998</v>
      </c>
      <c r="J38" s="97">
        <f t="shared" si="3"/>
        <v>5.2152166666666675</v>
      </c>
      <c r="K38" s="98">
        <f t="shared" si="3"/>
        <v>2.9305555555555554</v>
      </c>
      <c r="L38" s="98">
        <f t="shared" si="3"/>
        <v>0.36631944444444442</v>
      </c>
      <c r="M38" t="s">
        <v>171</v>
      </c>
    </row>
    <row r="39" spans="5:20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4.8753625000000014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  <row r="40" spans="5:20" ht="14.25" customHeight="1" x14ac:dyDescent="0.25">
      <c r="E40" s="102"/>
      <c r="F40" s="102"/>
      <c r="G40" s="102"/>
      <c r="H40" s="103" t="s">
        <v>189</v>
      </c>
      <c r="I40" s="104">
        <f>I26+I25</f>
        <v>1.1758500000000001</v>
      </c>
      <c r="J40" s="104">
        <f>J26+J25</f>
        <v>24.219243750000008</v>
      </c>
      <c r="K40" s="104">
        <f>K26+K25</f>
        <v>13.609375</v>
      </c>
      <c r="L40" s="104">
        <f>L26+L25</f>
        <v>1.701171875</v>
      </c>
      <c r="M40" t="s">
        <v>170</v>
      </c>
    </row>
    <row r="41" spans="5:20" ht="14.25" customHeight="1" x14ac:dyDescent="0.25">
      <c r="E41" s="105"/>
      <c r="F41" s="105"/>
      <c r="G41" s="105"/>
      <c r="H41" s="106" t="s">
        <v>190</v>
      </c>
      <c r="I41" s="107">
        <f>I21+I23+I24+I25</f>
        <v>1.4687159999999999</v>
      </c>
      <c r="J41" s="107">
        <f>J21+J23+J24+J25</f>
        <v>31.113371700000009</v>
      </c>
      <c r="K41" s="107">
        <f>K21+K23+K24+K25</f>
        <v>16.999027777777776</v>
      </c>
      <c r="L41" s="107">
        <f>L21+L23+L24+L25</f>
        <v>2.124878472222222</v>
      </c>
      <c r="M41" t="s">
        <v>191</v>
      </c>
    </row>
    <row r="42" spans="5:20" ht="14.25" customHeight="1" x14ac:dyDescent="0.25">
      <c r="E42" s="108"/>
      <c r="F42" s="108"/>
      <c r="G42" s="108"/>
      <c r="H42" s="109" t="s">
        <v>192</v>
      </c>
      <c r="I42" s="110">
        <f>I22+I25+I26</f>
        <v>1.3939620000000001</v>
      </c>
      <c r="J42" s="110">
        <f>J22+J25+J26</f>
        <v>28.903804816666675</v>
      </c>
      <c r="K42" s="110">
        <f>K22+K25+K26</f>
        <v>16.133819444444445</v>
      </c>
      <c r="L42" s="110">
        <f>L22+L25+L26</f>
        <v>2.0167274305555556</v>
      </c>
      <c r="M42" t="s">
        <v>193</v>
      </c>
    </row>
    <row r="43" spans="5:20" ht="14.25" customHeight="1" x14ac:dyDescent="0.25">
      <c r="E43" s="75"/>
      <c r="F43" s="75"/>
      <c r="G43" s="75"/>
      <c r="H43" s="111" t="s">
        <v>199</v>
      </c>
      <c r="I43" s="112">
        <f>I26+I22</f>
        <v>1.157262</v>
      </c>
      <c r="J43" s="112">
        <f>J26+J22</f>
        <v>24.028442316666673</v>
      </c>
      <c r="K43" s="112">
        <f>K26+K22</f>
        <v>13.394236111111111</v>
      </c>
      <c r="L43" s="112">
        <f>L26+L22</f>
        <v>1.6742795138888888</v>
      </c>
      <c r="M43" t="s">
        <v>200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699"/>
  </sheetPr>
  <dimension ref="C3:Z75"/>
  <sheetViews>
    <sheetView topLeftCell="C7" zoomScaleNormal="100" workbookViewId="0">
      <selection activeCell="I42" sqref="I42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3" max="13" width="24.7109375" customWidth="1"/>
  </cols>
  <sheetData>
    <row r="3" spans="3:19" ht="15" x14ac:dyDescent="0.25">
      <c r="C3" s="49" t="s">
        <v>125</v>
      </c>
      <c r="D3" s="49"/>
      <c r="E3" s="49">
        <v>25207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217</v>
      </c>
      <c r="F5" s="67">
        <v>17</v>
      </c>
      <c r="G5" s="67">
        <v>24</v>
      </c>
      <c r="H5" s="12">
        <f>E5+(F5+G5/60)/24</f>
        <v>217.72499999999999</v>
      </c>
      <c r="I5" s="4"/>
      <c r="L5" s="4"/>
      <c r="M5" s="4"/>
      <c r="N5" s="4"/>
    </row>
    <row r="6" spans="3:19" ht="15" x14ac:dyDescent="0.25">
      <c r="D6" t="s">
        <v>134</v>
      </c>
      <c r="E6" s="67">
        <v>218</v>
      </c>
      <c r="F6" s="67">
        <v>17</v>
      </c>
      <c r="G6" s="67">
        <v>27</v>
      </c>
      <c r="H6" s="12">
        <f>E6+(F6+G6/60)/24</f>
        <v>218.72708333333333</v>
      </c>
      <c r="I6" s="12">
        <f>H6-H5</f>
        <v>1.0020833333333314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>
        <f>E8+(F8+G8/60)/24</f>
        <v>0</v>
      </c>
      <c r="I8" s="4"/>
      <c r="L8" s="4"/>
      <c r="M8" s="67">
        <v>219</v>
      </c>
      <c r="N8" s="67">
        <v>3</v>
      </c>
      <c r="O8" s="67">
        <v>27</v>
      </c>
    </row>
    <row r="9" spans="3:19" ht="15" x14ac:dyDescent="0.25">
      <c r="D9" t="s">
        <v>134</v>
      </c>
      <c r="E9" s="67"/>
      <c r="F9" s="67"/>
      <c r="G9" s="67"/>
      <c r="H9" s="12">
        <f>E9+(F9+G9/60)/24</f>
        <v>0</v>
      </c>
      <c r="I9" s="12">
        <f>H9-H8</f>
        <v>0</v>
      </c>
      <c r="K9" s="67" t="s">
        <v>135</v>
      </c>
      <c r="L9" s="12"/>
      <c r="M9" s="67">
        <f>219+365-219+165</f>
        <v>530</v>
      </c>
      <c r="N9" s="67">
        <v>23</v>
      </c>
      <c r="O9" s="67">
        <v>0</v>
      </c>
    </row>
    <row r="10" spans="3:19" ht="15" x14ac:dyDescent="0.25">
      <c r="E10">
        <f>365-219</f>
        <v>146</v>
      </c>
      <c r="F10" s="15">
        <v>165</v>
      </c>
      <c r="G10">
        <f>219+F10+E10</f>
        <v>530</v>
      </c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360</v>
      </c>
    </row>
    <row r="15" spans="3:19" ht="15" x14ac:dyDescent="0.25">
      <c r="E15" t="s">
        <v>140</v>
      </c>
      <c r="F15" s="43">
        <v>104</v>
      </c>
      <c r="G15" s="4" t="s">
        <v>141</v>
      </c>
      <c r="H15" s="4" t="s">
        <v>142</v>
      </c>
      <c r="I15" s="4">
        <f>IF(F16=101,3,IF(F15=103,3,2))</f>
        <v>2</v>
      </c>
    </row>
    <row r="16" spans="3:19" ht="15" x14ac:dyDescent="0.25">
      <c r="E16" t="s">
        <v>143</v>
      </c>
      <c r="F16" s="43">
        <v>105</v>
      </c>
      <c r="H16" s="10" t="s">
        <v>144</v>
      </c>
      <c r="I16" s="4">
        <f>IF(F16=101,106, F16)</f>
        <v>105</v>
      </c>
      <c r="J16" s="71" t="s">
        <v>145</v>
      </c>
    </row>
    <row r="17" spans="4:22" ht="15" x14ac:dyDescent="0.25">
      <c r="E17" t="s">
        <v>93</v>
      </c>
      <c r="F17" s="43">
        <v>900</v>
      </c>
    </row>
    <row r="18" spans="4:22" ht="15" x14ac:dyDescent="0.25">
      <c r="E18" t="s">
        <v>115</v>
      </c>
      <c r="F18" s="43">
        <v>1800</v>
      </c>
    </row>
    <row r="19" spans="4:22" ht="14.25" customHeight="1" x14ac:dyDescent="0.25">
      <c r="L19" s="72" t="s">
        <v>146</v>
      </c>
    </row>
    <row r="20" spans="4:22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22" ht="15" x14ac:dyDescent="0.25">
      <c r="E21" t="s">
        <v>15</v>
      </c>
      <c r="F21" s="4" t="s">
        <v>119</v>
      </c>
      <c r="H21" s="12">
        <f>I$6+I$9</f>
        <v>1.0020833333333314</v>
      </c>
      <c r="I21" s="12">
        <f>IF(I15=2,(VLOOKUP($I$16,'Packet size and rates'!G110:AH115, 16,FALSE())), (VLOOKUP($I$16,'Packet size and rates'!G103:AH108, 16,FALSE())))*('Packet size and rates'!V117/F14)</f>
        <v>0.47711999999999999</v>
      </c>
      <c r="J21" s="73">
        <f t="shared" ref="J21:J26" si="0">H21*I21</f>
        <v>0.4781139999999991</v>
      </c>
      <c r="K21" s="74">
        <f t="shared" ref="K21:K26" si="1">1000000*I21/(24*3600)</f>
        <v>5.5222222222222221</v>
      </c>
      <c r="L21" s="75">
        <f t="shared" ref="L21:L26" si="2">K21/8</f>
        <v>0.69027777777777777</v>
      </c>
      <c r="M21" s="76" t="s">
        <v>151</v>
      </c>
      <c r="N21" s="75"/>
      <c r="P21" t="s">
        <v>308</v>
      </c>
    </row>
    <row r="22" spans="4:22" ht="15" x14ac:dyDescent="0.25">
      <c r="E22" t="s">
        <v>93</v>
      </c>
      <c r="F22" s="4" t="s">
        <v>120</v>
      </c>
      <c r="H22" s="12">
        <f>I$6+I$9</f>
        <v>1.0020833333333314</v>
      </c>
      <c r="I22" s="12">
        <f>IF(I15=2,(VLOOKUP($I$16,'Packet size and rates'!G110:AH115, 19,FALSE())), (VLOOKUP($I$16,'Packet size and rates'!G103:AH108, 19,FALSE())))*('Packet size and rates'!Y117/F17)</f>
        <v>1.7448959999999998</v>
      </c>
      <c r="J22" s="73">
        <f t="shared" si="0"/>
        <v>1.7485311999999964</v>
      </c>
      <c r="K22" s="74">
        <f t="shared" si="1"/>
        <v>20.195555555555554</v>
      </c>
      <c r="L22" s="75">
        <f t="shared" si="2"/>
        <v>2.5244444444444443</v>
      </c>
      <c r="M22" s="76" t="s">
        <v>152</v>
      </c>
      <c r="N22" s="75"/>
      <c r="P22">
        <v>20.1955555555556</v>
      </c>
    </row>
    <row r="23" spans="4:22" ht="15" x14ac:dyDescent="0.25">
      <c r="E23" t="s">
        <v>115</v>
      </c>
      <c r="F23" s="4" t="s">
        <v>121</v>
      </c>
      <c r="H23" s="12">
        <f>I$6+I$9</f>
        <v>1.0020833333333314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2.4627199999999953E-2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4:22" ht="15" x14ac:dyDescent="0.25">
      <c r="E24" t="s">
        <v>80</v>
      </c>
      <c r="F24" s="4" t="s">
        <v>116</v>
      </c>
      <c r="H24" s="12">
        <f>IF(K$9="yes",I$9,0)+IF(K$6="yes",I$6,0)</f>
        <v>1.0020833333333314</v>
      </c>
      <c r="I24" s="12">
        <f>IF(I15=2,(VLOOKUP($I$16,'Packet size and rates'!G110:AH115, 25,FALSE())), (VLOOKUP($I$16,'Packet size and rates'!G103:AH108, 25,FALSE())))</f>
        <v>0.37980000000000003</v>
      </c>
      <c r="J24" s="73">
        <f t="shared" si="0"/>
        <v>0.38059124999999933</v>
      </c>
      <c r="K24" s="74">
        <f t="shared" si="1"/>
        <v>4.395833333333333</v>
      </c>
      <c r="L24" s="75">
        <f t="shared" si="2"/>
        <v>0.54947916666666663</v>
      </c>
      <c r="M24" s="76" t="s">
        <v>154</v>
      </c>
      <c r="N24" s="76"/>
      <c r="P24">
        <v>4.3958333333333304</v>
      </c>
    </row>
    <row r="25" spans="4:22" ht="15" x14ac:dyDescent="0.25">
      <c r="E25" t="s">
        <v>155</v>
      </c>
      <c r="F25" s="4" t="s">
        <v>118</v>
      </c>
      <c r="H25" s="12">
        <f>IF(K$9="yes",I$9,0)+IF(K$6="yes",I$6,0)</f>
        <v>1.0020833333333314</v>
      </c>
      <c r="I25" s="12">
        <f>IF(I15=2,(VLOOKUP($I$16,'Packet size and rates'!G110:AH115, 5,FALSE())), (VLOOKUP($I$16,'Packet size and rates'!G103:AH108, 5,FALSE())))</f>
        <v>0.35504999999999998</v>
      </c>
      <c r="J25" s="73">
        <f t="shared" si="0"/>
        <v>0.35578968749999929</v>
      </c>
      <c r="K25" s="74">
        <f t="shared" si="1"/>
        <v>4.109375</v>
      </c>
      <c r="L25" s="75">
        <f t="shared" si="2"/>
        <v>0.513671875</v>
      </c>
      <c r="M25" s="76" t="s">
        <v>156</v>
      </c>
      <c r="N25" s="76"/>
      <c r="P25">
        <v>4.109375</v>
      </c>
    </row>
    <row r="26" spans="4:22" ht="15" x14ac:dyDescent="0.25">
      <c r="E26" s="31" t="s">
        <v>157</v>
      </c>
      <c r="F26" s="77" t="s">
        <v>158</v>
      </c>
      <c r="G26" s="31"/>
      <c r="H26" s="78">
        <f>IF(K$9="yes",I$9,0)+IF(K$6="yes",I$6,0)</f>
        <v>1.0020833333333314</v>
      </c>
      <c r="I26" s="78">
        <f>IF(I15=2,(VLOOKUP($I$16,'Packet size and rates'!G110:AH115, 8,FALSE())), (VLOOKUP($I$16,'Packet size and rates'!G103:AH108, 8,FALSE())))</f>
        <v>1.408725</v>
      </c>
      <c r="J26" s="79">
        <f t="shared" si="0"/>
        <v>1.4116598437499974</v>
      </c>
      <c r="K26" s="74">
        <f t="shared" si="1"/>
        <v>16.3046875</v>
      </c>
      <c r="L26" s="75">
        <f t="shared" si="2"/>
        <v>2.0380859375</v>
      </c>
      <c r="M26" s="76" t="s">
        <v>159</v>
      </c>
      <c r="N26" s="75"/>
      <c r="O26" s="75"/>
      <c r="P26">
        <v>16.3046875</v>
      </c>
    </row>
    <row r="27" spans="4:22" ht="15" x14ac:dyDescent="0.25">
      <c r="E27" s="66" t="s">
        <v>160</v>
      </c>
      <c r="I27" s="73">
        <f>SUM(I21:I26)</f>
        <v>4.3901669999999999</v>
      </c>
      <c r="J27" s="73">
        <f>SUM(J21:J26)</f>
        <v>4.3993131812499913</v>
      </c>
      <c r="K27" s="80">
        <f>SUM(K21:K26)</f>
        <v>50.812118055555551</v>
      </c>
      <c r="L27" s="80">
        <f>SUM(L21:L26)</f>
        <v>6.3515147569444439</v>
      </c>
    </row>
    <row r="29" spans="4:22" ht="15" x14ac:dyDescent="0.25">
      <c r="E29" t="s">
        <v>161</v>
      </c>
      <c r="J29" s="4">
        <f>1.6*G11</f>
        <v>1.6</v>
      </c>
    </row>
    <row r="30" spans="4:22" ht="15" x14ac:dyDescent="0.25">
      <c r="E30" s="31"/>
      <c r="F30" s="31"/>
      <c r="G30" s="31"/>
      <c r="H30" s="31"/>
      <c r="I30" s="31"/>
      <c r="J30" s="77"/>
    </row>
    <row r="31" spans="4:22" ht="15" x14ac:dyDescent="0.25">
      <c r="E31" s="66" t="s">
        <v>162</v>
      </c>
      <c r="F31" s="66"/>
      <c r="G31" s="66"/>
      <c r="H31" s="66"/>
      <c r="I31" s="66"/>
      <c r="J31" s="81">
        <f>J27+J29</f>
        <v>5.9993131812499918</v>
      </c>
      <c r="T31" s="4" t="s">
        <v>201</v>
      </c>
    </row>
    <row r="32" spans="4:22" ht="14.25" customHeight="1" x14ac:dyDescent="0.25">
      <c r="P32" s="4" t="s">
        <v>202</v>
      </c>
      <c r="Q32" s="4" t="s">
        <v>203</v>
      </c>
      <c r="R32" s="4">
        <v>159</v>
      </c>
      <c r="S32" s="4">
        <v>207</v>
      </c>
      <c r="T32" s="4">
        <f>S32-R32</f>
        <v>48</v>
      </c>
      <c r="U32" s="4">
        <f>V32*T32</f>
        <v>11.52</v>
      </c>
      <c r="V32">
        <v>0.24</v>
      </c>
    </row>
    <row r="33" spans="5:22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  <c r="R33" s="4">
        <v>207</v>
      </c>
      <c r="S33" s="4">
        <v>218</v>
      </c>
      <c r="T33" s="4">
        <f>S33-R33</f>
        <v>11</v>
      </c>
      <c r="U33" s="4">
        <f>V33*T33</f>
        <v>4.18</v>
      </c>
      <c r="V33">
        <v>0.38</v>
      </c>
    </row>
    <row r="34" spans="5:22" ht="14.25" customHeight="1" x14ac:dyDescent="0.25">
      <c r="E34" s="83"/>
      <c r="F34" s="83"/>
      <c r="G34" s="83"/>
      <c r="H34" s="84" t="s">
        <v>163</v>
      </c>
      <c r="I34" s="85">
        <f>I21+I22+I23</f>
        <v>2.2465920000000001</v>
      </c>
      <c r="J34" s="85">
        <f>J21+J22+J23</f>
        <v>2.2512723999999955</v>
      </c>
      <c r="K34" s="83">
        <f>K21+K22+K23</f>
        <v>26.002222222222219</v>
      </c>
      <c r="L34" s="83">
        <f>L21+L22+L23</f>
        <v>3.2502777777777774</v>
      </c>
      <c r="M34" t="s">
        <v>164</v>
      </c>
      <c r="N34" t="s">
        <v>174</v>
      </c>
      <c r="U34" s="4">
        <f>U33+U32</f>
        <v>15.7</v>
      </c>
    </row>
    <row r="35" spans="5:22" ht="14.25" customHeight="1" x14ac:dyDescent="0.25">
      <c r="E35" s="86"/>
      <c r="F35" s="86"/>
      <c r="G35" s="86"/>
      <c r="H35" s="87" t="s">
        <v>165</v>
      </c>
      <c r="I35" s="88">
        <f>I26+I23+I22+I21</f>
        <v>3.6553170000000001</v>
      </c>
      <c r="J35" s="88">
        <f>J26+J23+J22+J21</f>
        <v>3.6629322437499927</v>
      </c>
      <c r="K35" s="86">
        <f>K26+K23+K22+K21</f>
        <v>42.306909722222215</v>
      </c>
      <c r="L35" s="86">
        <f>L26+L23+L22+L21</f>
        <v>5.2883637152777769</v>
      </c>
      <c r="M35" t="s">
        <v>309</v>
      </c>
      <c r="N35" t="s">
        <v>175</v>
      </c>
      <c r="Q35">
        <v>40.22</v>
      </c>
      <c r="R35" t="s">
        <v>196</v>
      </c>
      <c r="S35" t="s">
        <v>204</v>
      </c>
    </row>
    <row r="36" spans="5:22" ht="14.25" customHeight="1" x14ac:dyDescent="0.25">
      <c r="E36" s="89"/>
      <c r="F36" s="89"/>
      <c r="G36" s="89"/>
      <c r="H36" s="90" t="s">
        <v>167</v>
      </c>
      <c r="I36" s="91">
        <f>I26+I24+I23+I22+I21</f>
        <v>4.0351169999999996</v>
      </c>
      <c r="J36" s="91">
        <f>J26+J24+J23+J22+J21</f>
        <v>4.0435234937499915</v>
      </c>
      <c r="K36" s="89">
        <f>K26+K24+K23+K22+K21</f>
        <v>46.702743055555558</v>
      </c>
      <c r="L36" s="89">
        <f>L26+L24+L23+L22+L21</f>
        <v>5.8378428819444448</v>
      </c>
      <c r="M36" t="s">
        <v>310</v>
      </c>
    </row>
    <row r="37" spans="5:22" ht="14.25" customHeight="1" x14ac:dyDescent="0.25">
      <c r="E37" s="92"/>
      <c r="F37" s="92"/>
      <c r="G37" s="92"/>
      <c r="H37" s="93" t="s">
        <v>169</v>
      </c>
      <c r="I37" s="94">
        <f>SUM(I21:I26)</f>
        <v>4.3901669999999999</v>
      </c>
      <c r="J37" s="94">
        <f>SUM(J21:J26)</f>
        <v>4.3993131812499913</v>
      </c>
      <c r="K37" s="92">
        <f>SUM(K21:K26)</f>
        <v>50.812118055555551</v>
      </c>
      <c r="L37" s="92">
        <f>SUM(L21:L26)</f>
        <v>6.3515147569444439</v>
      </c>
      <c r="M37" t="s">
        <v>170</v>
      </c>
    </row>
    <row r="38" spans="5:22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0.37980000000000003</v>
      </c>
      <c r="J38" s="97">
        <f t="shared" si="3"/>
        <v>0.38059124999999933</v>
      </c>
      <c r="K38" s="98">
        <f t="shared" si="3"/>
        <v>4.395833333333333</v>
      </c>
      <c r="L38" s="98">
        <f t="shared" si="3"/>
        <v>0.54947916666666663</v>
      </c>
      <c r="M38" t="s">
        <v>205</v>
      </c>
      <c r="R38" t="s">
        <v>206</v>
      </c>
      <c r="S38" t="s">
        <v>207</v>
      </c>
    </row>
    <row r="39" spans="5:22" ht="14.25" customHeight="1" x14ac:dyDescent="0.25">
      <c r="E39" s="99"/>
      <c r="F39" s="99"/>
      <c r="G39" s="99"/>
      <c r="H39" s="100" t="s">
        <v>172</v>
      </c>
      <c r="I39" s="101">
        <f t="shared" si="3"/>
        <v>0.35504999999999998</v>
      </c>
      <c r="J39" s="101">
        <f t="shared" si="3"/>
        <v>0.35578968749999929</v>
      </c>
      <c r="K39" s="101">
        <f t="shared" si="3"/>
        <v>4.109375</v>
      </c>
      <c r="L39" s="101">
        <f t="shared" si="3"/>
        <v>0.513671875</v>
      </c>
      <c r="M39" t="s">
        <v>173</v>
      </c>
      <c r="Q39">
        <v>25096</v>
      </c>
      <c r="R39">
        <v>16</v>
      </c>
      <c r="S39">
        <f>T39+U39+V39</f>
        <v>41</v>
      </c>
      <c r="T39">
        <v>5</v>
      </c>
      <c r="U39">
        <v>6</v>
      </c>
      <c r="V39">
        <v>30</v>
      </c>
    </row>
    <row r="40" spans="5:22" ht="14.25" customHeight="1" x14ac:dyDescent="0.25">
      <c r="E40" s="102"/>
      <c r="F40" s="102"/>
      <c r="G40" s="102"/>
      <c r="H40" s="103" t="s">
        <v>189</v>
      </c>
      <c r="I40" s="104">
        <f>I26+I25</f>
        <v>1.7637749999999999</v>
      </c>
      <c r="J40" s="104">
        <f>J26+J25</f>
        <v>1.7674495312499967</v>
      </c>
      <c r="K40" s="104">
        <f>K26+K25</f>
        <v>20.4140625</v>
      </c>
      <c r="L40" s="104">
        <f>L26+L25</f>
        <v>2.5517578125</v>
      </c>
      <c r="M40" t="s">
        <v>170</v>
      </c>
      <c r="Q40">
        <v>25118</v>
      </c>
      <c r="R40">
        <v>18</v>
      </c>
      <c r="S40">
        <f>T40+U40+V40</f>
        <v>47</v>
      </c>
      <c r="T40">
        <v>5</v>
      </c>
      <c r="U40">
        <v>7</v>
      </c>
      <c r="V40">
        <v>35</v>
      </c>
    </row>
    <row r="41" spans="5:22" ht="14.25" customHeight="1" x14ac:dyDescent="0.25">
      <c r="E41" s="105"/>
      <c r="F41" s="105"/>
      <c r="G41" s="105"/>
      <c r="H41" s="106" t="s">
        <v>190</v>
      </c>
      <c r="I41" s="107">
        <f>I21+I23+I24+I25</f>
        <v>1.2365460000000001</v>
      </c>
      <c r="J41" s="107">
        <f>J21+J23+J24+J25</f>
        <v>1.2391221374999977</v>
      </c>
      <c r="K41" s="107">
        <f>K21+K23+K24+K25</f>
        <v>14.311875000000001</v>
      </c>
      <c r="L41" s="107">
        <f>L21+L23+L24+L25</f>
        <v>1.7889843750000001</v>
      </c>
      <c r="M41" t="s">
        <v>191</v>
      </c>
      <c r="Q41">
        <v>25138</v>
      </c>
      <c r="R41">
        <v>66</v>
      </c>
      <c r="S41">
        <f>T41+U41+V41</f>
        <v>54</v>
      </c>
      <c r="T41">
        <v>4</v>
      </c>
      <c r="U41">
        <v>8</v>
      </c>
      <c r="V41">
        <v>42</v>
      </c>
    </row>
    <row r="42" spans="5:22" ht="14.25" customHeight="1" x14ac:dyDescent="0.25">
      <c r="E42" s="108"/>
      <c r="F42" s="108"/>
      <c r="G42" s="108"/>
      <c r="H42" s="109" t="s">
        <v>192</v>
      </c>
      <c r="I42" s="110">
        <f>I21+I23+I25</f>
        <v>0.85674600000000001</v>
      </c>
      <c r="J42" s="110">
        <f>J21+J23+J25</f>
        <v>0.85853088749999829</v>
      </c>
      <c r="K42" s="110">
        <f>K22+K25+K26</f>
        <v>40.609618055555558</v>
      </c>
      <c r="L42" s="110">
        <f>L22+L25+L26</f>
        <v>5.0762022569444447</v>
      </c>
      <c r="M42" t="s">
        <v>193</v>
      </c>
      <c r="Q42">
        <v>25159</v>
      </c>
      <c r="R42">
        <v>90</v>
      </c>
      <c r="S42">
        <f>T42+U42+V42</f>
        <v>146</v>
      </c>
      <c r="T42">
        <v>41</v>
      </c>
      <c r="V42">
        <v>105</v>
      </c>
    </row>
    <row r="43" spans="5:22" ht="14.25" customHeight="1" x14ac:dyDescent="0.25">
      <c r="E43" s="75"/>
      <c r="F43" s="75"/>
      <c r="G43" s="75"/>
      <c r="H43" s="111" t="s">
        <v>199</v>
      </c>
      <c r="I43" s="112">
        <f>I26+I22</f>
        <v>3.1536209999999998</v>
      </c>
      <c r="J43" s="112">
        <f>J26+J22</f>
        <v>3.160191043749994</v>
      </c>
      <c r="K43" s="112">
        <f>K26+K22</f>
        <v>36.500243055555558</v>
      </c>
      <c r="L43" s="112">
        <f>L26+L22</f>
        <v>4.5625303819444447</v>
      </c>
      <c r="M43" t="s">
        <v>200</v>
      </c>
      <c r="O43" t="s">
        <v>208</v>
      </c>
      <c r="Q43" t="s">
        <v>209</v>
      </c>
      <c r="R43">
        <v>23</v>
      </c>
    </row>
    <row r="44" spans="5:22" ht="14.25" customHeight="1" x14ac:dyDescent="0.25">
      <c r="O44">
        <f>304-P44</f>
        <v>130</v>
      </c>
      <c r="P44">
        <f>R44+S44</f>
        <v>174</v>
      </c>
      <c r="Q44">
        <v>25181</v>
      </c>
      <c r="R44" s="10">
        <v>125</v>
      </c>
      <c r="S44">
        <f>T44+U44+V44</f>
        <v>49</v>
      </c>
      <c r="V44">
        <v>49</v>
      </c>
    </row>
    <row r="45" spans="5:22" ht="14.25" customHeight="1" x14ac:dyDescent="0.25">
      <c r="K45" s="4" t="s">
        <v>210</v>
      </c>
      <c r="N45" s="4" t="s">
        <v>211</v>
      </c>
      <c r="Q45">
        <v>25207</v>
      </c>
      <c r="R45">
        <v>40</v>
      </c>
      <c r="S45">
        <f>T45+U45+V45</f>
        <v>40</v>
      </c>
      <c r="V45">
        <v>40</v>
      </c>
    </row>
    <row r="46" spans="5:22" ht="14.25" customHeight="1" x14ac:dyDescent="0.25">
      <c r="J46" s="4"/>
      <c r="K46" s="4" t="s">
        <v>212</v>
      </c>
      <c r="N46" s="4" t="s">
        <v>212</v>
      </c>
      <c r="Q46" t="s">
        <v>75</v>
      </c>
      <c r="R46">
        <f>SUM(R39:R45)</f>
        <v>378</v>
      </c>
      <c r="S46">
        <f>SUM(S39:S45)</f>
        <v>377</v>
      </c>
    </row>
    <row r="47" spans="5:22" ht="14.25" customHeight="1" x14ac:dyDescent="0.25">
      <c r="F47" s="10"/>
      <c r="K47" s="4">
        <v>16</v>
      </c>
      <c r="N47" s="4">
        <v>41</v>
      </c>
      <c r="O47" t="s">
        <v>213</v>
      </c>
    </row>
    <row r="48" spans="5:22" ht="14.25" customHeight="1" x14ac:dyDescent="0.25">
      <c r="K48" s="4">
        <v>18</v>
      </c>
      <c r="N48" s="4">
        <v>5</v>
      </c>
      <c r="O48" t="s">
        <v>214</v>
      </c>
      <c r="R48">
        <f>378-R40-R39</f>
        <v>344</v>
      </c>
    </row>
    <row r="49" spans="6:24" ht="14.25" customHeight="1" x14ac:dyDescent="0.25">
      <c r="J49" s="4"/>
      <c r="K49" s="4">
        <v>66</v>
      </c>
      <c r="N49" s="4">
        <v>5</v>
      </c>
      <c r="O49" t="s">
        <v>215</v>
      </c>
    </row>
    <row r="50" spans="6:24" ht="14.25" customHeight="1" x14ac:dyDescent="0.25">
      <c r="J50" s="4"/>
      <c r="K50" s="4">
        <v>90</v>
      </c>
      <c r="N50" s="4">
        <v>4</v>
      </c>
      <c r="O50" t="s">
        <v>216</v>
      </c>
    </row>
    <row r="51" spans="6:24" ht="14.25" customHeight="1" x14ac:dyDescent="0.25">
      <c r="J51" s="4"/>
      <c r="K51" s="4">
        <v>23</v>
      </c>
      <c r="N51" s="4">
        <v>6</v>
      </c>
      <c r="O51" t="s">
        <v>217</v>
      </c>
    </row>
    <row r="52" spans="6:24" ht="14.25" customHeight="1" x14ac:dyDescent="0.25">
      <c r="J52" s="4"/>
      <c r="K52" s="4"/>
      <c r="N52" s="4">
        <v>7</v>
      </c>
      <c r="O52" t="s">
        <v>218</v>
      </c>
    </row>
    <row r="53" spans="6:24" ht="14.25" customHeight="1" x14ac:dyDescent="0.25">
      <c r="J53" s="4"/>
      <c r="K53" s="4"/>
      <c r="N53" s="4">
        <v>8</v>
      </c>
      <c r="O53" t="s">
        <v>219</v>
      </c>
    </row>
    <row r="54" spans="6:24" ht="14.25" customHeight="1" x14ac:dyDescent="0.25">
      <c r="J54" s="4"/>
      <c r="K54" s="4"/>
      <c r="N54" s="4">
        <v>30</v>
      </c>
      <c r="O54" t="s">
        <v>220</v>
      </c>
    </row>
    <row r="55" spans="6:24" ht="14.25" customHeight="1" x14ac:dyDescent="0.25">
      <c r="J55" s="4"/>
      <c r="K55" s="4"/>
      <c r="N55" s="4">
        <v>35</v>
      </c>
      <c r="O55" t="s">
        <v>221</v>
      </c>
    </row>
    <row r="56" spans="6:24" ht="14.25" customHeight="1" x14ac:dyDescent="0.25">
      <c r="F56" s="10"/>
      <c r="J56" s="4"/>
      <c r="K56" s="4"/>
      <c r="N56" s="4">
        <v>42</v>
      </c>
      <c r="O56" t="s">
        <v>222</v>
      </c>
    </row>
    <row r="57" spans="6:24" ht="14.25" customHeight="1" x14ac:dyDescent="0.25">
      <c r="J57" s="4"/>
      <c r="K57" s="4"/>
      <c r="N57" s="4">
        <v>105</v>
      </c>
      <c r="O57" t="s">
        <v>223</v>
      </c>
    </row>
    <row r="58" spans="6:24" ht="14.25" customHeight="1" x14ac:dyDescent="0.25">
      <c r="J58" s="4"/>
      <c r="K58" s="82">
        <f>SUM(K47:K57)</f>
        <v>213</v>
      </c>
      <c r="N58" s="113">
        <f>SUM(N47:N57)</f>
        <v>288</v>
      </c>
      <c r="O58" t="s">
        <v>224</v>
      </c>
    </row>
    <row r="59" spans="6:24" ht="14.25" customHeight="1" x14ac:dyDescent="0.25">
      <c r="L59" s="4"/>
      <c r="N59" s="61">
        <f>377-N58</f>
        <v>89</v>
      </c>
      <c r="O59" t="s">
        <v>225</v>
      </c>
    </row>
    <row r="60" spans="6:24" ht="14.25" customHeight="1" x14ac:dyDescent="0.25">
      <c r="L60" s="4"/>
      <c r="N60" s="4"/>
    </row>
    <row r="61" spans="6:24" ht="14.25" customHeight="1" x14ac:dyDescent="0.25">
      <c r="L61" s="4"/>
    </row>
    <row r="62" spans="6:24" ht="14.25" customHeight="1" x14ac:dyDescent="0.25">
      <c r="L62" s="4"/>
      <c r="N62" s="4"/>
    </row>
    <row r="63" spans="6:24" ht="14.25" customHeight="1" x14ac:dyDescent="0.25">
      <c r="L63" s="4"/>
      <c r="N63" s="4"/>
      <c r="O63" s="4" t="s">
        <v>226</v>
      </c>
      <c r="P63" s="66" t="s">
        <v>227</v>
      </c>
      <c r="V63" s="61">
        <v>89</v>
      </c>
      <c r="W63" s="4" t="s">
        <v>228</v>
      </c>
      <c r="X63" s="66" t="s">
        <v>227</v>
      </c>
    </row>
    <row r="64" spans="6:24" ht="14.25" customHeight="1" x14ac:dyDescent="0.25">
      <c r="L64" s="4"/>
      <c r="N64" s="4">
        <f>N58+O64</f>
        <v>292.89999999999998</v>
      </c>
      <c r="O64" s="4">
        <v>4.9000000000000004</v>
      </c>
      <c r="P64" s="50" t="s">
        <v>229</v>
      </c>
      <c r="U64" s="4">
        <f>N58+W64</f>
        <v>292.89999999999998</v>
      </c>
      <c r="V64" s="4">
        <f t="shared" ref="V64:V72" si="4">V63-W64</f>
        <v>84.1</v>
      </c>
      <c r="W64" s="4">
        <v>4.9000000000000004</v>
      </c>
      <c r="X64" s="50" t="s">
        <v>229</v>
      </c>
    </row>
    <row r="65" spans="9:26" ht="14.25" customHeight="1" x14ac:dyDescent="0.25">
      <c r="L65" s="4"/>
      <c r="N65" s="4">
        <f>N64+O65</f>
        <v>299.39999999999998</v>
      </c>
      <c r="O65" s="4">
        <v>6.5</v>
      </c>
      <c r="P65" s="50" t="s">
        <v>230</v>
      </c>
      <c r="U65" s="4">
        <f t="shared" ref="U65:U72" si="5">U64+W65</f>
        <v>299.39999999999998</v>
      </c>
      <c r="V65" s="4">
        <f t="shared" si="4"/>
        <v>77.599999999999994</v>
      </c>
      <c r="W65" s="4">
        <v>6.5</v>
      </c>
      <c r="X65" s="50" t="s">
        <v>230</v>
      </c>
    </row>
    <row r="66" spans="9:26" ht="14.25" customHeight="1" x14ac:dyDescent="0.25">
      <c r="L66" s="4"/>
      <c r="N66" s="4">
        <f>N65+O66</f>
        <v>302.89999999999998</v>
      </c>
      <c r="O66" s="4">
        <v>3.5</v>
      </c>
      <c r="P66" s="50" t="s">
        <v>231</v>
      </c>
      <c r="U66" s="4">
        <f t="shared" si="5"/>
        <v>302.89999999999998</v>
      </c>
      <c r="V66" s="4">
        <f t="shared" si="4"/>
        <v>74.099999999999994</v>
      </c>
      <c r="W66" s="4">
        <v>3.5</v>
      </c>
      <c r="X66" s="50" t="s">
        <v>231</v>
      </c>
    </row>
    <row r="67" spans="9:26" ht="14.25" customHeight="1" x14ac:dyDescent="0.25">
      <c r="L67" s="4"/>
      <c r="N67" s="4"/>
      <c r="U67" s="4">
        <f t="shared" si="5"/>
        <v>309.79999999999995</v>
      </c>
      <c r="V67" s="4">
        <f t="shared" si="4"/>
        <v>67.199999999999989</v>
      </c>
      <c r="W67" s="82">
        <v>6.9</v>
      </c>
      <c r="X67" s="114" t="s">
        <v>232</v>
      </c>
      <c r="Y67" s="114"/>
      <c r="Z67" s="114"/>
    </row>
    <row r="68" spans="9:26" ht="14.25" customHeight="1" x14ac:dyDescent="0.25">
      <c r="L68" s="4"/>
      <c r="N68" s="73">
        <f>N66+O68</f>
        <v>329.57554999999996</v>
      </c>
      <c r="O68" s="115">
        <f>6.897+14.124+5.65455</f>
        <v>26.675550000000001</v>
      </c>
      <c r="P68" s="114" t="s">
        <v>233</v>
      </c>
      <c r="Q68" s="114"/>
      <c r="R68" s="114"/>
      <c r="S68" s="114"/>
      <c r="U68" s="4">
        <f t="shared" si="5"/>
        <v>330.19999999999993</v>
      </c>
      <c r="V68" s="4">
        <f t="shared" si="4"/>
        <v>46.79999999999999</v>
      </c>
      <c r="W68" s="82">
        <v>20.399999999999999</v>
      </c>
      <c r="X68" s="114" t="s">
        <v>234</v>
      </c>
      <c r="Y68" s="114"/>
      <c r="Z68" s="114"/>
    </row>
    <row r="69" spans="9:26" ht="14.25" customHeight="1" x14ac:dyDescent="0.25">
      <c r="L69" s="4"/>
      <c r="N69" s="73">
        <f>N68+O69</f>
        <v>330.77554999999995</v>
      </c>
      <c r="O69" s="4">
        <v>1.2</v>
      </c>
      <c r="P69" t="s">
        <v>235</v>
      </c>
      <c r="U69" s="4">
        <f t="shared" si="5"/>
        <v>331.39999999999992</v>
      </c>
      <c r="V69" s="4">
        <f t="shared" si="4"/>
        <v>45.599999999999987</v>
      </c>
      <c r="W69" s="4">
        <v>1.2</v>
      </c>
      <c r="X69" t="s">
        <v>235</v>
      </c>
    </row>
    <row r="70" spans="9:26" ht="14.25" customHeight="1" x14ac:dyDescent="0.25">
      <c r="N70" s="73">
        <f>N69+O70</f>
        <v>341.77554999999995</v>
      </c>
      <c r="O70" s="4">
        <v>11</v>
      </c>
      <c r="P70" t="s">
        <v>236</v>
      </c>
      <c r="U70" s="4">
        <f t="shared" si="5"/>
        <v>342.39999999999992</v>
      </c>
      <c r="V70" s="4">
        <f t="shared" si="4"/>
        <v>34.599999999999987</v>
      </c>
      <c r="W70" s="4">
        <v>11</v>
      </c>
      <c r="X70" t="s">
        <v>236</v>
      </c>
    </row>
    <row r="71" spans="9:26" ht="14.25" customHeight="1" x14ac:dyDescent="0.25">
      <c r="N71" s="73">
        <f>N70+O71</f>
        <v>357.77554999999995</v>
      </c>
      <c r="O71" s="116">
        <v>16</v>
      </c>
      <c r="P71" s="117" t="s">
        <v>237</v>
      </c>
      <c r="Q71" s="118"/>
      <c r="U71" s="4">
        <f t="shared" si="5"/>
        <v>359.69999999999993</v>
      </c>
      <c r="V71" s="4">
        <f t="shared" si="4"/>
        <v>17.299999999999994</v>
      </c>
      <c r="W71" s="116">
        <f>V70/2</f>
        <v>17.299999999999994</v>
      </c>
      <c r="X71" s="118" t="s">
        <v>238</v>
      </c>
      <c r="Y71" s="118"/>
    </row>
    <row r="72" spans="9:26" ht="14.25" customHeight="1" x14ac:dyDescent="0.25">
      <c r="I72" s="10" t="s">
        <v>239</v>
      </c>
      <c r="J72">
        <v>164</v>
      </c>
      <c r="K72" s="119">
        <f>K58+J72</f>
        <v>377</v>
      </c>
      <c r="N72" s="120">
        <f>N71+O72</f>
        <v>381.77554999999995</v>
      </c>
      <c r="O72" s="121">
        <v>24</v>
      </c>
      <c r="P72" s="122" t="s">
        <v>240</v>
      </c>
      <c r="Q72" s="122"/>
      <c r="U72" s="4">
        <f t="shared" si="5"/>
        <v>376.99999999999994</v>
      </c>
      <c r="V72" s="4">
        <f t="shared" si="4"/>
        <v>0</v>
      </c>
      <c r="W72" s="121">
        <v>17.3</v>
      </c>
      <c r="X72" s="122" t="s">
        <v>241</v>
      </c>
      <c r="Y72" s="122"/>
    </row>
    <row r="73" spans="9:26" ht="14.25" customHeight="1" x14ac:dyDescent="0.25">
      <c r="W73" t="s">
        <v>242</v>
      </c>
    </row>
    <row r="74" spans="9:26" ht="14.25" customHeight="1" x14ac:dyDescent="0.25">
      <c r="W74" s="4">
        <v>16</v>
      </c>
      <c r="X74" s="50" t="s">
        <v>243</v>
      </c>
    </row>
    <row r="75" spans="9:26" ht="14.25" customHeight="1" x14ac:dyDescent="0.25">
      <c r="W75" s="4">
        <v>29.5</v>
      </c>
      <c r="X75" t="s">
        <v>244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DCF6-7FEE-42AE-9615-3693E6019F7A}">
  <sheetPr>
    <tabColor rgb="FFFFE699"/>
  </sheetPr>
  <dimension ref="B3:S48"/>
  <sheetViews>
    <sheetView topLeftCell="A4" zoomScaleNormal="100" workbookViewId="0">
      <selection activeCell="F14" sqref="F14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3" max="13" width="24.7109375" customWidth="1"/>
  </cols>
  <sheetData>
    <row r="3" spans="3:19" ht="15" x14ac:dyDescent="0.25">
      <c r="C3" s="49" t="s">
        <v>125</v>
      </c>
      <c r="D3" s="49"/>
      <c r="E3" s="49">
        <v>26179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179</v>
      </c>
      <c r="F5" s="67">
        <v>2</v>
      </c>
      <c r="G5" s="67">
        <v>45</v>
      </c>
      <c r="H5" s="12">
        <f>E5+(F5+G5/60)/24</f>
        <v>179.11458333333334</v>
      </c>
      <c r="I5" s="4"/>
      <c r="L5" s="4"/>
      <c r="M5" s="4"/>
      <c r="N5" s="4"/>
    </row>
    <row r="6" spans="3:19" ht="15" x14ac:dyDescent="0.25">
      <c r="D6" t="s">
        <v>134</v>
      </c>
      <c r="E6" s="67">
        <v>201</v>
      </c>
      <c r="F6" s="67">
        <v>20</v>
      </c>
      <c r="G6" s="67">
        <v>10</v>
      </c>
      <c r="H6" s="12">
        <f>E6+(F6+G6/60)/24</f>
        <v>201.84027777777777</v>
      </c>
      <c r="I6" s="12">
        <f>H6-H5</f>
        <v>22.725694444444429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>
        <f>E8+(F8+G8/60)/24</f>
        <v>0</v>
      </c>
      <c r="I8" s="4"/>
      <c r="L8" s="4"/>
      <c r="M8" s="67">
        <v>219</v>
      </c>
      <c r="N8" s="67">
        <v>3</v>
      </c>
      <c r="O8" s="67">
        <v>27</v>
      </c>
    </row>
    <row r="9" spans="3:19" ht="15" x14ac:dyDescent="0.25">
      <c r="D9" t="s">
        <v>134</v>
      </c>
      <c r="E9" s="67"/>
      <c r="F9" s="67"/>
      <c r="G9" s="67"/>
      <c r="H9" s="12">
        <f>E9+(F9+G9/60)/24</f>
        <v>0</v>
      </c>
      <c r="I9" s="12">
        <f>H9-H8</f>
        <v>0</v>
      </c>
      <c r="K9" s="67" t="s">
        <v>135</v>
      </c>
      <c r="L9" s="12"/>
      <c r="M9" s="67">
        <f>219+365-219+165</f>
        <v>530</v>
      </c>
      <c r="N9" s="67">
        <v>23</v>
      </c>
      <c r="O9" s="67">
        <v>0</v>
      </c>
    </row>
    <row r="10" spans="3:19" ht="15" x14ac:dyDescent="0.25">
      <c r="E10">
        <f>365-219</f>
        <v>146</v>
      </c>
      <c r="F10" s="15">
        <v>165</v>
      </c>
      <c r="G10">
        <f>219+F10+E10</f>
        <v>530</v>
      </c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360</v>
      </c>
    </row>
    <row r="15" spans="3:19" ht="15" x14ac:dyDescent="0.25">
      <c r="E15" t="s">
        <v>140</v>
      </c>
      <c r="F15" s="43">
        <v>104</v>
      </c>
      <c r="G15" s="4" t="s">
        <v>141</v>
      </c>
      <c r="H15" s="4" t="s">
        <v>142</v>
      </c>
      <c r="I15" s="4">
        <f>IF(F16=101,3,IF(F15=103,3,2))</f>
        <v>2</v>
      </c>
    </row>
    <row r="16" spans="3:19" ht="15" x14ac:dyDescent="0.25">
      <c r="E16" t="s">
        <v>143</v>
      </c>
      <c r="F16" s="43">
        <v>105</v>
      </c>
      <c r="H16" s="10" t="s">
        <v>144</v>
      </c>
      <c r="I16" s="4">
        <f>IF(F16=101,106, F16)</f>
        <v>105</v>
      </c>
      <c r="J16" s="71" t="s">
        <v>145</v>
      </c>
    </row>
    <row r="17" spans="2:16" ht="15" x14ac:dyDescent="0.25">
      <c r="E17" t="s">
        <v>93</v>
      </c>
      <c r="F17" s="43">
        <v>900</v>
      </c>
    </row>
    <row r="18" spans="2:16" ht="15" x14ac:dyDescent="0.25">
      <c r="E18" t="s">
        <v>115</v>
      </c>
      <c r="F18" s="43">
        <v>1800</v>
      </c>
    </row>
    <row r="19" spans="2:16" ht="14.25" customHeight="1" x14ac:dyDescent="0.25">
      <c r="L19" s="72" t="s">
        <v>146</v>
      </c>
    </row>
    <row r="20" spans="2:16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2:16" ht="15" x14ac:dyDescent="0.25">
      <c r="E21" t="s">
        <v>15</v>
      </c>
      <c r="F21" s="4" t="s">
        <v>119</v>
      </c>
      <c r="H21" s="12">
        <f>I$6+I$9</f>
        <v>22.725694444444429</v>
      </c>
      <c r="I21" s="12">
        <f>IF(I15=2,(VLOOKUP($I$16,'Packet size and rates'!G110:AH115, 16,FALSE())), (VLOOKUP($I$16,'Packet size and rates'!G103:AH108, 16,FALSE())))*('Packet size and rates'!V117/F14)</f>
        <v>0.47711999999999999</v>
      </c>
      <c r="J21" s="73">
        <f t="shared" ref="J21:J26" si="0">H21*I21</f>
        <v>10.842883333333326</v>
      </c>
      <c r="K21" s="74">
        <f t="shared" ref="K21:K26" si="1">1000000*I21/(24*3600)</f>
        <v>5.5222222222222221</v>
      </c>
      <c r="L21" s="75">
        <f t="shared" ref="L21:L26" si="2">K21/8</f>
        <v>0.69027777777777777</v>
      </c>
      <c r="M21" s="76" t="s">
        <v>151</v>
      </c>
      <c r="N21" s="75"/>
      <c r="P21" t="s">
        <v>308</v>
      </c>
    </row>
    <row r="22" spans="2:16" ht="15" x14ac:dyDescent="0.25">
      <c r="E22" t="s">
        <v>93</v>
      </c>
      <c r="F22" s="4" t="s">
        <v>120</v>
      </c>
      <c r="H22" s="12">
        <f>I$6+I$9</f>
        <v>22.725694444444429</v>
      </c>
      <c r="I22" s="12">
        <f>IF(I15=2,(VLOOKUP($I$16,'Packet size and rates'!G110:AH115, 19,FALSE())), (VLOOKUP($I$16,'Packet size and rates'!G103:AH108, 19,FALSE())))*('Packet size and rates'!Y117/F17)</f>
        <v>1.7448959999999998</v>
      </c>
      <c r="J22" s="73">
        <f t="shared" si="0"/>
        <v>39.653973333333298</v>
      </c>
      <c r="K22" s="74">
        <f t="shared" si="1"/>
        <v>20.195555555555554</v>
      </c>
      <c r="L22" s="75">
        <f t="shared" si="2"/>
        <v>2.5244444444444443</v>
      </c>
      <c r="M22" s="76" t="s">
        <v>152</v>
      </c>
      <c r="N22" s="75"/>
      <c r="P22">
        <v>20.1955555555556</v>
      </c>
    </row>
    <row r="23" spans="2:16" ht="15" x14ac:dyDescent="0.25">
      <c r="B23">
        <f>150/2.2</f>
        <v>68.181818181818173</v>
      </c>
      <c r="E23" t="s">
        <v>115</v>
      </c>
      <c r="F23" s="4" t="s">
        <v>121</v>
      </c>
      <c r="H23" s="12">
        <f>I$6+I$9</f>
        <v>22.725694444444429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0.55850666666666626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2:16" ht="15" x14ac:dyDescent="0.25">
      <c r="B24">
        <f>B23*1.2</f>
        <v>81.818181818181799</v>
      </c>
      <c r="E24" t="s">
        <v>80</v>
      </c>
      <c r="F24" s="4" t="s">
        <v>116</v>
      </c>
      <c r="H24" s="12">
        <f>IF(K$9="yes",I$9,0)+IF(K$6="yes",I$6,0)</f>
        <v>22.725694444444429</v>
      </c>
      <c r="I24" s="12">
        <f>IF(I15=2,(VLOOKUP($I$16,'Packet size and rates'!G110:AH115, 25,FALSE())), (VLOOKUP($I$16,'Packet size and rates'!G103:AH108, 25,FALSE())))</f>
        <v>0.37980000000000003</v>
      </c>
      <c r="J24" s="73">
        <f t="shared" si="0"/>
        <v>8.6312187499999951</v>
      </c>
      <c r="K24" s="74">
        <f t="shared" si="1"/>
        <v>4.395833333333333</v>
      </c>
      <c r="L24" s="75">
        <f t="shared" si="2"/>
        <v>0.54947916666666663</v>
      </c>
      <c r="M24" s="76" t="s">
        <v>154</v>
      </c>
      <c r="N24" s="76"/>
      <c r="P24">
        <v>4.3958333333333304</v>
      </c>
    </row>
    <row r="25" spans="2:16" ht="15" x14ac:dyDescent="0.25">
      <c r="E25" t="s">
        <v>155</v>
      </c>
      <c r="F25" s="4" t="s">
        <v>118</v>
      </c>
      <c r="H25" s="12">
        <f>IF(K$9="yes",I$9,0)+IF(K$6="yes",I$6,0)</f>
        <v>22.725694444444429</v>
      </c>
      <c r="I25" s="12">
        <f>IF(I15=2,(VLOOKUP($I$16,'Packet size and rates'!G110:AH115, 5,FALSE())), (VLOOKUP($I$16,'Packet size and rates'!G103:AH108, 5,FALSE())))</f>
        <v>0.35504999999999998</v>
      </c>
      <c r="J25" s="73">
        <f t="shared" si="0"/>
        <v>8.0687578124999941</v>
      </c>
      <c r="K25" s="74">
        <f t="shared" si="1"/>
        <v>4.109375</v>
      </c>
      <c r="L25" s="75">
        <f t="shared" si="2"/>
        <v>0.513671875</v>
      </c>
      <c r="M25" s="76" t="s">
        <v>156</v>
      </c>
      <c r="N25" s="76"/>
      <c r="P25">
        <v>4.109375</v>
      </c>
    </row>
    <row r="26" spans="2:16" ht="15" x14ac:dyDescent="0.25">
      <c r="B26" t="s">
        <v>316</v>
      </c>
      <c r="E26" s="31" t="s">
        <v>157</v>
      </c>
      <c r="F26" s="77" t="s">
        <v>158</v>
      </c>
      <c r="G26" s="31"/>
      <c r="H26" s="78">
        <f>IF(K$9="yes",I$9,0)+IF(K$6="yes",I$6,0)</f>
        <v>22.725694444444429</v>
      </c>
      <c r="I26" s="78">
        <f>IF(I15=2,(VLOOKUP($I$16,'Packet size and rates'!G110:AH115, 8,FALSE())), (VLOOKUP($I$16,'Packet size and rates'!G103:AH108, 8,FALSE())))</f>
        <v>1.408725</v>
      </c>
      <c r="J26" s="79">
        <f t="shared" si="0"/>
        <v>32.014253906249976</v>
      </c>
      <c r="K26" s="74">
        <f t="shared" si="1"/>
        <v>16.3046875</v>
      </c>
      <c r="L26" s="75">
        <f t="shared" si="2"/>
        <v>2.0380859375</v>
      </c>
      <c r="M26" s="76" t="s">
        <v>320</v>
      </c>
      <c r="N26" s="75"/>
      <c r="O26" s="75"/>
      <c r="P26">
        <v>16.3046875</v>
      </c>
    </row>
    <row r="27" spans="2:16" ht="15" x14ac:dyDescent="0.25">
      <c r="B27" t="s">
        <v>317</v>
      </c>
      <c r="E27" s="66" t="s">
        <v>160</v>
      </c>
      <c r="I27" s="73">
        <f>SUM(I21:I26)</f>
        <v>4.3901669999999999</v>
      </c>
      <c r="J27" s="73">
        <f>SUM(J21:J26)</f>
        <v>99.76959380208325</v>
      </c>
      <c r="K27" s="80">
        <f>SUM(K21:K26)</f>
        <v>50.812118055555551</v>
      </c>
      <c r="L27" s="80">
        <f>SUM(L21:L26)</f>
        <v>6.3515147569444439</v>
      </c>
    </row>
    <row r="28" spans="2:16" ht="14.25" customHeight="1" x14ac:dyDescent="0.25">
      <c r="B28" t="s">
        <v>318</v>
      </c>
    </row>
    <row r="29" spans="2:16" ht="15" x14ac:dyDescent="0.25">
      <c r="B29" t="s">
        <v>319</v>
      </c>
      <c r="E29" t="s">
        <v>161</v>
      </c>
      <c r="J29" s="4">
        <f>1.6*G11</f>
        <v>1.6</v>
      </c>
    </row>
    <row r="30" spans="2:16" ht="15" x14ac:dyDescent="0.25">
      <c r="E30" s="31"/>
      <c r="F30" s="31"/>
      <c r="G30" s="31"/>
      <c r="H30" s="31"/>
      <c r="I30" s="31"/>
      <c r="J30" s="77"/>
    </row>
    <row r="31" spans="2:16" ht="15" x14ac:dyDescent="0.25">
      <c r="E31" s="66" t="s">
        <v>162</v>
      </c>
      <c r="F31" s="66"/>
      <c r="G31" s="66"/>
      <c r="H31" s="66"/>
      <c r="I31" s="66"/>
      <c r="J31" s="81">
        <f>J27+J29</f>
        <v>101.36959380208324</v>
      </c>
    </row>
    <row r="33" spans="5:13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3" ht="14.25" customHeight="1" x14ac:dyDescent="0.25">
      <c r="E34" s="83"/>
      <c r="F34" s="83"/>
      <c r="G34" s="83"/>
      <c r="H34" s="84" t="s">
        <v>163</v>
      </c>
      <c r="I34" s="85">
        <f>I21+I22+I23</f>
        <v>2.2465920000000001</v>
      </c>
      <c r="J34" s="85">
        <f>J21+J22+J23</f>
        <v>51.05536333333329</v>
      </c>
      <c r="K34" s="83">
        <f>K21+K22+K23</f>
        <v>26.002222222222219</v>
      </c>
      <c r="L34" s="83">
        <f>L21+L22+L23</f>
        <v>3.2502777777777774</v>
      </c>
      <c r="M34" t="s">
        <v>311</v>
      </c>
    </row>
    <row r="35" spans="5:13" ht="14.25" customHeight="1" x14ac:dyDescent="0.25">
      <c r="E35" s="86"/>
      <c r="F35" s="86"/>
      <c r="G35" s="86"/>
      <c r="H35" s="87" t="s">
        <v>165</v>
      </c>
      <c r="I35" s="88">
        <f>I26+I23+I22+I21</f>
        <v>3.6553170000000001</v>
      </c>
      <c r="J35" s="88">
        <f>J26+J23+J22+J21</f>
        <v>83.069617239583266</v>
      </c>
      <c r="K35" s="86">
        <f>K26+K23+K22+K21</f>
        <v>42.306909722222215</v>
      </c>
      <c r="L35" s="86">
        <f>L26+L23+L22+L21</f>
        <v>5.2883637152777769</v>
      </c>
      <c r="M35" t="s">
        <v>309</v>
      </c>
    </row>
    <row r="36" spans="5:13" ht="14.25" customHeight="1" x14ac:dyDescent="0.25">
      <c r="E36" s="89"/>
      <c r="F36" s="89"/>
      <c r="G36" s="89"/>
      <c r="H36" s="90" t="s">
        <v>167</v>
      </c>
      <c r="I36" s="91">
        <f>I26+I24+I23+I22+I21</f>
        <v>4.0351169999999996</v>
      </c>
      <c r="J36" s="91">
        <f>J26+J24+J23+J22+J21</f>
        <v>91.700835989583254</v>
      </c>
      <c r="K36" s="89">
        <f>K26+K24+K23+K22+K21</f>
        <v>46.702743055555558</v>
      </c>
      <c r="L36" s="89">
        <f>L26+L24+L23+L22+L21</f>
        <v>5.8378428819444448</v>
      </c>
      <c r="M36" t="s">
        <v>313</v>
      </c>
    </row>
    <row r="37" spans="5:13" ht="14.25" customHeight="1" x14ac:dyDescent="0.25">
      <c r="E37" s="92"/>
      <c r="F37" s="92"/>
      <c r="G37" s="92"/>
      <c r="H37" s="93" t="s">
        <v>169</v>
      </c>
      <c r="I37" s="94">
        <f>SUM(I21:I26)</f>
        <v>4.3901669999999999</v>
      </c>
      <c r="J37" s="94">
        <f>SUM(J21:J26)</f>
        <v>99.76959380208325</v>
      </c>
      <c r="K37" s="92">
        <f>SUM(K21:K26)</f>
        <v>50.812118055555551</v>
      </c>
      <c r="L37" s="92">
        <f>SUM(L21:L26)</f>
        <v>6.3515147569444439</v>
      </c>
      <c r="M37" t="s">
        <v>170</v>
      </c>
    </row>
    <row r="38" spans="5:13" ht="14.25" customHeight="1" x14ac:dyDescent="0.25">
      <c r="E38" s="95"/>
      <c r="F38" s="95"/>
      <c r="G38" s="95"/>
      <c r="H38" s="96" t="s">
        <v>90</v>
      </c>
      <c r="I38" s="97">
        <f t="shared" ref="I38:L39" si="3">I24</f>
        <v>0.37980000000000003</v>
      </c>
      <c r="J38" s="97">
        <f t="shared" si="3"/>
        <v>8.6312187499999951</v>
      </c>
      <c r="K38" s="98">
        <f t="shared" si="3"/>
        <v>4.395833333333333</v>
      </c>
      <c r="L38" s="98">
        <f t="shared" si="3"/>
        <v>0.54947916666666663</v>
      </c>
      <c r="M38" t="s">
        <v>205</v>
      </c>
    </row>
    <row r="39" spans="5:13" ht="14.25" customHeight="1" x14ac:dyDescent="0.25">
      <c r="E39" s="99"/>
      <c r="F39" s="99"/>
      <c r="G39" s="99"/>
      <c r="H39" s="100" t="s">
        <v>172</v>
      </c>
      <c r="I39" s="101">
        <f t="shared" si="3"/>
        <v>0.35504999999999998</v>
      </c>
      <c r="J39" s="101">
        <f t="shared" si="3"/>
        <v>8.0687578124999941</v>
      </c>
      <c r="K39" s="101">
        <f t="shared" si="3"/>
        <v>4.109375</v>
      </c>
      <c r="L39" s="101">
        <f t="shared" si="3"/>
        <v>0.513671875</v>
      </c>
      <c r="M39" t="s">
        <v>173</v>
      </c>
    </row>
    <row r="40" spans="5:13" ht="14.25" customHeight="1" x14ac:dyDescent="0.25">
      <c r="E40" s="102"/>
      <c r="F40" s="102"/>
      <c r="G40" s="102"/>
      <c r="H40" s="103" t="s">
        <v>189</v>
      </c>
      <c r="I40" s="104">
        <f>I26+I25</f>
        <v>1.7637749999999999</v>
      </c>
      <c r="J40" s="104">
        <f>J26+J25</f>
        <v>40.083011718749972</v>
      </c>
      <c r="K40" s="104">
        <f>K26+K25</f>
        <v>20.4140625</v>
      </c>
      <c r="L40" s="104">
        <f>L26+L25</f>
        <v>2.5517578125</v>
      </c>
      <c r="M40" t="s">
        <v>314</v>
      </c>
    </row>
    <row r="41" spans="5:13" ht="14.25" customHeight="1" x14ac:dyDescent="0.25">
      <c r="E41" s="105"/>
      <c r="F41" s="105"/>
      <c r="G41" s="105"/>
      <c r="H41" s="106" t="s">
        <v>190</v>
      </c>
      <c r="I41" s="107">
        <f>I21+I23+I24+I25</f>
        <v>1.2365460000000001</v>
      </c>
      <c r="J41" s="107">
        <f>J21+J23+J24+J25</f>
        <v>28.101366562499983</v>
      </c>
      <c r="K41" s="107">
        <f>K21+K23+K24+K25</f>
        <v>14.311875000000001</v>
      </c>
      <c r="L41" s="107">
        <f>L21+L23+L24+L25</f>
        <v>1.7889843750000001</v>
      </c>
      <c r="M41" t="s">
        <v>315</v>
      </c>
    </row>
    <row r="42" spans="5:13" ht="14.25" customHeight="1" x14ac:dyDescent="0.25">
      <c r="E42" s="108"/>
      <c r="F42" s="108"/>
      <c r="G42" s="108"/>
      <c r="H42" s="109" t="s">
        <v>192</v>
      </c>
      <c r="I42" s="110">
        <f>I21+I23+I25</f>
        <v>0.85674600000000001</v>
      </c>
      <c r="J42" s="110">
        <f>J21+J23+J25</f>
        <v>19.470147812499988</v>
      </c>
      <c r="K42" s="110">
        <f>K22+K25+K26</f>
        <v>40.609618055555558</v>
      </c>
      <c r="L42" s="110">
        <f>L22+L25+L26</f>
        <v>5.0762022569444447</v>
      </c>
      <c r="M42" t="s">
        <v>193</v>
      </c>
    </row>
    <row r="43" spans="5:13" ht="14.25" customHeight="1" x14ac:dyDescent="0.25">
      <c r="E43" s="75"/>
      <c r="F43" s="75"/>
      <c r="G43" s="75"/>
      <c r="H43" s="111" t="s">
        <v>199</v>
      </c>
      <c r="I43" s="112">
        <f>I26+I22</f>
        <v>3.1536209999999998</v>
      </c>
      <c r="J43" s="112">
        <f>J26+J22</f>
        <v>71.668227239583274</v>
      </c>
      <c r="K43" s="112">
        <f>K26+K22</f>
        <v>36.500243055555558</v>
      </c>
      <c r="L43" s="112">
        <f>L26+L22</f>
        <v>4.5625303819444447</v>
      </c>
      <c r="M43" t="s">
        <v>200</v>
      </c>
    </row>
    <row r="45" spans="5:13" ht="14.25" customHeight="1" x14ac:dyDescent="0.25">
      <c r="J45" s="15">
        <f>J34+J38+J39+J26</f>
        <v>99.76959380208325</v>
      </c>
    </row>
    <row r="46" spans="5:13" ht="14.25" customHeight="1" x14ac:dyDescent="0.25">
      <c r="J46">
        <v>1.6</v>
      </c>
    </row>
    <row r="47" spans="5:13" ht="14.25" customHeight="1" x14ac:dyDescent="0.25">
      <c r="J47" s="15">
        <f>J46+J45</f>
        <v>101.36959380208324</v>
      </c>
    </row>
    <row r="48" spans="5:13" ht="14.25" customHeight="1" x14ac:dyDescent="0.25">
      <c r="J48" s="11">
        <f>J26+J25</f>
        <v>40.083011718749972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3609-CEFA-4B9C-AC40-0D7BC615F734}">
  <sheetPr>
    <tabColor rgb="FFFFE699"/>
  </sheetPr>
  <dimension ref="C3:S72"/>
  <sheetViews>
    <sheetView zoomScaleNormal="100" workbookViewId="0">
      <selection activeCell="M24" sqref="M24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3" max="13" width="24.7109375" customWidth="1"/>
  </cols>
  <sheetData>
    <row r="3" spans="3:19" ht="15" x14ac:dyDescent="0.25">
      <c r="C3" s="49" t="s">
        <v>125</v>
      </c>
      <c r="D3" s="49"/>
      <c r="E3" s="49">
        <v>25207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179</v>
      </c>
      <c r="F5" s="67">
        <v>0</v>
      </c>
      <c r="G5" s="67">
        <v>0</v>
      </c>
      <c r="H5" s="12">
        <f>E5+(F5+G5/60)/24</f>
        <v>179</v>
      </c>
      <c r="I5" s="4"/>
      <c r="L5" s="4"/>
      <c r="M5" s="4"/>
      <c r="N5" s="4"/>
    </row>
    <row r="6" spans="3:19" ht="15" x14ac:dyDescent="0.25">
      <c r="D6" t="s">
        <v>134</v>
      </c>
      <c r="E6" s="67">
        <v>201</v>
      </c>
      <c r="F6" s="67">
        <v>0</v>
      </c>
      <c r="G6" s="67">
        <v>0</v>
      </c>
      <c r="H6" s="12">
        <f>E6+(F6+G6/60)/24</f>
        <v>201</v>
      </c>
      <c r="I6" s="12">
        <f>H6-H5</f>
        <v>22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>
        <f>E8+(F8+G8/60)/24</f>
        <v>0</v>
      </c>
      <c r="I8" s="4"/>
      <c r="L8" s="4"/>
      <c r="M8" s="67">
        <v>219</v>
      </c>
      <c r="N8" s="67">
        <v>3</v>
      </c>
      <c r="O8" s="67">
        <v>27</v>
      </c>
    </row>
    <row r="9" spans="3:19" ht="15" x14ac:dyDescent="0.25">
      <c r="D9" t="s">
        <v>134</v>
      </c>
      <c r="E9" s="67"/>
      <c r="F9" s="67"/>
      <c r="G9" s="67"/>
      <c r="H9" s="12">
        <f>E9+(F9+G9/60)/24</f>
        <v>0</v>
      </c>
      <c r="I9" s="12">
        <f>H9-H8</f>
        <v>0</v>
      </c>
      <c r="K9" s="67" t="s">
        <v>135</v>
      </c>
      <c r="L9" s="12"/>
      <c r="M9" s="67">
        <f>219+365-219+165</f>
        <v>530</v>
      </c>
      <c r="N9" s="67">
        <v>23</v>
      </c>
      <c r="O9" s="67">
        <v>0</v>
      </c>
    </row>
    <row r="10" spans="3:19" ht="15" x14ac:dyDescent="0.25">
      <c r="E10">
        <f>365-219</f>
        <v>146</v>
      </c>
      <c r="F10" s="15">
        <v>165</v>
      </c>
      <c r="G10">
        <f>219+F10+E10</f>
        <v>530</v>
      </c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360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109</v>
      </c>
      <c r="H16" s="10" t="s">
        <v>144</v>
      </c>
      <c r="I16" s="4">
        <f>IF(F16=101,106, F16)</f>
        <v>109</v>
      </c>
      <c r="J16" s="71" t="s">
        <v>145</v>
      </c>
    </row>
    <row r="17" spans="4:16" ht="15" x14ac:dyDescent="0.25">
      <c r="E17" t="s">
        <v>93</v>
      </c>
      <c r="F17" s="43">
        <v>7200</v>
      </c>
    </row>
    <row r="18" spans="4:16" ht="15" x14ac:dyDescent="0.25">
      <c r="E18" t="s">
        <v>115</v>
      </c>
      <c r="F18" s="43">
        <v>1800</v>
      </c>
    </row>
    <row r="19" spans="4:16" ht="14.25" customHeight="1" x14ac:dyDescent="0.25">
      <c r="L19" s="72" t="s">
        <v>146</v>
      </c>
    </row>
    <row r="20" spans="4:16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16" ht="15" x14ac:dyDescent="0.25">
      <c r="E21" t="s">
        <v>15</v>
      </c>
      <c r="F21" s="4" t="s">
        <v>119</v>
      </c>
      <c r="H21" s="12">
        <f>I$6+I$9</f>
        <v>22</v>
      </c>
      <c r="I21" s="12">
        <f>IF(I15=2,(VLOOKUP($I$16,'Packet size and rates'!G110:AH115, 16,FALSE())), (VLOOKUP($I$16,'Packet size and rates'!G103:AH108, 16,FALSE())))*('Packet size and rates'!V117/F14)</f>
        <v>0.47711999999999999</v>
      </c>
      <c r="J21" s="73">
        <f t="shared" ref="J21:J26" si="0">H21*I21</f>
        <v>10.496639999999999</v>
      </c>
      <c r="K21" s="74">
        <f t="shared" ref="K21:K26" si="1">1000000*I21/(24*3600)</f>
        <v>5.5222222222222221</v>
      </c>
      <c r="L21" s="75">
        <f t="shared" ref="L21:L26" si="2">K21/8</f>
        <v>0.69027777777777777</v>
      </c>
      <c r="M21" s="76" t="s">
        <v>151</v>
      </c>
      <c r="N21" s="75"/>
      <c r="P21" t="s">
        <v>308</v>
      </c>
    </row>
    <row r="22" spans="4:16" ht="15" x14ac:dyDescent="0.25">
      <c r="E22" t="s">
        <v>93</v>
      </c>
      <c r="F22" s="4" t="s">
        <v>120</v>
      </c>
      <c r="H22" s="12">
        <f>I$6+I$9</f>
        <v>22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4.7984639999999992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P22">
        <v>20.1955555555556</v>
      </c>
    </row>
    <row r="23" spans="4:16" ht="15" x14ac:dyDescent="0.25">
      <c r="E23" t="s">
        <v>115</v>
      </c>
      <c r="F23" s="4" t="s">
        <v>121</v>
      </c>
      <c r="H23" s="12">
        <f>I$6+I$9</f>
        <v>22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0.54067200000000004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4:16" ht="15" x14ac:dyDescent="0.25">
      <c r="E24" t="s">
        <v>80</v>
      </c>
      <c r="F24" s="4" t="s">
        <v>116</v>
      </c>
      <c r="H24" s="12">
        <f>IF(K$9="yes",I$9,0)+IF(K$6="yes",I$6,0)</f>
        <v>22</v>
      </c>
      <c r="I24" s="12">
        <f>IF(I15=2,(VLOOKUP($I$16,'Packet size and rates'!G110:AH115, 25,FALSE())), (VLOOKUP($I$16,'Packet size and rates'!G103:AH108, 25,FALSE())))</f>
        <v>1.5192000000000001</v>
      </c>
      <c r="J24" s="73">
        <f t="shared" si="0"/>
        <v>33.422400000000003</v>
      </c>
      <c r="K24" s="74">
        <f t="shared" si="1"/>
        <v>17.583333333333332</v>
      </c>
      <c r="L24" s="75">
        <f t="shared" si="2"/>
        <v>2.1979166666666665</v>
      </c>
      <c r="M24" s="76" t="s">
        <v>154</v>
      </c>
      <c r="N24" s="76"/>
      <c r="P24">
        <v>4.3958333333333304</v>
      </c>
    </row>
    <row r="25" spans="4:16" ht="15" x14ac:dyDescent="0.25">
      <c r="E25" t="s">
        <v>155</v>
      </c>
      <c r="F25" s="4" t="s">
        <v>118</v>
      </c>
      <c r="H25" s="12">
        <f>IF(K$9="yes",I$9,0)+IF(K$6="yes",I$6,0)</f>
        <v>22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5.2073999999999998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  <c r="P25">
        <v>4.109375</v>
      </c>
    </row>
    <row r="26" spans="4:16" ht="15" x14ac:dyDescent="0.25">
      <c r="E26" s="31" t="s">
        <v>157</v>
      </c>
      <c r="F26" s="77" t="s">
        <v>158</v>
      </c>
      <c r="G26" s="31"/>
      <c r="H26" s="78">
        <f>IF(K$9="yes",I$9,0)+IF(K$6="yes",I$6,0)</f>
        <v>22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20.661300000000001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  <c r="P26">
        <v>16.3046875</v>
      </c>
    </row>
    <row r="27" spans="4:16" ht="15" x14ac:dyDescent="0.25">
      <c r="E27" s="66" t="s">
        <v>160</v>
      </c>
      <c r="I27" s="73">
        <f>SUM(I21:I26)</f>
        <v>3.4148580000000002</v>
      </c>
      <c r="J27" s="73">
        <f>SUM(J21:J26)</f>
        <v>75.12687600000001</v>
      </c>
      <c r="K27" s="80">
        <f>SUM(K21:K26)</f>
        <v>39.523819444444442</v>
      </c>
      <c r="L27" s="80">
        <f>SUM(L21:L26)</f>
        <v>4.9404774305555552</v>
      </c>
    </row>
    <row r="29" spans="4:16" ht="15" x14ac:dyDescent="0.25">
      <c r="E29" t="s">
        <v>161</v>
      </c>
      <c r="J29" s="4">
        <f>1.6*G11</f>
        <v>1.6</v>
      </c>
    </row>
    <row r="30" spans="4:16" ht="15" x14ac:dyDescent="0.25">
      <c r="E30" s="31"/>
      <c r="F30" s="31"/>
      <c r="G30" s="31"/>
      <c r="H30" s="31"/>
      <c r="I30" s="31"/>
      <c r="J30" s="77"/>
    </row>
    <row r="31" spans="4:16" ht="15" x14ac:dyDescent="0.25">
      <c r="E31" s="66" t="s">
        <v>162</v>
      </c>
      <c r="F31" s="66"/>
      <c r="G31" s="66"/>
      <c r="H31" s="66"/>
      <c r="I31" s="66"/>
      <c r="J31" s="81">
        <f>J27+J29</f>
        <v>76.726876000000004</v>
      </c>
    </row>
    <row r="33" spans="5:14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</row>
    <row r="34" spans="5:14" ht="14.25" customHeight="1" x14ac:dyDescent="0.25">
      <c r="E34" s="83"/>
      <c r="F34" s="83"/>
      <c r="G34" s="83"/>
      <c r="H34" s="84" t="s">
        <v>163</v>
      </c>
      <c r="I34" s="85">
        <f>I21+I22+I23</f>
        <v>0.719808</v>
      </c>
      <c r="J34" s="85">
        <f>J21+J22+J23</f>
        <v>15.835775999999999</v>
      </c>
      <c r="K34" s="83">
        <f>K21+K22+K23</f>
        <v>8.3311111111111114</v>
      </c>
      <c r="L34" s="83">
        <f>L21+L22+L23</f>
        <v>1.0413888888888889</v>
      </c>
      <c r="M34" t="s">
        <v>311</v>
      </c>
      <c r="N34" t="s">
        <v>311</v>
      </c>
    </row>
    <row r="35" spans="5:14" ht="14.25" customHeight="1" x14ac:dyDescent="0.25">
      <c r="E35" s="86"/>
      <c r="F35" s="86"/>
      <c r="G35" s="86"/>
      <c r="H35" s="87" t="s">
        <v>165</v>
      </c>
      <c r="I35" s="88">
        <f>I26+I23+I22+I21</f>
        <v>1.6589579999999999</v>
      </c>
      <c r="J35" s="88">
        <f>J26+J23+J22+J21</f>
        <v>36.497076</v>
      </c>
      <c r="K35" s="86">
        <f>K26+K23+K22+K21</f>
        <v>19.200902777777777</v>
      </c>
      <c r="L35" s="86">
        <f>L26+L23+L22+L21</f>
        <v>2.4001128472222222</v>
      </c>
      <c r="M35" t="s">
        <v>309</v>
      </c>
      <c r="N35" t="s">
        <v>309</v>
      </c>
    </row>
    <row r="36" spans="5:14" ht="14.25" customHeight="1" x14ac:dyDescent="0.25">
      <c r="E36" s="89"/>
      <c r="F36" s="89"/>
      <c r="G36" s="89"/>
      <c r="H36" s="90" t="s">
        <v>167</v>
      </c>
      <c r="I36" s="91">
        <f>I26+I24+I23+I22+I21</f>
        <v>3.1781580000000007</v>
      </c>
      <c r="J36" s="91">
        <f>J26+J24+J23+J22+J21</f>
        <v>69.919476000000003</v>
      </c>
      <c r="K36" s="89">
        <f>K26+K24+K23+K22+K21</f>
        <v>36.784236111111113</v>
      </c>
      <c r="L36" s="89">
        <f>L26+L24+L23+L22+L21</f>
        <v>4.5980295138888891</v>
      </c>
      <c r="M36" t="s">
        <v>313</v>
      </c>
      <c r="N36" t="s">
        <v>313</v>
      </c>
    </row>
    <row r="37" spans="5:14" ht="14.25" customHeight="1" x14ac:dyDescent="0.25">
      <c r="E37" s="92"/>
      <c r="F37" s="92"/>
      <c r="G37" s="92"/>
      <c r="H37" s="93" t="s">
        <v>169</v>
      </c>
      <c r="I37" s="94">
        <f>SUM(I21:I26)</f>
        <v>3.4148580000000002</v>
      </c>
      <c r="J37" s="94">
        <f>SUM(J21:J26)</f>
        <v>75.12687600000001</v>
      </c>
      <c r="K37" s="92">
        <f>SUM(K21:K26)</f>
        <v>39.523819444444442</v>
      </c>
      <c r="L37" s="92">
        <f>SUM(L21:L26)</f>
        <v>4.9404774305555552</v>
      </c>
      <c r="M37" t="s">
        <v>170</v>
      </c>
      <c r="N37" t="s">
        <v>170</v>
      </c>
    </row>
    <row r="38" spans="5:14" ht="14.25" customHeight="1" x14ac:dyDescent="0.25">
      <c r="E38" s="95"/>
      <c r="F38" s="95"/>
      <c r="G38" s="95"/>
      <c r="H38" s="96" t="s">
        <v>90</v>
      </c>
      <c r="I38" s="97">
        <f t="shared" ref="I38:L39" si="3">I24</f>
        <v>1.5192000000000001</v>
      </c>
      <c r="J38" s="97">
        <f t="shared" si="3"/>
        <v>33.422400000000003</v>
      </c>
      <c r="K38" s="98">
        <f t="shared" si="3"/>
        <v>17.583333333333332</v>
      </c>
      <c r="L38" s="98">
        <f t="shared" si="3"/>
        <v>2.1979166666666665</v>
      </c>
      <c r="M38" t="s">
        <v>205</v>
      </c>
      <c r="N38" t="s">
        <v>205</v>
      </c>
    </row>
    <row r="39" spans="5:14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5.2073999999999998</v>
      </c>
      <c r="K39" s="101">
        <f t="shared" si="3"/>
        <v>2.7395833333333335</v>
      </c>
      <c r="L39" s="101">
        <f t="shared" si="3"/>
        <v>0.34244791666666669</v>
      </c>
      <c r="M39" t="s">
        <v>173</v>
      </c>
      <c r="N39" t="s">
        <v>173</v>
      </c>
    </row>
    <row r="40" spans="5:14" ht="14.25" customHeight="1" x14ac:dyDescent="0.25">
      <c r="E40" s="102"/>
      <c r="F40" s="102"/>
      <c r="G40" s="102"/>
      <c r="H40" s="103" t="s">
        <v>189</v>
      </c>
      <c r="I40" s="104">
        <f>I26+I25</f>
        <v>1.1758500000000001</v>
      </c>
      <c r="J40" s="104">
        <f>J26+J25</f>
        <v>25.8687</v>
      </c>
      <c r="K40" s="104">
        <f>K26+K25</f>
        <v>13.609375</v>
      </c>
      <c r="L40" s="104">
        <f>L26+L25</f>
        <v>1.701171875</v>
      </c>
      <c r="M40" t="s">
        <v>314</v>
      </c>
      <c r="N40" t="s">
        <v>314</v>
      </c>
    </row>
    <row r="41" spans="5:14" ht="14.25" customHeight="1" x14ac:dyDescent="0.25">
      <c r="E41" s="105"/>
      <c r="F41" s="105"/>
      <c r="G41" s="105"/>
      <c r="H41" s="106" t="s">
        <v>190</v>
      </c>
      <c r="I41" s="107">
        <f>I21+I23+I24+I25</f>
        <v>2.2575959999999999</v>
      </c>
      <c r="J41" s="107">
        <f>J21+J23+J24+J25</f>
        <v>49.667112000000003</v>
      </c>
      <c r="K41" s="107">
        <f>K21+K23+K24+K25</f>
        <v>26.129583333333333</v>
      </c>
      <c r="L41" s="107">
        <f>L21+L23+L24+L25</f>
        <v>3.2661979166666666</v>
      </c>
      <c r="M41" t="s">
        <v>315</v>
      </c>
      <c r="N41" t="s">
        <v>315</v>
      </c>
    </row>
    <row r="42" spans="5:14" ht="14.25" customHeight="1" x14ac:dyDescent="0.25">
      <c r="E42" s="108"/>
      <c r="F42" s="108"/>
      <c r="G42" s="108"/>
      <c r="H42" s="109" t="s">
        <v>192</v>
      </c>
      <c r="I42" s="110">
        <f>I21+I23+I25</f>
        <v>0.73839600000000005</v>
      </c>
      <c r="J42" s="110">
        <f>J21+J23+J25</f>
        <v>16.244712</v>
      </c>
      <c r="K42" s="110">
        <f>K22+K25+K26</f>
        <v>16.133819444444445</v>
      </c>
      <c r="L42" s="110">
        <f>L22+L25+L26</f>
        <v>2.0167274305555556</v>
      </c>
      <c r="M42" t="s">
        <v>193</v>
      </c>
      <c r="N42" t="s">
        <v>193</v>
      </c>
    </row>
    <row r="43" spans="5:14" ht="14.25" customHeight="1" x14ac:dyDescent="0.25">
      <c r="E43" s="75"/>
      <c r="F43" s="75"/>
      <c r="G43" s="75"/>
      <c r="H43" s="111" t="s">
        <v>199</v>
      </c>
      <c r="I43" s="112">
        <f>I26+I22</f>
        <v>1.157262</v>
      </c>
      <c r="J43" s="112">
        <f>J26+J22</f>
        <v>25.459764</v>
      </c>
      <c r="K43" s="112">
        <f>K26+K22</f>
        <v>13.394236111111111</v>
      </c>
      <c r="L43" s="112">
        <f>L26+L22</f>
        <v>1.6742795138888888</v>
      </c>
      <c r="M43" t="s">
        <v>200</v>
      </c>
      <c r="N43" t="s">
        <v>200</v>
      </c>
    </row>
    <row r="46" spans="5:14" ht="14.25" customHeight="1" x14ac:dyDescent="0.25">
      <c r="J46" s="4"/>
    </row>
    <row r="47" spans="5:14" ht="14.25" customHeight="1" x14ac:dyDescent="0.25">
      <c r="F47" s="10"/>
    </row>
    <row r="49" spans="6:10" ht="14.25" customHeight="1" x14ac:dyDescent="0.25">
      <c r="J49" s="4"/>
    </row>
    <row r="50" spans="6:10" ht="14.25" customHeight="1" x14ac:dyDescent="0.25">
      <c r="J50" s="4"/>
    </row>
    <row r="51" spans="6:10" ht="14.25" customHeight="1" x14ac:dyDescent="0.25">
      <c r="J51" s="4"/>
    </row>
    <row r="52" spans="6:10" ht="14.25" customHeight="1" x14ac:dyDescent="0.25">
      <c r="J52" s="4"/>
    </row>
    <row r="53" spans="6:10" ht="14.25" customHeight="1" x14ac:dyDescent="0.25">
      <c r="J53" s="4"/>
    </row>
    <row r="54" spans="6:10" ht="14.25" customHeight="1" x14ac:dyDescent="0.25">
      <c r="J54" s="4"/>
    </row>
    <row r="55" spans="6:10" ht="14.25" customHeight="1" x14ac:dyDescent="0.25">
      <c r="J55" s="4"/>
    </row>
    <row r="56" spans="6:10" ht="14.25" customHeight="1" x14ac:dyDescent="0.25">
      <c r="F56" s="10"/>
      <c r="J56" s="4"/>
    </row>
    <row r="57" spans="6:10" ht="14.25" customHeight="1" x14ac:dyDescent="0.25">
      <c r="J57" s="4"/>
    </row>
    <row r="58" spans="6:10" ht="14.25" customHeight="1" x14ac:dyDescent="0.25">
      <c r="J58" s="4"/>
    </row>
    <row r="72" spans="9:10" ht="14.25" customHeight="1" x14ac:dyDescent="0.25">
      <c r="I72" s="10" t="s">
        <v>239</v>
      </c>
      <c r="J72">
        <v>164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E67D-A123-451F-BB32-928466509B36}">
  <sheetPr>
    <tabColor rgb="FFFFE699"/>
  </sheetPr>
  <dimension ref="C3:Z75"/>
  <sheetViews>
    <sheetView topLeftCell="B1" zoomScaleNormal="100" workbookViewId="0">
      <selection activeCell="D1" sqref="D1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  <col min="13" max="13" width="24.7109375" customWidth="1"/>
  </cols>
  <sheetData>
    <row r="3" spans="3:19" ht="15" x14ac:dyDescent="0.25">
      <c r="C3" s="49" t="s">
        <v>125</v>
      </c>
      <c r="D3" s="49"/>
      <c r="E3" s="49">
        <v>25207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222</v>
      </c>
      <c r="F5" s="67">
        <v>0</v>
      </c>
      <c r="G5" s="67">
        <v>0</v>
      </c>
      <c r="H5" s="12">
        <f>E5+(F5+G5/60)/24</f>
        <v>222</v>
      </c>
      <c r="I5" s="4"/>
      <c r="L5" s="4"/>
      <c r="M5" s="4"/>
      <c r="N5" s="4"/>
    </row>
    <row r="6" spans="3:19" ht="15" x14ac:dyDescent="0.25">
      <c r="D6" t="s">
        <v>134</v>
      </c>
      <c r="E6" s="67">
        <v>243</v>
      </c>
      <c r="F6" s="67">
        <v>0</v>
      </c>
      <c r="G6" s="67">
        <v>0</v>
      </c>
      <c r="H6" s="12">
        <f>E6+(F6+G6/60)/24</f>
        <v>243</v>
      </c>
      <c r="I6" s="12">
        <f>H6-H5</f>
        <v>21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/>
      <c r="F8" s="67"/>
      <c r="G8" s="67"/>
      <c r="H8" s="12">
        <f>E8+(F8+G8/60)/24</f>
        <v>0</v>
      </c>
      <c r="I8" s="4"/>
      <c r="L8" s="4"/>
      <c r="M8" s="67">
        <v>219</v>
      </c>
      <c r="N8" s="67">
        <v>3</v>
      </c>
      <c r="O8" s="67">
        <v>27</v>
      </c>
    </row>
    <row r="9" spans="3:19" ht="15" x14ac:dyDescent="0.25">
      <c r="D9" t="s">
        <v>134</v>
      </c>
      <c r="E9" s="67"/>
      <c r="F9" s="67"/>
      <c r="G9" s="67"/>
      <c r="H9" s="12">
        <f>E9+(F9+G9/60)/24</f>
        <v>0</v>
      </c>
      <c r="I9" s="12">
        <f>H9-H8</f>
        <v>0</v>
      </c>
      <c r="K9" s="67" t="s">
        <v>135</v>
      </c>
      <c r="L9" s="12"/>
      <c r="M9" s="67">
        <f>219+365-219+165</f>
        <v>530</v>
      </c>
      <c r="N9" s="67">
        <v>23</v>
      </c>
      <c r="O9" s="67">
        <v>0</v>
      </c>
    </row>
    <row r="10" spans="3:19" ht="15" x14ac:dyDescent="0.25">
      <c r="F10" s="15"/>
    </row>
    <row r="11" spans="3:19" ht="15" x14ac:dyDescent="0.25">
      <c r="C11" t="s">
        <v>138</v>
      </c>
      <c r="G11" s="43">
        <v>0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360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109</v>
      </c>
      <c r="H16" s="10" t="s">
        <v>144</v>
      </c>
      <c r="I16" s="4">
        <f>IF(F16=101,106, F16)</f>
        <v>109</v>
      </c>
      <c r="J16" s="71" t="s">
        <v>145</v>
      </c>
    </row>
    <row r="17" spans="4:21" ht="15" x14ac:dyDescent="0.25">
      <c r="E17" t="s">
        <v>93</v>
      </c>
      <c r="F17" s="43">
        <v>7200</v>
      </c>
    </row>
    <row r="18" spans="4:21" ht="15" x14ac:dyDescent="0.25">
      <c r="E18" t="s">
        <v>115</v>
      </c>
      <c r="F18" s="43">
        <v>1800</v>
      </c>
    </row>
    <row r="19" spans="4:21" ht="14.25" customHeight="1" x14ac:dyDescent="0.25">
      <c r="L19" s="72" t="s">
        <v>146</v>
      </c>
    </row>
    <row r="20" spans="4:21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4</v>
      </c>
      <c r="L20" s="72" t="s">
        <v>150</v>
      </c>
    </row>
    <row r="21" spans="4:21" ht="15" x14ac:dyDescent="0.25">
      <c r="E21" t="s">
        <v>15</v>
      </c>
      <c r="F21" s="4" t="s">
        <v>119</v>
      </c>
      <c r="H21" s="12">
        <f>I$6+I$9</f>
        <v>21</v>
      </c>
      <c r="I21" s="12">
        <f>IF(I15=2,(VLOOKUP($I$16,'Packet size and rates'!G110:AH115, 16,FALSE())), (VLOOKUP($I$16,'Packet size and rates'!G103:AH108, 16,FALSE())))*('Packet size and rates'!V117/F14)</f>
        <v>0.47711999999999999</v>
      </c>
      <c r="J21" s="73">
        <f t="shared" ref="J21:J26" si="0">H21*I21</f>
        <v>10.01952</v>
      </c>
      <c r="K21" s="74">
        <f t="shared" ref="K21:K26" si="1">1000000*I21/(24*3600)</f>
        <v>5.5222222222222221</v>
      </c>
      <c r="L21" s="75">
        <f t="shared" ref="L21:L26" si="2">K21/8</f>
        <v>0.69027777777777777</v>
      </c>
      <c r="M21" s="76" t="s">
        <v>151</v>
      </c>
      <c r="N21" s="75"/>
      <c r="P21" t="s">
        <v>308</v>
      </c>
    </row>
    <row r="22" spans="4:21" ht="15" x14ac:dyDescent="0.25">
      <c r="E22" t="s">
        <v>93</v>
      </c>
      <c r="F22" s="4" t="s">
        <v>120</v>
      </c>
      <c r="H22" s="12">
        <f>I$6+I$9</f>
        <v>21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4.5803519999999995</v>
      </c>
      <c r="K22" s="74">
        <f t="shared" si="1"/>
        <v>2.5244444444444443</v>
      </c>
      <c r="L22" s="75">
        <f t="shared" si="2"/>
        <v>0.31555555555555553</v>
      </c>
      <c r="M22" s="76" t="s">
        <v>152</v>
      </c>
      <c r="N22" s="75"/>
      <c r="P22">
        <v>20.1955555555556</v>
      </c>
    </row>
    <row r="23" spans="4:21" ht="15" x14ac:dyDescent="0.25">
      <c r="E23" t="s">
        <v>115</v>
      </c>
      <c r="F23" s="4" t="s">
        <v>121</v>
      </c>
      <c r="H23" s="12">
        <f>I$6+I$9</f>
        <v>21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0.516096</v>
      </c>
      <c r="K23" s="74">
        <f t="shared" si="1"/>
        <v>0.28444444444444444</v>
      </c>
      <c r="L23" s="75">
        <f t="shared" si="2"/>
        <v>3.5555555555555556E-2</v>
      </c>
      <c r="M23" s="76" t="s">
        <v>153</v>
      </c>
      <c r="N23" s="75"/>
      <c r="P23">
        <v>0.284444444444444</v>
      </c>
    </row>
    <row r="24" spans="4:21" ht="15" x14ac:dyDescent="0.25">
      <c r="E24" t="s">
        <v>80</v>
      </c>
      <c r="F24" s="4" t="s">
        <v>116</v>
      </c>
      <c r="H24" s="12">
        <f>IF(K$9="yes",I$9,0)+IF(K$6="yes",I$6,0)</f>
        <v>21</v>
      </c>
      <c r="I24" s="12">
        <f>IF(I15=2,(VLOOKUP($I$16,'Packet size and rates'!G110:AH115, 25,FALSE())), (VLOOKUP($I$16,'Packet size and rates'!G103:AH108, 25,FALSE())))</f>
        <v>1.5192000000000001</v>
      </c>
      <c r="J24" s="73">
        <f t="shared" si="0"/>
        <v>31.903200000000002</v>
      </c>
      <c r="K24" s="74">
        <f t="shared" si="1"/>
        <v>17.583333333333332</v>
      </c>
      <c r="L24" s="75">
        <f t="shared" si="2"/>
        <v>2.1979166666666665</v>
      </c>
      <c r="M24" s="76" t="s">
        <v>154</v>
      </c>
      <c r="N24" s="76"/>
      <c r="P24">
        <v>4.3958333333333304</v>
      </c>
    </row>
    <row r="25" spans="4:21" ht="15" x14ac:dyDescent="0.25">
      <c r="E25" t="s">
        <v>155</v>
      </c>
      <c r="F25" s="4" t="s">
        <v>118</v>
      </c>
      <c r="H25" s="12">
        <f>IF(K$9="yes",I$9,0)+IF(K$6="yes",I$6,0)</f>
        <v>21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4.9706999999999999</v>
      </c>
      <c r="K25" s="74">
        <f t="shared" si="1"/>
        <v>2.7395833333333335</v>
      </c>
      <c r="L25" s="75">
        <f t="shared" si="2"/>
        <v>0.34244791666666669</v>
      </c>
      <c r="M25" s="76" t="s">
        <v>156</v>
      </c>
      <c r="N25" s="76"/>
      <c r="P25">
        <v>4.109375</v>
      </c>
    </row>
    <row r="26" spans="4:21" ht="15" x14ac:dyDescent="0.25">
      <c r="E26" s="31" t="s">
        <v>157</v>
      </c>
      <c r="F26" s="77" t="s">
        <v>158</v>
      </c>
      <c r="G26" s="31"/>
      <c r="H26" s="78">
        <f>IF(K$9="yes",I$9,0)+IF(K$6="yes",I$6,0)</f>
        <v>21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19.722149999999999</v>
      </c>
      <c r="K26" s="74">
        <f t="shared" si="1"/>
        <v>10.869791666666666</v>
      </c>
      <c r="L26" s="75">
        <f t="shared" si="2"/>
        <v>1.3587239583333333</v>
      </c>
      <c r="M26" s="76" t="s">
        <v>159</v>
      </c>
      <c r="N26" s="75"/>
      <c r="O26" s="75"/>
      <c r="P26">
        <v>16.3046875</v>
      </c>
    </row>
    <row r="27" spans="4:21" ht="15" x14ac:dyDescent="0.25">
      <c r="E27" s="66" t="s">
        <v>160</v>
      </c>
      <c r="I27" s="73">
        <f>SUM(I21:I26)</f>
        <v>3.4148580000000002</v>
      </c>
      <c r="J27" s="73">
        <f>SUM(J21:J26)</f>
        <v>71.712018</v>
      </c>
      <c r="K27" s="80">
        <f>SUM(K21:K26)</f>
        <v>39.523819444444442</v>
      </c>
      <c r="L27" s="80">
        <f>SUM(L21:L26)</f>
        <v>4.9404774305555552</v>
      </c>
    </row>
    <row r="29" spans="4:21" ht="15" x14ac:dyDescent="0.25">
      <c r="E29" t="s">
        <v>161</v>
      </c>
      <c r="J29" s="4">
        <f>1.6*G11</f>
        <v>0</v>
      </c>
    </row>
    <row r="30" spans="4:21" ht="15" x14ac:dyDescent="0.25">
      <c r="E30" s="31"/>
      <c r="F30" s="31"/>
      <c r="G30" s="31"/>
      <c r="H30" s="31"/>
      <c r="I30" s="31"/>
      <c r="J30" s="77"/>
    </row>
    <row r="31" spans="4:21" ht="15" x14ac:dyDescent="0.25">
      <c r="E31" s="66" t="s">
        <v>162</v>
      </c>
      <c r="F31" s="66"/>
      <c r="G31" s="66"/>
      <c r="H31" s="66"/>
      <c r="I31" s="66"/>
      <c r="J31" s="81">
        <f>J27+J29</f>
        <v>71.712018</v>
      </c>
      <c r="T31" s="4"/>
    </row>
    <row r="32" spans="4:21" ht="14.25" customHeight="1" x14ac:dyDescent="0.25">
      <c r="P32" s="4"/>
      <c r="Q32" s="4"/>
      <c r="R32" s="4"/>
      <c r="S32" s="4"/>
      <c r="T32" s="4"/>
      <c r="U32" s="4"/>
    </row>
    <row r="33" spans="5:21" ht="14.25" customHeight="1" x14ac:dyDescent="0.25">
      <c r="I33" t="s">
        <v>85</v>
      </c>
      <c r="J33" s="4" t="s">
        <v>25</v>
      </c>
      <c r="K33" s="4" t="s">
        <v>4</v>
      </c>
      <c r="L33" s="82" t="s">
        <v>150</v>
      </c>
      <c r="R33" s="4"/>
      <c r="S33" s="4"/>
      <c r="T33" s="4"/>
      <c r="U33" s="4"/>
    </row>
    <row r="34" spans="5:21" ht="14.25" customHeight="1" x14ac:dyDescent="0.25">
      <c r="E34" s="83"/>
      <c r="F34" s="83"/>
      <c r="G34" s="83"/>
      <c r="H34" s="84" t="s">
        <v>312</v>
      </c>
      <c r="I34" s="85">
        <f>I21+I22+I23</f>
        <v>0.719808</v>
      </c>
      <c r="J34" s="85">
        <f>J21+J22+J23</f>
        <v>15.115967999999999</v>
      </c>
      <c r="K34" s="83">
        <f>K21+K22+K23</f>
        <v>8.3311111111111114</v>
      </c>
      <c r="L34" s="83">
        <f>L21+L22+L23</f>
        <v>1.0413888888888889</v>
      </c>
      <c r="M34" t="s">
        <v>311</v>
      </c>
      <c r="U34" s="4"/>
    </row>
    <row r="35" spans="5:21" ht="14.25" customHeight="1" x14ac:dyDescent="0.25">
      <c r="E35" s="86"/>
      <c r="F35" s="86"/>
      <c r="G35" s="86"/>
      <c r="H35" s="87" t="s">
        <v>165</v>
      </c>
      <c r="I35" s="88">
        <f>I26+I23+I22+I21</f>
        <v>1.6589579999999999</v>
      </c>
      <c r="J35" s="88">
        <f>J26+J23+J22+J21</f>
        <v>34.838118000000001</v>
      </c>
      <c r="K35" s="86">
        <f>K26+K23+K22+K21</f>
        <v>19.200902777777777</v>
      </c>
      <c r="L35" s="86">
        <f>L26+L23+L22+L21</f>
        <v>2.4001128472222222</v>
      </c>
      <c r="M35" t="s">
        <v>309</v>
      </c>
    </row>
    <row r="36" spans="5:21" ht="14.25" customHeight="1" x14ac:dyDescent="0.25">
      <c r="E36" s="89"/>
      <c r="F36" s="89"/>
      <c r="G36" s="89"/>
      <c r="H36" s="90" t="s">
        <v>167</v>
      </c>
      <c r="I36" s="91">
        <f>I26+I24+I23+I22+I21</f>
        <v>3.1781580000000007</v>
      </c>
      <c r="J36" s="91">
        <f>J26+J24+J23+J22+J21</f>
        <v>66.741317999999993</v>
      </c>
      <c r="K36" s="89">
        <f>K26+K24+K23+K22+K21</f>
        <v>36.784236111111113</v>
      </c>
      <c r="L36" s="89">
        <f>L26+L24+L23+L22+L21</f>
        <v>4.5980295138888891</v>
      </c>
      <c r="M36" t="s">
        <v>313</v>
      </c>
    </row>
    <row r="37" spans="5:21" ht="14.25" customHeight="1" x14ac:dyDescent="0.25">
      <c r="E37" s="92"/>
      <c r="F37" s="92"/>
      <c r="G37" s="92"/>
      <c r="H37" s="93" t="s">
        <v>169</v>
      </c>
      <c r="I37" s="94">
        <f>SUM(I21:I26)</f>
        <v>3.4148580000000002</v>
      </c>
      <c r="J37" s="94">
        <f>SUM(J21:J26)</f>
        <v>71.712018</v>
      </c>
      <c r="K37" s="92">
        <f>SUM(K21:K26)</f>
        <v>39.523819444444442</v>
      </c>
      <c r="L37" s="92">
        <f>SUM(L21:L26)</f>
        <v>4.9404774305555552</v>
      </c>
      <c r="M37" t="s">
        <v>170</v>
      </c>
    </row>
    <row r="38" spans="5:21" ht="14.25" customHeight="1" x14ac:dyDescent="0.25">
      <c r="E38" s="95"/>
      <c r="F38" s="95"/>
      <c r="G38" s="95"/>
      <c r="H38" s="96" t="s">
        <v>90</v>
      </c>
      <c r="I38" s="97">
        <f t="shared" ref="I38:L39" si="3">I24</f>
        <v>1.5192000000000001</v>
      </c>
      <c r="J38" s="97">
        <f t="shared" si="3"/>
        <v>31.903200000000002</v>
      </c>
      <c r="K38" s="98">
        <f t="shared" si="3"/>
        <v>17.583333333333332</v>
      </c>
      <c r="L38" s="98">
        <f t="shared" si="3"/>
        <v>2.1979166666666665</v>
      </c>
      <c r="M38" t="s">
        <v>205</v>
      </c>
    </row>
    <row r="39" spans="5:21" ht="14.25" customHeight="1" x14ac:dyDescent="0.25">
      <c r="E39" s="99"/>
      <c r="F39" s="99"/>
      <c r="G39" s="99"/>
      <c r="H39" s="100" t="s">
        <v>172</v>
      </c>
      <c r="I39" s="101">
        <f t="shared" si="3"/>
        <v>0.23669999999999999</v>
      </c>
      <c r="J39" s="101">
        <f t="shared" si="3"/>
        <v>4.9706999999999999</v>
      </c>
      <c r="K39" s="101">
        <f t="shared" si="3"/>
        <v>2.7395833333333335</v>
      </c>
      <c r="L39" s="101">
        <f t="shared" si="3"/>
        <v>0.34244791666666669</v>
      </c>
      <c r="M39" t="s">
        <v>173</v>
      </c>
    </row>
    <row r="40" spans="5:21" ht="14.25" customHeight="1" x14ac:dyDescent="0.25">
      <c r="E40" s="102"/>
      <c r="F40" s="102"/>
      <c r="G40" s="102"/>
      <c r="H40" s="103" t="s">
        <v>189</v>
      </c>
      <c r="I40" s="104">
        <f>I26+I25</f>
        <v>1.1758500000000001</v>
      </c>
      <c r="J40" s="104">
        <f>J26+J25</f>
        <v>24.69285</v>
      </c>
      <c r="K40" s="104">
        <f>K26+K25</f>
        <v>13.609375</v>
      </c>
      <c r="L40" s="104">
        <f>L26+L25</f>
        <v>1.701171875</v>
      </c>
      <c r="M40" t="s">
        <v>314</v>
      </c>
    </row>
    <row r="41" spans="5:21" ht="14.25" customHeight="1" x14ac:dyDescent="0.25">
      <c r="E41" s="105"/>
      <c r="F41" s="105"/>
      <c r="G41" s="105"/>
      <c r="H41" s="106" t="s">
        <v>190</v>
      </c>
      <c r="I41" s="107">
        <f>I21+I23+I24+I25</f>
        <v>2.2575959999999999</v>
      </c>
      <c r="J41" s="107">
        <f>J21+J23+J24+J25</f>
        <v>47.409516000000004</v>
      </c>
      <c r="K41" s="107">
        <f>K21+K23+K24+K25</f>
        <v>26.129583333333333</v>
      </c>
      <c r="L41" s="107">
        <f>L21+L23+L24+L25</f>
        <v>3.2661979166666666</v>
      </c>
      <c r="M41" t="s">
        <v>315</v>
      </c>
    </row>
    <row r="42" spans="5:21" ht="14.25" customHeight="1" x14ac:dyDescent="0.25">
      <c r="E42" s="108"/>
      <c r="F42" s="108"/>
      <c r="G42" s="108"/>
      <c r="H42" s="109" t="s">
        <v>192</v>
      </c>
      <c r="I42" s="110">
        <f>I21+I23+I25</f>
        <v>0.73839600000000005</v>
      </c>
      <c r="J42" s="110">
        <f>J21+J23+J25</f>
        <v>15.506315999999998</v>
      </c>
      <c r="K42" s="110">
        <f>K22+K25+K26</f>
        <v>16.133819444444445</v>
      </c>
      <c r="L42" s="110">
        <f>L22+L25+L26</f>
        <v>2.0167274305555556</v>
      </c>
      <c r="M42" t="s">
        <v>193</v>
      </c>
    </row>
    <row r="43" spans="5:21" ht="14.25" customHeight="1" x14ac:dyDescent="0.25">
      <c r="E43" s="75"/>
      <c r="F43" s="75"/>
      <c r="G43" s="75"/>
      <c r="H43" s="111" t="s">
        <v>199</v>
      </c>
      <c r="I43" s="112">
        <f>I26+I22</f>
        <v>1.157262</v>
      </c>
      <c r="J43" s="112">
        <f>J26+J22</f>
        <v>24.302501999999997</v>
      </c>
      <c r="K43" s="112">
        <f>K26+K22</f>
        <v>13.394236111111111</v>
      </c>
      <c r="L43" s="112">
        <f>L26+L22</f>
        <v>1.6742795138888888</v>
      </c>
      <c r="M43" t="s">
        <v>200</v>
      </c>
    </row>
    <row r="44" spans="5:21" ht="14.25" customHeight="1" x14ac:dyDescent="0.25">
      <c r="R44" s="10"/>
    </row>
    <row r="45" spans="5:21" ht="14.25" customHeight="1" x14ac:dyDescent="0.25">
      <c r="K45" s="4"/>
      <c r="N45" s="4"/>
    </row>
    <row r="46" spans="5:21" ht="14.25" customHeight="1" x14ac:dyDescent="0.25">
      <c r="J46" s="4"/>
      <c r="K46" s="4"/>
      <c r="N46" s="4"/>
    </row>
    <row r="47" spans="5:21" ht="14.25" customHeight="1" x14ac:dyDescent="0.25">
      <c r="F47" s="10"/>
      <c r="K47" s="4"/>
      <c r="N47" s="4"/>
    </row>
    <row r="48" spans="5:21" ht="14.25" customHeight="1" x14ac:dyDescent="0.25">
      <c r="K48" s="4"/>
      <c r="N48" s="4"/>
    </row>
    <row r="49" spans="6:24" ht="14.25" customHeight="1" x14ac:dyDescent="0.25">
      <c r="J49" s="4"/>
      <c r="K49" s="4"/>
      <c r="N49" s="4"/>
    </row>
    <row r="50" spans="6:24" ht="14.25" customHeight="1" x14ac:dyDescent="0.25">
      <c r="J50" s="4"/>
      <c r="K50" s="4"/>
      <c r="N50" s="4"/>
    </row>
    <row r="51" spans="6:24" ht="14.25" customHeight="1" x14ac:dyDescent="0.25">
      <c r="J51" s="4"/>
      <c r="K51" s="4"/>
      <c r="N51" s="4"/>
    </row>
    <row r="52" spans="6:24" ht="14.25" customHeight="1" x14ac:dyDescent="0.25">
      <c r="J52" s="4"/>
      <c r="K52" s="4"/>
      <c r="N52" s="4"/>
    </row>
    <row r="53" spans="6:24" ht="14.25" customHeight="1" x14ac:dyDescent="0.25">
      <c r="J53" s="4"/>
      <c r="K53" s="4"/>
      <c r="N53" s="4"/>
    </row>
    <row r="54" spans="6:24" ht="14.25" customHeight="1" x14ac:dyDescent="0.25">
      <c r="J54" s="4"/>
      <c r="K54" s="4"/>
      <c r="N54" s="4"/>
    </row>
    <row r="55" spans="6:24" ht="14.25" customHeight="1" x14ac:dyDescent="0.25">
      <c r="J55" s="4"/>
      <c r="K55" s="4"/>
      <c r="N55" s="4"/>
    </row>
    <row r="56" spans="6:24" ht="14.25" customHeight="1" x14ac:dyDescent="0.25">
      <c r="F56" s="10"/>
      <c r="J56" s="4"/>
      <c r="K56" s="4"/>
      <c r="N56" s="4"/>
    </row>
    <row r="57" spans="6:24" ht="14.25" customHeight="1" x14ac:dyDescent="0.25">
      <c r="J57" s="4"/>
      <c r="K57" s="4"/>
      <c r="N57" s="4"/>
    </row>
    <row r="58" spans="6:24" ht="14.25" customHeight="1" x14ac:dyDescent="0.25">
      <c r="J58" s="4"/>
      <c r="K58" s="82"/>
      <c r="N58" s="113"/>
    </row>
    <row r="59" spans="6:24" ht="14.25" customHeight="1" x14ac:dyDescent="0.25">
      <c r="L59" s="4"/>
      <c r="N59" s="61"/>
    </row>
    <row r="60" spans="6:24" ht="14.25" customHeight="1" x14ac:dyDescent="0.25">
      <c r="L60" s="4"/>
      <c r="N60" s="4"/>
    </row>
    <row r="61" spans="6:24" ht="14.25" customHeight="1" x14ac:dyDescent="0.25">
      <c r="L61" s="4"/>
    </row>
    <row r="62" spans="6:24" ht="14.25" customHeight="1" x14ac:dyDescent="0.25">
      <c r="L62" s="4"/>
      <c r="N62" s="4"/>
    </row>
    <row r="63" spans="6:24" ht="14.25" customHeight="1" x14ac:dyDescent="0.25">
      <c r="L63" s="4"/>
      <c r="N63" s="4"/>
      <c r="O63" s="4" t="s">
        <v>226</v>
      </c>
      <c r="P63" s="66" t="s">
        <v>227</v>
      </c>
      <c r="V63" s="61">
        <v>89</v>
      </c>
      <c r="W63" s="4" t="s">
        <v>228</v>
      </c>
      <c r="X63" s="66" t="s">
        <v>227</v>
      </c>
    </row>
    <row r="64" spans="6:24" ht="14.25" customHeight="1" x14ac:dyDescent="0.25">
      <c r="L64" s="4"/>
      <c r="N64" s="4">
        <f>N58+O64</f>
        <v>4.9000000000000004</v>
      </c>
      <c r="O64" s="4">
        <v>4.9000000000000004</v>
      </c>
      <c r="P64" s="50" t="s">
        <v>229</v>
      </c>
      <c r="U64" s="4">
        <f>N58+W64</f>
        <v>4.9000000000000004</v>
      </c>
      <c r="V64" s="4">
        <f t="shared" ref="V64:V72" si="4">V63-W64</f>
        <v>84.1</v>
      </c>
      <c r="W64" s="4">
        <v>4.9000000000000004</v>
      </c>
      <c r="X64" s="50" t="s">
        <v>229</v>
      </c>
    </row>
    <row r="65" spans="9:26" ht="14.25" customHeight="1" x14ac:dyDescent="0.25">
      <c r="L65" s="4"/>
      <c r="N65" s="4">
        <f>N64+O65</f>
        <v>11.4</v>
      </c>
      <c r="O65" s="4">
        <v>6.5</v>
      </c>
      <c r="P65" s="50" t="s">
        <v>230</v>
      </c>
      <c r="U65" s="4">
        <f t="shared" ref="U65:U72" si="5">U64+W65</f>
        <v>11.4</v>
      </c>
      <c r="V65" s="4">
        <f t="shared" si="4"/>
        <v>77.599999999999994</v>
      </c>
      <c r="W65" s="4">
        <v>6.5</v>
      </c>
      <c r="X65" s="50" t="s">
        <v>230</v>
      </c>
    </row>
    <row r="66" spans="9:26" ht="14.25" customHeight="1" x14ac:dyDescent="0.25">
      <c r="L66" s="4"/>
      <c r="N66" s="4">
        <f>N65+O66</f>
        <v>14.9</v>
      </c>
      <c r="O66" s="4">
        <v>3.5</v>
      </c>
      <c r="P66" s="50" t="s">
        <v>231</v>
      </c>
      <c r="U66" s="4">
        <f t="shared" si="5"/>
        <v>14.9</v>
      </c>
      <c r="V66" s="4">
        <f t="shared" si="4"/>
        <v>74.099999999999994</v>
      </c>
      <c r="W66" s="4">
        <v>3.5</v>
      </c>
      <c r="X66" s="50" t="s">
        <v>231</v>
      </c>
    </row>
    <row r="67" spans="9:26" ht="14.25" customHeight="1" x14ac:dyDescent="0.25">
      <c r="L67" s="4"/>
      <c r="N67" s="4"/>
      <c r="U67" s="4">
        <f t="shared" si="5"/>
        <v>21.8</v>
      </c>
      <c r="V67" s="4">
        <f t="shared" si="4"/>
        <v>67.199999999999989</v>
      </c>
      <c r="W67" s="82">
        <v>6.9</v>
      </c>
      <c r="X67" s="114" t="s">
        <v>232</v>
      </c>
      <c r="Y67" s="114"/>
      <c r="Z67" s="114"/>
    </row>
    <row r="68" spans="9:26" ht="14.25" customHeight="1" x14ac:dyDescent="0.25">
      <c r="L68" s="4"/>
      <c r="N68" s="73">
        <f>N66+O68</f>
        <v>41.57555</v>
      </c>
      <c r="O68" s="115">
        <f>6.897+14.124+5.65455</f>
        <v>26.675550000000001</v>
      </c>
      <c r="P68" s="114" t="s">
        <v>233</v>
      </c>
      <c r="Q68" s="114"/>
      <c r="R68" s="114"/>
      <c r="S68" s="114"/>
      <c r="U68" s="4">
        <f t="shared" si="5"/>
        <v>42.2</v>
      </c>
      <c r="V68" s="4">
        <f t="shared" si="4"/>
        <v>46.79999999999999</v>
      </c>
      <c r="W68" s="82">
        <v>20.399999999999999</v>
      </c>
      <c r="X68" s="114" t="s">
        <v>234</v>
      </c>
      <c r="Y68" s="114"/>
      <c r="Z68" s="114"/>
    </row>
    <row r="69" spans="9:26" ht="14.25" customHeight="1" x14ac:dyDescent="0.25">
      <c r="L69" s="4"/>
      <c r="N69" s="73">
        <f>N68+O69</f>
        <v>42.775550000000003</v>
      </c>
      <c r="O69" s="4">
        <v>1.2</v>
      </c>
      <c r="P69" t="s">
        <v>235</v>
      </c>
      <c r="U69" s="4">
        <f t="shared" si="5"/>
        <v>43.400000000000006</v>
      </c>
      <c r="V69" s="4">
        <f t="shared" si="4"/>
        <v>45.599999999999987</v>
      </c>
      <c r="W69" s="4">
        <v>1.2</v>
      </c>
      <c r="X69" t="s">
        <v>235</v>
      </c>
    </row>
    <row r="70" spans="9:26" ht="14.25" customHeight="1" x14ac:dyDescent="0.25">
      <c r="N70" s="73">
        <f>N69+O70</f>
        <v>53.775550000000003</v>
      </c>
      <c r="O70" s="4">
        <v>11</v>
      </c>
      <c r="P70" t="s">
        <v>236</v>
      </c>
      <c r="U70" s="4">
        <f t="shared" si="5"/>
        <v>54.400000000000006</v>
      </c>
      <c r="V70" s="4">
        <f t="shared" si="4"/>
        <v>34.599999999999987</v>
      </c>
      <c r="W70" s="4">
        <v>11</v>
      </c>
      <c r="X70" t="s">
        <v>236</v>
      </c>
    </row>
    <row r="71" spans="9:26" ht="14.25" customHeight="1" x14ac:dyDescent="0.25">
      <c r="N71" s="73">
        <f>N70+O71</f>
        <v>69.77555000000001</v>
      </c>
      <c r="O71" s="116">
        <v>16</v>
      </c>
      <c r="P71" s="117" t="s">
        <v>237</v>
      </c>
      <c r="Q71" s="118"/>
      <c r="U71" s="4">
        <f t="shared" si="5"/>
        <v>71.7</v>
      </c>
      <c r="V71" s="4">
        <f t="shared" si="4"/>
        <v>17.299999999999994</v>
      </c>
      <c r="W71" s="116">
        <f>V70/2</f>
        <v>17.299999999999994</v>
      </c>
      <c r="X71" s="118" t="s">
        <v>238</v>
      </c>
      <c r="Y71" s="118"/>
    </row>
    <row r="72" spans="9:26" ht="14.25" customHeight="1" x14ac:dyDescent="0.25">
      <c r="I72" s="10" t="s">
        <v>239</v>
      </c>
      <c r="J72">
        <v>164</v>
      </c>
      <c r="K72" s="119">
        <f>K58+J72</f>
        <v>164</v>
      </c>
      <c r="N72" s="120">
        <f>N71+O72</f>
        <v>93.77555000000001</v>
      </c>
      <c r="O72" s="121">
        <v>24</v>
      </c>
      <c r="P72" s="122" t="s">
        <v>240</v>
      </c>
      <c r="Q72" s="122"/>
      <c r="U72" s="4">
        <f t="shared" si="5"/>
        <v>89</v>
      </c>
      <c r="V72" s="4">
        <f t="shared" si="4"/>
        <v>0</v>
      </c>
      <c r="W72" s="121">
        <v>17.3</v>
      </c>
      <c r="X72" s="122" t="s">
        <v>241</v>
      </c>
      <c r="Y72" s="122"/>
    </row>
    <row r="73" spans="9:26" ht="14.25" customHeight="1" x14ac:dyDescent="0.25">
      <c r="W73" t="s">
        <v>242</v>
      </c>
    </row>
    <row r="74" spans="9:26" ht="14.25" customHeight="1" x14ac:dyDescent="0.25">
      <c r="W74" s="4">
        <v>16</v>
      </c>
      <c r="X74" s="50" t="s">
        <v>243</v>
      </c>
    </row>
    <row r="75" spans="9:26" ht="14.25" customHeight="1" x14ac:dyDescent="0.25">
      <c r="W75" s="4">
        <v>29.5</v>
      </c>
      <c r="X75" t="s">
        <v>244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699"/>
  </sheetPr>
  <dimension ref="C3:S31"/>
  <sheetViews>
    <sheetView topLeftCell="C1" zoomScaleNormal="100" workbookViewId="0">
      <selection activeCell="E5" activeCellId="1" sqref="P21:P26 E5"/>
    </sheetView>
  </sheetViews>
  <sheetFormatPr defaultColWidth="8.7109375" defaultRowHeight="14.25" customHeight="1" x14ac:dyDescent="0.25"/>
  <cols>
    <col min="5" max="5" width="14.140625" customWidth="1"/>
    <col min="11" max="11" width="10.42578125" customWidth="1"/>
  </cols>
  <sheetData>
    <row r="3" spans="3:19" ht="15" x14ac:dyDescent="0.25">
      <c r="C3" s="49" t="s">
        <v>125</v>
      </c>
      <c r="D3" s="49"/>
      <c r="E3" s="49">
        <v>25207</v>
      </c>
    </row>
    <row r="4" spans="3:19" ht="15" x14ac:dyDescent="0.25">
      <c r="C4" t="s">
        <v>126</v>
      </c>
      <c r="E4" s="61" t="s">
        <v>127</v>
      </c>
      <c r="F4" s="61" t="s">
        <v>128</v>
      </c>
      <c r="G4" s="61" t="s">
        <v>129</v>
      </c>
      <c r="H4" s="61" t="s">
        <v>130</v>
      </c>
      <c r="I4" s="61" t="s">
        <v>131</v>
      </c>
      <c r="K4" s="61" t="s">
        <v>132</v>
      </c>
      <c r="L4" s="61"/>
      <c r="N4" s="66"/>
    </row>
    <row r="5" spans="3:19" ht="15" x14ac:dyDescent="0.25">
      <c r="D5" t="s">
        <v>133</v>
      </c>
      <c r="E5" s="67">
        <v>135</v>
      </c>
      <c r="F5" s="67">
        <v>0</v>
      </c>
      <c r="G5" s="67">
        <v>0</v>
      </c>
      <c r="H5" s="12">
        <f>E5+(F5+G5/60)/24</f>
        <v>135</v>
      </c>
      <c r="I5" s="4"/>
      <c r="L5" s="4"/>
      <c r="M5" s="4"/>
      <c r="N5" s="4"/>
    </row>
    <row r="6" spans="3:19" ht="15" x14ac:dyDescent="0.25">
      <c r="D6" t="s">
        <v>134</v>
      </c>
      <c r="E6" s="67">
        <v>159</v>
      </c>
      <c r="F6" s="67">
        <v>0</v>
      </c>
      <c r="G6" s="67">
        <v>0</v>
      </c>
      <c r="H6" s="12">
        <f>E6+(F6+G6/60)/24</f>
        <v>159</v>
      </c>
      <c r="I6" s="12">
        <f>H6-H5</f>
        <v>24</v>
      </c>
      <c r="K6" s="67" t="s">
        <v>135</v>
      </c>
      <c r="L6" s="4"/>
      <c r="M6" s="4"/>
      <c r="N6" s="12"/>
    </row>
    <row r="7" spans="3:19" ht="15" x14ac:dyDescent="0.25">
      <c r="C7" t="s">
        <v>136</v>
      </c>
      <c r="E7" s="67"/>
      <c r="F7" s="67"/>
      <c r="G7" s="67"/>
      <c r="H7" s="4"/>
      <c r="I7" s="4"/>
      <c r="L7" s="12"/>
      <c r="M7" s="4"/>
      <c r="N7" s="4"/>
      <c r="O7" s="68" t="s">
        <v>137</v>
      </c>
      <c r="P7" s="69"/>
      <c r="Q7" s="69"/>
      <c r="R7" s="69"/>
      <c r="S7" s="70"/>
    </row>
    <row r="8" spans="3:19" ht="15" x14ac:dyDescent="0.25">
      <c r="D8" t="s">
        <v>133</v>
      </c>
      <c r="E8" s="67">
        <v>159</v>
      </c>
      <c r="F8" s="67">
        <v>0</v>
      </c>
      <c r="G8" s="67">
        <v>0</v>
      </c>
      <c r="H8" s="12">
        <f>E8+(F8+G8/60)/24</f>
        <v>159</v>
      </c>
      <c r="I8" s="4"/>
      <c r="L8" s="4"/>
      <c r="M8" s="4"/>
      <c r="N8" s="4"/>
    </row>
    <row r="9" spans="3:19" ht="15" x14ac:dyDescent="0.25">
      <c r="D9" t="s">
        <v>134</v>
      </c>
      <c r="E9" s="67">
        <v>219</v>
      </c>
      <c r="F9" s="67">
        <v>0</v>
      </c>
      <c r="G9" s="67">
        <v>0</v>
      </c>
      <c r="H9" s="12">
        <f>E9+(F9+G9/60)/24</f>
        <v>219</v>
      </c>
      <c r="I9" s="12">
        <f>H9-H8</f>
        <v>60</v>
      </c>
      <c r="K9" s="67" t="s">
        <v>194</v>
      </c>
      <c r="L9" s="12"/>
      <c r="M9" s="4"/>
      <c r="N9" s="12"/>
    </row>
    <row r="10" spans="3:19" ht="15" x14ac:dyDescent="0.25">
      <c r="F10" s="15"/>
    </row>
    <row r="11" spans="3:19" ht="15" x14ac:dyDescent="0.25">
      <c r="C11" t="s">
        <v>138</v>
      </c>
      <c r="G11" s="43">
        <v>1</v>
      </c>
    </row>
    <row r="13" spans="3:19" ht="15" x14ac:dyDescent="0.25">
      <c r="D13" t="s">
        <v>139</v>
      </c>
    </row>
    <row r="14" spans="3:19" ht="15" x14ac:dyDescent="0.25">
      <c r="E14" t="s">
        <v>15</v>
      </c>
      <c r="F14" s="43">
        <v>120</v>
      </c>
    </row>
    <row r="15" spans="3:19" ht="15" x14ac:dyDescent="0.25">
      <c r="E15" t="s">
        <v>140</v>
      </c>
      <c r="F15" s="43">
        <v>103</v>
      </c>
      <c r="G15" s="4" t="s">
        <v>141</v>
      </c>
      <c r="H15" s="4" t="s">
        <v>142</v>
      </c>
      <c r="I15" s="4">
        <f>IF(F16=101,3,IF(F15=103,3,2))</f>
        <v>3</v>
      </c>
    </row>
    <row r="16" spans="3:19" ht="15" x14ac:dyDescent="0.25">
      <c r="E16" t="s">
        <v>143</v>
      </c>
      <c r="F16" s="43">
        <v>101</v>
      </c>
      <c r="H16" s="10" t="s">
        <v>144</v>
      </c>
      <c r="I16" s="4">
        <f>IF(F16=101,106, F16)</f>
        <v>106</v>
      </c>
      <c r="J16" s="71" t="s">
        <v>145</v>
      </c>
    </row>
    <row r="17" spans="4:19" ht="15" x14ac:dyDescent="0.25">
      <c r="E17" t="s">
        <v>93</v>
      </c>
      <c r="F17" s="43">
        <v>7200</v>
      </c>
    </row>
    <row r="18" spans="4:19" ht="15" x14ac:dyDescent="0.25">
      <c r="E18" t="s">
        <v>115</v>
      </c>
      <c r="F18" s="43">
        <v>1800</v>
      </c>
    </row>
    <row r="19" spans="4:19" ht="14.25" customHeight="1" x14ac:dyDescent="0.25">
      <c r="J19">
        <f>J21+J22+J23+J26+J25</f>
        <v>168.84043199999999</v>
      </c>
      <c r="L19" s="113" t="s">
        <v>146</v>
      </c>
      <c r="M19" s="113" t="s">
        <v>146</v>
      </c>
      <c r="N19" s="72" t="s">
        <v>146</v>
      </c>
    </row>
    <row r="20" spans="4:19" ht="15" x14ac:dyDescent="0.25">
      <c r="D20" t="s">
        <v>147</v>
      </c>
      <c r="H20" t="s">
        <v>148</v>
      </c>
      <c r="I20" t="s">
        <v>85</v>
      </c>
      <c r="J20" t="s">
        <v>149</v>
      </c>
      <c r="K20" s="4" t="s">
        <v>245</v>
      </c>
      <c r="L20" s="113" t="s">
        <v>246</v>
      </c>
      <c r="M20" s="113" t="s">
        <v>247</v>
      </c>
      <c r="N20" s="72" t="s">
        <v>150</v>
      </c>
    </row>
    <row r="21" spans="4:19" ht="15" x14ac:dyDescent="0.25">
      <c r="E21" t="s">
        <v>15</v>
      </c>
      <c r="F21" s="4" t="s">
        <v>119</v>
      </c>
      <c r="H21" s="12">
        <f>I$6+I$9</f>
        <v>84</v>
      </c>
      <c r="I21" s="12">
        <f>IF(I15=2,(VLOOKUP($I$16,'Packet size and rates'!G110:AH115, 16,FALSE())), (VLOOKUP($I$16,'Packet size and rates'!G103:AH108, 16,FALSE())))*('Packet size and rates'!V117/F14)</f>
        <v>1.43136</v>
      </c>
      <c r="J21" s="73">
        <f t="shared" ref="J21:J26" si="0">H21*I21</f>
        <v>120.23424</v>
      </c>
      <c r="K21" s="74">
        <f t="shared" ref="K21:K26" si="1">1000000*I21/(24*3600)</f>
        <v>16.566666666666666</v>
      </c>
      <c r="L21" s="120">
        <f>J21</f>
        <v>120.23424</v>
      </c>
      <c r="M21" s="123">
        <f>1000000*I21/(24*3600)</f>
        <v>16.566666666666666</v>
      </c>
      <c r="N21" s="75">
        <f>M21/8</f>
        <v>2.0708333333333333</v>
      </c>
      <c r="O21" s="76" t="s">
        <v>151</v>
      </c>
      <c r="P21" s="75"/>
    </row>
    <row r="22" spans="4:19" ht="15" x14ac:dyDescent="0.25">
      <c r="E22" t="s">
        <v>93</v>
      </c>
      <c r="F22" s="4" t="s">
        <v>120</v>
      </c>
      <c r="H22" s="12">
        <f>I$6+I$9</f>
        <v>84</v>
      </c>
      <c r="I22" s="12">
        <f>IF(I15=2,(VLOOKUP($I$16,'Packet size and rates'!G110:AH115, 19,FALSE())), (VLOOKUP($I$16,'Packet size and rates'!G103:AH108, 19,FALSE())))*('Packet size and rates'!Y117/F17)</f>
        <v>0.21811199999999997</v>
      </c>
      <c r="J22" s="73">
        <f t="shared" si="0"/>
        <v>18.321407999999998</v>
      </c>
      <c r="K22" s="74">
        <f t="shared" si="1"/>
        <v>2.5244444444444443</v>
      </c>
      <c r="L22" s="120">
        <f>J22</f>
        <v>18.321407999999998</v>
      </c>
      <c r="M22" s="123">
        <f>1000000*I22/(24*3600)</f>
        <v>2.5244444444444443</v>
      </c>
      <c r="N22" s="75">
        <f>M22/8</f>
        <v>0.31555555555555553</v>
      </c>
      <c r="O22" s="76" t="s">
        <v>152</v>
      </c>
      <c r="P22" s="75"/>
    </row>
    <row r="23" spans="4:19" ht="15" x14ac:dyDescent="0.25">
      <c r="E23" t="s">
        <v>115</v>
      </c>
      <c r="F23" s="4" t="s">
        <v>121</v>
      </c>
      <c r="H23" s="12">
        <f>I$6+I$9</f>
        <v>84</v>
      </c>
      <c r="I23" s="12">
        <f>IF(I15=2,(VLOOKUP($I$16,'Packet size and rates'!G110:AH115, 13,FALSE())), (VLOOKUP($I$16,'Packet size and rates'!G103:AH108, 13,FALSE())))*('Packet size and rates'!S117/F18)</f>
        <v>2.4576000000000001E-2</v>
      </c>
      <c r="J23" s="73">
        <f t="shared" si="0"/>
        <v>2.064384</v>
      </c>
      <c r="K23" s="74">
        <f t="shared" si="1"/>
        <v>0.28444444444444444</v>
      </c>
      <c r="L23" s="120">
        <f>J23</f>
        <v>2.064384</v>
      </c>
      <c r="M23" s="123">
        <f>1000000*I23/(24*3600)</f>
        <v>0.28444444444444444</v>
      </c>
      <c r="N23" s="75">
        <f>M23/8</f>
        <v>3.5555555555555556E-2</v>
      </c>
      <c r="O23" s="76" t="s">
        <v>153</v>
      </c>
      <c r="P23" s="75"/>
    </row>
    <row r="24" spans="4:19" ht="15" x14ac:dyDescent="0.25">
      <c r="E24" t="s">
        <v>80</v>
      </c>
      <c r="F24" s="4" t="s">
        <v>116</v>
      </c>
      <c r="H24" s="12">
        <f>IF(K$9="yes",I$9,0)+IF(K$6="yes",I$6,0)</f>
        <v>24</v>
      </c>
      <c r="I24" s="12">
        <f>IF(I15=2,(VLOOKUP($I$16,'Packet size and rates'!G110:AH115, 25,FALSE())), (VLOOKUP($I$16,'Packet size and rates'!G103:AH108, 25,FALSE())))</f>
        <v>0.50639999999999996</v>
      </c>
      <c r="J24" s="73">
        <f t="shared" si="0"/>
        <v>12.153599999999999</v>
      </c>
      <c r="K24" s="74">
        <f t="shared" si="1"/>
        <v>5.8611111111111107</v>
      </c>
      <c r="L24" s="73"/>
      <c r="M24" s="73"/>
      <c r="N24" s="73"/>
      <c r="O24" t="s">
        <v>154</v>
      </c>
    </row>
    <row r="25" spans="4:19" ht="15" x14ac:dyDescent="0.25">
      <c r="E25" t="s">
        <v>155</v>
      </c>
      <c r="F25" s="4" t="s">
        <v>118</v>
      </c>
      <c r="H25" s="12">
        <f>IF(K$9="yes",I$9,0)+IF(K$6="yes",I$6,0)</f>
        <v>24</v>
      </c>
      <c r="I25" s="12">
        <f>IF(I15=2,(VLOOKUP($I$16,'Packet size and rates'!G110:AH115, 5,FALSE())), (VLOOKUP($I$16,'Packet size and rates'!G103:AH108, 5,FALSE())))</f>
        <v>0.23669999999999999</v>
      </c>
      <c r="J25" s="73">
        <f t="shared" si="0"/>
        <v>5.6807999999999996</v>
      </c>
      <c r="K25" s="74">
        <f t="shared" si="1"/>
        <v>2.7395833333333335</v>
      </c>
      <c r="L25" s="73"/>
      <c r="M25" s="73"/>
      <c r="N25" s="73"/>
      <c r="O25" t="s">
        <v>156</v>
      </c>
    </row>
    <row r="26" spans="4:19" ht="15" x14ac:dyDescent="0.25">
      <c r="E26" s="31" t="s">
        <v>157</v>
      </c>
      <c r="F26" s="77" t="s">
        <v>158</v>
      </c>
      <c r="G26" s="31"/>
      <c r="H26" s="78">
        <f>IF(K$9="yes",I$9,0)+IF(K$6="yes",I$6,0)</f>
        <v>24</v>
      </c>
      <c r="I26" s="78">
        <f>IF(I15=2,(VLOOKUP($I$16,'Packet size and rates'!G110:AH115, 8,FALSE())), (VLOOKUP($I$16,'Packet size and rates'!G103:AH108, 8,FALSE())))</f>
        <v>0.93915000000000004</v>
      </c>
      <c r="J26" s="79">
        <f t="shared" si="0"/>
        <v>22.5396</v>
      </c>
      <c r="K26" s="74">
        <f t="shared" si="1"/>
        <v>10.869791666666666</v>
      </c>
      <c r="L26" s="120">
        <f>J26</f>
        <v>22.5396</v>
      </c>
      <c r="M26" s="123">
        <f>1000000*I26/(24*3600)</f>
        <v>10.869791666666666</v>
      </c>
      <c r="N26" s="75">
        <f>M26/8</f>
        <v>1.3587239583333333</v>
      </c>
      <c r="O26" s="76" t="s">
        <v>248</v>
      </c>
      <c r="P26" s="75"/>
      <c r="Q26" s="75"/>
      <c r="R26" s="75"/>
      <c r="S26" s="75"/>
    </row>
    <row r="27" spans="4:19" ht="15" x14ac:dyDescent="0.25">
      <c r="E27" s="66" t="s">
        <v>160</v>
      </c>
      <c r="J27" s="73">
        <f>SUM(J21:J26)</f>
        <v>180.994032</v>
      </c>
      <c r="K27" s="80">
        <f>SUM(K21:K26)</f>
        <v>38.846041666666665</v>
      </c>
      <c r="L27" s="124">
        <f>SUM(L21:L26)</f>
        <v>163.15963199999999</v>
      </c>
      <c r="M27" s="125">
        <f>SUM(M21:M26)</f>
        <v>30.245347222222222</v>
      </c>
      <c r="N27" s="126">
        <f>SUM(N21:N26)</f>
        <v>3.7806684027777777</v>
      </c>
    </row>
    <row r="29" spans="4:19" ht="15" x14ac:dyDescent="0.25">
      <c r="E29" t="s">
        <v>161</v>
      </c>
      <c r="J29" s="4">
        <f>1.6*G11</f>
        <v>1.6</v>
      </c>
    </row>
    <row r="30" spans="4:19" ht="15" x14ac:dyDescent="0.25">
      <c r="E30" s="31"/>
      <c r="F30" s="31"/>
      <c r="G30" s="31"/>
      <c r="H30" s="31"/>
      <c r="I30" s="31"/>
      <c r="J30" s="77"/>
    </row>
    <row r="31" spans="4:19" ht="15" x14ac:dyDescent="0.25">
      <c r="E31" s="66" t="s">
        <v>162</v>
      </c>
      <c r="F31" s="66"/>
      <c r="G31" s="66"/>
      <c r="H31" s="66"/>
      <c r="I31" s="66"/>
      <c r="J31" s="81">
        <f>J27+J29</f>
        <v>182.594032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3:P15"/>
  <sheetViews>
    <sheetView zoomScaleNormal="100" workbookViewId="0">
      <selection activeCell="L15" sqref="L15"/>
    </sheetView>
  </sheetViews>
  <sheetFormatPr defaultColWidth="8.7109375" defaultRowHeight="14.25" customHeight="1" x14ac:dyDescent="0.25"/>
  <cols>
    <col min="4" max="4" width="13.5703125" style="4" customWidth="1"/>
    <col min="5" max="5" width="10.42578125" customWidth="1"/>
    <col min="6" max="6" width="16.5703125" style="4" customWidth="1"/>
    <col min="7" max="7" width="14.85546875" style="4" customWidth="1"/>
    <col min="8" max="13" width="9.5703125" style="4" customWidth="1"/>
  </cols>
  <sheetData>
    <row r="3" spans="4:16" ht="14.25" customHeight="1" x14ac:dyDescent="0.25">
      <c r="H3" s="169" t="s">
        <v>249</v>
      </c>
      <c r="I3" s="169"/>
      <c r="J3" s="169" t="s">
        <v>250</v>
      </c>
      <c r="K3" s="169"/>
      <c r="L3" s="169" t="s">
        <v>251</v>
      </c>
      <c r="M3" s="169"/>
    </row>
    <row r="4" spans="4:16" ht="60" x14ac:dyDescent="0.25">
      <c r="D4" s="4" t="s">
        <v>252</v>
      </c>
      <c r="E4" s="1" t="s">
        <v>253</v>
      </c>
      <c r="F4" s="1" t="s">
        <v>254</v>
      </c>
      <c r="G4" s="1" t="s">
        <v>255</v>
      </c>
      <c r="H4" s="1" t="s">
        <v>14</v>
      </c>
      <c r="I4" s="1" t="s">
        <v>256</v>
      </c>
      <c r="J4" s="1" t="s">
        <v>14</v>
      </c>
      <c r="K4" s="1" t="s">
        <v>256</v>
      </c>
      <c r="L4" s="1" t="s">
        <v>14</v>
      </c>
      <c r="M4" s="1" t="s">
        <v>256</v>
      </c>
    </row>
    <row r="5" spans="4:16" ht="15" x14ac:dyDescent="0.25">
      <c r="D5" s="4">
        <v>100</v>
      </c>
      <c r="E5" s="50" t="s">
        <v>257</v>
      </c>
      <c r="F5" s="1"/>
      <c r="G5" s="1"/>
      <c r="H5" s="1"/>
      <c r="I5" s="1"/>
      <c r="J5" s="1"/>
      <c r="K5" s="1"/>
      <c r="L5" s="1"/>
      <c r="M5" s="1"/>
    </row>
    <row r="6" spans="4:16" ht="15" x14ac:dyDescent="0.25">
      <c r="D6" s="4">
        <v>101</v>
      </c>
      <c r="E6" s="50" t="s">
        <v>258</v>
      </c>
      <c r="F6" s="1"/>
      <c r="G6" s="1"/>
      <c r="H6" s="1"/>
      <c r="I6" s="1"/>
      <c r="J6" s="1"/>
      <c r="K6" s="1"/>
      <c r="L6" s="1"/>
      <c r="M6" s="1"/>
    </row>
    <row r="7" spans="4:16" ht="15" x14ac:dyDescent="0.25">
      <c r="D7" s="4">
        <v>102</v>
      </c>
      <c r="E7" s="50" t="s">
        <v>259</v>
      </c>
      <c r="F7" s="1"/>
      <c r="G7" s="1"/>
      <c r="H7" s="1"/>
      <c r="I7" s="1"/>
      <c r="J7" s="1"/>
      <c r="K7" s="1"/>
      <c r="L7" s="1"/>
      <c r="M7" s="1"/>
    </row>
    <row r="8" spans="4:16" ht="15" x14ac:dyDescent="0.25">
      <c r="D8" s="4">
        <v>103</v>
      </c>
      <c r="E8" t="s">
        <v>260</v>
      </c>
    </row>
    <row r="9" spans="4:16" ht="15" x14ac:dyDescent="0.25">
      <c r="D9" s="4">
        <v>104</v>
      </c>
      <c r="E9" t="s">
        <v>261</v>
      </c>
    </row>
    <row r="10" spans="4:16" ht="15" x14ac:dyDescent="0.25">
      <c r="D10" s="4">
        <v>105</v>
      </c>
      <c r="E10" s="4">
        <v>5</v>
      </c>
      <c r="F10" s="4">
        <f>E10*60</f>
        <v>300</v>
      </c>
      <c r="G10" s="4">
        <f>43200-F10</f>
        <v>42900</v>
      </c>
      <c r="H10" s="127">
        <f>'Packet size and rates'!AA110</f>
        <v>34.267395833333332</v>
      </c>
      <c r="I10" s="73">
        <f>'Packet size and rates'!AD110</f>
        <v>4.395833333333333</v>
      </c>
      <c r="J10" s="73">
        <f>'Packet size and rates'!AB110</f>
        <v>2.9607030000000001</v>
      </c>
      <c r="K10" s="73">
        <f>'Packet size and rates'!AE110</f>
        <v>0.37980000000000003</v>
      </c>
      <c r="L10" s="127">
        <f t="shared" ref="L10:M15" si="0">J10*365</f>
        <v>1080.6565949999999</v>
      </c>
      <c r="M10" s="127">
        <f t="shared" si="0"/>
        <v>138.62700000000001</v>
      </c>
      <c r="P10" s="128"/>
    </row>
    <row r="11" spans="4:16" ht="15" x14ac:dyDescent="0.25">
      <c r="D11" s="4">
        <v>106</v>
      </c>
      <c r="E11" s="4">
        <v>10</v>
      </c>
      <c r="F11" s="4">
        <f>E11*60</f>
        <v>600</v>
      </c>
      <c r="G11" s="4">
        <f t="shared" ref="G11:G15" si="1">43200-F11</f>
        <v>42600</v>
      </c>
      <c r="H11" s="127">
        <f>'Packet size and rates'!AA111</f>
        <v>34.267395833333332</v>
      </c>
      <c r="I11" s="73">
        <f>'Packet size and rates'!AD111</f>
        <v>8.7916666666666661</v>
      </c>
      <c r="J11" s="73">
        <f>'Packet size and rates'!AB111</f>
        <v>2.9607030000000001</v>
      </c>
      <c r="K11" s="73">
        <f>'Packet size and rates'!AE111</f>
        <v>0.75960000000000005</v>
      </c>
      <c r="L11" s="127">
        <f t="shared" si="0"/>
        <v>1080.6565949999999</v>
      </c>
      <c r="M11" s="127">
        <f t="shared" si="0"/>
        <v>277.25400000000002</v>
      </c>
      <c r="P11" s="128"/>
    </row>
    <row r="12" spans="4:16" ht="15" x14ac:dyDescent="0.25">
      <c r="D12" s="4">
        <v>107</v>
      </c>
      <c r="E12" s="4">
        <v>14</v>
      </c>
      <c r="F12" s="4">
        <f>E12*60</f>
        <v>840</v>
      </c>
      <c r="G12" s="4">
        <f t="shared" si="1"/>
        <v>42360</v>
      </c>
      <c r="H12" s="127">
        <f>'Packet size and rates'!AA112</f>
        <v>34.267395833333332</v>
      </c>
      <c r="I12" s="73">
        <f>'Packet size and rates'!AD112</f>
        <v>12.308333333333334</v>
      </c>
      <c r="J12" s="73">
        <f>'Packet size and rates'!AB112</f>
        <v>2.9607030000000001</v>
      </c>
      <c r="K12" s="73">
        <f>'Packet size and rates'!AE112</f>
        <v>1.0634399999999999</v>
      </c>
      <c r="L12" s="127">
        <f t="shared" si="0"/>
        <v>1080.6565949999999</v>
      </c>
      <c r="M12" s="127">
        <f t="shared" si="0"/>
        <v>388.15559999999999</v>
      </c>
      <c r="P12" s="128"/>
    </row>
    <row r="13" spans="4:16" ht="15" x14ac:dyDescent="0.25">
      <c r="D13" s="4">
        <v>108</v>
      </c>
      <c r="E13" s="4">
        <v>20</v>
      </c>
      <c r="F13" s="4">
        <f>E13*60</f>
        <v>1200</v>
      </c>
      <c r="G13" s="4">
        <f t="shared" si="1"/>
        <v>42000</v>
      </c>
      <c r="H13" s="127">
        <f>'Packet size and rates'!AA113</f>
        <v>34.267395833333332</v>
      </c>
      <c r="I13" s="73">
        <f>'Packet size and rates'!AD113</f>
        <v>17.583333333333332</v>
      </c>
      <c r="J13" s="73">
        <f>'Packet size and rates'!AB113</f>
        <v>2.9607030000000001</v>
      </c>
      <c r="K13" s="73">
        <f>'Packet size and rates'!AE113</f>
        <v>1.5192000000000001</v>
      </c>
      <c r="L13" s="127">
        <f t="shared" si="0"/>
        <v>1080.6565949999999</v>
      </c>
      <c r="M13" s="127">
        <f t="shared" si="0"/>
        <v>554.50800000000004</v>
      </c>
      <c r="P13" s="128"/>
    </row>
    <row r="14" spans="4:16" ht="15" x14ac:dyDescent="0.25">
      <c r="D14" s="4">
        <v>109</v>
      </c>
      <c r="E14" s="4">
        <v>30</v>
      </c>
      <c r="F14" s="4">
        <f>E14*60</f>
        <v>1800</v>
      </c>
      <c r="G14" s="4">
        <f t="shared" si="1"/>
        <v>41400</v>
      </c>
      <c r="H14" s="127">
        <f>'Packet size and rates'!AA114</f>
        <v>34.267395833333332</v>
      </c>
      <c r="I14" s="73">
        <f>'Packet size and rates'!AD114</f>
        <v>26.375</v>
      </c>
      <c r="J14" s="73">
        <f>'Packet size and rates'!AB114</f>
        <v>2.9607030000000001</v>
      </c>
      <c r="K14" s="73">
        <f>'Packet size and rates'!AE114</f>
        <v>2.2787999999999999</v>
      </c>
      <c r="L14" s="127">
        <f t="shared" si="0"/>
        <v>1080.6565949999999</v>
      </c>
      <c r="M14" s="127">
        <f t="shared" si="0"/>
        <v>831.76199999999994</v>
      </c>
      <c r="P14" s="128"/>
    </row>
    <row r="15" spans="4:16" ht="15" x14ac:dyDescent="0.25">
      <c r="D15" s="4">
        <v>110</v>
      </c>
      <c r="E15" s="4" t="s">
        <v>262</v>
      </c>
      <c r="F15" s="4">
        <v>43200</v>
      </c>
      <c r="G15" s="4">
        <f t="shared" si="1"/>
        <v>0</v>
      </c>
      <c r="H15" s="127">
        <f>'Packet size and rates'!AA115</f>
        <v>34.267395833333332</v>
      </c>
      <c r="I15" s="73">
        <f>'Packet size and rates'!AD115</f>
        <v>633</v>
      </c>
      <c r="J15" s="73">
        <f>'Packet size and rates'!AB115</f>
        <v>2.9607030000000001</v>
      </c>
      <c r="K15" s="73">
        <f>'Packet size and rates'!AE115</f>
        <v>54.691200000000002</v>
      </c>
      <c r="L15" s="127">
        <f t="shared" si="0"/>
        <v>1080.6565949999999</v>
      </c>
      <c r="M15" s="127">
        <f t="shared" si="0"/>
        <v>19962.288</v>
      </c>
    </row>
  </sheetData>
  <mergeCells count="3">
    <mergeCell ref="H3:I3"/>
    <mergeCell ref="J3:K3"/>
    <mergeCell ref="L3:M3"/>
  </mergeCell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G12057"/>
  <sheetViews>
    <sheetView zoomScaleNormal="100" workbookViewId="0">
      <selection activeCell="G4116" activeCellId="1" sqref="P21:P26 G4116"/>
    </sheetView>
  </sheetViews>
  <sheetFormatPr defaultColWidth="8.7109375" defaultRowHeight="14.25" customHeight="1" x14ac:dyDescent="0.25"/>
  <cols>
    <col min="2" max="2" width="13.7109375" style="4" customWidth="1"/>
    <col min="3" max="5" width="8.85546875" style="4" customWidth="1"/>
  </cols>
  <sheetData>
    <row r="1" spans="1:7" ht="15" x14ac:dyDescent="0.25">
      <c r="A1" t="s">
        <v>263</v>
      </c>
    </row>
    <row r="2" spans="1:7" ht="15" x14ac:dyDescent="0.25">
      <c r="B2" s="129" t="s">
        <v>264</v>
      </c>
      <c r="C2" s="129" t="s">
        <v>265</v>
      </c>
      <c r="D2" s="129" t="s">
        <v>266</v>
      </c>
      <c r="E2" s="129" t="s">
        <v>46</v>
      </c>
      <c r="G2" s="129" t="s">
        <v>267</v>
      </c>
    </row>
    <row r="3" spans="1:7" ht="15" x14ac:dyDescent="0.25">
      <c r="B3" s="4">
        <v>584631775</v>
      </c>
      <c r="C3" s="4" t="s">
        <v>268</v>
      </c>
      <c r="D3" s="4">
        <v>54</v>
      </c>
      <c r="E3" s="4">
        <v>7</v>
      </c>
    </row>
    <row r="4" spans="1:7" ht="15" hidden="1" x14ac:dyDescent="0.25">
      <c r="B4" s="4">
        <v>584631775</v>
      </c>
      <c r="C4" s="4" t="s">
        <v>268</v>
      </c>
      <c r="D4" s="4">
        <v>54</v>
      </c>
      <c r="E4" s="4">
        <v>7</v>
      </c>
      <c r="G4">
        <f t="shared" ref="G4:G67" si="0">(E4+7)*8</f>
        <v>112</v>
      </c>
    </row>
    <row r="5" spans="1:7" ht="15" hidden="1" x14ac:dyDescent="0.25">
      <c r="B5" s="4">
        <v>584631775</v>
      </c>
      <c r="C5" s="4" t="s">
        <v>268</v>
      </c>
      <c r="D5" s="4">
        <v>55</v>
      </c>
      <c r="E5" s="4">
        <v>7</v>
      </c>
      <c r="G5">
        <f t="shared" si="0"/>
        <v>112</v>
      </c>
    </row>
    <row r="6" spans="1:7" ht="15" hidden="1" x14ac:dyDescent="0.25">
      <c r="B6" s="4">
        <v>584631775</v>
      </c>
      <c r="C6" s="4" t="s">
        <v>268</v>
      </c>
      <c r="D6" s="4">
        <v>55</v>
      </c>
      <c r="E6" s="4">
        <v>7</v>
      </c>
      <c r="G6">
        <f t="shared" si="0"/>
        <v>112</v>
      </c>
    </row>
    <row r="7" spans="1:7" ht="15" hidden="1" x14ac:dyDescent="0.25">
      <c r="B7" s="4">
        <v>584631775</v>
      </c>
      <c r="C7" s="4" t="s">
        <v>269</v>
      </c>
      <c r="D7" s="4">
        <v>46</v>
      </c>
      <c r="E7" s="4">
        <v>57</v>
      </c>
      <c r="G7">
        <f t="shared" si="0"/>
        <v>512</v>
      </c>
    </row>
    <row r="8" spans="1:7" ht="15" hidden="1" x14ac:dyDescent="0.25">
      <c r="B8" s="4">
        <v>584631776</v>
      </c>
      <c r="C8" s="4" t="s">
        <v>268</v>
      </c>
      <c r="D8" s="4">
        <v>56</v>
      </c>
      <c r="E8" s="4">
        <v>7</v>
      </c>
      <c r="G8">
        <f t="shared" si="0"/>
        <v>112</v>
      </c>
    </row>
    <row r="9" spans="1:7" ht="15" hidden="1" x14ac:dyDescent="0.25">
      <c r="B9" s="4">
        <v>584631776</v>
      </c>
      <c r="C9" s="4" t="s">
        <v>268</v>
      </c>
      <c r="D9" s="4">
        <v>56</v>
      </c>
      <c r="E9" s="4">
        <v>7</v>
      </c>
      <c r="G9">
        <f t="shared" si="0"/>
        <v>112</v>
      </c>
    </row>
    <row r="10" spans="1:7" ht="15" hidden="1" x14ac:dyDescent="0.25">
      <c r="B10" s="4">
        <v>584631776</v>
      </c>
      <c r="C10" s="4" t="s">
        <v>268</v>
      </c>
      <c r="D10" s="4">
        <v>57</v>
      </c>
      <c r="E10" s="4">
        <v>7</v>
      </c>
      <c r="G10">
        <f t="shared" si="0"/>
        <v>112</v>
      </c>
    </row>
    <row r="11" spans="1:7" ht="15" hidden="1" x14ac:dyDescent="0.25">
      <c r="B11" s="4">
        <v>584631776</v>
      </c>
      <c r="C11" s="4" t="s">
        <v>268</v>
      </c>
      <c r="D11" s="4">
        <v>57</v>
      </c>
      <c r="E11" s="4">
        <v>7</v>
      </c>
      <c r="G11">
        <f t="shared" si="0"/>
        <v>112</v>
      </c>
    </row>
    <row r="12" spans="1:7" ht="15" hidden="1" x14ac:dyDescent="0.25">
      <c r="B12" s="4">
        <v>584631776</v>
      </c>
      <c r="C12" s="4" t="s">
        <v>268</v>
      </c>
      <c r="D12" s="4">
        <v>58</v>
      </c>
      <c r="E12" s="4">
        <v>7</v>
      </c>
      <c r="G12">
        <f t="shared" si="0"/>
        <v>112</v>
      </c>
    </row>
    <row r="13" spans="1:7" ht="15" hidden="1" x14ac:dyDescent="0.25">
      <c r="B13" s="4">
        <v>584631776</v>
      </c>
      <c r="C13" s="4" t="s">
        <v>268</v>
      </c>
      <c r="D13" s="4">
        <v>58</v>
      </c>
      <c r="E13" s="4">
        <v>7</v>
      </c>
      <c r="G13">
        <f t="shared" si="0"/>
        <v>112</v>
      </c>
    </row>
    <row r="14" spans="1:7" ht="15" hidden="1" x14ac:dyDescent="0.25">
      <c r="B14" s="4">
        <v>584631776</v>
      </c>
      <c r="C14" s="4" t="s">
        <v>269</v>
      </c>
      <c r="D14" s="4">
        <v>47</v>
      </c>
      <c r="E14" s="4">
        <v>57</v>
      </c>
      <c r="G14">
        <f t="shared" si="0"/>
        <v>512</v>
      </c>
    </row>
    <row r="15" spans="1:7" ht="15" hidden="1" x14ac:dyDescent="0.25">
      <c r="B15" s="4">
        <v>584631777</v>
      </c>
      <c r="C15" s="4" t="s">
        <v>268</v>
      </c>
      <c r="D15" s="4">
        <v>59</v>
      </c>
      <c r="E15" s="4">
        <v>6</v>
      </c>
      <c r="G15">
        <f t="shared" si="0"/>
        <v>104</v>
      </c>
    </row>
    <row r="16" spans="1:7" ht="15" hidden="1" x14ac:dyDescent="0.25">
      <c r="B16" s="4">
        <v>584631777</v>
      </c>
      <c r="C16" s="4" t="s">
        <v>268</v>
      </c>
      <c r="D16" s="4">
        <v>59</v>
      </c>
      <c r="E16" s="4">
        <v>6</v>
      </c>
      <c r="G16">
        <f t="shared" si="0"/>
        <v>104</v>
      </c>
    </row>
    <row r="17" spans="2:7" ht="15" hidden="1" x14ac:dyDescent="0.25">
      <c r="B17" s="4">
        <v>584631777</v>
      </c>
      <c r="C17" s="4" t="s">
        <v>268</v>
      </c>
      <c r="D17" s="4">
        <v>60</v>
      </c>
      <c r="E17" s="4">
        <v>9</v>
      </c>
      <c r="G17">
        <f t="shared" si="0"/>
        <v>128</v>
      </c>
    </row>
    <row r="18" spans="2:7" ht="15" hidden="1" x14ac:dyDescent="0.25">
      <c r="B18" s="4">
        <v>584631777</v>
      </c>
      <c r="C18" s="4" t="s">
        <v>268</v>
      </c>
      <c r="D18" s="4">
        <v>60</v>
      </c>
      <c r="E18" s="4">
        <v>9</v>
      </c>
      <c r="G18">
        <f t="shared" si="0"/>
        <v>128</v>
      </c>
    </row>
    <row r="19" spans="2:7" ht="15" hidden="1" x14ac:dyDescent="0.25">
      <c r="B19" s="4">
        <v>584631777</v>
      </c>
      <c r="C19" s="4" t="s">
        <v>268</v>
      </c>
      <c r="D19" s="4">
        <v>61</v>
      </c>
      <c r="E19" s="4">
        <v>7</v>
      </c>
      <c r="G19">
        <f t="shared" si="0"/>
        <v>112</v>
      </c>
    </row>
    <row r="20" spans="2:7" ht="15" hidden="1" x14ac:dyDescent="0.25">
      <c r="B20" s="4">
        <v>584631777</v>
      </c>
      <c r="C20" s="4" t="s">
        <v>268</v>
      </c>
      <c r="D20" s="4">
        <v>61</v>
      </c>
      <c r="E20" s="4">
        <v>7</v>
      </c>
      <c r="G20">
        <f t="shared" si="0"/>
        <v>112</v>
      </c>
    </row>
    <row r="21" spans="2:7" ht="15" hidden="1" x14ac:dyDescent="0.25">
      <c r="B21" s="4">
        <v>584631777</v>
      </c>
      <c r="C21" s="4" t="s">
        <v>269</v>
      </c>
      <c r="D21" s="4">
        <v>48</v>
      </c>
      <c r="E21" s="4">
        <v>57</v>
      </c>
      <c r="G21">
        <f t="shared" si="0"/>
        <v>512</v>
      </c>
    </row>
    <row r="22" spans="2:7" ht="15" hidden="1" x14ac:dyDescent="0.25">
      <c r="B22" s="4">
        <v>584631778</v>
      </c>
      <c r="C22" s="4" t="s">
        <v>269</v>
      </c>
      <c r="D22" s="4">
        <v>49</v>
      </c>
      <c r="E22" s="4">
        <v>57</v>
      </c>
      <c r="G22">
        <f t="shared" si="0"/>
        <v>512</v>
      </c>
    </row>
    <row r="23" spans="2:7" ht="15" hidden="1" x14ac:dyDescent="0.25">
      <c r="B23" s="4">
        <v>584631779</v>
      </c>
      <c r="C23" s="4" t="s">
        <v>269</v>
      </c>
      <c r="D23" s="4">
        <v>50</v>
      </c>
      <c r="E23" s="4">
        <v>57</v>
      </c>
      <c r="G23">
        <f t="shared" si="0"/>
        <v>512</v>
      </c>
    </row>
    <row r="24" spans="2:7" ht="15" hidden="1" x14ac:dyDescent="0.25">
      <c r="B24" s="4">
        <v>584631780</v>
      </c>
      <c r="C24" s="4" t="s">
        <v>268</v>
      </c>
      <c r="D24" s="4">
        <v>62</v>
      </c>
      <c r="E24" s="4">
        <v>9</v>
      </c>
      <c r="G24">
        <f t="shared" si="0"/>
        <v>128</v>
      </c>
    </row>
    <row r="25" spans="2:7" ht="15" hidden="1" x14ac:dyDescent="0.25">
      <c r="B25" s="4">
        <v>584631780</v>
      </c>
      <c r="C25" s="4" t="s">
        <v>268</v>
      </c>
      <c r="D25" s="4">
        <v>62</v>
      </c>
      <c r="E25" s="4">
        <v>9</v>
      </c>
      <c r="G25">
        <f t="shared" si="0"/>
        <v>128</v>
      </c>
    </row>
    <row r="26" spans="2:7" ht="15" hidden="1" x14ac:dyDescent="0.25">
      <c r="B26" s="4">
        <v>584631780</v>
      </c>
      <c r="C26" s="4" t="s">
        <v>268</v>
      </c>
      <c r="D26" s="4">
        <v>63</v>
      </c>
      <c r="E26" s="4">
        <v>7</v>
      </c>
      <c r="G26">
        <f t="shared" si="0"/>
        <v>112</v>
      </c>
    </row>
    <row r="27" spans="2:7" ht="15" hidden="1" x14ac:dyDescent="0.25">
      <c r="B27" s="4">
        <v>584631780</v>
      </c>
      <c r="C27" s="4" t="s">
        <v>268</v>
      </c>
      <c r="D27" s="4">
        <v>63</v>
      </c>
      <c r="E27" s="4">
        <v>7</v>
      </c>
      <c r="G27">
        <f t="shared" si="0"/>
        <v>112</v>
      </c>
    </row>
    <row r="28" spans="2:7" ht="15" hidden="1" x14ac:dyDescent="0.25">
      <c r="B28" s="4">
        <v>584631780</v>
      </c>
      <c r="C28" s="4" t="s">
        <v>268</v>
      </c>
      <c r="D28" s="4">
        <v>64</v>
      </c>
      <c r="E28" s="4">
        <v>7</v>
      </c>
      <c r="G28">
        <f t="shared" si="0"/>
        <v>112</v>
      </c>
    </row>
    <row r="29" spans="2:7" ht="15" hidden="1" x14ac:dyDescent="0.25">
      <c r="B29" s="4">
        <v>584631780</v>
      </c>
      <c r="C29" s="4" t="s">
        <v>268</v>
      </c>
      <c r="D29" s="4">
        <v>64</v>
      </c>
      <c r="E29" s="4">
        <v>7</v>
      </c>
      <c r="G29">
        <f t="shared" si="0"/>
        <v>112</v>
      </c>
    </row>
    <row r="30" spans="2:7" ht="15" hidden="1" x14ac:dyDescent="0.25">
      <c r="B30" s="4">
        <v>584631780</v>
      </c>
      <c r="C30" s="4" t="s">
        <v>269</v>
      </c>
      <c r="D30" s="4">
        <v>51</v>
      </c>
      <c r="E30" s="4">
        <v>57</v>
      </c>
      <c r="G30">
        <f t="shared" si="0"/>
        <v>512</v>
      </c>
    </row>
    <row r="31" spans="2:7" ht="15" hidden="1" x14ac:dyDescent="0.25">
      <c r="B31" s="4">
        <v>584631781</v>
      </c>
      <c r="C31" s="4" t="s">
        <v>269</v>
      </c>
      <c r="D31" s="4">
        <v>52</v>
      </c>
      <c r="E31" s="4">
        <v>57</v>
      </c>
      <c r="G31">
        <f t="shared" si="0"/>
        <v>512</v>
      </c>
    </row>
    <row r="32" spans="2:7" ht="15" hidden="1" x14ac:dyDescent="0.25">
      <c r="B32" s="4">
        <v>584631782</v>
      </c>
      <c r="C32" s="4" t="s">
        <v>269</v>
      </c>
      <c r="D32" s="4">
        <v>53</v>
      </c>
      <c r="E32" s="4">
        <v>57</v>
      </c>
      <c r="G32">
        <f t="shared" si="0"/>
        <v>512</v>
      </c>
    </row>
    <row r="33" spans="2:7" ht="15" hidden="1" x14ac:dyDescent="0.25">
      <c r="B33" s="4">
        <v>584631783</v>
      </c>
      <c r="C33" s="4" t="s">
        <v>268</v>
      </c>
      <c r="D33" s="4">
        <v>65</v>
      </c>
      <c r="E33" s="4">
        <v>9</v>
      </c>
      <c r="G33">
        <f t="shared" si="0"/>
        <v>128</v>
      </c>
    </row>
    <row r="34" spans="2:7" ht="15" hidden="1" x14ac:dyDescent="0.25">
      <c r="B34" s="4">
        <v>584631783</v>
      </c>
      <c r="C34" s="4" t="s">
        <v>268</v>
      </c>
      <c r="D34" s="4">
        <v>65</v>
      </c>
      <c r="E34" s="4">
        <v>9</v>
      </c>
      <c r="G34">
        <f t="shared" si="0"/>
        <v>128</v>
      </c>
    </row>
    <row r="35" spans="2:7" ht="15" hidden="1" x14ac:dyDescent="0.25">
      <c r="B35" s="4">
        <v>584631783</v>
      </c>
      <c r="C35" s="4" t="s">
        <v>268</v>
      </c>
      <c r="D35" s="4">
        <v>66</v>
      </c>
      <c r="E35" s="4">
        <v>7</v>
      </c>
      <c r="G35">
        <f t="shared" si="0"/>
        <v>112</v>
      </c>
    </row>
    <row r="36" spans="2:7" ht="15" hidden="1" x14ac:dyDescent="0.25">
      <c r="B36" s="4">
        <v>584631783</v>
      </c>
      <c r="C36" s="4" t="s">
        <v>268</v>
      </c>
      <c r="D36" s="4">
        <v>66</v>
      </c>
      <c r="E36" s="4">
        <v>7</v>
      </c>
      <c r="G36">
        <f t="shared" si="0"/>
        <v>112</v>
      </c>
    </row>
    <row r="37" spans="2:7" ht="15" hidden="1" x14ac:dyDescent="0.25">
      <c r="B37" s="4">
        <v>584631783</v>
      </c>
      <c r="C37" s="4" t="s">
        <v>268</v>
      </c>
      <c r="D37" s="4">
        <v>67</v>
      </c>
      <c r="E37" s="4">
        <v>7</v>
      </c>
      <c r="G37">
        <f t="shared" si="0"/>
        <v>112</v>
      </c>
    </row>
    <row r="38" spans="2:7" ht="15" hidden="1" x14ac:dyDescent="0.25">
      <c r="B38" s="4">
        <v>584631783</v>
      </c>
      <c r="C38" s="4" t="s">
        <v>268</v>
      </c>
      <c r="D38" s="4">
        <v>67</v>
      </c>
      <c r="E38" s="4">
        <v>7</v>
      </c>
      <c r="G38">
        <f t="shared" si="0"/>
        <v>112</v>
      </c>
    </row>
    <row r="39" spans="2:7" ht="15" hidden="1" x14ac:dyDescent="0.25">
      <c r="B39" s="4">
        <v>584631783</v>
      </c>
      <c r="C39" s="4" t="s">
        <v>269</v>
      </c>
      <c r="D39" s="4">
        <v>54</v>
      </c>
      <c r="E39" s="4">
        <v>57</v>
      </c>
      <c r="G39">
        <f t="shared" si="0"/>
        <v>512</v>
      </c>
    </row>
    <row r="40" spans="2:7" ht="15" hidden="1" x14ac:dyDescent="0.25">
      <c r="B40" s="4">
        <v>584631784</v>
      </c>
      <c r="C40" s="4" t="s">
        <v>269</v>
      </c>
      <c r="D40" s="4">
        <v>55</v>
      </c>
      <c r="E40" s="4">
        <v>57</v>
      </c>
      <c r="G40">
        <f t="shared" si="0"/>
        <v>512</v>
      </c>
    </row>
    <row r="41" spans="2:7" ht="15" hidden="1" x14ac:dyDescent="0.25">
      <c r="B41" s="4">
        <v>584631785</v>
      </c>
      <c r="C41" s="4" t="s">
        <v>269</v>
      </c>
      <c r="D41" s="4">
        <v>56</v>
      </c>
      <c r="E41" s="4">
        <v>57</v>
      </c>
      <c r="G41">
        <f t="shared" si="0"/>
        <v>512</v>
      </c>
    </row>
    <row r="42" spans="2:7" ht="15" hidden="1" x14ac:dyDescent="0.25">
      <c r="B42" s="4">
        <v>584631786</v>
      </c>
      <c r="C42" s="4" t="s">
        <v>268</v>
      </c>
      <c r="D42" s="4">
        <v>68</v>
      </c>
      <c r="E42" s="4">
        <v>9</v>
      </c>
      <c r="G42">
        <f t="shared" si="0"/>
        <v>128</v>
      </c>
    </row>
    <row r="43" spans="2:7" ht="15" hidden="1" x14ac:dyDescent="0.25">
      <c r="B43" s="4">
        <v>584631786</v>
      </c>
      <c r="C43" s="4" t="s">
        <v>268</v>
      </c>
      <c r="D43" s="4">
        <v>68</v>
      </c>
      <c r="E43" s="4">
        <v>9</v>
      </c>
      <c r="G43">
        <f t="shared" si="0"/>
        <v>128</v>
      </c>
    </row>
    <row r="44" spans="2:7" ht="15" hidden="1" x14ac:dyDescent="0.25">
      <c r="B44" s="4">
        <v>584631786</v>
      </c>
      <c r="C44" s="4" t="s">
        <v>268</v>
      </c>
      <c r="D44" s="4">
        <v>69</v>
      </c>
      <c r="E44" s="4">
        <v>7</v>
      </c>
      <c r="G44">
        <f t="shared" si="0"/>
        <v>112</v>
      </c>
    </row>
    <row r="45" spans="2:7" ht="15" hidden="1" x14ac:dyDescent="0.25">
      <c r="B45" s="4">
        <v>584631786</v>
      </c>
      <c r="C45" s="4" t="s">
        <v>268</v>
      </c>
      <c r="D45" s="4">
        <v>69</v>
      </c>
      <c r="E45" s="4">
        <v>7</v>
      </c>
      <c r="G45">
        <f t="shared" si="0"/>
        <v>112</v>
      </c>
    </row>
    <row r="46" spans="2:7" ht="15" hidden="1" x14ac:dyDescent="0.25">
      <c r="B46" s="4">
        <v>584631786</v>
      </c>
      <c r="C46" s="4" t="s">
        <v>268</v>
      </c>
      <c r="D46" s="4">
        <v>70</v>
      </c>
      <c r="E46" s="4">
        <v>7</v>
      </c>
      <c r="G46">
        <f t="shared" si="0"/>
        <v>112</v>
      </c>
    </row>
    <row r="47" spans="2:7" ht="15" hidden="1" x14ac:dyDescent="0.25">
      <c r="B47" s="4">
        <v>584631786</v>
      </c>
      <c r="C47" s="4" t="s">
        <v>268</v>
      </c>
      <c r="D47" s="4">
        <v>70</v>
      </c>
      <c r="E47" s="4">
        <v>7</v>
      </c>
      <c r="G47">
        <f t="shared" si="0"/>
        <v>112</v>
      </c>
    </row>
    <row r="48" spans="2:7" ht="15" hidden="1" x14ac:dyDescent="0.25">
      <c r="B48" s="4">
        <v>584631786</v>
      </c>
      <c r="C48" s="4" t="s">
        <v>269</v>
      </c>
      <c r="D48" s="4">
        <v>57</v>
      </c>
      <c r="E48" s="4">
        <v>57</v>
      </c>
      <c r="G48">
        <f t="shared" si="0"/>
        <v>512</v>
      </c>
    </row>
    <row r="49" spans="2:7" ht="15" hidden="1" x14ac:dyDescent="0.25">
      <c r="B49" s="4">
        <v>584631787</v>
      </c>
      <c r="C49" s="4" t="s">
        <v>269</v>
      </c>
      <c r="D49" s="4">
        <v>58</v>
      </c>
      <c r="E49" s="4">
        <v>57</v>
      </c>
      <c r="G49">
        <f t="shared" si="0"/>
        <v>512</v>
      </c>
    </row>
    <row r="50" spans="2:7" ht="15" hidden="1" x14ac:dyDescent="0.25">
      <c r="B50" s="4">
        <v>584631788</v>
      </c>
      <c r="C50" s="4" t="s">
        <v>269</v>
      </c>
      <c r="D50" s="4">
        <v>59</v>
      </c>
      <c r="E50" s="4">
        <v>57</v>
      </c>
      <c r="G50">
        <f t="shared" si="0"/>
        <v>512</v>
      </c>
    </row>
    <row r="51" spans="2:7" ht="15" hidden="1" x14ac:dyDescent="0.25">
      <c r="B51" s="4">
        <v>584631789</v>
      </c>
      <c r="C51" s="4" t="s">
        <v>268</v>
      </c>
      <c r="D51" s="4">
        <v>71</v>
      </c>
      <c r="E51" s="4">
        <v>9</v>
      </c>
      <c r="G51">
        <f t="shared" si="0"/>
        <v>128</v>
      </c>
    </row>
    <row r="52" spans="2:7" ht="15" hidden="1" x14ac:dyDescent="0.25">
      <c r="B52" s="4">
        <v>584631789</v>
      </c>
      <c r="C52" s="4" t="s">
        <v>268</v>
      </c>
      <c r="D52" s="4">
        <v>71</v>
      </c>
      <c r="E52" s="4">
        <v>9</v>
      </c>
      <c r="G52">
        <f t="shared" si="0"/>
        <v>128</v>
      </c>
    </row>
    <row r="53" spans="2:7" ht="15" hidden="1" x14ac:dyDescent="0.25">
      <c r="B53" s="4">
        <v>584631789</v>
      </c>
      <c r="C53" s="4" t="s">
        <v>268</v>
      </c>
      <c r="D53" s="4">
        <v>72</v>
      </c>
      <c r="E53" s="4">
        <v>7</v>
      </c>
      <c r="G53">
        <f t="shared" si="0"/>
        <v>112</v>
      </c>
    </row>
    <row r="54" spans="2:7" ht="15" hidden="1" x14ac:dyDescent="0.25">
      <c r="B54" s="4">
        <v>584631789</v>
      </c>
      <c r="C54" s="4" t="s">
        <v>268</v>
      </c>
      <c r="D54" s="4">
        <v>72</v>
      </c>
      <c r="E54" s="4">
        <v>7</v>
      </c>
      <c r="G54">
        <f t="shared" si="0"/>
        <v>112</v>
      </c>
    </row>
    <row r="55" spans="2:7" ht="15" hidden="1" x14ac:dyDescent="0.25">
      <c r="B55" s="4">
        <v>584631789</v>
      </c>
      <c r="C55" s="4" t="s">
        <v>268</v>
      </c>
      <c r="D55" s="4">
        <v>73</v>
      </c>
      <c r="E55" s="4">
        <v>7</v>
      </c>
      <c r="G55">
        <f t="shared" si="0"/>
        <v>112</v>
      </c>
    </row>
    <row r="56" spans="2:7" ht="15" hidden="1" x14ac:dyDescent="0.25">
      <c r="B56" s="4">
        <v>584631789</v>
      </c>
      <c r="C56" s="4" t="s">
        <v>268</v>
      </c>
      <c r="D56" s="4">
        <v>73</v>
      </c>
      <c r="E56" s="4">
        <v>7</v>
      </c>
      <c r="G56">
        <f t="shared" si="0"/>
        <v>112</v>
      </c>
    </row>
    <row r="57" spans="2:7" ht="15" hidden="1" x14ac:dyDescent="0.25">
      <c r="B57" s="4">
        <v>584631789</v>
      </c>
      <c r="C57" s="4" t="s">
        <v>269</v>
      </c>
      <c r="D57" s="4">
        <v>60</v>
      </c>
      <c r="E57" s="4">
        <v>57</v>
      </c>
      <c r="G57">
        <f t="shared" si="0"/>
        <v>512</v>
      </c>
    </row>
    <row r="58" spans="2:7" ht="15" hidden="1" x14ac:dyDescent="0.25">
      <c r="B58" s="4">
        <v>584631790</v>
      </c>
      <c r="C58" s="4" t="s">
        <v>269</v>
      </c>
      <c r="D58" s="4">
        <v>61</v>
      </c>
      <c r="E58" s="4">
        <v>57</v>
      </c>
      <c r="G58">
        <f t="shared" si="0"/>
        <v>512</v>
      </c>
    </row>
    <row r="59" spans="2:7" ht="15" hidden="1" x14ac:dyDescent="0.25">
      <c r="B59" s="4">
        <v>584631791</v>
      </c>
      <c r="C59" s="4" t="s">
        <v>269</v>
      </c>
      <c r="D59" s="4">
        <v>62</v>
      </c>
      <c r="E59" s="4">
        <v>57</v>
      </c>
      <c r="G59">
        <f t="shared" si="0"/>
        <v>512</v>
      </c>
    </row>
    <row r="60" spans="2:7" ht="15" hidden="1" x14ac:dyDescent="0.25">
      <c r="B60" s="4">
        <v>584631792</v>
      </c>
      <c r="C60" s="4" t="s">
        <v>268</v>
      </c>
      <c r="D60" s="4">
        <v>74</v>
      </c>
      <c r="E60" s="4">
        <v>9</v>
      </c>
      <c r="G60">
        <f t="shared" si="0"/>
        <v>128</v>
      </c>
    </row>
    <row r="61" spans="2:7" ht="15" hidden="1" x14ac:dyDescent="0.25">
      <c r="B61" s="4">
        <v>584631792</v>
      </c>
      <c r="C61" s="4" t="s">
        <v>268</v>
      </c>
      <c r="D61" s="4">
        <v>74</v>
      </c>
      <c r="E61" s="4">
        <v>9</v>
      </c>
      <c r="G61">
        <f t="shared" si="0"/>
        <v>128</v>
      </c>
    </row>
    <row r="62" spans="2:7" ht="15" hidden="1" x14ac:dyDescent="0.25">
      <c r="B62" s="4">
        <v>584631792</v>
      </c>
      <c r="C62" s="4" t="s">
        <v>268</v>
      </c>
      <c r="D62" s="4">
        <v>75</v>
      </c>
      <c r="E62" s="4">
        <v>7</v>
      </c>
      <c r="G62">
        <f t="shared" si="0"/>
        <v>112</v>
      </c>
    </row>
    <row r="63" spans="2:7" ht="15" hidden="1" x14ac:dyDescent="0.25">
      <c r="B63" s="4">
        <v>584631792</v>
      </c>
      <c r="C63" s="4" t="s">
        <v>268</v>
      </c>
      <c r="D63" s="4">
        <v>75</v>
      </c>
      <c r="E63" s="4">
        <v>7</v>
      </c>
      <c r="G63">
        <f t="shared" si="0"/>
        <v>112</v>
      </c>
    </row>
    <row r="64" spans="2:7" ht="15" hidden="1" x14ac:dyDescent="0.25">
      <c r="B64" s="4">
        <v>584631792</v>
      </c>
      <c r="C64" s="4" t="s">
        <v>268</v>
      </c>
      <c r="D64" s="4">
        <v>76</v>
      </c>
      <c r="E64" s="4">
        <v>7</v>
      </c>
      <c r="G64">
        <f t="shared" si="0"/>
        <v>112</v>
      </c>
    </row>
    <row r="65" spans="2:7" ht="15" hidden="1" x14ac:dyDescent="0.25">
      <c r="B65" s="4">
        <v>584631792</v>
      </c>
      <c r="C65" s="4" t="s">
        <v>268</v>
      </c>
      <c r="D65" s="4">
        <v>76</v>
      </c>
      <c r="E65" s="4">
        <v>7</v>
      </c>
      <c r="G65">
        <f t="shared" si="0"/>
        <v>112</v>
      </c>
    </row>
    <row r="66" spans="2:7" ht="15" hidden="1" x14ac:dyDescent="0.25">
      <c r="B66" s="4">
        <v>584631792</v>
      </c>
      <c r="C66" s="4" t="s">
        <v>269</v>
      </c>
      <c r="D66" s="4">
        <v>63</v>
      </c>
      <c r="E66" s="4">
        <v>57</v>
      </c>
      <c r="G66">
        <f t="shared" si="0"/>
        <v>512</v>
      </c>
    </row>
    <row r="67" spans="2:7" ht="15" hidden="1" x14ac:dyDescent="0.25">
      <c r="B67" s="4">
        <v>584631793</v>
      </c>
      <c r="C67" s="4" t="s">
        <v>269</v>
      </c>
      <c r="D67" s="4">
        <v>64</v>
      </c>
      <c r="E67" s="4">
        <v>57</v>
      </c>
      <c r="G67">
        <f t="shared" si="0"/>
        <v>512</v>
      </c>
    </row>
    <row r="68" spans="2:7" ht="15" hidden="1" x14ac:dyDescent="0.25">
      <c r="B68" s="4">
        <v>584631794</v>
      </c>
      <c r="C68" s="4" t="s">
        <v>269</v>
      </c>
      <c r="D68" s="4">
        <v>65</v>
      </c>
      <c r="E68" s="4">
        <v>57</v>
      </c>
      <c r="G68">
        <f t="shared" ref="G68:G131" si="1">(E68+7)*8</f>
        <v>512</v>
      </c>
    </row>
    <row r="69" spans="2:7" ht="15" hidden="1" x14ac:dyDescent="0.25">
      <c r="B69" s="4">
        <v>584631795</v>
      </c>
      <c r="C69" s="4" t="s">
        <v>268</v>
      </c>
      <c r="D69" s="4">
        <v>77</v>
      </c>
      <c r="E69" s="4">
        <v>9</v>
      </c>
      <c r="G69">
        <f t="shared" si="1"/>
        <v>128</v>
      </c>
    </row>
    <row r="70" spans="2:7" ht="15" hidden="1" x14ac:dyDescent="0.25">
      <c r="B70" s="4">
        <v>584631795</v>
      </c>
      <c r="C70" s="4" t="s">
        <v>268</v>
      </c>
      <c r="D70" s="4">
        <v>77</v>
      </c>
      <c r="E70" s="4">
        <v>9</v>
      </c>
      <c r="G70">
        <f t="shared" si="1"/>
        <v>128</v>
      </c>
    </row>
    <row r="71" spans="2:7" ht="15" hidden="1" x14ac:dyDescent="0.25">
      <c r="B71" s="4">
        <v>584631795</v>
      </c>
      <c r="C71" s="4" t="s">
        <v>268</v>
      </c>
      <c r="D71" s="4">
        <v>78</v>
      </c>
      <c r="E71" s="4">
        <v>7</v>
      </c>
      <c r="G71">
        <f t="shared" si="1"/>
        <v>112</v>
      </c>
    </row>
    <row r="72" spans="2:7" ht="15" hidden="1" x14ac:dyDescent="0.25">
      <c r="B72" s="4">
        <v>584631795</v>
      </c>
      <c r="C72" s="4" t="s">
        <v>268</v>
      </c>
      <c r="D72" s="4">
        <v>78</v>
      </c>
      <c r="E72" s="4">
        <v>7</v>
      </c>
      <c r="G72">
        <f t="shared" si="1"/>
        <v>112</v>
      </c>
    </row>
    <row r="73" spans="2:7" ht="15" hidden="1" x14ac:dyDescent="0.25">
      <c r="B73" s="4">
        <v>584631795</v>
      </c>
      <c r="C73" s="4" t="s">
        <v>268</v>
      </c>
      <c r="D73" s="4">
        <v>79</v>
      </c>
      <c r="E73" s="4">
        <v>7</v>
      </c>
      <c r="G73">
        <f t="shared" si="1"/>
        <v>112</v>
      </c>
    </row>
    <row r="74" spans="2:7" ht="15" hidden="1" x14ac:dyDescent="0.25">
      <c r="B74" s="4">
        <v>584631795</v>
      </c>
      <c r="C74" s="4" t="s">
        <v>268</v>
      </c>
      <c r="D74" s="4">
        <v>79</v>
      </c>
      <c r="E74" s="4">
        <v>7</v>
      </c>
      <c r="G74">
        <f t="shared" si="1"/>
        <v>112</v>
      </c>
    </row>
    <row r="75" spans="2:7" ht="15" hidden="1" x14ac:dyDescent="0.25">
      <c r="B75" s="4">
        <v>584631795</v>
      </c>
      <c r="C75" s="4" t="s">
        <v>269</v>
      </c>
      <c r="D75" s="4">
        <v>66</v>
      </c>
      <c r="E75" s="4">
        <v>57</v>
      </c>
      <c r="G75">
        <f t="shared" si="1"/>
        <v>512</v>
      </c>
    </row>
    <row r="76" spans="2:7" ht="15" hidden="1" x14ac:dyDescent="0.25">
      <c r="B76" s="4">
        <v>584631796</v>
      </c>
      <c r="C76" s="4" t="s">
        <v>269</v>
      </c>
      <c r="D76" s="4">
        <v>67</v>
      </c>
      <c r="E76" s="4">
        <v>57</v>
      </c>
      <c r="G76">
        <f t="shared" si="1"/>
        <v>512</v>
      </c>
    </row>
    <row r="77" spans="2:7" ht="15" hidden="1" x14ac:dyDescent="0.25">
      <c r="B77" s="4">
        <v>584631797</v>
      </c>
      <c r="C77" s="4" t="s">
        <v>269</v>
      </c>
      <c r="D77" s="4">
        <v>68</v>
      </c>
      <c r="E77" s="4">
        <v>57</v>
      </c>
      <c r="G77">
        <f t="shared" si="1"/>
        <v>512</v>
      </c>
    </row>
    <row r="78" spans="2:7" ht="15" hidden="1" x14ac:dyDescent="0.25">
      <c r="B78" s="4">
        <v>584631798</v>
      </c>
      <c r="C78" s="4" t="s">
        <v>268</v>
      </c>
      <c r="D78" s="4">
        <v>80</v>
      </c>
      <c r="E78" s="4">
        <v>9</v>
      </c>
      <c r="G78">
        <f t="shared" si="1"/>
        <v>128</v>
      </c>
    </row>
    <row r="79" spans="2:7" ht="15" hidden="1" x14ac:dyDescent="0.25">
      <c r="B79" s="4">
        <v>584631798</v>
      </c>
      <c r="C79" s="4" t="s">
        <v>268</v>
      </c>
      <c r="D79" s="4">
        <v>80</v>
      </c>
      <c r="E79" s="4">
        <v>9</v>
      </c>
      <c r="G79">
        <f t="shared" si="1"/>
        <v>128</v>
      </c>
    </row>
    <row r="80" spans="2:7" ht="15" hidden="1" x14ac:dyDescent="0.25">
      <c r="B80" s="4">
        <v>584631798</v>
      </c>
      <c r="C80" s="4" t="s">
        <v>268</v>
      </c>
      <c r="D80" s="4">
        <v>81</v>
      </c>
      <c r="E80" s="4">
        <v>7</v>
      </c>
      <c r="G80">
        <f t="shared" si="1"/>
        <v>112</v>
      </c>
    </row>
    <row r="81" spans="2:7" ht="15" hidden="1" x14ac:dyDescent="0.25">
      <c r="B81" s="4">
        <v>584631798</v>
      </c>
      <c r="C81" s="4" t="s">
        <v>268</v>
      </c>
      <c r="D81" s="4">
        <v>81</v>
      </c>
      <c r="E81" s="4">
        <v>7</v>
      </c>
      <c r="G81">
        <f t="shared" si="1"/>
        <v>112</v>
      </c>
    </row>
    <row r="82" spans="2:7" ht="15" hidden="1" x14ac:dyDescent="0.25">
      <c r="B82" s="4">
        <v>584631798</v>
      </c>
      <c r="C82" s="4" t="s">
        <v>268</v>
      </c>
      <c r="D82" s="4">
        <v>82</v>
      </c>
      <c r="E82" s="4">
        <v>7</v>
      </c>
      <c r="G82">
        <f t="shared" si="1"/>
        <v>112</v>
      </c>
    </row>
    <row r="83" spans="2:7" ht="15" hidden="1" x14ac:dyDescent="0.25">
      <c r="B83" s="4">
        <v>584631798</v>
      </c>
      <c r="C83" s="4" t="s">
        <v>268</v>
      </c>
      <c r="D83" s="4">
        <v>82</v>
      </c>
      <c r="E83" s="4">
        <v>7</v>
      </c>
      <c r="G83">
        <f t="shared" si="1"/>
        <v>112</v>
      </c>
    </row>
    <row r="84" spans="2:7" ht="15" hidden="1" x14ac:dyDescent="0.25">
      <c r="B84" s="4">
        <v>584631798</v>
      </c>
      <c r="C84" s="4" t="s">
        <v>269</v>
      </c>
      <c r="D84" s="4">
        <v>69</v>
      </c>
      <c r="E84" s="4">
        <v>57</v>
      </c>
      <c r="G84">
        <f t="shared" si="1"/>
        <v>512</v>
      </c>
    </row>
    <row r="85" spans="2:7" ht="15" hidden="1" x14ac:dyDescent="0.25">
      <c r="B85" s="4">
        <v>584631799</v>
      </c>
      <c r="C85" s="4" t="s">
        <v>269</v>
      </c>
      <c r="D85" s="4">
        <v>70</v>
      </c>
      <c r="E85" s="4">
        <v>57</v>
      </c>
      <c r="G85">
        <f t="shared" si="1"/>
        <v>512</v>
      </c>
    </row>
    <row r="86" spans="2:7" ht="15" hidden="1" x14ac:dyDescent="0.25">
      <c r="B86" s="4">
        <v>584631800</v>
      </c>
      <c r="C86" s="4" t="s">
        <v>269</v>
      </c>
      <c r="D86" s="4">
        <v>71</v>
      </c>
      <c r="E86" s="4">
        <v>57</v>
      </c>
      <c r="G86">
        <f t="shared" si="1"/>
        <v>512</v>
      </c>
    </row>
    <row r="87" spans="2:7" ht="15" hidden="1" x14ac:dyDescent="0.25">
      <c r="B87" s="4">
        <v>584631801</v>
      </c>
      <c r="C87" s="4" t="s">
        <v>268</v>
      </c>
      <c r="D87" s="4">
        <v>83</v>
      </c>
      <c r="E87" s="4">
        <v>9</v>
      </c>
      <c r="G87">
        <f t="shared" si="1"/>
        <v>128</v>
      </c>
    </row>
    <row r="88" spans="2:7" ht="15" hidden="1" x14ac:dyDescent="0.25">
      <c r="B88" s="4">
        <v>584631801</v>
      </c>
      <c r="C88" s="4" t="s">
        <v>268</v>
      </c>
      <c r="D88" s="4">
        <v>83</v>
      </c>
      <c r="E88" s="4">
        <v>9</v>
      </c>
      <c r="G88">
        <f t="shared" si="1"/>
        <v>128</v>
      </c>
    </row>
    <row r="89" spans="2:7" ht="15" hidden="1" x14ac:dyDescent="0.25">
      <c r="B89" s="4">
        <v>584631801</v>
      </c>
      <c r="C89" s="4" t="s">
        <v>268</v>
      </c>
      <c r="D89" s="4">
        <v>84</v>
      </c>
      <c r="E89" s="4">
        <v>7</v>
      </c>
      <c r="G89">
        <f t="shared" si="1"/>
        <v>112</v>
      </c>
    </row>
    <row r="90" spans="2:7" ht="15" hidden="1" x14ac:dyDescent="0.25">
      <c r="B90" s="4">
        <v>584631801</v>
      </c>
      <c r="C90" s="4" t="s">
        <v>268</v>
      </c>
      <c r="D90" s="4">
        <v>84</v>
      </c>
      <c r="E90" s="4">
        <v>7</v>
      </c>
      <c r="G90">
        <f t="shared" si="1"/>
        <v>112</v>
      </c>
    </row>
    <row r="91" spans="2:7" ht="15" hidden="1" x14ac:dyDescent="0.25">
      <c r="B91" s="4">
        <v>584631801</v>
      </c>
      <c r="C91" s="4" t="s">
        <v>268</v>
      </c>
      <c r="D91" s="4">
        <v>85</v>
      </c>
      <c r="E91" s="4">
        <v>7</v>
      </c>
      <c r="G91">
        <f t="shared" si="1"/>
        <v>112</v>
      </c>
    </row>
    <row r="92" spans="2:7" ht="15" hidden="1" x14ac:dyDescent="0.25">
      <c r="B92" s="4">
        <v>584631801</v>
      </c>
      <c r="C92" s="4" t="s">
        <v>268</v>
      </c>
      <c r="D92" s="4">
        <v>85</v>
      </c>
      <c r="E92" s="4">
        <v>7</v>
      </c>
      <c r="G92">
        <f t="shared" si="1"/>
        <v>112</v>
      </c>
    </row>
    <row r="93" spans="2:7" ht="15" hidden="1" x14ac:dyDescent="0.25">
      <c r="B93" s="4">
        <v>584631801</v>
      </c>
      <c r="C93" s="4" t="s">
        <v>269</v>
      </c>
      <c r="D93" s="4">
        <v>72</v>
      </c>
      <c r="E93" s="4">
        <v>57</v>
      </c>
      <c r="G93">
        <f t="shared" si="1"/>
        <v>512</v>
      </c>
    </row>
    <row r="94" spans="2:7" ht="15" hidden="1" x14ac:dyDescent="0.25">
      <c r="B94" s="4">
        <v>584631802</v>
      </c>
      <c r="C94" s="4" t="s">
        <v>269</v>
      </c>
      <c r="D94" s="4">
        <v>73</v>
      </c>
      <c r="E94" s="4">
        <v>57</v>
      </c>
      <c r="G94">
        <f t="shared" si="1"/>
        <v>512</v>
      </c>
    </row>
    <row r="95" spans="2:7" ht="15" hidden="1" x14ac:dyDescent="0.25">
      <c r="B95" s="4">
        <v>584631803</v>
      </c>
      <c r="C95" s="4" t="s">
        <v>269</v>
      </c>
      <c r="D95" s="4">
        <v>74</v>
      </c>
      <c r="E95" s="4">
        <v>57</v>
      </c>
      <c r="G95">
        <f t="shared" si="1"/>
        <v>512</v>
      </c>
    </row>
    <row r="96" spans="2:7" ht="15" hidden="1" x14ac:dyDescent="0.25">
      <c r="B96" s="4">
        <v>584631804</v>
      </c>
      <c r="C96" s="4" t="s">
        <v>268</v>
      </c>
      <c r="D96" s="4">
        <v>86</v>
      </c>
      <c r="E96" s="4">
        <v>9</v>
      </c>
      <c r="G96">
        <f t="shared" si="1"/>
        <v>128</v>
      </c>
    </row>
    <row r="97" spans="2:7" ht="15" hidden="1" x14ac:dyDescent="0.25">
      <c r="B97" s="4">
        <v>584631804</v>
      </c>
      <c r="C97" s="4" t="s">
        <v>268</v>
      </c>
      <c r="D97" s="4">
        <v>86</v>
      </c>
      <c r="E97" s="4">
        <v>9</v>
      </c>
      <c r="G97">
        <f t="shared" si="1"/>
        <v>128</v>
      </c>
    </row>
    <row r="98" spans="2:7" ht="15" hidden="1" x14ac:dyDescent="0.25">
      <c r="B98" s="4">
        <v>584631804</v>
      </c>
      <c r="C98" s="4" t="s">
        <v>268</v>
      </c>
      <c r="D98" s="4">
        <v>87</v>
      </c>
      <c r="E98" s="4">
        <v>7</v>
      </c>
      <c r="G98">
        <f t="shared" si="1"/>
        <v>112</v>
      </c>
    </row>
    <row r="99" spans="2:7" ht="15" hidden="1" x14ac:dyDescent="0.25">
      <c r="B99" s="4">
        <v>584631804</v>
      </c>
      <c r="C99" s="4" t="s">
        <v>268</v>
      </c>
      <c r="D99" s="4">
        <v>87</v>
      </c>
      <c r="E99" s="4">
        <v>7</v>
      </c>
      <c r="G99">
        <f t="shared" si="1"/>
        <v>112</v>
      </c>
    </row>
    <row r="100" spans="2:7" ht="15" hidden="1" x14ac:dyDescent="0.25">
      <c r="B100" s="4">
        <v>584631804</v>
      </c>
      <c r="C100" s="4" t="s">
        <v>268</v>
      </c>
      <c r="D100" s="4">
        <v>88</v>
      </c>
      <c r="E100" s="4">
        <v>7</v>
      </c>
      <c r="G100">
        <f t="shared" si="1"/>
        <v>112</v>
      </c>
    </row>
    <row r="101" spans="2:7" ht="15" hidden="1" x14ac:dyDescent="0.25">
      <c r="B101" s="4">
        <v>584631804</v>
      </c>
      <c r="C101" s="4" t="s">
        <v>268</v>
      </c>
      <c r="D101" s="4">
        <v>88</v>
      </c>
      <c r="E101" s="4">
        <v>7</v>
      </c>
      <c r="G101">
        <f t="shared" si="1"/>
        <v>112</v>
      </c>
    </row>
    <row r="102" spans="2:7" ht="15" hidden="1" x14ac:dyDescent="0.25">
      <c r="B102" s="4">
        <v>584631804</v>
      </c>
      <c r="C102" s="4" t="s">
        <v>269</v>
      </c>
      <c r="D102" s="4">
        <v>75</v>
      </c>
      <c r="E102" s="4">
        <v>57</v>
      </c>
      <c r="G102">
        <f t="shared" si="1"/>
        <v>512</v>
      </c>
    </row>
    <row r="103" spans="2:7" ht="15" hidden="1" x14ac:dyDescent="0.25">
      <c r="B103" s="4">
        <v>584631805</v>
      </c>
      <c r="C103" s="4" t="s">
        <v>269</v>
      </c>
      <c r="D103" s="4">
        <v>76</v>
      </c>
      <c r="E103" s="4">
        <v>57</v>
      </c>
      <c r="G103">
        <f t="shared" si="1"/>
        <v>512</v>
      </c>
    </row>
    <row r="104" spans="2:7" ht="15" hidden="1" x14ac:dyDescent="0.25">
      <c r="B104" s="4">
        <v>584631806</v>
      </c>
      <c r="C104" s="4" t="s">
        <v>269</v>
      </c>
      <c r="D104" s="4">
        <v>77</v>
      </c>
      <c r="E104" s="4">
        <v>57</v>
      </c>
      <c r="G104">
        <f t="shared" si="1"/>
        <v>512</v>
      </c>
    </row>
    <row r="105" spans="2:7" ht="15" hidden="1" x14ac:dyDescent="0.25">
      <c r="B105" s="4">
        <v>584631807</v>
      </c>
      <c r="C105" s="4" t="s">
        <v>268</v>
      </c>
      <c r="D105" s="4">
        <v>89</v>
      </c>
      <c r="E105" s="4">
        <v>9</v>
      </c>
      <c r="G105">
        <f t="shared" si="1"/>
        <v>128</v>
      </c>
    </row>
    <row r="106" spans="2:7" ht="15" hidden="1" x14ac:dyDescent="0.25">
      <c r="B106" s="4">
        <v>584631807</v>
      </c>
      <c r="C106" s="4" t="s">
        <v>268</v>
      </c>
      <c r="D106" s="4">
        <v>89</v>
      </c>
      <c r="E106" s="4">
        <v>9</v>
      </c>
      <c r="G106">
        <f t="shared" si="1"/>
        <v>128</v>
      </c>
    </row>
    <row r="107" spans="2:7" ht="15" hidden="1" x14ac:dyDescent="0.25">
      <c r="B107" s="4">
        <v>584631807</v>
      </c>
      <c r="C107" s="4" t="s">
        <v>268</v>
      </c>
      <c r="D107" s="4">
        <v>90</v>
      </c>
      <c r="E107" s="4">
        <v>7</v>
      </c>
      <c r="G107">
        <f t="shared" si="1"/>
        <v>112</v>
      </c>
    </row>
    <row r="108" spans="2:7" ht="15" hidden="1" x14ac:dyDescent="0.25">
      <c r="B108" s="4">
        <v>584631807</v>
      </c>
      <c r="C108" s="4" t="s">
        <v>268</v>
      </c>
      <c r="D108" s="4">
        <v>90</v>
      </c>
      <c r="E108" s="4">
        <v>7</v>
      </c>
      <c r="G108">
        <f t="shared" si="1"/>
        <v>112</v>
      </c>
    </row>
    <row r="109" spans="2:7" ht="15" hidden="1" x14ac:dyDescent="0.25">
      <c r="B109" s="4">
        <v>584631807</v>
      </c>
      <c r="C109" s="4" t="s">
        <v>268</v>
      </c>
      <c r="D109" s="4">
        <v>91</v>
      </c>
      <c r="E109" s="4">
        <v>7</v>
      </c>
      <c r="G109">
        <f t="shared" si="1"/>
        <v>112</v>
      </c>
    </row>
    <row r="110" spans="2:7" ht="15" hidden="1" x14ac:dyDescent="0.25">
      <c r="B110" s="4">
        <v>584631807</v>
      </c>
      <c r="C110" s="4" t="s">
        <v>268</v>
      </c>
      <c r="D110" s="4">
        <v>91</v>
      </c>
      <c r="E110" s="4">
        <v>7</v>
      </c>
      <c r="G110">
        <f t="shared" si="1"/>
        <v>112</v>
      </c>
    </row>
    <row r="111" spans="2:7" ht="15" hidden="1" x14ac:dyDescent="0.25">
      <c r="B111" s="4">
        <v>584631807</v>
      </c>
      <c r="C111" s="4" t="s">
        <v>269</v>
      </c>
      <c r="D111" s="4">
        <v>78</v>
      </c>
      <c r="E111" s="4">
        <v>57</v>
      </c>
      <c r="G111">
        <f t="shared" si="1"/>
        <v>512</v>
      </c>
    </row>
    <row r="112" spans="2:7" ht="15" hidden="1" x14ac:dyDescent="0.25">
      <c r="B112" s="4">
        <v>584631808</v>
      </c>
      <c r="C112" s="4" t="s">
        <v>269</v>
      </c>
      <c r="D112" s="4">
        <v>79</v>
      </c>
      <c r="E112" s="4">
        <v>57</v>
      </c>
      <c r="G112">
        <f t="shared" si="1"/>
        <v>512</v>
      </c>
    </row>
    <row r="113" spans="2:7" ht="15" hidden="1" x14ac:dyDescent="0.25">
      <c r="B113" s="4">
        <v>584631809</v>
      </c>
      <c r="C113" s="4" t="s">
        <v>269</v>
      </c>
      <c r="D113" s="4">
        <v>80</v>
      </c>
      <c r="E113" s="4">
        <v>57</v>
      </c>
      <c r="G113">
        <f t="shared" si="1"/>
        <v>512</v>
      </c>
    </row>
    <row r="114" spans="2:7" ht="15" hidden="1" x14ac:dyDescent="0.25">
      <c r="B114" s="4">
        <v>584631810</v>
      </c>
      <c r="C114" s="4" t="s">
        <v>268</v>
      </c>
      <c r="D114" s="4">
        <v>92</v>
      </c>
      <c r="E114" s="4">
        <v>9</v>
      </c>
      <c r="G114">
        <f t="shared" si="1"/>
        <v>128</v>
      </c>
    </row>
    <row r="115" spans="2:7" ht="15" hidden="1" x14ac:dyDescent="0.25">
      <c r="B115" s="4">
        <v>584631810</v>
      </c>
      <c r="C115" s="4" t="s">
        <v>268</v>
      </c>
      <c r="D115" s="4">
        <v>92</v>
      </c>
      <c r="E115" s="4">
        <v>9</v>
      </c>
      <c r="G115">
        <f t="shared" si="1"/>
        <v>128</v>
      </c>
    </row>
    <row r="116" spans="2:7" ht="15" hidden="1" x14ac:dyDescent="0.25">
      <c r="B116" s="4">
        <v>584631810</v>
      </c>
      <c r="C116" s="4" t="s">
        <v>268</v>
      </c>
      <c r="D116" s="4">
        <v>93</v>
      </c>
      <c r="E116" s="4">
        <v>7</v>
      </c>
      <c r="G116">
        <f t="shared" si="1"/>
        <v>112</v>
      </c>
    </row>
    <row r="117" spans="2:7" ht="15" hidden="1" x14ac:dyDescent="0.25">
      <c r="B117" s="4">
        <v>584631810</v>
      </c>
      <c r="C117" s="4" t="s">
        <v>268</v>
      </c>
      <c r="D117" s="4">
        <v>93</v>
      </c>
      <c r="E117" s="4">
        <v>7</v>
      </c>
      <c r="G117">
        <f t="shared" si="1"/>
        <v>112</v>
      </c>
    </row>
    <row r="118" spans="2:7" ht="15" hidden="1" x14ac:dyDescent="0.25">
      <c r="B118" s="4">
        <v>584631810</v>
      </c>
      <c r="C118" s="4" t="s">
        <v>268</v>
      </c>
      <c r="D118" s="4">
        <v>94</v>
      </c>
      <c r="E118" s="4">
        <v>7</v>
      </c>
      <c r="G118">
        <f t="shared" si="1"/>
        <v>112</v>
      </c>
    </row>
    <row r="119" spans="2:7" ht="15" hidden="1" x14ac:dyDescent="0.25">
      <c r="B119" s="4">
        <v>584631810</v>
      </c>
      <c r="C119" s="4" t="s">
        <v>268</v>
      </c>
      <c r="D119" s="4">
        <v>94</v>
      </c>
      <c r="E119" s="4">
        <v>7</v>
      </c>
      <c r="G119">
        <f t="shared" si="1"/>
        <v>112</v>
      </c>
    </row>
    <row r="120" spans="2:7" ht="15" hidden="1" x14ac:dyDescent="0.25">
      <c r="B120" s="4">
        <v>584631810</v>
      </c>
      <c r="C120" s="4" t="s">
        <v>269</v>
      </c>
      <c r="D120" s="4">
        <v>81</v>
      </c>
      <c r="E120" s="4">
        <v>57</v>
      </c>
      <c r="G120">
        <f t="shared" si="1"/>
        <v>512</v>
      </c>
    </row>
    <row r="121" spans="2:7" ht="15" hidden="1" x14ac:dyDescent="0.25">
      <c r="B121" s="4">
        <v>584631811</v>
      </c>
      <c r="C121" s="4" t="s">
        <v>269</v>
      </c>
      <c r="D121" s="4">
        <v>82</v>
      </c>
      <c r="E121" s="4">
        <v>57</v>
      </c>
      <c r="G121">
        <f t="shared" si="1"/>
        <v>512</v>
      </c>
    </row>
    <row r="122" spans="2:7" ht="15" hidden="1" x14ac:dyDescent="0.25">
      <c r="B122" s="4">
        <v>584631812</v>
      </c>
      <c r="C122" s="4" t="s">
        <v>269</v>
      </c>
      <c r="D122" s="4">
        <v>83</v>
      </c>
      <c r="E122" s="4">
        <v>57</v>
      </c>
      <c r="G122">
        <f t="shared" si="1"/>
        <v>512</v>
      </c>
    </row>
    <row r="123" spans="2:7" ht="15" hidden="1" x14ac:dyDescent="0.25">
      <c r="B123" s="4">
        <v>584631813</v>
      </c>
      <c r="C123" s="4" t="s">
        <v>268</v>
      </c>
      <c r="D123" s="4">
        <v>95</v>
      </c>
      <c r="E123" s="4">
        <v>9</v>
      </c>
      <c r="G123">
        <f t="shared" si="1"/>
        <v>128</v>
      </c>
    </row>
    <row r="124" spans="2:7" ht="15" hidden="1" x14ac:dyDescent="0.25">
      <c r="B124" s="4">
        <v>584631813</v>
      </c>
      <c r="C124" s="4" t="s">
        <v>268</v>
      </c>
      <c r="D124" s="4">
        <v>95</v>
      </c>
      <c r="E124" s="4">
        <v>9</v>
      </c>
      <c r="G124">
        <f t="shared" si="1"/>
        <v>128</v>
      </c>
    </row>
    <row r="125" spans="2:7" ht="15" hidden="1" x14ac:dyDescent="0.25">
      <c r="B125" s="4">
        <v>584631813</v>
      </c>
      <c r="C125" s="4" t="s">
        <v>268</v>
      </c>
      <c r="D125" s="4">
        <v>96</v>
      </c>
      <c r="E125" s="4">
        <v>7</v>
      </c>
      <c r="G125">
        <f t="shared" si="1"/>
        <v>112</v>
      </c>
    </row>
    <row r="126" spans="2:7" ht="15" hidden="1" x14ac:dyDescent="0.25">
      <c r="B126" s="4">
        <v>584631813</v>
      </c>
      <c r="C126" s="4" t="s">
        <v>268</v>
      </c>
      <c r="D126" s="4">
        <v>96</v>
      </c>
      <c r="E126" s="4">
        <v>7</v>
      </c>
      <c r="G126">
        <f t="shared" si="1"/>
        <v>112</v>
      </c>
    </row>
    <row r="127" spans="2:7" ht="15" hidden="1" x14ac:dyDescent="0.25">
      <c r="B127" s="4">
        <v>584631813</v>
      </c>
      <c r="C127" s="4" t="s">
        <v>268</v>
      </c>
      <c r="D127" s="4">
        <v>97</v>
      </c>
      <c r="E127" s="4">
        <v>7</v>
      </c>
      <c r="G127">
        <f t="shared" si="1"/>
        <v>112</v>
      </c>
    </row>
    <row r="128" spans="2:7" ht="15" hidden="1" x14ac:dyDescent="0.25">
      <c r="B128" s="4">
        <v>584631813</v>
      </c>
      <c r="C128" s="4" t="s">
        <v>268</v>
      </c>
      <c r="D128" s="4">
        <v>97</v>
      </c>
      <c r="E128" s="4">
        <v>7</v>
      </c>
      <c r="G128">
        <f t="shared" si="1"/>
        <v>112</v>
      </c>
    </row>
    <row r="129" spans="2:7" ht="15" hidden="1" x14ac:dyDescent="0.25">
      <c r="B129" s="4">
        <v>584631813</v>
      </c>
      <c r="C129" s="4" t="s">
        <v>269</v>
      </c>
      <c r="D129" s="4">
        <v>84</v>
      </c>
      <c r="E129" s="4">
        <v>57</v>
      </c>
      <c r="G129">
        <f t="shared" si="1"/>
        <v>512</v>
      </c>
    </row>
    <row r="130" spans="2:7" ht="15" hidden="1" x14ac:dyDescent="0.25">
      <c r="B130" s="4">
        <v>584631814</v>
      </c>
      <c r="C130" s="4" t="s">
        <v>269</v>
      </c>
      <c r="D130" s="4">
        <v>85</v>
      </c>
      <c r="E130" s="4">
        <v>57</v>
      </c>
      <c r="G130">
        <f t="shared" si="1"/>
        <v>512</v>
      </c>
    </row>
    <row r="131" spans="2:7" ht="15" hidden="1" x14ac:dyDescent="0.25">
      <c r="B131" s="4">
        <v>584631815</v>
      </c>
      <c r="C131" s="4" t="s">
        <v>269</v>
      </c>
      <c r="D131" s="4">
        <v>86</v>
      </c>
      <c r="E131" s="4">
        <v>57</v>
      </c>
      <c r="G131">
        <f t="shared" si="1"/>
        <v>512</v>
      </c>
    </row>
    <row r="132" spans="2:7" ht="15" hidden="1" x14ac:dyDescent="0.25">
      <c r="B132" s="4">
        <v>584631816</v>
      </c>
      <c r="C132" s="4" t="s">
        <v>268</v>
      </c>
      <c r="D132" s="4">
        <v>98</v>
      </c>
      <c r="E132" s="4">
        <v>9</v>
      </c>
      <c r="G132">
        <f t="shared" ref="G132:G195" si="2">(E132+7)*8</f>
        <v>128</v>
      </c>
    </row>
    <row r="133" spans="2:7" ht="15" hidden="1" x14ac:dyDescent="0.25">
      <c r="B133" s="4">
        <v>584631816</v>
      </c>
      <c r="C133" s="4" t="s">
        <v>268</v>
      </c>
      <c r="D133" s="4">
        <v>98</v>
      </c>
      <c r="E133" s="4">
        <v>9</v>
      </c>
      <c r="G133">
        <f t="shared" si="2"/>
        <v>128</v>
      </c>
    </row>
    <row r="134" spans="2:7" ht="15" hidden="1" x14ac:dyDescent="0.25">
      <c r="B134" s="4">
        <v>584631816</v>
      </c>
      <c r="C134" s="4" t="s">
        <v>268</v>
      </c>
      <c r="D134" s="4">
        <v>99</v>
      </c>
      <c r="E134" s="4">
        <v>7</v>
      </c>
      <c r="G134">
        <f t="shared" si="2"/>
        <v>112</v>
      </c>
    </row>
    <row r="135" spans="2:7" ht="15" hidden="1" x14ac:dyDescent="0.25">
      <c r="B135" s="4">
        <v>584631816</v>
      </c>
      <c r="C135" s="4" t="s">
        <v>268</v>
      </c>
      <c r="D135" s="4">
        <v>99</v>
      </c>
      <c r="E135" s="4">
        <v>7</v>
      </c>
      <c r="G135">
        <f t="shared" si="2"/>
        <v>112</v>
      </c>
    </row>
    <row r="136" spans="2:7" ht="15" hidden="1" x14ac:dyDescent="0.25">
      <c r="B136" s="4">
        <v>584631816</v>
      </c>
      <c r="C136" s="4" t="s">
        <v>268</v>
      </c>
      <c r="D136" s="4">
        <v>100</v>
      </c>
      <c r="E136" s="4">
        <v>7</v>
      </c>
      <c r="G136">
        <f t="shared" si="2"/>
        <v>112</v>
      </c>
    </row>
    <row r="137" spans="2:7" ht="15" hidden="1" x14ac:dyDescent="0.25">
      <c r="B137" s="4">
        <v>584631816</v>
      </c>
      <c r="C137" s="4" t="s">
        <v>268</v>
      </c>
      <c r="D137" s="4">
        <v>100</v>
      </c>
      <c r="E137" s="4">
        <v>7</v>
      </c>
      <c r="G137">
        <f t="shared" si="2"/>
        <v>112</v>
      </c>
    </row>
    <row r="138" spans="2:7" ht="15" hidden="1" x14ac:dyDescent="0.25">
      <c r="B138" s="4">
        <v>584631816</v>
      </c>
      <c r="C138" s="4" t="s">
        <v>269</v>
      </c>
      <c r="D138" s="4">
        <v>87</v>
      </c>
      <c r="E138" s="4">
        <v>57</v>
      </c>
      <c r="G138">
        <f t="shared" si="2"/>
        <v>512</v>
      </c>
    </row>
    <row r="139" spans="2:7" ht="15" hidden="1" x14ac:dyDescent="0.25">
      <c r="B139" s="4">
        <v>584631817</v>
      </c>
      <c r="C139" s="4" t="s">
        <v>269</v>
      </c>
      <c r="D139" s="4">
        <v>88</v>
      </c>
      <c r="E139" s="4">
        <v>57</v>
      </c>
      <c r="G139">
        <f t="shared" si="2"/>
        <v>512</v>
      </c>
    </row>
    <row r="140" spans="2:7" ht="15" hidden="1" x14ac:dyDescent="0.25">
      <c r="B140" s="4">
        <v>584631818</v>
      </c>
      <c r="C140" s="4" t="s">
        <v>269</v>
      </c>
      <c r="D140" s="4">
        <v>89</v>
      </c>
      <c r="E140" s="4">
        <v>57</v>
      </c>
      <c r="G140">
        <f t="shared" si="2"/>
        <v>512</v>
      </c>
    </row>
    <row r="141" spans="2:7" ht="15" hidden="1" x14ac:dyDescent="0.25">
      <c r="B141" s="4">
        <v>584631819</v>
      </c>
      <c r="C141" s="4" t="s">
        <v>268</v>
      </c>
      <c r="D141" s="4">
        <v>101</v>
      </c>
      <c r="E141" s="4">
        <v>9</v>
      </c>
      <c r="G141">
        <f t="shared" si="2"/>
        <v>128</v>
      </c>
    </row>
    <row r="142" spans="2:7" ht="15" hidden="1" x14ac:dyDescent="0.25">
      <c r="B142" s="4">
        <v>584631819</v>
      </c>
      <c r="C142" s="4" t="s">
        <v>268</v>
      </c>
      <c r="D142" s="4">
        <v>101</v>
      </c>
      <c r="E142" s="4">
        <v>9</v>
      </c>
      <c r="G142">
        <f t="shared" si="2"/>
        <v>128</v>
      </c>
    </row>
    <row r="143" spans="2:7" ht="15" hidden="1" x14ac:dyDescent="0.25">
      <c r="B143" s="4">
        <v>584631819</v>
      </c>
      <c r="C143" s="4" t="s">
        <v>268</v>
      </c>
      <c r="D143" s="4">
        <v>102</v>
      </c>
      <c r="E143" s="4">
        <v>7</v>
      </c>
      <c r="G143">
        <f t="shared" si="2"/>
        <v>112</v>
      </c>
    </row>
    <row r="144" spans="2:7" ht="15" hidden="1" x14ac:dyDescent="0.25">
      <c r="B144" s="4">
        <v>584631819</v>
      </c>
      <c r="C144" s="4" t="s">
        <v>268</v>
      </c>
      <c r="D144" s="4">
        <v>102</v>
      </c>
      <c r="E144" s="4">
        <v>7</v>
      </c>
      <c r="G144">
        <f t="shared" si="2"/>
        <v>112</v>
      </c>
    </row>
    <row r="145" spans="2:7" ht="15" hidden="1" x14ac:dyDescent="0.25">
      <c r="B145" s="4">
        <v>584631819</v>
      </c>
      <c r="C145" s="4" t="s">
        <v>268</v>
      </c>
      <c r="D145" s="4">
        <v>103</v>
      </c>
      <c r="E145" s="4">
        <v>7</v>
      </c>
      <c r="G145">
        <f t="shared" si="2"/>
        <v>112</v>
      </c>
    </row>
    <row r="146" spans="2:7" ht="15" hidden="1" x14ac:dyDescent="0.25">
      <c r="B146" s="4">
        <v>584631819</v>
      </c>
      <c r="C146" s="4" t="s">
        <v>268</v>
      </c>
      <c r="D146" s="4">
        <v>103</v>
      </c>
      <c r="E146" s="4">
        <v>7</v>
      </c>
      <c r="G146">
        <f t="shared" si="2"/>
        <v>112</v>
      </c>
    </row>
    <row r="147" spans="2:7" ht="15" hidden="1" x14ac:dyDescent="0.25">
      <c r="B147" s="4">
        <v>584631819</v>
      </c>
      <c r="C147" s="4" t="s">
        <v>269</v>
      </c>
      <c r="D147" s="4">
        <v>90</v>
      </c>
      <c r="E147" s="4">
        <v>57</v>
      </c>
      <c r="G147">
        <f t="shared" si="2"/>
        <v>512</v>
      </c>
    </row>
    <row r="148" spans="2:7" ht="15" hidden="1" x14ac:dyDescent="0.25">
      <c r="B148" s="4">
        <v>584631820</v>
      </c>
      <c r="C148" s="4" t="s">
        <v>269</v>
      </c>
      <c r="D148" s="4">
        <v>91</v>
      </c>
      <c r="E148" s="4">
        <v>57</v>
      </c>
      <c r="G148">
        <f t="shared" si="2"/>
        <v>512</v>
      </c>
    </row>
    <row r="149" spans="2:7" ht="15" hidden="1" x14ac:dyDescent="0.25">
      <c r="B149" s="4">
        <v>584631821</v>
      </c>
      <c r="C149" s="4" t="s">
        <v>269</v>
      </c>
      <c r="D149" s="4">
        <v>92</v>
      </c>
      <c r="E149" s="4">
        <v>57</v>
      </c>
      <c r="G149">
        <f t="shared" si="2"/>
        <v>512</v>
      </c>
    </row>
    <row r="150" spans="2:7" ht="15" hidden="1" x14ac:dyDescent="0.25">
      <c r="B150" s="4">
        <v>584631822</v>
      </c>
      <c r="C150" s="4" t="s">
        <v>268</v>
      </c>
      <c r="D150" s="4">
        <v>104</v>
      </c>
      <c r="E150" s="4">
        <v>9</v>
      </c>
      <c r="G150">
        <f t="shared" si="2"/>
        <v>128</v>
      </c>
    </row>
    <row r="151" spans="2:7" ht="15" hidden="1" x14ac:dyDescent="0.25">
      <c r="B151" s="4">
        <v>584631822</v>
      </c>
      <c r="C151" s="4" t="s">
        <v>268</v>
      </c>
      <c r="D151" s="4">
        <v>104</v>
      </c>
      <c r="E151" s="4">
        <v>9</v>
      </c>
      <c r="G151">
        <f t="shared" si="2"/>
        <v>128</v>
      </c>
    </row>
    <row r="152" spans="2:7" ht="15" hidden="1" x14ac:dyDescent="0.25">
      <c r="B152" s="4">
        <v>584631822</v>
      </c>
      <c r="C152" s="4" t="s">
        <v>268</v>
      </c>
      <c r="D152" s="4">
        <v>105</v>
      </c>
      <c r="E152" s="4">
        <v>7</v>
      </c>
      <c r="G152">
        <f t="shared" si="2"/>
        <v>112</v>
      </c>
    </row>
    <row r="153" spans="2:7" ht="15" hidden="1" x14ac:dyDescent="0.25">
      <c r="B153" s="4">
        <v>584631822</v>
      </c>
      <c r="C153" s="4" t="s">
        <v>268</v>
      </c>
      <c r="D153" s="4">
        <v>105</v>
      </c>
      <c r="E153" s="4">
        <v>7</v>
      </c>
      <c r="G153">
        <f t="shared" si="2"/>
        <v>112</v>
      </c>
    </row>
    <row r="154" spans="2:7" ht="15" hidden="1" x14ac:dyDescent="0.25">
      <c r="B154" s="4">
        <v>584631822</v>
      </c>
      <c r="C154" s="4" t="s">
        <v>268</v>
      </c>
      <c r="D154" s="4">
        <v>106</v>
      </c>
      <c r="E154" s="4">
        <v>7</v>
      </c>
      <c r="G154">
        <f t="shared" si="2"/>
        <v>112</v>
      </c>
    </row>
    <row r="155" spans="2:7" ht="15" hidden="1" x14ac:dyDescent="0.25">
      <c r="B155" s="4">
        <v>584631822</v>
      </c>
      <c r="C155" s="4" t="s">
        <v>268</v>
      </c>
      <c r="D155" s="4">
        <v>106</v>
      </c>
      <c r="E155" s="4">
        <v>7</v>
      </c>
      <c r="G155">
        <f t="shared" si="2"/>
        <v>112</v>
      </c>
    </row>
    <row r="156" spans="2:7" ht="15" hidden="1" x14ac:dyDescent="0.25">
      <c r="B156" s="4">
        <v>584631822</v>
      </c>
      <c r="C156" s="4" t="s">
        <v>269</v>
      </c>
      <c r="D156" s="4">
        <v>93</v>
      </c>
      <c r="E156" s="4">
        <v>57</v>
      </c>
      <c r="G156">
        <f t="shared" si="2"/>
        <v>512</v>
      </c>
    </row>
    <row r="157" spans="2:7" ht="15" hidden="1" x14ac:dyDescent="0.25">
      <c r="B157" s="4">
        <v>584631823</v>
      </c>
      <c r="C157" s="4" t="s">
        <v>269</v>
      </c>
      <c r="D157" s="4">
        <v>94</v>
      </c>
      <c r="E157" s="4">
        <v>57</v>
      </c>
      <c r="G157">
        <f t="shared" si="2"/>
        <v>512</v>
      </c>
    </row>
    <row r="158" spans="2:7" ht="15" hidden="1" x14ac:dyDescent="0.25">
      <c r="B158" s="4">
        <v>584631824</v>
      </c>
      <c r="C158" s="4" t="s">
        <v>269</v>
      </c>
      <c r="D158" s="4">
        <v>95</v>
      </c>
      <c r="E158" s="4">
        <v>57</v>
      </c>
      <c r="G158">
        <f t="shared" si="2"/>
        <v>512</v>
      </c>
    </row>
    <row r="159" spans="2:7" ht="15" hidden="1" x14ac:dyDescent="0.25">
      <c r="B159" s="4">
        <v>584631825</v>
      </c>
      <c r="C159" s="4" t="s">
        <v>268</v>
      </c>
      <c r="D159" s="4">
        <v>107</v>
      </c>
      <c r="E159" s="4">
        <v>9</v>
      </c>
      <c r="G159">
        <f t="shared" si="2"/>
        <v>128</v>
      </c>
    </row>
    <row r="160" spans="2:7" ht="15" hidden="1" x14ac:dyDescent="0.25">
      <c r="B160" s="4">
        <v>584631825</v>
      </c>
      <c r="C160" s="4" t="s">
        <v>268</v>
      </c>
      <c r="D160" s="4">
        <v>107</v>
      </c>
      <c r="E160" s="4">
        <v>9</v>
      </c>
      <c r="G160">
        <f t="shared" si="2"/>
        <v>128</v>
      </c>
    </row>
    <row r="161" spans="2:7" ht="15" hidden="1" x14ac:dyDescent="0.25">
      <c r="B161" s="4">
        <v>584631825</v>
      </c>
      <c r="C161" s="4" t="s">
        <v>268</v>
      </c>
      <c r="D161" s="4">
        <v>108</v>
      </c>
      <c r="E161" s="4">
        <v>7</v>
      </c>
      <c r="G161">
        <f t="shared" si="2"/>
        <v>112</v>
      </c>
    </row>
    <row r="162" spans="2:7" ht="15" hidden="1" x14ac:dyDescent="0.25">
      <c r="B162" s="4">
        <v>584631825</v>
      </c>
      <c r="C162" s="4" t="s">
        <v>268</v>
      </c>
      <c r="D162" s="4">
        <v>108</v>
      </c>
      <c r="E162" s="4">
        <v>7</v>
      </c>
      <c r="G162">
        <f t="shared" si="2"/>
        <v>112</v>
      </c>
    </row>
    <row r="163" spans="2:7" ht="15" hidden="1" x14ac:dyDescent="0.25">
      <c r="B163" s="4">
        <v>584631825</v>
      </c>
      <c r="C163" s="4" t="s">
        <v>268</v>
      </c>
      <c r="D163" s="4">
        <v>109</v>
      </c>
      <c r="E163" s="4">
        <v>7</v>
      </c>
      <c r="G163">
        <f t="shared" si="2"/>
        <v>112</v>
      </c>
    </row>
    <row r="164" spans="2:7" ht="15" hidden="1" x14ac:dyDescent="0.25">
      <c r="B164" s="4">
        <v>584631825</v>
      </c>
      <c r="C164" s="4" t="s">
        <v>268</v>
      </c>
      <c r="D164" s="4">
        <v>109</v>
      </c>
      <c r="E164" s="4">
        <v>7</v>
      </c>
      <c r="G164">
        <f t="shared" si="2"/>
        <v>112</v>
      </c>
    </row>
    <row r="165" spans="2:7" ht="15" hidden="1" x14ac:dyDescent="0.25">
      <c r="B165" s="4">
        <v>584631825</v>
      </c>
      <c r="C165" s="4" t="s">
        <v>269</v>
      </c>
      <c r="D165" s="4">
        <v>96</v>
      </c>
      <c r="E165" s="4">
        <v>57</v>
      </c>
      <c r="G165">
        <f t="shared" si="2"/>
        <v>512</v>
      </c>
    </row>
    <row r="166" spans="2:7" ht="15" hidden="1" x14ac:dyDescent="0.25">
      <c r="B166" s="4">
        <v>584631826</v>
      </c>
      <c r="C166" s="4" t="s">
        <v>269</v>
      </c>
      <c r="D166" s="4">
        <v>97</v>
      </c>
      <c r="E166" s="4">
        <v>57</v>
      </c>
      <c r="G166">
        <f t="shared" si="2"/>
        <v>512</v>
      </c>
    </row>
    <row r="167" spans="2:7" ht="15" hidden="1" x14ac:dyDescent="0.25">
      <c r="B167" s="4">
        <v>584631827</v>
      </c>
      <c r="C167" s="4" t="s">
        <v>269</v>
      </c>
      <c r="D167" s="4">
        <v>98</v>
      </c>
      <c r="E167" s="4">
        <v>57</v>
      </c>
      <c r="G167">
        <f t="shared" si="2"/>
        <v>512</v>
      </c>
    </row>
    <row r="168" spans="2:7" ht="15" hidden="1" x14ac:dyDescent="0.25">
      <c r="B168" s="4">
        <v>584631828</v>
      </c>
      <c r="C168" s="4" t="s">
        <v>268</v>
      </c>
      <c r="D168" s="4">
        <v>110</v>
      </c>
      <c r="E168" s="4">
        <v>9</v>
      </c>
      <c r="G168">
        <f t="shared" si="2"/>
        <v>128</v>
      </c>
    </row>
    <row r="169" spans="2:7" ht="15" hidden="1" x14ac:dyDescent="0.25">
      <c r="B169" s="4">
        <v>584631828</v>
      </c>
      <c r="C169" s="4" t="s">
        <v>268</v>
      </c>
      <c r="D169" s="4">
        <v>110</v>
      </c>
      <c r="E169" s="4">
        <v>9</v>
      </c>
      <c r="G169">
        <f t="shared" si="2"/>
        <v>128</v>
      </c>
    </row>
    <row r="170" spans="2:7" ht="15" hidden="1" x14ac:dyDescent="0.25">
      <c r="B170" s="4">
        <v>584631828</v>
      </c>
      <c r="C170" s="4" t="s">
        <v>268</v>
      </c>
      <c r="D170" s="4">
        <v>111</v>
      </c>
      <c r="E170" s="4">
        <v>7</v>
      </c>
      <c r="G170">
        <f t="shared" si="2"/>
        <v>112</v>
      </c>
    </row>
    <row r="171" spans="2:7" ht="15" hidden="1" x14ac:dyDescent="0.25">
      <c r="B171" s="4">
        <v>584631828</v>
      </c>
      <c r="C171" s="4" t="s">
        <v>268</v>
      </c>
      <c r="D171" s="4">
        <v>111</v>
      </c>
      <c r="E171" s="4">
        <v>7</v>
      </c>
      <c r="G171">
        <f t="shared" si="2"/>
        <v>112</v>
      </c>
    </row>
    <row r="172" spans="2:7" ht="15" hidden="1" x14ac:dyDescent="0.25">
      <c r="B172" s="4">
        <v>584631828</v>
      </c>
      <c r="C172" s="4" t="s">
        <v>268</v>
      </c>
      <c r="D172" s="4">
        <v>112</v>
      </c>
      <c r="E172" s="4">
        <v>5</v>
      </c>
      <c r="G172">
        <f t="shared" si="2"/>
        <v>96</v>
      </c>
    </row>
    <row r="173" spans="2:7" ht="15" hidden="1" x14ac:dyDescent="0.25">
      <c r="B173" s="4">
        <v>584631828</v>
      </c>
      <c r="C173" s="4" t="s">
        <v>268</v>
      </c>
      <c r="D173" s="4">
        <v>112</v>
      </c>
      <c r="E173" s="4">
        <v>5</v>
      </c>
      <c r="G173">
        <f t="shared" si="2"/>
        <v>96</v>
      </c>
    </row>
    <row r="174" spans="2:7" ht="15" hidden="1" x14ac:dyDescent="0.25">
      <c r="B174" s="4">
        <v>584631828</v>
      </c>
      <c r="C174" s="4" t="s">
        <v>268</v>
      </c>
      <c r="D174" s="4">
        <v>113</v>
      </c>
      <c r="E174" s="4">
        <v>9</v>
      </c>
      <c r="G174">
        <f t="shared" si="2"/>
        <v>128</v>
      </c>
    </row>
    <row r="175" spans="2:7" ht="15" hidden="1" x14ac:dyDescent="0.25">
      <c r="B175" s="4">
        <v>584631828</v>
      </c>
      <c r="C175" s="4" t="s">
        <v>268</v>
      </c>
      <c r="D175" s="4">
        <v>113</v>
      </c>
      <c r="E175" s="4">
        <v>9</v>
      </c>
      <c r="G175">
        <f t="shared" si="2"/>
        <v>128</v>
      </c>
    </row>
    <row r="176" spans="2:7" ht="15" hidden="1" x14ac:dyDescent="0.25">
      <c r="B176" s="4">
        <v>584631828</v>
      </c>
      <c r="C176" s="4" t="s">
        <v>268</v>
      </c>
      <c r="D176" s="4">
        <v>114</v>
      </c>
      <c r="E176" s="4">
        <v>6</v>
      </c>
      <c r="G176">
        <f t="shared" si="2"/>
        <v>104</v>
      </c>
    </row>
    <row r="177" spans="2:7" ht="15" hidden="1" x14ac:dyDescent="0.25">
      <c r="B177" s="4">
        <v>584631828</v>
      </c>
      <c r="C177" s="4" t="s">
        <v>268</v>
      </c>
      <c r="D177" s="4">
        <v>114</v>
      </c>
      <c r="E177" s="4">
        <v>6</v>
      </c>
      <c r="G177">
        <f t="shared" si="2"/>
        <v>104</v>
      </c>
    </row>
    <row r="178" spans="2:7" ht="15" hidden="1" x14ac:dyDescent="0.25">
      <c r="B178" s="4">
        <v>584631828</v>
      </c>
      <c r="C178" s="4" t="s">
        <v>268</v>
      </c>
      <c r="D178" s="4">
        <v>115</v>
      </c>
      <c r="E178" s="4">
        <v>9</v>
      </c>
      <c r="G178">
        <f t="shared" si="2"/>
        <v>128</v>
      </c>
    </row>
    <row r="179" spans="2:7" ht="15" hidden="1" x14ac:dyDescent="0.25">
      <c r="B179" s="4">
        <v>584631828</v>
      </c>
      <c r="C179" s="4" t="s">
        <v>268</v>
      </c>
      <c r="D179" s="4">
        <v>115</v>
      </c>
      <c r="E179" s="4">
        <v>9</v>
      </c>
      <c r="G179">
        <f t="shared" si="2"/>
        <v>128</v>
      </c>
    </row>
    <row r="180" spans="2:7" ht="15" hidden="1" x14ac:dyDescent="0.25">
      <c r="B180" s="4">
        <v>584631828</v>
      </c>
      <c r="C180" s="4" t="s">
        <v>268</v>
      </c>
      <c r="D180" s="4">
        <v>116</v>
      </c>
      <c r="E180" s="4">
        <v>7</v>
      </c>
      <c r="G180">
        <f t="shared" si="2"/>
        <v>112</v>
      </c>
    </row>
    <row r="181" spans="2:7" ht="15" hidden="1" x14ac:dyDescent="0.25">
      <c r="B181" s="4">
        <v>584631828</v>
      </c>
      <c r="C181" s="4" t="s">
        <v>268</v>
      </c>
      <c r="D181" s="4">
        <v>116</v>
      </c>
      <c r="E181" s="4">
        <v>7</v>
      </c>
      <c r="G181">
        <f t="shared" si="2"/>
        <v>112</v>
      </c>
    </row>
    <row r="182" spans="2:7" ht="15" hidden="1" x14ac:dyDescent="0.25">
      <c r="B182" s="4">
        <v>584631828</v>
      </c>
      <c r="C182" s="4" t="s">
        <v>268</v>
      </c>
      <c r="D182" s="4">
        <v>117</v>
      </c>
      <c r="E182" s="4">
        <v>7</v>
      </c>
      <c r="G182">
        <f t="shared" si="2"/>
        <v>112</v>
      </c>
    </row>
    <row r="183" spans="2:7" ht="15" hidden="1" x14ac:dyDescent="0.25">
      <c r="B183" s="4">
        <v>584631828</v>
      </c>
      <c r="C183" s="4" t="s">
        <v>268</v>
      </c>
      <c r="D183" s="4">
        <v>117</v>
      </c>
      <c r="E183" s="4">
        <v>7</v>
      </c>
      <c r="G183">
        <f t="shared" si="2"/>
        <v>112</v>
      </c>
    </row>
    <row r="184" spans="2:7" ht="15" hidden="1" x14ac:dyDescent="0.25">
      <c r="B184" s="4">
        <v>584631828</v>
      </c>
      <c r="C184" s="4" t="s">
        <v>268</v>
      </c>
      <c r="D184" s="4">
        <v>118</v>
      </c>
      <c r="E184" s="4">
        <v>7</v>
      </c>
      <c r="G184">
        <f t="shared" si="2"/>
        <v>112</v>
      </c>
    </row>
    <row r="185" spans="2:7" ht="15" hidden="1" x14ac:dyDescent="0.25">
      <c r="B185" s="4">
        <v>584631828</v>
      </c>
      <c r="C185" s="4" t="s">
        <v>268</v>
      </c>
      <c r="D185" s="4">
        <v>118</v>
      </c>
      <c r="E185" s="4">
        <v>7</v>
      </c>
      <c r="G185">
        <f t="shared" si="2"/>
        <v>112</v>
      </c>
    </row>
    <row r="186" spans="2:7" ht="15" hidden="1" x14ac:dyDescent="0.25">
      <c r="B186" s="4">
        <v>584631828</v>
      </c>
      <c r="C186" s="4" t="s">
        <v>269</v>
      </c>
      <c r="D186" s="4">
        <v>99</v>
      </c>
      <c r="E186" s="4">
        <v>57</v>
      </c>
      <c r="G186">
        <f t="shared" si="2"/>
        <v>512</v>
      </c>
    </row>
    <row r="187" spans="2:7" ht="15" hidden="1" x14ac:dyDescent="0.25">
      <c r="B187" s="4">
        <v>584631829</v>
      </c>
      <c r="C187" s="4" t="s">
        <v>269</v>
      </c>
      <c r="D187" s="4">
        <v>100</v>
      </c>
      <c r="E187" s="4">
        <v>57</v>
      </c>
      <c r="G187">
        <f t="shared" si="2"/>
        <v>512</v>
      </c>
    </row>
    <row r="188" spans="2:7" ht="15" hidden="1" x14ac:dyDescent="0.25">
      <c r="B188" s="4">
        <v>584631830</v>
      </c>
      <c r="C188" s="4" t="s">
        <v>268</v>
      </c>
      <c r="D188" s="4">
        <v>119</v>
      </c>
      <c r="E188" s="4">
        <v>7</v>
      </c>
      <c r="G188">
        <f t="shared" si="2"/>
        <v>112</v>
      </c>
    </row>
    <row r="189" spans="2:7" ht="15" hidden="1" x14ac:dyDescent="0.25">
      <c r="B189" s="4">
        <v>584631830</v>
      </c>
      <c r="C189" s="4" t="s">
        <v>268</v>
      </c>
      <c r="D189" s="4">
        <v>119</v>
      </c>
      <c r="E189" s="4">
        <v>7</v>
      </c>
      <c r="G189">
        <f t="shared" si="2"/>
        <v>112</v>
      </c>
    </row>
    <row r="190" spans="2:7" ht="15" hidden="1" x14ac:dyDescent="0.25">
      <c r="B190" s="4">
        <v>584631830</v>
      </c>
      <c r="C190" s="4" t="s">
        <v>268</v>
      </c>
      <c r="D190" s="4">
        <v>120</v>
      </c>
      <c r="E190" s="4">
        <v>5</v>
      </c>
      <c r="G190">
        <f t="shared" si="2"/>
        <v>96</v>
      </c>
    </row>
    <row r="191" spans="2:7" ht="15" hidden="1" x14ac:dyDescent="0.25">
      <c r="B191" s="4">
        <v>584631830</v>
      </c>
      <c r="C191" s="4" t="s">
        <v>268</v>
      </c>
      <c r="D191" s="4">
        <v>120</v>
      </c>
      <c r="E191" s="4">
        <v>5</v>
      </c>
      <c r="G191">
        <f t="shared" si="2"/>
        <v>96</v>
      </c>
    </row>
    <row r="192" spans="2:7" ht="15" hidden="1" x14ac:dyDescent="0.25">
      <c r="B192" s="4">
        <v>584631830</v>
      </c>
      <c r="C192" s="4" t="s">
        <v>268</v>
      </c>
      <c r="D192" s="4">
        <v>121</v>
      </c>
      <c r="E192" s="4">
        <v>7</v>
      </c>
      <c r="G192">
        <f t="shared" si="2"/>
        <v>112</v>
      </c>
    </row>
    <row r="193" spans="2:7" ht="15" hidden="1" x14ac:dyDescent="0.25">
      <c r="B193" s="4">
        <v>584631830</v>
      </c>
      <c r="C193" s="4" t="s">
        <v>268</v>
      </c>
      <c r="D193" s="4">
        <v>121</v>
      </c>
      <c r="E193" s="4">
        <v>7</v>
      </c>
      <c r="G193">
        <f t="shared" si="2"/>
        <v>112</v>
      </c>
    </row>
    <row r="194" spans="2:7" ht="15" hidden="1" x14ac:dyDescent="0.25">
      <c r="B194" s="4">
        <v>584631830</v>
      </c>
      <c r="C194" s="4" t="s">
        <v>269</v>
      </c>
      <c r="D194" s="4">
        <v>101</v>
      </c>
      <c r="E194" s="4">
        <v>57</v>
      </c>
      <c r="G194">
        <f t="shared" si="2"/>
        <v>512</v>
      </c>
    </row>
    <row r="195" spans="2:7" ht="15" hidden="1" x14ac:dyDescent="0.25">
      <c r="B195" s="4">
        <v>584631831</v>
      </c>
      <c r="C195" s="4" t="s">
        <v>269</v>
      </c>
      <c r="D195" s="4">
        <v>102</v>
      </c>
      <c r="E195" s="4">
        <v>57</v>
      </c>
      <c r="G195">
        <f t="shared" si="2"/>
        <v>512</v>
      </c>
    </row>
    <row r="196" spans="2:7" ht="15" hidden="1" x14ac:dyDescent="0.25">
      <c r="B196" s="4">
        <v>584631832</v>
      </c>
      <c r="C196" s="4" t="s">
        <v>269</v>
      </c>
      <c r="D196" s="4">
        <v>103</v>
      </c>
      <c r="E196" s="4">
        <v>57</v>
      </c>
      <c r="G196">
        <f t="shared" ref="G196:G259" si="3">(E196+7)*8</f>
        <v>512</v>
      </c>
    </row>
    <row r="197" spans="2:7" ht="15" hidden="1" x14ac:dyDescent="0.25">
      <c r="B197" s="4">
        <v>584631833</v>
      </c>
      <c r="C197" s="4" t="s">
        <v>269</v>
      </c>
      <c r="D197" s="4">
        <v>104</v>
      </c>
      <c r="E197" s="4">
        <v>57</v>
      </c>
      <c r="G197">
        <f t="shared" si="3"/>
        <v>512</v>
      </c>
    </row>
    <row r="198" spans="2:7" ht="15" hidden="1" x14ac:dyDescent="0.25">
      <c r="B198" s="4">
        <v>584631834</v>
      </c>
      <c r="C198" s="4" t="s">
        <v>269</v>
      </c>
      <c r="D198" s="4">
        <v>105</v>
      </c>
      <c r="E198" s="4">
        <v>57</v>
      </c>
      <c r="G198">
        <f t="shared" si="3"/>
        <v>512</v>
      </c>
    </row>
    <row r="199" spans="2:7" ht="15" hidden="1" x14ac:dyDescent="0.25">
      <c r="B199" s="4">
        <v>584631835</v>
      </c>
      <c r="C199" s="4" t="s">
        <v>269</v>
      </c>
      <c r="D199" s="4">
        <v>106</v>
      </c>
      <c r="E199" s="4">
        <v>57</v>
      </c>
      <c r="G199">
        <f t="shared" si="3"/>
        <v>512</v>
      </c>
    </row>
    <row r="200" spans="2:7" ht="15" hidden="1" x14ac:dyDescent="0.25">
      <c r="B200" s="4">
        <v>584631836</v>
      </c>
      <c r="C200" s="4" t="s">
        <v>269</v>
      </c>
      <c r="D200" s="4">
        <v>107</v>
      </c>
      <c r="E200" s="4">
        <v>57</v>
      </c>
      <c r="G200">
        <f t="shared" si="3"/>
        <v>512</v>
      </c>
    </row>
    <row r="201" spans="2:7" ht="15" hidden="1" x14ac:dyDescent="0.25">
      <c r="B201" s="4">
        <v>584631837</v>
      </c>
      <c r="C201" s="4" t="s">
        <v>269</v>
      </c>
      <c r="D201" s="4">
        <v>108</v>
      </c>
      <c r="E201" s="4">
        <v>57</v>
      </c>
      <c r="G201">
        <f t="shared" si="3"/>
        <v>512</v>
      </c>
    </row>
    <row r="202" spans="2:7" ht="15" hidden="1" x14ac:dyDescent="0.25">
      <c r="B202" s="4">
        <v>584631838</v>
      </c>
      <c r="C202" s="4" t="s">
        <v>269</v>
      </c>
      <c r="D202" s="4">
        <v>109</v>
      </c>
      <c r="E202" s="4">
        <v>57</v>
      </c>
      <c r="G202">
        <f t="shared" si="3"/>
        <v>512</v>
      </c>
    </row>
    <row r="203" spans="2:7" ht="15" hidden="1" x14ac:dyDescent="0.25">
      <c r="B203" s="4">
        <v>584631839</v>
      </c>
      <c r="C203" s="4" t="s">
        <v>269</v>
      </c>
      <c r="D203" s="4">
        <v>110</v>
      </c>
      <c r="E203" s="4">
        <v>57</v>
      </c>
      <c r="G203">
        <f t="shared" si="3"/>
        <v>512</v>
      </c>
    </row>
    <row r="204" spans="2:7" ht="15" hidden="1" x14ac:dyDescent="0.25">
      <c r="B204" s="4">
        <v>584631840</v>
      </c>
      <c r="C204" s="4" t="s">
        <v>269</v>
      </c>
      <c r="D204" s="4">
        <v>111</v>
      </c>
      <c r="E204" s="4">
        <v>57</v>
      </c>
      <c r="G204">
        <f t="shared" si="3"/>
        <v>512</v>
      </c>
    </row>
    <row r="205" spans="2:7" ht="15" hidden="1" x14ac:dyDescent="0.25">
      <c r="B205" s="4">
        <v>584631841</v>
      </c>
      <c r="C205" s="4" t="s">
        <v>269</v>
      </c>
      <c r="D205" s="4">
        <v>112</v>
      </c>
      <c r="E205" s="4">
        <v>57</v>
      </c>
      <c r="G205">
        <f t="shared" si="3"/>
        <v>512</v>
      </c>
    </row>
    <row r="206" spans="2:7" ht="15" hidden="1" x14ac:dyDescent="0.25">
      <c r="B206" s="4">
        <v>584631842</v>
      </c>
      <c r="C206" s="4" t="s">
        <v>269</v>
      </c>
      <c r="D206" s="4">
        <v>113</v>
      </c>
      <c r="E206" s="4">
        <v>57</v>
      </c>
      <c r="G206">
        <f t="shared" si="3"/>
        <v>512</v>
      </c>
    </row>
    <row r="207" spans="2:7" ht="15" hidden="1" x14ac:dyDescent="0.25">
      <c r="B207" s="4">
        <v>584631843</v>
      </c>
      <c r="C207" s="4" t="s">
        <v>269</v>
      </c>
      <c r="D207" s="4">
        <v>114</v>
      </c>
      <c r="E207" s="4">
        <v>57</v>
      </c>
      <c r="G207">
        <f t="shared" si="3"/>
        <v>512</v>
      </c>
    </row>
    <row r="208" spans="2:7" ht="15" hidden="1" x14ac:dyDescent="0.25">
      <c r="B208" s="4">
        <v>584631844</v>
      </c>
      <c r="C208" s="4" t="s">
        <v>269</v>
      </c>
      <c r="D208" s="4">
        <v>115</v>
      </c>
      <c r="E208" s="4">
        <v>57</v>
      </c>
      <c r="G208">
        <f t="shared" si="3"/>
        <v>512</v>
      </c>
    </row>
    <row r="209" spans="1:7" ht="15" hidden="1" x14ac:dyDescent="0.25">
      <c r="B209" s="4">
        <v>584631845</v>
      </c>
      <c r="C209" s="4" t="s">
        <v>269</v>
      </c>
      <c r="D209" s="4">
        <v>116</v>
      </c>
      <c r="E209" s="4">
        <v>57</v>
      </c>
      <c r="G209">
        <f t="shared" si="3"/>
        <v>512</v>
      </c>
    </row>
    <row r="210" spans="1:7" ht="15" hidden="1" x14ac:dyDescent="0.25">
      <c r="B210" s="4">
        <v>584631846</v>
      </c>
      <c r="C210" s="4" t="s">
        <v>269</v>
      </c>
      <c r="D210" s="4">
        <v>117</v>
      </c>
      <c r="E210" s="4">
        <v>57</v>
      </c>
      <c r="G210">
        <f t="shared" si="3"/>
        <v>512</v>
      </c>
    </row>
    <row r="211" spans="1:7" ht="15" hidden="1" x14ac:dyDescent="0.25">
      <c r="B211" s="4">
        <v>584631847</v>
      </c>
      <c r="C211" s="4" t="s">
        <v>269</v>
      </c>
      <c r="D211" s="4">
        <v>118</v>
      </c>
      <c r="E211" s="4">
        <v>57</v>
      </c>
      <c r="G211">
        <f t="shared" si="3"/>
        <v>512</v>
      </c>
    </row>
    <row r="212" spans="1:7" ht="15" hidden="1" x14ac:dyDescent="0.25">
      <c r="B212" s="4">
        <v>584631848</v>
      </c>
      <c r="C212" s="4" t="s">
        <v>269</v>
      </c>
      <c r="D212" s="4">
        <v>119</v>
      </c>
      <c r="E212" s="4">
        <v>57</v>
      </c>
      <c r="G212">
        <f t="shared" si="3"/>
        <v>512</v>
      </c>
    </row>
    <row r="213" spans="1:7" ht="15" x14ac:dyDescent="0.25">
      <c r="A213">
        <f>B213-B3</f>
        <v>73</v>
      </c>
      <c r="B213" s="4">
        <v>584631848</v>
      </c>
      <c r="C213" s="4" t="s">
        <v>270</v>
      </c>
      <c r="D213" s="4">
        <v>0</v>
      </c>
      <c r="E213" s="4">
        <v>1100</v>
      </c>
      <c r="G213">
        <f t="shared" si="3"/>
        <v>8856</v>
      </c>
    </row>
    <row r="214" spans="1:7" ht="15" x14ac:dyDescent="0.25">
      <c r="A214">
        <f>B214-B4</f>
        <v>73</v>
      </c>
      <c r="B214" s="4">
        <v>584631848</v>
      </c>
      <c r="C214" s="4" t="s">
        <v>271</v>
      </c>
      <c r="D214" s="4">
        <v>0</v>
      </c>
      <c r="E214" s="4">
        <v>1100</v>
      </c>
      <c r="G214">
        <f t="shared" si="3"/>
        <v>8856</v>
      </c>
    </row>
    <row r="215" spans="1:7" ht="15" hidden="1" x14ac:dyDescent="0.25">
      <c r="B215" s="4">
        <v>584631849</v>
      </c>
      <c r="C215" s="4" t="s">
        <v>269</v>
      </c>
      <c r="D215" s="4">
        <v>120</v>
      </c>
      <c r="E215" s="4">
        <v>57</v>
      </c>
      <c r="G215">
        <f t="shared" si="3"/>
        <v>512</v>
      </c>
    </row>
    <row r="216" spans="1:7" ht="15" hidden="1" x14ac:dyDescent="0.25">
      <c r="B216" s="4">
        <v>584631849</v>
      </c>
      <c r="C216" s="4" t="s">
        <v>272</v>
      </c>
      <c r="D216" s="4">
        <v>0</v>
      </c>
      <c r="E216" s="4">
        <v>227</v>
      </c>
      <c r="G216">
        <f t="shared" si="3"/>
        <v>1872</v>
      </c>
    </row>
    <row r="217" spans="1:7" ht="15" hidden="1" x14ac:dyDescent="0.25">
      <c r="B217" s="4">
        <v>584631850</v>
      </c>
      <c r="C217" s="4" t="s">
        <v>269</v>
      </c>
      <c r="D217" s="4">
        <v>121</v>
      </c>
      <c r="E217" s="4">
        <v>57</v>
      </c>
      <c r="G217">
        <f t="shared" si="3"/>
        <v>512</v>
      </c>
    </row>
    <row r="218" spans="1:7" ht="15" hidden="1" x14ac:dyDescent="0.25">
      <c r="B218" s="4">
        <v>584631851</v>
      </c>
      <c r="C218" s="4" t="s">
        <v>269</v>
      </c>
      <c r="D218" s="4">
        <v>122</v>
      </c>
      <c r="E218" s="4">
        <v>57</v>
      </c>
      <c r="G218">
        <f t="shared" si="3"/>
        <v>512</v>
      </c>
    </row>
    <row r="219" spans="1:7" ht="15" hidden="1" x14ac:dyDescent="0.25">
      <c r="B219" s="4">
        <v>584631852</v>
      </c>
      <c r="C219" s="4" t="s">
        <v>269</v>
      </c>
      <c r="D219" s="4">
        <v>123</v>
      </c>
      <c r="E219" s="4">
        <v>57</v>
      </c>
      <c r="G219">
        <f t="shared" si="3"/>
        <v>512</v>
      </c>
    </row>
    <row r="220" spans="1:7" ht="15" hidden="1" x14ac:dyDescent="0.25">
      <c r="B220" s="4">
        <v>584631853</v>
      </c>
      <c r="C220" s="4" t="s">
        <v>269</v>
      </c>
      <c r="D220" s="4">
        <v>124</v>
      </c>
      <c r="E220" s="4">
        <v>57</v>
      </c>
      <c r="G220">
        <f t="shared" si="3"/>
        <v>512</v>
      </c>
    </row>
    <row r="221" spans="1:7" ht="15" hidden="1" x14ac:dyDescent="0.25">
      <c r="B221" s="4">
        <v>584631854</v>
      </c>
      <c r="C221" s="4" t="s">
        <v>269</v>
      </c>
      <c r="D221" s="4">
        <v>125</v>
      </c>
      <c r="E221" s="4">
        <v>57</v>
      </c>
      <c r="G221">
        <f t="shared" si="3"/>
        <v>512</v>
      </c>
    </row>
    <row r="222" spans="1:7" ht="15" hidden="1" x14ac:dyDescent="0.25">
      <c r="B222" s="4">
        <v>584631855</v>
      </c>
      <c r="C222" s="4" t="s">
        <v>269</v>
      </c>
      <c r="D222" s="4">
        <v>126</v>
      </c>
      <c r="E222" s="4">
        <v>57</v>
      </c>
      <c r="G222">
        <f t="shared" si="3"/>
        <v>512</v>
      </c>
    </row>
    <row r="223" spans="1:7" ht="15" hidden="1" x14ac:dyDescent="0.25">
      <c r="B223" s="4">
        <v>584631856</v>
      </c>
      <c r="C223" s="4" t="s">
        <v>269</v>
      </c>
      <c r="D223" s="4">
        <v>127</v>
      </c>
      <c r="E223" s="4">
        <v>57</v>
      </c>
      <c r="G223">
        <f t="shared" si="3"/>
        <v>512</v>
      </c>
    </row>
    <row r="224" spans="1:7" ht="15" hidden="1" x14ac:dyDescent="0.25">
      <c r="B224" s="4">
        <v>584631857</v>
      </c>
      <c r="C224" s="4" t="s">
        <v>269</v>
      </c>
      <c r="D224" s="4">
        <v>128</v>
      </c>
      <c r="E224" s="4">
        <v>57</v>
      </c>
      <c r="G224">
        <f t="shared" si="3"/>
        <v>512</v>
      </c>
    </row>
    <row r="225" spans="2:7" ht="15" hidden="1" x14ac:dyDescent="0.25">
      <c r="B225" s="4">
        <v>584631858</v>
      </c>
      <c r="C225" s="4" t="s">
        <v>269</v>
      </c>
      <c r="D225" s="4">
        <v>129</v>
      </c>
      <c r="E225" s="4">
        <v>57</v>
      </c>
      <c r="G225">
        <f t="shared" si="3"/>
        <v>512</v>
      </c>
    </row>
    <row r="226" spans="2:7" ht="15" hidden="1" x14ac:dyDescent="0.25">
      <c r="B226" s="4">
        <v>584631858</v>
      </c>
      <c r="C226" s="4" t="s">
        <v>272</v>
      </c>
      <c r="D226" s="4">
        <v>1</v>
      </c>
      <c r="E226" s="4">
        <v>207</v>
      </c>
      <c r="G226">
        <f t="shared" si="3"/>
        <v>1712</v>
      </c>
    </row>
    <row r="227" spans="2:7" ht="15" hidden="1" x14ac:dyDescent="0.25">
      <c r="B227" s="4">
        <v>584631859</v>
      </c>
      <c r="C227" s="4" t="s">
        <v>269</v>
      </c>
      <c r="D227" s="4">
        <v>130</v>
      </c>
      <c r="E227" s="4">
        <v>57</v>
      </c>
      <c r="G227">
        <f t="shared" si="3"/>
        <v>512</v>
      </c>
    </row>
    <row r="228" spans="2:7" ht="15" hidden="1" x14ac:dyDescent="0.25">
      <c r="B228" s="4">
        <v>584631860</v>
      </c>
      <c r="C228" s="4" t="s">
        <v>268</v>
      </c>
      <c r="D228" s="4">
        <v>122</v>
      </c>
      <c r="E228" s="4">
        <v>6</v>
      </c>
      <c r="G228">
        <f t="shared" si="3"/>
        <v>104</v>
      </c>
    </row>
    <row r="229" spans="2:7" ht="15" hidden="1" x14ac:dyDescent="0.25">
      <c r="B229" s="4">
        <v>584631860</v>
      </c>
      <c r="C229" s="4" t="s">
        <v>268</v>
      </c>
      <c r="D229" s="4">
        <v>122</v>
      </c>
      <c r="E229" s="4">
        <v>6</v>
      </c>
      <c r="G229">
        <f t="shared" si="3"/>
        <v>104</v>
      </c>
    </row>
    <row r="230" spans="2:7" ht="15" hidden="1" x14ac:dyDescent="0.25">
      <c r="B230" s="4">
        <v>584631860</v>
      </c>
      <c r="C230" s="4" t="s">
        <v>268</v>
      </c>
      <c r="D230" s="4">
        <v>123</v>
      </c>
      <c r="E230" s="4">
        <v>9</v>
      </c>
      <c r="G230">
        <f t="shared" si="3"/>
        <v>128</v>
      </c>
    </row>
    <row r="231" spans="2:7" ht="15" hidden="1" x14ac:dyDescent="0.25">
      <c r="B231" s="4">
        <v>584631860</v>
      </c>
      <c r="C231" s="4" t="s">
        <v>268</v>
      </c>
      <c r="D231" s="4">
        <v>123</v>
      </c>
      <c r="E231" s="4">
        <v>9</v>
      </c>
      <c r="G231">
        <f t="shared" si="3"/>
        <v>128</v>
      </c>
    </row>
    <row r="232" spans="2:7" ht="15" hidden="1" x14ac:dyDescent="0.25">
      <c r="B232" s="4">
        <v>584631860</v>
      </c>
      <c r="C232" s="4" t="s">
        <v>268</v>
      </c>
      <c r="D232" s="4">
        <v>124</v>
      </c>
      <c r="E232" s="4">
        <v>7</v>
      </c>
      <c r="G232">
        <f t="shared" si="3"/>
        <v>112</v>
      </c>
    </row>
    <row r="233" spans="2:7" ht="15" hidden="1" x14ac:dyDescent="0.25">
      <c r="B233" s="4">
        <v>584631860</v>
      </c>
      <c r="C233" s="4" t="s">
        <v>268</v>
      </c>
      <c r="D233" s="4">
        <v>124</v>
      </c>
      <c r="E233" s="4">
        <v>7</v>
      </c>
      <c r="G233">
        <f t="shared" si="3"/>
        <v>112</v>
      </c>
    </row>
    <row r="234" spans="2:7" ht="15" hidden="1" x14ac:dyDescent="0.25">
      <c r="B234" s="4">
        <v>584631860</v>
      </c>
      <c r="C234" s="4" t="s">
        <v>268</v>
      </c>
      <c r="D234" s="4">
        <v>125</v>
      </c>
      <c r="E234" s="4">
        <v>7</v>
      </c>
      <c r="G234">
        <f t="shared" si="3"/>
        <v>112</v>
      </c>
    </row>
    <row r="235" spans="2:7" ht="15" hidden="1" x14ac:dyDescent="0.25">
      <c r="B235" s="4">
        <v>584631860</v>
      </c>
      <c r="C235" s="4" t="s">
        <v>268</v>
      </c>
      <c r="D235" s="4">
        <v>125</v>
      </c>
      <c r="E235" s="4">
        <v>7</v>
      </c>
      <c r="G235">
        <f t="shared" si="3"/>
        <v>112</v>
      </c>
    </row>
    <row r="236" spans="2:7" ht="15" hidden="1" x14ac:dyDescent="0.25">
      <c r="B236" s="4">
        <v>584631860</v>
      </c>
      <c r="C236" s="4" t="s">
        <v>268</v>
      </c>
      <c r="D236" s="4">
        <v>126</v>
      </c>
      <c r="E236" s="4">
        <v>7</v>
      </c>
      <c r="G236">
        <f t="shared" si="3"/>
        <v>112</v>
      </c>
    </row>
    <row r="237" spans="2:7" ht="15" hidden="1" x14ac:dyDescent="0.25">
      <c r="B237" s="4">
        <v>584631860</v>
      </c>
      <c r="C237" s="4" t="s">
        <v>268</v>
      </c>
      <c r="D237" s="4">
        <v>126</v>
      </c>
      <c r="E237" s="4">
        <v>7</v>
      </c>
      <c r="G237">
        <f t="shared" si="3"/>
        <v>112</v>
      </c>
    </row>
    <row r="238" spans="2:7" ht="15" hidden="1" x14ac:dyDescent="0.25">
      <c r="B238" s="4">
        <v>584631860</v>
      </c>
      <c r="C238" s="4" t="s">
        <v>269</v>
      </c>
      <c r="D238" s="4">
        <v>131</v>
      </c>
      <c r="E238" s="4">
        <v>57</v>
      </c>
      <c r="G238">
        <f t="shared" si="3"/>
        <v>512</v>
      </c>
    </row>
    <row r="239" spans="2:7" ht="15" hidden="1" x14ac:dyDescent="0.25">
      <c r="B239" s="4">
        <v>584631861</v>
      </c>
      <c r="C239" s="4" t="s">
        <v>269</v>
      </c>
      <c r="D239" s="4">
        <v>132</v>
      </c>
      <c r="E239" s="4">
        <v>57</v>
      </c>
      <c r="G239">
        <f t="shared" si="3"/>
        <v>512</v>
      </c>
    </row>
    <row r="240" spans="2:7" ht="15" hidden="1" x14ac:dyDescent="0.25">
      <c r="B240" s="4">
        <v>584631862</v>
      </c>
      <c r="C240" s="4" t="s">
        <v>268</v>
      </c>
      <c r="D240" s="4">
        <v>127</v>
      </c>
      <c r="E240" s="4">
        <v>7</v>
      </c>
      <c r="G240">
        <f t="shared" si="3"/>
        <v>112</v>
      </c>
    </row>
    <row r="241" spans="2:7" ht="15" hidden="1" x14ac:dyDescent="0.25">
      <c r="B241" s="4">
        <v>584631862</v>
      </c>
      <c r="C241" s="4" t="s">
        <v>268</v>
      </c>
      <c r="D241" s="4">
        <v>127</v>
      </c>
      <c r="E241" s="4">
        <v>7</v>
      </c>
      <c r="G241">
        <f t="shared" si="3"/>
        <v>112</v>
      </c>
    </row>
    <row r="242" spans="2:7" ht="15" hidden="1" x14ac:dyDescent="0.25">
      <c r="B242" s="4">
        <v>584631862</v>
      </c>
      <c r="C242" s="4" t="s">
        <v>268</v>
      </c>
      <c r="D242" s="4">
        <v>128</v>
      </c>
      <c r="E242" s="4">
        <v>5</v>
      </c>
      <c r="G242">
        <f t="shared" si="3"/>
        <v>96</v>
      </c>
    </row>
    <row r="243" spans="2:7" ht="15" hidden="1" x14ac:dyDescent="0.25">
      <c r="B243" s="4">
        <v>584631862</v>
      </c>
      <c r="C243" s="4" t="s">
        <v>268</v>
      </c>
      <c r="D243" s="4">
        <v>128</v>
      </c>
      <c r="E243" s="4">
        <v>5</v>
      </c>
      <c r="G243">
        <f t="shared" si="3"/>
        <v>96</v>
      </c>
    </row>
    <row r="244" spans="2:7" ht="15" hidden="1" x14ac:dyDescent="0.25">
      <c r="B244" s="4">
        <v>584631862</v>
      </c>
      <c r="C244" s="4" t="s">
        <v>268</v>
      </c>
      <c r="D244" s="4">
        <v>129</v>
      </c>
      <c r="E244" s="4">
        <v>7</v>
      </c>
      <c r="G244">
        <f t="shared" si="3"/>
        <v>112</v>
      </c>
    </row>
    <row r="245" spans="2:7" ht="15" hidden="1" x14ac:dyDescent="0.25">
      <c r="B245" s="4">
        <v>584631862</v>
      </c>
      <c r="C245" s="4" t="s">
        <v>268</v>
      </c>
      <c r="D245" s="4">
        <v>129</v>
      </c>
      <c r="E245" s="4">
        <v>7</v>
      </c>
      <c r="G245">
        <f t="shared" si="3"/>
        <v>112</v>
      </c>
    </row>
    <row r="246" spans="2:7" ht="15" hidden="1" x14ac:dyDescent="0.25">
      <c r="B246" s="4">
        <v>584631862</v>
      </c>
      <c r="C246" s="4" t="s">
        <v>269</v>
      </c>
      <c r="D246" s="4">
        <v>133</v>
      </c>
      <c r="E246" s="4">
        <v>57</v>
      </c>
      <c r="G246">
        <f t="shared" si="3"/>
        <v>512</v>
      </c>
    </row>
    <row r="247" spans="2:7" ht="15" hidden="1" x14ac:dyDescent="0.25">
      <c r="B247" s="4">
        <v>584631863</v>
      </c>
      <c r="C247" s="4" t="s">
        <v>269</v>
      </c>
      <c r="D247" s="4">
        <v>134</v>
      </c>
      <c r="E247" s="4">
        <v>57</v>
      </c>
      <c r="G247">
        <f t="shared" si="3"/>
        <v>512</v>
      </c>
    </row>
    <row r="248" spans="2:7" ht="15" hidden="1" x14ac:dyDescent="0.25">
      <c r="B248" s="4">
        <v>584631864</v>
      </c>
      <c r="C248" s="4" t="s">
        <v>269</v>
      </c>
      <c r="D248" s="4">
        <v>135</v>
      </c>
      <c r="E248" s="4">
        <v>57</v>
      </c>
      <c r="G248">
        <f t="shared" si="3"/>
        <v>512</v>
      </c>
    </row>
    <row r="249" spans="2:7" ht="15" hidden="1" x14ac:dyDescent="0.25">
      <c r="B249" s="4">
        <v>584631865</v>
      </c>
      <c r="C249" s="4" t="s">
        <v>269</v>
      </c>
      <c r="D249" s="4">
        <v>136</v>
      </c>
      <c r="E249" s="4">
        <v>57</v>
      </c>
      <c r="G249">
        <f t="shared" si="3"/>
        <v>512</v>
      </c>
    </row>
    <row r="250" spans="2:7" ht="15" hidden="1" x14ac:dyDescent="0.25">
      <c r="B250" s="4">
        <v>584631866</v>
      </c>
      <c r="C250" s="4" t="s">
        <v>269</v>
      </c>
      <c r="D250" s="4">
        <v>137</v>
      </c>
      <c r="E250" s="4">
        <v>57</v>
      </c>
      <c r="G250">
        <f t="shared" si="3"/>
        <v>512</v>
      </c>
    </row>
    <row r="251" spans="2:7" ht="15" hidden="1" x14ac:dyDescent="0.25">
      <c r="B251" s="4">
        <v>584631867</v>
      </c>
      <c r="C251" s="4" t="s">
        <v>269</v>
      </c>
      <c r="D251" s="4">
        <v>138</v>
      </c>
      <c r="E251" s="4">
        <v>57</v>
      </c>
      <c r="G251">
        <f t="shared" si="3"/>
        <v>512</v>
      </c>
    </row>
    <row r="252" spans="2:7" ht="15" hidden="1" x14ac:dyDescent="0.25">
      <c r="B252" s="4">
        <v>584631868</v>
      </c>
      <c r="C252" s="4" t="s">
        <v>269</v>
      </c>
      <c r="D252" s="4">
        <v>139</v>
      </c>
      <c r="E252" s="4">
        <v>57</v>
      </c>
      <c r="G252">
        <f t="shared" si="3"/>
        <v>512</v>
      </c>
    </row>
    <row r="253" spans="2:7" ht="15" hidden="1" x14ac:dyDescent="0.25">
      <c r="B253" s="4">
        <v>584631868</v>
      </c>
      <c r="C253" s="4" t="s">
        <v>272</v>
      </c>
      <c r="D253" s="4">
        <v>2</v>
      </c>
      <c r="E253" s="4">
        <v>209</v>
      </c>
      <c r="G253">
        <f t="shared" si="3"/>
        <v>1728</v>
      </c>
    </row>
    <row r="254" spans="2:7" ht="15" hidden="1" x14ac:dyDescent="0.25">
      <c r="B254" s="4">
        <v>584631869</v>
      </c>
      <c r="C254" s="4" t="s">
        <v>269</v>
      </c>
      <c r="D254" s="4">
        <v>140</v>
      </c>
      <c r="E254" s="4">
        <v>57</v>
      </c>
      <c r="G254">
        <f t="shared" si="3"/>
        <v>512</v>
      </c>
    </row>
    <row r="255" spans="2:7" ht="15" hidden="1" x14ac:dyDescent="0.25">
      <c r="B255" s="4">
        <v>584631870</v>
      </c>
      <c r="C255" s="4" t="s">
        <v>269</v>
      </c>
      <c r="D255" s="4">
        <v>141</v>
      </c>
      <c r="E255" s="4">
        <v>57</v>
      </c>
      <c r="G255">
        <f t="shared" si="3"/>
        <v>512</v>
      </c>
    </row>
    <row r="256" spans="2:7" ht="15" hidden="1" x14ac:dyDescent="0.25">
      <c r="B256" s="4">
        <v>584631871</v>
      </c>
      <c r="C256" s="4" t="s">
        <v>269</v>
      </c>
      <c r="D256" s="4">
        <v>142</v>
      </c>
      <c r="E256" s="4">
        <v>57</v>
      </c>
      <c r="G256">
        <f t="shared" si="3"/>
        <v>512</v>
      </c>
    </row>
    <row r="257" spans="2:7" ht="15" hidden="1" x14ac:dyDescent="0.25">
      <c r="B257" s="4">
        <v>584631872</v>
      </c>
      <c r="C257" s="4" t="s">
        <v>269</v>
      </c>
      <c r="D257" s="4">
        <v>143</v>
      </c>
      <c r="E257" s="4">
        <v>57</v>
      </c>
      <c r="G257">
        <f t="shared" si="3"/>
        <v>512</v>
      </c>
    </row>
    <row r="258" spans="2:7" ht="15" hidden="1" x14ac:dyDescent="0.25">
      <c r="B258" s="4">
        <v>584631873</v>
      </c>
      <c r="C258" s="4" t="s">
        <v>269</v>
      </c>
      <c r="D258" s="4">
        <v>144</v>
      </c>
      <c r="E258" s="4">
        <v>57</v>
      </c>
      <c r="G258">
        <f t="shared" si="3"/>
        <v>512</v>
      </c>
    </row>
    <row r="259" spans="2:7" ht="15" hidden="1" x14ac:dyDescent="0.25">
      <c r="B259" s="4">
        <v>584631874</v>
      </c>
      <c r="C259" s="4" t="s">
        <v>269</v>
      </c>
      <c r="D259" s="4">
        <v>145</v>
      </c>
      <c r="E259" s="4">
        <v>57</v>
      </c>
      <c r="G259">
        <f t="shared" si="3"/>
        <v>512</v>
      </c>
    </row>
    <row r="260" spans="2:7" ht="15" hidden="1" x14ac:dyDescent="0.25">
      <c r="B260" s="4">
        <v>584631875</v>
      </c>
      <c r="C260" s="4" t="s">
        <v>269</v>
      </c>
      <c r="D260" s="4">
        <v>146</v>
      </c>
      <c r="E260" s="4">
        <v>57</v>
      </c>
      <c r="G260">
        <f t="shared" ref="G260:G323" si="4">(E260+7)*8</f>
        <v>512</v>
      </c>
    </row>
    <row r="261" spans="2:7" ht="15" hidden="1" x14ac:dyDescent="0.25">
      <c r="B261" s="4">
        <v>584631876</v>
      </c>
      <c r="C261" s="4" t="s">
        <v>269</v>
      </c>
      <c r="D261" s="4">
        <v>147</v>
      </c>
      <c r="E261" s="4">
        <v>57</v>
      </c>
      <c r="G261">
        <f t="shared" si="4"/>
        <v>512</v>
      </c>
    </row>
    <row r="262" spans="2:7" ht="15" hidden="1" x14ac:dyDescent="0.25">
      <c r="B262" s="4">
        <v>584631877</v>
      </c>
      <c r="C262" s="4" t="s">
        <v>269</v>
      </c>
      <c r="D262" s="4">
        <v>148</v>
      </c>
      <c r="E262" s="4">
        <v>57</v>
      </c>
      <c r="G262">
        <f t="shared" si="4"/>
        <v>512</v>
      </c>
    </row>
    <row r="263" spans="2:7" ht="15" hidden="1" x14ac:dyDescent="0.25">
      <c r="B263" s="4">
        <v>584631878</v>
      </c>
      <c r="C263" s="4" t="s">
        <v>269</v>
      </c>
      <c r="D263" s="4">
        <v>149</v>
      </c>
      <c r="E263" s="4">
        <v>57</v>
      </c>
      <c r="G263">
        <f t="shared" si="4"/>
        <v>512</v>
      </c>
    </row>
    <row r="264" spans="2:7" ht="15" hidden="1" x14ac:dyDescent="0.25">
      <c r="B264" s="4">
        <v>584631878</v>
      </c>
      <c r="C264" s="4" t="s">
        <v>272</v>
      </c>
      <c r="D264" s="4">
        <v>3</v>
      </c>
      <c r="E264" s="4">
        <v>211</v>
      </c>
      <c r="G264">
        <f t="shared" si="4"/>
        <v>1744</v>
      </c>
    </row>
    <row r="265" spans="2:7" ht="15" hidden="1" x14ac:dyDescent="0.25">
      <c r="B265" s="4">
        <v>584631879</v>
      </c>
      <c r="C265" s="4" t="s">
        <v>269</v>
      </c>
      <c r="D265" s="4">
        <v>150</v>
      </c>
      <c r="E265" s="4">
        <v>57</v>
      </c>
      <c r="G265">
        <f t="shared" si="4"/>
        <v>512</v>
      </c>
    </row>
    <row r="266" spans="2:7" ht="15" hidden="1" x14ac:dyDescent="0.25">
      <c r="B266" s="4">
        <v>584631880</v>
      </c>
      <c r="C266" s="4" t="s">
        <v>269</v>
      </c>
      <c r="D266" s="4">
        <v>151</v>
      </c>
      <c r="E266" s="4">
        <v>57</v>
      </c>
      <c r="G266">
        <f t="shared" si="4"/>
        <v>512</v>
      </c>
    </row>
    <row r="267" spans="2:7" ht="15" hidden="1" x14ac:dyDescent="0.25">
      <c r="B267" s="4">
        <v>584631881</v>
      </c>
      <c r="C267" s="4" t="s">
        <v>269</v>
      </c>
      <c r="D267" s="4">
        <v>152</v>
      </c>
      <c r="E267" s="4">
        <v>57</v>
      </c>
      <c r="G267">
        <f t="shared" si="4"/>
        <v>512</v>
      </c>
    </row>
    <row r="268" spans="2:7" ht="15" hidden="1" x14ac:dyDescent="0.25">
      <c r="B268" s="4">
        <v>584631882</v>
      </c>
      <c r="C268" s="4" t="s">
        <v>269</v>
      </c>
      <c r="D268" s="4">
        <v>153</v>
      </c>
      <c r="E268" s="4">
        <v>57</v>
      </c>
      <c r="G268">
        <f t="shared" si="4"/>
        <v>512</v>
      </c>
    </row>
    <row r="269" spans="2:7" ht="15" hidden="1" x14ac:dyDescent="0.25">
      <c r="B269" s="4">
        <v>584631883</v>
      </c>
      <c r="C269" s="4" t="s">
        <v>269</v>
      </c>
      <c r="D269" s="4">
        <v>154</v>
      </c>
      <c r="E269" s="4">
        <v>57</v>
      </c>
      <c r="G269">
        <f t="shared" si="4"/>
        <v>512</v>
      </c>
    </row>
    <row r="270" spans="2:7" ht="15" hidden="1" x14ac:dyDescent="0.25">
      <c r="B270" s="4">
        <v>584631884</v>
      </c>
      <c r="C270" s="4" t="s">
        <v>269</v>
      </c>
      <c r="D270" s="4">
        <v>155</v>
      </c>
      <c r="E270" s="4">
        <v>57</v>
      </c>
      <c r="G270">
        <f t="shared" si="4"/>
        <v>512</v>
      </c>
    </row>
    <row r="271" spans="2:7" ht="15" hidden="1" x14ac:dyDescent="0.25">
      <c r="B271" s="4">
        <v>584631885</v>
      </c>
      <c r="C271" s="4" t="s">
        <v>269</v>
      </c>
      <c r="D271" s="4">
        <v>156</v>
      </c>
      <c r="E271" s="4">
        <v>57</v>
      </c>
      <c r="G271">
        <f t="shared" si="4"/>
        <v>512</v>
      </c>
    </row>
    <row r="272" spans="2:7" ht="15" hidden="1" x14ac:dyDescent="0.25">
      <c r="B272" s="4">
        <v>584631886</v>
      </c>
      <c r="C272" s="4" t="s">
        <v>269</v>
      </c>
      <c r="D272" s="4">
        <v>157</v>
      </c>
      <c r="E272" s="4">
        <v>57</v>
      </c>
      <c r="G272">
        <f t="shared" si="4"/>
        <v>512</v>
      </c>
    </row>
    <row r="273" spans="2:7" ht="15" hidden="1" x14ac:dyDescent="0.25">
      <c r="B273" s="4">
        <v>584631887</v>
      </c>
      <c r="C273" s="4" t="s">
        <v>269</v>
      </c>
      <c r="D273" s="4">
        <v>158</v>
      </c>
      <c r="E273" s="4">
        <v>57</v>
      </c>
      <c r="G273">
        <f t="shared" si="4"/>
        <v>512</v>
      </c>
    </row>
    <row r="274" spans="2:7" ht="15" hidden="1" x14ac:dyDescent="0.25">
      <c r="B274" s="4">
        <v>584631888</v>
      </c>
      <c r="C274" s="4" t="s">
        <v>269</v>
      </c>
      <c r="D274" s="4">
        <v>159</v>
      </c>
      <c r="E274" s="4">
        <v>57</v>
      </c>
      <c r="G274">
        <f t="shared" si="4"/>
        <v>512</v>
      </c>
    </row>
    <row r="275" spans="2:7" ht="15" hidden="1" x14ac:dyDescent="0.25">
      <c r="B275" s="4">
        <v>584631888</v>
      </c>
      <c r="C275" s="4" t="s">
        <v>272</v>
      </c>
      <c r="D275" s="4">
        <v>4</v>
      </c>
      <c r="E275" s="4">
        <v>211</v>
      </c>
      <c r="G275">
        <f t="shared" si="4"/>
        <v>1744</v>
      </c>
    </row>
    <row r="276" spans="2:7" ht="15" hidden="1" x14ac:dyDescent="0.25">
      <c r="B276" s="4">
        <v>584631889</v>
      </c>
      <c r="C276" s="4" t="s">
        <v>269</v>
      </c>
      <c r="D276" s="4">
        <v>160</v>
      </c>
      <c r="E276" s="4">
        <v>57</v>
      </c>
      <c r="G276">
        <f t="shared" si="4"/>
        <v>512</v>
      </c>
    </row>
    <row r="277" spans="2:7" ht="15" hidden="1" x14ac:dyDescent="0.25">
      <c r="B277" s="4">
        <v>584631890</v>
      </c>
      <c r="C277" s="4" t="s">
        <v>269</v>
      </c>
      <c r="D277" s="4">
        <v>161</v>
      </c>
      <c r="E277" s="4">
        <v>57</v>
      </c>
      <c r="G277">
        <f t="shared" si="4"/>
        <v>512</v>
      </c>
    </row>
    <row r="278" spans="2:7" ht="15" hidden="1" x14ac:dyDescent="0.25">
      <c r="B278" s="4">
        <v>584631891</v>
      </c>
      <c r="C278" s="4" t="s">
        <v>269</v>
      </c>
      <c r="D278" s="4">
        <v>162</v>
      </c>
      <c r="E278" s="4">
        <v>57</v>
      </c>
      <c r="G278">
        <f t="shared" si="4"/>
        <v>512</v>
      </c>
    </row>
    <row r="279" spans="2:7" ht="15" hidden="1" x14ac:dyDescent="0.25">
      <c r="B279" s="4">
        <v>584631892</v>
      </c>
      <c r="C279" s="4" t="s">
        <v>268</v>
      </c>
      <c r="D279" s="4">
        <v>130</v>
      </c>
      <c r="E279" s="4">
        <v>6</v>
      </c>
      <c r="G279">
        <f t="shared" si="4"/>
        <v>104</v>
      </c>
    </row>
    <row r="280" spans="2:7" ht="15" hidden="1" x14ac:dyDescent="0.25">
      <c r="B280" s="4">
        <v>584631892</v>
      </c>
      <c r="C280" s="4" t="s">
        <v>268</v>
      </c>
      <c r="D280" s="4">
        <v>130</v>
      </c>
      <c r="E280" s="4">
        <v>6</v>
      </c>
      <c r="G280">
        <f t="shared" si="4"/>
        <v>104</v>
      </c>
    </row>
    <row r="281" spans="2:7" ht="15" hidden="1" x14ac:dyDescent="0.25">
      <c r="B281" s="4">
        <v>584631892</v>
      </c>
      <c r="C281" s="4" t="s">
        <v>268</v>
      </c>
      <c r="D281" s="4">
        <v>131</v>
      </c>
      <c r="E281" s="4">
        <v>9</v>
      </c>
      <c r="G281">
        <f t="shared" si="4"/>
        <v>128</v>
      </c>
    </row>
    <row r="282" spans="2:7" ht="15" hidden="1" x14ac:dyDescent="0.25">
      <c r="B282" s="4">
        <v>584631892</v>
      </c>
      <c r="C282" s="4" t="s">
        <v>268</v>
      </c>
      <c r="D282" s="4">
        <v>131</v>
      </c>
      <c r="E282" s="4">
        <v>9</v>
      </c>
      <c r="G282">
        <f t="shared" si="4"/>
        <v>128</v>
      </c>
    </row>
    <row r="283" spans="2:7" ht="15" hidden="1" x14ac:dyDescent="0.25">
      <c r="B283" s="4">
        <v>584631892</v>
      </c>
      <c r="C283" s="4" t="s">
        <v>268</v>
      </c>
      <c r="D283" s="4">
        <v>132</v>
      </c>
      <c r="E283" s="4">
        <v>7</v>
      </c>
      <c r="G283">
        <f t="shared" si="4"/>
        <v>112</v>
      </c>
    </row>
    <row r="284" spans="2:7" ht="15" hidden="1" x14ac:dyDescent="0.25">
      <c r="B284" s="4">
        <v>584631892</v>
      </c>
      <c r="C284" s="4" t="s">
        <v>268</v>
      </c>
      <c r="D284" s="4">
        <v>132</v>
      </c>
      <c r="E284" s="4">
        <v>7</v>
      </c>
      <c r="G284">
        <f t="shared" si="4"/>
        <v>112</v>
      </c>
    </row>
    <row r="285" spans="2:7" ht="15" hidden="1" x14ac:dyDescent="0.25">
      <c r="B285" s="4">
        <v>584631892</v>
      </c>
      <c r="C285" s="4" t="s">
        <v>268</v>
      </c>
      <c r="D285" s="4">
        <v>133</v>
      </c>
      <c r="E285" s="4">
        <v>7</v>
      </c>
      <c r="G285">
        <f t="shared" si="4"/>
        <v>112</v>
      </c>
    </row>
    <row r="286" spans="2:7" ht="15" hidden="1" x14ac:dyDescent="0.25">
      <c r="B286" s="4">
        <v>584631892</v>
      </c>
      <c r="C286" s="4" t="s">
        <v>268</v>
      </c>
      <c r="D286" s="4">
        <v>133</v>
      </c>
      <c r="E286" s="4">
        <v>7</v>
      </c>
      <c r="G286">
        <f t="shared" si="4"/>
        <v>112</v>
      </c>
    </row>
    <row r="287" spans="2:7" ht="15" hidden="1" x14ac:dyDescent="0.25">
      <c r="B287" s="4">
        <v>584631892</v>
      </c>
      <c r="C287" s="4" t="s">
        <v>268</v>
      </c>
      <c r="D287" s="4">
        <v>134</v>
      </c>
      <c r="E287" s="4">
        <v>7</v>
      </c>
      <c r="G287">
        <f t="shared" si="4"/>
        <v>112</v>
      </c>
    </row>
    <row r="288" spans="2:7" ht="15" hidden="1" x14ac:dyDescent="0.25">
      <c r="B288" s="4">
        <v>584631892</v>
      </c>
      <c r="C288" s="4" t="s">
        <v>268</v>
      </c>
      <c r="D288" s="4">
        <v>134</v>
      </c>
      <c r="E288" s="4">
        <v>7</v>
      </c>
      <c r="G288">
        <f t="shared" si="4"/>
        <v>112</v>
      </c>
    </row>
    <row r="289" spans="2:7" ht="15" hidden="1" x14ac:dyDescent="0.25">
      <c r="B289" s="4">
        <v>584631892</v>
      </c>
      <c r="C289" s="4" t="s">
        <v>269</v>
      </c>
      <c r="D289" s="4">
        <v>163</v>
      </c>
      <c r="E289" s="4">
        <v>57</v>
      </c>
      <c r="G289">
        <f t="shared" si="4"/>
        <v>512</v>
      </c>
    </row>
    <row r="290" spans="2:7" ht="15" hidden="1" x14ac:dyDescent="0.25">
      <c r="B290" s="4">
        <v>584631893</v>
      </c>
      <c r="C290" s="4" t="s">
        <v>269</v>
      </c>
      <c r="D290" s="4">
        <v>164</v>
      </c>
      <c r="E290" s="4">
        <v>57</v>
      </c>
      <c r="G290">
        <f t="shared" si="4"/>
        <v>512</v>
      </c>
    </row>
    <row r="291" spans="2:7" ht="15" hidden="1" x14ac:dyDescent="0.25">
      <c r="B291" s="4">
        <v>584631894</v>
      </c>
      <c r="C291" s="4" t="s">
        <v>268</v>
      </c>
      <c r="D291" s="4">
        <v>135</v>
      </c>
      <c r="E291" s="4">
        <v>7</v>
      </c>
      <c r="G291">
        <f t="shared" si="4"/>
        <v>112</v>
      </c>
    </row>
    <row r="292" spans="2:7" ht="15" hidden="1" x14ac:dyDescent="0.25">
      <c r="B292" s="4">
        <v>584631894</v>
      </c>
      <c r="C292" s="4" t="s">
        <v>268</v>
      </c>
      <c r="D292" s="4">
        <v>135</v>
      </c>
      <c r="E292" s="4">
        <v>7</v>
      </c>
      <c r="G292">
        <f t="shared" si="4"/>
        <v>112</v>
      </c>
    </row>
    <row r="293" spans="2:7" ht="15" hidden="1" x14ac:dyDescent="0.25">
      <c r="B293" s="4">
        <v>584631894</v>
      </c>
      <c r="C293" s="4" t="s">
        <v>268</v>
      </c>
      <c r="D293" s="4">
        <v>136</v>
      </c>
      <c r="E293" s="4">
        <v>5</v>
      </c>
      <c r="G293">
        <f t="shared" si="4"/>
        <v>96</v>
      </c>
    </row>
    <row r="294" spans="2:7" ht="15" hidden="1" x14ac:dyDescent="0.25">
      <c r="B294" s="4">
        <v>584631894</v>
      </c>
      <c r="C294" s="4" t="s">
        <v>268</v>
      </c>
      <c r="D294" s="4">
        <v>136</v>
      </c>
      <c r="E294" s="4">
        <v>5</v>
      </c>
      <c r="G294">
        <f t="shared" si="4"/>
        <v>96</v>
      </c>
    </row>
    <row r="295" spans="2:7" ht="15" hidden="1" x14ac:dyDescent="0.25">
      <c r="B295" s="4">
        <v>584631894</v>
      </c>
      <c r="C295" s="4" t="s">
        <v>268</v>
      </c>
      <c r="D295" s="4">
        <v>137</v>
      </c>
      <c r="E295" s="4">
        <v>7</v>
      </c>
      <c r="G295">
        <f t="shared" si="4"/>
        <v>112</v>
      </c>
    </row>
    <row r="296" spans="2:7" ht="15" hidden="1" x14ac:dyDescent="0.25">
      <c r="B296" s="4">
        <v>584631894</v>
      </c>
      <c r="C296" s="4" t="s">
        <v>268</v>
      </c>
      <c r="D296" s="4">
        <v>137</v>
      </c>
      <c r="E296" s="4">
        <v>7</v>
      </c>
      <c r="G296">
        <f t="shared" si="4"/>
        <v>112</v>
      </c>
    </row>
    <row r="297" spans="2:7" ht="15" hidden="1" x14ac:dyDescent="0.25">
      <c r="B297" s="4">
        <v>584631894</v>
      </c>
      <c r="C297" s="4" t="s">
        <v>269</v>
      </c>
      <c r="D297" s="4">
        <v>165</v>
      </c>
      <c r="E297" s="4">
        <v>57</v>
      </c>
      <c r="G297">
        <f t="shared" si="4"/>
        <v>512</v>
      </c>
    </row>
    <row r="298" spans="2:7" ht="15" hidden="1" x14ac:dyDescent="0.25">
      <c r="B298" s="4">
        <v>584631895</v>
      </c>
      <c r="C298" s="4" t="s">
        <v>269</v>
      </c>
      <c r="D298" s="4">
        <v>166</v>
      </c>
      <c r="E298" s="4">
        <v>57</v>
      </c>
      <c r="G298">
        <f t="shared" si="4"/>
        <v>512</v>
      </c>
    </row>
    <row r="299" spans="2:7" ht="15" hidden="1" x14ac:dyDescent="0.25">
      <c r="B299" s="4">
        <v>584631896</v>
      </c>
      <c r="C299" s="4" t="s">
        <v>269</v>
      </c>
      <c r="D299" s="4">
        <v>167</v>
      </c>
      <c r="E299" s="4">
        <v>57</v>
      </c>
      <c r="G299">
        <f t="shared" si="4"/>
        <v>512</v>
      </c>
    </row>
    <row r="300" spans="2:7" ht="15" hidden="1" x14ac:dyDescent="0.25">
      <c r="B300" s="4">
        <v>584631897</v>
      </c>
      <c r="C300" s="4" t="s">
        <v>269</v>
      </c>
      <c r="D300" s="4">
        <v>168</v>
      </c>
      <c r="E300" s="4">
        <v>57</v>
      </c>
      <c r="G300">
        <f t="shared" si="4"/>
        <v>512</v>
      </c>
    </row>
    <row r="301" spans="2:7" ht="15" hidden="1" x14ac:dyDescent="0.25">
      <c r="B301" s="4">
        <v>584631898</v>
      </c>
      <c r="C301" s="4" t="s">
        <v>269</v>
      </c>
      <c r="D301" s="4">
        <v>169</v>
      </c>
      <c r="E301" s="4">
        <v>57</v>
      </c>
      <c r="G301">
        <f t="shared" si="4"/>
        <v>512</v>
      </c>
    </row>
    <row r="302" spans="2:7" ht="15" hidden="1" x14ac:dyDescent="0.25">
      <c r="B302" s="4">
        <v>584631898</v>
      </c>
      <c r="C302" s="4" t="s">
        <v>272</v>
      </c>
      <c r="D302" s="4">
        <v>5</v>
      </c>
      <c r="E302" s="4">
        <v>215</v>
      </c>
      <c r="G302">
        <f t="shared" si="4"/>
        <v>1776</v>
      </c>
    </row>
    <row r="303" spans="2:7" ht="15" hidden="1" x14ac:dyDescent="0.25">
      <c r="B303" s="4">
        <v>584631899</v>
      </c>
      <c r="C303" s="4" t="s">
        <v>269</v>
      </c>
      <c r="D303" s="4">
        <v>170</v>
      </c>
      <c r="E303" s="4">
        <v>57</v>
      </c>
      <c r="G303">
        <f t="shared" si="4"/>
        <v>512</v>
      </c>
    </row>
    <row r="304" spans="2:7" ht="15" hidden="1" x14ac:dyDescent="0.25">
      <c r="B304" s="4">
        <v>584631900</v>
      </c>
      <c r="C304" s="4" t="s">
        <v>269</v>
      </c>
      <c r="D304" s="4">
        <v>171</v>
      </c>
      <c r="E304" s="4">
        <v>57</v>
      </c>
      <c r="G304">
        <f t="shared" si="4"/>
        <v>512</v>
      </c>
    </row>
    <row r="305" spans="2:7" ht="15" hidden="1" x14ac:dyDescent="0.25">
      <c r="B305" s="4">
        <v>584631901</v>
      </c>
      <c r="C305" s="4" t="s">
        <v>269</v>
      </c>
      <c r="D305" s="4">
        <v>172</v>
      </c>
      <c r="E305" s="4">
        <v>57</v>
      </c>
      <c r="G305">
        <f t="shared" si="4"/>
        <v>512</v>
      </c>
    </row>
    <row r="306" spans="2:7" ht="15" hidden="1" x14ac:dyDescent="0.25">
      <c r="B306" s="4">
        <v>584631902</v>
      </c>
      <c r="C306" s="4" t="s">
        <v>269</v>
      </c>
      <c r="D306" s="4">
        <v>173</v>
      </c>
      <c r="E306" s="4">
        <v>57</v>
      </c>
      <c r="G306">
        <f t="shared" si="4"/>
        <v>512</v>
      </c>
    </row>
    <row r="307" spans="2:7" ht="15" hidden="1" x14ac:dyDescent="0.25">
      <c r="B307" s="4">
        <v>584631903</v>
      </c>
      <c r="C307" s="4" t="s">
        <v>269</v>
      </c>
      <c r="D307" s="4">
        <v>174</v>
      </c>
      <c r="E307" s="4">
        <v>57</v>
      </c>
      <c r="G307">
        <f t="shared" si="4"/>
        <v>512</v>
      </c>
    </row>
    <row r="308" spans="2:7" ht="15" hidden="1" x14ac:dyDescent="0.25">
      <c r="B308" s="4">
        <v>584631904</v>
      </c>
      <c r="C308" s="4" t="s">
        <v>269</v>
      </c>
      <c r="D308" s="4">
        <v>175</v>
      </c>
      <c r="E308" s="4">
        <v>57</v>
      </c>
      <c r="G308">
        <f t="shared" si="4"/>
        <v>512</v>
      </c>
    </row>
    <row r="309" spans="2:7" ht="15" hidden="1" x14ac:dyDescent="0.25">
      <c r="B309" s="4">
        <v>584631905</v>
      </c>
      <c r="C309" s="4" t="s">
        <v>269</v>
      </c>
      <c r="D309" s="4">
        <v>176</v>
      </c>
      <c r="E309" s="4">
        <v>57</v>
      </c>
      <c r="G309">
        <f t="shared" si="4"/>
        <v>512</v>
      </c>
    </row>
    <row r="310" spans="2:7" ht="15" hidden="1" x14ac:dyDescent="0.25">
      <c r="B310" s="4">
        <v>584631906</v>
      </c>
      <c r="C310" s="4" t="s">
        <v>269</v>
      </c>
      <c r="D310" s="4">
        <v>177</v>
      </c>
      <c r="E310" s="4">
        <v>57</v>
      </c>
      <c r="G310">
        <f t="shared" si="4"/>
        <v>512</v>
      </c>
    </row>
    <row r="311" spans="2:7" ht="15" hidden="1" x14ac:dyDescent="0.25">
      <c r="B311" s="4">
        <v>584631907</v>
      </c>
      <c r="C311" s="4" t="s">
        <v>269</v>
      </c>
      <c r="D311" s="4">
        <v>178</v>
      </c>
      <c r="E311" s="4">
        <v>57</v>
      </c>
      <c r="G311">
        <f t="shared" si="4"/>
        <v>512</v>
      </c>
    </row>
    <row r="312" spans="2:7" ht="15" hidden="1" x14ac:dyDescent="0.25">
      <c r="B312" s="4">
        <v>584631908</v>
      </c>
      <c r="C312" s="4" t="s">
        <v>269</v>
      </c>
      <c r="D312" s="4">
        <v>179</v>
      </c>
      <c r="E312" s="4">
        <v>57</v>
      </c>
      <c r="G312">
        <f t="shared" si="4"/>
        <v>512</v>
      </c>
    </row>
    <row r="313" spans="2:7" ht="15" hidden="1" x14ac:dyDescent="0.25">
      <c r="B313" s="4">
        <v>584631908</v>
      </c>
      <c r="C313" s="4" t="s">
        <v>272</v>
      </c>
      <c r="D313" s="4">
        <v>6</v>
      </c>
      <c r="E313" s="4">
        <v>209</v>
      </c>
      <c r="G313">
        <f t="shared" si="4"/>
        <v>1728</v>
      </c>
    </row>
    <row r="314" spans="2:7" ht="15" hidden="1" x14ac:dyDescent="0.25">
      <c r="B314" s="4">
        <v>584631909</v>
      </c>
      <c r="C314" s="4" t="s">
        <v>269</v>
      </c>
      <c r="D314" s="4">
        <v>180</v>
      </c>
      <c r="E314" s="4">
        <v>57</v>
      </c>
      <c r="G314">
        <f t="shared" si="4"/>
        <v>512</v>
      </c>
    </row>
    <row r="315" spans="2:7" ht="15" hidden="1" x14ac:dyDescent="0.25">
      <c r="B315" s="4">
        <v>584631910</v>
      </c>
      <c r="C315" s="4" t="s">
        <v>269</v>
      </c>
      <c r="D315" s="4">
        <v>181</v>
      </c>
      <c r="E315" s="4">
        <v>57</v>
      </c>
      <c r="G315">
        <f t="shared" si="4"/>
        <v>512</v>
      </c>
    </row>
    <row r="316" spans="2:7" ht="15" hidden="1" x14ac:dyDescent="0.25">
      <c r="B316" s="4">
        <v>584631911</v>
      </c>
      <c r="C316" s="4" t="s">
        <v>269</v>
      </c>
      <c r="D316" s="4">
        <v>182</v>
      </c>
      <c r="E316" s="4">
        <v>57</v>
      </c>
      <c r="G316">
        <f t="shared" si="4"/>
        <v>512</v>
      </c>
    </row>
    <row r="317" spans="2:7" ht="15" hidden="1" x14ac:dyDescent="0.25">
      <c r="B317" s="4">
        <v>584631912</v>
      </c>
      <c r="C317" s="4" t="s">
        <v>269</v>
      </c>
      <c r="D317" s="4">
        <v>183</v>
      </c>
      <c r="E317" s="4">
        <v>57</v>
      </c>
      <c r="G317">
        <f t="shared" si="4"/>
        <v>512</v>
      </c>
    </row>
    <row r="318" spans="2:7" ht="15" hidden="1" x14ac:dyDescent="0.25">
      <c r="B318" s="4">
        <v>584631913</v>
      </c>
      <c r="C318" s="4" t="s">
        <v>269</v>
      </c>
      <c r="D318" s="4">
        <v>184</v>
      </c>
      <c r="E318" s="4">
        <v>57</v>
      </c>
      <c r="G318">
        <f t="shared" si="4"/>
        <v>512</v>
      </c>
    </row>
    <row r="319" spans="2:7" ht="15" hidden="1" x14ac:dyDescent="0.25">
      <c r="B319" s="4">
        <v>584631914</v>
      </c>
      <c r="C319" s="4" t="s">
        <v>269</v>
      </c>
      <c r="D319" s="4">
        <v>185</v>
      </c>
      <c r="E319" s="4">
        <v>57</v>
      </c>
      <c r="G319">
        <f t="shared" si="4"/>
        <v>512</v>
      </c>
    </row>
    <row r="320" spans="2:7" ht="15" hidden="1" x14ac:dyDescent="0.25">
      <c r="B320" s="4">
        <v>584631915</v>
      </c>
      <c r="C320" s="4" t="s">
        <v>269</v>
      </c>
      <c r="D320" s="4">
        <v>186</v>
      </c>
      <c r="E320" s="4">
        <v>57</v>
      </c>
      <c r="G320">
        <f t="shared" si="4"/>
        <v>512</v>
      </c>
    </row>
    <row r="321" spans="2:7" ht="15" hidden="1" x14ac:dyDescent="0.25">
      <c r="B321" s="4">
        <v>584631916</v>
      </c>
      <c r="C321" s="4" t="s">
        <v>269</v>
      </c>
      <c r="D321" s="4">
        <v>187</v>
      </c>
      <c r="E321" s="4">
        <v>57</v>
      </c>
      <c r="G321">
        <f t="shared" si="4"/>
        <v>512</v>
      </c>
    </row>
    <row r="322" spans="2:7" ht="15" hidden="1" x14ac:dyDescent="0.25">
      <c r="B322" s="4">
        <v>584631917</v>
      </c>
      <c r="C322" s="4" t="s">
        <v>269</v>
      </c>
      <c r="D322" s="4">
        <v>188</v>
      </c>
      <c r="E322" s="4">
        <v>57</v>
      </c>
      <c r="G322">
        <f t="shared" si="4"/>
        <v>512</v>
      </c>
    </row>
    <row r="323" spans="2:7" ht="15" hidden="1" x14ac:dyDescent="0.25">
      <c r="B323" s="4">
        <v>584631918</v>
      </c>
      <c r="C323" s="4" t="s">
        <v>269</v>
      </c>
      <c r="D323" s="4">
        <v>189</v>
      </c>
      <c r="E323" s="4">
        <v>57</v>
      </c>
      <c r="G323">
        <f t="shared" si="4"/>
        <v>512</v>
      </c>
    </row>
    <row r="324" spans="2:7" ht="15" hidden="1" x14ac:dyDescent="0.25">
      <c r="B324" s="4">
        <v>584631918</v>
      </c>
      <c r="C324" s="4" t="s">
        <v>272</v>
      </c>
      <c r="D324" s="4">
        <v>7</v>
      </c>
      <c r="E324" s="4">
        <v>207</v>
      </c>
      <c r="G324">
        <f t="shared" ref="G324:G387" si="5">(E324+7)*8</f>
        <v>1712</v>
      </c>
    </row>
    <row r="325" spans="2:7" ht="15" hidden="1" x14ac:dyDescent="0.25">
      <c r="B325" s="4">
        <v>584631919</v>
      </c>
      <c r="C325" s="4" t="s">
        <v>269</v>
      </c>
      <c r="D325" s="4">
        <v>190</v>
      </c>
      <c r="E325" s="4">
        <v>57</v>
      </c>
      <c r="G325">
        <f t="shared" si="5"/>
        <v>512</v>
      </c>
    </row>
    <row r="326" spans="2:7" ht="15" hidden="1" x14ac:dyDescent="0.25">
      <c r="B326" s="4">
        <v>584631920</v>
      </c>
      <c r="C326" s="4" t="s">
        <v>269</v>
      </c>
      <c r="D326" s="4">
        <v>191</v>
      </c>
      <c r="E326" s="4">
        <v>57</v>
      </c>
      <c r="G326">
        <f t="shared" si="5"/>
        <v>512</v>
      </c>
    </row>
    <row r="327" spans="2:7" ht="15" hidden="1" x14ac:dyDescent="0.25">
      <c r="B327" s="4">
        <v>584631921</v>
      </c>
      <c r="C327" s="4" t="s">
        <v>269</v>
      </c>
      <c r="D327" s="4">
        <v>192</v>
      </c>
      <c r="E327" s="4">
        <v>57</v>
      </c>
      <c r="G327">
        <f t="shared" si="5"/>
        <v>512</v>
      </c>
    </row>
    <row r="328" spans="2:7" ht="15" hidden="1" x14ac:dyDescent="0.25">
      <c r="B328" s="4">
        <v>584631922</v>
      </c>
      <c r="C328" s="4" t="s">
        <v>269</v>
      </c>
      <c r="D328" s="4">
        <v>193</v>
      </c>
      <c r="E328" s="4">
        <v>57</v>
      </c>
      <c r="G328">
        <f t="shared" si="5"/>
        <v>512</v>
      </c>
    </row>
    <row r="329" spans="2:7" ht="15" hidden="1" x14ac:dyDescent="0.25">
      <c r="B329" s="4">
        <v>584631923</v>
      </c>
      <c r="C329" s="4" t="s">
        <v>269</v>
      </c>
      <c r="D329" s="4">
        <v>194</v>
      </c>
      <c r="E329" s="4">
        <v>57</v>
      </c>
      <c r="G329">
        <f t="shared" si="5"/>
        <v>512</v>
      </c>
    </row>
    <row r="330" spans="2:7" ht="15" hidden="1" x14ac:dyDescent="0.25">
      <c r="B330" s="4">
        <v>584631924</v>
      </c>
      <c r="C330" s="4" t="s">
        <v>268</v>
      </c>
      <c r="D330" s="4">
        <v>138</v>
      </c>
      <c r="E330" s="4">
        <v>6</v>
      </c>
      <c r="G330">
        <f t="shared" si="5"/>
        <v>104</v>
      </c>
    </row>
    <row r="331" spans="2:7" ht="15" hidden="1" x14ac:dyDescent="0.25">
      <c r="B331" s="4">
        <v>584631924</v>
      </c>
      <c r="C331" s="4" t="s">
        <v>268</v>
      </c>
      <c r="D331" s="4">
        <v>138</v>
      </c>
      <c r="E331" s="4">
        <v>6</v>
      </c>
      <c r="G331">
        <f t="shared" si="5"/>
        <v>104</v>
      </c>
    </row>
    <row r="332" spans="2:7" ht="15" hidden="1" x14ac:dyDescent="0.25">
      <c r="B332" s="4">
        <v>584631924</v>
      </c>
      <c r="C332" s="4" t="s">
        <v>268</v>
      </c>
      <c r="D332" s="4">
        <v>139</v>
      </c>
      <c r="E332" s="4">
        <v>9</v>
      </c>
      <c r="G332">
        <f t="shared" si="5"/>
        <v>128</v>
      </c>
    </row>
    <row r="333" spans="2:7" ht="15" hidden="1" x14ac:dyDescent="0.25">
      <c r="B333" s="4">
        <v>584631924</v>
      </c>
      <c r="C333" s="4" t="s">
        <v>268</v>
      </c>
      <c r="D333" s="4">
        <v>139</v>
      </c>
      <c r="E333" s="4">
        <v>9</v>
      </c>
      <c r="G333">
        <f t="shared" si="5"/>
        <v>128</v>
      </c>
    </row>
    <row r="334" spans="2:7" ht="15" hidden="1" x14ac:dyDescent="0.25">
      <c r="B334" s="4">
        <v>584631924</v>
      </c>
      <c r="C334" s="4" t="s">
        <v>268</v>
      </c>
      <c r="D334" s="4">
        <v>140</v>
      </c>
      <c r="E334" s="4">
        <v>7</v>
      </c>
      <c r="G334">
        <f t="shared" si="5"/>
        <v>112</v>
      </c>
    </row>
    <row r="335" spans="2:7" ht="15" hidden="1" x14ac:dyDescent="0.25">
      <c r="B335" s="4">
        <v>584631924</v>
      </c>
      <c r="C335" s="4" t="s">
        <v>268</v>
      </c>
      <c r="D335" s="4">
        <v>140</v>
      </c>
      <c r="E335" s="4">
        <v>7</v>
      </c>
      <c r="G335">
        <f t="shared" si="5"/>
        <v>112</v>
      </c>
    </row>
    <row r="336" spans="2:7" ht="15" hidden="1" x14ac:dyDescent="0.25">
      <c r="B336" s="4">
        <v>584631924</v>
      </c>
      <c r="C336" s="4" t="s">
        <v>268</v>
      </c>
      <c r="D336" s="4">
        <v>141</v>
      </c>
      <c r="E336" s="4">
        <v>7</v>
      </c>
      <c r="G336">
        <f t="shared" si="5"/>
        <v>112</v>
      </c>
    </row>
    <row r="337" spans="2:7" ht="15" hidden="1" x14ac:dyDescent="0.25">
      <c r="B337" s="4">
        <v>584631924</v>
      </c>
      <c r="C337" s="4" t="s">
        <v>268</v>
      </c>
      <c r="D337" s="4">
        <v>141</v>
      </c>
      <c r="E337" s="4">
        <v>7</v>
      </c>
      <c r="G337">
        <f t="shared" si="5"/>
        <v>112</v>
      </c>
    </row>
    <row r="338" spans="2:7" ht="15" hidden="1" x14ac:dyDescent="0.25">
      <c r="B338" s="4">
        <v>584631924</v>
      </c>
      <c r="C338" s="4" t="s">
        <v>268</v>
      </c>
      <c r="D338" s="4">
        <v>142</v>
      </c>
      <c r="E338" s="4">
        <v>7</v>
      </c>
      <c r="G338">
        <f t="shared" si="5"/>
        <v>112</v>
      </c>
    </row>
    <row r="339" spans="2:7" ht="15" hidden="1" x14ac:dyDescent="0.25">
      <c r="B339" s="4">
        <v>584631924</v>
      </c>
      <c r="C339" s="4" t="s">
        <v>268</v>
      </c>
      <c r="D339" s="4">
        <v>142</v>
      </c>
      <c r="E339" s="4">
        <v>7</v>
      </c>
      <c r="G339">
        <f t="shared" si="5"/>
        <v>112</v>
      </c>
    </row>
    <row r="340" spans="2:7" ht="15" hidden="1" x14ac:dyDescent="0.25">
      <c r="B340" s="4">
        <v>584631924</v>
      </c>
      <c r="C340" s="4" t="s">
        <v>269</v>
      </c>
      <c r="D340" s="4">
        <v>195</v>
      </c>
      <c r="E340" s="4">
        <v>57</v>
      </c>
      <c r="G340">
        <f t="shared" si="5"/>
        <v>512</v>
      </c>
    </row>
    <row r="341" spans="2:7" ht="15" hidden="1" x14ac:dyDescent="0.25">
      <c r="B341" s="4">
        <v>584631925</v>
      </c>
      <c r="C341" s="4" t="s">
        <v>269</v>
      </c>
      <c r="D341" s="4">
        <v>196</v>
      </c>
      <c r="E341" s="4">
        <v>57</v>
      </c>
      <c r="G341">
        <f t="shared" si="5"/>
        <v>512</v>
      </c>
    </row>
    <row r="342" spans="2:7" ht="15" hidden="1" x14ac:dyDescent="0.25">
      <c r="B342" s="4">
        <v>584631926</v>
      </c>
      <c r="C342" s="4" t="s">
        <v>268</v>
      </c>
      <c r="D342" s="4">
        <v>143</v>
      </c>
      <c r="E342" s="4">
        <v>7</v>
      </c>
      <c r="G342">
        <f t="shared" si="5"/>
        <v>112</v>
      </c>
    </row>
    <row r="343" spans="2:7" ht="15" hidden="1" x14ac:dyDescent="0.25">
      <c r="B343" s="4">
        <v>584631926</v>
      </c>
      <c r="C343" s="4" t="s">
        <v>268</v>
      </c>
      <c r="D343" s="4">
        <v>143</v>
      </c>
      <c r="E343" s="4">
        <v>7</v>
      </c>
      <c r="G343">
        <f t="shared" si="5"/>
        <v>112</v>
      </c>
    </row>
    <row r="344" spans="2:7" ht="15" hidden="1" x14ac:dyDescent="0.25">
      <c r="B344" s="4">
        <v>584631926</v>
      </c>
      <c r="C344" s="4" t="s">
        <v>268</v>
      </c>
      <c r="D344" s="4">
        <v>144</v>
      </c>
      <c r="E344" s="4">
        <v>5</v>
      </c>
      <c r="G344">
        <f t="shared" si="5"/>
        <v>96</v>
      </c>
    </row>
    <row r="345" spans="2:7" ht="15" hidden="1" x14ac:dyDescent="0.25">
      <c r="B345" s="4">
        <v>584631926</v>
      </c>
      <c r="C345" s="4" t="s">
        <v>268</v>
      </c>
      <c r="D345" s="4">
        <v>144</v>
      </c>
      <c r="E345" s="4">
        <v>5</v>
      </c>
      <c r="G345">
        <f t="shared" si="5"/>
        <v>96</v>
      </c>
    </row>
    <row r="346" spans="2:7" ht="15" hidden="1" x14ac:dyDescent="0.25">
      <c r="B346" s="4">
        <v>584631926</v>
      </c>
      <c r="C346" s="4" t="s">
        <v>268</v>
      </c>
      <c r="D346" s="4">
        <v>145</v>
      </c>
      <c r="E346" s="4">
        <v>7</v>
      </c>
      <c r="G346">
        <f t="shared" si="5"/>
        <v>112</v>
      </c>
    </row>
    <row r="347" spans="2:7" ht="15" hidden="1" x14ac:dyDescent="0.25">
      <c r="B347" s="4">
        <v>584631926</v>
      </c>
      <c r="C347" s="4" t="s">
        <v>268</v>
      </c>
      <c r="D347" s="4">
        <v>145</v>
      </c>
      <c r="E347" s="4">
        <v>7</v>
      </c>
      <c r="G347">
        <f t="shared" si="5"/>
        <v>112</v>
      </c>
    </row>
    <row r="348" spans="2:7" ht="15" hidden="1" x14ac:dyDescent="0.25">
      <c r="B348" s="4">
        <v>584631926</v>
      </c>
      <c r="C348" s="4" t="s">
        <v>269</v>
      </c>
      <c r="D348" s="4">
        <v>197</v>
      </c>
      <c r="E348" s="4">
        <v>57</v>
      </c>
      <c r="G348">
        <f t="shared" si="5"/>
        <v>512</v>
      </c>
    </row>
    <row r="349" spans="2:7" ht="15" hidden="1" x14ac:dyDescent="0.25">
      <c r="B349" s="4">
        <v>584631927</v>
      </c>
      <c r="C349" s="4" t="s">
        <v>269</v>
      </c>
      <c r="D349" s="4">
        <v>198</v>
      </c>
      <c r="E349" s="4">
        <v>57</v>
      </c>
      <c r="G349">
        <f t="shared" si="5"/>
        <v>512</v>
      </c>
    </row>
    <row r="350" spans="2:7" ht="15" hidden="1" x14ac:dyDescent="0.25">
      <c r="B350" s="4">
        <v>584631928</v>
      </c>
      <c r="C350" s="4" t="s">
        <v>269</v>
      </c>
      <c r="D350" s="4">
        <v>199</v>
      </c>
      <c r="E350" s="4">
        <v>57</v>
      </c>
      <c r="G350">
        <f t="shared" si="5"/>
        <v>512</v>
      </c>
    </row>
    <row r="351" spans="2:7" ht="15" hidden="1" x14ac:dyDescent="0.25">
      <c r="B351" s="4">
        <v>584631928</v>
      </c>
      <c r="C351" s="4" t="s">
        <v>272</v>
      </c>
      <c r="D351" s="4">
        <v>8</v>
      </c>
      <c r="E351" s="4">
        <v>215</v>
      </c>
      <c r="G351">
        <f t="shared" si="5"/>
        <v>1776</v>
      </c>
    </row>
    <row r="352" spans="2:7" ht="15" hidden="1" x14ac:dyDescent="0.25">
      <c r="B352" s="4">
        <v>584631929</v>
      </c>
      <c r="C352" s="4" t="s">
        <v>269</v>
      </c>
      <c r="D352" s="4">
        <v>200</v>
      </c>
      <c r="E352" s="4">
        <v>57</v>
      </c>
      <c r="G352">
        <f t="shared" si="5"/>
        <v>512</v>
      </c>
    </row>
    <row r="353" spans="2:7" ht="15" hidden="1" x14ac:dyDescent="0.25">
      <c r="B353" s="4">
        <v>584631930</v>
      </c>
      <c r="C353" s="4" t="s">
        <v>269</v>
      </c>
      <c r="D353" s="4">
        <v>201</v>
      </c>
      <c r="E353" s="4">
        <v>57</v>
      </c>
      <c r="G353">
        <f t="shared" si="5"/>
        <v>512</v>
      </c>
    </row>
    <row r="354" spans="2:7" ht="15" hidden="1" x14ac:dyDescent="0.25">
      <c r="B354" s="4">
        <v>584631931</v>
      </c>
      <c r="C354" s="4" t="s">
        <v>269</v>
      </c>
      <c r="D354" s="4">
        <v>202</v>
      </c>
      <c r="E354" s="4">
        <v>57</v>
      </c>
      <c r="G354">
        <f t="shared" si="5"/>
        <v>512</v>
      </c>
    </row>
    <row r="355" spans="2:7" ht="15" hidden="1" x14ac:dyDescent="0.25">
      <c r="B355" s="4">
        <v>584631932</v>
      </c>
      <c r="C355" s="4" t="s">
        <v>269</v>
      </c>
      <c r="D355" s="4">
        <v>203</v>
      </c>
      <c r="E355" s="4">
        <v>57</v>
      </c>
      <c r="G355">
        <f t="shared" si="5"/>
        <v>512</v>
      </c>
    </row>
    <row r="356" spans="2:7" ht="15" hidden="1" x14ac:dyDescent="0.25">
      <c r="B356" s="4">
        <v>584631933</v>
      </c>
      <c r="C356" s="4" t="s">
        <v>269</v>
      </c>
      <c r="D356" s="4">
        <v>204</v>
      </c>
      <c r="E356" s="4">
        <v>57</v>
      </c>
      <c r="G356">
        <f t="shared" si="5"/>
        <v>512</v>
      </c>
    </row>
    <row r="357" spans="2:7" ht="15" hidden="1" x14ac:dyDescent="0.25">
      <c r="B357" s="4">
        <v>584631934</v>
      </c>
      <c r="C357" s="4" t="s">
        <v>269</v>
      </c>
      <c r="D357" s="4">
        <v>205</v>
      </c>
      <c r="E357" s="4">
        <v>57</v>
      </c>
      <c r="G357">
        <f t="shared" si="5"/>
        <v>512</v>
      </c>
    </row>
    <row r="358" spans="2:7" ht="15" hidden="1" x14ac:dyDescent="0.25">
      <c r="B358" s="4">
        <v>584631935</v>
      </c>
      <c r="C358" s="4" t="s">
        <v>269</v>
      </c>
      <c r="D358" s="4">
        <v>206</v>
      </c>
      <c r="E358" s="4">
        <v>57</v>
      </c>
      <c r="G358">
        <f t="shared" si="5"/>
        <v>512</v>
      </c>
    </row>
    <row r="359" spans="2:7" ht="15" hidden="1" x14ac:dyDescent="0.25">
      <c r="B359" s="4">
        <v>584631936</v>
      </c>
      <c r="C359" s="4" t="s">
        <v>269</v>
      </c>
      <c r="D359" s="4">
        <v>207</v>
      </c>
      <c r="E359" s="4">
        <v>57</v>
      </c>
      <c r="G359">
        <f t="shared" si="5"/>
        <v>512</v>
      </c>
    </row>
    <row r="360" spans="2:7" ht="15" hidden="1" x14ac:dyDescent="0.25">
      <c r="B360" s="4">
        <v>584631937</v>
      </c>
      <c r="C360" s="4" t="s">
        <v>269</v>
      </c>
      <c r="D360" s="4">
        <v>208</v>
      </c>
      <c r="E360" s="4">
        <v>57</v>
      </c>
      <c r="G360">
        <f t="shared" si="5"/>
        <v>512</v>
      </c>
    </row>
    <row r="361" spans="2:7" ht="15" hidden="1" x14ac:dyDescent="0.25">
      <c r="B361" s="4">
        <v>584631938</v>
      </c>
      <c r="C361" s="4" t="s">
        <v>269</v>
      </c>
      <c r="D361" s="4">
        <v>209</v>
      </c>
      <c r="E361" s="4">
        <v>57</v>
      </c>
      <c r="G361">
        <f t="shared" si="5"/>
        <v>512</v>
      </c>
    </row>
    <row r="362" spans="2:7" ht="15" hidden="1" x14ac:dyDescent="0.25">
      <c r="B362" s="4">
        <v>584631938</v>
      </c>
      <c r="C362" s="4" t="s">
        <v>272</v>
      </c>
      <c r="D362" s="4">
        <v>9</v>
      </c>
      <c r="E362" s="4">
        <v>211</v>
      </c>
      <c r="G362">
        <f t="shared" si="5"/>
        <v>1744</v>
      </c>
    </row>
    <row r="363" spans="2:7" ht="15" hidden="1" x14ac:dyDescent="0.25">
      <c r="B363" s="4">
        <v>584631939</v>
      </c>
      <c r="C363" s="4" t="s">
        <v>269</v>
      </c>
      <c r="D363" s="4">
        <v>210</v>
      </c>
      <c r="E363" s="4">
        <v>57</v>
      </c>
      <c r="G363">
        <f t="shared" si="5"/>
        <v>512</v>
      </c>
    </row>
    <row r="364" spans="2:7" ht="15" hidden="1" x14ac:dyDescent="0.25">
      <c r="B364" s="4">
        <v>584631940</v>
      </c>
      <c r="C364" s="4" t="s">
        <v>269</v>
      </c>
      <c r="D364" s="4">
        <v>211</v>
      </c>
      <c r="E364" s="4">
        <v>57</v>
      </c>
      <c r="G364">
        <f t="shared" si="5"/>
        <v>512</v>
      </c>
    </row>
    <row r="365" spans="2:7" ht="15" hidden="1" x14ac:dyDescent="0.25">
      <c r="B365" s="4">
        <v>584631941</v>
      </c>
      <c r="C365" s="4" t="s">
        <v>269</v>
      </c>
      <c r="D365" s="4">
        <v>212</v>
      </c>
      <c r="E365" s="4">
        <v>57</v>
      </c>
      <c r="G365">
        <f t="shared" si="5"/>
        <v>512</v>
      </c>
    </row>
    <row r="366" spans="2:7" ht="15" hidden="1" x14ac:dyDescent="0.25">
      <c r="B366" s="4">
        <v>584631942</v>
      </c>
      <c r="C366" s="4" t="s">
        <v>269</v>
      </c>
      <c r="D366" s="4">
        <v>213</v>
      </c>
      <c r="E366" s="4">
        <v>57</v>
      </c>
      <c r="G366">
        <f t="shared" si="5"/>
        <v>512</v>
      </c>
    </row>
    <row r="367" spans="2:7" ht="15" hidden="1" x14ac:dyDescent="0.25">
      <c r="B367" s="4">
        <v>584631943</v>
      </c>
      <c r="C367" s="4" t="s">
        <v>269</v>
      </c>
      <c r="D367" s="4">
        <v>214</v>
      </c>
      <c r="E367" s="4">
        <v>57</v>
      </c>
      <c r="G367">
        <f t="shared" si="5"/>
        <v>512</v>
      </c>
    </row>
    <row r="368" spans="2:7" ht="15" hidden="1" x14ac:dyDescent="0.25">
      <c r="B368" s="4">
        <v>584631944</v>
      </c>
      <c r="C368" s="4" t="s">
        <v>269</v>
      </c>
      <c r="D368" s="4">
        <v>215</v>
      </c>
      <c r="E368" s="4">
        <v>57</v>
      </c>
      <c r="G368">
        <f t="shared" si="5"/>
        <v>512</v>
      </c>
    </row>
    <row r="369" spans="2:7" ht="15" hidden="1" x14ac:dyDescent="0.25">
      <c r="B369" s="4">
        <v>584631945</v>
      </c>
      <c r="C369" s="4" t="s">
        <v>269</v>
      </c>
      <c r="D369" s="4">
        <v>216</v>
      </c>
      <c r="E369" s="4">
        <v>57</v>
      </c>
      <c r="G369">
        <f t="shared" si="5"/>
        <v>512</v>
      </c>
    </row>
    <row r="370" spans="2:7" ht="15" hidden="1" x14ac:dyDescent="0.25">
      <c r="B370" s="4">
        <v>584631946</v>
      </c>
      <c r="C370" s="4" t="s">
        <v>269</v>
      </c>
      <c r="D370" s="4">
        <v>217</v>
      </c>
      <c r="E370" s="4">
        <v>57</v>
      </c>
      <c r="G370">
        <f t="shared" si="5"/>
        <v>512</v>
      </c>
    </row>
    <row r="371" spans="2:7" ht="15" hidden="1" x14ac:dyDescent="0.25">
      <c r="B371" s="4">
        <v>584631947</v>
      </c>
      <c r="C371" s="4" t="s">
        <v>269</v>
      </c>
      <c r="D371" s="4">
        <v>218</v>
      </c>
      <c r="E371" s="4">
        <v>57</v>
      </c>
      <c r="G371">
        <f t="shared" si="5"/>
        <v>512</v>
      </c>
    </row>
    <row r="372" spans="2:7" ht="15" hidden="1" x14ac:dyDescent="0.25">
      <c r="B372" s="4">
        <v>584631948</v>
      </c>
      <c r="C372" s="4" t="s">
        <v>269</v>
      </c>
      <c r="D372" s="4">
        <v>219</v>
      </c>
      <c r="E372" s="4">
        <v>57</v>
      </c>
      <c r="G372">
        <f t="shared" si="5"/>
        <v>512</v>
      </c>
    </row>
    <row r="373" spans="2:7" ht="15" hidden="1" x14ac:dyDescent="0.25">
      <c r="B373" s="4">
        <v>584631948</v>
      </c>
      <c r="C373" s="4" t="s">
        <v>272</v>
      </c>
      <c r="D373" s="4">
        <v>10</v>
      </c>
      <c r="E373" s="4">
        <v>211</v>
      </c>
      <c r="G373">
        <f t="shared" si="5"/>
        <v>1744</v>
      </c>
    </row>
    <row r="374" spans="2:7" ht="15" hidden="1" x14ac:dyDescent="0.25">
      <c r="B374" s="4">
        <v>584631949</v>
      </c>
      <c r="C374" s="4" t="s">
        <v>269</v>
      </c>
      <c r="D374" s="4">
        <v>220</v>
      </c>
      <c r="E374" s="4">
        <v>57</v>
      </c>
      <c r="G374">
        <f t="shared" si="5"/>
        <v>512</v>
      </c>
    </row>
    <row r="375" spans="2:7" ht="15" hidden="1" x14ac:dyDescent="0.25">
      <c r="B375" s="4">
        <v>584631950</v>
      </c>
      <c r="C375" s="4" t="s">
        <v>269</v>
      </c>
      <c r="D375" s="4">
        <v>221</v>
      </c>
      <c r="E375" s="4">
        <v>57</v>
      </c>
      <c r="G375">
        <f t="shared" si="5"/>
        <v>512</v>
      </c>
    </row>
    <row r="376" spans="2:7" ht="15" hidden="1" x14ac:dyDescent="0.25">
      <c r="B376" s="4">
        <v>584631951</v>
      </c>
      <c r="C376" s="4" t="s">
        <v>269</v>
      </c>
      <c r="D376" s="4">
        <v>222</v>
      </c>
      <c r="E376" s="4">
        <v>57</v>
      </c>
      <c r="G376">
        <f t="shared" si="5"/>
        <v>512</v>
      </c>
    </row>
    <row r="377" spans="2:7" ht="15" hidden="1" x14ac:dyDescent="0.25">
      <c r="B377" s="4">
        <v>584631952</v>
      </c>
      <c r="C377" s="4" t="s">
        <v>269</v>
      </c>
      <c r="D377" s="4">
        <v>223</v>
      </c>
      <c r="E377" s="4">
        <v>57</v>
      </c>
      <c r="G377">
        <f t="shared" si="5"/>
        <v>512</v>
      </c>
    </row>
    <row r="378" spans="2:7" ht="15" hidden="1" x14ac:dyDescent="0.25">
      <c r="B378" s="4">
        <v>584631953</v>
      </c>
      <c r="C378" s="4" t="s">
        <v>269</v>
      </c>
      <c r="D378" s="4">
        <v>224</v>
      </c>
      <c r="E378" s="4">
        <v>57</v>
      </c>
      <c r="G378">
        <f t="shared" si="5"/>
        <v>512</v>
      </c>
    </row>
    <row r="379" spans="2:7" ht="15" hidden="1" x14ac:dyDescent="0.25">
      <c r="B379" s="4">
        <v>584631954</v>
      </c>
      <c r="C379" s="4" t="s">
        <v>269</v>
      </c>
      <c r="D379" s="4">
        <v>225</v>
      </c>
      <c r="E379" s="4">
        <v>57</v>
      </c>
      <c r="G379">
        <f t="shared" si="5"/>
        <v>512</v>
      </c>
    </row>
    <row r="380" spans="2:7" ht="15" hidden="1" x14ac:dyDescent="0.25">
      <c r="B380" s="4">
        <v>584631955</v>
      </c>
      <c r="C380" s="4" t="s">
        <v>269</v>
      </c>
      <c r="D380" s="4">
        <v>226</v>
      </c>
      <c r="E380" s="4">
        <v>57</v>
      </c>
      <c r="G380">
        <f t="shared" si="5"/>
        <v>512</v>
      </c>
    </row>
    <row r="381" spans="2:7" ht="15" hidden="1" x14ac:dyDescent="0.25">
      <c r="B381" s="4">
        <v>584631956</v>
      </c>
      <c r="C381" s="4" t="s">
        <v>268</v>
      </c>
      <c r="D381" s="4">
        <v>146</v>
      </c>
      <c r="E381" s="4">
        <v>6</v>
      </c>
      <c r="G381">
        <f t="shared" si="5"/>
        <v>104</v>
      </c>
    </row>
    <row r="382" spans="2:7" ht="15" hidden="1" x14ac:dyDescent="0.25">
      <c r="B382" s="4">
        <v>584631956</v>
      </c>
      <c r="C382" s="4" t="s">
        <v>268</v>
      </c>
      <c r="D382" s="4">
        <v>146</v>
      </c>
      <c r="E382" s="4">
        <v>6</v>
      </c>
      <c r="G382">
        <f t="shared" si="5"/>
        <v>104</v>
      </c>
    </row>
    <row r="383" spans="2:7" ht="15" hidden="1" x14ac:dyDescent="0.25">
      <c r="B383" s="4">
        <v>584631956</v>
      </c>
      <c r="C383" s="4" t="s">
        <v>268</v>
      </c>
      <c r="D383" s="4">
        <v>147</v>
      </c>
      <c r="E383" s="4">
        <v>9</v>
      </c>
      <c r="G383">
        <f t="shared" si="5"/>
        <v>128</v>
      </c>
    </row>
    <row r="384" spans="2:7" ht="15" hidden="1" x14ac:dyDescent="0.25">
      <c r="B384" s="4">
        <v>584631956</v>
      </c>
      <c r="C384" s="4" t="s">
        <v>268</v>
      </c>
      <c r="D384" s="4">
        <v>147</v>
      </c>
      <c r="E384" s="4">
        <v>9</v>
      </c>
      <c r="G384">
        <f t="shared" si="5"/>
        <v>128</v>
      </c>
    </row>
    <row r="385" spans="2:7" ht="15" hidden="1" x14ac:dyDescent="0.25">
      <c r="B385" s="4">
        <v>584631956</v>
      </c>
      <c r="C385" s="4" t="s">
        <v>268</v>
      </c>
      <c r="D385" s="4">
        <v>148</v>
      </c>
      <c r="E385" s="4">
        <v>7</v>
      </c>
      <c r="G385">
        <f t="shared" si="5"/>
        <v>112</v>
      </c>
    </row>
    <row r="386" spans="2:7" ht="15" hidden="1" x14ac:dyDescent="0.25">
      <c r="B386" s="4">
        <v>584631956</v>
      </c>
      <c r="C386" s="4" t="s">
        <v>268</v>
      </c>
      <c r="D386" s="4">
        <v>148</v>
      </c>
      <c r="E386" s="4">
        <v>7</v>
      </c>
      <c r="G386">
        <f t="shared" si="5"/>
        <v>112</v>
      </c>
    </row>
    <row r="387" spans="2:7" ht="15" hidden="1" x14ac:dyDescent="0.25">
      <c r="B387" s="4">
        <v>584631956</v>
      </c>
      <c r="C387" s="4" t="s">
        <v>268</v>
      </c>
      <c r="D387" s="4">
        <v>149</v>
      </c>
      <c r="E387" s="4">
        <v>7</v>
      </c>
      <c r="G387">
        <f t="shared" si="5"/>
        <v>112</v>
      </c>
    </row>
    <row r="388" spans="2:7" ht="15" hidden="1" x14ac:dyDescent="0.25">
      <c r="B388" s="4">
        <v>584631956</v>
      </c>
      <c r="C388" s="4" t="s">
        <v>268</v>
      </c>
      <c r="D388" s="4">
        <v>149</v>
      </c>
      <c r="E388" s="4">
        <v>7</v>
      </c>
      <c r="G388">
        <f t="shared" ref="G388:G451" si="6">(E388+7)*8</f>
        <v>112</v>
      </c>
    </row>
    <row r="389" spans="2:7" ht="15" hidden="1" x14ac:dyDescent="0.25">
      <c r="B389" s="4">
        <v>584631956</v>
      </c>
      <c r="C389" s="4" t="s">
        <v>268</v>
      </c>
      <c r="D389" s="4">
        <v>150</v>
      </c>
      <c r="E389" s="4">
        <v>7</v>
      </c>
      <c r="G389">
        <f t="shared" si="6"/>
        <v>112</v>
      </c>
    </row>
    <row r="390" spans="2:7" ht="15" hidden="1" x14ac:dyDescent="0.25">
      <c r="B390" s="4">
        <v>584631956</v>
      </c>
      <c r="C390" s="4" t="s">
        <v>268</v>
      </c>
      <c r="D390" s="4">
        <v>150</v>
      </c>
      <c r="E390" s="4">
        <v>7</v>
      </c>
      <c r="G390">
        <f t="shared" si="6"/>
        <v>112</v>
      </c>
    </row>
    <row r="391" spans="2:7" ht="15" hidden="1" x14ac:dyDescent="0.25">
      <c r="B391" s="4">
        <v>584631956</v>
      </c>
      <c r="C391" s="4" t="s">
        <v>269</v>
      </c>
      <c r="D391" s="4">
        <v>227</v>
      </c>
      <c r="E391" s="4">
        <v>57</v>
      </c>
      <c r="G391">
        <f t="shared" si="6"/>
        <v>512</v>
      </c>
    </row>
    <row r="392" spans="2:7" ht="15" hidden="1" x14ac:dyDescent="0.25">
      <c r="B392" s="4">
        <v>584631957</v>
      </c>
      <c r="C392" s="4" t="s">
        <v>269</v>
      </c>
      <c r="D392" s="4">
        <v>228</v>
      </c>
      <c r="E392" s="4">
        <v>57</v>
      </c>
      <c r="G392">
        <f t="shared" si="6"/>
        <v>512</v>
      </c>
    </row>
    <row r="393" spans="2:7" ht="15" hidden="1" x14ac:dyDescent="0.25">
      <c r="B393" s="4">
        <v>584631958</v>
      </c>
      <c r="C393" s="4" t="s">
        <v>268</v>
      </c>
      <c r="D393" s="4">
        <v>151</v>
      </c>
      <c r="E393" s="4">
        <v>7</v>
      </c>
      <c r="G393">
        <f t="shared" si="6"/>
        <v>112</v>
      </c>
    </row>
    <row r="394" spans="2:7" ht="15" hidden="1" x14ac:dyDescent="0.25">
      <c r="B394" s="4">
        <v>584631958</v>
      </c>
      <c r="C394" s="4" t="s">
        <v>268</v>
      </c>
      <c r="D394" s="4">
        <v>151</v>
      </c>
      <c r="E394" s="4">
        <v>7</v>
      </c>
      <c r="G394">
        <f t="shared" si="6"/>
        <v>112</v>
      </c>
    </row>
    <row r="395" spans="2:7" ht="15" hidden="1" x14ac:dyDescent="0.25">
      <c r="B395" s="4">
        <v>584631958</v>
      </c>
      <c r="C395" s="4" t="s">
        <v>268</v>
      </c>
      <c r="D395" s="4">
        <v>152</v>
      </c>
      <c r="E395" s="4">
        <v>5</v>
      </c>
      <c r="G395">
        <f t="shared" si="6"/>
        <v>96</v>
      </c>
    </row>
    <row r="396" spans="2:7" ht="15" hidden="1" x14ac:dyDescent="0.25">
      <c r="B396" s="4">
        <v>584631958</v>
      </c>
      <c r="C396" s="4" t="s">
        <v>268</v>
      </c>
      <c r="D396" s="4">
        <v>152</v>
      </c>
      <c r="E396" s="4">
        <v>5</v>
      </c>
      <c r="G396">
        <f t="shared" si="6"/>
        <v>96</v>
      </c>
    </row>
    <row r="397" spans="2:7" ht="15" hidden="1" x14ac:dyDescent="0.25">
      <c r="B397" s="4">
        <v>584631958</v>
      </c>
      <c r="C397" s="4" t="s">
        <v>268</v>
      </c>
      <c r="D397" s="4">
        <v>153</v>
      </c>
      <c r="E397" s="4">
        <v>7</v>
      </c>
      <c r="G397">
        <f t="shared" si="6"/>
        <v>112</v>
      </c>
    </row>
    <row r="398" spans="2:7" ht="15" hidden="1" x14ac:dyDescent="0.25">
      <c r="B398" s="4">
        <v>584631958</v>
      </c>
      <c r="C398" s="4" t="s">
        <v>268</v>
      </c>
      <c r="D398" s="4">
        <v>153</v>
      </c>
      <c r="E398" s="4">
        <v>7</v>
      </c>
      <c r="G398">
        <f t="shared" si="6"/>
        <v>112</v>
      </c>
    </row>
    <row r="399" spans="2:7" ht="15" hidden="1" x14ac:dyDescent="0.25">
      <c r="B399" s="4">
        <v>584631958</v>
      </c>
      <c r="C399" s="4" t="s">
        <v>269</v>
      </c>
      <c r="D399" s="4">
        <v>229</v>
      </c>
      <c r="E399" s="4">
        <v>57</v>
      </c>
      <c r="G399">
        <f t="shared" si="6"/>
        <v>512</v>
      </c>
    </row>
    <row r="400" spans="2:7" ht="15" hidden="1" x14ac:dyDescent="0.25">
      <c r="B400" s="4">
        <v>584631958</v>
      </c>
      <c r="C400" s="4" t="s">
        <v>272</v>
      </c>
      <c r="D400" s="4">
        <v>11</v>
      </c>
      <c r="E400" s="4">
        <v>213</v>
      </c>
      <c r="G400">
        <f t="shared" si="6"/>
        <v>1760</v>
      </c>
    </row>
    <row r="401" spans="2:7" ht="15" hidden="1" x14ac:dyDescent="0.25">
      <c r="B401" s="4">
        <v>584631959</v>
      </c>
      <c r="C401" s="4" t="s">
        <v>269</v>
      </c>
      <c r="D401" s="4">
        <v>230</v>
      </c>
      <c r="E401" s="4">
        <v>57</v>
      </c>
      <c r="G401">
        <f t="shared" si="6"/>
        <v>512</v>
      </c>
    </row>
    <row r="402" spans="2:7" ht="15" hidden="1" x14ac:dyDescent="0.25">
      <c r="B402" s="4">
        <v>584631960</v>
      </c>
      <c r="C402" s="4" t="s">
        <v>269</v>
      </c>
      <c r="D402" s="4">
        <v>231</v>
      </c>
      <c r="E402" s="4">
        <v>57</v>
      </c>
      <c r="G402">
        <f t="shared" si="6"/>
        <v>512</v>
      </c>
    </row>
    <row r="403" spans="2:7" ht="15" hidden="1" x14ac:dyDescent="0.25">
      <c r="B403" s="4">
        <v>584631961</v>
      </c>
      <c r="C403" s="4" t="s">
        <v>269</v>
      </c>
      <c r="D403" s="4">
        <v>232</v>
      </c>
      <c r="E403" s="4">
        <v>57</v>
      </c>
      <c r="G403">
        <f t="shared" si="6"/>
        <v>512</v>
      </c>
    </row>
    <row r="404" spans="2:7" ht="15" hidden="1" x14ac:dyDescent="0.25">
      <c r="B404" s="4">
        <v>584631962</v>
      </c>
      <c r="C404" s="4" t="s">
        <v>269</v>
      </c>
      <c r="D404" s="4">
        <v>233</v>
      </c>
      <c r="E404" s="4">
        <v>57</v>
      </c>
      <c r="G404">
        <f t="shared" si="6"/>
        <v>512</v>
      </c>
    </row>
    <row r="405" spans="2:7" ht="15" hidden="1" x14ac:dyDescent="0.25">
      <c r="B405" s="4">
        <v>584631963</v>
      </c>
      <c r="C405" s="4" t="s">
        <v>269</v>
      </c>
      <c r="D405" s="4">
        <v>234</v>
      </c>
      <c r="E405" s="4">
        <v>57</v>
      </c>
      <c r="G405">
        <f t="shared" si="6"/>
        <v>512</v>
      </c>
    </row>
    <row r="406" spans="2:7" ht="15" hidden="1" x14ac:dyDescent="0.25">
      <c r="B406" s="4">
        <v>584631964</v>
      </c>
      <c r="C406" s="4" t="s">
        <v>269</v>
      </c>
      <c r="D406" s="4">
        <v>235</v>
      </c>
      <c r="E406" s="4">
        <v>57</v>
      </c>
      <c r="G406">
        <f t="shared" si="6"/>
        <v>512</v>
      </c>
    </row>
    <row r="407" spans="2:7" ht="15" hidden="1" x14ac:dyDescent="0.25">
      <c r="B407" s="4">
        <v>584631965</v>
      </c>
      <c r="C407" s="4" t="s">
        <v>269</v>
      </c>
      <c r="D407" s="4">
        <v>236</v>
      </c>
      <c r="E407" s="4">
        <v>57</v>
      </c>
      <c r="G407">
        <f t="shared" si="6"/>
        <v>512</v>
      </c>
    </row>
    <row r="408" spans="2:7" ht="15" hidden="1" x14ac:dyDescent="0.25">
      <c r="B408" s="4">
        <v>584631966</v>
      </c>
      <c r="C408" s="4" t="s">
        <v>269</v>
      </c>
      <c r="D408" s="4">
        <v>237</v>
      </c>
      <c r="E408" s="4">
        <v>57</v>
      </c>
      <c r="G408">
        <f t="shared" si="6"/>
        <v>512</v>
      </c>
    </row>
    <row r="409" spans="2:7" ht="15" hidden="1" x14ac:dyDescent="0.25">
      <c r="B409" s="4">
        <v>584631967</v>
      </c>
      <c r="C409" s="4" t="s">
        <v>269</v>
      </c>
      <c r="D409" s="4">
        <v>238</v>
      </c>
      <c r="E409" s="4">
        <v>57</v>
      </c>
      <c r="G409">
        <f t="shared" si="6"/>
        <v>512</v>
      </c>
    </row>
    <row r="410" spans="2:7" ht="15" hidden="1" x14ac:dyDescent="0.25">
      <c r="B410" s="4">
        <v>584631968</v>
      </c>
      <c r="C410" s="4" t="s">
        <v>269</v>
      </c>
      <c r="D410" s="4">
        <v>239</v>
      </c>
      <c r="E410" s="4">
        <v>57</v>
      </c>
      <c r="G410">
        <f t="shared" si="6"/>
        <v>512</v>
      </c>
    </row>
    <row r="411" spans="2:7" ht="15" hidden="1" x14ac:dyDescent="0.25">
      <c r="B411" s="4">
        <v>584631968</v>
      </c>
      <c r="C411" s="4" t="s">
        <v>272</v>
      </c>
      <c r="D411" s="4">
        <v>12</v>
      </c>
      <c r="E411" s="4">
        <v>217</v>
      </c>
      <c r="G411">
        <f t="shared" si="6"/>
        <v>1792</v>
      </c>
    </row>
    <row r="412" spans="2:7" ht="15" hidden="1" x14ac:dyDescent="0.25">
      <c r="B412" s="4">
        <v>584631969</v>
      </c>
      <c r="C412" s="4" t="s">
        <v>269</v>
      </c>
      <c r="D412" s="4">
        <v>240</v>
      </c>
      <c r="E412" s="4">
        <v>57</v>
      </c>
      <c r="G412">
        <f t="shared" si="6"/>
        <v>512</v>
      </c>
    </row>
    <row r="413" spans="2:7" ht="15" hidden="1" x14ac:dyDescent="0.25">
      <c r="B413" s="4">
        <v>584631970</v>
      </c>
      <c r="C413" s="4" t="s">
        <v>269</v>
      </c>
      <c r="D413" s="4">
        <v>241</v>
      </c>
      <c r="E413" s="4">
        <v>57</v>
      </c>
      <c r="G413">
        <f t="shared" si="6"/>
        <v>512</v>
      </c>
    </row>
    <row r="414" spans="2:7" ht="15" hidden="1" x14ac:dyDescent="0.25">
      <c r="B414" s="4">
        <v>584631971</v>
      </c>
      <c r="C414" s="4" t="s">
        <v>269</v>
      </c>
      <c r="D414" s="4">
        <v>242</v>
      </c>
      <c r="E414" s="4">
        <v>57</v>
      </c>
      <c r="G414">
        <f t="shared" si="6"/>
        <v>512</v>
      </c>
    </row>
    <row r="415" spans="2:7" ht="15" hidden="1" x14ac:dyDescent="0.25">
      <c r="B415" s="4">
        <v>584631972</v>
      </c>
      <c r="C415" s="4" t="s">
        <v>269</v>
      </c>
      <c r="D415" s="4">
        <v>243</v>
      </c>
      <c r="E415" s="4">
        <v>57</v>
      </c>
      <c r="G415">
        <f t="shared" si="6"/>
        <v>512</v>
      </c>
    </row>
    <row r="416" spans="2:7" ht="15" hidden="1" x14ac:dyDescent="0.25">
      <c r="B416" s="4">
        <v>584631973</v>
      </c>
      <c r="C416" s="4" t="s">
        <v>269</v>
      </c>
      <c r="D416" s="4">
        <v>244</v>
      </c>
      <c r="E416" s="4">
        <v>57</v>
      </c>
      <c r="G416">
        <f t="shared" si="6"/>
        <v>512</v>
      </c>
    </row>
    <row r="417" spans="2:7" ht="15" hidden="1" x14ac:dyDescent="0.25">
      <c r="B417" s="4">
        <v>584631974</v>
      </c>
      <c r="C417" s="4" t="s">
        <v>269</v>
      </c>
      <c r="D417" s="4">
        <v>245</v>
      </c>
      <c r="E417" s="4">
        <v>57</v>
      </c>
      <c r="G417">
        <f t="shared" si="6"/>
        <v>512</v>
      </c>
    </row>
    <row r="418" spans="2:7" ht="15" hidden="1" x14ac:dyDescent="0.25">
      <c r="B418" s="4">
        <v>584631975</v>
      </c>
      <c r="C418" s="4" t="s">
        <v>269</v>
      </c>
      <c r="D418" s="4">
        <v>246</v>
      </c>
      <c r="E418" s="4">
        <v>57</v>
      </c>
      <c r="G418">
        <f t="shared" si="6"/>
        <v>512</v>
      </c>
    </row>
    <row r="419" spans="2:7" ht="15" hidden="1" x14ac:dyDescent="0.25">
      <c r="B419" s="4">
        <v>584631976</v>
      </c>
      <c r="C419" s="4" t="s">
        <v>269</v>
      </c>
      <c r="D419" s="4">
        <v>247</v>
      </c>
      <c r="E419" s="4">
        <v>57</v>
      </c>
      <c r="G419">
        <f t="shared" si="6"/>
        <v>512</v>
      </c>
    </row>
    <row r="420" spans="2:7" ht="15" hidden="1" x14ac:dyDescent="0.25">
      <c r="B420" s="4">
        <v>584631977</v>
      </c>
      <c r="C420" s="4" t="s">
        <v>269</v>
      </c>
      <c r="D420" s="4">
        <v>248</v>
      </c>
      <c r="E420" s="4">
        <v>57</v>
      </c>
      <c r="G420">
        <f t="shared" si="6"/>
        <v>512</v>
      </c>
    </row>
    <row r="421" spans="2:7" ht="15" hidden="1" x14ac:dyDescent="0.25">
      <c r="B421" s="4">
        <v>584631978</v>
      </c>
      <c r="C421" s="4" t="s">
        <v>269</v>
      </c>
      <c r="D421" s="4">
        <v>249</v>
      </c>
      <c r="E421" s="4">
        <v>57</v>
      </c>
      <c r="G421">
        <f t="shared" si="6"/>
        <v>512</v>
      </c>
    </row>
    <row r="422" spans="2:7" ht="15" hidden="1" x14ac:dyDescent="0.25">
      <c r="B422" s="4">
        <v>584631978</v>
      </c>
      <c r="C422" s="4" t="s">
        <v>272</v>
      </c>
      <c r="D422" s="4">
        <v>13</v>
      </c>
      <c r="E422" s="4">
        <v>217</v>
      </c>
      <c r="G422">
        <f t="shared" si="6"/>
        <v>1792</v>
      </c>
    </row>
    <row r="423" spans="2:7" ht="15" hidden="1" x14ac:dyDescent="0.25">
      <c r="B423" s="4">
        <v>584631979</v>
      </c>
      <c r="C423" s="4" t="s">
        <v>269</v>
      </c>
      <c r="D423" s="4">
        <v>250</v>
      </c>
      <c r="E423" s="4">
        <v>57</v>
      </c>
      <c r="G423">
        <f t="shared" si="6"/>
        <v>512</v>
      </c>
    </row>
    <row r="424" spans="2:7" ht="15" hidden="1" x14ac:dyDescent="0.25">
      <c r="B424" s="4">
        <v>584631980</v>
      </c>
      <c r="C424" s="4" t="s">
        <v>269</v>
      </c>
      <c r="D424" s="4">
        <v>251</v>
      </c>
      <c r="E424" s="4">
        <v>57</v>
      </c>
      <c r="G424">
        <f t="shared" si="6"/>
        <v>512</v>
      </c>
    </row>
    <row r="425" spans="2:7" ht="15" hidden="1" x14ac:dyDescent="0.25">
      <c r="B425" s="4">
        <v>584631981</v>
      </c>
      <c r="C425" s="4" t="s">
        <v>269</v>
      </c>
      <c r="D425" s="4">
        <v>252</v>
      </c>
      <c r="E425" s="4">
        <v>57</v>
      </c>
      <c r="G425">
        <f t="shared" si="6"/>
        <v>512</v>
      </c>
    </row>
    <row r="426" spans="2:7" ht="15" hidden="1" x14ac:dyDescent="0.25">
      <c r="B426" s="4">
        <v>584631982</v>
      </c>
      <c r="C426" s="4" t="s">
        <v>269</v>
      </c>
      <c r="D426" s="4">
        <v>253</v>
      </c>
      <c r="E426" s="4">
        <v>57</v>
      </c>
      <c r="G426">
        <f t="shared" si="6"/>
        <v>512</v>
      </c>
    </row>
    <row r="427" spans="2:7" ht="15" hidden="1" x14ac:dyDescent="0.25">
      <c r="B427" s="4">
        <v>584631983</v>
      </c>
      <c r="C427" s="4" t="s">
        <v>269</v>
      </c>
      <c r="D427" s="4">
        <v>254</v>
      </c>
      <c r="E427" s="4">
        <v>57</v>
      </c>
      <c r="G427">
        <f t="shared" si="6"/>
        <v>512</v>
      </c>
    </row>
    <row r="428" spans="2:7" ht="15" hidden="1" x14ac:dyDescent="0.25">
      <c r="B428" s="4">
        <v>584631984</v>
      </c>
      <c r="C428" s="4" t="s">
        <v>269</v>
      </c>
      <c r="D428" s="4">
        <v>255</v>
      </c>
      <c r="E428" s="4">
        <v>57</v>
      </c>
      <c r="G428">
        <f t="shared" si="6"/>
        <v>512</v>
      </c>
    </row>
    <row r="429" spans="2:7" ht="15" hidden="1" x14ac:dyDescent="0.25">
      <c r="B429" s="4">
        <v>584631985</v>
      </c>
      <c r="C429" s="4" t="s">
        <v>269</v>
      </c>
      <c r="D429" s="4">
        <v>256</v>
      </c>
      <c r="E429" s="4">
        <v>57</v>
      </c>
      <c r="G429">
        <f t="shared" si="6"/>
        <v>512</v>
      </c>
    </row>
    <row r="430" spans="2:7" ht="15" hidden="1" x14ac:dyDescent="0.25">
      <c r="B430" s="4">
        <v>584631986</v>
      </c>
      <c r="C430" s="4" t="s">
        <v>269</v>
      </c>
      <c r="D430" s="4">
        <v>257</v>
      </c>
      <c r="E430" s="4">
        <v>57</v>
      </c>
      <c r="G430">
        <f t="shared" si="6"/>
        <v>512</v>
      </c>
    </row>
    <row r="431" spans="2:7" ht="15" hidden="1" x14ac:dyDescent="0.25">
      <c r="B431" s="4">
        <v>584631987</v>
      </c>
      <c r="C431" s="4" t="s">
        <v>269</v>
      </c>
      <c r="D431" s="4">
        <v>258</v>
      </c>
      <c r="E431" s="4">
        <v>57</v>
      </c>
      <c r="G431">
        <f t="shared" si="6"/>
        <v>512</v>
      </c>
    </row>
    <row r="432" spans="2:7" ht="15" hidden="1" x14ac:dyDescent="0.25">
      <c r="B432" s="4">
        <v>584631988</v>
      </c>
      <c r="C432" s="4" t="s">
        <v>268</v>
      </c>
      <c r="D432" s="4">
        <v>154</v>
      </c>
      <c r="E432" s="4">
        <v>6</v>
      </c>
      <c r="G432">
        <f t="shared" si="6"/>
        <v>104</v>
      </c>
    </row>
    <row r="433" spans="2:7" ht="15" hidden="1" x14ac:dyDescent="0.25">
      <c r="B433" s="4">
        <v>584631988</v>
      </c>
      <c r="C433" s="4" t="s">
        <v>268</v>
      </c>
      <c r="D433" s="4">
        <v>154</v>
      </c>
      <c r="E433" s="4">
        <v>6</v>
      </c>
      <c r="G433">
        <f t="shared" si="6"/>
        <v>104</v>
      </c>
    </row>
    <row r="434" spans="2:7" ht="15" hidden="1" x14ac:dyDescent="0.25">
      <c r="B434" s="4">
        <v>584631988</v>
      </c>
      <c r="C434" s="4" t="s">
        <v>268</v>
      </c>
      <c r="D434" s="4">
        <v>155</v>
      </c>
      <c r="E434" s="4">
        <v>9</v>
      </c>
      <c r="G434">
        <f t="shared" si="6"/>
        <v>128</v>
      </c>
    </row>
    <row r="435" spans="2:7" ht="15" hidden="1" x14ac:dyDescent="0.25">
      <c r="B435" s="4">
        <v>584631988</v>
      </c>
      <c r="C435" s="4" t="s">
        <v>268</v>
      </c>
      <c r="D435" s="4">
        <v>155</v>
      </c>
      <c r="E435" s="4">
        <v>9</v>
      </c>
      <c r="G435">
        <f t="shared" si="6"/>
        <v>128</v>
      </c>
    </row>
    <row r="436" spans="2:7" ht="15" hidden="1" x14ac:dyDescent="0.25">
      <c r="B436" s="4">
        <v>584631988</v>
      </c>
      <c r="C436" s="4" t="s">
        <v>268</v>
      </c>
      <c r="D436" s="4">
        <v>156</v>
      </c>
      <c r="E436" s="4">
        <v>7</v>
      </c>
      <c r="G436">
        <f t="shared" si="6"/>
        <v>112</v>
      </c>
    </row>
    <row r="437" spans="2:7" ht="15" hidden="1" x14ac:dyDescent="0.25">
      <c r="B437" s="4">
        <v>584631988</v>
      </c>
      <c r="C437" s="4" t="s">
        <v>268</v>
      </c>
      <c r="D437" s="4">
        <v>156</v>
      </c>
      <c r="E437" s="4">
        <v>7</v>
      </c>
      <c r="G437">
        <f t="shared" si="6"/>
        <v>112</v>
      </c>
    </row>
    <row r="438" spans="2:7" ht="15" hidden="1" x14ac:dyDescent="0.25">
      <c r="B438" s="4">
        <v>584631988</v>
      </c>
      <c r="C438" s="4" t="s">
        <v>268</v>
      </c>
      <c r="D438" s="4">
        <v>157</v>
      </c>
      <c r="E438" s="4">
        <v>7</v>
      </c>
      <c r="G438">
        <f t="shared" si="6"/>
        <v>112</v>
      </c>
    </row>
    <row r="439" spans="2:7" ht="15" hidden="1" x14ac:dyDescent="0.25">
      <c r="B439" s="4">
        <v>584631988</v>
      </c>
      <c r="C439" s="4" t="s">
        <v>268</v>
      </c>
      <c r="D439" s="4">
        <v>157</v>
      </c>
      <c r="E439" s="4">
        <v>7</v>
      </c>
      <c r="G439">
        <f t="shared" si="6"/>
        <v>112</v>
      </c>
    </row>
    <row r="440" spans="2:7" ht="15" hidden="1" x14ac:dyDescent="0.25">
      <c r="B440" s="4">
        <v>584631988</v>
      </c>
      <c r="C440" s="4" t="s">
        <v>268</v>
      </c>
      <c r="D440" s="4">
        <v>158</v>
      </c>
      <c r="E440" s="4">
        <v>7</v>
      </c>
      <c r="G440">
        <f t="shared" si="6"/>
        <v>112</v>
      </c>
    </row>
    <row r="441" spans="2:7" ht="15" hidden="1" x14ac:dyDescent="0.25">
      <c r="B441" s="4">
        <v>584631988</v>
      </c>
      <c r="C441" s="4" t="s">
        <v>268</v>
      </c>
      <c r="D441" s="4">
        <v>158</v>
      </c>
      <c r="E441" s="4">
        <v>7</v>
      </c>
      <c r="G441">
        <f t="shared" si="6"/>
        <v>112</v>
      </c>
    </row>
    <row r="442" spans="2:7" ht="15" hidden="1" x14ac:dyDescent="0.25">
      <c r="B442" s="4">
        <v>584631988</v>
      </c>
      <c r="C442" s="4" t="s">
        <v>269</v>
      </c>
      <c r="D442" s="4">
        <v>259</v>
      </c>
      <c r="E442" s="4">
        <v>57</v>
      </c>
      <c r="G442">
        <f t="shared" si="6"/>
        <v>512</v>
      </c>
    </row>
    <row r="443" spans="2:7" ht="15" hidden="1" x14ac:dyDescent="0.25">
      <c r="B443" s="4">
        <v>584631988</v>
      </c>
      <c r="C443" s="4" t="s">
        <v>272</v>
      </c>
      <c r="D443" s="4">
        <v>14</v>
      </c>
      <c r="E443" s="4">
        <v>217</v>
      </c>
      <c r="G443">
        <f t="shared" si="6"/>
        <v>1792</v>
      </c>
    </row>
    <row r="444" spans="2:7" ht="15" hidden="1" x14ac:dyDescent="0.25">
      <c r="B444" s="4">
        <v>584631989</v>
      </c>
      <c r="C444" s="4" t="s">
        <v>269</v>
      </c>
      <c r="D444" s="4">
        <v>260</v>
      </c>
      <c r="E444" s="4">
        <v>57</v>
      </c>
      <c r="G444">
        <f t="shared" si="6"/>
        <v>512</v>
      </c>
    </row>
    <row r="445" spans="2:7" ht="15" hidden="1" x14ac:dyDescent="0.25">
      <c r="B445" s="4">
        <v>584631990</v>
      </c>
      <c r="C445" s="4" t="s">
        <v>268</v>
      </c>
      <c r="D445" s="4">
        <v>159</v>
      </c>
      <c r="E445" s="4">
        <v>7</v>
      </c>
      <c r="G445">
        <f t="shared" si="6"/>
        <v>112</v>
      </c>
    </row>
    <row r="446" spans="2:7" ht="15" hidden="1" x14ac:dyDescent="0.25">
      <c r="B446" s="4">
        <v>584631990</v>
      </c>
      <c r="C446" s="4" t="s">
        <v>268</v>
      </c>
      <c r="D446" s="4">
        <v>159</v>
      </c>
      <c r="E446" s="4">
        <v>7</v>
      </c>
      <c r="G446">
        <f t="shared" si="6"/>
        <v>112</v>
      </c>
    </row>
    <row r="447" spans="2:7" ht="15" hidden="1" x14ac:dyDescent="0.25">
      <c r="B447" s="4">
        <v>584631990</v>
      </c>
      <c r="C447" s="4" t="s">
        <v>268</v>
      </c>
      <c r="D447" s="4">
        <v>160</v>
      </c>
      <c r="E447" s="4">
        <v>5</v>
      </c>
      <c r="G447">
        <f t="shared" si="6"/>
        <v>96</v>
      </c>
    </row>
    <row r="448" spans="2:7" ht="15" hidden="1" x14ac:dyDescent="0.25">
      <c r="B448" s="4">
        <v>584631990</v>
      </c>
      <c r="C448" s="4" t="s">
        <v>268</v>
      </c>
      <c r="D448" s="4">
        <v>160</v>
      </c>
      <c r="E448" s="4">
        <v>5</v>
      </c>
      <c r="G448">
        <f t="shared" si="6"/>
        <v>96</v>
      </c>
    </row>
    <row r="449" spans="2:7" ht="15" hidden="1" x14ac:dyDescent="0.25">
      <c r="B449" s="4">
        <v>584631990</v>
      </c>
      <c r="C449" s="4" t="s">
        <v>268</v>
      </c>
      <c r="D449" s="4">
        <v>161</v>
      </c>
      <c r="E449" s="4">
        <v>7</v>
      </c>
      <c r="G449">
        <f t="shared" si="6"/>
        <v>112</v>
      </c>
    </row>
    <row r="450" spans="2:7" ht="15" hidden="1" x14ac:dyDescent="0.25">
      <c r="B450" s="4">
        <v>584631990</v>
      </c>
      <c r="C450" s="4" t="s">
        <v>268</v>
      </c>
      <c r="D450" s="4">
        <v>161</v>
      </c>
      <c r="E450" s="4">
        <v>7</v>
      </c>
      <c r="G450">
        <f t="shared" si="6"/>
        <v>112</v>
      </c>
    </row>
    <row r="451" spans="2:7" ht="15" hidden="1" x14ac:dyDescent="0.25">
      <c r="B451" s="4">
        <v>584631990</v>
      </c>
      <c r="C451" s="4" t="s">
        <v>269</v>
      </c>
      <c r="D451" s="4">
        <v>261</v>
      </c>
      <c r="E451" s="4">
        <v>57</v>
      </c>
      <c r="G451">
        <f t="shared" si="6"/>
        <v>512</v>
      </c>
    </row>
    <row r="452" spans="2:7" ht="15" hidden="1" x14ac:dyDescent="0.25">
      <c r="B452" s="4">
        <v>584631991</v>
      </c>
      <c r="C452" s="4" t="s">
        <v>269</v>
      </c>
      <c r="D452" s="4">
        <v>262</v>
      </c>
      <c r="E452" s="4">
        <v>57</v>
      </c>
      <c r="G452">
        <f t="shared" ref="G452:G515" si="7">(E452+7)*8</f>
        <v>512</v>
      </c>
    </row>
    <row r="453" spans="2:7" ht="15" hidden="1" x14ac:dyDescent="0.25">
      <c r="B453" s="4">
        <v>584631992</v>
      </c>
      <c r="C453" s="4" t="s">
        <v>269</v>
      </c>
      <c r="D453" s="4">
        <v>263</v>
      </c>
      <c r="E453" s="4">
        <v>57</v>
      </c>
      <c r="G453">
        <f t="shared" si="7"/>
        <v>512</v>
      </c>
    </row>
    <row r="454" spans="2:7" ht="15" hidden="1" x14ac:dyDescent="0.25">
      <c r="B454" s="4">
        <v>584631993</v>
      </c>
      <c r="C454" s="4" t="s">
        <v>269</v>
      </c>
      <c r="D454" s="4">
        <v>264</v>
      </c>
      <c r="E454" s="4">
        <v>57</v>
      </c>
      <c r="G454">
        <f t="shared" si="7"/>
        <v>512</v>
      </c>
    </row>
    <row r="455" spans="2:7" ht="15" hidden="1" x14ac:dyDescent="0.25">
      <c r="B455" s="4">
        <v>584631994</v>
      </c>
      <c r="C455" s="4" t="s">
        <v>269</v>
      </c>
      <c r="D455" s="4">
        <v>265</v>
      </c>
      <c r="E455" s="4">
        <v>57</v>
      </c>
      <c r="G455">
        <f t="shared" si="7"/>
        <v>512</v>
      </c>
    </row>
    <row r="456" spans="2:7" ht="15" hidden="1" x14ac:dyDescent="0.25">
      <c r="B456" s="4">
        <v>584631995</v>
      </c>
      <c r="C456" s="4" t="s">
        <v>269</v>
      </c>
      <c r="D456" s="4">
        <v>266</v>
      </c>
      <c r="E456" s="4">
        <v>57</v>
      </c>
      <c r="G456">
        <f t="shared" si="7"/>
        <v>512</v>
      </c>
    </row>
    <row r="457" spans="2:7" ht="15" hidden="1" x14ac:dyDescent="0.25">
      <c r="B457" s="4">
        <v>584631996</v>
      </c>
      <c r="C457" s="4" t="s">
        <v>269</v>
      </c>
      <c r="D457" s="4">
        <v>267</v>
      </c>
      <c r="E457" s="4">
        <v>57</v>
      </c>
      <c r="G457">
        <f t="shared" si="7"/>
        <v>512</v>
      </c>
    </row>
    <row r="458" spans="2:7" ht="15" hidden="1" x14ac:dyDescent="0.25">
      <c r="B458" s="4">
        <v>584631997</v>
      </c>
      <c r="C458" s="4" t="s">
        <v>269</v>
      </c>
      <c r="D458" s="4">
        <v>268</v>
      </c>
      <c r="E458" s="4">
        <v>57</v>
      </c>
      <c r="G458">
        <f t="shared" si="7"/>
        <v>512</v>
      </c>
    </row>
    <row r="459" spans="2:7" ht="15" hidden="1" x14ac:dyDescent="0.25">
      <c r="B459" s="4">
        <v>584631998</v>
      </c>
      <c r="C459" s="4" t="s">
        <v>269</v>
      </c>
      <c r="D459" s="4">
        <v>269</v>
      </c>
      <c r="E459" s="4">
        <v>57</v>
      </c>
      <c r="G459">
        <f t="shared" si="7"/>
        <v>512</v>
      </c>
    </row>
    <row r="460" spans="2:7" ht="15" hidden="1" x14ac:dyDescent="0.25">
      <c r="B460" s="4">
        <v>584631998</v>
      </c>
      <c r="C460" s="4" t="s">
        <v>272</v>
      </c>
      <c r="D460" s="4">
        <v>15</v>
      </c>
      <c r="E460" s="4">
        <v>219</v>
      </c>
      <c r="G460">
        <f t="shared" si="7"/>
        <v>1808</v>
      </c>
    </row>
    <row r="461" spans="2:7" ht="15" hidden="1" x14ac:dyDescent="0.25">
      <c r="B461" s="4">
        <v>584631999</v>
      </c>
      <c r="C461" s="4" t="s">
        <v>269</v>
      </c>
      <c r="D461" s="4">
        <v>270</v>
      </c>
      <c r="E461" s="4">
        <v>57</v>
      </c>
      <c r="G461">
        <f t="shared" si="7"/>
        <v>512</v>
      </c>
    </row>
    <row r="462" spans="2:7" ht="15" hidden="1" x14ac:dyDescent="0.25">
      <c r="B462" s="4">
        <v>584632000</v>
      </c>
      <c r="C462" s="4" t="s">
        <v>269</v>
      </c>
      <c r="D462" s="4">
        <v>271</v>
      </c>
      <c r="E462" s="4">
        <v>57</v>
      </c>
      <c r="G462">
        <f t="shared" si="7"/>
        <v>512</v>
      </c>
    </row>
    <row r="463" spans="2:7" ht="15" hidden="1" x14ac:dyDescent="0.25">
      <c r="B463" s="4">
        <v>584632001</v>
      </c>
      <c r="C463" s="4" t="s">
        <v>269</v>
      </c>
      <c r="D463" s="4">
        <v>272</v>
      </c>
      <c r="E463" s="4">
        <v>57</v>
      </c>
      <c r="G463">
        <f t="shared" si="7"/>
        <v>512</v>
      </c>
    </row>
    <row r="464" spans="2:7" ht="15" hidden="1" x14ac:dyDescent="0.25">
      <c r="B464" s="4">
        <v>584632002</v>
      </c>
      <c r="C464" s="4" t="s">
        <v>269</v>
      </c>
      <c r="D464" s="4">
        <v>273</v>
      </c>
      <c r="E464" s="4">
        <v>57</v>
      </c>
      <c r="G464">
        <f t="shared" si="7"/>
        <v>512</v>
      </c>
    </row>
    <row r="465" spans="2:7" ht="15" hidden="1" x14ac:dyDescent="0.25">
      <c r="B465" s="4">
        <v>584632003</v>
      </c>
      <c r="C465" s="4" t="s">
        <v>269</v>
      </c>
      <c r="D465" s="4">
        <v>274</v>
      </c>
      <c r="E465" s="4">
        <v>57</v>
      </c>
      <c r="G465">
        <f t="shared" si="7"/>
        <v>512</v>
      </c>
    </row>
    <row r="466" spans="2:7" ht="15" hidden="1" x14ac:dyDescent="0.25">
      <c r="B466" s="4">
        <v>584632004</v>
      </c>
      <c r="C466" s="4" t="s">
        <v>269</v>
      </c>
      <c r="D466" s="4">
        <v>275</v>
      </c>
      <c r="E466" s="4">
        <v>57</v>
      </c>
      <c r="G466">
        <f t="shared" si="7"/>
        <v>512</v>
      </c>
    </row>
    <row r="467" spans="2:7" ht="15" hidden="1" x14ac:dyDescent="0.25">
      <c r="B467" s="4">
        <v>584632005</v>
      </c>
      <c r="C467" s="4" t="s">
        <v>269</v>
      </c>
      <c r="D467" s="4">
        <v>276</v>
      </c>
      <c r="E467" s="4">
        <v>57</v>
      </c>
      <c r="G467">
        <f t="shared" si="7"/>
        <v>512</v>
      </c>
    </row>
    <row r="468" spans="2:7" ht="15" hidden="1" x14ac:dyDescent="0.25">
      <c r="B468" s="4">
        <v>584632006</v>
      </c>
      <c r="C468" s="4" t="s">
        <v>269</v>
      </c>
      <c r="D468" s="4">
        <v>277</v>
      </c>
      <c r="E468" s="4">
        <v>57</v>
      </c>
      <c r="G468">
        <f t="shared" si="7"/>
        <v>512</v>
      </c>
    </row>
    <row r="469" spans="2:7" ht="15" hidden="1" x14ac:dyDescent="0.25">
      <c r="B469" s="4">
        <v>584632007</v>
      </c>
      <c r="C469" s="4" t="s">
        <v>269</v>
      </c>
      <c r="D469" s="4">
        <v>278</v>
      </c>
      <c r="E469" s="4">
        <v>57</v>
      </c>
      <c r="G469">
        <f t="shared" si="7"/>
        <v>512</v>
      </c>
    </row>
    <row r="470" spans="2:7" ht="15" hidden="1" x14ac:dyDescent="0.25">
      <c r="B470" s="4">
        <v>584632008</v>
      </c>
      <c r="C470" s="4" t="s">
        <v>269</v>
      </c>
      <c r="D470" s="4">
        <v>279</v>
      </c>
      <c r="E470" s="4">
        <v>57</v>
      </c>
      <c r="G470">
        <f t="shared" si="7"/>
        <v>512</v>
      </c>
    </row>
    <row r="471" spans="2:7" ht="15" hidden="1" x14ac:dyDescent="0.25">
      <c r="B471" s="4">
        <v>584632008</v>
      </c>
      <c r="C471" s="4" t="s">
        <v>272</v>
      </c>
      <c r="D471" s="4">
        <v>16</v>
      </c>
      <c r="E471" s="4">
        <v>219</v>
      </c>
      <c r="G471">
        <f t="shared" si="7"/>
        <v>1808</v>
      </c>
    </row>
    <row r="472" spans="2:7" ht="15" hidden="1" x14ac:dyDescent="0.25">
      <c r="B472" s="4">
        <v>584632009</v>
      </c>
      <c r="C472" s="4" t="s">
        <v>269</v>
      </c>
      <c r="D472" s="4">
        <v>280</v>
      </c>
      <c r="E472" s="4">
        <v>57</v>
      </c>
      <c r="G472">
        <f t="shared" si="7"/>
        <v>512</v>
      </c>
    </row>
    <row r="473" spans="2:7" ht="15" hidden="1" x14ac:dyDescent="0.25">
      <c r="B473" s="4">
        <v>584632010</v>
      </c>
      <c r="C473" s="4" t="s">
        <v>269</v>
      </c>
      <c r="D473" s="4">
        <v>281</v>
      </c>
      <c r="E473" s="4">
        <v>57</v>
      </c>
      <c r="G473">
        <f t="shared" si="7"/>
        <v>512</v>
      </c>
    </row>
    <row r="474" spans="2:7" ht="15" hidden="1" x14ac:dyDescent="0.25">
      <c r="B474" s="4">
        <v>584632011</v>
      </c>
      <c r="C474" s="4" t="s">
        <v>269</v>
      </c>
      <c r="D474" s="4">
        <v>282</v>
      </c>
      <c r="E474" s="4">
        <v>57</v>
      </c>
      <c r="G474">
        <f t="shared" si="7"/>
        <v>512</v>
      </c>
    </row>
    <row r="475" spans="2:7" ht="15" hidden="1" x14ac:dyDescent="0.25">
      <c r="B475" s="4">
        <v>584632012</v>
      </c>
      <c r="C475" s="4" t="s">
        <v>269</v>
      </c>
      <c r="D475" s="4">
        <v>283</v>
      </c>
      <c r="E475" s="4">
        <v>57</v>
      </c>
      <c r="G475">
        <f t="shared" si="7"/>
        <v>512</v>
      </c>
    </row>
    <row r="476" spans="2:7" ht="15" hidden="1" x14ac:dyDescent="0.25">
      <c r="B476" s="4">
        <v>584632013</v>
      </c>
      <c r="C476" s="4" t="s">
        <v>269</v>
      </c>
      <c r="D476" s="4">
        <v>284</v>
      </c>
      <c r="E476" s="4">
        <v>57</v>
      </c>
      <c r="G476">
        <f t="shared" si="7"/>
        <v>512</v>
      </c>
    </row>
    <row r="477" spans="2:7" ht="15" hidden="1" x14ac:dyDescent="0.25">
      <c r="B477" s="4">
        <v>584632014</v>
      </c>
      <c r="C477" s="4" t="s">
        <v>269</v>
      </c>
      <c r="D477" s="4">
        <v>285</v>
      </c>
      <c r="E477" s="4">
        <v>57</v>
      </c>
      <c r="G477">
        <f t="shared" si="7"/>
        <v>512</v>
      </c>
    </row>
    <row r="478" spans="2:7" ht="15" hidden="1" x14ac:dyDescent="0.25">
      <c r="B478" s="4">
        <v>584632015</v>
      </c>
      <c r="C478" s="4" t="s">
        <v>269</v>
      </c>
      <c r="D478" s="4">
        <v>286</v>
      </c>
      <c r="E478" s="4">
        <v>57</v>
      </c>
      <c r="G478">
        <f t="shared" si="7"/>
        <v>512</v>
      </c>
    </row>
    <row r="479" spans="2:7" ht="15" hidden="1" x14ac:dyDescent="0.25">
      <c r="B479" s="4">
        <v>584632016</v>
      </c>
      <c r="C479" s="4" t="s">
        <v>269</v>
      </c>
      <c r="D479" s="4">
        <v>287</v>
      </c>
      <c r="E479" s="4">
        <v>57</v>
      </c>
      <c r="G479">
        <f t="shared" si="7"/>
        <v>512</v>
      </c>
    </row>
    <row r="480" spans="2:7" ht="15" hidden="1" x14ac:dyDescent="0.25">
      <c r="B480" s="4">
        <v>584632017</v>
      </c>
      <c r="C480" s="4" t="s">
        <v>269</v>
      </c>
      <c r="D480" s="4">
        <v>288</v>
      </c>
      <c r="E480" s="4">
        <v>57</v>
      </c>
      <c r="G480">
        <f t="shared" si="7"/>
        <v>512</v>
      </c>
    </row>
    <row r="481" spans="2:7" ht="15" hidden="1" x14ac:dyDescent="0.25">
      <c r="B481" s="4">
        <v>584632018</v>
      </c>
      <c r="C481" s="4" t="s">
        <v>269</v>
      </c>
      <c r="D481" s="4">
        <v>289</v>
      </c>
      <c r="E481" s="4">
        <v>57</v>
      </c>
      <c r="G481">
        <f t="shared" si="7"/>
        <v>512</v>
      </c>
    </row>
    <row r="482" spans="2:7" ht="15" hidden="1" x14ac:dyDescent="0.25">
      <c r="B482" s="4">
        <v>584632018</v>
      </c>
      <c r="C482" s="4" t="s">
        <v>272</v>
      </c>
      <c r="D482" s="4">
        <v>17</v>
      </c>
      <c r="E482" s="4">
        <v>219</v>
      </c>
      <c r="G482">
        <f t="shared" si="7"/>
        <v>1808</v>
      </c>
    </row>
    <row r="483" spans="2:7" ht="15" hidden="1" x14ac:dyDescent="0.25">
      <c r="B483" s="4">
        <v>584632019</v>
      </c>
      <c r="C483" s="4" t="s">
        <v>269</v>
      </c>
      <c r="D483" s="4">
        <v>290</v>
      </c>
      <c r="E483" s="4">
        <v>57</v>
      </c>
      <c r="G483">
        <f t="shared" si="7"/>
        <v>512</v>
      </c>
    </row>
    <row r="484" spans="2:7" ht="15" hidden="1" x14ac:dyDescent="0.25">
      <c r="B484" s="4">
        <v>584632020</v>
      </c>
      <c r="C484" s="4" t="s">
        <v>268</v>
      </c>
      <c r="D484" s="4">
        <v>162</v>
      </c>
      <c r="E484" s="4">
        <v>6</v>
      </c>
      <c r="G484">
        <f t="shared" si="7"/>
        <v>104</v>
      </c>
    </row>
    <row r="485" spans="2:7" ht="15" hidden="1" x14ac:dyDescent="0.25">
      <c r="B485" s="4">
        <v>584632020</v>
      </c>
      <c r="C485" s="4" t="s">
        <v>268</v>
      </c>
      <c r="D485" s="4">
        <v>162</v>
      </c>
      <c r="E485" s="4">
        <v>6</v>
      </c>
      <c r="G485">
        <f t="shared" si="7"/>
        <v>104</v>
      </c>
    </row>
    <row r="486" spans="2:7" ht="15" hidden="1" x14ac:dyDescent="0.25">
      <c r="B486" s="4">
        <v>584632020</v>
      </c>
      <c r="C486" s="4" t="s">
        <v>268</v>
      </c>
      <c r="D486" s="4">
        <v>163</v>
      </c>
      <c r="E486" s="4">
        <v>9</v>
      </c>
      <c r="G486">
        <f t="shared" si="7"/>
        <v>128</v>
      </c>
    </row>
    <row r="487" spans="2:7" ht="15" hidden="1" x14ac:dyDescent="0.25">
      <c r="B487" s="4">
        <v>584632020</v>
      </c>
      <c r="C487" s="4" t="s">
        <v>268</v>
      </c>
      <c r="D487" s="4">
        <v>163</v>
      </c>
      <c r="E487" s="4">
        <v>9</v>
      </c>
      <c r="G487">
        <f t="shared" si="7"/>
        <v>128</v>
      </c>
    </row>
    <row r="488" spans="2:7" ht="15" hidden="1" x14ac:dyDescent="0.25">
      <c r="B488" s="4">
        <v>584632020</v>
      </c>
      <c r="C488" s="4" t="s">
        <v>268</v>
      </c>
      <c r="D488" s="4">
        <v>164</v>
      </c>
      <c r="E488" s="4">
        <v>7</v>
      </c>
      <c r="G488">
        <f t="shared" si="7"/>
        <v>112</v>
      </c>
    </row>
    <row r="489" spans="2:7" ht="15" hidden="1" x14ac:dyDescent="0.25">
      <c r="B489" s="4">
        <v>584632020</v>
      </c>
      <c r="C489" s="4" t="s">
        <v>268</v>
      </c>
      <c r="D489" s="4">
        <v>164</v>
      </c>
      <c r="E489" s="4">
        <v>7</v>
      </c>
      <c r="G489">
        <f t="shared" si="7"/>
        <v>112</v>
      </c>
    </row>
    <row r="490" spans="2:7" ht="15" hidden="1" x14ac:dyDescent="0.25">
      <c r="B490" s="4">
        <v>584632020</v>
      </c>
      <c r="C490" s="4" t="s">
        <v>268</v>
      </c>
      <c r="D490" s="4">
        <v>165</v>
      </c>
      <c r="E490" s="4">
        <v>7</v>
      </c>
      <c r="G490">
        <f t="shared" si="7"/>
        <v>112</v>
      </c>
    </row>
    <row r="491" spans="2:7" ht="15" hidden="1" x14ac:dyDescent="0.25">
      <c r="B491" s="4">
        <v>584632020</v>
      </c>
      <c r="C491" s="4" t="s">
        <v>268</v>
      </c>
      <c r="D491" s="4">
        <v>165</v>
      </c>
      <c r="E491" s="4">
        <v>7</v>
      </c>
      <c r="G491">
        <f t="shared" si="7"/>
        <v>112</v>
      </c>
    </row>
    <row r="492" spans="2:7" ht="15" hidden="1" x14ac:dyDescent="0.25">
      <c r="B492" s="4">
        <v>584632020</v>
      </c>
      <c r="C492" s="4" t="s">
        <v>268</v>
      </c>
      <c r="D492" s="4">
        <v>166</v>
      </c>
      <c r="E492" s="4">
        <v>7</v>
      </c>
      <c r="G492">
        <f t="shared" si="7"/>
        <v>112</v>
      </c>
    </row>
    <row r="493" spans="2:7" ht="15" hidden="1" x14ac:dyDescent="0.25">
      <c r="B493" s="4">
        <v>584632020</v>
      </c>
      <c r="C493" s="4" t="s">
        <v>268</v>
      </c>
      <c r="D493" s="4">
        <v>166</v>
      </c>
      <c r="E493" s="4">
        <v>7</v>
      </c>
      <c r="G493">
        <f t="shared" si="7"/>
        <v>112</v>
      </c>
    </row>
    <row r="494" spans="2:7" ht="15" hidden="1" x14ac:dyDescent="0.25">
      <c r="B494" s="4">
        <v>584632020</v>
      </c>
      <c r="C494" s="4" t="s">
        <v>269</v>
      </c>
      <c r="D494" s="4">
        <v>291</v>
      </c>
      <c r="E494" s="4">
        <v>57</v>
      </c>
      <c r="G494">
        <f t="shared" si="7"/>
        <v>512</v>
      </c>
    </row>
    <row r="495" spans="2:7" ht="15" hidden="1" x14ac:dyDescent="0.25">
      <c r="B495" s="4">
        <v>584632021</v>
      </c>
      <c r="C495" s="4" t="s">
        <v>269</v>
      </c>
      <c r="D495" s="4">
        <v>292</v>
      </c>
      <c r="E495" s="4">
        <v>57</v>
      </c>
      <c r="G495">
        <f t="shared" si="7"/>
        <v>512</v>
      </c>
    </row>
    <row r="496" spans="2:7" ht="15" hidden="1" x14ac:dyDescent="0.25">
      <c r="B496" s="4">
        <v>584632022</v>
      </c>
      <c r="C496" s="4" t="s">
        <v>268</v>
      </c>
      <c r="D496" s="4">
        <v>167</v>
      </c>
      <c r="E496" s="4">
        <v>7</v>
      </c>
      <c r="G496">
        <f t="shared" si="7"/>
        <v>112</v>
      </c>
    </row>
    <row r="497" spans="2:7" ht="15" hidden="1" x14ac:dyDescent="0.25">
      <c r="B497" s="4">
        <v>584632022</v>
      </c>
      <c r="C497" s="4" t="s">
        <v>268</v>
      </c>
      <c r="D497" s="4">
        <v>167</v>
      </c>
      <c r="E497" s="4">
        <v>7</v>
      </c>
      <c r="G497">
        <f t="shared" si="7"/>
        <v>112</v>
      </c>
    </row>
    <row r="498" spans="2:7" ht="15" hidden="1" x14ac:dyDescent="0.25">
      <c r="B498" s="4">
        <v>584632022</v>
      </c>
      <c r="C498" s="4" t="s">
        <v>268</v>
      </c>
      <c r="D498" s="4">
        <v>168</v>
      </c>
      <c r="E498" s="4">
        <v>5</v>
      </c>
      <c r="G498">
        <f t="shared" si="7"/>
        <v>96</v>
      </c>
    </row>
    <row r="499" spans="2:7" ht="15" hidden="1" x14ac:dyDescent="0.25">
      <c r="B499" s="4">
        <v>584632022</v>
      </c>
      <c r="C499" s="4" t="s">
        <v>268</v>
      </c>
      <c r="D499" s="4">
        <v>168</v>
      </c>
      <c r="E499" s="4">
        <v>5</v>
      </c>
      <c r="G499">
        <f t="shared" si="7"/>
        <v>96</v>
      </c>
    </row>
    <row r="500" spans="2:7" ht="15" hidden="1" x14ac:dyDescent="0.25">
      <c r="B500" s="4">
        <v>584632022</v>
      </c>
      <c r="C500" s="4" t="s">
        <v>268</v>
      </c>
      <c r="D500" s="4">
        <v>169</v>
      </c>
      <c r="E500" s="4">
        <v>7</v>
      </c>
      <c r="G500">
        <f t="shared" si="7"/>
        <v>112</v>
      </c>
    </row>
    <row r="501" spans="2:7" ht="15" hidden="1" x14ac:dyDescent="0.25">
      <c r="B501" s="4">
        <v>584632022</v>
      </c>
      <c r="C501" s="4" t="s">
        <v>268</v>
      </c>
      <c r="D501" s="4">
        <v>169</v>
      </c>
      <c r="E501" s="4">
        <v>7</v>
      </c>
      <c r="G501">
        <f t="shared" si="7"/>
        <v>112</v>
      </c>
    </row>
    <row r="502" spans="2:7" ht="15" hidden="1" x14ac:dyDescent="0.25">
      <c r="B502" s="4">
        <v>584632022</v>
      </c>
      <c r="C502" s="4" t="s">
        <v>269</v>
      </c>
      <c r="D502" s="4">
        <v>293</v>
      </c>
      <c r="E502" s="4">
        <v>57</v>
      </c>
      <c r="G502">
        <f t="shared" si="7"/>
        <v>512</v>
      </c>
    </row>
    <row r="503" spans="2:7" ht="15" hidden="1" x14ac:dyDescent="0.25">
      <c r="B503" s="4">
        <v>584632023</v>
      </c>
      <c r="C503" s="4" t="s">
        <v>269</v>
      </c>
      <c r="D503" s="4">
        <v>294</v>
      </c>
      <c r="E503" s="4">
        <v>57</v>
      </c>
      <c r="G503">
        <f t="shared" si="7"/>
        <v>512</v>
      </c>
    </row>
    <row r="504" spans="2:7" ht="15" hidden="1" x14ac:dyDescent="0.25">
      <c r="B504" s="4">
        <v>584632024</v>
      </c>
      <c r="C504" s="4" t="s">
        <v>269</v>
      </c>
      <c r="D504" s="4">
        <v>295</v>
      </c>
      <c r="E504" s="4">
        <v>57</v>
      </c>
      <c r="G504">
        <f t="shared" si="7"/>
        <v>512</v>
      </c>
    </row>
    <row r="505" spans="2:7" ht="15" hidden="1" x14ac:dyDescent="0.25">
      <c r="B505" s="4">
        <v>584632025</v>
      </c>
      <c r="C505" s="4" t="s">
        <v>269</v>
      </c>
      <c r="D505" s="4">
        <v>296</v>
      </c>
      <c r="E505" s="4">
        <v>57</v>
      </c>
      <c r="G505">
        <f t="shared" si="7"/>
        <v>512</v>
      </c>
    </row>
    <row r="506" spans="2:7" ht="15" hidden="1" x14ac:dyDescent="0.25">
      <c r="B506" s="4">
        <v>584632026</v>
      </c>
      <c r="C506" s="4" t="s">
        <v>269</v>
      </c>
      <c r="D506" s="4">
        <v>297</v>
      </c>
      <c r="E506" s="4">
        <v>57</v>
      </c>
      <c r="G506">
        <f t="shared" si="7"/>
        <v>512</v>
      </c>
    </row>
    <row r="507" spans="2:7" ht="15" hidden="1" x14ac:dyDescent="0.25">
      <c r="B507" s="4">
        <v>584632027</v>
      </c>
      <c r="C507" s="4" t="s">
        <v>269</v>
      </c>
      <c r="D507" s="4">
        <v>298</v>
      </c>
      <c r="E507" s="4">
        <v>57</v>
      </c>
      <c r="G507">
        <f t="shared" si="7"/>
        <v>512</v>
      </c>
    </row>
    <row r="508" spans="2:7" ht="15" hidden="1" x14ac:dyDescent="0.25">
      <c r="B508" s="4">
        <v>584632028</v>
      </c>
      <c r="C508" s="4" t="s">
        <v>269</v>
      </c>
      <c r="D508" s="4">
        <v>299</v>
      </c>
      <c r="E508" s="4">
        <v>57</v>
      </c>
      <c r="G508">
        <f t="shared" si="7"/>
        <v>512</v>
      </c>
    </row>
    <row r="509" spans="2:7" ht="15" hidden="1" x14ac:dyDescent="0.25">
      <c r="B509" s="4">
        <v>584632028</v>
      </c>
      <c r="C509" s="4" t="s">
        <v>272</v>
      </c>
      <c r="D509" s="4">
        <v>18</v>
      </c>
      <c r="E509" s="4">
        <v>225</v>
      </c>
      <c r="G509">
        <f t="shared" si="7"/>
        <v>1856</v>
      </c>
    </row>
    <row r="510" spans="2:7" ht="15" hidden="1" x14ac:dyDescent="0.25">
      <c r="B510" s="4">
        <v>584632029</v>
      </c>
      <c r="C510" s="4" t="s">
        <v>269</v>
      </c>
      <c r="D510" s="4">
        <v>300</v>
      </c>
      <c r="E510" s="4">
        <v>57</v>
      </c>
      <c r="G510">
        <f t="shared" si="7"/>
        <v>512</v>
      </c>
    </row>
    <row r="511" spans="2:7" ht="15" hidden="1" x14ac:dyDescent="0.25">
      <c r="B511" s="4">
        <v>584632030</v>
      </c>
      <c r="C511" s="4" t="s">
        <v>269</v>
      </c>
      <c r="D511" s="4">
        <v>301</v>
      </c>
      <c r="E511" s="4">
        <v>57</v>
      </c>
      <c r="G511">
        <f t="shared" si="7"/>
        <v>512</v>
      </c>
    </row>
    <row r="512" spans="2:7" ht="15" hidden="1" x14ac:dyDescent="0.25">
      <c r="B512" s="4">
        <v>584632031</v>
      </c>
      <c r="C512" s="4" t="s">
        <v>269</v>
      </c>
      <c r="D512" s="4">
        <v>302</v>
      </c>
      <c r="E512" s="4">
        <v>57</v>
      </c>
      <c r="G512">
        <f t="shared" si="7"/>
        <v>512</v>
      </c>
    </row>
    <row r="513" spans="2:7" ht="15" hidden="1" x14ac:dyDescent="0.25">
      <c r="B513" s="4">
        <v>584632032</v>
      </c>
      <c r="C513" s="4" t="s">
        <v>269</v>
      </c>
      <c r="D513" s="4">
        <v>303</v>
      </c>
      <c r="E513" s="4">
        <v>57</v>
      </c>
      <c r="G513">
        <f t="shared" si="7"/>
        <v>512</v>
      </c>
    </row>
    <row r="514" spans="2:7" ht="15" hidden="1" x14ac:dyDescent="0.25">
      <c r="B514" s="4">
        <v>584632033</v>
      </c>
      <c r="C514" s="4" t="s">
        <v>269</v>
      </c>
      <c r="D514" s="4">
        <v>304</v>
      </c>
      <c r="E514" s="4">
        <v>57</v>
      </c>
      <c r="G514">
        <f t="shared" si="7"/>
        <v>512</v>
      </c>
    </row>
    <row r="515" spans="2:7" ht="15" hidden="1" x14ac:dyDescent="0.25">
      <c r="B515" s="4">
        <v>584632034</v>
      </c>
      <c r="C515" s="4" t="s">
        <v>269</v>
      </c>
      <c r="D515" s="4">
        <v>305</v>
      </c>
      <c r="E515" s="4">
        <v>57</v>
      </c>
      <c r="G515">
        <f t="shared" si="7"/>
        <v>512</v>
      </c>
    </row>
    <row r="516" spans="2:7" ht="15" hidden="1" x14ac:dyDescent="0.25">
      <c r="B516" s="4">
        <v>584632035</v>
      </c>
      <c r="C516" s="4" t="s">
        <v>269</v>
      </c>
      <c r="D516" s="4">
        <v>306</v>
      </c>
      <c r="E516" s="4">
        <v>57</v>
      </c>
      <c r="G516">
        <f t="shared" ref="G516:G579" si="8">(E516+7)*8</f>
        <v>512</v>
      </c>
    </row>
    <row r="517" spans="2:7" ht="15" hidden="1" x14ac:dyDescent="0.25">
      <c r="B517" s="4">
        <v>584632036</v>
      </c>
      <c r="C517" s="4" t="s">
        <v>269</v>
      </c>
      <c r="D517" s="4">
        <v>307</v>
      </c>
      <c r="E517" s="4">
        <v>57</v>
      </c>
      <c r="G517">
        <f t="shared" si="8"/>
        <v>512</v>
      </c>
    </row>
    <row r="518" spans="2:7" ht="15" hidden="1" x14ac:dyDescent="0.25">
      <c r="B518" s="4">
        <v>584632037</v>
      </c>
      <c r="C518" s="4" t="s">
        <v>269</v>
      </c>
      <c r="D518" s="4">
        <v>308</v>
      </c>
      <c r="E518" s="4">
        <v>57</v>
      </c>
      <c r="G518">
        <f t="shared" si="8"/>
        <v>512</v>
      </c>
    </row>
    <row r="519" spans="2:7" ht="15" hidden="1" x14ac:dyDescent="0.25">
      <c r="B519" s="4">
        <v>584632038</v>
      </c>
      <c r="C519" s="4" t="s">
        <v>269</v>
      </c>
      <c r="D519" s="4">
        <v>309</v>
      </c>
      <c r="E519" s="4">
        <v>57</v>
      </c>
      <c r="G519">
        <f t="shared" si="8"/>
        <v>512</v>
      </c>
    </row>
    <row r="520" spans="2:7" ht="15" hidden="1" x14ac:dyDescent="0.25">
      <c r="B520" s="4">
        <v>584632038</v>
      </c>
      <c r="C520" s="4" t="s">
        <v>272</v>
      </c>
      <c r="D520" s="4">
        <v>19</v>
      </c>
      <c r="E520" s="4">
        <v>225</v>
      </c>
      <c r="G520">
        <f t="shared" si="8"/>
        <v>1856</v>
      </c>
    </row>
    <row r="521" spans="2:7" ht="15" hidden="1" x14ac:dyDescent="0.25">
      <c r="B521" s="4">
        <v>584632039</v>
      </c>
      <c r="C521" s="4" t="s">
        <v>269</v>
      </c>
      <c r="D521" s="4">
        <v>310</v>
      </c>
      <c r="E521" s="4">
        <v>57</v>
      </c>
      <c r="G521">
        <f t="shared" si="8"/>
        <v>512</v>
      </c>
    </row>
    <row r="522" spans="2:7" ht="15" hidden="1" x14ac:dyDescent="0.25">
      <c r="B522" s="4">
        <v>584632040</v>
      </c>
      <c r="C522" s="4" t="s">
        <v>269</v>
      </c>
      <c r="D522" s="4">
        <v>311</v>
      </c>
      <c r="E522" s="4">
        <v>57</v>
      </c>
      <c r="G522">
        <f t="shared" si="8"/>
        <v>512</v>
      </c>
    </row>
    <row r="523" spans="2:7" ht="15" hidden="1" x14ac:dyDescent="0.25">
      <c r="B523" s="4">
        <v>584632041</v>
      </c>
      <c r="C523" s="4" t="s">
        <v>269</v>
      </c>
      <c r="D523" s="4">
        <v>312</v>
      </c>
      <c r="E523" s="4">
        <v>57</v>
      </c>
      <c r="G523">
        <f t="shared" si="8"/>
        <v>512</v>
      </c>
    </row>
    <row r="524" spans="2:7" ht="15" hidden="1" x14ac:dyDescent="0.25">
      <c r="B524" s="4">
        <v>584632042</v>
      </c>
      <c r="C524" s="4" t="s">
        <v>269</v>
      </c>
      <c r="D524" s="4">
        <v>313</v>
      </c>
      <c r="E524" s="4">
        <v>57</v>
      </c>
      <c r="G524">
        <f t="shared" si="8"/>
        <v>512</v>
      </c>
    </row>
    <row r="525" spans="2:7" ht="15" hidden="1" x14ac:dyDescent="0.25">
      <c r="B525" s="4">
        <v>584632043</v>
      </c>
      <c r="C525" s="4" t="s">
        <v>269</v>
      </c>
      <c r="D525" s="4">
        <v>314</v>
      </c>
      <c r="E525" s="4">
        <v>57</v>
      </c>
      <c r="G525">
        <f t="shared" si="8"/>
        <v>512</v>
      </c>
    </row>
    <row r="526" spans="2:7" ht="15" hidden="1" x14ac:dyDescent="0.25">
      <c r="B526" s="4">
        <v>584632044</v>
      </c>
      <c r="C526" s="4" t="s">
        <v>269</v>
      </c>
      <c r="D526" s="4">
        <v>315</v>
      </c>
      <c r="E526" s="4">
        <v>57</v>
      </c>
      <c r="G526">
        <f t="shared" si="8"/>
        <v>512</v>
      </c>
    </row>
    <row r="527" spans="2:7" ht="15" hidden="1" x14ac:dyDescent="0.25">
      <c r="B527" s="4">
        <v>584632045</v>
      </c>
      <c r="C527" s="4" t="s">
        <v>269</v>
      </c>
      <c r="D527" s="4">
        <v>316</v>
      </c>
      <c r="E527" s="4">
        <v>57</v>
      </c>
      <c r="G527">
        <f t="shared" si="8"/>
        <v>512</v>
      </c>
    </row>
    <row r="528" spans="2:7" ht="15" hidden="1" x14ac:dyDescent="0.25">
      <c r="B528" s="4">
        <v>584632046</v>
      </c>
      <c r="C528" s="4" t="s">
        <v>269</v>
      </c>
      <c r="D528" s="4">
        <v>317</v>
      </c>
      <c r="E528" s="4">
        <v>57</v>
      </c>
      <c r="G528">
        <f t="shared" si="8"/>
        <v>512</v>
      </c>
    </row>
    <row r="529" spans="2:7" ht="15" hidden="1" x14ac:dyDescent="0.25">
      <c r="B529" s="4">
        <v>584632047</v>
      </c>
      <c r="C529" s="4" t="s">
        <v>269</v>
      </c>
      <c r="D529" s="4">
        <v>318</v>
      </c>
      <c r="E529" s="4">
        <v>57</v>
      </c>
      <c r="G529">
        <f t="shared" si="8"/>
        <v>512</v>
      </c>
    </row>
    <row r="530" spans="2:7" ht="15" hidden="1" x14ac:dyDescent="0.25">
      <c r="B530" s="4">
        <v>584632048</v>
      </c>
      <c r="C530" s="4" t="s">
        <v>269</v>
      </c>
      <c r="D530" s="4">
        <v>319</v>
      </c>
      <c r="E530" s="4">
        <v>57</v>
      </c>
      <c r="G530">
        <f t="shared" si="8"/>
        <v>512</v>
      </c>
    </row>
    <row r="531" spans="2:7" ht="15" hidden="1" x14ac:dyDescent="0.25">
      <c r="B531" s="4">
        <v>584632048</v>
      </c>
      <c r="C531" s="4" t="s">
        <v>272</v>
      </c>
      <c r="D531" s="4">
        <v>20</v>
      </c>
      <c r="E531" s="4">
        <v>225</v>
      </c>
      <c r="G531">
        <f t="shared" si="8"/>
        <v>1856</v>
      </c>
    </row>
    <row r="532" spans="2:7" ht="15" hidden="1" x14ac:dyDescent="0.25">
      <c r="B532" s="4">
        <v>584632049</v>
      </c>
      <c r="C532" s="4" t="s">
        <v>269</v>
      </c>
      <c r="D532" s="4">
        <v>320</v>
      </c>
      <c r="E532" s="4">
        <v>57</v>
      </c>
      <c r="G532">
        <f t="shared" si="8"/>
        <v>512</v>
      </c>
    </row>
    <row r="533" spans="2:7" ht="15" hidden="1" x14ac:dyDescent="0.25">
      <c r="B533" s="4">
        <v>584632050</v>
      </c>
      <c r="C533" s="4" t="s">
        <v>269</v>
      </c>
      <c r="D533" s="4">
        <v>321</v>
      </c>
      <c r="E533" s="4">
        <v>57</v>
      </c>
      <c r="G533">
        <f t="shared" si="8"/>
        <v>512</v>
      </c>
    </row>
    <row r="534" spans="2:7" ht="15" hidden="1" x14ac:dyDescent="0.25">
      <c r="B534" s="4">
        <v>584632051</v>
      </c>
      <c r="C534" s="4" t="s">
        <v>269</v>
      </c>
      <c r="D534" s="4">
        <v>322</v>
      </c>
      <c r="E534" s="4">
        <v>57</v>
      </c>
      <c r="G534">
        <f t="shared" si="8"/>
        <v>512</v>
      </c>
    </row>
    <row r="535" spans="2:7" ht="15" hidden="1" x14ac:dyDescent="0.25">
      <c r="B535" s="4">
        <v>584632052</v>
      </c>
      <c r="C535" s="4" t="s">
        <v>268</v>
      </c>
      <c r="D535" s="4">
        <v>170</v>
      </c>
      <c r="E535" s="4">
        <v>6</v>
      </c>
      <c r="G535">
        <f t="shared" si="8"/>
        <v>104</v>
      </c>
    </row>
    <row r="536" spans="2:7" ht="15" hidden="1" x14ac:dyDescent="0.25">
      <c r="B536" s="4">
        <v>584632052</v>
      </c>
      <c r="C536" s="4" t="s">
        <v>268</v>
      </c>
      <c r="D536" s="4">
        <v>170</v>
      </c>
      <c r="E536" s="4">
        <v>6</v>
      </c>
      <c r="G536">
        <f t="shared" si="8"/>
        <v>104</v>
      </c>
    </row>
    <row r="537" spans="2:7" ht="15" hidden="1" x14ac:dyDescent="0.25">
      <c r="B537" s="4">
        <v>584632052</v>
      </c>
      <c r="C537" s="4" t="s">
        <v>268</v>
      </c>
      <c r="D537" s="4">
        <v>171</v>
      </c>
      <c r="E537" s="4">
        <v>9</v>
      </c>
      <c r="G537">
        <f t="shared" si="8"/>
        <v>128</v>
      </c>
    </row>
    <row r="538" spans="2:7" ht="15" hidden="1" x14ac:dyDescent="0.25">
      <c r="B538" s="4">
        <v>584632052</v>
      </c>
      <c r="C538" s="4" t="s">
        <v>268</v>
      </c>
      <c r="D538" s="4">
        <v>171</v>
      </c>
      <c r="E538" s="4">
        <v>9</v>
      </c>
      <c r="G538">
        <f t="shared" si="8"/>
        <v>128</v>
      </c>
    </row>
    <row r="539" spans="2:7" ht="15" hidden="1" x14ac:dyDescent="0.25">
      <c r="B539" s="4">
        <v>584632052</v>
      </c>
      <c r="C539" s="4" t="s">
        <v>268</v>
      </c>
      <c r="D539" s="4">
        <v>172</v>
      </c>
      <c r="E539" s="4">
        <v>7</v>
      </c>
      <c r="G539">
        <f t="shared" si="8"/>
        <v>112</v>
      </c>
    </row>
    <row r="540" spans="2:7" ht="15" hidden="1" x14ac:dyDescent="0.25">
      <c r="B540" s="4">
        <v>584632052</v>
      </c>
      <c r="C540" s="4" t="s">
        <v>268</v>
      </c>
      <c r="D540" s="4">
        <v>172</v>
      </c>
      <c r="E540" s="4">
        <v>7</v>
      </c>
      <c r="G540">
        <f t="shared" si="8"/>
        <v>112</v>
      </c>
    </row>
    <row r="541" spans="2:7" ht="15" hidden="1" x14ac:dyDescent="0.25">
      <c r="B541" s="4">
        <v>584632052</v>
      </c>
      <c r="C541" s="4" t="s">
        <v>268</v>
      </c>
      <c r="D541" s="4">
        <v>173</v>
      </c>
      <c r="E541" s="4">
        <v>7</v>
      </c>
      <c r="G541">
        <f t="shared" si="8"/>
        <v>112</v>
      </c>
    </row>
    <row r="542" spans="2:7" ht="15" hidden="1" x14ac:dyDescent="0.25">
      <c r="B542" s="4">
        <v>584632052</v>
      </c>
      <c r="C542" s="4" t="s">
        <v>268</v>
      </c>
      <c r="D542" s="4">
        <v>173</v>
      </c>
      <c r="E542" s="4">
        <v>7</v>
      </c>
      <c r="G542">
        <f t="shared" si="8"/>
        <v>112</v>
      </c>
    </row>
    <row r="543" spans="2:7" ht="15" hidden="1" x14ac:dyDescent="0.25">
      <c r="B543" s="4">
        <v>584632052</v>
      </c>
      <c r="C543" s="4" t="s">
        <v>268</v>
      </c>
      <c r="D543" s="4">
        <v>174</v>
      </c>
      <c r="E543" s="4">
        <v>7</v>
      </c>
      <c r="G543">
        <f t="shared" si="8"/>
        <v>112</v>
      </c>
    </row>
    <row r="544" spans="2:7" ht="15" hidden="1" x14ac:dyDescent="0.25">
      <c r="B544" s="4">
        <v>584632052</v>
      </c>
      <c r="C544" s="4" t="s">
        <v>268</v>
      </c>
      <c r="D544" s="4">
        <v>174</v>
      </c>
      <c r="E544" s="4">
        <v>7</v>
      </c>
      <c r="G544">
        <f t="shared" si="8"/>
        <v>112</v>
      </c>
    </row>
    <row r="545" spans="2:7" ht="15" hidden="1" x14ac:dyDescent="0.25">
      <c r="B545" s="4">
        <v>584632052</v>
      </c>
      <c r="C545" s="4" t="s">
        <v>269</v>
      </c>
      <c r="D545" s="4">
        <v>323</v>
      </c>
      <c r="E545" s="4">
        <v>57</v>
      </c>
      <c r="G545">
        <f t="shared" si="8"/>
        <v>512</v>
      </c>
    </row>
    <row r="546" spans="2:7" ht="15" hidden="1" x14ac:dyDescent="0.25">
      <c r="B546" s="4">
        <v>584632053</v>
      </c>
      <c r="C546" s="4" t="s">
        <v>269</v>
      </c>
      <c r="D546" s="4">
        <v>324</v>
      </c>
      <c r="E546" s="4">
        <v>57</v>
      </c>
      <c r="G546">
        <f t="shared" si="8"/>
        <v>512</v>
      </c>
    </row>
    <row r="547" spans="2:7" ht="15" hidden="1" x14ac:dyDescent="0.25">
      <c r="B547" s="4">
        <v>584632054</v>
      </c>
      <c r="C547" s="4" t="s">
        <v>268</v>
      </c>
      <c r="D547" s="4">
        <v>175</v>
      </c>
      <c r="E547" s="4">
        <v>7</v>
      </c>
      <c r="G547">
        <f t="shared" si="8"/>
        <v>112</v>
      </c>
    </row>
    <row r="548" spans="2:7" ht="15" hidden="1" x14ac:dyDescent="0.25">
      <c r="B548" s="4">
        <v>584632054</v>
      </c>
      <c r="C548" s="4" t="s">
        <v>268</v>
      </c>
      <c r="D548" s="4">
        <v>175</v>
      </c>
      <c r="E548" s="4">
        <v>7</v>
      </c>
      <c r="G548">
        <f t="shared" si="8"/>
        <v>112</v>
      </c>
    </row>
    <row r="549" spans="2:7" ht="15" hidden="1" x14ac:dyDescent="0.25">
      <c r="B549" s="4">
        <v>584632054</v>
      </c>
      <c r="C549" s="4" t="s">
        <v>268</v>
      </c>
      <c r="D549" s="4">
        <v>176</v>
      </c>
      <c r="E549" s="4">
        <v>5</v>
      </c>
      <c r="G549">
        <f t="shared" si="8"/>
        <v>96</v>
      </c>
    </row>
    <row r="550" spans="2:7" ht="15" hidden="1" x14ac:dyDescent="0.25">
      <c r="B550" s="4">
        <v>584632054</v>
      </c>
      <c r="C550" s="4" t="s">
        <v>268</v>
      </c>
      <c r="D550" s="4">
        <v>176</v>
      </c>
      <c r="E550" s="4">
        <v>5</v>
      </c>
      <c r="G550">
        <f t="shared" si="8"/>
        <v>96</v>
      </c>
    </row>
    <row r="551" spans="2:7" ht="15" hidden="1" x14ac:dyDescent="0.25">
      <c r="B551" s="4">
        <v>584632054</v>
      </c>
      <c r="C551" s="4" t="s">
        <v>268</v>
      </c>
      <c r="D551" s="4">
        <v>177</v>
      </c>
      <c r="E551" s="4">
        <v>7</v>
      </c>
      <c r="G551">
        <f t="shared" si="8"/>
        <v>112</v>
      </c>
    </row>
    <row r="552" spans="2:7" ht="15" hidden="1" x14ac:dyDescent="0.25">
      <c r="B552" s="4">
        <v>584632054</v>
      </c>
      <c r="C552" s="4" t="s">
        <v>268</v>
      </c>
      <c r="D552" s="4">
        <v>177</v>
      </c>
      <c r="E552" s="4">
        <v>7</v>
      </c>
      <c r="G552">
        <f t="shared" si="8"/>
        <v>112</v>
      </c>
    </row>
    <row r="553" spans="2:7" ht="15" hidden="1" x14ac:dyDescent="0.25">
      <c r="B553" s="4">
        <v>584632054</v>
      </c>
      <c r="C553" s="4" t="s">
        <v>269</v>
      </c>
      <c r="D553" s="4">
        <v>325</v>
      </c>
      <c r="E553" s="4">
        <v>57</v>
      </c>
      <c r="G553">
        <f t="shared" si="8"/>
        <v>512</v>
      </c>
    </row>
    <row r="554" spans="2:7" ht="15" hidden="1" x14ac:dyDescent="0.25">
      <c r="B554" s="4">
        <v>584632055</v>
      </c>
      <c r="C554" s="4" t="s">
        <v>269</v>
      </c>
      <c r="D554" s="4">
        <v>326</v>
      </c>
      <c r="E554" s="4">
        <v>57</v>
      </c>
      <c r="G554">
        <f t="shared" si="8"/>
        <v>512</v>
      </c>
    </row>
    <row r="555" spans="2:7" ht="15" hidden="1" x14ac:dyDescent="0.25">
      <c r="B555" s="4">
        <v>584632056</v>
      </c>
      <c r="C555" s="4" t="s">
        <v>269</v>
      </c>
      <c r="D555" s="4">
        <v>327</v>
      </c>
      <c r="E555" s="4">
        <v>57</v>
      </c>
      <c r="G555">
        <f t="shared" si="8"/>
        <v>512</v>
      </c>
    </row>
    <row r="556" spans="2:7" ht="15" hidden="1" x14ac:dyDescent="0.25">
      <c r="B556" s="4">
        <v>584632057</v>
      </c>
      <c r="C556" s="4" t="s">
        <v>269</v>
      </c>
      <c r="D556" s="4">
        <v>328</v>
      </c>
      <c r="E556" s="4">
        <v>57</v>
      </c>
      <c r="G556">
        <f t="shared" si="8"/>
        <v>512</v>
      </c>
    </row>
    <row r="557" spans="2:7" ht="15" hidden="1" x14ac:dyDescent="0.25">
      <c r="B557" s="4">
        <v>584632058</v>
      </c>
      <c r="C557" s="4" t="s">
        <v>269</v>
      </c>
      <c r="D557" s="4">
        <v>329</v>
      </c>
      <c r="E557" s="4">
        <v>57</v>
      </c>
      <c r="G557">
        <f t="shared" si="8"/>
        <v>512</v>
      </c>
    </row>
    <row r="558" spans="2:7" ht="15" hidden="1" x14ac:dyDescent="0.25">
      <c r="B558" s="4">
        <v>584632058</v>
      </c>
      <c r="C558" s="4" t="s">
        <v>272</v>
      </c>
      <c r="D558" s="4">
        <v>21</v>
      </c>
      <c r="E558" s="4">
        <v>225</v>
      </c>
      <c r="G558">
        <f t="shared" si="8"/>
        <v>1856</v>
      </c>
    </row>
    <row r="559" spans="2:7" ht="15" hidden="1" x14ac:dyDescent="0.25">
      <c r="B559" s="4">
        <v>584632059</v>
      </c>
      <c r="C559" s="4" t="s">
        <v>269</v>
      </c>
      <c r="D559" s="4">
        <v>330</v>
      </c>
      <c r="E559" s="4">
        <v>57</v>
      </c>
      <c r="G559">
        <f t="shared" si="8"/>
        <v>512</v>
      </c>
    </row>
    <row r="560" spans="2:7" ht="15" hidden="1" x14ac:dyDescent="0.25">
      <c r="B560" s="4">
        <v>584632060</v>
      </c>
      <c r="C560" s="4" t="s">
        <v>269</v>
      </c>
      <c r="D560" s="4">
        <v>331</v>
      </c>
      <c r="E560" s="4">
        <v>57</v>
      </c>
      <c r="G560">
        <f t="shared" si="8"/>
        <v>512</v>
      </c>
    </row>
    <row r="561" spans="2:7" ht="15" hidden="1" x14ac:dyDescent="0.25">
      <c r="B561" s="4">
        <v>584632061</v>
      </c>
      <c r="C561" s="4" t="s">
        <v>269</v>
      </c>
      <c r="D561" s="4">
        <v>332</v>
      </c>
      <c r="E561" s="4">
        <v>57</v>
      </c>
      <c r="G561">
        <f t="shared" si="8"/>
        <v>512</v>
      </c>
    </row>
    <row r="562" spans="2:7" ht="15" hidden="1" x14ac:dyDescent="0.25">
      <c r="B562" s="4">
        <v>584632062</v>
      </c>
      <c r="C562" s="4" t="s">
        <v>269</v>
      </c>
      <c r="D562" s="4">
        <v>333</v>
      </c>
      <c r="E562" s="4">
        <v>57</v>
      </c>
      <c r="G562">
        <f t="shared" si="8"/>
        <v>512</v>
      </c>
    </row>
    <row r="563" spans="2:7" ht="15" hidden="1" x14ac:dyDescent="0.25">
      <c r="B563" s="4">
        <v>584632063</v>
      </c>
      <c r="C563" s="4" t="s">
        <v>269</v>
      </c>
      <c r="D563" s="4">
        <v>334</v>
      </c>
      <c r="E563" s="4">
        <v>57</v>
      </c>
      <c r="G563">
        <f t="shared" si="8"/>
        <v>512</v>
      </c>
    </row>
    <row r="564" spans="2:7" ht="15" hidden="1" x14ac:dyDescent="0.25">
      <c r="B564" s="4">
        <v>584632064</v>
      </c>
      <c r="C564" s="4" t="s">
        <v>269</v>
      </c>
      <c r="D564" s="4">
        <v>335</v>
      </c>
      <c r="E564" s="4">
        <v>57</v>
      </c>
      <c r="G564">
        <f t="shared" si="8"/>
        <v>512</v>
      </c>
    </row>
    <row r="565" spans="2:7" ht="15" hidden="1" x14ac:dyDescent="0.25">
      <c r="B565" s="4">
        <v>584632065</v>
      </c>
      <c r="C565" s="4" t="s">
        <v>269</v>
      </c>
      <c r="D565" s="4">
        <v>336</v>
      </c>
      <c r="E565" s="4">
        <v>57</v>
      </c>
      <c r="G565">
        <f t="shared" si="8"/>
        <v>512</v>
      </c>
    </row>
    <row r="566" spans="2:7" ht="15" hidden="1" x14ac:dyDescent="0.25">
      <c r="B566" s="4">
        <v>584632066</v>
      </c>
      <c r="C566" s="4" t="s">
        <v>269</v>
      </c>
      <c r="D566" s="4">
        <v>337</v>
      </c>
      <c r="E566" s="4">
        <v>57</v>
      </c>
      <c r="G566">
        <f t="shared" si="8"/>
        <v>512</v>
      </c>
    </row>
    <row r="567" spans="2:7" ht="15" hidden="1" x14ac:dyDescent="0.25">
      <c r="B567" s="4">
        <v>584632067</v>
      </c>
      <c r="C567" s="4" t="s">
        <v>269</v>
      </c>
      <c r="D567" s="4">
        <v>338</v>
      </c>
      <c r="E567" s="4">
        <v>57</v>
      </c>
      <c r="G567">
        <f t="shared" si="8"/>
        <v>512</v>
      </c>
    </row>
    <row r="568" spans="2:7" ht="15" hidden="1" x14ac:dyDescent="0.25">
      <c r="B568" s="4">
        <v>584632068</v>
      </c>
      <c r="C568" s="4" t="s">
        <v>269</v>
      </c>
      <c r="D568" s="4">
        <v>339</v>
      </c>
      <c r="E568" s="4">
        <v>57</v>
      </c>
      <c r="G568">
        <f t="shared" si="8"/>
        <v>512</v>
      </c>
    </row>
    <row r="569" spans="2:7" ht="15" hidden="1" x14ac:dyDescent="0.25">
      <c r="B569" s="4">
        <v>584632068</v>
      </c>
      <c r="C569" s="4" t="s">
        <v>272</v>
      </c>
      <c r="D569" s="4">
        <v>22</v>
      </c>
      <c r="E569" s="4">
        <v>225</v>
      </c>
      <c r="G569">
        <f t="shared" si="8"/>
        <v>1856</v>
      </c>
    </row>
    <row r="570" spans="2:7" ht="15" hidden="1" x14ac:dyDescent="0.25">
      <c r="B570" s="4">
        <v>584632069</v>
      </c>
      <c r="C570" s="4" t="s">
        <v>269</v>
      </c>
      <c r="D570" s="4">
        <v>340</v>
      </c>
      <c r="E570" s="4">
        <v>57</v>
      </c>
      <c r="G570">
        <f t="shared" si="8"/>
        <v>512</v>
      </c>
    </row>
    <row r="571" spans="2:7" ht="15" hidden="1" x14ac:dyDescent="0.25">
      <c r="B571" s="4">
        <v>584632070</v>
      </c>
      <c r="C571" s="4" t="s">
        <v>269</v>
      </c>
      <c r="D571" s="4">
        <v>341</v>
      </c>
      <c r="E571" s="4">
        <v>57</v>
      </c>
      <c r="G571">
        <f t="shared" si="8"/>
        <v>512</v>
      </c>
    </row>
    <row r="572" spans="2:7" ht="15" hidden="1" x14ac:dyDescent="0.25">
      <c r="B572" s="4">
        <v>584632071</v>
      </c>
      <c r="C572" s="4" t="s">
        <v>269</v>
      </c>
      <c r="D572" s="4">
        <v>342</v>
      </c>
      <c r="E572" s="4">
        <v>57</v>
      </c>
      <c r="G572">
        <f t="shared" si="8"/>
        <v>512</v>
      </c>
    </row>
    <row r="573" spans="2:7" ht="15" hidden="1" x14ac:dyDescent="0.25">
      <c r="B573" s="4">
        <v>584632072</v>
      </c>
      <c r="C573" s="4" t="s">
        <v>269</v>
      </c>
      <c r="D573" s="4">
        <v>343</v>
      </c>
      <c r="E573" s="4">
        <v>57</v>
      </c>
      <c r="G573">
        <f t="shared" si="8"/>
        <v>512</v>
      </c>
    </row>
    <row r="574" spans="2:7" ht="15" hidden="1" x14ac:dyDescent="0.25">
      <c r="B574" s="4">
        <v>584632073</v>
      </c>
      <c r="C574" s="4" t="s">
        <v>269</v>
      </c>
      <c r="D574" s="4">
        <v>344</v>
      </c>
      <c r="E574" s="4">
        <v>57</v>
      </c>
      <c r="G574">
        <f t="shared" si="8"/>
        <v>512</v>
      </c>
    </row>
    <row r="575" spans="2:7" ht="15" hidden="1" x14ac:dyDescent="0.25">
      <c r="B575" s="4">
        <v>584632074</v>
      </c>
      <c r="C575" s="4" t="s">
        <v>269</v>
      </c>
      <c r="D575" s="4">
        <v>345</v>
      </c>
      <c r="E575" s="4">
        <v>57</v>
      </c>
      <c r="G575">
        <f t="shared" si="8"/>
        <v>512</v>
      </c>
    </row>
    <row r="576" spans="2:7" ht="15" hidden="1" x14ac:dyDescent="0.25">
      <c r="B576" s="4">
        <v>584632075</v>
      </c>
      <c r="C576" s="4" t="s">
        <v>269</v>
      </c>
      <c r="D576" s="4">
        <v>346</v>
      </c>
      <c r="E576" s="4">
        <v>57</v>
      </c>
      <c r="G576">
        <f t="shared" si="8"/>
        <v>512</v>
      </c>
    </row>
    <row r="577" spans="2:7" ht="15" hidden="1" x14ac:dyDescent="0.25">
      <c r="B577" s="4">
        <v>584632076</v>
      </c>
      <c r="C577" s="4" t="s">
        <v>269</v>
      </c>
      <c r="D577" s="4">
        <v>347</v>
      </c>
      <c r="E577" s="4">
        <v>57</v>
      </c>
      <c r="G577">
        <f t="shared" si="8"/>
        <v>512</v>
      </c>
    </row>
    <row r="578" spans="2:7" ht="15" hidden="1" x14ac:dyDescent="0.25">
      <c r="B578" s="4">
        <v>584632077</v>
      </c>
      <c r="C578" s="4" t="s">
        <v>269</v>
      </c>
      <c r="D578" s="4">
        <v>348</v>
      </c>
      <c r="E578" s="4">
        <v>57</v>
      </c>
      <c r="G578">
        <f t="shared" si="8"/>
        <v>512</v>
      </c>
    </row>
    <row r="579" spans="2:7" ht="15" hidden="1" x14ac:dyDescent="0.25">
      <c r="B579" s="4">
        <v>584632078</v>
      </c>
      <c r="C579" s="4" t="s">
        <v>269</v>
      </c>
      <c r="D579" s="4">
        <v>349</v>
      </c>
      <c r="E579" s="4">
        <v>57</v>
      </c>
      <c r="G579">
        <f t="shared" si="8"/>
        <v>512</v>
      </c>
    </row>
    <row r="580" spans="2:7" ht="15" hidden="1" x14ac:dyDescent="0.25">
      <c r="B580" s="4">
        <v>584632078</v>
      </c>
      <c r="C580" s="4" t="s">
        <v>272</v>
      </c>
      <c r="D580" s="4">
        <v>23</v>
      </c>
      <c r="E580" s="4">
        <v>225</v>
      </c>
      <c r="G580">
        <f t="shared" ref="G580:G643" si="9">(E580+7)*8</f>
        <v>1856</v>
      </c>
    </row>
    <row r="581" spans="2:7" ht="15" hidden="1" x14ac:dyDescent="0.25">
      <c r="B581" s="4">
        <v>584632079</v>
      </c>
      <c r="C581" s="4" t="s">
        <v>269</v>
      </c>
      <c r="D581" s="4">
        <v>350</v>
      </c>
      <c r="E581" s="4">
        <v>57</v>
      </c>
      <c r="G581">
        <f t="shared" si="9"/>
        <v>512</v>
      </c>
    </row>
    <row r="582" spans="2:7" ht="15" hidden="1" x14ac:dyDescent="0.25">
      <c r="B582" s="4">
        <v>584632080</v>
      </c>
      <c r="C582" s="4" t="s">
        <v>269</v>
      </c>
      <c r="D582" s="4">
        <v>351</v>
      </c>
      <c r="E582" s="4">
        <v>57</v>
      </c>
      <c r="G582">
        <f t="shared" si="9"/>
        <v>512</v>
      </c>
    </row>
    <row r="583" spans="2:7" ht="15" hidden="1" x14ac:dyDescent="0.25">
      <c r="B583" s="4">
        <v>584632081</v>
      </c>
      <c r="C583" s="4" t="s">
        <v>269</v>
      </c>
      <c r="D583" s="4">
        <v>352</v>
      </c>
      <c r="E583" s="4">
        <v>57</v>
      </c>
      <c r="G583">
        <f t="shared" si="9"/>
        <v>512</v>
      </c>
    </row>
    <row r="584" spans="2:7" ht="15" hidden="1" x14ac:dyDescent="0.25">
      <c r="B584" s="4">
        <v>584632082</v>
      </c>
      <c r="C584" s="4" t="s">
        <v>269</v>
      </c>
      <c r="D584" s="4">
        <v>353</v>
      </c>
      <c r="E584" s="4">
        <v>57</v>
      </c>
      <c r="G584">
        <f t="shared" si="9"/>
        <v>512</v>
      </c>
    </row>
    <row r="585" spans="2:7" ht="15" hidden="1" x14ac:dyDescent="0.25">
      <c r="B585" s="4">
        <v>584632083</v>
      </c>
      <c r="C585" s="4" t="s">
        <v>269</v>
      </c>
      <c r="D585" s="4">
        <v>354</v>
      </c>
      <c r="E585" s="4">
        <v>57</v>
      </c>
      <c r="G585">
        <f t="shared" si="9"/>
        <v>512</v>
      </c>
    </row>
    <row r="586" spans="2:7" ht="15" hidden="1" x14ac:dyDescent="0.25">
      <c r="B586" s="4">
        <v>584632084</v>
      </c>
      <c r="C586" s="4" t="s">
        <v>269</v>
      </c>
      <c r="D586" s="4">
        <v>355</v>
      </c>
      <c r="E586" s="4">
        <v>57</v>
      </c>
      <c r="G586">
        <f t="shared" si="9"/>
        <v>512</v>
      </c>
    </row>
    <row r="587" spans="2:7" ht="15" hidden="1" x14ac:dyDescent="0.25">
      <c r="B587" s="4">
        <v>584632085</v>
      </c>
      <c r="C587" s="4" t="s">
        <v>269</v>
      </c>
      <c r="D587" s="4">
        <v>356</v>
      </c>
      <c r="E587" s="4">
        <v>57</v>
      </c>
      <c r="G587">
        <f t="shared" si="9"/>
        <v>512</v>
      </c>
    </row>
    <row r="588" spans="2:7" ht="15" hidden="1" x14ac:dyDescent="0.25">
      <c r="B588" s="4">
        <v>584632086</v>
      </c>
      <c r="C588" s="4" t="s">
        <v>269</v>
      </c>
      <c r="D588" s="4">
        <v>357</v>
      </c>
      <c r="E588" s="4">
        <v>57</v>
      </c>
      <c r="G588">
        <f t="shared" si="9"/>
        <v>512</v>
      </c>
    </row>
    <row r="589" spans="2:7" ht="15" hidden="1" x14ac:dyDescent="0.25">
      <c r="B589" s="4">
        <v>584632087</v>
      </c>
      <c r="C589" s="4" t="s">
        <v>269</v>
      </c>
      <c r="D589" s="4">
        <v>358</v>
      </c>
      <c r="E589" s="4">
        <v>57</v>
      </c>
      <c r="G589">
        <f t="shared" si="9"/>
        <v>512</v>
      </c>
    </row>
    <row r="590" spans="2:7" ht="15" hidden="1" x14ac:dyDescent="0.25">
      <c r="B590" s="4">
        <v>584632088</v>
      </c>
      <c r="C590" s="4" t="s">
        <v>269</v>
      </c>
      <c r="D590" s="4">
        <v>359</v>
      </c>
      <c r="E590" s="4">
        <v>57</v>
      </c>
      <c r="G590">
        <f t="shared" si="9"/>
        <v>512</v>
      </c>
    </row>
    <row r="591" spans="2:7" ht="15" hidden="1" x14ac:dyDescent="0.25">
      <c r="B591" s="4">
        <v>584632088</v>
      </c>
      <c r="C591" s="4" t="s">
        <v>272</v>
      </c>
      <c r="D591" s="4">
        <v>24</v>
      </c>
      <c r="E591" s="4">
        <v>225</v>
      </c>
      <c r="G591">
        <f t="shared" si="9"/>
        <v>1856</v>
      </c>
    </row>
    <row r="592" spans="2:7" ht="15" hidden="1" x14ac:dyDescent="0.25">
      <c r="B592" s="4">
        <v>584632089</v>
      </c>
      <c r="C592" s="4" t="s">
        <v>269</v>
      </c>
      <c r="D592" s="4">
        <v>360</v>
      </c>
      <c r="E592" s="4">
        <v>57</v>
      </c>
      <c r="G592">
        <f t="shared" si="9"/>
        <v>512</v>
      </c>
    </row>
    <row r="593" spans="2:7" ht="15" hidden="1" x14ac:dyDescent="0.25">
      <c r="B593" s="4">
        <v>584632090</v>
      </c>
      <c r="C593" s="4" t="s">
        <v>269</v>
      </c>
      <c r="D593" s="4">
        <v>361</v>
      </c>
      <c r="E593" s="4">
        <v>57</v>
      </c>
      <c r="G593">
        <f t="shared" si="9"/>
        <v>512</v>
      </c>
    </row>
    <row r="594" spans="2:7" ht="15" hidden="1" x14ac:dyDescent="0.25">
      <c r="B594" s="4">
        <v>584632091</v>
      </c>
      <c r="C594" s="4" t="s">
        <v>269</v>
      </c>
      <c r="D594" s="4">
        <v>362</v>
      </c>
      <c r="E594" s="4">
        <v>57</v>
      </c>
      <c r="G594">
        <f t="shared" si="9"/>
        <v>512</v>
      </c>
    </row>
    <row r="595" spans="2:7" ht="15" hidden="1" x14ac:dyDescent="0.25">
      <c r="B595" s="4">
        <v>584632092</v>
      </c>
      <c r="C595" s="4" t="s">
        <v>269</v>
      </c>
      <c r="D595" s="4">
        <v>363</v>
      </c>
      <c r="E595" s="4">
        <v>57</v>
      </c>
      <c r="G595">
        <f t="shared" si="9"/>
        <v>512</v>
      </c>
    </row>
    <row r="596" spans="2:7" ht="15" hidden="1" x14ac:dyDescent="0.25">
      <c r="B596" s="4">
        <v>584632093</v>
      </c>
      <c r="C596" s="4" t="s">
        <v>269</v>
      </c>
      <c r="D596" s="4">
        <v>364</v>
      </c>
      <c r="E596" s="4">
        <v>57</v>
      </c>
      <c r="G596">
        <f t="shared" si="9"/>
        <v>512</v>
      </c>
    </row>
    <row r="597" spans="2:7" ht="15" hidden="1" x14ac:dyDescent="0.25">
      <c r="B597" s="4">
        <v>584632094</v>
      </c>
      <c r="C597" s="4" t="s">
        <v>269</v>
      </c>
      <c r="D597" s="4">
        <v>365</v>
      </c>
      <c r="E597" s="4">
        <v>57</v>
      </c>
      <c r="G597">
        <f t="shared" si="9"/>
        <v>512</v>
      </c>
    </row>
    <row r="598" spans="2:7" ht="15" hidden="1" x14ac:dyDescent="0.25">
      <c r="B598" s="4">
        <v>584632095</v>
      </c>
      <c r="C598" s="4" t="s">
        <v>269</v>
      </c>
      <c r="D598" s="4">
        <v>366</v>
      </c>
      <c r="E598" s="4">
        <v>57</v>
      </c>
      <c r="G598">
        <f t="shared" si="9"/>
        <v>512</v>
      </c>
    </row>
    <row r="599" spans="2:7" ht="15" hidden="1" x14ac:dyDescent="0.25">
      <c r="B599" s="4">
        <v>584632096</v>
      </c>
      <c r="C599" s="4" t="s">
        <v>269</v>
      </c>
      <c r="D599" s="4">
        <v>367</v>
      </c>
      <c r="E599" s="4">
        <v>57</v>
      </c>
      <c r="G599">
        <f t="shared" si="9"/>
        <v>512</v>
      </c>
    </row>
    <row r="600" spans="2:7" ht="15" hidden="1" x14ac:dyDescent="0.25">
      <c r="B600" s="4">
        <v>584632097</v>
      </c>
      <c r="C600" s="4" t="s">
        <v>269</v>
      </c>
      <c r="D600" s="4">
        <v>368</v>
      </c>
      <c r="E600" s="4">
        <v>57</v>
      </c>
      <c r="G600">
        <f t="shared" si="9"/>
        <v>512</v>
      </c>
    </row>
    <row r="601" spans="2:7" ht="15" hidden="1" x14ac:dyDescent="0.25">
      <c r="B601" s="4">
        <v>584632098</v>
      </c>
      <c r="C601" s="4" t="s">
        <v>269</v>
      </c>
      <c r="D601" s="4">
        <v>369</v>
      </c>
      <c r="E601" s="4">
        <v>57</v>
      </c>
      <c r="G601">
        <f t="shared" si="9"/>
        <v>512</v>
      </c>
    </row>
    <row r="602" spans="2:7" ht="15" hidden="1" x14ac:dyDescent="0.25">
      <c r="B602" s="4">
        <v>584632098</v>
      </c>
      <c r="C602" s="4" t="s">
        <v>272</v>
      </c>
      <c r="D602" s="4">
        <v>25</v>
      </c>
      <c r="E602" s="4">
        <v>225</v>
      </c>
      <c r="G602">
        <f t="shared" si="9"/>
        <v>1856</v>
      </c>
    </row>
    <row r="603" spans="2:7" ht="15" hidden="1" x14ac:dyDescent="0.25">
      <c r="B603" s="4">
        <v>584632099</v>
      </c>
      <c r="C603" s="4" t="s">
        <v>269</v>
      </c>
      <c r="D603" s="4">
        <v>370</v>
      </c>
      <c r="E603" s="4">
        <v>57</v>
      </c>
      <c r="G603">
        <f t="shared" si="9"/>
        <v>512</v>
      </c>
    </row>
    <row r="604" spans="2:7" ht="15" hidden="1" x14ac:dyDescent="0.25">
      <c r="B604" s="4">
        <v>584632100</v>
      </c>
      <c r="C604" s="4" t="s">
        <v>269</v>
      </c>
      <c r="D604" s="4">
        <v>371</v>
      </c>
      <c r="E604" s="4">
        <v>57</v>
      </c>
      <c r="G604">
        <f t="shared" si="9"/>
        <v>512</v>
      </c>
    </row>
    <row r="605" spans="2:7" ht="15" hidden="1" x14ac:dyDescent="0.25">
      <c r="B605" s="4">
        <v>584632101</v>
      </c>
      <c r="C605" s="4" t="s">
        <v>269</v>
      </c>
      <c r="D605" s="4">
        <v>372</v>
      </c>
      <c r="E605" s="4">
        <v>57</v>
      </c>
      <c r="G605">
        <f t="shared" si="9"/>
        <v>512</v>
      </c>
    </row>
    <row r="606" spans="2:7" ht="15" hidden="1" x14ac:dyDescent="0.25">
      <c r="B606" s="4">
        <v>584632102</v>
      </c>
      <c r="C606" s="4" t="s">
        <v>269</v>
      </c>
      <c r="D606" s="4">
        <v>373</v>
      </c>
      <c r="E606" s="4">
        <v>57</v>
      </c>
      <c r="G606">
        <f t="shared" si="9"/>
        <v>512</v>
      </c>
    </row>
    <row r="607" spans="2:7" ht="15" hidden="1" x14ac:dyDescent="0.25">
      <c r="B607" s="4">
        <v>584632103</v>
      </c>
      <c r="C607" s="4" t="s">
        <v>269</v>
      </c>
      <c r="D607" s="4">
        <v>374</v>
      </c>
      <c r="E607" s="4">
        <v>57</v>
      </c>
      <c r="G607">
        <f t="shared" si="9"/>
        <v>512</v>
      </c>
    </row>
    <row r="608" spans="2:7" ht="15" hidden="1" x14ac:dyDescent="0.25">
      <c r="B608" s="4">
        <v>584632104</v>
      </c>
      <c r="C608" s="4" t="s">
        <v>269</v>
      </c>
      <c r="D608" s="4">
        <v>375</v>
      </c>
      <c r="E608" s="4">
        <v>57</v>
      </c>
      <c r="G608">
        <f t="shared" si="9"/>
        <v>512</v>
      </c>
    </row>
    <row r="609" spans="2:7" ht="15" hidden="1" x14ac:dyDescent="0.25">
      <c r="B609" s="4">
        <v>584632105</v>
      </c>
      <c r="C609" s="4" t="s">
        <v>269</v>
      </c>
      <c r="D609" s="4">
        <v>376</v>
      </c>
      <c r="E609" s="4">
        <v>57</v>
      </c>
      <c r="G609">
        <f t="shared" si="9"/>
        <v>512</v>
      </c>
    </row>
    <row r="610" spans="2:7" ht="15" hidden="1" x14ac:dyDescent="0.25">
      <c r="B610" s="4">
        <v>584632106</v>
      </c>
      <c r="C610" s="4" t="s">
        <v>269</v>
      </c>
      <c r="D610" s="4">
        <v>377</v>
      </c>
      <c r="E610" s="4">
        <v>57</v>
      </c>
      <c r="G610">
        <f t="shared" si="9"/>
        <v>512</v>
      </c>
    </row>
    <row r="611" spans="2:7" ht="15" hidden="1" x14ac:dyDescent="0.25">
      <c r="B611" s="4">
        <v>584632107</v>
      </c>
      <c r="C611" s="4" t="s">
        <v>269</v>
      </c>
      <c r="D611" s="4">
        <v>378</v>
      </c>
      <c r="E611" s="4">
        <v>57</v>
      </c>
      <c r="G611">
        <f t="shared" si="9"/>
        <v>512</v>
      </c>
    </row>
    <row r="612" spans="2:7" ht="15" hidden="1" x14ac:dyDescent="0.25">
      <c r="B612" s="4">
        <v>584632108</v>
      </c>
      <c r="C612" s="4" t="s">
        <v>269</v>
      </c>
      <c r="D612" s="4">
        <v>379</v>
      </c>
      <c r="E612" s="4">
        <v>57</v>
      </c>
      <c r="G612">
        <f t="shared" si="9"/>
        <v>512</v>
      </c>
    </row>
    <row r="613" spans="2:7" ht="15" hidden="1" x14ac:dyDescent="0.25">
      <c r="B613" s="4">
        <v>584632108</v>
      </c>
      <c r="C613" s="4" t="s">
        <v>272</v>
      </c>
      <c r="D613" s="4">
        <v>26</v>
      </c>
      <c r="E613" s="4">
        <v>225</v>
      </c>
      <c r="G613">
        <f t="shared" si="9"/>
        <v>1856</v>
      </c>
    </row>
    <row r="614" spans="2:7" ht="15" hidden="1" x14ac:dyDescent="0.25">
      <c r="B614" s="4">
        <v>584632109</v>
      </c>
      <c r="C614" s="4" t="s">
        <v>269</v>
      </c>
      <c r="D614" s="4">
        <v>380</v>
      </c>
      <c r="E614" s="4">
        <v>57</v>
      </c>
      <c r="G614">
        <f t="shared" si="9"/>
        <v>512</v>
      </c>
    </row>
    <row r="615" spans="2:7" ht="15" hidden="1" x14ac:dyDescent="0.25">
      <c r="B615" s="4">
        <v>584632110</v>
      </c>
      <c r="C615" s="4" t="s">
        <v>269</v>
      </c>
      <c r="D615" s="4">
        <v>381</v>
      </c>
      <c r="E615" s="4">
        <v>57</v>
      </c>
      <c r="G615">
        <f t="shared" si="9"/>
        <v>512</v>
      </c>
    </row>
    <row r="616" spans="2:7" ht="15" hidden="1" x14ac:dyDescent="0.25">
      <c r="B616" s="4">
        <v>584632111</v>
      </c>
      <c r="C616" s="4" t="s">
        <v>269</v>
      </c>
      <c r="D616" s="4">
        <v>382</v>
      </c>
      <c r="E616" s="4">
        <v>57</v>
      </c>
      <c r="G616">
        <f t="shared" si="9"/>
        <v>512</v>
      </c>
    </row>
    <row r="617" spans="2:7" ht="15" hidden="1" x14ac:dyDescent="0.25">
      <c r="B617" s="4">
        <v>584632112</v>
      </c>
      <c r="C617" s="4" t="s">
        <v>269</v>
      </c>
      <c r="D617" s="4">
        <v>383</v>
      </c>
      <c r="E617" s="4">
        <v>57</v>
      </c>
      <c r="G617">
        <f t="shared" si="9"/>
        <v>512</v>
      </c>
    </row>
    <row r="618" spans="2:7" ht="15" hidden="1" x14ac:dyDescent="0.25">
      <c r="B618" s="4">
        <v>584632113</v>
      </c>
      <c r="C618" s="4" t="s">
        <v>269</v>
      </c>
      <c r="D618" s="4">
        <v>384</v>
      </c>
      <c r="E618" s="4">
        <v>57</v>
      </c>
      <c r="G618">
        <f t="shared" si="9"/>
        <v>512</v>
      </c>
    </row>
    <row r="619" spans="2:7" ht="15" hidden="1" x14ac:dyDescent="0.25">
      <c r="B619" s="4">
        <v>584632114</v>
      </c>
      <c r="C619" s="4" t="s">
        <v>268</v>
      </c>
      <c r="D619" s="4">
        <v>178</v>
      </c>
      <c r="E619" s="4">
        <v>6</v>
      </c>
      <c r="G619">
        <f t="shared" si="9"/>
        <v>104</v>
      </c>
    </row>
    <row r="620" spans="2:7" ht="15" hidden="1" x14ac:dyDescent="0.25">
      <c r="B620" s="4">
        <v>584632114</v>
      </c>
      <c r="C620" s="4" t="s">
        <v>268</v>
      </c>
      <c r="D620" s="4">
        <v>178</v>
      </c>
      <c r="E620" s="4">
        <v>6</v>
      </c>
      <c r="G620">
        <f t="shared" si="9"/>
        <v>104</v>
      </c>
    </row>
    <row r="621" spans="2:7" ht="15" hidden="1" x14ac:dyDescent="0.25">
      <c r="B621" s="4">
        <v>584632114</v>
      </c>
      <c r="C621" s="4" t="s">
        <v>268</v>
      </c>
      <c r="D621" s="4">
        <v>179</v>
      </c>
      <c r="E621" s="4">
        <v>9</v>
      </c>
      <c r="G621">
        <f t="shared" si="9"/>
        <v>128</v>
      </c>
    </row>
    <row r="622" spans="2:7" ht="15" hidden="1" x14ac:dyDescent="0.25">
      <c r="B622" s="4">
        <v>584632114</v>
      </c>
      <c r="C622" s="4" t="s">
        <v>268</v>
      </c>
      <c r="D622" s="4">
        <v>179</v>
      </c>
      <c r="E622" s="4">
        <v>9</v>
      </c>
      <c r="G622">
        <f t="shared" si="9"/>
        <v>128</v>
      </c>
    </row>
    <row r="623" spans="2:7" ht="15" hidden="1" x14ac:dyDescent="0.25">
      <c r="B623" s="4">
        <v>584632114</v>
      </c>
      <c r="C623" s="4" t="s">
        <v>268</v>
      </c>
      <c r="D623" s="4">
        <v>180</v>
      </c>
      <c r="E623" s="4">
        <v>7</v>
      </c>
      <c r="G623">
        <f t="shared" si="9"/>
        <v>112</v>
      </c>
    </row>
    <row r="624" spans="2:7" ht="15" hidden="1" x14ac:dyDescent="0.25">
      <c r="B624" s="4">
        <v>584632114</v>
      </c>
      <c r="C624" s="4" t="s">
        <v>268</v>
      </c>
      <c r="D624" s="4">
        <v>180</v>
      </c>
      <c r="E624" s="4">
        <v>7</v>
      </c>
      <c r="G624">
        <f t="shared" si="9"/>
        <v>112</v>
      </c>
    </row>
    <row r="625" spans="2:7" ht="15" hidden="1" x14ac:dyDescent="0.25">
      <c r="B625" s="4">
        <v>584632114</v>
      </c>
      <c r="C625" s="4" t="s">
        <v>268</v>
      </c>
      <c r="D625" s="4">
        <v>181</v>
      </c>
      <c r="E625" s="4">
        <v>7</v>
      </c>
      <c r="G625">
        <f t="shared" si="9"/>
        <v>112</v>
      </c>
    </row>
    <row r="626" spans="2:7" ht="15" hidden="1" x14ac:dyDescent="0.25">
      <c r="B626" s="4">
        <v>584632114</v>
      </c>
      <c r="C626" s="4" t="s">
        <v>268</v>
      </c>
      <c r="D626" s="4">
        <v>181</v>
      </c>
      <c r="E626" s="4">
        <v>7</v>
      </c>
      <c r="G626">
        <f t="shared" si="9"/>
        <v>112</v>
      </c>
    </row>
    <row r="627" spans="2:7" ht="15" hidden="1" x14ac:dyDescent="0.25">
      <c r="B627" s="4">
        <v>584632114</v>
      </c>
      <c r="C627" s="4" t="s">
        <v>268</v>
      </c>
      <c r="D627" s="4">
        <v>182</v>
      </c>
      <c r="E627" s="4">
        <v>7</v>
      </c>
      <c r="G627">
        <f t="shared" si="9"/>
        <v>112</v>
      </c>
    </row>
    <row r="628" spans="2:7" ht="15" hidden="1" x14ac:dyDescent="0.25">
      <c r="B628" s="4">
        <v>584632114</v>
      </c>
      <c r="C628" s="4" t="s">
        <v>268</v>
      </c>
      <c r="D628" s="4">
        <v>182</v>
      </c>
      <c r="E628" s="4">
        <v>7</v>
      </c>
      <c r="G628">
        <f t="shared" si="9"/>
        <v>112</v>
      </c>
    </row>
    <row r="629" spans="2:7" ht="15" hidden="1" x14ac:dyDescent="0.25">
      <c r="B629" s="4">
        <v>584632114</v>
      </c>
      <c r="C629" s="4" t="s">
        <v>269</v>
      </c>
      <c r="D629" s="4">
        <v>385</v>
      </c>
      <c r="E629" s="4">
        <v>57</v>
      </c>
      <c r="G629">
        <f t="shared" si="9"/>
        <v>512</v>
      </c>
    </row>
    <row r="630" spans="2:7" ht="15" hidden="1" x14ac:dyDescent="0.25">
      <c r="B630" s="4">
        <v>584632115</v>
      </c>
      <c r="C630" s="4" t="s">
        <v>269</v>
      </c>
      <c r="D630" s="4">
        <v>386</v>
      </c>
      <c r="E630" s="4">
        <v>57</v>
      </c>
      <c r="G630">
        <f t="shared" si="9"/>
        <v>512</v>
      </c>
    </row>
    <row r="631" spans="2:7" ht="15" hidden="1" x14ac:dyDescent="0.25">
      <c r="B631" s="4">
        <v>584632116</v>
      </c>
      <c r="C631" s="4" t="s">
        <v>268</v>
      </c>
      <c r="D631" s="4">
        <v>183</v>
      </c>
      <c r="E631" s="4">
        <v>7</v>
      </c>
      <c r="G631">
        <f t="shared" si="9"/>
        <v>112</v>
      </c>
    </row>
    <row r="632" spans="2:7" ht="15" hidden="1" x14ac:dyDescent="0.25">
      <c r="B632" s="4">
        <v>584632116</v>
      </c>
      <c r="C632" s="4" t="s">
        <v>268</v>
      </c>
      <c r="D632" s="4">
        <v>183</v>
      </c>
      <c r="E632" s="4">
        <v>7</v>
      </c>
      <c r="G632">
        <f t="shared" si="9"/>
        <v>112</v>
      </c>
    </row>
    <row r="633" spans="2:7" ht="15" hidden="1" x14ac:dyDescent="0.25">
      <c r="B633" s="4">
        <v>584632116</v>
      </c>
      <c r="C633" s="4" t="s">
        <v>268</v>
      </c>
      <c r="D633" s="4">
        <v>184</v>
      </c>
      <c r="E633" s="4">
        <v>5</v>
      </c>
      <c r="G633">
        <f t="shared" si="9"/>
        <v>96</v>
      </c>
    </row>
    <row r="634" spans="2:7" ht="15" hidden="1" x14ac:dyDescent="0.25">
      <c r="B634" s="4">
        <v>584632116</v>
      </c>
      <c r="C634" s="4" t="s">
        <v>268</v>
      </c>
      <c r="D634" s="4">
        <v>184</v>
      </c>
      <c r="E634" s="4">
        <v>5</v>
      </c>
      <c r="G634">
        <f t="shared" si="9"/>
        <v>96</v>
      </c>
    </row>
    <row r="635" spans="2:7" ht="15" hidden="1" x14ac:dyDescent="0.25">
      <c r="B635" s="4">
        <v>584632116</v>
      </c>
      <c r="C635" s="4" t="s">
        <v>268</v>
      </c>
      <c r="D635" s="4">
        <v>185</v>
      </c>
      <c r="E635" s="4">
        <v>7</v>
      </c>
      <c r="G635">
        <f t="shared" si="9"/>
        <v>112</v>
      </c>
    </row>
    <row r="636" spans="2:7" ht="15" hidden="1" x14ac:dyDescent="0.25">
      <c r="B636" s="4">
        <v>584632116</v>
      </c>
      <c r="C636" s="4" t="s">
        <v>268</v>
      </c>
      <c r="D636" s="4">
        <v>185</v>
      </c>
      <c r="E636" s="4">
        <v>7</v>
      </c>
      <c r="G636">
        <f t="shared" si="9"/>
        <v>112</v>
      </c>
    </row>
    <row r="637" spans="2:7" ht="15" hidden="1" x14ac:dyDescent="0.25">
      <c r="B637" s="4">
        <v>584632116</v>
      </c>
      <c r="C637" s="4" t="s">
        <v>269</v>
      </c>
      <c r="D637" s="4">
        <v>387</v>
      </c>
      <c r="E637" s="4">
        <v>57</v>
      </c>
      <c r="G637">
        <f t="shared" si="9"/>
        <v>512</v>
      </c>
    </row>
    <row r="638" spans="2:7" ht="15" hidden="1" x14ac:dyDescent="0.25">
      <c r="B638" s="4">
        <v>584632117</v>
      </c>
      <c r="C638" s="4" t="s">
        <v>269</v>
      </c>
      <c r="D638" s="4">
        <v>388</v>
      </c>
      <c r="E638" s="4">
        <v>57</v>
      </c>
      <c r="G638">
        <f t="shared" si="9"/>
        <v>512</v>
      </c>
    </row>
    <row r="639" spans="2:7" ht="15" hidden="1" x14ac:dyDescent="0.25">
      <c r="B639" s="4">
        <v>584632118</v>
      </c>
      <c r="C639" s="4" t="s">
        <v>269</v>
      </c>
      <c r="D639" s="4">
        <v>389</v>
      </c>
      <c r="E639" s="4">
        <v>57</v>
      </c>
      <c r="G639">
        <f t="shared" si="9"/>
        <v>512</v>
      </c>
    </row>
    <row r="640" spans="2:7" ht="15" hidden="1" x14ac:dyDescent="0.25">
      <c r="B640" s="4">
        <v>584632118</v>
      </c>
      <c r="C640" s="4" t="s">
        <v>272</v>
      </c>
      <c r="D640" s="4">
        <v>27</v>
      </c>
      <c r="E640" s="4">
        <v>225</v>
      </c>
      <c r="G640">
        <f t="shared" si="9"/>
        <v>1856</v>
      </c>
    </row>
    <row r="641" spans="2:7" ht="15" hidden="1" x14ac:dyDescent="0.25">
      <c r="B641" s="4">
        <v>584632119</v>
      </c>
      <c r="C641" s="4" t="s">
        <v>269</v>
      </c>
      <c r="D641" s="4">
        <v>390</v>
      </c>
      <c r="E641" s="4">
        <v>57</v>
      </c>
      <c r="G641">
        <f t="shared" si="9"/>
        <v>512</v>
      </c>
    </row>
    <row r="642" spans="2:7" ht="15" hidden="1" x14ac:dyDescent="0.25">
      <c r="B642" s="4">
        <v>584632120</v>
      </c>
      <c r="C642" s="4" t="s">
        <v>269</v>
      </c>
      <c r="D642" s="4">
        <v>391</v>
      </c>
      <c r="E642" s="4">
        <v>57</v>
      </c>
      <c r="G642">
        <f t="shared" si="9"/>
        <v>512</v>
      </c>
    </row>
    <row r="643" spans="2:7" ht="15" hidden="1" x14ac:dyDescent="0.25">
      <c r="B643" s="4">
        <v>584632121</v>
      </c>
      <c r="C643" s="4" t="s">
        <v>269</v>
      </c>
      <c r="D643" s="4">
        <v>392</v>
      </c>
      <c r="E643" s="4">
        <v>57</v>
      </c>
      <c r="G643">
        <f t="shared" si="9"/>
        <v>512</v>
      </c>
    </row>
    <row r="644" spans="2:7" ht="15" hidden="1" x14ac:dyDescent="0.25">
      <c r="B644" s="4">
        <v>584632122</v>
      </c>
      <c r="C644" s="4" t="s">
        <v>269</v>
      </c>
      <c r="D644" s="4">
        <v>393</v>
      </c>
      <c r="E644" s="4">
        <v>57</v>
      </c>
      <c r="G644">
        <f t="shared" ref="G644:G707" si="10">(E644+7)*8</f>
        <v>512</v>
      </c>
    </row>
    <row r="645" spans="2:7" ht="15" hidden="1" x14ac:dyDescent="0.25">
      <c r="B645" s="4">
        <v>584632123</v>
      </c>
      <c r="C645" s="4" t="s">
        <v>269</v>
      </c>
      <c r="D645" s="4">
        <v>394</v>
      </c>
      <c r="E645" s="4">
        <v>57</v>
      </c>
      <c r="G645">
        <f t="shared" si="10"/>
        <v>512</v>
      </c>
    </row>
    <row r="646" spans="2:7" ht="15" hidden="1" x14ac:dyDescent="0.25">
      <c r="B646" s="4">
        <v>584632124</v>
      </c>
      <c r="C646" s="4" t="s">
        <v>269</v>
      </c>
      <c r="D646" s="4">
        <v>395</v>
      </c>
      <c r="E646" s="4">
        <v>57</v>
      </c>
      <c r="G646">
        <f t="shared" si="10"/>
        <v>512</v>
      </c>
    </row>
    <row r="647" spans="2:7" ht="15" hidden="1" x14ac:dyDescent="0.25">
      <c r="B647" s="4">
        <v>584632125</v>
      </c>
      <c r="C647" s="4" t="s">
        <v>269</v>
      </c>
      <c r="D647" s="4">
        <v>396</v>
      </c>
      <c r="E647" s="4">
        <v>57</v>
      </c>
      <c r="G647">
        <f t="shared" si="10"/>
        <v>512</v>
      </c>
    </row>
    <row r="648" spans="2:7" ht="15" hidden="1" x14ac:dyDescent="0.25">
      <c r="B648" s="4">
        <v>584632126</v>
      </c>
      <c r="C648" s="4" t="s">
        <v>269</v>
      </c>
      <c r="D648" s="4">
        <v>397</v>
      </c>
      <c r="E648" s="4">
        <v>57</v>
      </c>
      <c r="G648">
        <f t="shared" si="10"/>
        <v>512</v>
      </c>
    </row>
    <row r="649" spans="2:7" ht="15" hidden="1" x14ac:dyDescent="0.25">
      <c r="B649" s="4">
        <v>584632127</v>
      </c>
      <c r="C649" s="4" t="s">
        <v>269</v>
      </c>
      <c r="D649" s="4">
        <v>398</v>
      </c>
      <c r="E649" s="4">
        <v>57</v>
      </c>
      <c r="G649">
        <f t="shared" si="10"/>
        <v>512</v>
      </c>
    </row>
    <row r="650" spans="2:7" ht="15" hidden="1" x14ac:dyDescent="0.25">
      <c r="B650" s="4">
        <v>584632128</v>
      </c>
      <c r="C650" s="4" t="s">
        <v>269</v>
      </c>
      <c r="D650" s="4">
        <v>399</v>
      </c>
      <c r="E650" s="4">
        <v>57</v>
      </c>
      <c r="G650">
        <f t="shared" si="10"/>
        <v>512</v>
      </c>
    </row>
    <row r="651" spans="2:7" ht="15" hidden="1" x14ac:dyDescent="0.25">
      <c r="B651" s="4">
        <v>584632128</v>
      </c>
      <c r="C651" s="4" t="s">
        <v>272</v>
      </c>
      <c r="D651" s="4">
        <v>28</v>
      </c>
      <c r="E651" s="4">
        <v>225</v>
      </c>
      <c r="G651">
        <f t="shared" si="10"/>
        <v>1856</v>
      </c>
    </row>
    <row r="652" spans="2:7" ht="15" hidden="1" x14ac:dyDescent="0.25">
      <c r="B652" s="4">
        <v>584632129</v>
      </c>
      <c r="C652" s="4" t="s">
        <v>269</v>
      </c>
      <c r="D652" s="4">
        <v>400</v>
      </c>
      <c r="E652" s="4">
        <v>57</v>
      </c>
      <c r="G652">
        <f t="shared" si="10"/>
        <v>512</v>
      </c>
    </row>
    <row r="653" spans="2:7" ht="15" hidden="1" x14ac:dyDescent="0.25">
      <c r="B653" s="4">
        <v>584632130</v>
      </c>
      <c r="C653" s="4" t="s">
        <v>269</v>
      </c>
      <c r="D653" s="4">
        <v>401</v>
      </c>
      <c r="E653" s="4">
        <v>57</v>
      </c>
      <c r="G653">
        <f t="shared" si="10"/>
        <v>512</v>
      </c>
    </row>
    <row r="654" spans="2:7" ht="15" hidden="1" x14ac:dyDescent="0.25">
      <c r="B654" s="4">
        <v>584632131</v>
      </c>
      <c r="C654" s="4" t="s">
        <v>269</v>
      </c>
      <c r="D654" s="4">
        <v>402</v>
      </c>
      <c r="E654" s="4">
        <v>57</v>
      </c>
      <c r="G654">
        <f t="shared" si="10"/>
        <v>512</v>
      </c>
    </row>
    <row r="655" spans="2:7" ht="15" hidden="1" x14ac:dyDescent="0.25">
      <c r="B655" s="4">
        <v>584632132</v>
      </c>
      <c r="C655" s="4" t="s">
        <v>269</v>
      </c>
      <c r="D655" s="4">
        <v>403</v>
      </c>
      <c r="E655" s="4">
        <v>57</v>
      </c>
      <c r="G655">
        <f t="shared" si="10"/>
        <v>512</v>
      </c>
    </row>
    <row r="656" spans="2:7" ht="15" hidden="1" x14ac:dyDescent="0.25">
      <c r="B656" s="4">
        <v>584632133</v>
      </c>
      <c r="C656" s="4" t="s">
        <v>269</v>
      </c>
      <c r="D656" s="4">
        <v>404</v>
      </c>
      <c r="E656" s="4">
        <v>57</v>
      </c>
      <c r="G656">
        <f t="shared" si="10"/>
        <v>512</v>
      </c>
    </row>
    <row r="657" spans="2:7" ht="15" hidden="1" x14ac:dyDescent="0.25">
      <c r="B657" s="4">
        <v>584632134</v>
      </c>
      <c r="C657" s="4" t="s">
        <v>269</v>
      </c>
      <c r="D657" s="4">
        <v>405</v>
      </c>
      <c r="E657" s="4">
        <v>57</v>
      </c>
      <c r="G657">
        <f t="shared" si="10"/>
        <v>512</v>
      </c>
    </row>
    <row r="658" spans="2:7" ht="15" hidden="1" x14ac:dyDescent="0.25">
      <c r="B658" s="4">
        <v>584632135</v>
      </c>
      <c r="C658" s="4" t="s">
        <v>269</v>
      </c>
      <c r="D658" s="4">
        <v>406</v>
      </c>
      <c r="E658" s="4">
        <v>57</v>
      </c>
      <c r="G658">
        <f t="shared" si="10"/>
        <v>512</v>
      </c>
    </row>
    <row r="659" spans="2:7" ht="15" hidden="1" x14ac:dyDescent="0.25">
      <c r="B659" s="4">
        <v>584632136</v>
      </c>
      <c r="C659" s="4" t="s">
        <v>269</v>
      </c>
      <c r="D659" s="4">
        <v>407</v>
      </c>
      <c r="E659" s="4">
        <v>57</v>
      </c>
      <c r="G659">
        <f t="shared" si="10"/>
        <v>512</v>
      </c>
    </row>
    <row r="660" spans="2:7" ht="15" hidden="1" x14ac:dyDescent="0.25">
      <c r="B660" s="4">
        <v>584632137</v>
      </c>
      <c r="C660" s="4" t="s">
        <v>269</v>
      </c>
      <c r="D660" s="4">
        <v>408</v>
      </c>
      <c r="E660" s="4">
        <v>57</v>
      </c>
      <c r="G660">
        <f t="shared" si="10"/>
        <v>512</v>
      </c>
    </row>
    <row r="661" spans="2:7" ht="15" hidden="1" x14ac:dyDescent="0.25">
      <c r="B661" s="4">
        <v>584632138</v>
      </c>
      <c r="C661" s="4" t="s">
        <v>269</v>
      </c>
      <c r="D661" s="4">
        <v>409</v>
      </c>
      <c r="E661" s="4">
        <v>57</v>
      </c>
      <c r="G661">
        <f t="shared" si="10"/>
        <v>512</v>
      </c>
    </row>
    <row r="662" spans="2:7" ht="15" hidden="1" x14ac:dyDescent="0.25">
      <c r="B662" s="4">
        <v>584632138</v>
      </c>
      <c r="C662" s="4" t="s">
        <v>272</v>
      </c>
      <c r="D662" s="4">
        <v>29</v>
      </c>
      <c r="E662" s="4">
        <v>225</v>
      </c>
      <c r="G662">
        <f t="shared" si="10"/>
        <v>1856</v>
      </c>
    </row>
    <row r="663" spans="2:7" ht="15" hidden="1" x14ac:dyDescent="0.25">
      <c r="B663" s="4">
        <v>584632139</v>
      </c>
      <c r="C663" s="4" t="s">
        <v>269</v>
      </c>
      <c r="D663" s="4">
        <v>410</v>
      </c>
      <c r="E663" s="4">
        <v>57</v>
      </c>
      <c r="G663">
        <f t="shared" si="10"/>
        <v>512</v>
      </c>
    </row>
    <row r="664" spans="2:7" ht="15" hidden="1" x14ac:dyDescent="0.25">
      <c r="B664" s="4">
        <v>584632140</v>
      </c>
      <c r="C664" s="4" t="s">
        <v>269</v>
      </c>
      <c r="D664" s="4">
        <v>411</v>
      </c>
      <c r="E664" s="4">
        <v>57</v>
      </c>
      <c r="G664">
        <f t="shared" si="10"/>
        <v>512</v>
      </c>
    </row>
    <row r="665" spans="2:7" ht="15" hidden="1" x14ac:dyDescent="0.25">
      <c r="B665" s="4">
        <v>584632141</v>
      </c>
      <c r="C665" s="4" t="s">
        <v>269</v>
      </c>
      <c r="D665" s="4">
        <v>412</v>
      </c>
      <c r="E665" s="4">
        <v>57</v>
      </c>
      <c r="G665">
        <f t="shared" si="10"/>
        <v>512</v>
      </c>
    </row>
    <row r="666" spans="2:7" ht="15" hidden="1" x14ac:dyDescent="0.25">
      <c r="B666" s="4">
        <v>584632142</v>
      </c>
      <c r="C666" s="4" t="s">
        <v>269</v>
      </c>
      <c r="D666" s="4">
        <v>413</v>
      </c>
      <c r="E666" s="4">
        <v>57</v>
      </c>
      <c r="G666">
        <f t="shared" si="10"/>
        <v>512</v>
      </c>
    </row>
    <row r="667" spans="2:7" ht="15" hidden="1" x14ac:dyDescent="0.25">
      <c r="B667" s="4">
        <v>584632143</v>
      </c>
      <c r="C667" s="4" t="s">
        <v>269</v>
      </c>
      <c r="D667" s="4">
        <v>414</v>
      </c>
      <c r="E667" s="4">
        <v>57</v>
      </c>
      <c r="G667">
        <f t="shared" si="10"/>
        <v>512</v>
      </c>
    </row>
    <row r="668" spans="2:7" ht="15" hidden="1" x14ac:dyDescent="0.25">
      <c r="B668" s="4">
        <v>584632144</v>
      </c>
      <c r="C668" s="4" t="s">
        <v>269</v>
      </c>
      <c r="D668" s="4">
        <v>415</v>
      </c>
      <c r="E668" s="4">
        <v>57</v>
      </c>
      <c r="G668">
        <f t="shared" si="10"/>
        <v>512</v>
      </c>
    </row>
    <row r="669" spans="2:7" ht="15" hidden="1" x14ac:dyDescent="0.25">
      <c r="B669" s="4">
        <v>584632145</v>
      </c>
      <c r="C669" s="4" t="s">
        <v>269</v>
      </c>
      <c r="D669" s="4">
        <v>416</v>
      </c>
      <c r="E669" s="4">
        <v>57</v>
      </c>
      <c r="G669">
        <f t="shared" si="10"/>
        <v>512</v>
      </c>
    </row>
    <row r="670" spans="2:7" ht="15" hidden="1" x14ac:dyDescent="0.25">
      <c r="B670" s="4">
        <v>584632146</v>
      </c>
      <c r="C670" s="4" t="s">
        <v>269</v>
      </c>
      <c r="D670" s="4">
        <v>417</v>
      </c>
      <c r="E670" s="4">
        <v>57</v>
      </c>
      <c r="G670">
        <f t="shared" si="10"/>
        <v>512</v>
      </c>
    </row>
    <row r="671" spans="2:7" ht="15" hidden="1" x14ac:dyDescent="0.25">
      <c r="B671" s="4">
        <v>584632147</v>
      </c>
      <c r="C671" s="4" t="s">
        <v>269</v>
      </c>
      <c r="D671" s="4">
        <v>418</v>
      </c>
      <c r="E671" s="4">
        <v>57</v>
      </c>
      <c r="G671">
        <f t="shared" si="10"/>
        <v>512</v>
      </c>
    </row>
    <row r="672" spans="2:7" ht="15" hidden="1" x14ac:dyDescent="0.25">
      <c r="B672" s="4">
        <v>584632148</v>
      </c>
      <c r="C672" s="4" t="s">
        <v>269</v>
      </c>
      <c r="D672" s="4">
        <v>419</v>
      </c>
      <c r="E672" s="4">
        <v>57</v>
      </c>
      <c r="G672">
        <f t="shared" si="10"/>
        <v>512</v>
      </c>
    </row>
    <row r="673" spans="1:7" ht="15" x14ac:dyDescent="0.25">
      <c r="A673">
        <f>B673-B463</f>
        <v>147</v>
      </c>
      <c r="B673" s="4">
        <v>584632148</v>
      </c>
      <c r="C673" s="4" t="s">
        <v>270</v>
      </c>
      <c r="D673" s="4">
        <v>1</v>
      </c>
      <c r="E673" s="4">
        <v>1100</v>
      </c>
      <c r="G673">
        <f t="shared" si="10"/>
        <v>8856</v>
      </c>
    </row>
    <row r="674" spans="1:7" ht="15" x14ac:dyDescent="0.25">
      <c r="A674">
        <f>B674-B464</f>
        <v>146</v>
      </c>
      <c r="B674" s="4">
        <v>584632148</v>
      </c>
      <c r="C674" s="4" t="s">
        <v>271</v>
      </c>
      <c r="D674" s="4">
        <v>1</v>
      </c>
      <c r="E674" s="4">
        <v>1100</v>
      </c>
      <c r="G674">
        <f t="shared" si="10"/>
        <v>8856</v>
      </c>
    </row>
    <row r="675" spans="1:7" ht="15" hidden="1" x14ac:dyDescent="0.25">
      <c r="B675" s="4">
        <v>584632149</v>
      </c>
      <c r="C675" s="4" t="s">
        <v>269</v>
      </c>
      <c r="D675" s="4">
        <v>420</v>
      </c>
      <c r="E675" s="4">
        <v>57</v>
      </c>
      <c r="G675">
        <f t="shared" si="10"/>
        <v>512</v>
      </c>
    </row>
    <row r="676" spans="1:7" ht="15" hidden="1" x14ac:dyDescent="0.25">
      <c r="B676" s="4">
        <v>584632149</v>
      </c>
      <c r="C676" s="4" t="s">
        <v>272</v>
      </c>
      <c r="D676" s="4">
        <v>30</v>
      </c>
      <c r="E676" s="4">
        <v>225</v>
      </c>
      <c r="G676">
        <f t="shared" si="10"/>
        <v>1856</v>
      </c>
    </row>
    <row r="677" spans="1:7" ht="15" hidden="1" x14ac:dyDescent="0.25">
      <c r="B677" s="4">
        <v>584632150</v>
      </c>
      <c r="C677" s="4" t="s">
        <v>269</v>
      </c>
      <c r="D677" s="4">
        <v>421</v>
      </c>
      <c r="E677" s="4">
        <v>57</v>
      </c>
      <c r="G677">
        <f t="shared" si="10"/>
        <v>512</v>
      </c>
    </row>
    <row r="678" spans="1:7" ht="15" hidden="1" x14ac:dyDescent="0.25">
      <c r="B678" s="4">
        <v>584632151</v>
      </c>
      <c r="C678" s="4" t="s">
        <v>269</v>
      </c>
      <c r="D678" s="4">
        <v>422</v>
      </c>
      <c r="E678" s="4">
        <v>57</v>
      </c>
      <c r="G678">
        <f t="shared" si="10"/>
        <v>512</v>
      </c>
    </row>
    <row r="679" spans="1:7" ht="15" hidden="1" x14ac:dyDescent="0.25">
      <c r="B679" s="4">
        <v>584632152</v>
      </c>
      <c r="C679" s="4" t="s">
        <v>269</v>
      </c>
      <c r="D679" s="4">
        <v>423</v>
      </c>
      <c r="E679" s="4">
        <v>57</v>
      </c>
      <c r="G679">
        <f t="shared" si="10"/>
        <v>512</v>
      </c>
    </row>
    <row r="680" spans="1:7" ht="15" hidden="1" x14ac:dyDescent="0.25">
      <c r="B680" s="4">
        <v>584632153</v>
      </c>
      <c r="C680" s="4" t="s">
        <v>269</v>
      </c>
      <c r="D680" s="4">
        <v>424</v>
      </c>
      <c r="E680" s="4">
        <v>57</v>
      </c>
      <c r="G680">
        <f t="shared" si="10"/>
        <v>512</v>
      </c>
    </row>
    <row r="681" spans="1:7" ht="15" hidden="1" x14ac:dyDescent="0.25">
      <c r="B681" s="4">
        <v>584632154</v>
      </c>
      <c r="C681" s="4" t="s">
        <v>269</v>
      </c>
      <c r="D681" s="4">
        <v>425</v>
      </c>
      <c r="E681" s="4">
        <v>57</v>
      </c>
      <c r="G681">
        <f t="shared" si="10"/>
        <v>512</v>
      </c>
    </row>
    <row r="682" spans="1:7" ht="15" hidden="1" x14ac:dyDescent="0.25">
      <c r="B682" s="4">
        <v>584632155</v>
      </c>
      <c r="C682" s="4" t="s">
        <v>269</v>
      </c>
      <c r="D682" s="4">
        <v>426</v>
      </c>
      <c r="E682" s="4">
        <v>57</v>
      </c>
      <c r="G682">
        <f t="shared" si="10"/>
        <v>512</v>
      </c>
    </row>
    <row r="683" spans="1:7" ht="15" hidden="1" x14ac:dyDescent="0.25">
      <c r="B683" s="4">
        <v>584632156</v>
      </c>
      <c r="C683" s="4" t="s">
        <v>269</v>
      </c>
      <c r="D683" s="4">
        <v>427</v>
      </c>
      <c r="E683" s="4">
        <v>57</v>
      </c>
      <c r="G683">
        <f t="shared" si="10"/>
        <v>512</v>
      </c>
    </row>
    <row r="684" spans="1:7" ht="15" hidden="1" x14ac:dyDescent="0.25">
      <c r="B684" s="4">
        <v>584632157</v>
      </c>
      <c r="C684" s="4" t="s">
        <v>269</v>
      </c>
      <c r="D684" s="4">
        <v>428</v>
      </c>
      <c r="E684" s="4">
        <v>57</v>
      </c>
      <c r="G684">
        <f t="shared" si="10"/>
        <v>512</v>
      </c>
    </row>
    <row r="685" spans="1:7" ht="15" hidden="1" x14ac:dyDescent="0.25">
      <c r="B685" s="4">
        <v>584632158</v>
      </c>
      <c r="C685" s="4" t="s">
        <v>269</v>
      </c>
      <c r="D685" s="4">
        <v>429</v>
      </c>
      <c r="E685" s="4">
        <v>57</v>
      </c>
      <c r="G685">
        <f t="shared" si="10"/>
        <v>512</v>
      </c>
    </row>
    <row r="686" spans="1:7" ht="15" hidden="1" x14ac:dyDescent="0.25">
      <c r="B686" s="4">
        <v>584632158</v>
      </c>
      <c r="C686" s="4" t="s">
        <v>272</v>
      </c>
      <c r="D686" s="4">
        <v>31</v>
      </c>
      <c r="E686" s="4">
        <v>225</v>
      </c>
      <c r="G686">
        <f t="shared" si="10"/>
        <v>1856</v>
      </c>
    </row>
    <row r="687" spans="1:7" ht="15" hidden="1" x14ac:dyDescent="0.25">
      <c r="B687" s="4">
        <v>584632159</v>
      </c>
      <c r="C687" s="4" t="s">
        <v>269</v>
      </c>
      <c r="D687" s="4">
        <v>430</v>
      </c>
      <c r="E687" s="4">
        <v>57</v>
      </c>
      <c r="G687">
        <f t="shared" si="10"/>
        <v>512</v>
      </c>
    </row>
    <row r="688" spans="1:7" ht="15" hidden="1" x14ac:dyDescent="0.25">
      <c r="B688" s="4">
        <v>584632160</v>
      </c>
      <c r="C688" s="4" t="s">
        <v>269</v>
      </c>
      <c r="D688" s="4">
        <v>431</v>
      </c>
      <c r="E688" s="4">
        <v>57</v>
      </c>
      <c r="G688">
        <f t="shared" si="10"/>
        <v>512</v>
      </c>
    </row>
    <row r="689" spans="2:7" ht="15" hidden="1" x14ac:dyDescent="0.25">
      <c r="B689" s="4">
        <v>584632161</v>
      </c>
      <c r="C689" s="4" t="s">
        <v>269</v>
      </c>
      <c r="D689" s="4">
        <v>432</v>
      </c>
      <c r="E689" s="4">
        <v>57</v>
      </c>
      <c r="G689">
        <f t="shared" si="10"/>
        <v>512</v>
      </c>
    </row>
    <row r="690" spans="2:7" ht="15" hidden="1" x14ac:dyDescent="0.25">
      <c r="B690" s="4">
        <v>584632162</v>
      </c>
      <c r="C690" s="4" t="s">
        <v>269</v>
      </c>
      <c r="D690" s="4">
        <v>433</v>
      </c>
      <c r="E690" s="4">
        <v>57</v>
      </c>
      <c r="G690">
        <f t="shared" si="10"/>
        <v>512</v>
      </c>
    </row>
    <row r="691" spans="2:7" ht="15" hidden="1" x14ac:dyDescent="0.25">
      <c r="B691" s="4">
        <v>584632163</v>
      </c>
      <c r="C691" s="4" t="s">
        <v>269</v>
      </c>
      <c r="D691" s="4">
        <v>434</v>
      </c>
      <c r="E691" s="4">
        <v>57</v>
      </c>
      <c r="G691">
        <f t="shared" si="10"/>
        <v>512</v>
      </c>
    </row>
    <row r="692" spans="2:7" ht="15" hidden="1" x14ac:dyDescent="0.25">
      <c r="B692" s="4">
        <v>584632164</v>
      </c>
      <c r="C692" s="4" t="s">
        <v>269</v>
      </c>
      <c r="D692" s="4">
        <v>435</v>
      </c>
      <c r="E692" s="4">
        <v>57</v>
      </c>
      <c r="G692">
        <f t="shared" si="10"/>
        <v>512</v>
      </c>
    </row>
    <row r="693" spans="2:7" ht="15" hidden="1" x14ac:dyDescent="0.25">
      <c r="B693" s="4">
        <v>584632165</v>
      </c>
      <c r="C693" s="4" t="s">
        <v>269</v>
      </c>
      <c r="D693" s="4">
        <v>436</v>
      </c>
      <c r="E693" s="4">
        <v>57</v>
      </c>
      <c r="G693">
        <f t="shared" si="10"/>
        <v>512</v>
      </c>
    </row>
    <row r="694" spans="2:7" ht="15" hidden="1" x14ac:dyDescent="0.25">
      <c r="B694" s="4">
        <v>584632166</v>
      </c>
      <c r="C694" s="4" t="s">
        <v>269</v>
      </c>
      <c r="D694" s="4">
        <v>437</v>
      </c>
      <c r="E694" s="4">
        <v>57</v>
      </c>
      <c r="G694">
        <f t="shared" si="10"/>
        <v>512</v>
      </c>
    </row>
    <row r="695" spans="2:7" ht="15" hidden="1" x14ac:dyDescent="0.25">
      <c r="B695" s="4">
        <v>584632167</v>
      </c>
      <c r="C695" s="4" t="s">
        <v>269</v>
      </c>
      <c r="D695" s="4">
        <v>438</v>
      </c>
      <c r="E695" s="4">
        <v>57</v>
      </c>
      <c r="G695">
        <f t="shared" si="10"/>
        <v>512</v>
      </c>
    </row>
    <row r="696" spans="2:7" ht="15" hidden="1" x14ac:dyDescent="0.25">
      <c r="B696" s="4">
        <v>584632168</v>
      </c>
      <c r="C696" s="4" t="s">
        <v>269</v>
      </c>
      <c r="D696" s="4">
        <v>439</v>
      </c>
      <c r="E696" s="4">
        <v>57</v>
      </c>
      <c r="G696">
        <f t="shared" si="10"/>
        <v>512</v>
      </c>
    </row>
    <row r="697" spans="2:7" ht="15" hidden="1" x14ac:dyDescent="0.25">
      <c r="B697" s="4">
        <v>584632168</v>
      </c>
      <c r="C697" s="4" t="s">
        <v>272</v>
      </c>
      <c r="D697" s="4">
        <v>32</v>
      </c>
      <c r="E697" s="4">
        <v>225</v>
      </c>
      <c r="G697">
        <f t="shared" si="10"/>
        <v>1856</v>
      </c>
    </row>
    <row r="698" spans="2:7" ht="15" hidden="1" x14ac:dyDescent="0.25">
      <c r="B698" s="4">
        <v>584632169</v>
      </c>
      <c r="C698" s="4" t="s">
        <v>269</v>
      </c>
      <c r="D698" s="4">
        <v>440</v>
      </c>
      <c r="E698" s="4">
        <v>57</v>
      </c>
      <c r="G698">
        <f t="shared" si="10"/>
        <v>512</v>
      </c>
    </row>
    <row r="699" spans="2:7" ht="15" hidden="1" x14ac:dyDescent="0.25">
      <c r="B699" s="4">
        <v>584632170</v>
      </c>
      <c r="C699" s="4" t="s">
        <v>269</v>
      </c>
      <c r="D699" s="4">
        <v>441</v>
      </c>
      <c r="E699" s="4">
        <v>57</v>
      </c>
      <c r="G699">
        <f t="shared" si="10"/>
        <v>512</v>
      </c>
    </row>
    <row r="700" spans="2:7" ht="15" hidden="1" x14ac:dyDescent="0.25">
      <c r="B700" s="4">
        <v>584632171</v>
      </c>
      <c r="C700" s="4" t="s">
        <v>269</v>
      </c>
      <c r="D700" s="4">
        <v>442</v>
      </c>
      <c r="E700" s="4">
        <v>57</v>
      </c>
      <c r="G700">
        <f t="shared" si="10"/>
        <v>512</v>
      </c>
    </row>
    <row r="701" spans="2:7" ht="15" hidden="1" x14ac:dyDescent="0.25">
      <c r="B701" s="4">
        <v>584632172</v>
      </c>
      <c r="C701" s="4" t="s">
        <v>269</v>
      </c>
      <c r="D701" s="4">
        <v>443</v>
      </c>
      <c r="E701" s="4">
        <v>57</v>
      </c>
      <c r="G701">
        <f t="shared" si="10"/>
        <v>512</v>
      </c>
    </row>
    <row r="702" spans="2:7" ht="15" hidden="1" x14ac:dyDescent="0.25">
      <c r="B702" s="4">
        <v>584632173</v>
      </c>
      <c r="C702" s="4" t="s">
        <v>269</v>
      </c>
      <c r="D702" s="4">
        <v>444</v>
      </c>
      <c r="E702" s="4">
        <v>57</v>
      </c>
      <c r="G702">
        <f t="shared" si="10"/>
        <v>512</v>
      </c>
    </row>
    <row r="703" spans="2:7" ht="15" hidden="1" x14ac:dyDescent="0.25">
      <c r="B703" s="4">
        <v>584632174</v>
      </c>
      <c r="C703" s="4" t="s">
        <v>269</v>
      </c>
      <c r="D703" s="4">
        <v>445</v>
      </c>
      <c r="E703" s="4">
        <v>57</v>
      </c>
      <c r="G703">
        <f t="shared" si="10"/>
        <v>512</v>
      </c>
    </row>
    <row r="704" spans="2:7" ht="15" hidden="1" x14ac:dyDescent="0.25">
      <c r="B704" s="4">
        <v>584632175</v>
      </c>
      <c r="C704" s="4" t="s">
        <v>269</v>
      </c>
      <c r="D704" s="4">
        <v>446</v>
      </c>
      <c r="E704" s="4">
        <v>57</v>
      </c>
      <c r="G704">
        <f t="shared" si="10"/>
        <v>512</v>
      </c>
    </row>
    <row r="705" spans="2:7" ht="15" hidden="1" x14ac:dyDescent="0.25">
      <c r="B705" s="4">
        <v>584632176</v>
      </c>
      <c r="C705" s="4" t="s">
        <v>268</v>
      </c>
      <c r="D705" s="4">
        <v>186</v>
      </c>
      <c r="E705" s="4">
        <v>6</v>
      </c>
      <c r="G705">
        <f t="shared" si="10"/>
        <v>104</v>
      </c>
    </row>
    <row r="706" spans="2:7" ht="15" hidden="1" x14ac:dyDescent="0.25">
      <c r="B706" s="4">
        <v>584632176</v>
      </c>
      <c r="C706" s="4" t="s">
        <v>268</v>
      </c>
      <c r="D706" s="4">
        <v>186</v>
      </c>
      <c r="E706" s="4">
        <v>6</v>
      </c>
      <c r="G706">
        <f t="shared" si="10"/>
        <v>104</v>
      </c>
    </row>
    <row r="707" spans="2:7" ht="15" hidden="1" x14ac:dyDescent="0.25">
      <c r="B707" s="4">
        <v>584632176</v>
      </c>
      <c r="C707" s="4" t="s">
        <v>268</v>
      </c>
      <c r="D707" s="4">
        <v>187</v>
      </c>
      <c r="E707" s="4">
        <v>9</v>
      </c>
      <c r="G707">
        <f t="shared" si="10"/>
        <v>128</v>
      </c>
    </row>
    <row r="708" spans="2:7" ht="15" hidden="1" x14ac:dyDescent="0.25">
      <c r="B708" s="4">
        <v>584632176</v>
      </c>
      <c r="C708" s="4" t="s">
        <v>268</v>
      </c>
      <c r="D708" s="4">
        <v>187</v>
      </c>
      <c r="E708" s="4">
        <v>9</v>
      </c>
      <c r="G708">
        <f t="shared" ref="G708:G771" si="11">(E708+7)*8</f>
        <v>128</v>
      </c>
    </row>
    <row r="709" spans="2:7" ht="15" hidden="1" x14ac:dyDescent="0.25">
      <c r="B709" s="4">
        <v>584632176</v>
      </c>
      <c r="C709" s="4" t="s">
        <v>268</v>
      </c>
      <c r="D709" s="4">
        <v>188</v>
      </c>
      <c r="E709" s="4">
        <v>7</v>
      </c>
      <c r="G709">
        <f t="shared" si="11"/>
        <v>112</v>
      </c>
    </row>
    <row r="710" spans="2:7" ht="15" hidden="1" x14ac:dyDescent="0.25">
      <c r="B710" s="4">
        <v>584632176</v>
      </c>
      <c r="C710" s="4" t="s">
        <v>268</v>
      </c>
      <c r="D710" s="4">
        <v>188</v>
      </c>
      <c r="E710" s="4">
        <v>7</v>
      </c>
      <c r="G710">
        <f t="shared" si="11"/>
        <v>112</v>
      </c>
    </row>
    <row r="711" spans="2:7" ht="15" hidden="1" x14ac:dyDescent="0.25">
      <c r="B711" s="4">
        <v>584632176</v>
      </c>
      <c r="C711" s="4" t="s">
        <v>268</v>
      </c>
      <c r="D711" s="4">
        <v>189</v>
      </c>
      <c r="E711" s="4">
        <v>7</v>
      </c>
      <c r="G711">
        <f t="shared" si="11"/>
        <v>112</v>
      </c>
    </row>
    <row r="712" spans="2:7" ht="15" hidden="1" x14ac:dyDescent="0.25">
      <c r="B712" s="4">
        <v>584632176</v>
      </c>
      <c r="C712" s="4" t="s">
        <v>268</v>
      </c>
      <c r="D712" s="4">
        <v>189</v>
      </c>
      <c r="E712" s="4">
        <v>7</v>
      </c>
      <c r="G712">
        <f t="shared" si="11"/>
        <v>112</v>
      </c>
    </row>
    <row r="713" spans="2:7" ht="15" hidden="1" x14ac:dyDescent="0.25">
      <c r="B713" s="4">
        <v>584632176</v>
      </c>
      <c r="C713" s="4" t="s">
        <v>268</v>
      </c>
      <c r="D713" s="4">
        <v>190</v>
      </c>
      <c r="E713" s="4">
        <v>7</v>
      </c>
      <c r="G713">
        <f t="shared" si="11"/>
        <v>112</v>
      </c>
    </row>
    <row r="714" spans="2:7" ht="15" hidden="1" x14ac:dyDescent="0.25">
      <c r="B714" s="4">
        <v>584632176</v>
      </c>
      <c r="C714" s="4" t="s">
        <v>268</v>
      </c>
      <c r="D714" s="4">
        <v>190</v>
      </c>
      <c r="E714" s="4">
        <v>7</v>
      </c>
      <c r="G714">
        <f t="shared" si="11"/>
        <v>112</v>
      </c>
    </row>
    <row r="715" spans="2:7" ht="15" hidden="1" x14ac:dyDescent="0.25">
      <c r="B715" s="4">
        <v>584632176</v>
      </c>
      <c r="C715" s="4" t="s">
        <v>269</v>
      </c>
      <c r="D715" s="4">
        <v>447</v>
      </c>
      <c r="E715" s="4">
        <v>57</v>
      </c>
      <c r="G715">
        <f t="shared" si="11"/>
        <v>512</v>
      </c>
    </row>
    <row r="716" spans="2:7" ht="15" hidden="1" x14ac:dyDescent="0.25">
      <c r="B716" s="4">
        <v>584632177</v>
      </c>
      <c r="C716" s="4" t="s">
        <v>269</v>
      </c>
      <c r="D716" s="4">
        <v>448</v>
      </c>
      <c r="E716" s="4">
        <v>57</v>
      </c>
      <c r="G716">
        <f t="shared" si="11"/>
        <v>512</v>
      </c>
    </row>
    <row r="717" spans="2:7" ht="15" hidden="1" x14ac:dyDescent="0.25">
      <c r="B717" s="4">
        <v>584632178</v>
      </c>
      <c r="C717" s="4" t="s">
        <v>268</v>
      </c>
      <c r="D717" s="4">
        <v>191</v>
      </c>
      <c r="E717" s="4">
        <v>7</v>
      </c>
      <c r="G717">
        <f t="shared" si="11"/>
        <v>112</v>
      </c>
    </row>
    <row r="718" spans="2:7" ht="15" hidden="1" x14ac:dyDescent="0.25">
      <c r="B718" s="4">
        <v>584632178</v>
      </c>
      <c r="C718" s="4" t="s">
        <v>268</v>
      </c>
      <c r="D718" s="4">
        <v>191</v>
      </c>
      <c r="E718" s="4">
        <v>7</v>
      </c>
      <c r="G718">
        <f t="shared" si="11"/>
        <v>112</v>
      </c>
    </row>
    <row r="719" spans="2:7" ht="15" hidden="1" x14ac:dyDescent="0.25">
      <c r="B719" s="4">
        <v>584632178</v>
      </c>
      <c r="C719" s="4" t="s">
        <v>268</v>
      </c>
      <c r="D719" s="4">
        <v>192</v>
      </c>
      <c r="E719" s="4">
        <v>5</v>
      </c>
      <c r="G719">
        <f t="shared" si="11"/>
        <v>96</v>
      </c>
    </row>
    <row r="720" spans="2:7" ht="15" hidden="1" x14ac:dyDescent="0.25">
      <c r="B720" s="4">
        <v>584632178</v>
      </c>
      <c r="C720" s="4" t="s">
        <v>268</v>
      </c>
      <c r="D720" s="4">
        <v>192</v>
      </c>
      <c r="E720" s="4">
        <v>5</v>
      </c>
      <c r="G720">
        <f t="shared" si="11"/>
        <v>96</v>
      </c>
    </row>
    <row r="721" spans="2:7" ht="15" hidden="1" x14ac:dyDescent="0.25">
      <c r="B721" s="4">
        <v>584632178</v>
      </c>
      <c r="C721" s="4" t="s">
        <v>268</v>
      </c>
      <c r="D721" s="4">
        <v>193</v>
      </c>
      <c r="E721" s="4">
        <v>7</v>
      </c>
      <c r="G721">
        <f t="shared" si="11"/>
        <v>112</v>
      </c>
    </row>
    <row r="722" spans="2:7" ht="15" hidden="1" x14ac:dyDescent="0.25">
      <c r="B722" s="4">
        <v>584632178</v>
      </c>
      <c r="C722" s="4" t="s">
        <v>268</v>
      </c>
      <c r="D722" s="4">
        <v>193</v>
      </c>
      <c r="E722" s="4">
        <v>7</v>
      </c>
      <c r="G722">
        <f t="shared" si="11"/>
        <v>112</v>
      </c>
    </row>
    <row r="723" spans="2:7" ht="15" hidden="1" x14ac:dyDescent="0.25">
      <c r="B723" s="4">
        <v>584632178</v>
      </c>
      <c r="C723" s="4" t="s">
        <v>269</v>
      </c>
      <c r="D723" s="4">
        <v>449</v>
      </c>
      <c r="E723" s="4">
        <v>57</v>
      </c>
      <c r="G723">
        <f t="shared" si="11"/>
        <v>512</v>
      </c>
    </row>
    <row r="724" spans="2:7" ht="15" hidden="1" x14ac:dyDescent="0.25">
      <c r="B724" s="4">
        <v>584632178</v>
      </c>
      <c r="C724" s="4" t="s">
        <v>272</v>
      </c>
      <c r="D724" s="4">
        <v>33</v>
      </c>
      <c r="E724" s="4">
        <v>225</v>
      </c>
      <c r="G724">
        <f t="shared" si="11"/>
        <v>1856</v>
      </c>
    </row>
    <row r="725" spans="2:7" ht="15" hidden="1" x14ac:dyDescent="0.25">
      <c r="B725" s="4">
        <v>584632179</v>
      </c>
      <c r="C725" s="4" t="s">
        <v>269</v>
      </c>
      <c r="D725" s="4">
        <v>450</v>
      </c>
      <c r="E725" s="4">
        <v>57</v>
      </c>
      <c r="G725">
        <f t="shared" si="11"/>
        <v>512</v>
      </c>
    </row>
    <row r="726" spans="2:7" ht="15" hidden="1" x14ac:dyDescent="0.25">
      <c r="B726" s="4">
        <v>584632180</v>
      </c>
      <c r="C726" s="4" t="s">
        <v>269</v>
      </c>
      <c r="D726" s="4">
        <v>451</v>
      </c>
      <c r="E726" s="4">
        <v>57</v>
      </c>
      <c r="G726">
        <f t="shared" si="11"/>
        <v>512</v>
      </c>
    </row>
    <row r="727" spans="2:7" ht="15" hidden="1" x14ac:dyDescent="0.25">
      <c r="B727" s="4">
        <v>584632181</v>
      </c>
      <c r="C727" s="4" t="s">
        <v>269</v>
      </c>
      <c r="D727" s="4">
        <v>452</v>
      </c>
      <c r="E727" s="4">
        <v>57</v>
      </c>
      <c r="G727">
        <f t="shared" si="11"/>
        <v>512</v>
      </c>
    </row>
    <row r="728" spans="2:7" ht="15" hidden="1" x14ac:dyDescent="0.25">
      <c r="B728" s="4">
        <v>584632182</v>
      </c>
      <c r="C728" s="4" t="s">
        <v>269</v>
      </c>
      <c r="D728" s="4">
        <v>453</v>
      </c>
      <c r="E728" s="4">
        <v>57</v>
      </c>
      <c r="G728">
        <f t="shared" si="11"/>
        <v>512</v>
      </c>
    </row>
    <row r="729" spans="2:7" ht="15" hidden="1" x14ac:dyDescent="0.25">
      <c r="B729" s="4">
        <v>584632183</v>
      </c>
      <c r="C729" s="4" t="s">
        <v>269</v>
      </c>
      <c r="D729" s="4">
        <v>454</v>
      </c>
      <c r="E729" s="4">
        <v>57</v>
      </c>
      <c r="G729">
        <f t="shared" si="11"/>
        <v>512</v>
      </c>
    </row>
    <row r="730" spans="2:7" ht="15" hidden="1" x14ac:dyDescent="0.25">
      <c r="B730" s="4">
        <v>584632184</v>
      </c>
      <c r="C730" s="4" t="s">
        <v>269</v>
      </c>
      <c r="D730" s="4">
        <v>455</v>
      </c>
      <c r="E730" s="4">
        <v>57</v>
      </c>
      <c r="G730">
        <f t="shared" si="11"/>
        <v>512</v>
      </c>
    </row>
    <row r="731" spans="2:7" ht="15" hidden="1" x14ac:dyDescent="0.25">
      <c r="B731" s="4">
        <v>584632185</v>
      </c>
      <c r="C731" s="4" t="s">
        <v>269</v>
      </c>
      <c r="D731" s="4">
        <v>456</v>
      </c>
      <c r="E731" s="4">
        <v>57</v>
      </c>
      <c r="G731">
        <f t="shared" si="11"/>
        <v>512</v>
      </c>
    </row>
    <row r="732" spans="2:7" ht="15" hidden="1" x14ac:dyDescent="0.25">
      <c r="B732" s="4">
        <v>584632186</v>
      </c>
      <c r="C732" s="4" t="s">
        <v>269</v>
      </c>
      <c r="D732" s="4">
        <v>457</v>
      </c>
      <c r="E732" s="4">
        <v>57</v>
      </c>
      <c r="G732">
        <f t="shared" si="11"/>
        <v>512</v>
      </c>
    </row>
    <row r="733" spans="2:7" ht="15" hidden="1" x14ac:dyDescent="0.25">
      <c r="B733" s="4">
        <v>584632187</v>
      </c>
      <c r="C733" s="4" t="s">
        <v>269</v>
      </c>
      <c r="D733" s="4">
        <v>458</v>
      </c>
      <c r="E733" s="4">
        <v>57</v>
      </c>
      <c r="G733">
        <f t="shared" si="11"/>
        <v>512</v>
      </c>
    </row>
    <row r="734" spans="2:7" ht="15" hidden="1" x14ac:dyDescent="0.25">
      <c r="B734" s="4">
        <v>584632188</v>
      </c>
      <c r="C734" s="4" t="s">
        <v>269</v>
      </c>
      <c r="D734" s="4">
        <v>459</v>
      </c>
      <c r="E734" s="4">
        <v>57</v>
      </c>
      <c r="G734">
        <f t="shared" si="11"/>
        <v>512</v>
      </c>
    </row>
    <row r="735" spans="2:7" ht="15" hidden="1" x14ac:dyDescent="0.25">
      <c r="B735" s="4">
        <v>584632188</v>
      </c>
      <c r="C735" s="4" t="s">
        <v>272</v>
      </c>
      <c r="D735" s="4">
        <v>34</v>
      </c>
      <c r="E735" s="4">
        <v>223</v>
      </c>
      <c r="G735">
        <f t="shared" si="11"/>
        <v>1840</v>
      </c>
    </row>
    <row r="736" spans="2:7" ht="15" hidden="1" x14ac:dyDescent="0.25">
      <c r="B736" s="4">
        <v>584632189</v>
      </c>
      <c r="C736" s="4" t="s">
        <v>269</v>
      </c>
      <c r="D736" s="4">
        <v>460</v>
      </c>
      <c r="E736" s="4">
        <v>57</v>
      </c>
      <c r="G736">
        <f t="shared" si="11"/>
        <v>512</v>
      </c>
    </row>
    <row r="737" spans="2:7" ht="15" hidden="1" x14ac:dyDescent="0.25">
      <c r="B737" s="4">
        <v>584632190</v>
      </c>
      <c r="C737" s="4" t="s">
        <v>269</v>
      </c>
      <c r="D737" s="4">
        <v>461</v>
      </c>
      <c r="E737" s="4">
        <v>57</v>
      </c>
      <c r="G737">
        <f t="shared" si="11"/>
        <v>512</v>
      </c>
    </row>
    <row r="738" spans="2:7" ht="15" hidden="1" x14ac:dyDescent="0.25">
      <c r="B738" s="4">
        <v>584632191</v>
      </c>
      <c r="C738" s="4" t="s">
        <v>269</v>
      </c>
      <c r="D738" s="4">
        <v>462</v>
      </c>
      <c r="E738" s="4">
        <v>57</v>
      </c>
      <c r="G738">
        <f t="shared" si="11"/>
        <v>512</v>
      </c>
    </row>
    <row r="739" spans="2:7" ht="15" hidden="1" x14ac:dyDescent="0.25">
      <c r="B739" s="4">
        <v>584632192</v>
      </c>
      <c r="C739" s="4" t="s">
        <v>269</v>
      </c>
      <c r="D739" s="4">
        <v>463</v>
      </c>
      <c r="E739" s="4">
        <v>57</v>
      </c>
      <c r="G739">
        <f t="shared" si="11"/>
        <v>512</v>
      </c>
    </row>
    <row r="740" spans="2:7" ht="15" hidden="1" x14ac:dyDescent="0.25">
      <c r="B740" s="4">
        <v>584632193</v>
      </c>
      <c r="C740" s="4" t="s">
        <v>269</v>
      </c>
      <c r="D740" s="4">
        <v>464</v>
      </c>
      <c r="E740" s="4">
        <v>57</v>
      </c>
      <c r="G740">
        <f t="shared" si="11"/>
        <v>512</v>
      </c>
    </row>
    <row r="741" spans="2:7" ht="15" hidden="1" x14ac:dyDescent="0.25">
      <c r="B741" s="4">
        <v>584632194</v>
      </c>
      <c r="C741" s="4" t="s">
        <v>269</v>
      </c>
      <c r="D741" s="4">
        <v>465</v>
      </c>
      <c r="E741" s="4">
        <v>57</v>
      </c>
      <c r="G741">
        <f t="shared" si="11"/>
        <v>512</v>
      </c>
    </row>
    <row r="742" spans="2:7" ht="15" hidden="1" x14ac:dyDescent="0.25">
      <c r="B742" s="4">
        <v>584632195</v>
      </c>
      <c r="C742" s="4" t="s">
        <v>269</v>
      </c>
      <c r="D742" s="4">
        <v>466</v>
      </c>
      <c r="E742" s="4">
        <v>57</v>
      </c>
      <c r="G742">
        <f t="shared" si="11"/>
        <v>512</v>
      </c>
    </row>
    <row r="743" spans="2:7" ht="15" hidden="1" x14ac:dyDescent="0.25">
      <c r="B743" s="4">
        <v>584632196</v>
      </c>
      <c r="C743" s="4" t="s">
        <v>269</v>
      </c>
      <c r="D743" s="4">
        <v>467</v>
      </c>
      <c r="E743" s="4">
        <v>57</v>
      </c>
      <c r="G743">
        <f t="shared" si="11"/>
        <v>512</v>
      </c>
    </row>
    <row r="744" spans="2:7" ht="15" hidden="1" x14ac:dyDescent="0.25">
      <c r="B744" s="4">
        <v>584632197</v>
      </c>
      <c r="C744" s="4" t="s">
        <v>269</v>
      </c>
      <c r="D744" s="4">
        <v>468</v>
      </c>
      <c r="E744" s="4">
        <v>57</v>
      </c>
      <c r="G744">
        <f t="shared" si="11"/>
        <v>512</v>
      </c>
    </row>
    <row r="745" spans="2:7" ht="15" hidden="1" x14ac:dyDescent="0.25">
      <c r="B745" s="4">
        <v>584632198</v>
      </c>
      <c r="C745" s="4" t="s">
        <v>269</v>
      </c>
      <c r="D745" s="4">
        <v>469</v>
      </c>
      <c r="E745" s="4">
        <v>57</v>
      </c>
      <c r="G745">
        <f t="shared" si="11"/>
        <v>512</v>
      </c>
    </row>
    <row r="746" spans="2:7" ht="15" hidden="1" x14ac:dyDescent="0.25">
      <c r="B746" s="4">
        <v>584632198</v>
      </c>
      <c r="C746" s="4" t="s">
        <v>272</v>
      </c>
      <c r="D746" s="4">
        <v>35</v>
      </c>
      <c r="E746" s="4">
        <v>225</v>
      </c>
      <c r="G746">
        <f t="shared" si="11"/>
        <v>1856</v>
      </c>
    </row>
    <row r="747" spans="2:7" ht="15" hidden="1" x14ac:dyDescent="0.25">
      <c r="B747" s="4">
        <v>584632199</v>
      </c>
      <c r="C747" s="4" t="s">
        <v>269</v>
      </c>
      <c r="D747" s="4">
        <v>470</v>
      </c>
      <c r="E747" s="4">
        <v>57</v>
      </c>
      <c r="G747">
        <f t="shared" si="11"/>
        <v>512</v>
      </c>
    </row>
    <row r="748" spans="2:7" ht="15" hidden="1" x14ac:dyDescent="0.25">
      <c r="B748" s="4">
        <v>584632200</v>
      </c>
      <c r="C748" s="4" t="s">
        <v>269</v>
      </c>
      <c r="D748" s="4">
        <v>471</v>
      </c>
      <c r="E748" s="4">
        <v>57</v>
      </c>
      <c r="G748">
        <f t="shared" si="11"/>
        <v>512</v>
      </c>
    </row>
    <row r="749" spans="2:7" ht="15" hidden="1" x14ac:dyDescent="0.25">
      <c r="B749" s="4">
        <v>584632201</v>
      </c>
      <c r="C749" s="4" t="s">
        <v>269</v>
      </c>
      <c r="D749" s="4">
        <v>472</v>
      </c>
      <c r="E749" s="4">
        <v>57</v>
      </c>
      <c r="G749">
        <f t="shared" si="11"/>
        <v>512</v>
      </c>
    </row>
    <row r="750" spans="2:7" ht="15" hidden="1" x14ac:dyDescent="0.25">
      <c r="B750" s="4">
        <v>584632202</v>
      </c>
      <c r="C750" s="4" t="s">
        <v>269</v>
      </c>
      <c r="D750" s="4">
        <v>473</v>
      </c>
      <c r="E750" s="4">
        <v>57</v>
      </c>
      <c r="G750">
        <f t="shared" si="11"/>
        <v>512</v>
      </c>
    </row>
    <row r="751" spans="2:7" ht="15" hidden="1" x14ac:dyDescent="0.25">
      <c r="B751" s="4">
        <v>584632203</v>
      </c>
      <c r="C751" s="4" t="s">
        <v>269</v>
      </c>
      <c r="D751" s="4">
        <v>474</v>
      </c>
      <c r="E751" s="4">
        <v>57</v>
      </c>
      <c r="G751">
        <f t="shared" si="11"/>
        <v>512</v>
      </c>
    </row>
    <row r="752" spans="2:7" ht="15" hidden="1" x14ac:dyDescent="0.25">
      <c r="B752" s="4">
        <v>584632204</v>
      </c>
      <c r="C752" s="4" t="s">
        <v>269</v>
      </c>
      <c r="D752" s="4">
        <v>475</v>
      </c>
      <c r="E752" s="4">
        <v>57</v>
      </c>
      <c r="G752">
        <f t="shared" si="11"/>
        <v>512</v>
      </c>
    </row>
    <row r="753" spans="2:7" ht="15" hidden="1" x14ac:dyDescent="0.25">
      <c r="B753" s="4">
        <v>584632205</v>
      </c>
      <c r="C753" s="4" t="s">
        <v>269</v>
      </c>
      <c r="D753" s="4">
        <v>476</v>
      </c>
      <c r="E753" s="4">
        <v>57</v>
      </c>
      <c r="G753">
        <f t="shared" si="11"/>
        <v>512</v>
      </c>
    </row>
    <row r="754" spans="2:7" ht="15" hidden="1" x14ac:dyDescent="0.25">
      <c r="B754" s="4">
        <v>584632206</v>
      </c>
      <c r="C754" s="4" t="s">
        <v>269</v>
      </c>
      <c r="D754" s="4">
        <v>477</v>
      </c>
      <c r="E754" s="4">
        <v>57</v>
      </c>
      <c r="G754">
        <f t="shared" si="11"/>
        <v>512</v>
      </c>
    </row>
    <row r="755" spans="2:7" ht="15" hidden="1" x14ac:dyDescent="0.25">
      <c r="B755" s="4">
        <v>584632207</v>
      </c>
      <c r="C755" s="4" t="s">
        <v>269</v>
      </c>
      <c r="D755" s="4">
        <v>478</v>
      </c>
      <c r="E755" s="4">
        <v>57</v>
      </c>
      <c r="G755">
        <f t="shared" si="11"/>
        <v>512</v>
      </c>
    </row>
    <row r="756" spans="2:7" ht="15" hidden="1" x14ac:dyDescent="0.25">
      <c r="B756" s="4">
        <v>584632208</v>
      </c>
      <c r="C756" s="4" t="s">
        <v>269</v>
      </c>
      <c r="D756" s="4">
        <v>479</v>
      </c>
      <c r="E756" s="4">
        <v>57</v>
      </c>
      <c r="G756">
        <f t="shared" si="11"/>
        <v>512</v>
      </c>
    </row>
    <row r="757" spans="2:7" ht="15" hidden="1" x14ac:dyDescent="0.25">
      <c r="B757" s="4">
        <v>584632208</v>
      </c>
      <c r="C757" s="4" t="s">
        <v>272</v>
      </c>
      <c r="D757" s="4">
        <v>36</v>
      </c>
      <c r="E757" s="4">
        <v>223</v>
      </c>
      <c r="G757">
        <f t="shared" si="11"/>
        <v>1840</v>
      </c>
    </row>
    <row r="758" spans="2:7" ht="15" hidden="1" x14ac:dyDescent="0.25">
      <c r="B758" s="4">
        <v>584632209</v>
      </c>
      <c r="C758" s="4" t="s">
        <v>269</v>
      </c>
      <c r="D758" s="4">
        <v>480</v>
      </c>
      <c r="E758" s="4">
        <v>57</v>
      </c>
      <c r="G758">
        <f t="shared" si="11"/>
        <v>512</v>
      </c>
    </row>
    <row r="759" spans="2:7" ht="15" hidden="1" x14ac:dyDescent="0.25">
      <c r="B759" s="4">
        <v>584632210</v>
      </c>
      <c r="C759" s="4" t="s">
        <v>269</v>
      </c>
      <c r="D759" s="4">
        <v>481</v>
      </c>
      <c r="E759" s="4">
        <v>57</v>
      </c>
      <c r="G759">
        <f t="shared" si="11"/>
        <v>512</v>
      </c>
    </row>
    <row r="760" spans="2:7" ht="15" hidden="1" x14ac:dyDescent="0.25">
      <c r="B760" s="4">
        <v>584632211</v>
      </c>
      <c r="C760" s="4" t="s">
        <v>269</v>
      </c>
      <c r="D760" s="4">
        <v>482</v>
      </c>
      <c r="E760" s="4">
        <v>57</v>
      </c>
      <c r="G760">
        <f t="shared" si="11"/>
        <v>512</v>
      </c>
    </row>
    <row r="761" spans="2:7" ht="15" hidden="1" x14ac:dyDescent="0.25">
      <c r="B761" s="4">
        <v>584632212</v>
      </c>
      <c r="C761" s="4" t="s">
        <v>269</v>
      </c>
      <c r="D761" s="4">
        <v>483</v>
      </c>
      <c r="E761" s="4">
        <v>57</v>
      </c>
      <c r="G761">
        <f t="shared" si="11"/>
        <v>512</v>
      </c>
    </row>
    <row r="762" spans="2:7" ht="15" hidden="1" x14ac:dyDescent="0.25">
      <c r="B762" s="4">
        <v>584632213</v>
      </c>
      <c r="C762" s="4" t="s">
        <v>269</v>
      </c>
      <c r="D762" s="4">
        <v>484</v>
      </c>
      <c r="E762" s="4">
        <v>57</v>
      </c>
      <c r="G762">
        <f t="shared" si="11"/>
        <v>512</v>
      </c>
    </row>
    <row r="763" spans="2:7" ht="15" hidden="1" x14ac:dyDescent="0.25">
      <c r="B763" s="4">
        <v>584632214</v>
      </c>
      <c r="C763" s="4" t="s">
        <v>269</v>
      </c>
      <c r="D763" s="4">
        <v>485</v>
      </c>
      <c r="E763" s="4">
        <v>57</v>
      </c>
      <c r="G763">
        <f t="shared" si="11"/>
        <v>512</v>
      </c>
    </row>
    <row r="764" spans="2:7" ht="15" hidden="1" x14ac:dyDescent="0.25">
      <c r="B764" s="4">
        <v>584632215</v>
      </c>
      <c r="C764" s="4" t="s">
        <v>269</v>
      </c>
      <c r="D764" s="4">
        <v>486</v>
      </c>
      <c r="E764" s="4">
        <v>57</v>
      </c>
      <c r="G764">
        <f t="shared" si="11"/>
        <v>512</v>
      </c>
    </row>
    <row r="765" spans="2:7" ht="15" hidden="1" x14ac:dyDescent="0.25">
      <c r="B765" s="4">
        <v>584632216</v>
      </c>
      <c r="C765" s="4" t="s">
        <v>269</v>
      </c>
      <c r="D765" s="4">
        <v>487</v>
      </c>
      <c r="E765" s="4">
        <v>57</v>
      </c>
      <c r="G765">
        <f t="shared" si="11"/>
        <v>512</v>
      </c>
    </row>
    <row r="766" spans="2:7" ht="15" hidden="1" x14ac:dyDescent="0.25">
      <c r="B766" s="4">
        <v>584632217</v>
      </c>
      <c r="C766" s="4" t="s">
        <v>269</v>
      </c>
      <c r="D766" s="4">
        <v>488</v>
      </c>
      <c r="E766" s="4">
        <v>57</v>
      </c>
      <c r="G766">
        <f t="shared" si="11"/>
        <v>512</v>
      </c>
    </row>
    <row r="767" spans="2:7" ht="15" hidden="1" x14ac:dyDescent="0.25">
      <c r="B767" s="4">
        <v>584632218</v>
      </c>
      <c r="C767" s="4" t="s">
        <v>269</v>
      </c>
      <c r="D767" s="4">
        <v>489</v>
      </c>
      <c r="E767" s="4">
        <v>57</v>
      </c>
      <c r="G767">
        <f t="shared" si="11"/>
        <v>512</v>
      </c>
    </row>
    <row r="768" spans="2:7" ht="15" hidden="1" x14ac:dyDescent="0.25">
      <c r="B768" s="4">
        <v>584632218</v>
      </c>
      <c r="C768" s="4" t="s">
        <v>272</v>
      </c>
      <c r="D768" s="4">
        <v>37</v>
      </c>
      <c r="E768" s="4">
        <v>223</v>
      </c>
      <c r="G768">
        <f t="shared" si="11"/>
        <v>1840</v>
      </c>
    </row>
    <row r="769" spans="2:7" ht="15" hidden="1" x14ac:dyDescent="0.25">
      <c r="B769" s="4">
        <v>584632219</v>
      </c>
      <c r="C769" s="4" t="s">
        <v>269</v>
      </c>
      <c r="D769" s="4">
        <v>490</v>
      </c>
      <c r="E769" s="4">
        <v>57</v>
      </c>
      <c r="G769">
        <f t="shared" si="11"/>
        <v>512</v>
      </c>
    </row>
    <row r="770" spans="2:7" ht="15" hidden="1" x14ac:dyDescent="0.25">
      <c r="B770" s="4">
        <v>584632220</v>
      </c>
      <c r="C770" s="4" t="s">
        <v>269</v>
      </c>
      <c r="D770" s="4">
        <v>491</v>
      </c>
      <c r="E770" s="4">
        <v>57</v>
      </c>
      <c r="G770">
        <f t="shared" si="11"/>
        <v>512</v>
      </c>
    </row>
    <row r="771" spans="2:7" ht="15" hidden="1" x14ac:dyDescent="0.25">
      <c r="B771" s="4">
        <v>584632221</v>
      </c>
      <c r="C771" s="4" t="s">
        <v>269</v>
      </c>
      <c r="D771" s="4">
        <v>492</v>
      </c>
      <c r="E771" s="4">
        <v>57</v>
      </c>
      <c r="G771">
        <f t="shared" si="11"/>
        <v>512</v>
      </c>
    </row>
    <row r="772" spans="2:7" ht="15" hidden="1" x14ac:dyDescent="0.25">
      <c r="B772" s="4">
        <v>584632222</v>
      </c>
      <c r="C772" s="4" t="s">
        <v>269</v>
      </c>
      <c r="D772" s="4">
        <v>493</v>
      </c>
      <c r="E772" s="4">
        <v>57</v>
      </c>
      <c r="G772">
        <f t="shared" ref="G772:G835" si="12">(E772+7)*8</f>
        <v>512</v>
      </c>
    </row>
    <row r="773" spans="2:7" ht="15" hidden="1" x14ac:dyDescent="0.25">
      <c r="B773" s="4">
        <v>584632223</v>
      </c>
      <c r="C773" s="4" t="s">
        <v>269</v>
      </c>
      <c r="D773" s="4">
        <v>494</v>
      </c>
      <c r="E773" s="4">
        <v>57</v>
      </c>
      <c r="G773">
        <f t="shared" si="12"/>
        <v>512</v>
      </c>
    </row>
    <row r="774" spans="2:7" ht="15" hidden="1" x14ac:dyDescent="0.25">
      <c r="B774" s="4">
        <v>584632224</v>
      </c>
      <c r="C774" s="4" t="s">
        <v>269</v>
      </c>
      <c r="D774" s="4">
        <v>495</v>
      </c>
      <c r="E774" s="4">
        <v>57</v>
      </c>
      <c r="G774">
        <f t="shared" si="12"/>
        <v>512</v>
      </c>
    </row>
    <row r="775" spans="2:7" ht="15" hidden="1" x14ac:dyDescent="0.25">
      <c r="B775" s="4">
        <v>584632225</v>
      </c>
      <c r="C775" s="4" t="s">
        <v>269</v>
      </c>
      <c r="D775" s="4">
        <v>496</v>
      </c>
      <c r="E775" s="4">
        <v>57</v>
      </c>
      <c r="G775">
        <f t="shared" si="12"/>
        <v>512</v>
      </c>
    </row>
    <row r="776" spans="2:7" ht="15" hidden="1" x14ac:dyDescent="0.25">
      <c r="B776" s="4">
        <v>584632226</v>
      </c>
      <c r="C776" s="4" t="s">
        <v>269</v>
      </c>
      <c r="D776" s="4">
        <v>497</v>
      </c>
      <c r="E776" s="4">
        <v>57</v>
      </c>
      <c r="G776">
        <f t="shared" si="12"/>
        <v>512</v>
      </c>
    </row>
    <row r="777" spans="2:7" ht="15" hidden="1" x14ac:dyDescent="0.25">
      <c r="B777" s="4">
        <v>584632227</v>
      </c>
      <c r="C777" s="4" t="s">
        <v>269</v>
      </c>
      <c r="D777" s="4">
        <v>498</v>
      </c>
      <c r="E777" s="4">
        <v>57</v>
      </c>
      <c r="G777">
        <f t="shared" si="12"/>
        <v>512</v>
      </c>
    </row>
    <row r="778" spans="2:7" ht="15" hidden="1" x14ac:dyDescent="0.25">
      <c r="B778" s="4">
        <v>584632228</v>
      </c>
      <c r="C778" s="4" t="s">
        <v>269</v>
      </c>
      <c r="D778" s="4">
        <v>499</v>
      </c>
      <c r="E778" s="4">
        <v>57</v>
      </c>
      <c r="G778">
        <f t="shared" si="12"/>
        <v>512</v>
      </c>
    </row>
    <row r="779" spans="2:7" ht="15" hidden="1" x14ac:dyDescent="0.25">
      <c r="B779" s="4">
        <v>584632228</v>
      </c>
      <c r="C779" s="4" t="s">
        <v>272</v>
      </c>
      <c r="D779" s="4">
        <v>38</v>
      </c>
      <c r="E779" s="4">
        <v>223</v>
      </c>
      <c r="G779">
        <f t="shared" si="12"/>
        <v>1840</v>
      </c>
    </row>
    <row r="780" spans="2:7" ht="15" hidden="1" x14ac:dyDescent="0.25">
      <c r="B780" s="4">
        <v>584632229</v>
      </c>
      <c r="C780" s="4" t="s">
        <v>269</v>
      </c>
      <c r="D780" s="4">
        <v>500</v>
      </c>
      <c r="E780" s="4">
        <v>57</v>
      </c>
      <c r="G780">
        <f t="shared" si="12"/>
        <v>512</v>
      </c>
    </row>
    <row r="781" spans="2:7" ht="15" hidden="1" x14ac:dyDescent="0.25">
      <c r="B781" s="4">
        <v>584632230</v>
      </c>
      <c r="C781" s="4" t="s">
        <v>269</v>
      </c>
      <c r="D781" s="4">
        <v>501</v>
      </c>
      <c r="E781" s="4">
        <v>57</v>
      </c>
      <c r="G781">
        <f t="shared" si="12"/>
        <v>512</v>
      </c>
    </row>
    <row r="782" spans="2:7" ht="15" hidden="1" x14ac:dyDescent="0.25">
      <c r="B782" s="4">
        <v>584632231</v>
      </c>
      <c r="C782" s="4" t="s">
        <v>269</v>
      </c>
      <c r="D782" s="4">
        <v>502</v>
      </c>
      <c r="E782" s="4">
        <v>57</v>
      </c>
      <c r="G782">
        <f t="shared" si="12"/>
        <v>512</v>
      </c>
    </row>
    <row r="783" spans="2:7" ht="15" hidden="1" x14ac:dyDescent="0.25">
      <c r="B783" s="4">
        <v>584632232</v>
      </c>
      <c r="C783" s="4" t="s">
        <v>269</v>
      </c>
      <c r="D783" s="4">
        <v>503</v>
      </c>
      <c r="E783" s="4">
        <v>57</v>
      </c>
      <c r="G783">
        <f t="shared" si="12"/>
        <v>512</v>
      </c>
    </row>
    <row r="784" spans="2:7" ht="15" hidden="1" x14ac:dyDescent="0.25">
      <c r="B784" s="4">
        <v>584632233</v>
      </c>
      <c r="C784" s="4" t="s">
        <v>269</v>
      </c>
      <c r="D784" s="4">
        <v>504</v>
      </c>
      <c r="E784" s="4">
        <v>57</v>
      </c>
      <c r="G784">
        <f t="shared" si="12"/>
        <v>512</v>
      </c>
    </row>
    <row r="785" spans="2:7" ht="15" hidden="1" x14ac:dyDescent="0.25">
      <c r="B785" s="4">
        <v>584632234</v>
      </c>
      <c r="C785" s="4" t="s">
        <v>269</v>
      </c>
      <c r="D785" s="4">
        <v>505</v>
      </c>
      <c r="E785" s="4">
        <v>57</v>
      </c>
      <c r="G785">
        <f t="shared" si="12"/>
        <v>512</v>
      </c>
    </row>
    <row r="786" spans="2:7" ht="15" hidden="1" x14ac:dyDescent="0.25">
      <c r="B786" s="4">
        <v>584632235</v>
      </c>
      <c r="C786" s="4" t="s">
        <v>269</v>
      </c>
      <c r="D786" s="4">
        <v>506</v>
      </c>
      <c r="E786" s="4">
        <v>57</v>
      </c>
      <c r="G786">
        <f t="shared" si="12"/>
        <v>512</v>
      </c>
    </row>
    <row r="787" spans="2:7" ht="15" hidden="1" x14ac:dyDescent="0.25">
      <c r="B787" s="4">
        <v>584632236</v>
      </c>
      <c r="C787" s="4" t="s">
        <v>269</v>
      </c>
      <c r="D787" s="4">
        <v>507</v>
      </c>
      <c r="E787" s="4">
        <v>57</v>
      </c>
      <c r="G787">
        <f t="shared" si="12"/>
        <v>512</v>
      </c>
    </row>
    <row r="788" spans="2:7" ht="15" hidden="1" x14ac:dyDescent="0.25">
      <c r="B788" s="4">
        <v>584632237</v>
      </c>
      <c r="C788" s="4" t="s">
        <v>269</v>
      </c>
      <c r="D788" s="4">
        <v>508</v>
      </c>
      <c r="E788" s="4">
        <v>57</v>
      </c>
      <c r="G788">
        <f t="shared" si="12"/>
        <v>512</v>
      </c>
    </row>
    <row r="789" spans="2:7" ht="15" hidden="1" x14ac:dyDescent="0.25">
      <c r="B789" s="4">
        <v>584632238</v>
      </c>
      <c r="C789" s="4" t="s">
        <v>268</v>
      </c>
      <c r="D789" s="4">
        <v>194</v>
      </c>
      <c r="E789" s="4">
        <v>6</v>
      </c>
      <c r="G789">
        <f t="shared" si="12"/>
        <v>104</v>
      </c>
    </row>
    <row r="790" spans="2:7" ht="15" hidden="1" x14ac:dyDescent="0.25">
      <c r="B790" s="4">
        <v>584632238</v>
      </c>
      <c r="C790" s="4" t="s">
        <v>268</v>
      </c>
      <c r="D790" s="4">
        <v>194</v>
      </c>
      <c r="E790" s="4">
        <v>6</v>
      </c>
      <c r="G790">
        <f t="shared" si="12"/>
        <v>104</v>
      </c>
    </row>
    <row r="791" spans="2:7" ht="15" hidden="1" x14ac:dyDescent="0.25">
      <c r="B791" s="4">
        <v>584632238</v>
      </c>
      <c r="C791" s="4" t="s">
        <v>268</v>
      </c>
      <c r="D791" s="4">
        <v>195</v>
      </c>
      <c r="E791" s="4">
        <v>9</v>
      </c>
      <c r="G791">
        <f t="shared" si="12"/>
        <v>128</v>
      </c>
    </row>
    <row r="792" spans="2:7" ht="15" hidden="1" x14ac:dyDescent="0.25">
      <c r="B792" s="4">
        <v>584632238</v>
      </c>
      <c r="C792" s="4" t="s">
        <v>268</v>
      </c>
      <c r="D792" s="4">
        <v>195</v>
      </c>
      <c r="E792" s="4">
        <v>9</v>
      </c>
      <c r="G792">
        <f t="shared" si="12"/>
        <v>128</v>
      </c>
    </row>
    <row r="793" spans="2:7" ht="15" hidden="1" x14ac:dyDescent="0.25">
      <c r="B793" s="4">
        <v>584632238</v>
      </c>
      <c r="C793" s="4" t="s">
        <v>268</v>
      </c>
      <c r="D793" s="4">
        <v>196</v>
      </c>
      <c r="E793" s="4">
        <v>7</v>
      </c>
      <c r="G793">
        <f t="shared" si="12"/>
        <v>112</v>
      </c>
    </row>
    <row r="794" spans="2:7" ht="15" hidden="1" x14ac:dyDescent="0.25">
      <c r="B794" s="4">
        <v>584632238</v>
      </c>
      <c r="C794" s="4" t="s">
        <v>268</v>
      </c>
      <c r="D794" s="4">
        <v>196</v>
      </c>
      <c r="E794" s="4">
        <v>7</v>
      </c>
      <c r="G794">
        <f t="shared" si="12"/>
        <v>112</v>
      </c>
    </row>
    <row r="795" spans="2:7" ht="15" hidden="1" x14ac:dyDescent="0.25">
      <c r="B795" s="4">
        <v>584632238</v>
      </c>
      <c r="C795" s="4" t="s">
        <v>268</v>
      </c>
      <c r="D795" s="4">
        <v>197</v>
      </c>
      <c r="E795" s="4">
        <v>7</v>
      </c>
      <c r="G795">
        <f t="shared" si="12"/>
        <v>112</v>
      </c>
    </row>
    <row r="796" spans="2:7" ht="15" hidden="1" x14ac:dyDescent="0.25">
      <c r="B796" s="4">
        <v>584632238</v>
      </c>
      <c r="C796" s="4" t="s">
        <v>268</v>
      </c>
      <c r="D796" s="4">
        <v>197</v>
      </c>
      <c r="E796" s="4">
        <v>7</v>
      </c>
      <c r="G796">
        <f t="shared" si="12"/>
        <v>112</v>
      </c>
    </row>
    <row r="797" spans="2:7" ht="15" hidden="1" x14ac:dyDescent="0.25">
      <c r="B797" s="4">
        <v>584632238</v>
      </c>
      <c r="C797" s="4" t="s">
        <v>268</v>
      </c>
      <c r="D797" s="4">
        <v>198</v>
      </c>
      <c r="E797" s="4">
        <v>7</v>
      </c>
      <c r="G797">
        <f t="shared" si="12"/>
        <v>112</v>
      </c>
    </row>
    <row r="798" spans="2:7" ht="15" hidden="1" x14ac:dyDescent="0.25">
      <c r="B798" s="4">
        <v>584632238</v>
      </c>
      <c r="C798" s="4" t="s">
        <v>268</v>
      </c>
      <c r="D798" s="4">
        <v>198</v>
      </c>
      <c r="E798" s="4">
        <v>7</v>
      </c>
      <c r="G798">
        <f t="shared" si="12"/>
        <v>112</v>
      </c>
    </row>
    <row r="799" spans="2:7" ht="15" hidden="1" x14ac:dyDescent="0.25">
      <c r="B799" s="4">
        <v>584632238</v>
      </c>
      <c r="C799" s="4" t="s">
        <v>269</v>
      </c>
      <c r="D799" s="4">
        <v>509</v>
      </c>
      <c r="E799" s="4">
        <v>57</v>
      </c>
      <c r="G799">
        <f t="shared" si="12"/>
        <v>512</v>
      </c>
    </row>
    <row r="800" spans="2:7" ht="15" hidden="1" x14ac:dyDescent="0.25">
      <c r="B800" s="4">
        <v>584632238</v>
      </c>
      <c r="C800" s="4" t="s">
        <v>272</v>
      </c>
      <c r="D800" s="4">
        <v>39</v>
      </c>
      <c r="E800" s="4">
        <v>225</v>
      </c>
      <c r="G800">
        <f t="shared" si="12"/>
        <v>1856</v>
      </c>
    </row>
    <row r="801" spans="2:7" ht="15" hidden="1" x14ac:dyDescent="0.25">
      <c r="B801" s="4">
        <v>584632239</v>
      </c>
      <c r="C801" s="4" t="s">
        <v>269</v>
      </c>
      <c r="D801" s="4">
        <v>510</v>
      </c>
      <c r="E801" s="4">
        <v>57</v>
      </c>
      <c r="G801">
        <f t="shared" si="12"/>
        <v>512</v>
      </c>
    </row>
    <row r="802" spans="2:7" ht="15" hidden="1" x14ac:dyDescent="0.25">
      <c r="B802" s="4">
        <v>584632240</v>
      </c>
      <c r="C802" s="4" t="s">
        <v>268</v>
      </c>
      <c r="D802" s="4">
        <v>199</v>
      </c>
      <c r="E802" s="4">
        <v>7</v>
      </c>
      <c r="G802">
        <f t="shared" si="12"/>
        <v>112</v>
      </c>
    </row>
    <row r="803" spans="2:7" ht="15" hidden="1" x14ac:dyDescent="0.25">
      <c r="B803" s="4">
        <v>584632240</v>
      </c>
      <c r="C803" s="4" t="s">
        <v>268</v>
      </c>
      <c r="D803" s="4">
        <v>199</v>
      </c>
      <c r="E803" s="4">
        <v>7</v>
      </c>
      <c r="G803">
        <f t="shared" si="12"/>
        <v>112</v>
      </c>
    </row>
    <row r="804" spans="2:7" ht="15" hidden="1" x14ac:dyDescent="0.25">
      <c r="B804" s="4">
        <v>584632240</v>
      </c>
      <c r="C804" s="4" t="s">
        <v>268</v>
      </c>
      <c r="D804" s="4">
        <v>200</v>
      </c>
      <c r="E804" s="4">
        <v>5</v>
      </c>
      <c r="G804">
        <f t="shared" si="12"/>
        <v>96</v>
      </c>
    </row>
    <row r="805" spans="2:7" ht="15" hidden="1" x14ac:dyDescent="0.25">
      <c r="B805" s="4">
        <v>584632240</v>
      </c>
      <c r="C805" s="4" t="s">
        <v>268</v>
      </c>
      <c r="D805" s="4">
        <v>200</v>
      </c>
      <c r="E805" s="4">
        <v>5</v>
      </c>
      <c r="G805">
        <f t="shared" si="12"/>
        <v>96</v>
      </c>
    </row>
    <row r="806" spans="2:7" ht="15" hidden="1" x14ac:dyDescent="0.25">
      <c r="B806" s="4">
        <v>584632240</v>
      </c>
      <c r="C806" s="4" t="s">
        <v>268</v>
      </c>
      <c r="D806" s="4">
        <v>201</v>
      </c>
      <c r="E806" s="4">
        <v>7</v>
      </c>
      <c r="G806">
        <f t="shared" si="12"/>
        <v>112</v>
      </c>
    </row>
    <row r="807" spans="2:7" ht="15" hidden="1" x14ac:dyDescent="0.25">
      <c r="B807" s="4">
        <v>584632240</v>
      </c>
      <c r="C807" s="4" t="s">
        <v>268</v>
      </c>
      <c r="D807" s="4">
        <v>201</v>
      </c>
      <c r="E807" s="4">
        <v>7</v>
      </c>
      <c r="G807">
        <f t="shared" si="12"/>
        <v>112</v>
      </c>
    </row>
    <row r="808" spans="2:7" ht="15" hidden="1" x14ac:dyDescent="0.25">
      <c r="B808" s="4">
        <v>584632240</v>
      </c>
      <c r="C808" s="4" t="s">
        <v>269</v>
      </c>
      <c r="D808" s="4">
        <v>511</v>
      </c>
      <c r="E808" s="4">
        <v>57</v>
      </c>
      <c r="G808">
        <f t="shared" si="12"/>
        <v>512</v>
      </c>
    </row>
    <row r="809" spans="2:7" ht="15" hidden="1" x14ac:dyDescent="0.25">
      <c r="B809" s="4">
        <v>584632241</v>
      </c>
      <c r="C809" s="4" t="s">
        <v>269</v>
      </c>
      <c r="D809" s="4">
        <v>512</v>
      </c>
      <c r="E809" s="4">
        <v>57</v>
      </c>
      <c r="G809">
        <f t="shared" si="12"/>
        <v>512</v>
      </c>
    </row>
    <row r="810" spans="2:7" ht="15" hidden="1" x14ac:dyDescent="0.25">
      <c r="B810" s="4">
        <v>584632242</v>
      </c>
      <c r="C810" s="4" t="s">
        <v>269</v>
      </c>
      <c r="D810" s="4">
        <v>513</v>
      </c>
      <c r="E810" s="4">
        <v>57</v>
      </c>
      <c r="G810">
        <f t="shared" si="12"/>
        <v>512</v>
      </c>
    </row>
    <row r="811" spans="2:7" ht="15" hidden="1" x14ac:dyDescent="0.25">
      <c r="B811" s="4">
        <v>584632243</v>
      </c>
      <c r="C811" s="4" t="s">
        <v>269</v>
      </c>
      <c r="D811" s="4">
        <v>514</v>
      </c>
      <c r="E811" s="4">
        <v>57</v>
      </c>
      <c r="G811">
        <f t="shared" si="12"/>
        <v>512</v>
      </c>
    </row>
    <row r="812" spans="2:7" ht="15" hidden="1" x14ac:dyDescent="0.25">
      <c r="B812" s="4">
        <v>584632244</v>
      </c>
      <c r="C812" s="4" t="s">
        <v>269</v>
      </c>
      <c r="D812" s="4">
        <v>515</v>
      </c>
      <c r="E812" s="4">
        <v>57</v>
      </c>
      <c r="G812">
        <f t="shared" si="12"/>
        <v>512</v>
      </c>
    </row>
    <row r="813" spans="2:7" ht="15" hidden="1" x14ac:dyDescent="0.25">
      <c r="B813" s="4">
        <v>584632245</v>
      </c>
      <c r="C813" s="4" t="s">
        <v>269</v>
      </c>
      <c r="D813" s="4">
        <v>516</v>
      </c>
      <c r="E813" s="4">
        <v>57</v>
      </c>
      <c r="G813">
        <f t="shared" si="12"/>
        <v>512</v>
      </c>
    </row>
    <row r="814" spans="2:7" ht="15" hidden="1" x14ac:dyDescent="0.25">
      <c r="B814" s="4">
        <v>584632246</v>
      </c>
      <c r="C814" s="4" t="s">
        <v>269</v>
      </c>
      <c r="D814" s="4">
        <v>517</v>
      </c>
      <c r="E814" s="4">
        <v>57</v>
      </c>
      <c r="G814">
        <f t="shared" si="12"/>
        <v>512</v>
      </c>
    </row>
    <row r="815" spans="2:7" ht="15" hidden="1" x14ac:dyDescent="0.25">
      <c r="B815" s="4">
        <v>584632247</v>
      </c>
      <c r="C815" s="4" t="s">
        <v>269</v>
      </c>
      <c r="D815" s="4">
        <v>518</v>
      </c>
      <c r="E815" s="4">
        <v>57</v>
      </c>
      <c r="G815">
        <f t="shared" si="12"/>
        <v>512</v>
      </c>
    </row>
    <row r="816" spans="2:7" ht="15" hidden="1" x14ac:dyDescent="0.25">
      <c r="B816" s="4">
        <v>584632248</v>
      </c>
      <c r="C816" s="4" t="s">
        <v>269</v>
      </c>
      <c r="D816" s="4">
        <v>519</v>
      </c>
      <c r="E816" s="4">
        <v>57</v>
      </c>
      <c r="G816">
        <f t="shared" si="12"/>
        <v>512</v>
      </c>
    </row>
    <row r="817" spans="2:7" ht="15" hidden="1" x14ac:dyDescent="0.25">
      <c r="B817" s="4">
        <v>584632248</v>
      </c>
      <c r="C817" s="4" t="s">
        <v>272</v>
      </c>
      <c r="D817" s="4">
        <v>40</v>
      </c>
      <c r="E817" s="4">
        <v>219</v>
      </c>
      <c r="G817">
        <f t="shared" si="12"/>
        <v>1808</v>
      </c>
    </row>
    <row r="818" spans="2:7" ht="15" hidden="1" x14ac:dyDescent="0.25">
      <c r="B818" s="4">
        <v>584632249</v>
      </c>
      <c r="C818" s="4" t="s">
        <v>269</v>
      </c>
      <c r="D818" s="4">
        <v>520</v>
      </c>
      <c r="E818" s="4">
        <v>57</v>
      </c>
      <c r="G818">
        <f t="shared" si="12"/>
        <v>512</v>
      </c>
    </row>
    <row r="819" spans="2:7" ht="15" hidden="1" x14ac:dyDescent="0.25">
      <c r="B819" s="4">
        <v>584632250</v>
      </c>
      <c r="C819" s="4" t="s">
        <v>269</v>
      </c>
      <c r="D819" s="4">
        <v>521</v>
      </c>
      <c r="E819" s="4">
        <v>57</v>
      </c>
      <c r="G819">
        <f t="shared" si="12"/>
        <v>512</v>
      </c>
    </row>
    <row r="820" spans="2:7" ht="15" hidden="1" x14ac:dyDescent="0.25">
      <c r="B820" s="4">
        <v>584632251</v>
      </c>
      <c r="C820" s="4" t="s">
        <v>269</v>
      </c>
      <c r="D820" s="4">
        <v>522</v>
      </c>
      <c r="E820" s="4">
        <v>57</v>
      </c>
      <c r="G820">
        <f t="shared" si="12"/>
        <v>512</v>
      </c>
    </row>
    <row r="821" spans="2:7" ht="15" hidden="1" x14ac:dyDescent="0.25">
      <c r="B821" s="4">
        <v>584632252</v>
      </c>
      <c r="C821" s="4" t="s">
        <v>269</v>
      </c>
      <c r="D821" s="4">
        <v>523</v>
      </c>
      <c r="E821" s="4">
        <v>57</v>
      </c>
      <c r="G821">
        <f t="shared" si="12"/>
        <v>512</v>
      </c>
    </row>
    <row r="822" spans="2:7" ht="15" hidden="1" x14ac:dyDescent="0.25">
      <c r="B822" s="4">
        <v>584632253</v>
      </c>
      <c r="C822" s="4" t="s">
        <v>269</v>
      </c>
      <c r="D822" s="4">
        <v>524</v>
      </c>
      <c r="E822" s="4">
        <v>57</v>
      </c>
      <c r="G822">
        <f t="shared" si="12"/>
        <v>512</v>
      </c>
    </row>
    <row r="823" spans="2:7" ht="15" hidden="1" x14ac:dyDescent="0.25">
      <c r="B823" s="4">
        <v>584632254</v>
      </c>
      <c r="C823" s="4" t="s">
        <v>269</v>
      </c>
      <c r="D823" s="4">
        <v>525</v>
      </c>
      <c r="E823" s="4">
        <v>57</v>
      </c>
      <c r="G823">
        <f t="shared" si="12"/>
        <v>512</v>
      </c>
    </row>
    <row r="824" spans="2:7" ht="15" hidden="1" x14ac:dyDescent="0.25">
      <c r="B824" s="4">
        <v>584632255</v>
      </c>
      <c r="C824" s="4" t="s">
        <v>269</v>
      </c>
      <c r="D824" s="4">
        <v>526</v>
      </c>
      <c r="E824" s="4">
        <v>57</v>
      </c>
      <c r="G824">
        <f t="shared" si="12"/>
        <v>512</v>
      </c>
    </row>
    <row r="825" spans="2:7" ht="15" hidden="1" x14ac:dyDescent="0.25">
      <c r="B825" s="4">
        <v>584632256</v>
      </c>
      <c r="C825" s="4" t="s">
        <v>269</v>
      </c>
      <c r="D825" s="4">
        <v>527</v>
      </c>
      <c r="E825" s="4">
        <v>57</v>
      </c>
      <c r="G825">
        <f t="shared" si="12"/>
        <v>512</v>
      </c>
    </row>
    <row r="826" spans="2:7" ht="15" hidden="1" x14ac:dyDescent="0.25">
      <c r="B826" s="4">
        <v>584632257</v>
      </c>
      <c r="C826" s="4" t="s">
        <v>269</v>
      </c>
      <c r="D826" s="4">
        <v>528</v>
      </c>
      <c r="E826" s="4">
        <v>57</v>
      </c>
      <c r="G826">
        <f t="shared" si="12"/>
        <v>512</v>
      </c>
    </row>
    <row r="827" spans="2:7" ht="15" hidden="1" x14ac:dyDescent="0.25">
      <c r="B827" s="4">
        <v>584632258</v>
      </c>
      <c r="C827" s="4" t="s">
        <v>269</v>
      </c>
      <c r="D827" s="4">
        <v>529</v>
      </c>
      <c r="E827" s="4">
        <v>57</v>
      </c>
      <c r="G827">
        <f t="shared" si="12"/>
        <v>512</v>
      </c>
    </row>
    <row r="828" spans="2:7" ht="15" hidden="1" x14ac:dyDescent="0.25">
      <c r="B828" s="4">
        <v>584632258</v>
      </c>
      <c r="C828" s="4" t="s">
        <v>272</v>
      </c>
      <c r="D828" s="4">
        <v>41</v>
      </c>
      <c r="E828" s="4">
        <v>219</v>
      </c>
      <c r="G828">
        <f t="shared" si="12"/>
        <v>1808</v>
      </c>
    </row>
    <row r="829" spans="2:7" ht="15" hidden="1" x14ac:dyDescent="0.25">
      <c r="B829" s="4">
        <v>584632259</v>
      </c>
      <c r="C829" s="4" t="s">
        <v>269</v>
      </c>
      <c r="D829" s="4">
        <v>530</v>
      </c>
      <c r="E829" s="4">
        <v>57</v>
      </c>
      <c r="G829">
        <f t="shared" si="12"/>
        <v>512</v>
      </c>
    </row>
    <row r="830" spans="2:7" ht="15" hidden="1" x14ac:dyDescent="0.25">
      <c r="B830" s="4">
        <v>584632260</v>
      </c>
      <c r="C830" s="4" t="s">
        <v>269</v>
      </c>
      <c r="D830" s="4">
        <v>531</v>
      </c>
      <c r="E830" s="4">
        <v>57</v>
      </c>
      <c r="G830">
        <f t="shared" si="12"/>
        <v>512</v>
      </c>
    </row>
    <row r="831" spans="2:7" ht="15" hidden="1" x14ac:dyDescent="0.25">
      <c r="B831" s="4">
        <v>584632261</v>
      </c>
      <c r="C831" s="4" t="s">
        <v>269</v>
      </c>
      <c r="D831" s="4">
        <v>532</v>
      </c>
      <c r="E831" s="4">
        <v>57</v>
      </c>
      <c r="G831">
        <f t="shared" si="12"/>
        <v>512</v>
      </c>
    </row>
    <row r="832" spans="2:7" ht="15" hidden="1" x14ac:dyDescent="0.25">
      <c r="B832" s="4">
        <v>584632262</v>
      </c>
      <c r="C832" s="4" t="s">
        <v>269</v>
      </c>
      <c r="D832" s="4">
        <v>533</v>
      </c>
      <c r="E832" s="4">
        <v>57</v>
      </c>
      <c r="G832">
        <f t="shared" si="12"/>
        <v>512</v>
      </c>
    </row>
    <row r="833" spans="2:7" ht="15" hidden="1" x14ac:dyDescent="0.25">
      <c r="B833" s="4">
        <v>584632263</v>
      </c>
      <c r="C833" s="4" t="s">
        <v>269</v>
      </c>
      <c r="D833" s="4">
        <v>534</v>
      </c>
      <c r="E833" s="4">
        <v>57</v>
      </c>
      <c r="G833">
        <f t="shared" si="12"/>
        <v>512</v>
      </c>
    </row>
    <row r="834" spans="2:7" ht="15" hidden="1" x14ac:dyDescent="0.25">
      <c r="B834" s="4">
        <v>584632264</v>
      </c>
      <c r="C834" s="4" t="s">
        <v>269</v>
      </c>
      <c r="D834" s="4">
        <v>535</v>
      </c>
      <c r="E834" s="4">
        <v>57</v>
      </c>
      <c r="G834">
        <f t="shared" si="12"/>
        <v>512</v>
      </c>
    </row>
    <row r="835" spans="2:7" ht="15" hidden="1" x14ac:dyDescent="0.25">
      <c r="B835" s="4">
        <v>584632265</v>
      </c>
      <c r="C835" s="4" t="s">
        <v>269</v>
      </c>
      <c r="D835" s="4">
        <v>536</v>
      </c>
      <c r="E835" s="4">
        <v>57</v>
      </c>
      <c r="G835">
        <f t="shared" si="12"/>
        <v>512</v>
      </c>
    </row>
    <row r="836" spans="2:7" ht="15" hidden="1" x14ac:dyDescent="0.25">
      <c r="B836" s="4">
        <v>584632266</v>
      </c>
      <c r="C836" s="4" t="s">
        <v>269</v>
      </c>
      <c r="D836" s="4">
        <v>537</v>
      </c>
      <c r="E836" s="4">
        <v>57</v>
      </c>
      <c r="G836">
        <f t="shared" ref="G836:G899" si="13">(E836+7)*8</f>
        <v>512</v>
      </c>
    </row>
    <row r="837" spans="2:7" ht="15" hidden="1" x14ac:dyDescent="0.25">
      <c r="B837" s="4">
        <v>584632267</v>
      </c>
      <c r="C837" s="4" t="s">
        <v>269</v>
      </c>
      <c r="D837" s="4">
        <v>538</v>
      </c>
      <c r="E837" s="4">
        <v>57</v>
      </c>
      <c r="G837">
        <f t="shared" si="13"/>
        <v>512</v>
      </c>
    </row>
    <row r="838" spans="2:7" ht="15" hidden="1" x14ac:dyDescent="0.25">
      <c r="B838" s="4">
        <v>584632268</v>
      </c>
      <c r="C838" s="4" t="s">
        <v>269</v>
      </c>
      <c r="D838" s="4">
        <v>539</v>
      </c>
      <c r="E838" s="4">
        <v>57</v>
      </c>
      <c r="G838">
        <f t="shared" si="13"/>
        <v>512</v>
      </c>
    </row>
    <row r="839" spans="2:7" ht="15" hidden="1" x14ac:dyDescent="0.25">
      <c r="B839" s="4">
        <v>584632268</v>
      </c>
      <c r="C839" s="4" t="s">
        <v>272</v>
      </c>
      <c r="D839" s="4">
        <v>42</v>
      </c>
      <c r="E839" s="4">
        <v>219</v>
      </c>
      <c r="G839">
        <f t="shared" si="13"/>
        <v>1808</v>
      </c>
    </row>
    <row r="840" spans="2:7" ht="15" hidden="1" x14ac:dyDescent="0.25">
      <c r="B840" s="4">
        <v>584632269</v>
      </c>
      <c r="C840" s="4" t="s">
        <v>269</v>
      </c>
      <c r="D840" s="4">
        <v>540</v>
      </c>
      <c r="E840" s="4">
        <v>57</v>
      </c>
      <c r="G840">
        <f t="shared" si="13"/>
        <v>512</v>
      </c>
    </row>
    <row r="841" spans="2:7" ht="15" hidden="1" x14ac:dyDescent="0.25">
      <c r="B841" s="4">
        <v>584632270</v>
      </c>
      <c r="C841" s="4" t="s">
        <v>269</v>
      </c>
      <c r="D841" s="4">
        <v>541</v>
      </c>
      <c r="E841" s="4">
        <v>57</v>
      </c>
      <c r="G841">
        <f t="shared" si="13"/>
        <v>512</v>
      </c>
    </row>
    <row r="842" spans="2:7" ht="15" hidden="1" x14ac:dyDescent="0.25">
      <c r="B842" s="4">
        <v>584632271</v>
      </c>
      <c r="C842" s="4" t="s">
        <v>269</v>
      </c>
      <c r="D842" s="4">
        <v>542</v>
      </c>
      <c r="E842" s="4">
        <v>57</v>
      </c>
      <c r="G842">
        <f t="shared" si="13"/>
        <v>512</v>
      </c>
    </row>
    <row r="843" spans="2:7" ht="15" hidden="1" x14ac:dyDescent="0.25">
      <c r="B843" s="4">
        <v>584632272</v>
      </c>
      <c r="C843" s="4" t="s">
        <v>269</v>
      </c>
      <c r="D843" s="4">
        <v>543</v>
      </c>
      <c r="E843" s="4">
        <v>57</v>
      </c>
      <c r="G843">
        <f t="shared" si="13"/>
        <v>512</v>
      </c>
    </row>
    <row r="844" spans="2:7" ht="15" hidden="1" x14ac:dyDescent="0.25">
      <c r="B844" s="4">
        <v>584632273</v>
      </c>
      <c r="C844" s="4" t="s">
        <v>269</v>
      </c>
      <c r="D844" s="4">
        <v>544</v>
      </c>
      <c r="E844" s="4">
        <v>57</v>
      </c>
      <c r="G844">
        <f t="shared" si="13"/>
        <v>512</v>
      </c>
    </row>
    <row r="845" spans="2:7" ht="15" hidden="1" x14ac:dyDescent="0.25">
      <c r="B845" s="4">
        <v>584632274</v>
      </c>
      <c r="C845" s="4" t="s">
        <v>269</v>
      </c>
      <c r="D845" s="4">
        <v>545</v>
      </c>
      <c r="E845" s="4">
        <v>57</v>
      </c>
      <c r="G845">
        <f t="shared" si="13"/>
        <v>512</v>
      </c>
    </row>
    <row r="846" spans="2:7" ht="15" hidden="1" x14ac:dyDescent="0.25">
      <c r="B846" s="4">
        <v>584632275</v>
      </c>
      <c r="C846" s="4" t="s">
        <v>269</v>
      </c>
      <c r="D846" s="4">
        <v>546</v>
      </c>
      <c r="E846" s="4">
        <v>57</v>
      </c>
      <c r="G846">
        <f t="shared" si="13"/>
        <v>512</v>
      </c>
    </row>
    <row r="847" spans="2:7" ht="15" hidden="1" x14ac:dyDescent="0.25">
      <c r="B847" s="4">
        <v>584632276</v>
      </c>
      <c r="C847" s="4" t="s">
        <v>269</v>
      </c>
      <c r="D847" s="4">
        <v>547</v>
      </c>
      <c r="E847" s="4">
        <v>57</v>
      </c>
      <c r="G847">
        <f t="shared" si="13"/>
        <v>512</v>
      </c>
    </row>
    <row r="848" spans="2:7" ht="15" hidden="1" x14ac:dyDescent="0.25">
      <c r="B848" s="4">
        <v>584632277</v>
      </c>
      <c r="C848" s="4" t="s">
        <v>269</v>
      </c>
      <c r="D848" s="4">
        <v>548</v>
      </c>
      <c r="E848" s="4">
        <v>57</v>
      </c>
      <c r="G848">
        <f t="shared" si="13"/>
        <v>512</v>
      </c>
    </row>
    <row r="849" spans="2:7" ht="15" hidden="1" x14ac:dyDescent="0.25">
      <c r="B849" s="4">
        <v>584632278</v>
      </c>
      <c r="C849" s="4" t="s">
        <v>269</v>
      </c>
      <c r="D849" s="4">
        <v>549</v>
      </c>
      <c r="E849" s="4">
        <v>57</v>
      </c>
      <c r="G849">
        <f t="shared" si="13"/>
        <v>512</v>
      </c>
    </row>
    <row r="850" spans="2:7" ht="15" hidden="1" x14ac:dyDescent="0.25">
      <c r="B850" s="4">
        <v>584632278</v>
      </c>
      <c r="C850" s="4" t="s">
        <v>272</v>
      </c>
      <c r="D850" s="4">
        <v>43</v>
      </c>
      <c r="E850" s="4">
        <v>219</v>
      </c>
      <c r="G850">
        <f t="shared" si="13"/>
        <v>1808</v>
      </c>
    </row>
    <row r="851" spans="2:7" ht="15" hidden="1" x14ac:dyDescent="0.25">
      <c r="B851" s="4">
        <v>584632279</v>
      </c>
      <c r="C851" s="4" t="s">
        <v>269</v>
      </c>
      <c r="D851" s="4">
        <v>550</v>
      </c>
      <c r="E851" s="4">
        <v>57</v>
      </c>
      <c r="G851">
        <f t="shared" si="13"/>
        <v>512</v>
      </c>
    </row>
    <row r="852" spans="2:7" ht="15" hidden="1" x14ac:dyDescent="0.25">
      <c r="B852" s="4">
        <v>584632280</v>
      </c>
      <c r="C852" s="4" t="s">
        <v>269</v>
      </c>
      <c r="D852" s="4">
        <v>551</v>
      </c>
      <c r="E852" s="4">
        <v>57</v>
      </c>
      <c r="G852">
        <f t="shared" si="13"/>
        <v>512</v>
      </c>
    </row>
    <row r="853" spans="2:7" ht="15" hidden="1" x14ac:dyDescent="0.25">
      <c r="B853" s="4">
        <v>584632281</v>
      </c>
      <c r="C853" s="4" t="s">
        <v>269</v>
      </c>
      <c r="D853" s="4">
        <v>552</v>
      </c>
      <c r="E853" s="4">
        <v>57</v>
      </c>
      <c r="G853">
        <f t="shared" si="13"/>
        <v>512</v>
      </c>
    </row>
    <row r="854" spans="2:7" ht="15" hidden="1" x14ac:dyDescent="0.25">
      <c r="B854" s="4">
        <v>584632282</v>
      </c>
      <c r="C854" s="4" t="s">
        <v>269</v>
      </c>
      <c r="D854" s="4">
        <v>553</v>
      </c>
      <c r="E854" s="4">
        <v>57</v>
      </c>
      <c r="G854">
        <f t="shared" si="13"/>
        <v>512</v>
      </c>
    </row>
    <row r="855" spans="2:7" ht="15" hidden="1" x14ac:dyDescent="0.25">
      <c r="B855" s="4">
        <v>584632283</v>
      </c>
      <c r="C855" s="4" t="s">
        <v>269</v>
      </c>
      <c r="D855" s="4">
        <v>554</v>
      </c>
      <c r="E855" s="4">
        <v>57</v>
      </c>
      <c r="G855">
        <f t="shared" si="13"/>
        <v>512</v>
      </c>
    </row>
    <row r="856" spans="2:7" ht="15" hidden="1" x14ac:dyDescent="0.25">
      <c r="B856" s="4">
        <v>584632284</v>
      </c>
      <c r="C856" s="4" t="s">
        <v>269</v>
      </c>
      <c r="D856" s="4">
        <v>555</v>
      </c>
      <c r="E856" s="4">
        <v>57</v>
      </c>
      <c r="G856">
        <f t="shared" si="13"/>
        <v>512</v>
      </c>
    </row>
    <row r="857" spans="2:7" ht="15" hidden="1" x14ac:dyDescent="0.25">
      <c r="B857" s="4">
        <v>584632285</v>
      </c>
      <c r="C857" s="4" t="s">
        <v>269</v>
      </c>
      <c r="D857" s="4">
        <v>556</v>
      </c>
      <c r="E857" s="4">
        <v>57</v>
      </c>
      <c r="G857">
        <f t="shared" si="13"/>
        <v>512</v>
      </c>
    </row>
    <row r="858" spans="2:7" ht="15" hidden="1" x14ac:dyDescent="0.25">
      <c r="B858" s="4">
        <v>584632286</v>
      </c>
      <c r="C858" s="4" t="s">
        <v>269</v>
      </c>
      <c r="D858" s="4">
        <v>557</v>
      </c>
      <c r="E858" s="4">
        <v>57</v>
      </c>
      <c r="G858">
        <f t="shared" si="13"/>
        <v>512</v>
      </c>
    </row>
    <row r="859" spans="2:7" ht="15" hidden="1" x14ac:dyDescent="0.25">
      <c r="B859" s="4">
        <v>584632287</v>
      </c>
      <c r="C859" s="4" t="s">
        <v>269</v>
      </c>
      <c r="D859" s="4">
        <v>558</v>
      </c>
      <c r="E859" s="4">
        <v>57</v>
      </c>
      <c r="G859">
        <f t="shared" si="13"/>
        <v>512</v>
      </c>
    </row>
    <row r="860" spans="2:7" ht="15" hidden="1" x14ac:dyDescent="0.25">
      <c r="B860" s="4">
        <v>584632288</v>
      </c>
      <c r="C860" s="4" t="s">
        <v>269</v>
      </c>
      <c r="D860" s="4">
        <v>559</v>
      </c>
      <c r="E860" s="4">
        <v>57</v>
      </c>
      <c r="G860">
        <f t="shared" si="13"/>
        <v>512</v>
      </c>
    </row>
    <row r="861" spans="2:7" ht="15" hidden="1" x14ac:dyDescent="0.25">
      <c r="B861" s="4">
        <v>584632288</v>
      </c>
      <c r="C861" s="4" t="s">
        <v>272</v>
      </c>
      <c r="D861" s="4">
        <v>44</v>
      </c>
      <c r="E861" s="4">
        <v>219</v>
      </c>
      <c r="G861">
        <f t="shared" si="13"/>
        <v>1808</v>
      </c>
    </row>
    <row r="862" spans="2:7" ht="15" hidden="1" x14ac:dyDescent="0.25">
      <c r="B862" s="4">
        <v>584632289</v>
      </c>
      <c r="C862" s="4" t="s">
        <v>269</v>
      </c>
      <c r="D862" s="4">
        <v>560</v>
      </c>
      <c r="E862" s="4">
        <v>57</v>
      </c>
      <c r="G862">
        <f t="shared" si="13"/>
        <v>512</v>
      </c>
    </row>
    <row r="863" spans="2:7" ht="15" hidden="1" x14ac:dyDescent="0.25">
      <c r="B863" s="4">
        <v>584632290</v>
      </c>
      <c r="C863" s="4" t="s">
        <v>269</v>
      </c>
      <c r="D863" s="4">
        <v>561</v>
      </c>
      <c r="E863" s="4">
        <v>57</v>
      </c>
      <c r="G863">
        <f t="shared" si="13"/>
        <v>512</v>
      </c>
    </row>
    <row r="864" spans="2:7" ht="15" hidden="1" x14ac:dyDescent="0.25">
      <c r="B864" s="4">
        <v>584632291</v>
      </c>
      <c r="C864" s="4" t="s">
        <v>269</v>
      </c>
      <c r="D864" s="4">
        <v>562</v>
      </c>
      <c r="E864" s="4">
        <v>57</v>
      </c>
      <c r="G864">
        <f t="shared" si="13"/>
        <v>512</v>
      </c>
    </row>
    <row r="865" spans="2:7" ht="15" hidden="1" x14ac:dyDescent="0.25">
      <c r="B865" s="4">
        <v>584632292</v>
      </c>
      <c r="C865" s="4" t="s">
        <v>269</v>
      </c>
      <c r="D865" s="4">
        <v>563</v>
      </c>
      <c r="E865" s="4">
        <v>57</v>
      </c>
      <c r="G865">
        <f t="shared" si="13"/>
        <v>512</v>
      </c>
    </row>
    <row r="866" spans="2:7" ht="15" hidden="1" x14ac:dyDescent="0.25">
      <c r="B866" s="4">
        <v>584632293</v>
      </c>
      <c r="C866" s="4" t="s">
        <v>269</v>
      </c>
      <c r="D866" s="4">
        <v>564</v>
      </c>
      <c r="E866" s="4">
        <v>57</v>
      </c>
      <c r="G866">
        <f t="shared" si="13"/>
        <v>512</v>
      </c>
    </row>
    <row r="867" spans="2:7" ht="15" hidden="1" x14ac:dyDescent="0.25">
      <c r="B867" s="4">
        <v>584632294</v>
      </c>
      <c r="C867" s="4" t="s">
        <v>269</v>
      </c>
      <c r="D867" s="4">
        <v>565</v>
      </c>
      <c r="E867" s="4">
        <v>57</v>
      </c>
      <c r="G867">
        <f t="shared" si="13"/>
        <v>512</v>
      </c>
    </row>
    <row r="868" spans="2:7" ht="15" hidden="1" x14ac:dyDescent="0.25">
      <c r="B868" s="4">
        <v>584632295</v>
      </c>
      <c r="C868" s="4" t="s">
        <v>269</v>
      </c>
      <c r="D868" s="4">
        <v>566</v>
      </c>
      <c r="E868" s="4">
        <v>57</v>
      </c>
      <c r="G868">
        <f t="shared" si="13"/>
        <v>512</v>
      </c>
    </row>
    <row r="869" spans="2:7" ht="15" hidden="1" x14ac:dyDescent="0.25">
      <c r="B869" s="4">
        <v>584632296</v>
      </c>
      <c r="C869" s="4" t="s">
        <v>269</v>
      </c>
      <c r="D869" s="4">
        <v>567</v>
      </c>
      <c r="E869" s="4">
        <v>57</v>
      </c>
      <c r="G869">
        <f t="shared" si="13"/>
        <v>512</v>
      </c>
    </row>
    <row r="870" spans="2:7" ht="15" hidden="1" x14ac:dyDescent="0.25">
      <c r="B870" s="4">
        <v>584632297</v>
      </c>
      <c r="C870" s="4" t="s">
        <v>269</v>
      </c>
      <c r="D870" s="4">
        <v>568</v>
      </c>
      <c r="E870" s="4">
        <v>57</v>
      </c>
      <c r="G870">
        <f t="shared" si="13"/>
        <v>512</v>
      </c>
    </row>
    <row r="871" spans="2:7" ht="15" hidden="1" x14ac:dyDescent="0.25">
      <c r="B871" s="4">
        <v>584632298</v>
      </c>
      <c r="C871" s="4" t="s">
        <v>269</v>
      </c>
      <c r="D871" s="4">
        <v>569</v>
      </c>
      <c r="E871" s="4">
        <v>57</v>
      </c>
      <c r="G871">
        <f t="shared" si="13"/>
        <v>512</v>
      </c>
    </row>
    <row r="872" spans="2:7" ht="15" hidden="1" x14ac:dyDescent="0.25">
      <c r="B872" s="4">
        <v>584632298</v>
      </c>
      <c r="C872" s="4" t="s">
        <v>272</v>
      </c>
      <c r="D872" s="4">
        <v>45</v>
      </c>
      <c r="E872" s="4">
        <v>219</v>
      </c>
      <c r="G872">
        <f t="shared" si="13"/>
        <v>1808</v>
      </c>
    </row>
    <row r="873" spans="2:7" ht="15" hidden="1" x14ac:dyDescent="0.25">
      <c r="B873" s="4">
        <v>584632299</v>
      </c>
      <c r="C873" s="4" t="s">
        <v>269</v>
      </c>
      <c r="D873" s="4">
        <v>570</v>
      </c>
      <c r="E873" s="4">
        <v>57</v>
      </c>
      <c r="G873">
        <f t="shared" si="13"/>
        <v>512</v>
      </c>
    </row>
    <row r="874" spans="2:7" ht="15" hidden="1" x14ac:dyDescent="0.25">
      <c r="B874" s="4">
        <v>584632300</v>
      </c>
      <c r="C874" s="4" t="s">
        <v>268</v>
      </c>
      <c r="D874" s="4">
        <v>202</v>
      </c>
      <c r="E874" s="4">
        <v>6</v>
      </c>
      <c r="G874">
        <f t="shared" si="13"/>
        <v>104</v>
      </c>
    </row>
    <row r="875" spans="2:7" ht="15" hidden="1" x14ac:dyDescent="0.25">
      <c r="B875" s="4">
        <v>584632300</v>
      </c>
      <c r="C875" s="4" t="s">
        <v>268</v>
      </c>
      <c r="D875" s="4">
        <v>202</v>
      </c>
      <c r="E875" s="4">
        <v>6</v>
      </c>
      <c r="G875">
        <f t="shared" si="13"/>
        <v>104</v>
      </c>
    </row>
    <row r="876" spans="2:7" ht="15" hidden="1" x14ac:dyDescent="0.25">
      <c r="B876" s="4">
        <v>584632300</v>
      </c>
      <c r="C876" s="4" t="s">
        <v>268</v>
      </c>
      <c r="D876" s="4">
        <v>203</v>
      </c>
      <c r="E876" s="4">
        <v>9</v>
      </c>
      <c r="G876">
        <f t="shared" si="13"/>
        <v>128</v>
      </c>
    </row>
    <row r="877" spans="2:7" ht="15" hidden="1" x14ac:dyDescent="0.25">
      <c r="B877" s="4">
        <v>584632300</v>
      </c>
      <c r="C877" s="4" t="s">
        <v>268</v>
      </c>
      <c r="D877" s="4">
        <v>203</v>
      </c>
      <c r="E877" s="4">
        <v>9</v>
      </c>
      <c r="G877">
        <f t="shared" si="13"/>
        <v>128</v>
      </c>
    </row>
    <row r="878" spans="2:7" ht="15" hidden="1" x14ac:dyDescent="0.25">
      <c r="B878" s="4">
        <v>584632300</v>
      </c>
      <c r="C878" s="4" t="s">
        <v>268</v>
      </c>
      <c r="D878" s="4">
        <v>204</v>
      </c>
      <c r="E878" s="4">
        <v>7</v>
      </c>
      <c r="G878">
        <f t="shared" si="13"/>
        <v>112</v>
      </c>
    </row>
    <row r="879" spans="2:7" ht="15" hidden="1" x14ac:dyDescent="0.25">
      <c r="B879" s="4">
        <v>584632300</v>
      </c>
      <c r="C879" s="4" t="s">
        <v>268</v>
      </c>
      <c r="D879" s="4">
        <v>204</v>
      </c>
      <c r="E879" s="4">
        <v>7</v>
      </c>
      <c r="G879">
        <f t="shared" si="13"/>
        <v>112</v>
      </c>
    </row>
    <row r="880" spans="2:7" ht="15" hidden="1" x14ac:dyDescent="0.25">
      <c r="B880" s="4">
        <v>584632300</v>
      </c>
      <c r="C880" s="4" t="s">
        <v>268</v>
      </c>
      <c r="D880" s="4">
        <v>205</v>
      </c>
      <c r="E880" s="4">
        <v>7</v>
      </c>
      <c r="G880">
        <f t="shared" si="13"/>
        <v>112</v>
      </c>
    </row>
    <row r="881" spans="2:7" ht="15" hidden="1" x14ac:dyDescent="0.25">
      <c r="B881" s="4">
        <v>584632300</v>
      </c>
      <c r="C881" s="4" t="s">
        <v>268</v>
      </c>
      <c r="D881" s="4">
        <v>205</v>
      </c>
      <c r="E881" s="4">
        <v>7</v>
      </c>
      <c r="G881">
        <f t="shared" si="13"/>
        <v>112</v>
      </c>
    </row>
    <row r="882" spans="2:7" ht="15" hidden="1" x14ac:dyDescent="0.25">
      <c r="B882" s="4">
        <v>584632300</v>
      </c>
      <c r="C882" s="4" t="s">
        <v>268</v>
      </c>
      <c r="D882" s="4">
        <v>206</v>
      </c>
      <c r="E882" s="4">
        <v>7</v>
      </c>
      <c r="G882">
        <f t="shared" si="13"/>
        <v>112</v>
      </c>
    </row>
    <row r="883" spans="2:7" ht="15" hidden="1" x14ac:dyDescent="0.25">
      <c r="B883" s="4">
        <v>584632300</v>
      </c>
      <c r="C883" s="4" t="s">
        <v>268</v>
      </c>
      <c r="D883" s="4">
        <v>206</v>
      </c>
      <c r="E883" s="4">
        <v>7</v>
      </c>
      <c r="G883">
        <f t="shared" si="13"/>
        <v>112</v>
      </c>
    </row>
    <row r="884" spans="2:7" ht="15" hidden="1" x14ac:dyDescent="0.25">
      <c r="B884" s="4">
        <v>584632300</v>
      </c>
      <c r="C884" s="4" t="s">
        <v>269</v>
      </c>
      <c r="D884" s="4">
        <v>571</v>
      </c>
      <c r="E884" s="4">
        <v>57</v>
      </c>
      <c r="G884">
        <f t="shared" si="13"/>
        <v>512</v>
      </c>
    </row>
    <row r="885" spans="2:7" ht="15" hidden="1" x14ac:dyDescent="0.25">
      <c r="B885" s="4">
        <v>584632301</v>
      </c>
      <c r="C885" s="4" t="s">
        <v>269</v>
      </c>
      <c r="D885" s="4">
        <v>572</v>
      </c>
      <c r="E885" s="4">
        <v>57</v>
      </c>
      <c r="G885">
        <f t="shared" si="13"/>
        <v>512</v>
      </c>
    </row>
    <row r="886" spans="2:7" ht="15" hidden="1" x14ac:dyDescent="0.25">
      <c r="B886" s="4">
        <v>584632302</v>
      </c>
      <c r="C886" s="4" t="s">
        <v>268</v>
      </c>
      <c r="D886" s="4">
        <v>207</v>
      </c>
      <c r="E886" s="4">
        <v>7</v>
      </c>
      <c r="G886">
        <f t="shared" si="13"/>
        <v>112</v>
      </c>
    </row>
    <row r="887" spans="2:7" ht="15" hidden="1" x14ac:dyDescent="0.25">
      <c r="B887" s="4">
        <v>584632302</v>
      </c>
      <c r="C887" s="4" t="s">
        <v>268</v>
      </c>
      <c r="D887" s="4">
        <v>207</v>
      </c>
      <c r="E887" s="4">
        <v>7</v>
      </c>
      <c r="G887">
        <f t="shared" si="13"/>
        <v>112</v>
      </c>
    </row>
    <row r="888" spans="2:7" ht="15" hidden="1" x14ac:dyDescent="0.25">
      <c r="B888" s="4">
        <v>584632302</v>
      </c>
      <c r="C888" s="4" t="s">
        <v>268</v>
      </c>
      <c r="D888" s="4">
        <v>208</v>
      </c>
      <c r="E888" s="4">
        <v>5</v>
      </c>
      <c r="G888">
        <f t="shared" si="13"/>
        <v>96</v>
      </c>
    </row>
    <row r="889" spans="2:7" ht="15" hidden="1" x14ac:dyDescent="0.25">
      <c r="B889" s="4">
        <v>584632302</v>
      </c>
      <c r="C889" s="4" t="s">
        <v>268</v>
      </c>
      <c r="D889" s="4">
        <v>208</v>
      </c>
      <c r="E889" s="4">
        <v>5</v>
      </c>
      <c r="G889">
        <f t="shared" si="13"/>
        <v>96</v>
      </c>
    </row>
    <row r="890" spans="2:7" ht="15" hidden="1" x14ac:dyDescent="0.25">
      <c r="B890" s="4">
        <v>584632302</v>
      </c>
      <c r="C890" s="4" t="s">
        <v>268</v>
      </c>
      <c r="D890" s="4">
        <v>209</v>
      </c>
      <c r="E890" s="4">
        <v>7</v>
      </c>
      <c r="G890">
        <f t="shared" si="13"/>
        <v>112</v>
      </c>
    </row>
    <row r="891" spans="2:7" ht="15" hidden="1" x14ac:dyDescent="0.25">
      <c r="B891" s="4">
        <v>584632302</v>
      </c>
      <c r="C891" s="4" t="s">
        <v>268</v>
      </c>
      <c r="D891" s="4">
        <v>209</v>
      </c>
      <c r="E891" s="4">
        <v>7</v>
      </c>
      <c r="G891">
        <f t="shared" si="13"/>
        <v>112</v>
      </c>
    </row>
    <row r="892" spans="2:7" ht="15" hidden="1" x14ac:dyDescent="0.25">
      <c r="B892" s="4">
        <v>584632302</v>
      </c>
      <c r="C892" s="4" t="s">
        <v>269</v>
      </c>
      <c r="D892" s="4">
        <v>573</v>
      </c>
      <c r="E892" s="4">
        <v>57</v>
      </c>
      <c r="G892">
        <f t="shared" si="13"/>
        <v>512</v>
      </c>
    </row>
    <row r="893" spans="2:7" ht="15" hidden="1" x14ac:dyDescent="0.25">
      <c r="B893" s="4">
        <v>584632303</v>
      </c>
      <c r="C893" s="4" t="s">
        <v>269</v>
      </c>
      <c r="D893" s="4">
        <v>574</v>
      </c>
      <c r="E893" s="4">
        <v>57</v>
      </c>
      <c r="G893">
        <f t="shared" si="13"/>
        <v>512</v>
      </c>
    </row>
    <row r="894" spans="2:7" ht="15" hidden="1" x14ac:dyDescent="0.25">
      <c r="B894" s="4">
        <v>584632304</v>
      </c>
      <c r="C894" s="4" t="s">
        <v>269</v>
      </c>
      <c r="D894" s="4">
        <v>575</v>
      </c>
      <c r="E894" s="4">
        <v>57</v>
      </c>
      <c r="G894">
        <f t="shared" si="13"/>
        <v>512</v>
      </c>
    </row>
    <row r="895" spans="2:7" ht="15" hidden="1" x14ac:dyDescent="0.25">
      <c r="B895" s="4">
        <v>584632305</v>
      </c>
      <c r="C895" s="4" t="s">
        <v>269</v>
      </c>
      <c r="D895" s="4">
        <v>576</v>
      </c>
      <c r="E895" s="4">
        <v>57</v>
      </c>
      <c r="G895">
        <f t="shared" si="13"/>
        <v>512</v>
      </c>
    </row>
    <row r="896" spans="2:7" ht="15" hidden="1" x14ac:dyDescent="0.25">
      <c r="B896" s="4">
        <v>584632306</v>
      </c>
      <c r="C896" s="4" t="s">
        <v>269</v>
      </c>
      <c r="D896" s="4">
        <v>577</v>
      </c>
      <c r="E896" s="4">
        <v>57</v>
      </c>
      <c r="G896">
        <f t="shared" si="13"/>
        <v>512</v>
      </c>
    </row>
    <row r="897" spans="2:7" ht="15" hidden="1" x14ac:dyDescent="0.25">
      <c r="B897" s="4">
        <v>584632307</v>
      </c>
      <c r="C897" s="4" t="s">
        <v>269</v>
      </c>
      <c r="D897" s="4">
        <v>578</v>
      </c>
      <c r="E897" s="4">
        <v>57</v>
      </c>
      <c r="G897">
        <f t="shared" si="13"/>
        <v>512</v>
      </c>
    </row>
    <row r="898" spans="2:7" ht="15" hidden="1" x14ac:dyDescent="0.25">
      <c r="B898" s="4">
        <v>584632308</v>
      </c>
      <c r="C898" s="4" t="s">
        <v>269</v>
      </c>
      <c r="D898" s="4">
        <v>579</v>
      </c>
      <c r="E898" s="4">
        <v>57</v>
      </c>
      <c r="G898">
        <f t="shared" si="13"/>
        <v>512</v>
      </c>
    </row>
    <row r="899" spans="2:7" ht="15" hidden="1" x14ac:dyDescent="0.25">
      <c r="B899" s="4">
        <v>584632308</v>
      </c>
      <c r="C899" s="4" t="s">
        <v>272</v>
      </c>
      <c r="D899" s="4">
        <v>46</v>
      </c>
      <c r="E899" s="4">
        <v>219</v>
      </c>
      <c r="G899">
        <f t="shared" si="13"/>
        <v>1808</v>
      </c>
    </row>
    <row r="900" spans="2:7" ht="15" hidden="1" x14ac:dyDescent="0.25">
      <c r="B900" s="4">
        <v>584632309</v>
      </c>
      <c r="C900" s="4" t="s">
        <v>269</v>
      </c>
      <c r="D900" s="4">
        <v>580</v>
      </c>
      <c r="E900" s="4">
        <v>57</v>
      </c>
      <c r="G900">
        <f t="shared" ref="G900:G963" si="14">(E900+7)*8</f>
        <v>512</v>
      </c>
    </row>
    <row r="901" spans="2:7" ht="15" hidden="1" x14ac:dyDescent="0.25">
      <c r="B901" s="4">
        <v>584632310</v>
      </c>
      <c r="C901" s="4" t="s">
        <v>269</v>
      </c>
      <c r="D901" s="4">
        <v>581</v>
      </c>
      <c r="E901" s="4">
        <v>57</v>
      </c>
      <c r="G901">
        <f t="shared" si="14"/>
        <v>512</v>
      </c>
    </row>
    <row r="902" spans="2:7" ht="15" hidden="1" x14ac:dyDescent="0.25">
      <c r="B902" s="4">
        <v>584632311</v>
      </c>
      <c r="C902" s="4" t="s">
        <v>269</v>
      </c>
      <c r="D902" s="4">
        <v>582</v>
      </c>
      <c r="E902" s="4">
        <v>57</v>
      </c>
      <c r="G902">
        <f t="shared" si="14"/>
        <v>512</v>
      </c>
    </row>
    <row r="903" spans="2:7" ht="15" hidden="1" x14ac:dyDescent="0.25">
      <c r="B903" s="4">
        <v>584632312</v>
      </c>
      <c r="C903" s="4" t="s">
        <v>269</v>
      </c>
      <c r="D903" s="4">
        <v>583</v>
      </c>
      <c r="E903" s="4">
        <v>57</v>
      </c>
      <c r="G903">
        <f t="shared" si="14"/>
        <v>512</v>
      </c>
    </row>
    <row r="904" spans="2:7" ht="15" hidden="1" x14ac:dyDescent="0.25">
      <c r="B904" s="4">
        <v>584632313</v>
      </c>
      <c r="C904" s="4" t="s">
        <v>269</v>
      </c>
      <c r="D904" s="4">
        <v>584</v>
      </c>
      <c r="E904" s="4">
        <v>57</v>
      </c>
      <c r="G904">
        <f t="shared" si="14"/>
        <v>512</v>
      </c>
    </row>
    <row r="905" spans="2:7" ht="15" hidden="1" x14ac:dyDescent="0.25">
      <c r="B905" s="4">
        <v>584632314</v>
      </c>
      <c r="C905" s="4" t="s">
        <v>269</v>
      </c>
      <c r="D905" s="4">
        <v>585</v>
      </c>
      <c r="E905" s="4">
        <v>57</v>
      </c>
      <c r="G905">
        <f t="shared" si="14"/>
        <v>512</v>
      </c>
    </row>
    <row r="906" spans="2:7" ht="15" hidden="1" x14ac:dyDescent="0.25">
      <c r="B906" s="4">
        <v>584632315</v>
      </c>
      <c r="C906" s="4" t="s">
        <v>269</v>
      </c>
      <c r="D906" s="4">
        <v>586</v>
      </c>
      <c r="E906" s="4">
        <v>57</v>
      </c>
      <c r="G906">
        <f t="shared" si="14"/>
        <v>512</v>
      </c>
    </row>
    <row r="907" spans="2:7" ht="15" hidden="1" x14ac:dyDescent="0.25">
      <c r="B907" s="4">
        <v>584632316</v>
      </c>
      <c r="C907" s="4" t="s">
        <v>269</v>
      </c>
      <c r="D907" s="4">
        <v>587</v>
      </c>
      <c r="E907" s="4">
        <v>57</v>
      </c>
      <c r="G907">
        <f t="shared" si="14"/>
        <v>512</v>
      </c>
    </row>
    <row r="908" spans="2:7" ht="15" hidden="1" x14ac:dyDescent="0.25">
      <c r="B908" s="4">
        <v>584632317</v>
      </c>
      <c r="C908" s="4" t="s">
        <v>269</v>
      </c>
      <c r="D908" s="4">
        <v>588</v>
      </c>
      <c r="E908" s="4">
        <v>57</v>
      </c>
      <c r="G908">
        <f t="shared" si="14"/>
        <v>512</v>
      </c>
    </row>
    <row r="909" spans="2:7" ht="15" hidden="1" x14ac:dyDescent="0.25">
      <c r="B909" s="4">
        <v>584632318</v>
      </c>
      <c r="C909" s="4" t="s">
        <v>269</v>
      </c>
      <c r="D909" s="4">
        <v>589</v>
      </c>
      <c r="E909" s="4">
        <v>57</v>
      </c>
      <c r="G909">
        <f t="shared" si="14"/>
        <v>512</v>
      </c>
    </row>
    <row r="910" spans="2:7" ht="15" hidden="1" x14ac:dyDescent="0.25">
      <c r="B910" s="4">
        <v>584632318</v>
      </c>
      <c r="C910" s="4" t="s">
        <v>272</v>
      </c>
      <c r="D910" s="4">
        <v>47</v>
      </c>
      <c r="E910" s="4">
        <v>217</v>
      </c>
      <c r="G910">
        <f t="shared" si="14"/>
        <v>1792</v>
      </c>
    </row>
    <row r="911" spans="2:7" ht="15" hidden="1" x14ac:dyDescent="0.25">
      <c r="B911" s="4">
        <v>584632319</v>
      </c>
      <c r="C911" s="4" t="s">
        <v>269</v>
      </c>
      <c r="D911" s="4">
        <v>590</v>
      </c>
      <c r="E911" s="4">
        <v>57</v>
      </c>
      <c r="G911">
        <f t="shared" si="14"/>
        <v>512</v>
      </c>
    </row>
    <row r="912" spans="2:7" ht="15" hidden="1" x14ac:dyDescent="0.25">
      <c r="B912" s="4">
        <v>584632320</v>
      </c>
      <c r="C912" s="4" t="s">
        <v>269</v>
      </c>
      <c r="D912" s="4">
        <v>591</v>
      </c>
      <c r="E912" s="4">
        <v>57</v>
      </c>
      <c r="G912">
        <f t="shared" si="14"/>
        <v>512</v>
      </c>
    </row>
    <row r="913" spans="2:7" ht="15" hidden="1" x14ac:dyDescent="0.25">
      <c r="B913" s="4">
        <v>584632321</v>
      </c>
      <c r="C913" s="4" t="s">
        <v>269</v>
      </c>
      <c r="D913" s="4">
        <v>592</v>
      </c>
      <c r="E913" s="4">
        <v>57</v>
      </c>
      <c r="G913">
        <f t="shared" si="14"/>
        <v>512</v>
      </c>
    </row>
    <row r="914" spans="2:7" ht="15" hidden="1" x14ac:dyDescent="0.25">
      <c r="B914" s="4">
        <v>584632322</v>
      </c>
      <c r="C914" s="4" t="s">
        <v>269</v>
      </c>
      <c r="D914" s="4">
        <v>593</v>
      </c>
      <c r="E914" s="4">
        <v>57</v>
      </c>
      <c r="G914">
        <f t="shared" si="14"/>
        <v>512</v>
      </c>
    </row>
    <row r="915" spans="2:7" ht="15" hidden="1" x14ac:dyDescent="0.25">
      <c r="B915" s="4">
        <v>584632323</v>
      </c>
      <c r="C915" s="4" t="s">
        <v>269</v>
      </c>
      <c r="D915" s="4">
        <v>594</v>
      </c>
      <c r="E915" s="4">
        <v>57</v>
      </c>
      <c r="G915">
        <f t="shared" si="14"/>
        <v>512</v>
      </c>
    </row>
    <row r="916" spans="2:7" ht="15" hidden="1" x14ac:dyDescent="0.25">
      <c r="B916" s="4">
        <v>584632324</v>
      </c>
      <c r="C916" s="4" t="s">
        <v>269</v>
      </c>
      <c r="D916" s="4">
        <v>595</v>
      </c>
      <c r="E916" s="4">
        <v>57</v>
      </c>
      <c r="G916">
        <f t="shared" si="14"/>
        <v>512</v>
      </c>
    </row>
    <row r="917" spans="2:7" ht="15" hidden="1" x14ac:dyDescent="0.25">
      <c r="B917" s="4">
        <v>584632325</v>
      </c>
      <c r="C917" s="4" t="s">
        <v>269</v>
      </c>
      <c r="D917" s="4">
        <v>596</v>
      </c>
      <c r="E917" s="4">
        <v>57</v>
      </c>
      <c r="G917">
        <f t="shared" si="14"/>
        <v>512</v>
      </c>
    </row>
    <row r="918" spans="2:7" ht="15" hidden="1" x14ac:dyDescent="0.25">
      <c r="B918" s="4">
        <v>584632326</v>
      </c>
      <c r="C918" s="4" t="s">
        <v>269</v>
      </c>
      <c r="D918" s="4">
        <v>597</v>
      </c>
      <c r="E918" s="4">
        <v>57</v>
      </c>
      <c r="G918">
        <f t="shared" si="14"/>
        <v>512</v>
      </c>
    </row>
    <row r="919" spans="2:7" ht="15" hidden="1" x14ac:dyDescent="0.25">
      <c r="B919" s="4">
        <v>584632327</v>
      </c>
      <c r="C919" s="4" t="s">
        <v>269</v>
      </c>
      <c r="D919" s="4">
        <v>598</v>
      </c>
      <c r="E919" s="4">
        <v>57</v>
      </c>
      <c r="G919">
        <f t="shared" si="14"/>
        <v>512</v>
      </c>
    </row>
    <row r="920" spans="2:7" ht="15" hidden="1" x14ac:dyDescent="0.25">
      <c r="B920" s="4">
        <v>584632328</v>
      </c>
      <c r="C920" s="4" t="s">
        <v>269</v>
      </c>
      <c r="D920" s="4">
        <v>599</v>
      </c>
      <c r="E920" s="4">
        <v>57</v>
      </c>
      <c r="G920">
        <f t="shared" si="14"/>
        <v>512</v>
      </c>
    </row>
    <row r="921" spans="2:7" ht="15" hidden="1" x14ac:dyDescent="0.25">
      <c r="B921" s="4">
        <v>584632328</v>
      </c>
      <c r="C921" s="4" t="s">
        <v>272</v>
      </c>
      <c r="D921" s="4">
        <v>48</v>
      </c>
      <c r="E921" s="4">
        <v>217</v>
      </c>
      <c r="G921">
        <f t="shared" si="14"/>
        <v>1792</v>
      </c>
    </row>
    <row r="922" spans="2:7" ht="15" hidden="1" x14ac:dyDescent="0.25">
      <c r="B922" s="4">
        <v>584632329</v>
      </c>
      <c r="C922" s="4" t="s">
        <v>269</v>
      </c>
      <c r="D922" s="4">
        <v>600</v>
      </c>
      <c r="E922" s="4">
        <v>57</v>
      </c>
      <c r="G922">
        <f t="shared" si="14"/>
        <v>512</v>
      </c>
    </row>
    <row r="923" spans="2:7" ht="15" hidden="1" x14ac:dyDescent="0.25">
      <c r="B923" s="4">
        <v>584632330</v>
      </c>
      <c r="C923" s="4" t="s">
        <v>269</v>
      </c>
      <c r="D923" s="4">
        <v>601</v>
      </c>
      <c r="E923" s="4">
        <v>57</v>
      </c>
      <c r="G923">
        <f t="shared" si="14"/>
        <v>512</v>
      </c>
    </row>
    <row r="924" spans="2:7" ht="15" hidden="1" x14ac:dyDescent="0.25">
      <c r="B924" s="4">
        <v>584632331</v>
      </c>
      <c r="C924" s="4" t="s">
        <v>269</v>
      </c>
      <c r="D924" s="4">
        <v>602</v>
      </c>
      <c r="E924" s="4">
        <v>57</v>
      </c>
      <c r="G924">
        <f t="shared" si="14"/>
        <v>512</v>
      </c>
    </row>
    <row r="925" spans="2:7" ht="15" hidden="1" x14ac:dyDescent="0.25">
      <c r="B925" s="4">
        <v>584632332</v>
      </c>
      <c r="C925" s="4" t="s">
        <v>269</v>
      </c>
      <c r="D925" s="4">
        <v>603</v>
      </c>
      <c r="E925" s="4">
        <v>57</v>
      </c>
      <c r="G925">
        <f t="shared" si="14"/>
        <v>512</v>
      </c>
    </row>
    <row r="926" spans="2:7" ht="15" hidden="1" x14ac:dyDescent="0.25">
      <c r="B926" s="4">
        <v>584632333</v>
      </c>
      <c r="C926" s="4" t="s">
        <v>269</v>
      </c>
      <c r="D926" s="4">
        <v>604</v>
      </c>
      <c r="E926" s="4">
        <v>57</v>
      </c>
      <c r="G926">
        <f t="shared" si="14"/>
        <v>512</v>
      </c>
    </row>
    <row r="927" spans="2:7" ht="15" hidden="1" x14ac:dyDescent="0.25">
      <c r="B927" s="4">
        <v>584632334</v>
      </c>
      <c r="C927" s="4" t="s">
        <v>269</v>
      </c>
      <c r="D927" s="4">
        <v>605</v>
      </c>
      <c r="E927" s="4">
        <v>57</v>
      </c>
      <c r="G927">
        <f t="shared" si="14"/>
        <v>512</v>
      </c>
    </row>
    <row r="928" spans="2:7" ht="15" hidden="1" x14ac:dyDescent="0.25">
      <c r="B928" s="4">
        <v>584632335</v>
      </c>
      <c r="C928" s="4" t="s">
        <v>269</v>
      </c>
      <c r="D928" s="4">
        <v>606</v>
      </c>
      <c r="E928" s="4">
        <v>57</v>
      </c>
      <c r="G928">
        <f t="shared" si="14"/>
        <v>512</v>
      </c>
    </row>
    <row r="929" spans="2:7" ht="15" hidden="1" x14ac:dyDescent="0.25">
      <c r="B929" s="4">
        <v>584632336</v>
      </c>
      <c r="C929" s="4" t="s">
        <v>269</v>
      </c>
      <c r="D929" s="4">
        <v>607</v>
      </c>
      <c r="E929" s="4">
        <v>57</v>
      </c>
      <c r="G929">
        <f t="shared" si="14"/>
        <v>512</v>
      </c>
    </row>
    <row r="930" spans="2:7" ht="15" hidden="1" x14ac:dyDescent="0.25">
      <c r="B930" s="4">
        <v>584632337</v>
      </c>
      <c r="C930" s="4" t="s">
        <v>269</v>
      </c>
      <c r="D930" s="4">
        <v>608</v>
      </c>
      <c r="E930" s="4">
        <v>57</v>
      </c>
      <c r="G930">
        <f t="shared" si="14"/>
        <v>512</v>
      </c>
    </row>
    <row r="931" spans="2:7" ht="15" hidden="1" x14ac:dyDescent="0.25">
      <c r="B931" s="4">
        <v>584632338</v>
      </c>
      <c r="C931" s="4" t="s">
        <v>269</v>
      </c>
      <c r="D931" s="4">
        <v>609</v>
      </c>
      <c r="E931" s="4">
        <v>57</v>
      </c>
      <c r="G931">
        <f t="shared" si="14"/>
        <v>512</v>
      </c>
    </row>
    <row r="932" spans="2:7" ht="15" hidden="1" x14ac:dyDescent="0.25">
      <c r="B932" s="4">
        <v>584632338</v>
      </c>
      <c r="C932" s="4" t="s">
        <v>272</v>
      </c>
      <c r="D932" s="4">
        <v>49</v>
      </c>
      <c r="E932" s="4">
        <v>217</v>
      </c>
      <c r="G932">
        <f t="shared" si="14"/>
        <v>1792</v>
      </c>
    </row>
    <row r="933" spans="2:7" ht="15" hidden="1" x14ac:dyDescent="0.25">
      <c r="B933" s="4">
        <v>584632339</v>
      </c>
      <c r="C933" s="4" t="s">
        <v>269</v>
      </c>
      <c r="D933" s="4">
        <v>610</v>
      </c>
      <c r="E933" s="4">
        <v>57</v>
      </c>
      <c r="G933">
        <f t="shared" si="14"/>
        <v>512</v>
      </c>
    </row>
    <row r="934" spans="2:7" ht="15" hidden="1" x14ac:dyDescent="0.25">
      <c r="B934" s="4">
        <v>584632340</v>
      </c>
      <c r="C934" s="4" t="s">
        <v>269</v>
      </c>
      <c r="D934" s="4">
        <v>611</v>
      </c>
      <c r="E934" s="4">
        <v>57</v>
      </c>
      <c r="G934">
        <f t="shared" si="14"/>
        <v>512</v>
      </c>
    </row>
    <row r="935" spans="2:7" ht="15" hidden="1" x14ac:dyDescent="0.25">
      <c r="B935" s="4">
        <v>584632341</v>
      </c>
      <c r="C935" s="4" t="s">
        <v>269</v>
      </c>
      <c r="D935" s="4">
        <v>612</v>
      </c>
      <c r="E935" s="4">
        <v>57</v>
      </c>
      <c r="G935">
        <f t="shared" si="14"/>
        <v>512</v>
      </c>
    </row>
    <row r="936" spans="2:7" ht="15" hidden="1" x14ac:dyDescent="0.25">
      <c r="B936" s="4">
        <v>584632342</v>
      </c>
      <c r="C936" s="4" t="s">
        <v>269</v>
      </c>
      <c r="D936" s="4">
        <v>613</v>
      </c>
      <c r="E936" s="4">
        <v>57</v>
      </c>
      <c r="G936">
        <f t="shared" si="14"/>
        <v>512</v>
      </c>
    </row>
    <row r="937" spans="2:7" ht="15" hidden="1" x14ac:dyDescent="0.25">
      <c r="B937" s="4">
        <v>584632343</v>
      </c>
      <c r="C937" s="4" t="s">
        <v>269</v>
      </c>
      <c r="D937" s="4">
        <v>614</v>
      </c>
      <c r="E937" s="4">
        <v>57</v>
      </c>
      <c r="G937">
        <f t="shared" si="14"/>
        <v>512</v>
      </c>
    </row>
    <row r="938" spans="2:7" ht="15" hidden="1" x14ac:dyDescent="0.25">
      <c r="B938" s="4">
        <v>584632344</v>
      </c>
      <c r="C938" s="4" t="s">
        <v>269</v>
      </c>
      <c r="D938" s="4">
        <v>615</v>
      </c>
      <c r="E938" s="4">
        <v>57</v>
      </c>
      <c r="G938">
        <f t="shared" si="14"/>
        <v>512</v>
      </c>
    </row>
    <row r="939" spans="2:7" ht="15" hidden="1" x14ac:dyDescent="0.25">
      <c r="B939" s="4">
        <v>584632345</v>
      </c>
      <c r="C939" s="4" t="s">
        <v>269</v>
      </c>
      <c r="D939" s="4">
        <v>616</v>
      </c>
      <c r="E939" s="4">
        <v>57</v>
      </c>
      <c r="G939">
        <f t="shared" si="14"/>
        <v>512</v>
      </c>
    </row>
    <row r="940" spans="2:7" ht="15" hidden="1" x14ac:dyDescent="0.25">
      <c r="B940" s="4">
        <v>584632346</v>
      </c>
      <c r="C940" s="4" t="s">
        <v>269</v>
      </c>
      <c r="D940" s="4">
        <v>617</v>
      </c>
      <c r="E940" s="4">
        <v>57</v>
      </c>
      <c r="G940">
        <f t="shared" si="14"/>
        <v>512</v>
      </c>
    </row>
    <row r="941" spans="2:7" ht="15" hidden="1" x14ac:dyDescent="0.25">
      <c r="B941" s="4">
        <v>584632347</v>
      </c>
      <c r="C941" s="4" t="s">
        <v>269</v>
      </c>
      <c r="D941" s="4">
        <v>618</v>
      </c>
      <c r="E941" s="4">
        <v>57</v>
      </c>
      <c r="G941">
        <f t="shared" si="14"/>
        <v>512</v>
      </c>
    </row>
    <row r="942" spans="2:7" ht="15" hidden="1" x14ac:dyDescent="0.25">
      <c r="B942" s="4">
        <v>584632348</v>
      </c>
      <c r="C942" s="4" t="s">
        <v>269</v>
      </c>
      <c r="D942" s="4">
        <v>619</v>
      </c>
      <c r="E942" s="4">
        <v>57</v>
      </c>
      <c r="G942">
        <f t="shared" si="14"/>
        <v>512</v>
      </c>
    </row>
    <row r="943" spans="2:7" ht="15" hidden="1" x14ac:dyDescent="0.25">
      <c r="B943" s="4">
        <v>584632348</v>
      </c>
      <c r="C943" s="4" t="s">
        <v>272</v>
      </c>
      <c r="D943" s="4">
        <v>50</v>
      </c>
      <c r="E943" s="4">
        <v>217</v>
      </c>
      <c r="G943">
        <f t="shared" si="14"/>
        <v>1792</v>
      </c>
    </row>
    <row r="944" spans="2:7" ht="15" hidden="1" x14ac:dyDescent="0.25">
      <c r="B944" s="4">
        <v>584632349</v>
      </c>
      <c r="C944" s="4" t="s">
        <v>269</v>
      </c>
      <c r="D944" s="4">
        <v>620</v>
      </c>
      <c r="E944" s="4">
        <v>57</v>
      </c>
      <c r="G944">
        <f t="shared" si="14"/>
        <v>512</v>
      </c>
    </row>
    <row r="945" spans="2:7" ht="15" hidden="1" x14ac:dyDescent="0.25">
      <c r="B945" s="4">
        <v>584632350</v>
      </c>
      <c r="C945" s="4" t="s">
        <v>269</v>
      </c>
      <c r="D945" s="4">
        <v>621</v>
      </c>
      <c r="E945" s="4">
        <v>57</v>
      </c>
      <c r="G945">
        <f t="shared" si="14"/>
        <v>512</v>
      </c>
    </row>
    <row r="946" spans="2:7" ht="15" hidden="1" x14ac:dyDescent="0.25">
      <c r="B946" s="4">
        <v>584632351</v>
      </c>
      <c r="C946" s="4" t="s">
        <v>269</v>
      </c>
      <c r="D946" s="4">
        <v>622</v>
      </c>
      <c r="E946" s="4">
        <v>57</v>
      </c>
      <c r="G946">
        <f t="shared" si="14"/>
        <v>512</v>
      </c>
    </row>
    <row r="947" spans="2:7" ht="15" hidden="1" x14ac:dyDescent="0.25">
      <c r="B947" s="4">
        <v>584632352</v>
      </c>
      <c r="C947" s="4" t="s">
        <v>269</v>
      </c>
      <c r="D947" s="4">
        <v>623</v>
      </c>
      <c r="E947" s="4">
        <v>57</v>
      </c>
      <c r="G947">
        <f t="shared" si="14"/>
        <v>512</v>
      </c>
    </row>
    <row r="948" spans="2:7" ht="15" hidden="1" x14ac:dyDescent="0.25">
      <c r="B948" s="4">
        <v>584632353</v>
      </c>
      <c r="C948" s="4" t="s">
        <v>269</v>
      </c>
      <c r="D948" s="4">
        <v>624</v>
      </c>
      <c r="E948" s="4">
        <v>57</v>
      </c>
      <c r="G948">
        <f t="shared" si="14"/>
        <v>512</v>
      </c>
    </row>
    <row r="949" spans="2:7" ht="15" hidden="1" x14ac:dyDescent="0.25">
      <c r="B949" s="4">
        <v>584632354</v>
      </c>
      <c r="C949" s="4" t="s">
        <v>269</v>
      </c>
      <c r="D949" s="4">
        <v>625</v>
      </c>
      <c r="E949" s="4">
        <v>57</v>
      </c>
      <c r="G949">
        <f t="shared" si="14"/>
        <v>512</v>
      </c>
    </row>
    <row r="950" spans="2:7" ht="15" hidden="1" x14ac:dyDescent="0.25">
      <c r="B950" s="4">
        <v>584632355</v>
      </c>
      <c r="C950" s="4" t="s">
        <v>269</v>
      </c>
      <c r="D950" s="4">
        <v>626</v>
      </c>
      <c r="E950" s="4">
        <v>57</v>
      </c>
      <c r="G950">
        <f t="shared" si="14"/>
        <v>512</v>
      </c>
    </row>
    <row r="951" spans="2:7" ht="15" hidden="1" x14ac:dyDescent="0.25">
      <c r="B951" s="4">
        <v>584632356</v>
      </c>
      <c r="C951" s="4" t="s">
        <v>269</v>
      </c>
      <c r="D951" s="4">
        <v>627</v>
      </c>
      <c r="E951" s="4">
        <v>57</v>
      </c>
      <c r="G951">
        <f t="shared" si="14"/>
        <v>512</v>
      </c>
    </row>
    <row r="952" spans="2:7" ht="15" hidden="1" x14ac:dyDescent="0.25">
      <c r="B952" s="4">
        <v>584632357</v>
      </c>
      <c r="C952" s="4" t="s">
        <v>269</v>
      </c>
      <c r="D952" s="4">
        <v>628</v>
      </c>
      <c r="E952" s="4">
        <v>57</v>
      </c>
      <c r="G952">
        <f t="shared" si="14"/>
        <v>512</v>
      </c>
    </row>
    <row r="953" spans="2:7" ht="15" hidden="1" x14ac:dyDescent="0.25">
      <c r="B953" s="4">
        <v>584632358</v>
      </c>
      <c r="C953" s="4" t="s">
        <v>269</v>
      </c>
      <c r="D953" s="4">
        <v>629</v>
      </c>
      <c r="E953" s="4">
        <v>57</v>
      </c>
      <c r="G953">
        <f t="shared" si="14"/>
        <v>512</v>
      </c>
    </row>
    <row r="954" spans="2:7" ht="15" hidden="1" x14ac:dyDescent="0.25">
      <c r="B954" s="4">
        <v>584632358</v>
      </c>
      <c r="C954" s="4" t="s">
        <v>272</v>
      </c>
      <c r="D954" s="4">
        <v>51</v>
      </c>
      <c r="E954" s="4">
        <v>217</v>
      </c>
      <c r="G954">
        <f t="shared" si="14"/>
        <v>1792</v>
      </c>
    </row>
    <row r="955" spans="2:7" ht="15" hidden="1" x14ac:dyDescent="0.25">
      <c r="B955" s="4">
        <v>584632359</v>
      </c>
      <c r="C955" s="4" t="s">
        <v>269</v>
      </c>
      <c r="D955" s="4">
        <v>630</v>
      </c>
      <c r="E955" s="4">
        <v>57</v>
      </c>
      <c r="G955">
        <f t="shared" si="14"/>
        <v>512</v>
      </c>
    </row>
    <row r="956" spans="2:7" ht="15" hidden="1" x14ac:dyDescent="0.25">
      <c r="B956" s="4">
        <v>584632360</v>
      </c>
      <c r="C956" s="4" t="s">
        <v>269</v>
      </c>
      <c r="D956" s="4">
        <v>631</v>
      </c>
      <c r="E956" s="4">
        <v>57</v>
      </c>
      <c r="G956">
        <f t="shared" si="14"/>
        <v>512</v>
      </c>
    </row>
    <row r="957" spans="2:7" ht="15" hidden="1" x14ac:dyDescent="0.25">
      <c r="B957" s="4">
        <v>584632361</v>
      </c>
      <c r="C957" s="4" t="s">
        <v>269</v>
      </c>
      <c r="D957" s="4">
        <v>632</v>
      </c>
      <c r="E957" s="4">
        <v>57</v>
      </c>
      <c r="G957">
        <f t="shared" si="14"/>
        <v>512</v>
      </c>
    </row>
    <row r="958" spans="2:7" ht="15" hidden="1" x14ac:dyDescent="0.25">
      <c r="B958" s="4">
        <v>584632362</v>
      </c>
      <c r="C958" s="4" t="s">
        <v>268</v>
      </c>
      <c r="D958" s="4">
        <v>210</v>
      </c>
      <c r="E958" s="4">
        <v>6</v>
      </c>
      <c r="G958">
        <f t="shared" si="14"/>
        <v>104</v>
      </c>
    </row>
    <row r="959" spans="2:7" ht="15" hidden="1" x14ac:dyDescent="0.25">
      <c r="B959" s="4">
        <v>584632362</v>
      </c>
      <c r="C959" s="4" t="s">
        <v>268</v>
      </c>
      <c r="D959" s="4">
        <v>210</v>
      </c>
      <c r="E959" s="4">
        <v>6</v>
      </c>
      <c r="G959">
        <f t="shared" si="14"/>
        <v>104</v>
      </c>
    </row>
    <row r="960" spans="2:7" ht="15" hidden="1" x14ac:dyDescent="0.25">
      <c r="B960" s="4">
        <v>584632362</v>
      </c>
      <c r="C960" s="4" t="s">
        <v>268</v>
      </c>
      <c r="D960" s="4">
        <v>211</v>
      </c>
      <c r="E960" s="4">
        <v>9</v>
      </c>
      <c r="G960">
        <f t="shared" si="14"/>
        <v>128</v>
      </c>
    </row>
    <row r="961" spans="2:7" ht="15" hidden="1" x14ac:dyDescent="0.25">
      <c r="B961" s="4">
        <v>584632362</v>
      </c>
      <c r="C961" s="4" t="s">
        <v>268</v>
      </c>
      <c r="D961" s="4">
        <v>211</v>
      </c>
      <c r="E961" s="4">
        <v>9</v>
      </c>
      <c r="G961">
        <f t="shared" si="14"/>
        <v>128</v>
      </c>
    </row>
    <row r="962" spans="2:7" ht="15" hidden="1" x14ac:dyDescent="0.25">
      <c r="B962" s="4">
        <v>584632362</v>
      </c>
      <c r="C962" s="4" t="s">
        <v>268</v>
      </c>
      <c r="D962" s="4">
        <v>212</v>
      </c>
      <c r="E962" s="4">
        <v>7</v>
      </c>
      <c r="G962">
        <f t="shared" si="14"/>
        <v>112</v>
      </c>
    </row>
    <row r="963" spans="2:7" ht="15" hidden="1" x14ac:dyDescent="0.25">
      <c r="B963" s="4">
        <v>584632362</v>
      </c>
      <c r="C963" s="4" t="s">
        <v>268</v>
      </c>
      <c r="D963" s="4">
        <v>212</v>
      </c>
      <c r="E963" s="4">
        <v>7</v>
      </c>
      <c r="G963">
        <f t="shared" si="14"/>
        <v>112</v>
      </c>
    </row>
    <row r="964" spans="2:7" ht="15" hidden="1" x14ac:dyDescent="0.25">
      <c r="B964" s="4">
        <v>584632362</v>
      </c>
      <c r="C964" s="4" t="s">
        <v>268</v>
      </c>
      <c r="D964" s="4">
        <v>213</v>
      </c>
      <c r="E964" s="4">
        <v>7</v>
      </c>
      <c r="G964">
        <f t="shared" ref="G964:G1027" si="15">(E964+7)*8</f>
        <v>112</v>
      </c>
    </row>
    <row r="965" spans="2:7" ht="15" hidden="1" x14ac:dyDescent="0.25">
      <c r="B965" s="4">
        <v>584632362</v>
      </c>
      <c r="C965" s="4" t="s">
        <v>268</v>
      </c>
      <c r="D965" s="4">
        <v>213</v>
      </c>
      <c r="E965" s="4">
        <v>7</v>
      </c>
      <c r="G965">
        <f t="shared" si="15"/>
        <v>112</v>
      </c>
    </row>
    <row r="966" spans="2:7" ht="15" hidden="1" x14ac:dyDescent="0.25">
      <c r="B966" s="4">
        <v>584632362</v>
      </c>
      <c r="C966" s="4" t="s">
        <v>268</v>
      </c>
      <c r="D966" s="4">
        <v>214</v>
      </c>
      <c r="E966" s="4">
        <v>7</v>
      </c>
      <c r="G966">
        <f t="shared" si="15"/>
        <v>112</v>
      </c>
    </row>
    <row r="967" spans="2:7" ht="15" hidden="1" x14ac:dyDescent="0.25">
      <c r="B967" s="4">
        <v>584632362</v>
      </c>
      <c r="C967" s="4" t="s">
        <v>268</v>
      </c>
      <c r="D967" s="4">
        <v>214</v>
      </c>
      <c r="E967" s="4">
        <v>7</v>
      </c>
      <c r="G967">
        <f t="shared" si="15"/>
        <v>112</v>
      </c>
    </row>
    <row r="968" spans="2:7" ht="15" hidden="1" x14ac:dyDescent="0.25">
      <c r="B968" s="4">
        <v>584632362</v>
      </c>
      <c r="C968" s="4" t="s">
        <v>269</v>
      </c>
      <c r="D968" s="4">
        <v>633</v>
      </c>
      <c r="E968" s="4">
        <v>57</v>
      </c>
      <c r="G968">
        <f t="shared" si="15"/>
        <v>512</v>
      </c>
    </row>
    <row r="969" spans="2:7" ht="15" hidden="1" x14ac:dyDescent="0.25">
      <c r="B969" s="4">
        <v>584632363</v>
      </c>
      <c r="C969" s="4" t="s">
        <v>269</v>
      </c>
      <c r="D969" s="4">
        <v>634</v>
      </c>
      <c r="E969" s="4">
        <v>57</v>
      </c>
      <c r="G969">
        <f t="shared" si="15"/>
        <v>512</v>
      </c>
    </row>
    <row r="970" spans="2:7" ht="15" hidden="1" x14ac:dyDescent="0.25">
      <c r="B970" s="4">
        <v>584632364</v>
      </c>
      <c r="C970" s="4" t="s">
        <v>268</v>
      </c>
      <c r="D970" s="4">
        <v>215</v>
      </c>
      <c r="E970" s="4">
        <v>7</v>
      </c>
      <c r="G970">
        <f t="shared" si="15"/>
        <v>112</v>
      </c>
    </row>
    <row r="971" spans="2:7" ht="15" hidden="1" x14ac:dyDescent="0.25">
      <c r="B971" s="4">
        <v>584632364</v>
      </c>
      <c r="C971" s="4" t="s">
        <v>268</v>
      </c>
      <c r="D971" s="4">
        <v>215</v>
      </c>
      <c r="E971" s="4">
        <v>7</v>
      </c>
      <c r="G971">
        <f t="shared" si="15"/>
        <v>112</v>
      </c>
    </row>
    <row r="972" spans="2:7" ht="15" hidden="1" x14ac:dyDescent="0.25">
      <c r="B972" s="4">
        <v>584632364</v>
      </c>
      <c r="C972" s="4" t="s">
        <v>268</v>
      </c>
      <c r="D972" s="4">
        <v>216</v>
      </c>
      <c r="E972" s="4">
        <v>5</v>
      </c>
      <c r="G972">
        <f t="shared" si="15"/>
        <v>96</v>
      </c>
    </row>
    <row r="973" spans="2:7" ht="15" hidden="1" x14ac:dyDescent="0.25">
      <c r="B973" s="4">
        <v>584632364</v>
      </c>
      <c r="C973" s="4" t="s">
        <v>268</v>
      </c>
      <c r="D973" s="4">
        <v>216</v>
      </c>
      <c r="E973" s="4">
        <v>5</v>
      </c>
      <c r="G973">
        <f t="shared" si="15"/>
        <v>96</v>
      </c>
    </row>
    <row r="974" spans="2:7" ht="15" hidden="1" x14ac:dyDescent="0.25">
      <c r="B974" s="4">
        <v>584632364</v>
      </c>
      <c r="C974" s="4" t="s">
        <v>268</v>
      </c>
      <c r="D974" s="4">
        <v>217</v>
      </c>
      <c r="E974" s="4">
        <v>7</v>
      </c>
      <c r="G974">
        <f t="shared" si="15"/>
        <v>112</v>
      </c>
    </row>
    <row r="975" spans="2:7" ht="15" hidden="1" x14ac:dyDescent="0.25">
      <c r="B975" s="4">
        <v>584632364</v>
      </c>
      <c r="C975" s="4" t="s">
        <v>268</v>
      </c>
      <c r="D975" s="4">
        <v>217</v>
      </c>
      <c r="E975" s="4">
        <v>7</v>
      </c>
      <c r="G975">
        <f t="shared" si="15"/>
        <v>112</v>
      </c>
    </row>
    <row r="976" spans="2:7" ht="15" hidden="1" x14ac:dyDescent="0.25">
      <c r="B976" s="4">
        <v>584632364</v>
      </c>
      <c r="C976" s="4" t="s">
        <v>269</v>
      </c>
      <c r="D976" s="4">
        <v>635</v>
      </c>
      <c r="E976" s="4">
        <v>57</v>
      </c>
      <c r="G976">
        <f t="shared" si="15"/>
        <v>512</v>
      </c>
    </row>
    <row r="977" spans="2:7" ht="15" hidden="1" x14ac:dyDescent="0.25">
      <c r="B977" s="4">
        <v>584632365</v>
      </c>
      <c r="C977" s="4" t="s">
        <v>269</v>
      </c>
      <c r="D977" s="4">
        <v>636</v>
      </c>
      <c r="E977" s="4">
        <v>57</v>
      </c>
      <c r="G977">
        <f t="shared" si="15"/>
        <v>512</v>
      </c>
    </row>
    <row r="978" spans="2:7" ht="15" hidden="1" x14ac:dyDescent="0.25">
      <c r="B978" s="4">
        <v>584632366</v>
      </c>
      <c r="C978" s="4" t="s">
        <v>269</v>
      </c>
      <c r="D978" s="4">
        <v>637</v>
      </c>
      <c r="E978" s="4">
        <v>57</v>
      </c>
      <c r="G978">
        <f t="shared" si="15"/>
        <v>512</v>
      </c>
    </row>
    <row r="979" spans="2:7" ht="15" hidden="1" x14ac:dyDescent="0.25">
      <c r="B979" s="4">
        <v>584632367</v>
      </c>
      <c r="C979" s="4" t="s">
        <v>269</v>
      </c>
      <c r="D979" s="4">
        <v>638</v>
      </c>
      <c r="E979" s="4">
        <v>57</v>
      </c>
      <c r="G979">
        <f t="shared" si="15"/>
        <v>512</v>
      </c>
    </row>
    <row r="980" spans="2:7" ht="15" hidden="1" x14ac:dyDescent="0.25">
      <c r="B980" s="4">
        <v>584632368</v>
      </c>
      <c r="C980" s="4" t="s">
        <v>269</v>
      </c>
      <c r="D980" s="4">
        <v>639</v>
      </c>
      <c r="E980" s="4">
        <v>57</v>
      </c>
      <c r="G980">
        <f t="shared" si="15"/>
        <v>512</v>
      </c>
    </row>
    <row r="981" spans="2:7" ht="15" hidden="1" x14ac:dyDescent="0.25">
      <c r="B981" s="4">
        <v>584632368</v>
      </c>
      <c r="C981" s="4" t="s">
        <v>272</v>
      </c>
      <c r="D981" s="4">
        <v>52</v>
      </c>
      <c r="E981" s="4">
        <v>217</v>
      </c>
      <c r="G981">
        <f t="shared" si="15"/>
        <v>1792</v>
      </c>
    </row>
    <row r="982" spans="2:7" ht="15" hidden="1" x14ac:dyDescent="0.25">
      <c r="B982" s="4">
        <v>584632369</v>
      </c>
      <c r="C982" s="4" t="s">
        <v>269</v>
      </c>
      <c r="D982" s="4">
        <v>640</v>
      </c>
      <c r="E982" s="4">
        <v>57</v>
      </c>
      <c r="G982">
        <f t="shared" si="15"/>
        <v>512</v>
      </c>
    </row>
    <row r="983" spans="2:7" ht="15" hidden="1" x14ac:dyDescent="0.25">
      <c r="B983" s="4">
        <v>584632370</v>
      </c>
      <c r="C983" s="4" t="s">
        <v>269</v>
      </c>
      <c r="D983" s="4">
        <v>641</v>
      </c>
      <c r="E983" s="4">
        <v>57</v>
      </c>
      <c r="G983">
        <f t="shared" si="15"/>
        <v>512</v>
      </c>
    </row>
    <row r="984" spans="2:7" ht="15" hidden="1" x14ac:dyDescent="0.25">
      <c r="B984" s="4">
        <v>584632371</v>
      </c>
      <c r="C984" s="4" t="s">
        <v>269</v>
      </c>
      <c r="D984" s="4">
        <v>642</v>
      </c>
      <c r="E984" s="4">
        <v>57</v>
      </c>
      <c r="G984">
        <f t="shared" si="15"/>
        <v>512</v>
      </c>
    </row>
    <row r="985" spans="2:7" ht="15" hidden="1" x14ac:dyDescent="0.25">
      <c r="B985" s="4">
        <v>584632372</v>
      </c>
      <c r="C985" s="4" t="s">
        <v>269</v>
      </c>
      <c r="D985" s="4">
        <v>643</v>
      </c>
      <c r="E985" s="4">
        <v>57</v>
      </c>
      <c r="G985">
        <f t="shared" si="15"/>
        <v>512</v>
      </c>
    </row>
    <row r="986" spans="2:7" ht="15" hidden="1" x14ac:dyDescent="0.25">
      <c r="B986" s="4">
        <v>584632373</v>
      </c>
      <c r="C986" s="4" t="s">
        <v>269</v>
      </c>
      <c r="D986" s="4">
        <v>644</v>
      </c>
      <c r="E986" s="4">
        <v>57</v>
      </c>
      <c r="G986">
        <f t="shared" si="15"/>
        <v>512</v>
      </c>
    </row>
    <row r="987" spans="2:7" ht="15" hidden="1" x14ac:dyDescent="0.25">
      <c r="B987" s="4">
        <v>584632374</v>
      </c>
      <c r="C987" s="4" t="s">
        <v>269</v>
      </c>
      <c r="D987" s="4">
        <v>645</v>
      </c>
      <c r="E987" s="4">
        <v>57</v>
      </c>
      <c r="G987">
        <f t="shared" si="15"/>
        <v>512</v>
      </c>
    </row>
    <row r="988" spans="2:7" ht="15" hidden="1" x14ac:dyDescent="0.25">
      <c r="B988" s="4">
        <v>584632375</v>
      </c>
      <c r="C988" s="4" t="s">
        <v>269</v>
      </c>
      <c r="D988" s="4">
        <v>646</v>
      </c>
      <c r="E988" s="4">
        <v>57</v>
      </c>
      <c r="G988">
        <f t="shared" si="15"/>
        <v>512</v>
      </c>
    </row>
    <row r="989" spans="2:7" ht="15" hidden="1" x14ac:dyDescent="0.25">
      <c r="B989" s="4">
        <v>584632376</v>
      </c>
      <c r="C989" s="4" t="s">
        <v>269</v>
      </c>
      <c r="D989" s="4">
        <v>647</v>
      </c>
      <c r="E989" s="4">
        <v>57</v>
      </c>
      <c r="G989">
        <f t="shared" si="15"/>
        <v>512</v>
      </c>
    </row>
    <row r="990" spans="2:7" ht="15" hidden="1" x14ac:dyDescent="0.25">
      <c r="B990" s="4">
        <v>584632377</v>
      </c>
      <c r="C990" s="4" t="s">
        <v>269</v>
      </c>
      <c r="D990" s="4">
        <v>648</v>
      </c>
      <c r="E990" s="4">
        <v>57</v>
      </c>
      <c r="G990">
        <f t="shared" si="15"/>
        <v>512</v>
      </c>
    </row>
    <row r="991" spans="2:7" ht="15" hidden="1" x14ac:dyDescent="0.25">
      <c r="B991" s="4">
        <v>584632378</v>
      </c>
      <c r="C991" s="4" t="s">
        <v>269</v>
      </c>
      <c r="D991" s="4">
        <v>649</v>
      </c>
      <c r="E991" s="4">
        <v>57</v>
      </c>
      <c r="G991">
        <f t="shared" si="15"/>
        <v>512</v>
      </c>
    </row>
    <row r="992" spans="2:7" ht="15" hidden="1" x14ac:dyDescent="0.25">
      <c r="B992" s="4">
        <v>584632378</v>
      </c>
      <c r="C992" s="4" t="s">
        <v>272</v>
      </c>
      <c r="D992" s="4">
        <v>53</v>
      </c>
      <c r="E992" s="4">
        <v>215</v>
      </c>
      <c r="G992">
        <f t="shared" si="15"/>
        <v>1776</v>
      </c>
    </row>
    <row r="993" spans="2:7" ht="15" hidden="1" x14ac:dyDescent="0.25">
      <c r="B993" s="4">
        <v>584632379</v>
      </c>
      <c r="C993" s="4" t="s">
        <v>269</v>
      </c>
      <c r="D993" s="4">
        <v>650</v>
      </c>
      <c r="E993" s="4">
        <v>57</v>
      </c>
      <c r="G993">
        <f t="shared" si="15"/>
        <v>512</v>
      </c>
    </row>
    <row r="994" spans="2:7" ht="15" hidden="1" x14ac:dyDescent="0.25">
      <c r="B994" s="4">
        <v>584632380</v>
      </c>
      <c r="C994" s="4" t="s">
        <v>269</v>
      </c>
      <c r="D994" s="4">
        <v>651</v>
      </c>
      <c r="E994" s="4">
        <v>57</v>
      </c>
      <c r="G994">
        <f t="shared" si="15"/>
        <v>512</v>
      </c>
    </row>
    <row r="995" spans="2:7" ht="15" hidden="1" x14ac:dyDescent="0.25">
      <c r="B995" s="4">
        <v>584632381</v>
      </c>
      <c r="C995" s="4" t="s">
        <v>269</v>
      </c>
      <c r="D995" s="4">
        <v>652</v>
      </c>
      <c r="E995" s="4">
        <v>57</v>
      </c>
      <c r="G995">
        <f t="shared" si="15"/>
        <v>512</v>
      </c>
    </row>
    <row r="996" spans="2:7" ht="15" hidden="1" x14ac:dyDescent="0.25">
      <c r="B996" s="4">
        <v>584632382</v>
      </c>
      <c r="C996" s="4" t="s">
        <v>269</v>
      </c>
      <c r="D996" s="4">
        <v>653</v>
      </c>
      <c r="E996" s="4">
        <v>57</v>
      </c>
      <c r="G996">
        <f t="shared" si="15"/>
        <v>512</v>
      </c>
    </row>
    <row r="997" spans="2:7" ht="15" hidden="1" x14ac:dyDescent="0.25">
      <c r="B997" s="4">
        <v>584632383</v>
      </c>
      <c r="C997" s="4" t="s">
        <v>269</v>
      </c>
      <c r="D997" s="4">
        <v>654</v>
      </c>
      <c r="E997" s="4">
        <v>57</v>
      </c>
      <c r="G997">
        <f t="shared" si="15"/>
        <v>512</v>
      </c>
    </row>
    <row r="998" spans="2:7" ht="15" hidden="1" x14ac:dyDescent="0.25">
      <c r="B998" s="4">
        <v>584632384</v>
      </c>
      <c r="C998" s="4" t="s">
        <v>269</v>
      </c>
      <c r="D998" s="4">
        <v>655</v>
      </c>
      <c r="E998" s="4">
        <v>57</v>
      </c>
      <c r="G998">
        <f t="shared" si="15"/>
        <v>512</v>
      </c>
    </row>
    <row r="999" spans="2:7" ht="15" hidden="1" x14ac:dyDescent="0.25">
      <c r="B999" s="4">
        <v>584632385</v>
      </c>
      <c r="C999" s="4" t="s">
        <v>269</v>
      </c>
      <c r="D999" s="4">
        <v>656</v>
      </c>
      <c r="E999" s="4">
        <v>57</v>
      </c>
      <c r="G999">
        <f t="shared" si="15"/>
        <v>512</v>
      </c>
    </row>
    <row r="1000" spans="2:7" ht="15" hidden="1" x14ac:dyDescent="0.25">
      <c r="B1000" s="4">
        <v>584632386</v>
      </c>
      <c r="C1000" s="4" t="s">
        <v>269</v>
      </c>
      <c r="D1000" s="4">
        <v>657</v>
      </c>
      <c r="E1000" s="4">
        <v>57</v>
      </c>
      <c r="G1000">
        <f t="shared" si="15"/>
        <v>512</v>
      </c>
    </row>
    <row r="1001" spans="2:7" ht="15" hidden="1" x14ac:dyDescent="0.25">
      <c r="B1001" s="4">
        <v>584632387</v>
      </c>
      <c r="C1001" s="4" t="s">
        <v>269</v>
      </c>
      <c r="D1001" s="4">
        <v>658</v>
      </c>
      <c r="E1001" s="4">
        <v>57</v>
      </c>
      <c r="G1001">
        <f t="shared" si="15"/>
        <v>512</v>
      </c>
    </row>
    <row r="1002" spans="2:7" ht="15" hidden="1" x14ac:dyDescent="0.25">
      <c r="B1002" s="4">
        <v>584632388</v>
      </c>
      <c r="C1002" s="4" t="s">
        <v>269</v>
      </c>
      <c r="D1002" s="4">
        <v>659</v>
      </c>
      <c r="E1002" s="4">
        <v>57</v>
      </c>
      <c r="G1002">
        <f t="shared" si="15"/>
        <v>512</v>
      </c>
    </row>
    <row r="1003" spans="2:7" ht="15" hidden="1" x14ac:dyDescent="0.25">
      <c r="B1003" s="4">
        <v>584632388</v>
      </c>
      <c r="C1003" s="4" t="s">
        <v>272</v>
      </c>
      <c r="D1003" s="4">
        <v>54</v>
      </c>
      <c r="E1003" s="4">
        <v>215</v>
      </c>
      <c r="G1003">
        <f t="shared" si="15"/>
        <v>1776</v>
      </c>
    </row>
    <row r="1004" spans="2:7" ht="15" hidden="1" x14ac:dyDescent="0.25">
      <c r="B1004" s="4">
        <v>584632389</v>
      </c>
      <c r="C1004" s="4" t="s">
        <v>269</v>
      </c>
      <c r="D1004" s="4">
        <v>660</v>
      </c>
      <c r="E1004" s="4">
        <v>57</v>
      </c>
      <c r="G1004">
        <f t="shared" si="15"/>
        <v>512</v>
      </c>
    </row>
    <row r="1005" spans="2:7" ht="15" hidden="1" x14ac:dyDescent="0.25">
      <c r="B1005" s="4">
        <v>584632390</v>
      </c>
      <c r="C1005" s="4" t="s">
        <v>269</v>
      </c>
      <c r="D1005" s="4">
        <v>661</v>
      </c>
      <c r="E1005" s="4">
        <v>57</v>
      </c>
      <c r="G1005">
        <f t="shared" si="15"/>
        <v>512</v>
      </c>
    </row>
    <row r="1006" spans="2:7" ht="15" hidden="1" x14ac:dyDescent="0.25">
      <c r="B1006" s="4">
        <v>584632391</v>
      </c>
      <c r="C1006" s="4" t="s">
        <v>269</v>
      </c>
      <c r="D1006" s="4">
        <v>662</v>
      </c>
      <c r="E1006" s="4">
        <v>57</v>
      </c>
      <c r="G1006">
        <f t="shared" si="15"/>
        <v>512</v>
      </c>
    </row>
    <row r="1007" spans="2:7" ht="15" hidden="1" x14ac:dyDescent="0.25">
      <c r="B1007" s="4">
        <v>584632392</v>
      </c>
      <c r="C1007" s="4" t="s">
        <v>269</v>
      </c>
      <c r="D1007" s="4">
        <v>663</v>
      </c>
      <c r="E1007" s="4">
        <v>57</v>
      </c>
      <c r="G1007">
        <f t="shared" si="15"/>
        <v>512</v>
      </c>
    </row>
    <row r="1008" spans="2:7" ht="15" hidden="1" x14ac:dyDescent="0.25">
      <c r="B1008" s="4">
        <v>584632393</v>
      </c>
      <c r="C1008" s="4" t="s">
        <v>269</v>
      </c>
      <c r="D1008" s="4">
        <v>664</v>
      </c>
      <c r="E1008" s="4">
        <v>57</v>
      </c>
      <c r="G1008">
        <f t="shared" si="15"/>
        <v>512</v>
      </c>
    </row>
    <row r="1009" spans="2:7" ht="15" hidden="1" x14ac:dyDescent="0.25">
      <c r="B1009" s="4">
        <v>584632394</v>
      </c>
      <c r="C1009" s="4" t="s">
        <v>269</v>
      </c>
      <c r="D1009" s="4">
        <v>665</v>
      </c>
      <c r="E1009" s="4">
        <v>57</v>
      </c>
      <c r="G1009">
        <f t="shared" si="15"/>
        <v>512</v>
      </c>
    </row>
    <row r="1010" spans="2:7" ht="15" hidden="1" x14ac:dyDescent="0.25">
      <c r="B1010" s="4">
        <v>584632395</v>
      </c>
      <c r="C1010" s="4" t="s">
        <v>269</v>
      </c>
      <c r="D1010" s="4">
        <v>666</v>
      </c>
      <c r="E1010" s="4">
        <v>57</v>
      </c>
      <c r="G1010">
        <f t="shared" si="15"/>
        <v>512</v>
      </c>
    </row>
    <row r="1011" spans="2:7" ht="15" hidden="1" x14ac:dyDescent="0.25">
      <c r="B1011" s="4">
        <v>584632396</v>
      </c>
      <c r="C1011" s="4" t="s">
        <v>269</v>
      </c>
      <c r="D1011" s="4">
        <v>667</v>
      </c>
      <c r="E1011" s="4">
        <v>57</v>
      </c>
      <c r="G1011">
        <f t="shared" si="15"/>
        <v>512</v>
      </c>
    </row>
    <row r="1012" spans="2:7" ht="15" hidden="1" x14ac:dyDescent="0.25">
      <c r="B1012" s="4">
        <v>584632397</v>
      </c>
      <c r="C1012" s="4" t="s">
        <v>269</v>
      </c>
      <c r="D1012" s="4">
        <v>668</v>
      </c>
      <c r="E1012" s="4">
        <v>57</v>
      </c>
      <c r="G1012">
        <f t="shared" si="15"/>
        <v>512</v>
      </c>
    </row>
    <row r="1013" spans="2:7" ht="15" hidden="1" x14ac:dyDescent="0.25">
      <c r="B1013" s="4">
        <v>584632398</v>
      </c>
      <c r="C1013" s="4" t="s">
        <v>269</v>
      </c>
      <c r="D1013" s="4">
        <v>669</v>
      </c>
      <c r="E1013" s="4">
        <v>57</v>
      </c>
      <c r="G1013">
        <f t="shared" si="15"/>
        <v>512</v>
      </c>
    </row>
    <row r="1014" spans="2:7" ht="15" hidden="1" x14ac:dyDescent="0.25">
      <c r="B1014" s="4">
        <v>584632398</v>
      </c>
      <c r="C1014" s="4" t="s">
        <v>272</v>
      </c>
      <c r="D1014" s="4">
        <v>55</v>
      </c>
      <c r="E1014" s="4">
        <v>215</v>
      </c>
      <c r="G1014">
        <f t="shared" si="15"/>
        <v>1776</v>
      </c>
    </row>
    <row r="1015" spans="2:7" ht="15" hidden="1" x14ac:dyDescent="0.25">
      <c r="B1015" s="4">
        <v>584632399</v>
      </c>
      <c r="C1015" s="4" t="s">
        <v>269</v>
      </c>
      <c r="D1015" s="4">
        <v>670</v>
      </c>
      <c r="E1015" s="4">
        <v>57</v>
      </c>
      <c r="G1015">
        <f t="shared" si="15"/>
        <v>512</v>
      </c>
    </row>
    <row r="1016" spans="2:7" ht="15" hidden="1" x14ac:dyDescent="0.25">
      <c r="B1016" s="4">
        <v>584632400</v>
      </c>
      <c r="C1016" s="4" t="s">
        <v>269</v>
      </c>
      <c r="D1016" s="4">
        <v>671</v>
      </c>
      <c r="E1016" s="4">
        <v>57</v>
      </c>
      <c r="G1016">
        <f t="shared" si="15"/>
        <v>512</v>
      </c>
    </row>
    <row r="1017" spans="2:7" ht="15" hidden="1" x14ac:dyDescent="0.25">
      <c r="B1017" s="4">
        <v>584632401</v>
      </c>
      <c r="C1017" s="4" t="s">
        <v>269</v>
      </c>
      <c r="D1017" s="4">
        <v>672</v>
      </c>
      <c r="E1017" s="4">
        <v>57</v>
      </c>
      <c r="G1017">
        <f t="shared" si="15"/>
        <v>512</v>
      </c>
    </row>
    <row r="1018" spans="2:7" ht="15" hidden="1" x14ac:dyDescent="0.25">
      <c r="B1018" s="4">
        <v>584632402</v>
      </c>
      <c r="C1018" s="4" t="s">
        <v>269</v>
      </c>
      <c r="D1018" s="4">
        <v>673</v>
      </c>
      <c r="E1018" s="4">
        <v>57</v>
      </c>
      <c r="G1018">
        <f t="shared" si="15"/>
        <v>512</v>
      </c>
    </row>
    <row r="1019" spans="2:7" ht="15" hidden="1" x14ac:dyDescent="0.25">
      <c r="B1019" s="4">
        <v>584632403</v>
      </c>
      <c r="C1019" s="4" t="s">
        <v>269</v>
      </c>
      <c r="D1019" s="4">
        <v>674</v>
      </c>
      <c r="E1019" s="4">
        <v>57</v>
      </c>
      <c r="G1019">
        <f t="shared" si="15"/>
        <v>512</v>
      </c>
    </row>
    <row r="1020" spans="2:7" ht="15" hidden="1" x14ac:dyDescent="0.25">
      <c r="B1020" s="4">
        <v>584632404</v>
      </c>
      <c r="C1020" s="4" t="s">
        <v>269</v>
      </c>
      <c r="D1020" s="4">
        <v>675</v>
      </c>
      <c r="E1020" s="4">
        <v>57</v>
      </c>
      <c r="G1020">
        <f t="shared" si="15"/>
        <v>512</v>
      </c>
    </row>
    <row r="1021" spans="2:7" ht="15" hidden="1" x14ac:dyDescent="0.25">
      <c r="B1021" s="4">
        <v>584632405</v>
      </c>
      <c r="C1021" s="4" t="s">
        <v>269</v>
      </c>
      <c r="D1021" s="4">
        <v>676</v>
      </c>
      <c r="E1021" s="4">
        <v>57</v>
      </c>
      <c r="G1021">
        <f t="shared" si="15"/>
        <v>512</v>
      </c>
    </row>
    <row r="1022" spans="2:7" ht="15" hidden="1" x14ac:dyDescent="0.25">
      <c r="B1022" s="4">
        <v>584632406</v>
      </c>
      <c r="C1022" s="4" t="s">
        <v>269</v>
      </c>
      <c r="D1022" s="4">
        <v>677</v>
      </c>
      <c r="E1022" s="4">
        <v>57</v>
      </c>
      <c r="G1022">
        <f t="shared" si="15"/>
        <v>512</v>
      </c>
    </row>
    <row r="1023" spans="2:7" ht="15" hidden="1" x14ac:dyDescent="0.25">
      <c r="B1023" s="4">
        <v>584632407</v>
      </c>
      <c r="C1023" s="4" t="s">
        <v>269</v>
      </c>
      <c r="D1023" s="4">
        <v>678</v>
      </c>
      <c r="E1023" s="4">
        <v>57</v>
      </c>
      <c r="G1023">
        <f t="shared" si="15"/>
        <v>512</v>
      </c>
    </row>
    <row r="1024" spans="2:7" ht="15" hidden="1" x14ac:dyDescent="0.25">
      <c r="B1024" s="4">
        <v>584632408</v>
      </c>
      <c r="C1024" s="4" t="s">
        <v>269</v>
      </c>
      <c r="D1024" s="4">
        <v>679</v>
      </c>
      <c r="E1024" s="4">
        <v>57</v>
      </c>
      <c r="G1024">
        <f t="shared" si="15"/>
        <v>512</v>
      </c>
    </row>
    <row r="1025" spans="2:7" ht="15" hidden="1" x14ac:dyDescent="0.25">
      <c r="B1025" s="4">
        <v>584632408</v>
      </c>
      <c r="C1025" s="4" t="s">
        <v>272</v>
      </c>
      <c r="D1025" s="4">
        <v>56</v>
      </c>
      <c r="E1025" s="4">
        <v>215</v>
      </c>
      <c r="G1025">
        <f t="shared" si="15"/>
        <v>1776</v>
      </c>
    </row>
    <row r="1026" spans="2:7" ht="15" hidden="1" x14ac:dyDescent="0.25">
      <c r="B1026" s="4">
        <v>584632409</v>
      </c>
      <c r="C1026" s="4" t="s">
        <v>269</v>
      </c>
      <c r="D1026" s="4">
        <v>680</v>
      </c>
      <c r="E1026" s="4">
        <v>57</v>
      </c>
      <c r="G1026">
        <f t="shared" si="15"/>
        <v>512</v>
      </c>
    </row>
    <row r="1027" spans="2:7" ht="15" hidden="1" x14ac:dyDescent="0.25">
      <c r="B1027" s="4">
        <v>584632410</v>
      </c>
      <c r="C1027" s="4" t="s">
        <v>269</v>
      </c>
      <c r="D1027" s="4">
        <v>681</v>
      </c>
      <c r="E1027" s="4">
        <v>57</v>
      </c>
      <c r="G1027">
        <f t="shared" si="15"/>
        <v>512</v>
      </c>
    </row>
    <row r="1028" spans="2:7" ht="15" hidden="1" x14ac:dyDescent="0.25">
      <c r="B1028" s="4">
        <v>584632411</v>
      </c>
      <c r="C1028" s="4" t="s">
        <v>269</v>
      </c>
      <c r="D1028" s="4">
        <v>682</v>
      </c>
      <c r="E1028" s="4">
        <v>57</v>
      </c>
      <c r="G1028">
        <f t="shared" ref="G1028:G1091" si="16">(E1028+7)*8</f>
        <v>512</v>
      </c>
    </row>
    <row r="1029" spans="2:7" ht="15" hidden="1" x14ac:dyDescent="0.25">
      <c r="B1029" s="4">
        <v>584632412</v>
      </c>
      <c r="C1029" s="4" t="s">
        <v>269</v>
      </c>
      <c r="D1029" s="4">
        <v>683</v>
      </c>
      <c r="E1029" s="4">
        <v>57</v>
      </c>
      <c r="G1029">
        <f t="shared" si="16"/>
        <v>512</v>
      </c>
    </row>
    <row r="1030" spans="2:7" ht="15" hidden="1" x14ac:dyDescent="0.25">
      <c r="B1030" s="4">
        <v>584632413</v>
      </c>
      <c r="C1030" s="4" t="s">
        <v>269</v>
      </c>
      <c r="D1030" s="4">
        <v>684</v>
      </c>
      <c r="E1030" s="4">
        <v>57</v>
      </c>
      <c r="G1030">
        <f t="shared" si="16"/>
        <v>512</v>
      </c>
    </row>
    <row r="1031" spans="2:7" ht="15" hidden="1" x14ac:dyDescent="0.25">
      <c r="B1031" s="4">
        <v>584632414</v>
      </c>
      <c r="C1031" s="4" t="s">
        <v>269</v>
      </c>
      <c r="D1031" s="4">
        <v>685</v>
      </c>
      <c r="E1031" s="4">
        <v>57</v>
      </c>
      <c r="G1031">
        <f t="shared" si="16"/>
        <v>512</v>
      </c>
    </row>
    <row r="1032" spans="2:7" ht="15" hidden="1" x14ac:dyDescent="0.25">
      <c r="B1032" s="4">
        <v>584632415</v>
      </c>
      <c r="C1032" s="4" t="s">
        <v>269</v>
      </c>
      <c r="D1032" s="4">
        <v>686</v>
      </c>
      <c r="E1032" s="4">
        <v>57</v>
      </c>
      <c r="G1032">
        <f t="shared" si="16"/>
        <v>512</v>
      </c>
    </row>
    <row r="1033" spans="2:7" ht="15" hidden="1" x14ac:dyDescent="0.25">
      <c r="B1033" s="4">
        <v>584632416</v>
      </c>
      <c r="C1033" s="4" t="s">
        <v>269</v>
      </c>
      <c r="D1033" s="4">
        <v>687</v>
      </c>
      <c r="E1033" s="4">
        <v>57</v>
      </c>
      <c r="G1033">
        <f t="shared" si="16"/>
        <v>512</v>
      </c>
    </row>
    <row r="1034" spans="2:7" ht="15" hidden="1" x14ac:dyDescent="0.25">
      <c r="B1034" s="4">
        <v>584632417</v>
      </c>
      <c r="C1034" s="4" t="s">
        <v>269</v>
      </c>
      <c r="D1034" s="4">
        <v>688</v>
      </c>
      <c r="E1034" s="4">
        <v>57</v>
      </c>
      <c r="G1034">
        <f t="shared" si="16"/>
        <v>512</v>
      </c>
    </row>
    <row r="1035" spans="2:7" ht="15" hidden="1" x14ac:dyDescent="0.25">
      <c r="B1035" s="4">
        <v>584632418</v>
      </c>
      <c r="C1035" s="4" t="s">
        <v>269</v>
      </c>
      <c r="D1035" s="4">
        <v>689</v>
      </c>
      <c r="E1035" s="4">
        <v>57</v>
      </c>
      <c r="G1035">
        <f t="shared" si="16"/>
        <v>512</v>
      </c>
    </row>
    <row r="1036" spans="2:7" ht="15" hidden="1" x14ac:dyDescent="0.25">
      <c r="B1036" s="4">
        <v>584632418</v>
      </c>
      <c r="C1036" s="4" t="s">
        <v>272</v>
      </c>
      <c r="D1036" s="4">
        <v>57</v>
      </c>
      <c r="E1036" s="4">
        <v>215</v>
      </c>
      <c r="G1036">
        <f t="shared" si="16"/>
        <v>1776</v>
      </c>
    </row>
    <row r="1037" spans="2:7" ht="15" hidden="1" x14ac:dyDescent="0.25">
      <c r="B1037" s="4">
        <v>584632419</v>
      </c>
      <c r="C1037" s="4" t="s">
        <v>269</v>
      </c>
      <c r="D1037" s="4">
        <v>690</v>
      </c>
      <c r="E1037" s="4">
        <v>57</v>
      </c>
      <c r="G1037">
        <f t="shared" si="16"/>
        <v>512</v>
      </c>
    </row>
    <row r="1038" spans="2:7" ht="15" hidden="1" x14ac:dyDescent="0.25">
      <c r="B1038" s="4">
        <v>584632420</v>
      </c>
      <c r="C1038" s="4" t="s">
        <v>269</v>
      </c>
      <c r="D1038" s="4">
        <v>691</v>
      </c>
      <c r="E1038" s="4">
        <v>57</v>
      </c>
      <c r="G1038">
        <f t="shared" si="16"/>
        <v>512</v>
      </c>
    </row>
    <row r="1039" spans="2:7" ht="15" hidden="1" x14ac:dyDescent="0.25">
      <c r="B1039" s="4">
        <v>584632421</v>
      </c>
      <c r="C1039" s="4" t="s">
        <v>269</v>
      </c>
      <c r="D1039" s="4">
        <v>692</v>
      </c>
      <c r="E1039" s="4">
        <v>57</v>
      </c>
      <c r="G1039">
        <f t="shared" si="16"/>
        <v>512</v>
      </c>
    </row>
    <row r="1040" spans="2:7" ht="15" hidden="1" x14ac:dyDescent="0.25">
      <c r="B1040" s="4">
        <v>584632422</v>
      </c>
      <c r="C1040" s="4" t="s">
        <v>269</v>
      </c>
      <c r="D1040" s="4">
        <v>693</v>
      </c>
      <c r="E1040" s="4">
        <v>57</v>
      </c>
      <c r="G1040">
        <f t="shared" si="16"/>
        <v>512</v>
      </c>
    </row>
    <row r="1041" spans="2:7" ht="15" hidden="1" x14ac:dyDescent="0.25">
      <c r="B1041" s="4">
        <v>584632423</v>
      </c>
      <c r="C1041" s="4" t="s">
        <v>269</v>
      </c>
      <c r="D1041" s="4">
        <v>694</v>
      </c>
      <c r="E1041" s="4">
        <v>57</v>
      </c>
      <c r="G1041">
        <f t="shared" si="16"/>
        <v>512</v>
      </c>
    </row>
    <row r="1042" spans="2:7" ht="15" hidden="1" x14ac:dyDescent="0.25">
      <c r="B1042" s="4">
        <v>584632424</v>
      </c>
      <c r="C1042" s="4" t="s">
        <v>268</v>
      </c>
      <c r="D1042" s="4">
        <v>218</v>
      </c>
      <c r="E1042" s="4">
        <v>6</v>
      </c>
      <c r="G1042">
        <f t="shared" si="16"/>
        <v>104</v>
      </c>
    </row>
    <row r="1043" spans="2:7" ht="15" hidden="1" x14ac:dyDescent="0.25">
      <c r="B1043" s="4">
        <v>584632424</v>
      </c>
      <c r="C1043" s="4" t="s">
        <v>268</v>
      </c>
      <c r="D1043" s="4">
        <v>218</v>
      </c>
      <c r="E1043" s="4">
        <v>6</v>
      </c>
      <c r="G1043">
        <f t="shared" si="16"/>
        <v>104</v>
      </c>
    </row>
    <row r="1044" spans="2:7" ht="15" hidden="1" x14ac:dyDescent="0.25">
      <c r="B1044" s="4">
        <v>584632424</v>
      </c>
      <c r="C1044" s="4" t="s">
        <v>268</v>
      </c>
      <c r="D1044" s="4">
        <v>219</v>
      </c>
      <c r="E1044" s="4">
        <v>9</v>
      </c>
      <c r="G1044">
        <f t="shared" si="16"/>
        <v>128</v>
      </c>
    </row>
    <row r="1045" spans="2:7" ht="15" hidden="1" x14ac:dyDescent="0.25">
      <c r="B1045" s="4">
        <v>584632424</v>
      </c>
      <c r="C1045" s="4" t="s">
        <v>268</v>
      </c>
      <c r="D1045" s="4">
        <v>219</v>
      </c>
      <c r="E1045" s="4">
        <v>9</v>
      </c>
      <c r="G1045">
        <f t="shared" si="16"/>
        <v>128</v>
      </c>
    </row>
    <row r="1046" spans="2:7" ht="15" hidden="1" x14ac:dyDescent="0.25">
      <c r="B1046" s="4">
        <v>584632424</v>
      </c>
      <c r="C1046" s="4" t="s">
        <v>268</v>
      </c>
      <c r="D1046" s="4">
        <v>220</v>
      </c>
      <c r="E1046" s="4">
        <v>7</v>
      </c>
      <c r="G1046">
        <f t="shared" si="16"/>
        <v>112</v>
      </c>
    </row>
    <row r="1047" spans="2:7" ht="15" hidden="1" x14ac:dyDescent="0.25">
      <c r="B1047" s="4">
        <v>584632424</v>
      </c>
      <c r="C1047" s="4" t="s">
        <v>268</v>
      </c>
      <c r="D1047" s="4">
        <v>220</v>
      </c>
      <c r="E1047" s="4">
        <v>7</v>
      </c>
      <c r="G1047">
        <f t="shared" si="16"/>
        <v>112</v>
      </c>
    </row>
    <row r="1048" spans="2:7" ht="15" hidden="1" x14ac:dyDescent="0.25">
      <c r="B1048" s="4">
        <v>584632424</v>
      </c>
      <c r="C1048" s="4" t="s">
        <v>268</v>
      </c>
      <c r="D1048" s="4">
        <v>221</v>
      </c>
      <c r="E1048" s="4">
        <v>7</v>
      </c>
      <c r="G1048">
        <f t="shared" si="16"/>
        <v>112</v>
      </c>
    </row>
    <row r="1049" spans="2:7" ht="15" hidden="1" x14ac:dyDescent="0.25">
      <c r="B1049" s="4">
        <v>584632424</v>
      </c>
      <c r="C1049" s="4" t="s">
        <v>268</v>
      </c>
      <c r="D1049" s="4">
        <v>221</v>
      </c>
      <c r="E1049" s="4">
        <v>7</v>
      </c>
      <c r="G1049">
        <f t="shared" si="16"/>
        <v>112</v>
      </c>
    </row>
    <row r="1050" spans="2:7" ht="15" hidden="1" x14ac:dyDescent="0.25">
      <c r="B1050" s="4">
        <v>584632424</v>
      </c>
      <c r="C1050" s="4" t="s">
        <v>268</v>
      </c>
      <c r="D1050" s="4">
        <v>222</v>
      </c>
      <c r="E1050" s="4">
        <v>7</v>
      </c>
      <c r="G1050">
        <f t="shared" si="16"/>
        <v>112</v>
      </c>
    </row>
    <row r="1051" spans="2:7" ht="15" hidden="1" x14ac:dyDescent="0.25">
      <c r="B1051" s="4">
        <v>584632424</v>
      </c>
      <c r="C1051" s="4" t="s">
        <v>268</v>
      </c>
      <c r="D1051" s="4">
        <v>222</v>
      </c>
      <c r="E1051" s="4">
        <v>7</v>
      </c>
      <c r="G1051">
        <f t="shared" si="16"/>
        <v>112</v>
      </c>
    </row>
    <row r="1052" spans="2:7" ht="15" hidden="1" x14ac:dyDescent="0.25">
      <c r="B1052" s="4">
        <v>584632424</v>
      </c>
      <c r="C1052" s="4" t="s">
        <v>269</v>
      </c>
      <c r="D1052" s="4">
        <v>695</v>
      </c>
      <c r="E1052" s="4">
        <v>57</v>
      </c>
      <c r="G1052">
        <f t="shared" si="16"/>
        <v>512</v>
      </c>
    </row>
    <row r="1053" spans="2:7" ht="15" hidden="1" x14ac:dyDescent="0.25">
      <c r="B1053" s="4">
        <v>584632425</v>
      </c>
      <c r="C1053" s="4" t="s">
        <v>269</v>
      </c>
      <c r="D1053" s="4">
        <v>696</v>
      </c>
      <c r="E1053" s="4">
        <v>57</v>
      </c>
      <c r="G1053">
        <f t="shared" si="16"/>
        <v>512</v>
      </c>
    </row>
    <row r="1054" spans="2:7" ht="15" hidden="1" x14ac:dyDescent="0.25">
      <c r="B1054" s="4">
        <v>584632426</v>
      </c>
      <c r="C1054" s="4" t="s">
        <v>268</v>
      </c>
      <c r="D1054" s="4">
        <v>223</v>
      </c>
      <c r="E1054" s="4">
        <v>7</v>
      </c>
      <c r="G1054">
        <f t="shared" si="16"/>
        <v>112</v>
      </c>
    </row>
    <row r="1055" spans="2:7" ht="15" hidden="1" x14ac:dyDescent="0.25">
      <c r="B1055" s="4">
        <v>584632426</v>
      </c>
      <c r="C1055" s="4" t="s">
        <v>268</v>
      </c>
      <c r="D1055" s="4">
        <v>223</v>
      </c>
      <c r="E1055" s="4">
        <v>7</v>
      </c>
      <c r="G1055">
        <f t="shared" si="16"/>
        <v>112</v>
      </c>
    </row>
    <row r="1056" spans="2:7" ht="15" hidden="1" x14ac:dyDescent="0.25">
      <c r="B1056" s="4">
        <v>584632426</v>
      </c>
      <c r="C1056" s="4" t="s">
        <v>268</v>
      </c>
      <c r="D1056" s="4">
        <v>224</v>
      </c>
      <c r="E1056" s="4">
        <v>5</v>
      </c>
      <c r="G1056">
        <f t="shared" si="16"/>
        <v>96</v>
      </c>
    </row>
    <row r="1057" spans="2:7" ht="15" hidden="1" x14ac:dyDescent="0.25">
      <c r="B1057" s="4">
        <v>584632426</v>
      </c>
      <c r="C1057" s="4" t="s">
        <v>268</v>
      </c>
      <c r="D1057" s="4">
        <v>224</v>
      </c>
      <c r="E1057" s="4">
        <v>5</v>
      </c>
      <c r="G1057">
        <f t="shared" si="16"/>
        <v>96</v>
      </c>
    </row>
    <row r="1058" spans="2:7" ht="15" hidden="1" x14ac:dyDescent="0.25">
      <c r="B1058" s="4">
        <v>584632426</v>
      </c>
      <c r="C1058" s="4" t="s">
        <v>268</v>
      </c>
      <c r="D1058" s="4">
        <v>225</v>
      </c>
      <c r="E1058" s="4">
        <v>7</v>
      </c>
      <c r="G1058">
        <f t="shared" si="16"/>
        <v>112</v>
      </c>
    </row>
    <row r="1059" spans="2:7" ht="15" hidden="1" x14ac:dyDescent="0.25">
      <c r="B1059" s="4">
        <v>584632426</v>
      </c>
      <c r="C1059" s="4" t="s">
        <v>268</v>
      </c>
      <c r="D1059" s="4">
        <v>225</v>
      </c>
      <c r="E1059" s="4">
        <v>7</v>
      </c>
      <c r="G1059">
        <f t="shared" si="16"/>
        <v>112</v>
      </c>
    </row>
    <row r="1060" spans="2:7" ht="15" hidden="1" x14ac:dyDescent="0.25">
      <c r="B1060" s="4">
        <v>584632426</v>
      </c>
      <c r="C1060" s="4" t="s">
        <v>269</v>
      </c>
      <c r="D1060" s="4">
        <v>697</v>
      </c>
      <c r="E1060" s="4">
        <v>57</v>
      </c>
      <c r="G1060">
        <f t="shared" si="16"/>
        <v>512</v>
      </c>
    </row>
    <row r="1061" spans="2:7" ht="15" hidden="1" x14ac:dyDescent="0.25">
      <c r="B1061" s="4">
        <v>584632427</v>
      </c>
      <c r="C1061" s="4" t="s">
        <v>269</v>
      </c>
      <c r="D1061" s="4">
        <v>698</v>
      </c>
      <c r="E1061" s="4">
        <v>57</v>
      </c>
      <c r="G1061">
        <f t="shared" si="16"/>
        <v>512</v>
      </c>
    </row>
    <row r="1062" spans="2:7" ht="15" hidden="1" x14ac:dyDescent="0.25">
      <c r="B1062" s="4">
        <v>584632428</v>
      </c>
      <c r="C1062" s="4" t="s">
        <v>269</v>
      </c>
      <c r="D1062" s="4">
        <v>699</v>
      </c>
      <c r="E1062" s="4">
        <v>57</v>
      </c>
      <c r="G1062">
        <f t="shared" si="16"/>
        <v>512</v>
      </c>
    </row>
    <row r="1063" spans="2:7" ht="15" hidden="1" x14ac:dyDescent="0.25">
      <c r="B1063" s="4">
        <v>584632428</v>
      </c>
      <c r="C1063" s="4" t="s">
        <v>272</v>
      </c>
      <c r="D1063" s="4">
        <v>58</v>
      </c>
      <c r="E1063" s="4">
        <v>215</v>
      </c>
      <c r="G1063">
        <f t="shared" si="16"/>
        <v>1776</v>
      </c>
    </row>
    <row r="1064" spans="2:7" ht="15" hidden="1" x14ac:dyDescent="0.25">
      <c r="B1064" s="4">
        <v>584632429</v>
      </c>
      <c r="C1064" s="4" t="s">
        <v>269</v>
      </c>
      <c r="D1064" s="4">
        <v>700</v>
      </c>
      <c r="E1064" s="4">
        <v>57</v>
      </c>
      <c r="G1064">
        <f t="shared" si="16"/>
        <v>512</v>
      </c>
    </row>
    <row r="1065" spans="2:7" ht="15" hidden="1" x14ac:dyDescent="0.25">
      <c r="B1065" s="4">
        <v>584632430</v>
      </c>
      <c r="C1065" s="4" t="s">
        <v>269</v>
      </c>
      <c r="D1065" s="4">
        <v>701</v>
      </c>
      <c r="E1065" s="4">
        <v>57</v>
      </c>
      <c r="G1065">
        <f t="shared" si="16"/>
        <v>512</v>
      </c>
    </row>
    <row r="1066" spans="2:7" ht="15" hidden="1" x14ac:dyDescent="0.25">
      <c r="B1066" s="4">
        <v>584632431</v>
      </c>
      <c r="C1066" s="4" t="s">
        <v>269</v>
      </c>
      <c r="D1066" s="4">
        <v>702</v>
      </c>
      <c r="E1066" s="4">
        <v>57</v>
      </c>
      <c r="G1066">
        <f t="shared" si="16"/>
        <v>512</v>
      </c>
    </row>
    <row r="1067" spans="2:7" ht="15" hidden="1" x14ac:dyDescent="0.25">
      <c r="B1067" s="4">
        <v>584632432</v>
      </c>
      <c r="C1067" s="4" t="s">
        <v>269</v>
      </c>
      <c r="D1067" s="4">
        <v>703</v>
      </c>
      <c r="E1067" s="4">
        <v>57</v>
      </c>
      <c r="G1067">
        <f t="shared" si="16"/>
        <v>512</v>
      </c>
    </row>
    <row r="1068" spans="2:7" ht="15" hidden="1" x14ac:dyDescent="0.25">
      <c r="B1068" s="4">
        <v>584632433</v>
      </c>
      <c r="C1068" s="4" t="s">
        <v>269</v>
      </c>
      <c r="D1068" s="4">
        <v>704</v>
      </c>
      <c r="E1068" s="4">
        <v>57</v>
      </c>
      <c r="G1068">
        <f t="shared" si="16"/>
        <v>512</v>
      </c>
    </row>
    <row r="1069" spans="2:7" ht="15" hidden="1" x14ac:dyDescent="0.25">
      <c r="B1069" s="4">
        <v>584632434</v>
      </c>
      <c r="C1069" s="4" t="s">
        <v>269</v>
      </c>
      <c r="D1069" s="4">
        <v>705</v>
      </c>
      <c r="E1069" s="4">
        <v>57</v>
      </c>
      <c r="G1069">
        <f t="shared" si="16"/>
        <v>512</v>
      </c>
    </row>
    <row r="1070" spans="2:7" ht="15" hidden="1" x14ac:dyDescent="0.25">
      <c r="B1070" s="4">
        <v>584632435</v>
      </c>
      <c r="C1070" s="4" t="s">
        <v>269</v>
      </c>
      <c r="D1070" s="4">
        <v>706</v>
      </c>
      <c r="E1070" s="4">
        <v>57</v>
      </c>
      <c r="G1070">
        <f t="shared" si="16"/>
        <v>512</v>
      </c>
    </row>
    <row r="1071" spans="2:7" ht="15" hidden="1" x14ac:dyDescent="0.25">
      <c r="B1071" s="4">
        <v>584632436</v>
      </c>
      <c r="C1071" s="4" t="s">
        <v>269</v>
      </c>
      <c r="D1071" s="4">
        <v>707</v>
      </c>
      <c r="E1071" s="4">
        <v>57</v>
      </c>
      <c r="G1071">
        <f t="shared" si="16"/>
        <v>512</v>
      </c>
    </row>
    <row r="1072" spans="2:7" ht="15" hidden="1" x14ac:dyDescent="0.25">
      <c r="B1072" s="4">
        <v>584632437</v>
      </c>
      <c r="C1072" s="4" t="s">
        <v>269</v>
      </c>
      <c r="D1072" s="4">
        <v>708</v>
      </c>
      <c r="E1072" s="4">
        <v>57</v>
      </c>
      <c r="G1072">
        <f t="shared" si="16"/>
        <v>512</v>
      </c>
    </row>
    <row r="1073" spans="1:7" ht="15" hidden="1" x14ac:dyDescent="0.25">
      <c r="B1073" s="4">
        <v>584632438</v>
      </c>
      <c r="C1073" s="4" t="s">
        <v>269</v>
      </c>
      <c r="D1073" s="4">
        <v>709</v>
      </c>
      <c r="E1073" s="4">
        <v>57</v>
      </c>
      <c r="G1073">
        <f t="shared" si="16"/>
        <v>512</v>
      </c>
    </row>
    <row r="1074" spans="1:7" ht="15" hidden="1" x14ac:dyDescent="0.25">
      <c r="B1074" s="4">
        <v>584632438</v>
      </c>
      <c r="C1074" s="4" t="s">
        <v>272</v>
      </c>
      <c r="D1074" s="4">
        <v>59</v>
      </c>
      <c r="E1074" s="4">
        <v>209</v>
      </c>
      <c r="G1074">
        <f t="shared" si="16"/>
        <v>1728</v>
      </c>
    </row>
    <row r="1075" spans="1:7" ht="15" hidden="1" x14ac:dyDescent="0.25">
      <c r="B1075" s="4">
        <v>584632439</v>
      </c>
      <c r="C1075" s="4" t="s">
        <v>269</v>
      </c>
      <c r="D1075" s="4">
        <v>710</v>
      </c>
      <c r="E1075" s="4">
        <v>57</v>
      </c>
      <c r="G1075">
        <f t="shared" si="16"/>
        <v>512</v>
      </c>
    </row>
    <row r="1076" spans="1:7" ht="15" hidden="1" x14ac:dyDescent="0.25">
      <c r="B1076" s="4">
        <v>584632440</v>
      </c>
      <c r="C1076" s="4" t="s">
        <v>269</v>
      </c>
      <c r="D1076" s="4">
        <v>711</v>
      </c>
      <c r="E1076" s="4">
        <v>57</v>
      </c>
      <c r="G1076">
        <f t="shared" si="16"/>
        <v>512</v>
      </c>
    </row>
    <row r="1077" spans="1:7" ht="15" hidden="1" x14ac:dyDescent="0.25">
      <c r="B1077" s="4">
        <v>584632441</v>
      </c>
      <c r="C1077" s="4" t="s">
        <v>269</v>
      </c>
      <c r="D1077" s="4">
        <v>712</v>
      </c>
      <c r="E1077" s="4">
        <v>57</v>
      </c>
      <c r="G1077">
        <f t="shared" si="16"/>
        <v>512</v>
      </c>
    </row>
    <row r="1078" spans="1:7" ht="15" hidden="1" x14ac:dyDescent="0.25">
      <c r="B1078" s="4">
        <v>584632442</v>
      </c>
      <c r="C1078" s="4" t="s">
        <v>269</v>
      </c>
      <c r="D1078" s="4">
        <v>713</v>
      </c>
      <c r="E1078" s="4">
        <v>57</v>
      </c>
      <c r="G1078">
        <f t="shared" si="16"/>
        <v>512</v>
      </c>
    </row>
    <row r="1079" spans="1:7" ht="15" hidden="1" x14ac:dyDescent="0.25">
      <c r="B1079" s="4">
        <v>584632443</v>
      </c>
      <c r="C1079" s="4" t="s">
        <v>269</v>
      </c>
      <c r="D1079" s="4">
        <v>714</v>
      </c>
      <c r="E1079" s="4">
        <v>57</v>
      </c>
      <c r="G1079">
        <f t="shared" si="16"/>
        <v>512</v>
      </c>
    </row>
    <row r="1080" spans="1:7" ht="15" hidden="1" x14ac:dyDescent="0.25">
      <c r="B1080" s="4">
        <v>584632444</v>
      </c>
      <c r="C1080" s="4" t="s">
        <v>269</v>
      </c>
      <c r="D1080" s="4">
        <v>715</v>
      </c>
      <c r="E1080" s="4">
        <v>57</v>
      </c>
      <c r="G1080">
        <f t="shared" si="16"/>
        <v>512</v>
      </c>
    </row>
    <row r="1081" spans="1:7" ht="15" hidden="1" x14ac:dyDescent="0.25">
      <c r="B1081" s="4">
        <v>584632445</v>
      </c>
      <c r="C1081" s="4" t="s">
        <v>269</v>
      </c>
      <c r="D1081" s="4">
        <v>716</v>
      </c>
      <c r="E1081" s="4">
        <v>57</v>
      </c>
      <c r="G1081">
        <f t="shared" si="16"/>
        <v>512</v>
      </c>
    </row>
    <row r="1082" spans="1:7" ht="15" hidden="1" x14ac:dyDescent="0.25">
      <c r="B1082" s="4">
        <v>584632446</v>
      </c>
      <c r="C1082" s="4" t="s">
        <v>269</v>
      </c>
      <c r="D1082" s="4">
        <v>717</v>
      </c>
      <c r="E1082" s="4">
        <v>57</v>
      </c>
      <c r="G1082">
        <f t="shared" si="16"/>
        <v>512</v>
      </c>
    </row>
    <row r="1083" spans="1:7" ht="15" hidden="1" x14ac:dyDescent="0.25">
      <c r="B1083" s="4">
        <v>584632447</v>
      </c>
      <c r="C1083" s="4" t="s">
        <v>269</v>
      </c>
      <c r="D1083" s="4">
        <v>718</v>
      </c>
      <c r="E1083" s="4">
        <v>57</v>
      </c>
      <c r="G1083">
        <f t="shared" si="16"/>
        <v>512</v>
      </c>
    </row>
    <row r="1084" spans="1:7" ht="15" hidden="1" x14ac:dyDescent="0.25">
      <c r="B1084" s="4">
        <v>584632448</v>
      </c>
      <c r="C1084" s="4" t="s">
        <v>269</v>
      </c>
      <c r="D1084" s="4">
        <v>719</v>
      </c>
      <c r="E1084" s="4">
        <v>57</v>
      </c>
      <c r="G1084">
        <f t="shared" si="16"/>
        <v>512</v>
      </c>
    </row>
    <row r="1085" spans="1:7" ht="15" x14ac:dyDescent="0.25">
      <c r="A1085">
        <f>B1085-B875</f>
        <v>148</v>
      </c>
      <c r="B1085" s="4">
        <v>584632448</v>
      </c>
      <c r="C1085" s="4" t="s">
        <v>270</v>
      </c>
      <c r="D1085" s="4">
        <v>2</v>
      </c>
      <c r="E1085" s="4">
        <v>1100</v>
      </c>
      <c r="G1085">
        <f t="shared" si="16"/>
        <v>8856</v>
      </c>
    </row>
    <row r="1086" spans="1:7" ht="15" x14ac:dyDescent="0.25">
      <c r="A1086">
        <f>B1086-B876</f>
        <v>148</v>
      </c>
      <c r="B1086" s="4">
        <v>584632448</v>
      </c>
      <c r="C1086" s="4" t="s">
        <v>271</v>
      </c>
      <c r="D1086" s="4">
        <v>2</v>
      </c>
      <c r="E1086" s="4">
        <v>1100</v>
      </c>
      <c r="G1086">
        <f t="shared" si="16"/>
        <v>8856</v>
      </c>
    </row>
    <row r="1087" spans="1:7" ht="15" hidden="1" x14ac:dyDescent="0.25">
      <c r="B1087" s="4">
        <v>584632449</v>
      </c>
      <c r="C1087" s="4" t="s">
        <v>269</v>
      </c>
      <c r="D1087" s="4">
        <v>720</v>
      </c>
      <c r="E1087" s="4">
        <v>57</v>
      </c>
      <c r="G1087">
        <f t="shared" si="16"/>
        <v>512</v>
      </c>
    </row>
    <row r="1088" spans="1:7" ht="15" hidden="1" x14ac:dyDescent="0.25">
      <c r="B1088" s="4">
        <v>584632449</v>
      </c>
      <c r="C1088" s="4" t="s">
        <v>272</v>
      </c>
      <c r="D1088" s="4">
        <v>60</v>
      </c>
      <c r="E1088" s="4">
        <v>209</v>
      </c>
      <c r="G1088">
        <f t="shared" si="16"/>
        <v>1728</v>
      </c>
    </row>
    <row r="1089" spans="2:7" ht="15" hidden="1" x14ac:dyDescent="0.25">
      <c r="B1089" s="4">
        <v>584632450</v>
      </c>
      <c r="C1089" s="4" t="s">
        <v>269</v>
      </c>
      <c r="D1089" s="4">
        <v>721</v>
      </c>
      <c r="E1089" s="4">
        <v>57</v>
      </c>
      <c r="G1089">
        <f t="shared" si="16"/>
        <v>512</v>
      </c>
    </row>
    <row r="1090" spans="2:7" ht="15" hidden="1" x14ac:dyDescent="0.25">
      <c r="B1090" s="4">
        <v>584632451</v>
      </c>
      <c r="C1090" s="4" t="s">
        <v>269</v>
      </c>
      <c r="D1090" s="4">
        <v>722</v>
      </c>
      <c r="E1090" s="4">
        <v>57</v>
      </c>
      <c r="G1090">
        <f t="shared" si="16"/>
        <v>512</v>
      </c>
    </row>
    <row r="1091" spans="2:7" ht="15" hidden="1" x14ac:dyDescent="0.25">
      <c r="B1091" s="4">
        <v>584632452</v>
      </c>
      <c r="C1091" s="4" t="s">
        <v>269</v>
      </c>
      <c r="D1091" s="4">
        <v>723</v>
      </c>
      <c r="E1091" s="4">
        <v>57</v>
      </c>
      <c r="G1091">
        <f t="shared" si="16"/>
        <v>512</v>
      </c>
    </row>
    <row r="1092" spans="2:7" ht="15" hidden="1" x14ac:dyDescent="0.25">
      <c r="B1092" s="4">
        <v>584632453</v>
      </c>
      <c r="C1092" s="4" t="s">
        <v>269</v>
      </c>
      <c r="D1092" s="4">
        <v>724</v>
      </c>
      <c r="E1092" s="4">
        <v>57</v>
      </c>
      <c r="G1092">
        <f t="shared" ref="G1092:G1155" si="17">(E1092+7)*8</f>
        <v>512</v>
      </c>
    </row>
    <row r="1093" spans="2:7" ht="15" hidden="1" x14ac:dyDescent="0.25">
      <c r="B1093" s="4">
        <v>584632454</v>
      </c>
      <c r="C1093" s="4" t="s">
        <v>269</v>
      </c>
      <c r="D1093" s="4">
        <v>725</v>
      </c>
      <c r="E1093" s="4">
        <v>57</v>
      </c>
      <c r="G1093">
        <f t="shared" si="17"/>
        <v>512</v>
      </c>
    </row>
    <row r="1094" spans="2:7" ht="15" hidden="1" x14ac:dyDescent="0.25">
      <c r="B1094" s="4">
        <v>584632455</v>
      </c>
      <c r="C1094" s="4" t="s">
        <v>269</v>
      </c>
      <c r="D1094" s="4">
        <v>726</v>
      </c>
      <c r="E1094" s="4">
        <v>57</v>
      </c>
      <c r="G1094">
        <f t="shared" si="17"/>
        <v>512</v>
      </c>
    </row>
    <row r="1095" spans="2:7" ht="15" hidden="1" x14ac:dyDescent="0.25">
      <c r="B1095" s="4">
        <v>584632456</v>
      </c>
      <c r="C1095" s="4" t="s">
        <v>269</v>
      </c>
      <c r="D1095" s="4">
        <v>727</v>
      </c>
      <c r="E1095" s="4">
        <v>57</v>
      </c>
      <c r="G1095">
        <f t="shared" si="17"/>
        <v>512</v>
      </c>
    </row>
    <row r="1096" spans="2:7" ht="15" hidden="1" x14ac:dyDescent="0.25">
      <c r="B1096" s="4">
        <v>584632457</v>
      </c>
      <c r="C1096" s="4" t="s">
        <v>269</v>
      </c>
      <c r="D1096" s="4">
        <v>728</v>
      </c>
      <c r="E1096" s="4">
        <v>57</v>
      </c>
      <c r="G1096">
        <f t="shared" si="17"/>
        <v>512</v>
      </c>
    </row>
    <row r="1097" spans="2:7" ht="15" hidden="1" x14ac:dyDescent="0.25">
      <c r="B1097" s="4">
        <v>584632458</v>
      </c>
      <c r="C1097" s="4" t="s">
        <v>269</v>
      </c>
      <c r="D1097" s="4">
        <v>729</v>
      </c>
      <c r="E1097" s="4">
        <v>57</v>
      </c>
      <c r="G1097">
        <f t="shared" si="17"/>
        <v>512</v>
      </c>
    </row>
    <row r="1098" spans="2:7" ht="15" hidden="1" x14ac:dyDescent="0.25">
      <c r="B1098" s="4">
        <v>584632458</v>
      </c>
      <c r="C1098" s="4" t="s">
        <v>272</v>
      </c>
      <c r="D1098" s="4">
        <v>61</v>
      </c>
      <c r="E1098" s="4">
        <v>211</v>
      </c>
      <c r="G1098">
        <f t="shared" si="17"/>
        <v>1744</v>
      </c>
    </row>
    <row r="1099" spans="2:7" ht="15" hidden="1" x14ac:dyDescent="0.25">
      <c r="B1099" s="4">
        <v>584632459</v>
      </c>
      <c r="C1099" s="4" t="s">
        <v>269</v>
      </c>
      <c r="D1099" s="4">
        <v>730</v>
      </c>
      <c r="E1099" s="4">
        <v>57</v>
      </c>
      <c r="G1099">
        <f t="shared" si="17"/>
        <v>512</v>
      </c>
    </row>
    <row r="1100" spans="2:7" ht="15" hidden="1" x14ac:dyDescent="0.25">
      <c r="B1100" s="4">
        <v>584632460</v>
      </c>
      <c r="C1100" s="4" t="s">
        <v>269</v>
      </c>
      <c r="D1100" s="4">
        <v>731</v>
      </c>
      <c r="E1100" s="4">
        <v>57</v>
      </c>
      <c r="G1100">
        <f t="shared" si="17"/>
        <v>512</v>
      </c>
    </row>
    <row r="1101" spans="2:7" ht="15" hidden="1" x14ac:dyDescent="0.25">
      <c r="B1101" s="4">
        <v>584632461</v>
      </c>
      <c r="C1101" s="4" t="s">
        <v>269</v>
      </c>
      <c r="D1101" s="4">
        <v>732</v>
      </c>
      <c r="E1101" s="4">
        <v>57</v>
      </c>
      <c r="G1101">
        <f t="shared" si="17"/>
        <v>512</v>
      </c>
    </row>
    <row r="1102" spans="2:7" ht="15" hidden="1" x14ac:dyDescent="0.25">
      <c r="B1102" s="4">
        <v>584632462</v>
      </c>
      <c r="C1102" s="4" t="s">
        <v>269</v>
      </c>
      <c r="D1102" s="4">
        <v>733</v>
      </c>
      <c r="E1102" s="4">
        <v>57</v>
      </c>
      <c r="G1102">
        <f t="shared" si="17"/>
        <v>512</v>
      </c>
    </row>
    <row r="1103" spans="2:7" ht="15" hidden="1" x14ac:dyDescent="0.25">
      <c r="B1103" s="4">
        <v>584632463</v>
      </c>
      <c r="C1103" s="4" t="s">
        <v>269</v>
      </c>
      <c r="D1103" s="4">
        <v>734</v>
      </c>
      <c r="E1103" s="4">
        <v>57</v>
      </c>
      <c r="G1103">
        <f t="shared" si="17"/>
        <v>512</v>
      </c>
    </row>
    <row r="1104" spans="2:7" ht="15" hidden="1" x14ac:dyDescent="0.25">
      <c r="B1104" s="4">
        <v>584632464</v>
      </c>
      <c r="C1104" s="4" t="s">
        <v>269</v>
      </c>
      <c r="D1104" s="4">
        <v>735</v>
      </c>
      <c r="E1104" s="4">
        <v>57</v>
      </c>
      <c r="G1104">
        <f t="shared" si="17"/>
        <v>512</v>
      </c>
    </row>
    <row r="1105" spans="2:7" ht="15" hidden="1" x14ac:dyDescent="0.25">
      <c r="B1105" s="4">
        <v>584632465</v>
      </c>
      <c r="C1105" s="4" t="s">
        <v>269</v>
      </c>
      <c r="D1105" s="4">
        <v>736</v>
      </c>
      <c r="E1105" s="4">
        <v>57</v>
      </c>
      <c r="G1105">
        <f t="shared" si="17"/>
        <v>512</v>
      </c>
    </row>
    <row r="1106" spans="2:7" ht="15" hidden="1" x14ac:dyDescent="0.25">
      <c r="B1106" s="4">
        <v>584632466</v>
      </c>
      <c r="C1106" s="4" t="s">
        <v>269</v>
      </c>
      <c r="D1106" s="4">
        <v>737</v>
      </c>
      <c r="E1106" s="4">
        <v>57</v>
      </c>
      <c r="G1106">
        <f t="shared" si="17"/>
        <v>512</v>
      </c>
    </row>
    <row r="1107" spans="2:7" ht="15" hidden="1" x14ac:dyDescent="0.25">
      <c r="B1107" s="4">
        <v>584632467</v>
      </c>
      <c r="C1107" s="4" t="s">
        <v>269</v>
      </c>
      <c r="D1107" s="4">
        <v>738</v>
      </c>
      <c r="E1107" s="4">
        <v>57</v>
      </c>
      <c r="G1107">
        <f t="shared" si="17"/>
        <v>512</v>
      </c>
    </row>
    <row r="1108" spans="2:7" ht="15" hidden="1" x14ac:dyDescent="0.25">
      <c r="B1108" s="4">
        <v>584632468</v>
      </c>
      <c r="C1108" s="4" t="s">
        <v>269</v>
      </c>
      <c r="D1108" s="4">
        <v>739</v>
      </c>
      <c r="E1108" s="4">
        <v>57</v>
      </c>
      <c r="G1108">
        <f t="shared" si="17"/>
        <v>512</v>
      </c>
    </row>
    <row r="1109" spans="2:7" ht="15" hidden="1" x14ac:dyDescent="0.25">
      <c r="B1109" s="4">
        <v>584632468</v>
      </c>
      <c r="C1109" s="4" t="s">
        <v>272</v>
      </c>
      <c r="D1109" s="4">
        <v>62</v>
      </c>
      <c r="E1109" s="4">
        <v>209</v>
      </c>
      <c r="G1109">
        <f t="shared" si="17"/>
        <v>1728</v>
      </c>
    </row>
    <row r="1110" spans="2:7" ht="15" hidden="1" x14ac:dyDescent="0.25">
      <c r="B1110" s="4">
        <v>584632469</v>
      </c>
      <c r="C1110" s="4" t="s">
        <v>269</v>
      </c>
      <c r="D1110" s="4">
        <v>740</v>
      </c>
      <c r="E1110" s="4">
        <v>57</v>
      </c>
      <c r="G1110">
        <f t="shared" si="17"/>
        <v>512</v>
      </c>
    </row>
    <row r="1111" spans="2:7" ht="15" hidden="1" x14ac:dyDescent="0.25">
      <c r="B1111" s="4">
        <v>584632470</v>
      </c>
      <c r="C1111" s="4" t="s">
        <v>269</v>
      </c>
      <c r="D1111" s="4">
        <v>741</v>
      </c>
      <c r="E1111" s="4">
        <v>57</v>
      </c>
      <c r="G1111">
        <f t="shared" si="17"/>
        <v>512</v>
      </c>
    </row>
    <row r="1112" spans="2:7" ht="15" hidden="1" x14ac:dyDescent="0.25">
      <c r="B1112" s="4">
        <v>584632471</v>
      </c>
      <c r="C1112" s="4" t="s">
        <v>269</v>
      </c>
      <c r="D1112" s="4">
        <v>742</v>
      </c>
      <c r="E1112" s="4">
        <v>57</v>
      </c>
      <c r="G1112">
        <f t="shared" si="17"/>
        <v>512</v>
      </c>
    </row>
    <row r="1113" spans="2:7" ht="15" hidden="1" x14ac:dyDescent="0.25">
      <c r="B1113" s="4">
        <v>584632472</v>
      </c>
      <c r="C1113" s="4" t="s">
        <v>269</v>
      </c>
      <c r="D1113" s="4">
        <v>743</v>
      </c>
      <c r="E1113" s="4">
        <v>57</v>
      </c>
      <c r="G1113">
        <f t="shared" si="17"/>
        <v>512</v>
      </c>
    </row>
    <row r="1114" spans="2:7" ht="15" hidden="1" x14ac:dyDescent="0.25">
      <c r="B1114" s="4">
        <v>584632473</v>
      </c>
      <c r="C1114" s="4" t="s">
        <v>269</v>
      </c>
      <c r="D1114" s="4">
        <v>744</v>
      </c>
      <c r="E1114" s="4">
        <v>57</v>
      </c>
      <c r="G1114">
        <f t="shared" si="17"/>
        <v>512</v>
      </c>
    </row>
    <row r="1115" spans="2:7" ht="15" hidden="1" x14ac:dyDescent="0.25">
      <c r="B1115" s="4">
        <v>584632474</v>
      </c>
      <c r="C1115" s="4" t="s">
        <v>269</v>
      </c>
      <c r="D1115" s="4">
        <v>745</v>
      </c>
      <c r="E1115" s="4">
        <v>57</v>
      </c>
      <c r="G1115">
        <f t="shared" si="17"/>
        <v>512</v>
      </c>
    </row>
    <row r="1116" spans="2:7" ht="15" hidden="1" x14ac:dyDescent="0.25">
      <c r="B1116" s="4">
        <v>584632475</v>
      </c>
      <c r="C1116" s="4" t="s">
        <v>269</v>
      </c>
      <c r="D1116" s="4">
        <v>746</v>
      </c>
      <c r="E1116" s="4">
        <v>57</v>
      </c>
      <c r="G1116">
        <f t="shared" si="17"/>
        <v>512</v>
      </c>
    </row>
    <row r="1117" spans="2:7" ht="15" hidden="1" x14ac:dyDescent="0.25">
      <c r="B1117" s="4">
        <v>584632476</v>
      </c>
      <c r="C1117" s="4" t="s">
        <v>269</v>
      </c>
      <c r="D1117" s="4">
        <v>747</v>
      </c>
      <c r="E1117" s="4">
        <v>57</v>
      </c>
      <c r="G1117">
        <f t="shared" si="17"/>
        <v>512</v>
      </c>
    </row>
    <row r="1118" spans="2:7" ht="15" hidden="1" x14ac:dyDescent="0.25">
      <c r="B1118" s="4">
        <v>584632477</v>
      </c>
      <c r="C1118" s="4" t="s">
        <v>269</v>
      </c>
      <c r="D1118" s="4">
        <v>748</v>
      </c>
      <c r="E1118" s="4">
        <v>57</v>
      </c>
      <c r="G1118">
        <f t="shared" si="17"/>
        <v>512</v>
      </c>
    </row>
    <row r="1119" spans="2:7" ht="15" hidden="1" x14ac:dyDescent="0.25">
      <c r="B1119" s="4">
        <v>584632478</v>
      </c>
      <c r="C1119" s="4" t="s">
        <v>269</v>
      </c>
      <c r="D1119" s="4">
        <v>749</v>
      </c>
      <c r="E1119" s="4">
        <v>57</v>
      </c>
      <c r="G1119">
        <f t="shared" si="17"/>
        <v>512</v>
      </c>
    </row>
    <row r="1120" spans="2:7" ht="15" hidden="1" x14ac:dyDescent="0.25">
      <c r="B1120" s="4">
        <v>584632478</v>
      </c>
      <c r="C1120" s="4" t="s">
        <v>272</v>
      </c>
      <c r="D1120" s="4">
        <v>63</v>
      </c>
      <c r="E1120" s="4">
        <v>211</v>
      </c>
      <c r="G1120">
        <f t="shared" si="17"/>
        <v>1744</v>
      </c>
    </row>
    <row r="1121" spans="2:7" ht="15" hidden="1" x14ac:dyDescent="0.25">
      <c r="B1121" s="4">
        <v>584632479</v>
      </c>
      <c r="C1121" s="4" t="s">
        <v>269</v>
      </c>
      <c r="D1121" s="4">
        <v>750</v>
      </c>
      <c r="E1121" s="4">
        <v>57</v>
      </c>
      <c r="G1121">
        <f t="shared" si="17"/>
        <v>512</v>
      </c>
    </row>
    <row r="1122" spans="2:7" ht="15" hidden="1" x14ac:dyDescent="0.25">
      <c r="B1122" s="4">
        <v>584632480</v>
      </c>
      <c r="C1122" s="4" t="s">
        <v>269</v>
      </c>
      <c r="D1122" s="4">
        <v>751</v>
      </c>
      <c r="E1122" s="4">
        <v>57</v>
      </c>
      <c r="G1122">
        <f t="shared" si="17"/>
        <v>512</v>
      </c>
    </row>
    <row r="1123" spans="2:7" ht="15" hidden="1" x14ac:dyDescent="0.25">
      <c r="B1123" s="4">
        <v>584632481</v>
      </c>
      <c r="C1123" s="4" t="s">
        <v>269</v>
      </c>
      <c r="D1123" s="4">
        <v>752</v>
      </c>
      <c r="E1123" s="4">
        <v>57</v>
      </c>
      <c r="G1123">
        <f t="shared" si="17"/>
        <v>512</v>
      </c>
    </row>
    <row r="1124" spans="2:7" ht="15" hidden="1" x14ac:dyDescent="0.25">
      <c r="B1124" s="4">
        <v>584632482</v>
      </c>
      <c r="C1124" s="4" t="s">
        <v>269</v>
      </c>
      <c r="D1124" s="4">
        <v>753</v>
      </c>
      <c r="E1124" s="4">
        <v>57</v>
      </c>
      <c r="G1124">
        <f t="shared" si="17"/>
        <v>512</v>
      </c>
    </row>
    <row r="1125" spans="2:7" ht="15" hidden="1" x14ac:dyDescent="0.25">
      <c r="B1125" s="4">
        <v>584632483</v>
      </c>
      <c r="C1125" s="4" t="s">
        <v>269</v>
      </c>
      <c r="D1125" s="4">
        <v>754</v>
      </c>
      <c r="E1125" s="4">
        <v>57</v>
      </c>
      <c r="G1125">
        <f t="shared" si="17"/>
        <v>512</v>
      </c>
    </row>
    <row r="1126" spans="2:7" ht="15" hidden="1" x14ac:dyDescent="0.25">
      <c r="B1126" s="4">
        <v>584632484</v>
      </c>
      <c r="C1126" s="4" t="s">
        <v>269</v>
      </c>
      <c r="D1126" s="4">
        <v>755</v>
      </c>
      <c r="E1126" s="4">
        <v>57</v>
      </c>
      <c r="G1126">
        <f t="shared" si="17"/>
        <v>512</v>
      </c>
    </row>
    <row r="1127" spans="2:7" ht="15" hidden="1" x14ac:dyDescent="0.25">
      <c r="B1127" s="4">
        <v>584632485</v>
      </c>
      <c r="C1127" s="4" t="s">
        <v>269</v>
      </c>
      <c r="D1127" s="4">
        <v>756</v>
      </c>
      <c r="E1127" s="4">
        <v>57</v>
      </c>
      <c r="G1127">
        <f t="shared" si="17"/>
        <v>512</v>
      </c>
    </row>
    <row r="1128" spans="2:7" ht="15" hidden="1" x14ac:dyDescent="0.25">
      <c r="B1128" s="4">
        <v>584632486</v>
      </c>
      <c r="C1128" s="4" t="s">
        <v>269</v>
      </c>
      <c r="D1128" s="4">
        <v>757</v>
      </c>
      <c r="E1128" s="4">
        <v>57</v>
      </c>
      <c r="G1128">
        <f t="shared" si="17"/>
        <v>512</v>
      </c>
    </row>
    <row r="1129" spans="2:7" ht="15" hidden="1" x14ac:dyDescent="0.25">
      <c r="B1129" s="4">
        <v>584632487</v>
      </c>
      <c r="C1129" s="4" t="s">
        <v>269</v>
      </c>
      <c r="D1129" s="4">
        <v>758</v>
      </c>
      <c r="E1129" s="4">
        <v>57</v>
      </c>
      <c r="G1129">
        <f t="shared" si="17"/>
        <v>512</v>
      </c>
    </row>
    <row r="1130" spans="2:7" ht="15" hidden="1" x14ac:dyDescent="0.25">
      <c r="B1130" s="4">
        <v>584632488</v>
      </c>
      <c r="C1130" s="4" t="s">
        <v>269</v>
      </c>
      <c r="D1130" s="4">
        <v>759</v>
      </c>
      <c r="E1130" s="4">
        <v>57</v>
      </c>
      <c r="G1130">
        <f t="shared" si="17"/>
        <v>512</v>
      </c>
    </row>
    <row r="1131" spans="2:7" ht="15" hidden="1" x14ac:dyDescent="0.25">
      <c r="B1131" s="4">
        <v>584632488</v>
      </c>
      <c r="C1131" s="4" t="s">
        <v>272</v>
      </c>
      <c r="D1131" s="4">
        <v>64</v>
      </c>
      <c r="E1131" s="4">
        <v>211</v>
      </c>
      <c r="G1131">
        <f t="shared" si="17"/>
        <v>1744</v>
      </c>
    </row>
    <row r="1132" spans="2:7" ht="15" hidden="1" x14ac:dyDescent="0.25">
      <c r="B1132" s="4">
        <v>584632489</v>
      </c>
      <c r="C1132" s="4" t="s">
        <v>269</v>
      </c>
      <c r="D1132" s="4">
        <v>760</v>
      </c>
      <c r="E1132" s="4">
        <v>57</v>
      </c>
      <c r="G1132">
        <f t="shared" si="17"/>
        <v>512</v>
      </c>
    </row>
    <row r="1133" spans="2:7" ht="15" hidden="1" x14ac:dyDescent="0.25">
      <c r="B1133" s="4">
        <v>584632490</v>
      </c>
      <c r="C1133" s="4" t="s">
        <v>269</v>
      </c>
      <c r="D1133" s="4">
        <v>761</v>
      </c>
      <c r="E1133" s="4">
        <v>57</v>
      </c>
      <c r="G1133">
        <f t="shared" si="17"/>
        <v>512</v>
      </c>
    </row>
    <row r="1134" spans="2:7" ht="15" hidden="1" x14ac:dyDescent="0.25">
      <c r="B1134" s="4">
        <v>584632491</v>
      </c>
      <c r="C1134" s="4" t="s">
        <v>269</v>
      </c>
      <c r="D1134" s="4">
        <v>762</v>
      </c>
      <c r="E1134" s="4">
        <v>57</v>
      </c>
      <c r="G1134">
        <f t="shared" si="17"/>
        <v>512</v>
      </c>
    </row>
    <row r="1135" spans="2:7" ht="15" hidden="1" x14ac:dyDescent="0.25">
      <c r="B1135" s="4">
        <v>584632492</v>
      </c>
      <c r="C1135" s="4" t="s">
        <v>269</v>
      </c>
      <c r="D1135" s="4">
        <v>763</v>
      </c>
      <c r="E1135" s="4">
        <v>57</v>
      </c>
      <c r="G1135">
        <f t="shared" si="17"/>
        <v>512</v>
      </c>
    </row>
    <row r="1136" spans="2:7" ht="15" hidden="1" x14ac:dyDescent="0.25">
      <c r="B1136" s="4">
        <v>584632493</v>
      </c>
      <c r="C1136" s="4" t="s">
        <v>269</v>
      </c>
      <c r="D1136" s="4">
        <v>764</v>
      </c>
      <c r="E1136" s="4">
        <v>57</v>
      </c>
      <c r="G1136">
        <f t="shared" si="17"/>
        <v>512</v>
      </c>
    </row>
    <row r="1137" spans="2:7" ht="15" hidden="1" x14ac:dyDescent="0.25">
      <c r="B1137" s="4">
        <v>584632494</v>
      </c>
      <c r="C1137" s="4" t="s">
        <v>269</v>
      </c>
      <c r="D1137" s="4">
        <v>765</v>
      </c>
      <c r="E1137" s="4">
        <v>57</v>
      </c>
      <c r="G1137">
        <f t="shared" si="17"/>
        <v>512</v>
      </c>
    </row>
    <row r="1138" spans="2:7" ht="15" hidden="1" x14ac:dyDescent="0.25">
      <c r="B1138" s="4">
        <v>584632495</v>
      </c>
      <c r="C1138" s="4" t="s">
        <v>269</v>
      </c>
      <c r="D1138" s="4">
        <v>766</v>
      </c>
      <c r="E1138" s="4">
        <v>57</v>
      </c>
      <c r="G1138">
        <f t="shared" si="17"/>
        <v>512</v>
      </c>
    </row>
    <row r="1139" spans="2:7" ht="15" hidden="1" x14ac:dyDescent="0.25">
      <c r="B1139" s="4">
        <v>584632496</v>
      </c>
      <c r="C1139" s="4" t="s">
        <v>269</v>
      </c>
      <c r="D1139" s="4">
        <v>767</v>
      </c>
      <c r="E1139" s="4">
        <v>57</v>
      </c>
      <c r="G1139">
        <f t="shared" si="17"/>
        <v>512</v>
      </c>
    </row>
    <row r="1140" spans="2:7" ht="15" hidden="1" x14ac:dyDescent="0.25">
      <c r="B1140" s="4">
        <v>584632497</v>
      </c>
      <c r="C1140" s="4" t="s">
        <v>269</v>
      </c>
      <c r="D1140" s="4">
        <v>768</v>
      </c>
      <c r="E1140" s="4">
        <v>57</v>
      </c>
      <c r="G1140">
        <f t="shared" si="17"/>
        <v>512</v>
      </c>
    </row>
    <row r="1141" spans="2:7" ht="15" hidden="1" x14ac:dyDescent="0.25">
      <c r="B1141" s="4">
        <v>584632498</v>
      </c>
      <c r="C1141" s="4" t="s">
        <v>269</v>
      </c>
      <c r="D1141" s="4">
        <v>769</v>
      </c>
      <c r="E1141" s="4">
        <v>57</v>
      </c>
      <c r="G1141">
        <f t="shared" si="17"/>
        <v>512</v>
      </c>
    </row>
    <row r="1142" spans="2:7" ht="15" hidden="1" x14ac:dyDescent="0.25">
      <c r="B1142" s="4">
        <v>584632498</v>
      </c>
      <c r="C1142" s="4" t="s">
        <v>272</v>
      </c>
      <c r="D1142" s="4">
        <v>65</v>
      </c>
      <c r="E1142" s="4">
        <v>213</v>
      </c>
      <c r="G1142">
        <f t="shared" si="17"/>
        <v>1760</v>
      </c>
    </row>
    <row r="1143" spans="2:7" ht="15" hidden="1" x14ac:dyDescent="0.25">
      <c r="B1143" s="4">
        <v>584632499</v>
      </c>
      <c r="C1143" s="4" t="s">
        <v>269</v>
      </c>
      <c r="D1143" s="4">
        <v>770</v>
      </c>
      <c r="E1143" s="4">
        <v>57</v>
      </c>
      <c r="G1143">
        <f t="shared" si="17"/>
        <v>512</v>
      </c>
    </row>
    <row r="1144" spans="2:7" ht="15" hidden="1" x14ac:dyDescent="0.25">
      <c r="B1144" s="4">
        <v>584632500</v>
      </c>
      <c r="C1144" s="4" t="s">
        <v>269</v>
      </c>
      <c r="D1144" s="4">
        <v>771</v>
      </c>
      <c r="E1144" s="4">
        <v>57</v>
      </c>
      <c r="G1144">
        <f t="shared" si="17"/>
        <v>512</v>
      </c>
    </row>
    <row r="1145" spans="2:7" ht="15" hidden="1" x14ac:dyDescent="0.25">
      <c r="B1145" s="4">
        <v>584632501</v>
      </c>
      <c r="C1145" s="4" t="s">
        <v>269</v>
      </c>
      <c r="D1145" s="4">
        <v>772</v>
      </c>
      <c r="E1145" s="4">
        <v>57</v>
      </c>
      <c r="G1145">
        <f t="shared" si="17"/>
        <v>512</v>
      </c>
    </row>
    <row r="1146" spans="2:7" ht="15" hidden="1" x14ac:dyDescent="0.25">
      <c r="B1146" s="4">
        <v>584632502</v>
      </c>
      <c r="C1146" s="4" t="s">
        <v>269</v>
      </c>
      <c r="D1146" s="4">
        <v>773</v>
      </c>
      <c r="E1146" s="4">
        <v>57</v>
      </c>
      <c r="G1146">
        <f t="shared" si="17"/>
        <v>512</v>
      </c>
    </row>
    <row r="1147" spans="2:7" ht="15" hidden="1" x14ac:dyDescent="0.25">
      <c r="B1147" s="4">
        <v>584632503</v>
      </c>
      <c r="C1147" s="4" t="s">
        <v>269</v>
      </c>
      <c r="D1147" s="4">
        <v>774</v>
      </c>
      <c r="E1147" s="4">
        <v>57</v>
      </c>
      <c r="G1147">
        <f t="shared" si="17"/>
        <v>512</v>
      </c>
    </row>
    <row r="1148" spans="2:7" ht="15" hidden="1" x14ac:dyDescent="0.25">
      <c r="B1148" s="4">
        <v>584632504</v>
      </c>
      <c r="C1148" s="4" t="s">
        <v>269</v>
      </c>
      <c r="D1148" s="4">
        <v>775</v>
      </c>
      <c r="E1148" s="4">
        <v>57</v>
      </c>
      <c r="G1148">
        <f t="shared" si="17"/>
        <v>512</v>
      </c>
    </row>
    <row r="1149" spans="2:7" ht="15" hidden="1" x14ac:dyDescent="0.25">
      <c r="B1149" s="4">
        <v>584632505</v>
      </c>
      <c r="C1149" s="4" t="s">
        <v>269</v>
      </c>
      <c r="D1149" s="4">
        <v>776</v>
      </c>
      <c r="E1149" s="4">
        <v>57</v>
      </c>
      <c r="G1149">
        <f t="shared" si="17"/>
        <v>512</v>
      </c>
    </row>
    <row r="1150" spans="2:7" ht="15" hidden="1" x14ac:dyDescent="0.25">
      <c r="B1150" s="4">
        <v>584632506</v>
      </c>
      <c r="C1150" s="4" t="s">
        <v>269</v>
      </c>
      <c r="D1150" s="4">
        <v>777</v>
      </c>
      <c r="E1150" s="4">
        <v>57</v>
      </c>
      <c r="G1150">
        <f t="shared" si="17"/>
        <v>512</v>
      </c>
    </row>
    <row r="1151" spans="2:7" ht="15" hidden="1" x14ac:dyDescent="0.25">
      <c r="B1151" s="4">
        <v>584632507</v>
      </c>
      <c r="C1151" s="4" t="s">
        <v>269</v>
      </c>
      <c r="D1151" s="4">
        <v>778</v>
      </c>
      <c r="E1151" s="4">
        <v>57</v>
      </c>
      <c r="G1151">
        <f t="shared" si="17"/>
        <v>512</v>
      </c>
    </row>
    <row r="1152" spans="2:7" ht="15" hidden="1" x14ac:dyDescent="0.25">
      <c r="B1152" s="4">
        <v>584632508</v>
      </c>
      <c r="C1152" s="4" t="s">
        <v>269</v>
      </c>
      <c r="D1152" s="4">
        <v>779</v>
      </c>
      <c r="E1152" s="4">
        <v>57</v>
      </c>
      <c r="G1152">
        <f t="shared" si="17"/>
        <v>512</v>
      </c>
    </row>
    <row r="1153" spans="2:7" ht="15" hidden="1" x14ac:dyDescent="0.25">
      <c r="B1153" s="4">
        <v>584632508</v>
      </c>
      <c r="C1153" s="4" t="s">
        <v>272</v>
      </c>
      <c r="D1153" s="4">
        <v>66</v>
      </c>
      <c r="E1153" s="4">
        <v>211</v>
      </c>
      <c r="G1153">
        <f t="shared" si="17"/>
        <v>1744</v>
      </c>
    </row>
    <row r="1154" spans="2:7" ht="15" hidden="1" x14ac:dyDescent="0.25">
      <c r="B1154" s="4">
        <v>584632509</v>
      </c>
      <c r="C1154" s="4" t="s">
        <v>269</v>
      </c>
      <c r="D1154" s="4">
        <v>780</v>
      </c>
      <c r="E1154" s="4">
        <v>57</v>
      </c>
      <c r="G1154">
        <f t="shared" si="17"/>
        <v>512</v>
      </c>
    </row>
    <row r="1155" spans="2:7" ht="15" hidden="1" x14ac:dyDescent="0.25">
      <c r="B1155" s="4">
        <v>584632510</v>
      </c>
      <c r="C1155" s="4" t="s">
        <v>269</v>
      </c>
      <c r="D1155" s="4">
        <v>781</v>
      </c>
      <c r="E1155" s="4">
        <v>57</v>
      </c>
      <c r="G1155">
        <f t="shared" si="17"/>
        <v>512</v>
      </c>
    </row>
    <row r="1156" spans="2:7" ht="15" hidden="1" x14ac:dyDescent="0.25">
      <c r="B1156" s="4">
        <v>584632511</v>
      </c>
      <c r="C1156" s="4" t="s">
        <v>269</v>
      </c>
      <c r="D1156" s="4">
        <v>782</v>
      </c>
      <c r="E1156" s="4">
        <v>57</v>
      </c>
      <c r="G1156">
        <f t="shared" ref="G1156:G1219" si="18">(E1156+7)*8</f>
        <v>512</v>
      </c>
    </row>
    <row r="1157" spans="2:7" ht="15" hidden="1" x14ac:dyDescent="0.25">
      <c r="B1157" s="4">
        <v>584632512</v>
      </c>
      <c r="C1157" s="4" t="s">
        <v>269</v>
      </c>
      <c r="D1157" s="4">
        <v>783</v>
      </c>
      <c r="E1157" s="4">
        <v>57</v>
      </c>
      <c r="G1157">
        <f t="shared" si="18"/>
        <v>512</v>
      </c>
    </row>
    <row r="1158" spans="2:7" ht="15" hidden="1" x14ac:dyDescent="0.25">
      <c r="B1158" s="4">
        <v>584632513</v>
      </c>
      <c r="C1158" s="4" t="s">
        <v>269</v>
      </c>
      <c r="D1158" s="4">
        <v>784</v>
      </c>
      <c r="E1158" s="4">
        <v>57</v>
      </c>
      <c r="G1158">
        <f t="shared" si="18"/>
        <v>512</v>
      </c>
    </row>
    <row r="1159" spans="2:7" ht="15" hidden="1" x14ac:dyDescent="0.25">
      <c r="B1159" s="4">
        <v>584632514</v>
      </c>
      <c r="C1159" s="4" t="s">
        <v>269</v>
      </c>
      <c r="D1159" s="4">
        <v>785</v>
      </c>
      <c r="E1159" s="4">
        <v>57</v>
      </c>
      <c r="G1159">
        <f t="shared" si="18"/>
        <v>512</v>
      </c>
    </row>
    <row r="1160" spans="2:7" ht="15" hidden="1" x14ac:dyDescent="0.25">
      <c r="B1160" s="4">
        <v>584632515</v>
      </c>
      <c r="C1160" s="4" t="s">
        <v>269</v>
      </c>
      <c r="D1160" s="4">
        <v>786</v>
      </c>
      <c r="E1160" s="4">
        <v>57</v>
      </c>
      <c r="G1160">
        <f t="shared" si="18"/>
        <v>512</v>
      </c>
    </row>
    <row r="1161" spans="2:7" ht="15" hidden="1" x14ac:dyDescent="0.25">
      <c r="B1161" s="4">
        <v>584632516</v>
      </c>
      <c r="C1161" s="4" t="s">
        <v>269</v>
      </c>
      <c r="D1161" s="4">
        <v>787</v>
      </c>
      <c r="E1161" s="4">
        <v>57</v>
      </c>
      <c r="G1161">
        <f t="shared" si="18"/>
        <v>512</v>
      </c>
    </row>
    <row r="1162" spans="2:7" ht="15" hidden="1" x14ac:dyDescent="0.25">
      <c r="B1162" s="4">
        <v>584632517</v>
      </c>
      <c r="C1162" s="4" t="s">
        <v>269</v>
      </c>
      <c r="D1162" s="4">
        <v>788</v>
      </c>
      <c r="E1162" s="4">
        <v>57</v>
      </c>
      <c r="G1162">
        <f t="shared" si="18"/>
        <v>512</v>
      </c>
    </row>
    <row r="1163" spans="2:7" ht="15" hidden="1" x14ac:dyDescent="0.25">
      <c r="B1163" s="4">
        <v>584632518</v>
      </c>
      <c r="C1163" s="4" t="s">
        <v>269</v>
      </c>
      <c r="D1163" s="4">
        <v>789</v>
      </c>
      <c r="E1163" s="4">
        <v>57</v>
      </c>
      <c r="G1163">
        <f t="shared" si="18"/>
        <v>512</v>
      </c>
    </row>
    <row r="1164" spans="2:7" ht="15" hidden="1" x14ac:dyDescent="0.25">
      <c r="B1164" s="4">
        <v>584632518</v>
      </c>
      <c r="C1164" s="4" t="s">
        <v>272</v>
      </c>
      <c r="D1164" s="4">
        <v>67</v>
      </c>
      <c r="E1164" s="4">
        <v>207</v>
      </c>
      <c r="G1164">
        <f t="shared" si="18"/>
        <v>1712</v>
      </c>
    </row>
    <row r="1165" spans="2:7" ht="15" hidden="1" x14ac:dyDescent="0.25">
      <c r="B1165" s="4">
        <v>584632519</v>
      </c>
      <c r="C1165" s="4" t="s">
        <v>269</v>
      </c>
      <c r="D1165" s="4">
        <v>790</v>
      </c>
      <c r="E1165" s="4">
        <v>57</v>
      </c>
      <c r="G1165">
        <f t="shared" si="18"/>
        <v>512</v>
      </c>
    </row>
    <row r="1166" spans="2:7" ht="15" hidden="1" x14ac:dyDescent="0.25">
      <c r="B1166" s="4">
        <v>584632520</v>
      </c>
      <c r="C1166" s="4" t="s">
        <v>269</v>
      </c>
      <c r="D1166" s="4">
        <v>791</v>
      </c>
      <c r="E1166" s="4">
        <v>57</v>
      </c>
      <c r="G1166">
        <f t="shared" si="18"/>
        <v>512</v>
      </c>
    </row>
    <row r="1167" spans="2:7" ht="15" hidden="1" x14ac:dyDescent="0.25">
      <c r="B1167" s="4">
        <v>584632521</v>
      </c>
      <c r="C1167" s="4" t="s">
        <v>269</v>
      </c>
      <c r="D1167" s="4">
        <v>792</v>
      </c>
      <c r="E1167" s="4">
        <v>57</v>
      </c>
      <c r="G1167">
        <f t="shared" si="18"/>
        <v>512</v>
      </c>
    </row>
    <row r="1168" spans="2:7" ht="15" hidden="1" x14ac:dyDescent="0.25">
      <c r="B1168" s="4">
        <v>584632522</v>
      </c>
      <c r="C1168" s="4" t="s">
        <v>269</v>
      </c>
      <c r="D1168" s="4">
        <v>793</v>
      </c>
      <c r="E1168" s="4">
        <v>57</v>
      </c>
      <c r="G1168">
        <f t="shared" si="18"/>
        <v>512</v>
      </c>
    </row>
    <row r="1169" spans="2:7" ht="15" hidden="1" x14ac:dyDescent="0.25">
      <c r="B1169" s="4">
        <v>584632523</v>
      </c>
      <c r="C1169" s="4" t="s">
        <v>269</v>
      </c>
      <c r="D1169" s="4">
        <v>794</v>
      </c>
      <c r="E1169" s="4">
        <v>57</v>
      </c>
      <c r="G1169">
        <f t="shared" si="18"/>
        <v>512</v>
      </c>
    </row>
    <row r="1170" spans="2:7" ht="15" hidden="1" x14ac:dyDescent="0.25">
      <c r="B1170" s="4">
        <v>584632524</v>
      </c>
      <c r="C1170" s="4" t="s">
        <v>269</v>
      </c>
      <c r="D1170" s="4">
        <v>795</v>
      </c>
      <c r="E1170" s="4">
        <v>57</v>
      </c>
      <c r="G1170">
        <f t="shared" si="18"/>
        <v>512</v>
      </c>
    </row>
    <row r="1171" spans="2:7" ht="15" hidden="1" x14ac:dyDescent="0.25">
      <c r="B1171" s="4">
        <v>584632525</v>
      </c>
      <c r="C1171" s="4" t="s">
        <v>269</v>
      </c>
      <c r="D1171" s="4">
        <v>796</v>
      </c>
      <c r="E1171" s="4">
        <v>57</v>
      </c>
      <c r="G1171">
        <f t="shared" si="18"/>
        <v>512</v>
      </c>
    </row>
    <row r="1172" spans="2:7" ht="15" hidden="1" x14ac:dyDescent="0.25">
      <c r="B1172" s="4">
        <v>584632526</v>
      </c>
      <c r="C1172" s="4" t="s">
        <v>268</v>
      </c>
      <c r="D1172" s="4">
        <v>226</v>
      </c>
      <c r="E1172" s="4">
        <v>6</v>
      </c>
      <c r="G1172">
        <f t="shared" si="18"/>
        <v>104</v>
      </c>
    </row>
    <row r="1173" spans="2:7" ht="15" hidden="1" x14ac:dyDescent="0.25">
      <c r="B1173" s="4">
        <v>584632526</v>
      </c>
      <c r="C1173" s="4" t="s">
        <v>268</v>
      </c>
      <c r="D1173" s="4">
        <v>226</v>
      </c>
      <c r="E1173" s="4">
        <v>6</v>
      </c>
      <c r="G1173">
        <f t="shared" si="18"/>
        <v>104</v>
      </c>
    </row>
    <row r="1174" spans="2:7" ht="15" hidden="1" x14ac:dyDescent="0.25">
      <c r="B1174" s="4">
        <v>584632526</v>
      </c>
      <c r="C1174" s="4" t="s">
        <v>268</v>
      </c>
      <c r="D1174" s="4">
        <v>227</v>
      </c>
      <c r="E1174" s="4">
        <v>9</v>
      </c>
      <c r="G1174">
        <f t="shared" si="18"/>
        <v>128</v>
      </c>
    </row>
    <row r="1175" spans="2:7" ht="15" hidden="1" x14ac:dyDescent="0.25">
      <c r="B1175" s="4">
        <v>584632526</v>
      </c>
      <c r="C1175" s="4" t="s">
        <v>268</v>
      </c>
      <c r="D1175" s="4">
        <v>227</v>
      </c>
      <c r="E1175" s="4">
        <v>9</v>
      </c>
      <c r="G1175">
        <f t="shared" si="18"/>
        <v>128</v>
      </c>
    </row>
    <row r="1176" spans="2:7" ht="15" hidden="1" x14ac:dyDescent="0.25">
      <c r="B1176" s="4">
        <v>584632526</v>
      </c>
      <c r="C1176" s="4" t="s">
        <v>268</v>
      </c>
      <c r="D1176" s="4">
        <v>228</v>
      </c>
      <c r="E1176" s="4">
        <v>7</v>
      </c>
      <c r="G1176">
        <f t="shared" si="18"/>
        <v>112</v>
      </c>
    </row>
    <row r="1177" spans="2:7" ht="15" hidden="1" x14ac:dyDescent="0.25">
      <c r="B1177" s="4">
        <v>584632526</v>
      </c>
      <c r="C1177" s="4" t="s">
        <v>268</v>
      </c>
      <c r="D1177" s="4">
        <v>228</v>
      </c>
      <c r="E1177" s="4">
        <v>7</v>
      </c>
      <c r="G1177">
        <f t="shared" si="18"/>
        <v>112</v>
      </c>
    </row>
    <row r="1178" spans="2:7" ht="15" hidden="1" x14ac:dyDescent="0.25">
      <c r="B1178" s="4">
        <v>584632526</v>
      </c>
      <c r="C1178" s="4" t="s">
        <v>268</v>
      </c>
      <c r="D1178" s="4">
        <v>229</v>
      </c>
      <c r="E1178" s="4">
        <v>7</v>
      </c>
      <c r="G1178">
        <f t="shared" si="18"/>
        <v>112</v>
      </c>
    </row>
    <row r="1179" spans="2:7" ht="15" hidden="1" x14ac:dyDescent="0.25">
      <c r="B1179" s="4">
        <v>584632526</v>
      </c>
      <c r="C1179" s="4" t="s">
        <v>268</v>
      </c>
      <c r="D1179" s="4">
        <v>229</v>
      </c>
      <c r="E1179" s="4">
        <v>7</v>
      </c>
      <c r="G1179">
        <f t="shared" si="18"/>
        <v>112</v>
      </c>
    </row>
    <row r="1180" spans="2:7" ht="15" hidden="1" x14ac:dyDescent="0.25">
      <c r="B1180" s="4">
        <v>584632526</v>
      </c>
      <c r="C1180" s="4" t="s">
        <v>268</v>
      </c>
      <c r="D1180" s="4">
        <v>230</v>
      </c>
      <c r="E1180" s="4">
        <v>7</v>
      </c>
      <c r="G1180">
        <f t="shared" si="18"/>
        <v>112</v>
      </c>
    </row>
    <row r="1181" spans="2:7" ht="15" hidden="1" x14ac:dyDescent="0.25">
      <c r="B1181" s="4">
        <v>584632526</v>
      </c>
      <c r="C1181" s="4" t="s">
        <v>268</v>
      </c>
      <c r="D1181" s="4">
        <v>230</v>
      </c>
      <c r="E1181" s="4">
        <v>7</v>
      </c>
      <c r="G1181">
        <f t="shared" si="18"/>
        <v>112</v>
      </c>
    </row>
    <row r="1182" spans="2:7" ht="15" hidden="1" x14ac:dyDescent="0.25">
      <c r="B1182" s="4">
        <v>584632526</v>
      </c>
      <c r="C1182" s="4" t="s">
        <v>269</v>
      </c>
      <c r="D1182" s="4">
        <v>797</v>
      </c>
      <c r="E1182" s="4">
        <v>57</v>
      </c>
      <c r="G1182">
        <f t="shared" si="18"/>
        <v>512</v>
      </c>
    </row>
    <row r="1183" spans="2:7" ht="15" hidden="1" x14ac:dyDescent="0.25">
      <c r="B1183" s="4">
        <v>584632527</v>
      </c>
      <c r="C1183" s="4" t="s">
        <v>269</v>
      </c>
      <c r="D1183" s="4">
        <v>798</v>
      </c>
      <c r="E1183" s="4">
        <v>57</v>
      </c>
      <c r="G1183">
        <f t="shared" si="18"/>
        <v>512</v>
      </c>
    </row>
    <row r="1184" spans="2:7" ht="15" hidden="1" x14ac:dyDescent="0.25">
      <c r="B1184" s="4">
        <v>584632528</v>
      </c>
      <c r="C1184" s="4" t="s">
        <v>268</v>
      </c>
      <c r="D1184" s="4">
        <v>231</v>
      </c>
      <c r="E1184" s="4">
        <v>7</v>
      </c>
      <c r="G1184">
        <f t="shared" si="18"/>
        <v>112</v>
      </c>
    </row>
    <row r="1185" spans="2:7" ht="15" hidden="1" x14ac:dyDescent="0.25">
      <c r="B1185" s="4">
        <v>584632528</v>
      </c>
      <c r="C1185" s="4" t="s">
        <v>268</v>
      </c>
      <c r="D1185" s="4">
        <v>231</v>
      </c>
      <c r="E1185" s="4">
        <v>7</v>
      </c>
      <c r="G1185">
        <f t="shared" si="18"/>
        <v>112</v>
      </c>
    </row>
    <row r="1186" spans="2:7" ht="15" hidden="1" x14ac:dyDescent="0.25">
      <c r="B1186" s="4">
        <v>584632528</v>
      </c>
      <c r="C1186" s="4" t="s">
        <v>268</v>
      </c>
      <c r="D1186" s="4">
        <v>232</v>
      </c>
      <c r="E1186" s="4">
        <v>5</v>
      </c>
      <c r="G1186">
        <f t="shared" si="18"/>
        <v>96</v>
      </c>
    </row>
    <row r="1187" spans="2:7" ht="15" hidden="1" x14ac:dyDescent="0.25">
      <c r="B1187" s="4">
        <v>584632528</v>
      </c>
      <c r="C1187" s="4" t="s">
        <v>268</v>
      </c>
      <c r="D1187" s="4">
        <v>232</v>
      </c>
      <c r="E1187" s="4">
        <v>5</v>
      </c>
      <c r="G1187">
        <f t="shared" si="18"/>
        <v>96</v>
      </c>
    </row>
    <row r="1188" spans="2:7" ht="15" hidden="1" x14ac:dyDescent="0.25">
      <c r="B1188" s="4">
        <v>584632528</v>
      </c>
      <c r="C1188" s="4" t="s">
        <v>268</v>
      </c>
      <c r="D1188" s="4">
        <v>233</v>
      </c>
      <c r="E1188" s="4">
        <v>7</v>
      </c>
      <c r="G1188">
        <f t="shared" si="18"/>
        <v>112</v>
      </c>
    </row>
    <row r="1189" spans="2:7" ht="15" hidden="1" x14ac:dyDescent="0.25">
      <c r="B1189" s="4">
        <v>584632528</v>
      </c>
      <c r="C1189" s="4" t="s">
        <v>268</v>
      </c>
      <c r="D1189" s="4">
        <v>233</v>
      </c>
      <c r="E1189" s="4">
        <v>7</v>
      </c>
      <c r="G1189">
        <f t="shared" si="18"/>
        <v>112</v>
      </c>
    </row>
    <row r="1190" spans="2:7" ht="15" hidden="1" x14ac:dyDescent="0.25">
      <c r="B1190" s="4">
        <v>584632528</v>
      </c>
      <c r="C1190" s="4" t="s">
        <v>269</v>
      </c>
      <c r="D1190" s="4">
        <v>799</v>
      </c>
      <c r="E1190" s="4">
        <v>57</v>
      </c>
      <c r="G1190">
        <f t="shared" si="18"/>
        <v>512</v>
      </c>
    </row>
    <row r="1191" spans="2:7" ht="15" hidden="1" x14ac:dyDescent="0.25">
      <c r="B1191" s="4">
        <v>584632528</v>
      </c>
      <c r="C1191" s="4" t="s">
        <v>272</v>
      </c>
      <c r="D1191" s="4">
        <v>68</v>
      </c>
      <c r="E1191" s="4">
        <v>211</v>
      </c>
      <c r="G1191">
        <f t="shared" si="18"/>
        <v>1744</v>
      </c>
    </row>
    <row r="1192" spans="2:7" ht="15" hidden="1" x14ac:dyDescent="0.25">
      <c r="B1192" s="4">
        <v>584632529</v>
      </c>
      <c r="C1192" s="4" t="s">
        <v>269</v>
      </c>
      <c r="D1192" s="4">
        <v>800</v>
      </c>
      <c r="E1192" s="4">
        <v>57</v>
      </c>
      <c r="G1192">
        <f t="shared" si="18"/>
        <v>512</v>
      </c>
    </row>
    <row r="1193" spans="2:7" ht="15" hidden="1" x14ac:dyDescent="0.25">
      <c r="B1193" s="4">
        <v>584632530</v>
      </c>
      <c r="C1193" s="4" t="s">
        <v>269</v>
      </c>
      <c r="D1193" s="4">
        <v>801</v>
      </c>
      <c r="E1193" s="4">
        <v>57</v>
      </c>
      <c r="G1193">
        <f t="shared" si="18"/>
        <v>512</v>
      </c>
    </row>
    <row r="1194" spans="2:7" ht="15" hidden="1" x14ac:dyDescent="0.25">
      <c r="B1194" s="4">
        <v>584632531</v>
      </c>
      <c r="C1194" s="4" t="s">
        <v>269</v>
      </c>
      <c r="D1194" s="4">
        <v>802</v>
      </c>
      <c r="E1194" s="4">
        <v>57</v>
      </c>
      <c r="G1194">
        <f t="shared" si="18"/>
        <v>512</v>
      </c>
    </row>
    <row r="1195" spans="2:7" ht="15" hidden="1" x14ac:dyDescent="0.25">
      <c r="B1195" s="4">
        <v>584632532</v>
      </c>
      <c r="C1195" s="4" t="s">
        <v>269</v>
      </c>
      <c r="D1195" s="4">
        <v>803</v>
      </c>
      <c r="E1195" s="4">
        <v>57</v>
      </c>
      <c r="G1195">
        <f t="shared" si="18"/>
        <v>512</v>
      </c>
    </row>
    <row r="1196" spans="2:7" ht="15" hidden="1" x14ac:dyDescent="0.25">
      <c r="B1196" s="4">
        <v>584632533</v>
      </c>
      <c r="C1196" s="4" t="s">
        <v>269</v>
      </c>
      <c r="D1196" s="4">
        <v>804</v>
      </c>
      <c r="E1196" s="4">
        <v>57</v>
      </c>
      <c r="G1196">
        <f t="shared" si="18"/>
        <v>512</v>
      </c>
    </row>
    <row r="1197" spans="2:7" ht="15" hidden="1" x14ac:dyDescent="0.25">
      <c r="B1197" s="4">
        <v>584632534</v>
      </c>
      <c r="C1197" s="4" t="s">
        <v>269</v>
      </c>
      <c r="D1197" s="4">
        <v>805</v>
      </c>
      <c r="E1197" s="4">
        <v>57</v>
      </c>
      <c r="G1197">
        <f t="shared" si="18"/>
        <v>512</v>
      </c>
    </row>
    <row r="1198" spans="2:7" ht="15" hidden="1" x14ac:dyDescent="0.25">
      <c r="B1198" s="4">
        <v>584632535</v>
      </c>
      <c r="C1198" s="4" t="s">
        <v>269</v>
      </c>
      <c r="D1198" s="4">
        <v>806</v>
      </c>
      <c r="E1198" s="4">
        <v>57</v>
      </c>
      <c r="G1198">
        <f t="shared" si="18"/>
        <v>512</v>
      </c>
    </row>
    <row r="1199" spans="2:7" ht="15" hidden="1" x14ac:dyDescent="0.25">
      <c r="B1199" s="4">
        <v>584632536</v>
      </c>
      <c r="C1199" s="4" t="s">
        <v>269</v>
      </c>
      <c r="D1199" s="4">
        <v>807</v>
      </c>
      <c r="E1199" s="4">
        <v>57</v>
      </c>
      <c r="G1199">
        <f t="shared" si="18"/>
        <v>512</v>
      </c>
    </row>
    <row r="1200" spans="2:7" ht="15" hidden="1" x14ac:dyDescent="0.25">
      <c r="B1200" s="4">
        <v>584632537</v>
      </c>
      <c r="C1200" s="4" t="s">
        <v>269</v>
      </c>
      <c r="D1200" s="4">
        <v>808</v>
      </c>
      <c r="E1200" s="4">
        <v>57</v>
      </c>
      <c r="G1200">
        <f t="shared" si="18"/>
        <v>512</v>
      </c>
    </row>
    <row r="1201" spans="2:7" ht="15" hidden="1" x14ac:dyDescent="0.25">
      <c r="B1201" s="4">
        <v>584632538</v>
      </c>
      <c r="C1201" s="4" t="s">
        <v>269</v>
      </c>
      <c r="D1201" s="4">
        <v>809</v>
      </c>
      <c r="E1201" s="4">
        <v>57</v>
      </c>
      <c r="G1201">
        <f t="shared" si="18"/>
        <v>512</v>
      </c>
    </row>
    <row r="1202" spans="2:7" ht="15" hidden="1" x14ac:dyDescent="0.25">
      <c r="B1202" s="4">
        <v>584632538</v>
      </c>
      <c r="C1202" s="4" t="s">
        <v>272</v>
      </c>
      <c r="D1202" s="4">
        <v>69</v>
      </c>
      <c r="E1202" s="4">
        <v>207</v>
      </c>
      <c r="G1202">
        <f t="shared" si="18"/>
        <v>1712</v>
      </c>
    </row>
    <row r="1203" spans="2:7" ht="15" hidden="1" x14ac:dyDescent="0.25">
      <c r="B1203" s="4">
        <v>584632539</v>
      </c>
      <c r="C1203" s="4" t="s">
        <v>269</v>
      </c>
      <c r="D1203" s="4">
        <v>810</v>
      </c>
      <c r="E1203" s="4">
        <v>57</v>
      </c>
      <c r="G1203">
        <f t="shared" si="18"/>
        <v>512</v>
      </c>
    </row>
    <row r="1204" spans="2:7" ht="15" hidden="1" x14ac:dyDescent="0.25">
      <c r="B1204" s="4">
        <v>584632540</v>
      </c>
      <c r="C1204" s="4" t="s">
        <v>269</v>
      </c>
      <c r="D1204" s="4">
        <v>811</v>
      </c>
      <c r="E1204" s="4">
        <v>57</v>
      </c>
      <c r="G1204">
        <f t="shared" si="18"/>
        <v>512</v>
      </c>
    </row>
    <row r="1205" spans="2:7" ht="15" hidden="1" x14ac:dyDescent="0.25">
      <c r="B1205" s="4">
        <v>584632541</v>
      </c>
      <c r="C1205" s="4" t="s">
        <v>269</v>
      </c>
      <c r="D1205" s="4">
        <v>812</v>
      </c>
      <c r="E1205" s="4">
        <v>57</v>
      </c>
      <c r="G1205">
        <f t="shared" si="18"/>
        <v>512</v>
      </c>
    </row>
    <row r="1206" spans="2:7" ht="15" hidden="1" x14ac:dyDescent="0.25">
      <c r="B1206" s="4">
        <v>584632542</v>
      </c>
      <c r="C1206" s="4" t="s">
        <v>269</v>
      </c>
      <c r="D1206" s="4">
        <v>813</v>
      </c>
      <c r="E1206" s="4">
        <v>57</v>
      </c>
      <c r="G1206">
        <f t="shared" si="18"/>
        <v>512</v>
      </c>
    </row>
    <row r="1207" spans="2:7" ht="15" hidden="1" x14ac:dyDescent="0.25">
      <c r="B1207" s="4">
        <v>584632543</v>
      </c>
      <c r="C1207" s="4" t="s">
        <v>269</v>
      </c>
      <c r="D1207" s="4">
        <v>814</v>
      </c>
      <c r="E1207" s="4">
        <v>57</v>
      </c>
      <c r="G1207">
        <f t="shared" si="18"/>
        <v>512</v>
      </c>
    </row>
    <row r="1208" spans="2:7" ht="15" hidden="1" x14ac:dyDescent="0.25">
      <c r="B1208" s="4">
        <v>584632544</v>
      </c>
      <c r="C1208" s="4" t="s">
        <v>269</v>
      </c>
      <c r="D1208" s="4">
        <v>815</v>
      </c>
      <c r="E1208" s="4">
        <v>57</v>
      </c>
      <c r="G1208">
        <f t="shared" si="18"/>
        <v>512</v>
      </c>
    </row>
    <row r="1209" spans="2:7" ht="15" hidden="1" x14ac:dyDescent="0.25">
      <c r="B1209" s="4">
        <v>584632545</v>
      </c>
      <c r="C1209" s="4" t="s">
        <v>269</v>
      </c>
      <c r="D1209" s="4">
        <v>816</v>
      </c>
      <c r="E1209" s="4">
        <v>57</v>
      </c>
      <c r="G1209">
        <f t="shared" si="18"/>
        <v>512</v>
      </c>
    </row>
    <row r="1210" spans="2:7" ht="15" hidden="1" x14ac:dyDescent="0.25">
      <c r="B1210" s="4">
        <v>584632546</v>
      </c>
      <c r="C1210" s="4" t="s">
        <v>269</v>
      </c>
      <c r="D1210" s="4">
        <v>817</v>
      </c>
      <c r="E1210" s="4">
        <v>57</v>
      </c>
      <c r="G1210">
        <f t="shared" si="18"/>
        <v>512</v>
      </c>
    </row>
    <row r="1211" spans="2:7" ht="15" hidden="1" x14ac:dyDescent="0.25">
      <c r="B1211" s="4">
        <v>584632547</v>
      </c>
      <c r="C1211" s="4" t="s">
        <v>269</v>
      </c>
      <c r="D1211" s="4">
        <v>818</v>
      </c>
      <c r="E1211" s="4">
        <v>57</v>
      </c>
      <c r="G1211">
        <f t="shared" si="18"/>
        <v>512</v>
      </c>
    </row>
    <row r="1212" spans="2:7" ht="15" hidden="1" x14ac:dyDescent="0.25">
      <c r="B1212" s="4">
        <v>584632548</v>
      </c>
      <c r="C1212" s="4" t="s">
        <v>269</v>
      </c>
      <c r="D1212" s="4">
        <v>819</v>
      </c>
      <c r="E1212" s="4">
        <v>57</v>
      </c>
      <c r="G1212">
        <f t="shared" si="18"/>
        <v>512</v>
      </c>
    </row>
    <row r="1213" spans="2:7" ht="15" hidden="1" x14ac:dyDescent="0.25">
      <c r="B1213" s="4">
        <v>584632548</v>
      </c>
      <c r="C1213" s="4" t="s">
        <v>272</v>
      </c>
      <c r="D1213" s="4">
        <v>70</v>
      </c>
      <c r="E1213" s="4">
        <v>211</v>
      </c>
      <c r="G1213">
        <f t="shared" si="18"/>
        <v>1744</v>
      </c>
    </row>
    <row r="1214" spans="2:7" ht="15" hidden="1" x14ac:dyDescent="0.25">
      <c r="B1214" s="4">
        <v>584632549</v>
      </c>
      <c r="C1214" s="4" t="s">
        <v>269</v>
      </c>
      <c r="D1214" s="4">
        <v>820</v>
      </c>
      <c r="E1214" s="4">
        <v>57</v>
      </c>
      <c r="G1214">
        <f t="shared" si="18"/>
        <v>512</v>
      </c>
    </row>
    <row r="1215" spans="2:7" ht="15" hidden="1" x14ac:dyDescent="0.25">
      <c r="B1215" s="4">
        <v>584632550</v>
      </c>
      <c r="C1215" s="4" t="s">
        <v>269</v>
      </c>
      <c r="D1215" s="4">
        <v>821</v>
      </c>
      <c r="E1215" s="4">
        <v>57</v>
      </c>
      <c r="G1215">
        <f t="shared" si="18"/>
        <v>512</v>
      </c>
    </row>
    <row r="1216" spans="2:7" ht="15" hidden="1" x14ac:dyDescent="0.25">
      <c r="B1216" s="4">
        <v>584632551</v>
      </c>
      <c r="C1216" s="4" t="s">
        <v>269</v>
      </c>
      <c r="D1216" s="4">
        <v>822</v>
      </c>
      <c r="E1216" s="4">
        <v>57</v>
      </c>
      <c r="G1216">
        <f t="shared" si="18"/>
        <v>512</v>
      </c>
    </row>
    <row r="1217" spans="2:7" ht="15" hidden="1" x14ac:dyDescent="0.25">
      <c r="B1217" s="4">
        <v>584632552</v>
      </c>
      <c r="C1217" s="4" t="s">
        <v>269</v>
      </c>
      <c r="D1217" s="4">
        <v>823</v>
      </c>
      <c r="E1217" s="4">
        <v>57</v>
      </c>
      <c r="G1217">
        <f t="shared" si="18"/>
        <v>512</v>
      </c>
    </row>
    <row r="1218" spans="2:7" ht="15" hidden="1" x14ac:dyDescent="0.25">
      <c r="B1218" s="4">
        <v>584632553</v>
      </c>
      <c r="C1218" s="4" t="s">
        <v>269</v>
      </c>
      <c r="D1218" s="4">
        <v>824</v>
      </c>
      <c r="E1218" s="4">
        <v>57</v>
      </c>
      <c r="G1218">
        <f t="shared" si="18"/>
        <v>512</v>
      </c>
    </row>
    <row r="1219" spans="2:7" ht="15" hidden="1" x14ac:dyDescent="0.25">
      <c r="B1219" s="4">
        <v>584632554</v>
      </c>
      <c r="C1219" s="4" t="s">
        <v>269</v>
      </c>
      <c r="D1219" s="4">
        <v>825</v>
      </c>
      <c r="E1219" s="4">
        <v>57</v>
      </c>
      <c r="G1219">
        <f t="shared" si="18"/>
        <v>512</v>
      </c>
    </row>
    <row r="1220" spans="2:7" ht="15" hidden="1" x14ac:dyDescent="0.25">
      <c r="B1220" s="4">
        <v>584632555</v>
      </c>
      <c r="C1220" s="4" t="s">
        <v>269</v>
      </c>
      <c r="D1220" s="4">
        <v>826</v>
      </c>
      <c r="E1220" s="4">
        <v>57</v>
      </c>
      <c r="G1220">
        <f t="shared" ref="G1220:G1283" si="19">(E1220+7)*8</f>
        <v>512</v>
      </c>
    </row>
    <row r="1221" spans="2:7" ht="15" hidden="1" x14ac:dyDescent="0.25">
      <c r="B1221" s="4">
        <v>584632556</v>
      </c>
      <c r="C1221" s="4" t="s">
        <v>269</v>
      </c>
      <c r="D1221" s="4">
        <v>827</v>
      </c>
      <c r="E1221" s="4">
        <v>57</v>
      </c>
      <c r="G1221">
        <f t="shared" si="19"/>
        <v>512</v>
      </c>
    </row>
    <row r="1222" spans="2:7" ht="15" hidden="1" x14ac:dyDescent="0.25">
      <c r="B1222" s="4">
        <v>584632557</v>
      </c>
      <c r="C1222" s="4" t="s">
        <v>269</v>
      </c>
      <c r="D1222" s="4">
        <v>828</v>
      </c>
      <c r="E1222" s="4">
        <v>57</v>
      </c>
      <c r="G1222">
        <f t="shared" si="19"/>
        <v>512</v>
      </c>
    </row>
    <row r="1223" spans="2:7" ht="15" hidden="1" x14ac:dyDescent="0.25">
      <c r="B1223" s="4">
        <v>584632558</v>
      </c>
      <c r="C1223" s="4" t="s">
        <v>269</v>
      </c>
      <c r="D1223" s="4">
        <v>829</v>
      </c>
      <c r="E1223" s="4">
        <v>57</v>
      </c>
      <c r="G1223">
        <f t="shared" si="19"/>
        <v>512</v>
      </c>
    </row>
    <row r="1224" spans="2:7" ht="15" hidden="1" x14ac:dyDescent="0.25">
      <c r="B1224" s="4">
        <v>584632558</v>
      </c>
      <c r="C1224" s="4" t="s">
        <v>272</v>
      </c>
      <c r="D1224" s="4">
        <v>71</v>
      </c>
      <c r="E1224" s="4">
        <v>211</v>
      </c>
      <c r="G1224">
        <f t="shared" si="19"/>
        <v>1744</v>
      </c>
    </row>
    <row r="1225" spans="2:7" ht="15" hidden="1" x14ac:dyDescent="0.25">
      <c r="B1225" s="4">
        <v>584632559</v>
      </c>
      <c r="C1225" s="4" t="s">
        <v>269</v>
      </c>
      <c r="D1225" s="4">
        <v>830</v>
      </c>
      <c r="E1225" s="4">
        <v>57</v>
      </c>
      <c r="G1225">
        <f t="shared" si="19"/>
        <v>512</v>
      </c>
    </row>
    <row r="1226" spans="2:7" ht="15" hidden="1" x14ac:dyDescent="0.25">
      <c r="B1226" s="4">
        <v>584632560</v>
      </c>
      <c r="C1226" s="4" t="s">
        <v>269</v>
      </c>
      <c r="D1226" s="4">
        <v>831</v>
      </c>
      <c r="E1226" s="4">
        <v>57</v>
      </c>
      <c r="G1226">
        <f t="shared" si="19"/>
        <v>512</v>
      </c>
    </row>
    <row r="1227" spans="2:7" ht="15" hidden="1" x14ac:dyDescent="0.25">
      <c r="B1227" s="4">
        <v>584632561</v>
      </c>
      <c r="C1227" s="4" t="s">
        <v>269</v>
      </c>
      <c r="D1227" s="4">
        <v>832</v>
      </c>
      <c r="E1227" s="4">
        <v>57</v>
      </c>
      <c r="G1227">
        <f t="shared" si="19"/>
        <v>512</v>
      </c>
    </row>
    <row r="1228" spans="2:7" ht="15" hidden="1" x14ac:dyDescent="0.25">
      <c r="B1228" s="4">
        <v>584632562</v>
      </c>
      <c r="C1228" s="4" t="s">
        <v>269</v>
      </c>
      <c r="D1228" s="4">
        <v>833</v>
      </c>
      <c r="E1228" s="4">
        <v>57</v>
      </c>
      <c r="G1228">
        <f t="shared" si="19"/>
        <v>512</v>
      </c>
    </row>
    <row r="1229" spans="2:7" ht="15" hidden="1" x14ac:dyDescent="0.25">
      <c r="B1229" s="4">
        <v>584632563</v>
      </c>
      <c r="C1229" s="4" t="s">
        <v>269</v>
      </c>
      <c r="D1229" s="4">
        <v>834</v>
      </c>
      <c r="E1229" s="4">
        <v>57</v>
      </c>
      <c r="G1229">
        <f t="shared" si="19"/>
        <v>512</v>
      </c>
    </row>
    <row r="1230" spans="2:7" ht="15" hidden="1" x14ac:dyDescent="0.25">
      <c r="B1230" s="4">
        <v>584632564</v>
      </c>
      <c r="C1230" s="4" t="s">
        <v>269</v>
      </c>
      <c r="D1230" s="4">
        <v>835</v>
      </c>
      <c r="E1230" s="4">
        <v>57</v>
      </c>
      <c r="G1230">
        <f t="shared" si="19"/>
        <v>512</v>
      </c>
    </row>
    <row r="1231" spans="2:7" ht="15" hidden="1" x14ac:dyDescent="0.25">
      <c r="B1231" s="4">
        <v>584632565</v>
      </c>
      <c r="C1231" s="4" t="s">
        <v>269</v>
      </c>
      <c r="D1231" s="4">
        <v>836</v>
      </c>
      <c r="E1231" s="4">
        <v>57</v>
      </c>
      <c r="G1231">
        <f t="shared" si="19"/>
        <v>512</v>
      </c>
    </row>
    <row r="1232" spans="2:7" ht="15" hidden="1" x14ac:dyDescent="0.25">
      <c r="B1232" s="4">
        <v>584632566</v>
      </c>
      <c r="C1232" s="4" t="s">
        <v>269</v>
      </c>
      <c r="D1232" s="4">
        <v>837</v>
      </c>
      <c r="E1232" s="4">
        <v>57</v>
      </c>
      <c r="G1232">
        <f t="shared" si="19"/>
        <v>512</v>
      </c>
    </row>
    <row r="1233" spans="2:7" ht="15" hidden="1" x14ac:dyDescent="0.25">
      <c r="B1233" s="4">
        <v>584632567</v>
      </c>
      <c r="C1233" s="4" t="s">
        <v>269</v>
      </c>
      <c r="D1233" s="4">
        <v>838</v>
      </c>
      <c r="E1233" s="4">
        <v>57</v>
      </c>
      <c r="G1233">
        <f t="shared" si="19"/>
        <v>512</v>
      </c>
    </row>
    <row r="1234" spans="2:7" ht="15" hidden="1" x14ac:dyDescent="0.25">
      <c r="B1234" s="4">
        <v>584632568</v>
      </c>
      <c r="C1234" s="4" t="s">
        <v>269</v>
      </c>
      <c r="D1234" s="4">
        <v>839</v>
      </c>
      <c r="E1234" s="4">
        <v>57</v>
      </c>
      <c r="G1234">
        <f t="shared" si="19"/>
        <v>512</v>
      </c>
    </row>
    <row r="1235" spans="2:7" ht="15" hidden="1" x14ac:dyDescent="0.25">
      <c r="B1235" s="4">
        <v>584632568</v>
      </c>
      <c r="C1235" s="4" t="s">
        <v>272</v>
      </c>
      <c r="D1235" s="4">
        <v>72</v>
      </c>
      <c r="E1235" s="4">
        <v>209</v>
      </c>
      <c r="G1235">
        <f t="shared" si="19"/>
        <v>1728</v>
      </c>
    </row>
    <row r="1236" spans="2:7" ht="15" hidden="1" x14ac:dyDescent="0.25">
      <c r="B1236" s="4">
        <v>584632569</v>
      </c>
      <c r="C1236" s="4" t="s">
        <v>269</v>
      </c>
      <c r="D1236" s="4">
        <v>840</v>
      </c>
      <c r="E1236" s="4">
        <v>57</v>
      </c>
      <c r="G1236">
        <f t="shared" si="19"/>
        <v>512</v>
      </c>
    </row>
    <row r="1237" spans="2:7" ht="15" hidden="1" x14ac:dyDescent="0.25">
      <c r="B1237" s="4">
        <v>584632570</v>
      </c>
      <c r="C1237" s="4" t="s">
        <v>269</v>
      </c>
      <c r="D1237" s="4">
        <v>841</v>
      </c>
      <c r="E1237" s="4">
        <v>57</v>
      </c>
      <c r="G1237">
        <f t="shared" si="19"/>
        <v>512</v>
      </c>
    </row>
    <row r="1238" spans="2:7" ht="15" hidden="1" x14ac:dyDescent="0.25">
      <c r="B1238" s="4">
        <v>584632571</v>
      </c>
      <c r="C1238" s="4" t="s">
        <v>269</v>
      </c>
      <c r="D1238" s="4">
        <v>842</v>
      </c>
      <c r="E1238" s="4">
        <v>57</v>
      </c>
      <c r="G1238">
        <f t="shared" si="19"/>
        <v>512</v>
      </c>
    </row>
    <row r="1239" spans="2:7" ht="15" hidden="1" x14ac:dyDescent="0.25">
      <c r="B1239" s="4">
        <v>584632572</v>
      </c>
      <c r="C1239" s="4" t="s">
        <v>269</v>
      </c>
      <c r="D1239" s="4">
        <v>843</v>
      </c>
      <c r="E1239" s="4">
        <v>57</v>
      </c>
      <c r="G1239">
        <f t="shared" si="19"/>
        <v>512</v>
      </c>
    </row>
    <row r="1240" spans="2:7" ht="15" hidden="1" x14ac:dyDescent="0.25">
      <c r="B1240" s="4">
        <v>584632573</v>
      </c>
      <c r="C1240" s="4" t="s">
        <v>269</v>
      </c>
      <c r="D1240" s="4">
        <v>844</v>
      </c>
      <c r="E1240" s="4">
        <v>57</v>
      </c>
      <c r="G1240">
        <f t="shared" si="19"/>
        <v>512</v>
      </c>
    </row>
    <row r="1241" spans="2:7" ht="15" hidden="1" x14ac:dyDescent="0.25">
      <c r="B1241" s="4">
        <v>584632574</v>
      </c>
      <c r="C1241" s="4" t="s">
        <v>269</v>
      </c>
      <c r="D1241" s="4">
        <v>845</v>
      </c>
      <c r="E1241" s="4">
        <v>57</v>
      </c>
      <c r="G1241">
        <f t="shared" si="19"/>
        <v>512</v>
      </c>
    </row>
    <row r="1242" spans="2:7" ht="15" hidden="1" x14ac:dyDescent="0.25">
      <c r="B1242" s="4">
        <v>584632575</v>
      </c>
      <c r="C1242" s="4" t="s">
        <v>269</v>
      </c>
      <c r="D1242" s="4">
        <v>846</v>
      </c>
      <c r="E1242" s="4">
        <v>57</v>
      </c>
      <c r="G1242">
        <f t="shared" si="19"/>
        <v>512</v>
      </c>
    </row>
    <row r="1243" spans="2:7" ht="15" hidden="1" x14ac:dyDescent="0.25">
      <c r="B1243" s="4">
        <v>584632576</v>
      </c>
      <c r="C1243" s="4" t="s">
        <v>269</v>
      </c>
      <c r="D1243" s="4">
        <v>847</v>
      </c>
      <c r="E1243" s="4">
        <v>57</v>
      </c>
      <c r="G1243">
        <f t="shared" si="19"/>
        <v>512</v>
      </c>
    </row>
    <row r="1244" spans="2:7" ht="15" hidden="1" x14ac:dyDescent="0.25">
      <c r="B1244" s="4">
        <v>584632577</v>
      </c>
      <c r="C1244" s="4" t="s">
        <v>269</v>
      </c>
      <c r="D1244" s="4">
        <v>848</v>
      </c>
      <c r="E1244" s="4">
        <v>57</v>
      </c>
      <c r="G1244">
        <f t="shared" si="19"/>
        <v>512</v>
      </c>
    </row>
    <row r="1245" spans="2:7" ht="15" hidden="1" x14ac:dyDescent="0.25">
      <c r="B1245" s="4">
        <v>584632578</v>
      </c>
      <c r="C1245" s="4" t="s">
        <v>269</v>
      </c>
      <c r="D1245" s="4">
        <v>849</v>
      </c>
      <c r="E1245" s="4">
        <v>57</v>
      </c>
      <c r="G1245">
        <f t="shared" si="19"/>
        <v>512</v>
      </c>
    </row>
    <row r="1246" spans="2:7" ht="15" hidden="1" x14ac:dyDescent="0.25">
      <c r="B1246" s="4">
        <v>584632578</v>
      </c>
      <c r="C1246" s="4" t="s">
        <v>272</v>
      </c>
      <c r="D1246" s="4">
        <v>73</v>
      </c>
      <c r="E1246" s="4">
        <v>209</v>
      </c>
      <c r="G1246">
        <f t="shared" si="19"/>
        <v>1728</v>
      </c>
    </row>
    <row r="1247" spans="2:7" ht="15" hidden="1" x14ac:dyDescent="0.25">
      <c r="B1247" s="4">
        <v>584632579</v>
      </c>
      <c r="C1247" s="4" t="s">
        <v>269</v>
      </c>
      <c r="D1247" s="4">
        <v>850</v>
      </c>
      <c r="E1247" s="4">
        <v>57</v>
      </c>
      <c r="G1247">
        <f t="shared" si="19"/>
        <v>512</v>
      </c>
    </row>
    <row r="1248" spans="2:7" ht="15" hidden="1" x14ac:dyDescent="0.25">
      <c r="B1248" s="4">
        <v>584632580</v>
      </c>
      <c r="C1248" s="4" t="s">
        <v>269</v>
      </c>
      <c r="D1248" s="4">
        <v>851</v>
      </c>
      <c r="E1248" s="4">
        <v>57</v>
      </c>
      <c r="G1248">
        <f t="shared" si="19"/>
        <v>512</v>
      </c>
    </row>
    <row r="1249" spans="2:7" ht="15" hidden="1" x14ac:dyDescent="0.25">
      <c r="B1249" s="4">
        <v>584632581</v>
      </c>
      <c r="C1249" s="4" t="s">
        <v>269</v>
      </c>
      <c r="D1249" s="4">
        <v>852</v>
      </c>
      <c r="E1249" s="4">
        <v>57</v>
      </c>
      <c r="G1249">
        <f t="shared" si="19"/>
        <v>512</v>
      </c>
    </row>
    <row r="1250" spans="2:7" ht="15" hidden="1" x14ac:dyDescent="0.25">
      <c r="B1250" s="4">
        <v>584632582</v>
      </c>
      <c r="C1250" s="4" t="s">
        <v>269</v>
      </c>
      <c r="D1250" s="4">
        <v>853</v>
      </c>
      <c r="E1250" s="4">
        <v>57</v>
      </c>
      <c r="G1250">
        <f t="shared" si="19"/>
        <v>512</v>
      </c>
    </row>
    <row r="1251" spans="2:7" ht="15" hidden="1" x14ac:dyDescent="0.25">
      <c r="B1251" s="4">
        <v>584632583</v>
      </c>
      <c r="C1251" s="4" t="s">
        <v>269</v>
      </c>
      <c r="D1251" s="4">
        <v>854</v>
      </c>
      <c r="E1251" s="4">
        <v>57</v>
      </c>
      <c r="G1251">
        <f t="shared" si="19"/>
        <v>512</v>
      </c>
    </row>
    <row r="1252" spans="2:7" ht="15" hidden="1" x14ac:dyDescent="0.25">
      <c r="B1252" s="4">
        <v>584632584</v>
      </c>
      <c r="C1252" s="4" t="s">
        <v>269</v>
      </c>
      <c r="D1252" s="4">
        <v>855</v>
      </c>
      <c r="E1252" s="4">
        <v>57</v>
      </c>
      <c r="G1252">
        <f t="shared" si="19"/>
        <v>512</v>
      </c>
    </row>
    <row r="1253" spans="2:7" ht="15" hidden="1" x14ac:dyDescent="0.25">
      <c r="B1253" s="4">
        <v>584632585</v>
      </c>
      <c r="C1253" s="4" t="s">
        <v>269</v>
      </c>
      <c r="D1253" s="4">
        <v>856</v>
      </c>
      <c r="E1253" s="4">
        <v>57</v>
      </c>
      <c r="G1253">
        <f t="shared" si="19"/>
        <v>512</v>
      </c>
    </row>
    <row r="1254" spans="2:7" ht="15" hidden="1" x14ac:dyDescent="0.25">
      <c r="B1254" s="4">
        <v>584632586</v>
      </c>
      <c r="C1254" s="4" t="s">
        <v>269</v>
      </c>
      <c r="D1254" s="4">
        <v>857</v>
      </c>
      <c r="E1254" s="4">
        <v>57</v>
      </c>
      <c r="G1254">
        <f t="shared" si="19"/>
        <v>512</v>
      </c>
    </row>
    <row r="1255" spans="2:7" ht="15" hidden="1" x14ac:dyDescent="0.25">
      <c r="B1255" s="4">
        <v>584632587</v>
      </c>
      <c r="C1255" s="4" t="s">
        <v>269</v>
      </c>
      <c r="D1255" s="4">
        <v>858</v>
      </c>
      <c r="E1255" s="4">
        <v>57</v>
      </c>
      <c r="G1255">
        <f t="shared" si="19"/>
        <v>512</v>
      </c>
    </row>
    <row r="1256" spans="2:7" ht="15" hidden="1" x14ac:dyDescent="0.25">
      <c r="B1256" s="4">
        <v>584632588</v>
      </c>
      <c r="C1256" s="4" t="s">
        <v>269</v>
      </c>
      <c r="D1256" s="4">
        <v>859</v>
      </c>
      <c r="E1256" s="4">
        <v>57</v>
      </c>
      <c r="G1256">
        <f t="shared" si="19"/>
        <v>512</v>
      </c>
    </row>
    <row r="1257" spans="2:7" ht="15" hidden="1" x14ac:dyDescent="0.25">
      <c r="B1257" s="4">
        <v>584632588</v>
      </c>
      <c r="C1257" s="4" t="s">
        <v>272</v>
      </c>
      <c r="D1257" s="4">
        <v>74</v>
      </c>
      <c r="E1257" s="4">
        <v>209</v>
      </c>
      <c r="G1257">
        <f t="shared" si="19"/>
        <v>1728</v>
      </c>
    </row>
    <row r="1258" spans="2:7" ht="15" hidden="1" x14ac:dyDescent="0.25">
      <c r="B1258" s="4">
        <v>584632589</v>
      </c>
      <c r="C1258" s="4" t="s">
        <v>269</v>
      </c>
      <c r="D1258" s="4">
        <v>860</v>
      </c>
      <c r="E1258" s="4">
        <v>57</v>
      </c>
      <c r="G1258">
        <f t="shared" si="19"/>
        <v>512</v>
      </c>
    </row>
    <row r="1259" spans="2:7" ht="15" hidden="1" x14ac:dyDescent="0.25">
      <c r="B1259" s="4">
        <v>584632590</v>
      </c>
      <c r="C1259" s="4" t="s">
        <v>269</v>
      </c>
      <c r="D1259" s="4">
        <v>861</v>
      </c>
      <c r="E1259" s="4">
        <v>57</v>
      </c>
      <c r="G1259">
        <f t="shared" si="19"/>
        <v>512</v>
      </c>
    </row>
    <row r="1260" spans="2:7" ht="15" hidden="1" x14ac:dyDescent="0.25">
      <c r="B1260" s="4">
        <v>584632591</v>
      </c>
      <c r="C1260" s="4" t="s">
        <v>269</v>
      </c>
      <c r="D1260" s="4">
        <v>862</v>
      </c>
      <c r="E1260" s="4">
        <v>57</v>
      </c>
      <c r="G1260">
        <f t="shared" si="19"/>
        <v>512</v>
      </c>
    </row>
    <row r="1261" spans="2:7" ht="15" hidden="1" x14ac:dyDescent="0.25">
      <c r="B1261" s="4">
        <v>584632592</v>
      </c>
      <c r="C1261" s="4" t="s">
        <v>269</v>
      </c>
      <c r="D1261" s="4">
        <v>863</v>
      </c>
      <c r="E1261" s="4">
        <v>57</v>
      </c>
      <c r="G1261">
        <f t="shared" si="19"/>
        <v>512</v>
      </c>
    </row>
    <row r="1262" spans="2:7" ht="15" hidden="1" x14ac:dyDescent="0.25">
      <c r="B1262" s="4">
        <v>584632593</v>
      </c>
      <c r="C1262" s="4" t="s">
        <v>269</v>
      </c>
      <c r="D1262" s="4">
        <v>864</v>
      </c>
      <c r="E1262" s="4">
        <v>57</v>
      </c>
      <c r="G1262">
        <f t="shared" si="19"/>
        <v>512</v>
      </c>
    </row>
    <row r="1263" spans="2:7" ht="15" hidden="1" x14ac:dyDescent="0.25">
      <c r="B1263" s="4">
        <v>584632594</v>
      </c>
      <c r="C1263" s="4" t="s">
        <v>273</v>
      </c>
      <c r="D1263" s="4">
        <v>5425</v>
      </c>
      <c r="E1263" s="4">
        <v>317</v>
      </c>
      <c r="G1263">
        <f t="shared" si="19"/>
        <v>2592</v>
      </c>
    </row>
    <row r="1264" spans="2:7" ht="15" hidden="1" x14ac:dyDescent="0.25">
      <c r="B1264" s="4">
        <v>584632594</v>
      </c>
      <c r="C1264" s="4" t="s">
        <v>269</v>
      </c>
      <c r="D1264" s="4">
        <v>865</v>
      </c>
      <c r="E1264" s="4">
        <v>57</v>
      </c>
      <c r="G1264">
        <f t="shared" si="19"/>
        <v>512</v>
      </c>
    </row>
    <row r="1265" spans="2:7" ht="15" hidden="1" x14ac:dyDescent="0.25">
      <c r="B1265" s="4">
        <v>584632595</v>
      </c>
      <c r="C1265" s="4" t="s">
        <v>269</v>
      </c>
      <c r="D1265" s="4">
        <v>866</v>
      </c>
      <c r="E1265" s="4">
        <v>57</v>
      </c>
      <c r="G1265">
        <f t="shared" si="19"/>
        <v>512</v>
      </c>
    </row>
    <row r="1266" spans="2:7" ht="15" hidden="1" x14ac:dyDescent="0.25">
      <c r="B1266" s="4">
        <v>584632596</v>
      </c>
      <c r="C1266" s="4" t="s">
        <v>269</v>
      </c>
      <c r="D1266" s="4">
        <v>867</v>
      </c>
      <c r="E1266" s="4">
        <v>57</v>
      </c>
      <c r="G1266">
        <f t="shared" si="19"/>
        <v>512</v>
      </c>
    </row>
    <row r="1267" spans="2:7" ht="15" hidden="1" x14ac:dyDescent="0.25">
      <c r="B1267" s="4">
        <v>584632597</v>
      </c>
      <c r="C1267" s="4" t="s">
        <v>269</v>
      </c>
      <c r="D1267" s="4">
        <v>868</v>
      </c>
      <c r="E1267" s="4">
        <v>57</v>
      </c>
      <c r="G1267">
        <f t="shared" si="19"/>
        <v>512</v>
      </c>
    </row>
    <row r="1268" spans="2:7" ht="15" hidden="1" x14ac:dyDescent="0.25">
      <c r="B1268" s="4">
        <v>584632598</v>
      </c>
      <c r="C1268" s="4" t="s">
        <v>269</v>
      </c>
      <c r="D1268" s="4">
        <v>869</v>
      </c>
      <c r="E1268" s="4">
        <v>57</v>
      </c>
      <c r="G1268">
        <f t="shared" si="19"/>
        <v>512</v>
      </c>
    </row>
    <row r="1269" spans="2:7" ht="15" hidden="1" x14ac:dyDescent="0.25">
      <c r="B1269" s="4">
        <v>584632598</v>
      </c>
      <c r="C1269" s="4" t="s">
        <v>272</v>
      </c>
      <c r="D1269" s="4">
        <v>75</v>
      </c>
      <c r="E1269" s="4">
        <v>211</v>
      </c>
      <c r="G1269">
        <f t="shared" si="19"/>
        <v>1744</v>
      </c>
    </row>
    <row r="1270" spans="2:7" ht="15" hidden="1" x14ac:dyDescent="0.25">
      <c r="B1270" s="4">
        <v>584632599</v>
      </c>
      <c r="C1270" s="4" t="s">
        <v>269</v>
      </c>
      <c r="D1270" s="4">
        <v>870</v>
      </c>
      <c r="E1270" s="4">
        <v>57</v>
      </c>
      <c r="G1270">
        <f t="shared" si="19"/>
        <v>512</v>
      </c>
    </row>
    <row r="1271" spans="2:7" ht="15" hidden="1" x14ac:dyDescent="0.25">
      <c r="B1271" s="4">
        <v>584632600</v>
      </c>
      <c r="C1271" s="4" t="s">
        <v>269</v>
      </c>
      <c r="D1271" s="4">
        <v>871</v>
      </c>
      <c r="E1271" s="4">
        <v>57</v>
      </c>
      <c r="G1271">
        <f t="shared" si="19"/>
        <v>512</v>
      </c>
    </row>
    <row r="1272" spans="2:7" ht="15" hidden="1" x14ac:dyDescent="0.25">
      <c r="B1272" s="4">
        <v>584632601</v>
      </c>
      <c r="C1272" s="4" t="s">
        <v>269</v>
      </c>
      <c r="D1272" s="4">
        <v>872</v>
      </c>
      <c r="E1272" s="4">
        <v>57</v>
      </c>
      <c r="G1272">
        <f t="shared" si="19"/>
        <v>512</v>
      </c>
    </row>
    <row r="1273" spans="2:7" ht="15" hidden="1" x14ac:dyDescent="0.25">
      <c r="B1273" s="4">
        <v>584632602</v>
      </c>
      <c r="C1273" s="4" t="s">
        <v>269</v>
      </c>
      <c r="D1273" s="4">
        <v>873</v>
      </c>
      <c r="E1273" s="4">
        <v>57</v>
      </c>
      <c r="G1273">
        <f t="shared" si="19"/>
        <v>512</v>
      </c>
    </row>
    <row r="1274" spans="2:7" ht="15" hidden="1" x14ac:dyDescent="0.25">
      <c r="B1274" s="4">
        <v>584632603</v>
      </c>
      <c r="C1274" s="4" t="s">
        <v>269</v>
      </c>
      <c r="D1274" s="4">
        <v>874</v>
      </c>
      <c r="E1274" s="4">
        <v>57</v>
      </c>
      <c r="G1274">
        <f t="shared" si="19"/>
        <v>512</v>
      </c>
    </row>
    <row r="1275" spans="2:7" ht="15" hidden="1" x14ac:dyDescent="0.25">
      <c r="B1275" s="4">
        <v>584632604</v>
      </c>
      <c r="C1275" s="4" t="s">
        <v>269</v>
      </c>
      <c r="D1275" s="4">
        <v>875</v>
      </c>
      <c r="E1275" s="4">
        <v>57</v>
      </c>
      <c r="G1275">
        <f t="shared" si="19"/>
        <v>512</v>
      </c>
    </row>
    <row r="1276" spans="2:7" ht="15" hidden="1" x14ac:dyDescent="0.25">
      <c r="B1276" s="4">
        <v>584632605</v>
      </c>
      <c r="C1276" s="4" t="s">
        <v>269</v>
      </c>
      <c r="D1276" s="4">
        <v>876</v>
      </c>
      <c r="E1276" s="4">
        <v>57</v>
      </c>
      <c r="G1276">
        <f t="shared" si="19"/>
        <v>512</v>
      </c>
    </row>
    <row r="1277" spans="2:7" ht="15" hidden="1" x14ac:dyDescent="0.25">
      <c r="B1277" s="4">
        <v>584632606</v>
      </c>
      <c r="C1277" s="4" t="s">
        <v>269</v>
      </c>
      <c r="D1277" s="4">
        <v>877</v>
      </c>
      <c r="E1277" s="4">
        <v>57</v>
      </c>
      <c r="G1277">
        <f t="shared" si="19"/>
        <v>512</v>
      </c>
    </row>
    <row r="1278" spans="2:7" ht="15" hidden="1" x14ac:dyDescent="0.25">
      <c r="B1278" s="4">
        <v>584632607</v>
      </c>
      <c r="C1278" s="4" t="s">
        <v>269</v>
      </c>
      <c r="D1278" s="4">
        <v>878</v>
      </c>
      <c r="E1278" s="4">
        <v>57</v>
      </c>
      <c r="G1278">
        <f t="shared" si="19"/>
        <v>512</v>
      </c>
    </row>
    <row r="1279" spans="2:7" ht="15" hidden="1" x14ac:dyDescent="0.25">
      <c r="B1279" s="4">
        <v>584632608</v>
      </c>
      <c r="C1279" s="4" t="s">
        <v>269</v>
      </c>
      <c r="D1279" s="4">
        <v>879</v>
      </c>
      <c r="E1279" s="4">
        <v>57</v>
      </c>
      <c r="G1279">
        <f t="shared" si="19"/>
        <v>512</v>
      </c>
    </row>
    <row r="1280" spans="2:7" ht="15" hidden="1" x14ac:dyDescent="0.25">
      <c r="B1280" s="4">
        <v>584632608</v>
      </c>
      <c r="C1280" s="4" t="s">
        <v>272</v>
      </c>
      <c r="D1280" s="4">
        <v>76</v>
      </c>
      <c r="E1280" s="4">
        <v>211</v>
      </c>
      <c r="G1280">
        <f t="shared" si="19"/>
        <v>1744</v>
      </c>
    </row>
    <row r="1281" spans="2:7" ht="15" hidden="1" x14ac:dyDescent="0.25">
      <c r="B1281" s="4">
        <v>584632609</v>
      </c>
      <c r="C1281" s="4" t="s">
        <v>269</v>
      </c>
      <c r="D1281" s="4">
        <v>880</v>
      </c>
      <c r="E1281" s="4">
        <v>57</v>
      </c>
      <c r="G1281">
        <f t="shared" si="19"/>
        <v>512</v>
      </c>
    </row>
    <row r="1282" spans="2:7" ht="15" hidden="1" x14ac:dyDescent="0.25">
      <c r="B1282" s="4">
        <v>584632610</v>
      </c>
      <c r="C1282" s="4" t="s">
        <v>269</v>
      </c>
      <c r="D1282" s="4">
        <v>881</v>
      </c>
      <c r="E1282" s="4">
        <v>57</v>
      </c>
      <c r="G1282">
        <f t="shared" si="19"/>
        <v>512</v>
      </c>
    </row>
    <row r="1283" spans="2:7" ht="15" hidden="1" x14ac:dyDescent="0.25">
      <c r="B1283" s="4">
        <v>584632611</v>
      </c>
      <c r="C1283" s="4" t="s">
        <v>269</v>
      </c>
      <c r="D1283" s="4">
        <v>882</v>
      </c>
      <c r="E1283" s="4">
        <v>57</v>
      </c>
      <c r="G1283">
        <f t="shared" si="19"/>
        <v>512</v>
      </c>
    </row>
    <row r="1284" spans="2:7" ht="15" hidden="1" x14ac:dyDescent="0.25">
      <c r="B1284" s="4">
        <v>584632612</v>
      </c>
      <c r="C1284" s="4" t="s">
        <v>269</v>
      </c>
      <c r="D1284" s="4">
        <v>883</v>
      </c>
      <c r="E1284" s="4">
        <v>57</v>
      </c>
      <c r="G1284">
        <f t="shared" ref="G1284:G1347" si="20">(E1284+7)*8</f>
        <v>512</v>
      </c>
    </row>
    <row r="1285" spans="2:7" ht="15" hidden="1" x14ac:dyDescent="0.25">
      <c r="B1285" s="4">
        <v>584632613</v>
      </c>
      <c r="C1285" s="4" t="s">
        <v>269</v>
      </c>
      <c r="D1285" s="4">
        <v>884</v>
      </c>
      <c r="E1285" s="4">
        <v>57</v>
      </c>
      <c r="G1285">
        <f t="shared" si="20"/>
        <v>512</v>
      </c>
    </row>
    <row r="1286" spans="2:7" ht="15" hidden="1" x14ac:dyDescent="0.25">
      <c r="B1286" s="4">
        <v>584632614</v>
      </c>
      <c r="C1286" s="4" t="s">
        <v>269</v>
      </c>
      <c r="D1286" s="4">
        <v>885</v>
      </c>
      <c r="E1286" s="4">
        <v>57</v>
      </c>
      <c r="G1286">
        <f t="shared" si="20"/>
        <v>512</v>
      </c>
    </row>
    <row r="1287" spans="2:7" ht="15" hidden="1" x14ac:dyDescent="0.25">
      <c r="B1287" s="4">
        <v>584632615</v>
      </c>
      <c r="C1287" s="4" t="s">
        <v>269</v>
      </c>
      <c r="D1287" s="4">
        <v>886</v>
      </c>
      <c r="E1287" s="4">
        <v>57</v>
      </c>
      <c r="G1287">
        <f t="shared" si="20"/>
        <v>512</v>
      </c>
    </row>
    <row r="1288" spans="2:7" ht="15" hidden="1" x14ac:dyDescent="0.25">
      <c r="B1288" s="4">
        <v>584632616</v>
      </c>
      <c r="C1288" s="4" t="s">
        <v>269</v>
      </c>
      <c r="D1288" s="4">
        <v>887</v>
      </c>
      <c r="E1288" s="4">
        <v>57</v>
      </c>
      <c r="G1288">
        <f t="shared" si="20"/>
        <v>512</v>
      </c>
    </row>
    <row r="1289" spans="2:7" ht="15" hidden="1" x14ac:dyDescent="0.25">
      <c r="B1289" s="4">
        <v>584632617</v>
      </c>
      <c r="C1289" s="4" t="s">
        <v>269</v>
      </c>
      <c r="D1289" s="4">
        <v>888</v>
      </c>
      <c r="E1289" s="4">
        <v>57</v>
      </c>
      <c r="G1289">
        <f t="shared" si="20"/>
        <v>512</v>
      </c>
    </row>
    <row r="1290" spans="2:7" ht="15" hidden="1" x14ac:dyDescent="0.25">
      <c r="B1290" s="4">
        <v>584632618</v>
      </c>
      <c r="C1290" s="4" t="s">
        <v>269</v>
      </c>
      <c r="D1290" s="4">
        <v>889</v>
      </c>
      <c r="E1290" s="4">
        <v>57</v>
      </c>
      <c r="G1290">
        <f t="shared" si="20"/>
        <v>512</v>
      </c>
    </row>
    <row r="1291" spans="2:7" ht="15" hidden="1" x14ac:dyDescent="0.25">
      <c r="B1291" s="4">
        <v>584632618</v>
      </c>
      <c r="C1291" s="4" t="s">
        <v>272</v>
      </c>
      <c r="D1291" s="4">
        <v>77</v>
      </c>
      <c r="E1291" s="4">
        <v>209</v>
      </c>
      <c r="G1291">
        <f t="shared" si="20"/>
        <v>1728</v>
      </c>
    </row>
    <row r="1292" spans="2:7" ht="15" hidden="1" x14ac:dyDescent="0.25">
      <c r="B1292" s="4">
        <v>584632619</v>
      </c>
      <c r="C1292" s="4" t="s">
        <v>269</v>
      </c>
      <c r="D1292" s="4">
        <v>890</v>
      </c>
      <c r="E1292" s="4">
        <v>57</v>
      </c>
      <c r="G1292">
        <f t="shared" si="20"/>
        <v>512</v>
      </c>
    </row>
    <row r="1293" spans="2:7" ht="15" hidden="1" x14ac:dyDescent="0.25">
      <c r="B1293" s="4">
        <v>584632620</v>
      </c>
      <c r="C1293" s="4" t="s">
        <v>269</v>
      </c>
      <c r="D1293" s="4">
        <v>891</v>
      </c>
      <c r="E1293" s="4">
        <v>57</v>
      </c>
      <c r="G1293">
        <f t="shared" si="20"/>
        <v>512</v>
      </c>
    </row>
    <row r="1294" spans="2:7" ht="15" hidden="1" x14ac:dyDescent="0.25">
      <c r="B1294" s="4">
        <v>584632621</v>
      </c>
      <c r="C1294" s="4" t="s">
        <v>269</v>
      </c>
      <c r="D1294" s="4">
        <v>892</v>
      </c>
      <c r="E1294" s="4">
        <v>57</v>
      </c>
      <c r="G1294">
        <f t="shared" si="20"/>
        <v>512</v>
      </c>
    </row>
    <row r="1295" spans="2:7" ht="15" hidden="1" x14ac:dyDescent="0.25">
      <c r="B1295" s="4">
        <v>584632622</v>
      </c>
      <c r="C1295" s="4" t="s">
        <v>269</v>
      </c>
      <c r="D1295" s="4">
        <v>893</v>
      </c>
      <c r="E1295" s="4">
        <v>57</v>
      </c>
      <c r="G1295">
        <f t="shared" si="20"/>
        <v>512</v>
      </c>
    </row>
    <row r="1296" spans="2:7" ht="15" hidden="1" x14ac:dyDescent="0.25">
      <c r="B1296" s="4">
        <v>584632623</v>
      </c>
      <c r="C1296" s="4" t="s">
        <v>269</v>
      </c>
      <c r="D1296" s="4">
        <v>894</v>
      </c>
      <c r="E1296" s="4">
        <v>57</v>
      </c>
      <c r="G1296">
        <f t="shared" si="20"/>
        <v>512</v>
      </c>
    </row>
    <row r="1297" spans="2:7" ht="15" hidden="1" x14ac:dyDescent="0.25">
      <c r="B1297" s="4">
        <v>584632624</v>
      </c>
      <c r="C1297" s="4" t="s">
        <v>269</v>
      </c>
      <c r="D1297" s="4">
        <v>895</v>
      </c>
      <c r="E1297" s="4">
        <v>57</v>
      </c>
      <c r="G1297">
        <f t="shared" si="20"/>
        <v>512</v>
      </c>
    </row>
    <row r="1298" spans="2:7" ht="15" hidden="1" x14ac:dyDescent="0.25">
      <c r="B1298" s="4">
        <v>584632625</v>
      </c>
      <c r="C1298" s="4" t="s">
        <v>269</v>
      </c>
      <c r="D1298" s="4">
        <v>896</v>
      </c>
      <c r="E1298" s="4">
        <v>57</v>
      </c>
      <c r="G1298">
        <f t="shared" si="20"/>
        <v>512</v>
      </c>
    </row>
    <row r="1299" spans="2:7" ht="15" hidden="1" x14ac:dyDescent="0.25">
      <c r="B1299" s="4">
        <v>584632626</v>
      </c>
      <c r="C1299" s="4" t="s">
        <v>269</v>
      </c>
      <c r="D1299" s="4">
        <v>897</v>
      </c>
      <c r="E1299" s="4">
        <v>57</v>
      </c>
      <c r="G1299">
        <f t="shared" si="20"/>
        <v>512</v>
      </c>
    </row>
    <row r="1300" spans="2:7" ht="15" hidden="1" x14ac:dyDescent="0.25">
      <c r="B1300" s="4">
        <v>584632627</v>
      </c>
      <c r="C1300" s="4" t="s">
        <v>269</v>
      </c>
      <c r="D1300" s="4">
        <v>898</v>
      </c>
      <c r="E1300" s="4">
        <v>57</v>
      </c>
      <c r="G1300">
        <f t="shared" si="20"/>
        <v>512</v>
      </c>
    </row>
    <row r="1301" spans="2:7" ht="15" hidden="1" x14ac:dyDescent="0.25">
      <c r="B1301" s="4">
        <v>584632628</v>
      </c>
      <c r="C1301" s="4" t="s">
        <v>268</v>
      </c>
      <c r="D1301" s="4">
        <v>234</v>
      </c>
      <c r="E1301" s="4">
        <v>6</v>
      </c>
      <c r="G1301">
        <f t="shared" si="20"/>
        <v>104</v>
      </c>
    </row>
    <row r="1302" spans="2:7" ht="15" hidden="1" x14ac:dyDescent="0.25">
      <c r="B1302" s="4">
        <v>584632628</v>
      </c>
      <c r="C1302" s="4" t="s">
        <v>268</v>
      </c>
      <c r="D1302" s="4">
        <v>234</v>
      </c>
      <c r="E1302" s="4">
        <v>6</v>
      </c>
      <c r="G1302">
        <f t="shared" si="20"/>
        <v>104</v>
      </c>
    </row>
    <row r="1303" spans="2:7" ht="15" hidden="1" x14ac:dyDescent="0.25">
      <c r="B1303" s="4">
        <v>584632628</v>
      </c>
      <c r="C1303" s="4" t="s">
        <v>268</v>
      </c>
      <c r="D1303" s="4">
        <v>235</v>
      </c>
      <c r="E1303" s="4">
        <v>9</v>
      </c>
      <c r="G1303">
        <f t="shared" si="20"/>
        <v>128</v>
      </c>
    </row>
    <row r="1304" spans="2:7" ht="15" hidden="1" x14ac:dyDescent="0.25">
      <c r="B1304" s="4">
        <v>584632628</v>
      </c>
      <c r="C1304" s="4" t="s">
        <v>268</v>
      </c>
      <c r="D1304" s="4">
        <v>235</v>
      </c>
      <c r="E1304" s="4">
        <v>9</v>
      </c>
      <c r="G1304">
        <f t="shared" si="20"/>
        <v>128</v>
      </c>
    </row>
    <row r="1305" spans="2:7" ht="15" hidden="1" x14ac:dyDescent="0.25">
      <c r="B1305" s="4">
        <v>584632628</v>
      </c>
      <c r="C1305" s="4" t="s">
        <v>268</v>
      </c>
      <c r="D1305" s="4">
        <v>236</v>
      </c>
      <c r="E1305" s="4">
        <v>7</v>
      </c>
      <c r="G1305">
        <f t="shared" si="20"/>
        <v>112</v>
      </c>
    </row>
    <row r="1306" spans="2:7" ht="15" hidden="1" x14ac:dyDescent="0.25">
      <c r="B1306" s="4">
        <v>584632628</v>
      </c>
      <c r="C1306" s="4" t="s">
        <v>268</v>
      </c>
      <c r="D1306" s="4">
        <v>236</v>
      </c>
      <c r="E1306" s="4">
        <v>7</v>
      </c>
      <c r="G1306">
        <f t="shared" si="20"/>
        <v>112</v>
      </c>
    </row>
    <row r="1307" spans="2:7" ht="15" hidden="1" x14ac:dyDescent="0.25">
      <c r="B1307" s="4">
        <v>584632628</v>
      </c>
      <c r="C1307" s="4" t="s">
        <v>268</v>
      </c>
      <c r="D1307" s="4">
        <v>237</v>
      </c>
      <c r="E1307" s="4">
        <v>7</v>
      </c>
      <c r="G1307">
        <f t="shared" si="20"/>
        <v>112</v>
      </c>
    </row>
    <row r="1308" spans="2:7" ht="15" hidden="1" x14ac:dyDescent="0.25">
      <c r="B1308" s="4">
        <v>584632628</v>
      </c>
      <c r="C1308" s="4" t="s">
        <v>268</v>
      </c>
      <c r="D1308" s="4">
        <v>237</v>
      </c>
      <c r="E1308" s="4">
        <v>7</v>
      </c>
      <c r="G1308">
        <f t="shared" si="20"/>
        <v>112</v>
      </c>
    </row>
    <row r="1309" spans="2:7" ht="15" hidden="1" x14ac:dyDescent="0.25">
      <c r="B1309" s="4">
        <v>584632628</v>
      </c>
      <c r="C1309" s="4" t="s">
        <v>268</v>
      </c>
      <c r="D1309" s="4">
        <v>238</v>
      </c>
      <c r="E1309" s="4">
        <v>7</v>
      </c>
      <c r="G1309">
        <f t="shared" si="20"/>
        <v>112</v>
      </c>
    </row>
    <row r="1310" spans="2:7" ht="15" hidden="1" x14ac:dyDescent="0.25">
      <c r="B1310" s="4">
        <v>584632628</v>
      </c>
      <c r="C1310" s="4" t="s">
        <v>268</v>
      </c>
      <c r="D1310" s="4">
        <v>238</v>
      </c>
      <c r="E1310" s="4">
        <v>7</v>
      </c>
      <c r="G1310">
        <f t="shared" si="20"/>
        <v>112</v>
      </c>
    </row>
    <row r="1311" spans="2:7" ht="15" hidden="1" x14ac:dyDescent="0.25">
      <c r="B1311" s="4">
        <v>584632628</v>
      </c>
      <c r="C1311" s="4" t="s">
        <v>269</v>
      </c>
      <c r="D1311" s="4">
        <v>899</v>
      </c>
      <c r="E1311" s="4">
        <v>57</v>
      </c>
      <c r="G1311">
        <f t="shared" si="20"/>
        <v>512</v>
      </c>
    </row>
    <row r="1312" spans="2:7" ht="15" hidden="1" x14ac:dyDescent="0.25">
      <c r="B1312" s="4">
        <v>584632628</v>
      </c>
      <c r="C1312" s="4" t="s">
        <v>272</v>
      </c>
      <c r="D1312" s="4">
        <v>78</v>
      </c>
      <c r="E1312" s="4">
        <v>209</v>
      </c>
      <c r="G1312">
        <f t="shared" si="20"/>
        <v>1728</v>
      </c>
    </row>
    <row r="1313" spans="2:7" ht="15" hidden="1" x14ac:dyDescent="0.25">
      <c r="B1313" s="4">
        <v>584632629</v>
      </c>
      <c r="C1313" s="4" t="s">
        <v>269</v>
      </c>
      <c r="D1313" s="4">
        <v>900</v>
      </c>
      <c r="E1313" s="4">
        <v>57</v>
      </c>
      <c r="G1313">
        <f t="shared" si="20"/>
        <v>512</v>
      </c>
    </row>
    <row r="1314" spans="2:7" ht="15" hidden="1" x14ac:dyDescent="0.25">
      <c r="B1314" s="4">
        <v>584632630</v>
      </c>
      <c r="C1314" s="4" t="s">
        <v>268</v>
      </c>
      <c r="D1314" s="4">
        <v>239</v>
      </c>
      <c r="E1314" s="4">
        <v>7</v>
      </c>
      <c r="G1314">
        <f t="shared" si="20"/>
        <v>112</v>
      </c>
    </row>
    <row r="1315" spans="2:7" ht="15" hidden="1" x14ac:dyDescent="0.25">
      <c r="B1315" s="4">
        <v>584632630</v>
      </c>
      <c r="C1315" s="4" t="s">
        <v>268</v>
      </c>
      <c r="D1315" s="4">
        <v>239</v>
      </c>
      <c r="E1315" s="4">
        <v>7</v>
      </c>
      <c r="G1315">
        <f t="shared" si="20"/>
        <v>112</v>
      </c>
    </row>
    <row r="1316" spans="2:7" ht="15" hidden="1" x14ac:dyDescent="0.25">
      <c r="B1316" s="4">
        <v>584632630</v>
      </c>
      <c r="C1316" s="4" t="s">
        <v>268</v>
      </c>
      <c r="D1316" s="4">
        <v>240</v>
      </c>
      <c r="E1316" s="4">
        <v>5</v>
      </c>
      <c r="G1316">
        <f t="shared" si="20"/>
        <v>96</v>
      </c>
    </row>
    <row r="1317" spans="2:7" ht="15" hidden="1" x14ac:dyDescent="0.25">
      <c r="B1317" s="4">
        <v>584632630</v>
      </c>
      <c r="C1317" s="4" t="s">
        <v>268</v>
      </c>
      <c r="D1317" s="4">
        <v>240</v>
      </c>
      <c r="E1317" s="4">
        <v>5</v>
      </c>
      <c r="G1317">
        <f t="shared" si="20"/>
        <v>96</v>
      </c>
    </row>
    <row r="1318" spans="2:7" ht="15" hidden="1" x14ac:dyDescent="0.25">
      <c r="B1318" s="4">
        <v>584632630</v>
      </c>
      <c r="C1318" s="4" t="s">
        <v>268</v>
      </c>
      <c r="D1318" s="4">
        <v>241</v>
      </c>
      <c r="E1318" s="4">
        <v>7</v>
      </c>
      <c r="G1318">
        <f t="shared" si="20"/>
        <v>112</v>
      </c>
    </row>
    <row r="1319" spans="2:7" ht="15" hidden="1" x14ac:dyDescent="0.25">
      <c r="B1319" s="4">
        <v>584632630</v>
      </c>
      <c r="C1319" s="4" t="s">
        <v>268</v>
      </c>
      <c r="D1319" s="4">
        <v>241</v>
      </c>
      <c r="E1319" s="4">
        <v>7</v>
      </c>
      <c r="G1319">
        <f t="shared" si="20"/>
        <v>112</v>
      </c>
    </row>
    <row r="1320" spans="2:7" ht="15" hidden="1" x14ac:dyDescent="0.25">
      <c r="B1320" s="4">
        <v>584632630</v>
      </c>
      <c r="C1320" s="4" t="s">
        <v>269</v>
      </c>
      <c r="D1320" s="4">
        <v>901</v>
      </c>
      <c r="E1320" s="4">
        <v>57</v>
      </c>
      <c r="G1320">
        <f t="shared" si="20"/>
        <v>512</v>
      </c>
    </row>
    <row r="1321" spans="2:7" ht="15" hidden="1" x14ac:dyDescent="0.25">
      <c r="B1321" s="4">
        <v>584632631</v>
      </c>
      <c r="C1321" s="4" t="s">
        <v>269</v>
      </c>
      <c r="D1321" s="4">
        <v>902</v>
      </c>
      <c r="E1321" s="4">
        <v>57</v>
      </c>
      <c r="G1321">
        <f t="shared" si="20"/>
        <v>512</v>
      </c>
    </row>
    <row r="1322" spans="2:7" ht="15" hidden="1" x14ac:dyDescent="0.25">
      <c r="B1322" s="4">
        <v>584632632</v>
      </c>
      <c r="C1322" s="4" t="s">
        <v>269</v>
      </c>
      <c r="D1322" s="4">
        <v>903</v>
      </c>
      <c r="E1322" s="4">
        <v>57</v>
      </c>
      <c r="G1322">
        <f t="shared" si="20"/>
        <v>512</v>
      </c>
    </row>
    <row r="1323" spans="2:7" ht="15" hidden="1" x14ac:dyDescent="0.25">
      <c r="B1323" s="4">
        <v>584632633</v>
      </c>
      <c r="C1323" s="4" t="s">
        <v>269</v>
      </c>
      <c r="D1323" s="4">
        <v>904</v>
      </c>
      <c r="E1323" s="4">
        <v>57</v>
      </c>
      <c r="G1323">
        <f t="shared" si="20"/>
        <v>512</v>
      </c>
    </row>
    <row r="1324" spans="2:7" ht="15" hidden="1" x14ac:dyDescent="0.25">
      <c r="B1324" s="4">
        <v>584632634</v>
      </c>
      <c r="C1324" s="4" t="s">
        <v>269</v>
      </c>
      <c r="D1324" s="4">
        <v>905</v>
      </c>
      <c r="E1324" s="4">
        <v>57</v>
      </c>
      <c r="G1324">
        <f t="shared" si="20"/>
        <v>512</v>
      </c>
    </row>
    <row r="1325" spans="2:7" ht="15" hidden="1" x14ac:dyDescent="0.25">
      <c r="B1325" s="4">
        <v>584632635</v>
      </c>
      <c r="C1325" s="4" t="s">
        <v>269</v>
      </c>
      <c r="D1325" s="4">
        <v>906</v>
      </c>
      <c r="E1325" s="4">
        <v>57</v>
      </c>
      <c r="G1325">
        <f t="shared" si="20"/>
        <v>512</v>
      </c>
    </row>
    <row r="1326" spans="2:7" ht="15" hidden="1" x14ac:dyDescent="0.25">
      <c r="B1326" s="4">
        <v>584632636</v>
      </c>
      <c r="C1326" s="4" t="s">
        <v>269</v>
      </c>
      <c r="D1326" s="4">
        <v>907</v>
      </c>
      <c r="E1326" s="4">
        <v>57</v>
      </c>
      <c r="G1326">
        <f t="shared" si="20"/>
        <v>512</v>
      </c>
    </row>
    <row r="1327" spans="2:7" ht="15" hidden="1" x14ac:dyDescent="0.25">
      <c r="B1327" s="4">
        <v>584632637</v>
      </c>
      <c r="C1327" s="4" t="s">
        <v>269</v>
      </c>
      <c r="D1327" s="4">
        <v>908</v>
      </c>
      <c r="E1327" s="4">
        <v>57</v>
      </c>
      <c r="G1327">
        <f t="shared" si="20"/>
        <v>512</v>
      </c>
    </row>
    <row r="1328" spans="2:7" ht="15" hidden="1" x14ac:dyDescent="0.25">
      <c r="B1328" s="4">
        <v>584632638</v>
      </c>
      <c r="C1328" s="4" t="s">
        <v>269</v>
      </c>
      <c r="D1328" s="4">
        <v>909</v>
      </c>
      <c r="E1328" s="4">
        <v>57</v>
      </c>
      <c r="G1328">
        <f t="shared" si="20"/>
        <v>512</v>
      </c>
    </row>
    <row r="1329" spans="2:7" ht="15" hidden="1" x14ac:dyDescent="0.25">
      <c r="B1329" s="4">
        <v>584632638</v>
      </c>
      <c r="C1329" s="4" t="s">
        <v>272</v>
      </c>
      <c r="D1329" s="4">
        <v>79</v>
      </c>
      <c r="E1329" s="4">
        <v>211</v>
      </c>
      <c r="G1329">
        <f t="shared" si="20"/>
        <v>1744</v>
      </c>
    </row>
    <row r="1330" spans="2:7" ht="15" hidden="1" x14ac:dyDescent="0.25">
      <c r="B1330" s="4">
        <v>584632639</v>
      </c>
      <c r="C1330" s="4" t="s">
        <v>269</v>
      </c>
      <c r="D1330" s="4">
        <v>910</v>
      </c>
      <c r="E1330" s="4">
        <v>57</v>
      </c>
      <c r="G1330">
        <f t="shared" si="20"/>
        <v>512</v>
      </c>
    </row>
    <row r="1331" spans="2:7" ht="15" hidden="1" x14ac:dyDescent="0.25">
      <c r="B1331" s="4">
        <v>584632640</v>
      </c>
      <c r="C1331" s="4" t="s">
        <v>269</v>
      </c>
      <c r="D1331" s="4">
        <v>911</v>
      </c>
      <c r="E1331" s="4">
        <v>57</v>
      </c>
      <c r="G1331">
        <f t="shared" si="20"/>
        <v>512</v>
      </c>
    </row>
    <row r="1332" spans="2:7" ht="15" hidden="1" x14ac:dyDescent="0.25">
      <c r="B1332" s="4">
        <v>584632641</v>
      </c>
      <c r="C1332" s="4" t="s">
        <v>269</v>
      </c>
      <c r="D1332" s="4">
        <v>912</v>
      </c>
      <c r="E1332" s="4">
        <v>57</v>
      </c>
      <c r="G1332">
        <f t="shared" si="20"/>
        <v>512</v>
      </c>
    </row>
    <row r="1333" spans="2:7" ht="15" hidden="1" x14ac:dyDescent="0.25">
      <c r="B1333" s="4">
        <v>584632642</v>
      </c>
      <c r="C1333" s="4" t="s">
        <v>269</v>
      </c>
      <c r="D1333" s="4">
        <v>913</v>
      </c>
      <c r="E1333" s="4">
        <v>57</v>
      </c>
      <c r="G1333">
        <f t="shared" si="20"/>
        <v>512</v>
      </c>
    </row>
    <row r="1334" spans="2:7" ht="15" hidden="1" x14ac:dyDescent="0.25">
      <c r="B1334" s="4">
        <v>584632643</v>
      </c>
      <c r="C1334" s="4" t="s">
        <v>269</v>
      </c>
      <c r="D1334" s="4">
        <v>914</v>
      </c>
      <c r="E1334" s="4">
        <v>57</v>
      </c>
      <c r="G1334">
        <f t="shared" si="20"/>
        <v>512</v>
      </c>
    </row>
    <row r="1335" spans="2:7" ht="15" hidden="1" x14ac:dyDescent="0.25">
      <c r="B1335" s="4">
        <v>584632644</v>
      </c>
      <c r="C1335" s="4" t="s">
        <v>269</v>
      </c>
      <c r="D1335" s="4">
        <v>915</v>
      </c>
      <c r="E1335" s="4">
        <v>57</v>
      </c>
      <c r="G1335">
        <f t="shared" si="20"/>
        <v>512</v>
      </c>
    </row>
    <row r="1336" spans="2:7" ht="15" hidden="1" x14ac:dyDescent="0.25">
      <c r="B1336" s="4">
        <v>584632645</v>
      </c>
      <c r="C1336" s="4" t="s">
        <v>269</v>
      </c>
      <c r="D1336" s="4">
        <v>916</v>
      </c>
      <c r="E1336" s="4">
        <v>57</v>
      </c>
      <c r="G1336">
        <f t="shared" si="20"/>
        <v>512</v>
      </c>
    </row>
    <row r="1337" spans="2:7" ht="15" hidden="1" x14ac:dyDescent="0.25">
      <c r="B1337" s="4">
        <v>584632646</v>
      </c>
      <c r="C1337" s="4" t="s">
        <v>269</v>
      </c>
      <c r="D1337" s="4">
        <v>917</v>
      </c>
      <c r="E1337" s="4">
        <v>57</v>
      </c>
      <c r="G1337">
        <f t="shared" si="20"/>
        <v>512</v>
      </c>
    </row>
    <row r="1338" spans="2:7" ht="15" hidden="1" x14ac:dyDescent="0.25">
      <c r="B1338" s="4">
        <v>584632647</v>
      </c>
      <c r="C1338" s="4" t="s">
        <v>269</v>
      </c>
      <c r="D1338" s="4">
        <v>918</v>
      </c>
      <c r="E1338" s="4">
        <v>57</v>
      </c>
      <c r="G1338">
        <f t="shared" si="20"/>
        <v>512</v>
      </c>
    </row>
    <row r="1339" spans="2:7" ht="15" hidden="1" x14ac:dyDescent="0.25">
      <c r="B1339" s="4">
        <v>584632648</v>
      </c>
      <c r="C1339" s="4" t="s">
        <v>269</v>
      </c>
      <c r="D1339" s="4">
        <v>919</v>
      </c>
      <c r="E1339" s="4">
        <v>57</v>
      </c>
      <c r="G1339">
        <f t="shared" si="20"/>
        <v>512</v>
      </c>
    </row>
    <row r="1340" spans="2:7" ht="15" hidden="1" x14ac:dyDescent="0.25">
      <c r="B1340" s="4">
        <v>584632648</v>
      </c>
      <c r="C1340" s="4" t="s">
        <v>272</v>
      </c>
      <c r="D1340" s="4">
        <v>80</v>
      </c>
      <c r="E1340" s="4">
        <v>209</v>
      </c>
      <c r="G1340">
        <f t="shared" si="20"/>
        <v>1728</v>
      </c>
    </row>
    <row r="1341" spans="2:7" ht="15" hidden="1" x14ac:dyDescent="0.25">
      <c r="B1341" s="4">
        <v>584632649</v>
      </c>
      <c r="C1341" s="4" t="s">
        <v>269</v>
      </c>
      <c r="D1341" s="4">
        <v>920</v>
      </c>
      <c r="E1341" s="4">
        <v>57</v>
      </c>
      <c r="G1341">
        <f t="shared" si="20"/>
        <v>512</v>
      </c>
    </row>
    <row r="1342" spans="2:7" ht="15" hidden="1" x14ac:dyDescent="0.25">
      <c r="B1342" s="4">
        <v>584632650</v>
      </c>
      <c r="C1342" s="4" t="s">
        <v>269</v>
      </c>
      <c r="D1342" s="4">
        <v>921</v>
      </c>
      <c r="E1342" s="4">
        <v>57</v>
      </c>
      <c r="G1342">
        <f t="shared" si="20"/>
        <v>512</v>
      </c>
    </row>
    <row r="1343" spans="2:7" ht="15" hidden="1" x14ac:dyDescent="0.25">
      <c r="B1343" s="4">
        <v>584632651</v>
      </c>
      <c r="C1343" s="4" t="s">
        <v>269</v>
      </c>
      <c r="D1343" s="4">
        <v>922</v>
      </c>
      <c r="E1343" s="4">
        <v>57</v>
      </c>
      <c r="G1343">
        <f t="shared" si="20"/>
        <v>512</v>
      </c>
    </row>
    <row r="1344" spans="2:7" ht="15" hidden="1" x14ac:dyDescent="0.25">
      <c r="B1344" s="4">
        <v>584632652</v>
      </c>
      <c r="C1344" s="4" t="s">
        <v>269</v>
      </c>
      <c r="D1344" s="4">
        <v>923</v>
      </c>
      <c r="E1344" s="4">
        <v>57</v>
      </c>
      <c r="G1344">
        <f t="shared" si="20"/>
        <v>512</v>
      </c>
    </row>
    <row r="1345" spans="2:7" ht="15" hidden="1" x14ac:dyDescent="0.25">
      <c r="B1345" s="4">
        <v>584632653</v>
      </c>
      <c r="C1345" s="4" t="s">
        <v>269</v>
      </c>
      <c r="D1345" s="4">
        <v>924</v>
      </c>
      <c r="E1345" s="4">
        <v>57</v>
      </c>
      <c r="G1345">
        <f t="shared" si="20"/>
        <v>512</v>
      </c>
    </row>
    <row r="1346" spans="2:7" ht="15" hidden="1" x14ac:dyDescent="0.25">
      <c r="B1346" s="4">
        <v>584632654</v>
      </c>
      <c r="C1346" s="4" t="s">
        <v>269</v>
      </c>
      <c r="D1346" s="4">
        <v>925</v>
      </c>
      <c r="E1346" s="4">
        <v>57</v>
      </c>
      <c r="G1346">
        <f t="shared" si="20"/>
        <v>512</v>
      </c>
    </row>
    <row r="1347" spans="2:7" ht="15" hidden="1" x14ac:dyDescent="0.25">
      <c r="B1347" s="4">
        <v>584632655</v>
      </c>
      <c r="C1347" s="4" t="s">
        <v>269</v>
      </c>
      <c r="D1347" s="4">
        <v>926</v>
      </c>
      <c r="E1347" s="4">
        <v>57</v>
      </c>
      <c r="G1347">
        <f t="shared" si="20"/>
        <v>512</v>
      </c>
    </row>
    <row r="1348" spans="2:7" ht="15" hidden="1" x14ac:dyDescent="0.25">
      <c r="B1348" s="4">
        <v>584632656</v>
      </c>
      <c r="C1348" s="4" t="s">
        <v>269</v>
      </c>
      <c r="D1348" s="4">
        <v>927</v>
      </c>
      <c r="E1348" s="4">
        <v>57</v>
      </c>
      <c r="G1348">
        <f t="shared" ref="G1348:G1411" si="21">(E1348+7)*8</f>
        <v>512</v>
      </c>
    </row>
    <row r="1349" spans="2:7" ht="15" hidden="1" x14ac:dyDescent="0.25">
      <c r="B1349" s="4">
        <v>584632657</v>
      </c>
      <c r="C1349" s="4" t="s">
        <v>269</v>
      </c>
      <c r="D1349" s="4">
        <v>928</v>
      </c>
      <c r="E1349" s="4">
        <v>57</v>
      </c>
      <c r="G1349">
        <f t="shared" si="21"/>
        <v>512</v>
      </c>
    </row>
    <row r="1350" spans="2:7" ht="15" hidden="1" x14ac:dyDescent="0.25">
      <c r="B1350" s="4">
        <v>584632658</v>
      </c>
      <c r="C1350" s="4" t="s">
        <v>269</v>
      </c>
      <c r="D1350" s="4">
        <v>929</v>
      </c>
      <c r="E1350" s="4">
        <v>57</v>
      </c>
      <c r="G1350">
        <f t="shared" si="21"/>
        <v>512</v>
      </c>
    </row>
    <row r="1351" spans="2:7" ht="15" hidden="1" x14ac:dyDescent="0.25">
      <c r="B1351" s="4">
        <v>584632658</v>
      </c>
      <c r="C1351" s="4" t="s">
        <v>272</v>
      </c>
      <c r="D1351" s="4">
        <v>81</v>
      </c>
      <c r="E1351" s="4">
        <v>209</v>
      </c>
      <c r="G1351">
        <f t="shared" si="21"/>
        <v>1728</v>
      </c>
    </row>
    <row r="1352" spans="2:7" ht="15" hidden="1" x14ac:dyDescent="0.25">
      <c r="B1352" s="4">
        <v>584632659</v>
      </c>
      <c r="C1352" s="4" t="s">
        <v>269</v>
      </c>
      <c r="D1352" s="4">
        <v>930</v>
      </c>
      <c r="E1352" s="4">
        <v>57</v>
      </c>
      <c r="G1352">
        <f t="shared" si="21"/>
        <v>512</v>
      </c>
    </row>
    <row r="1353" spans="2:7" ht="15" hidden="1" x14ac:dyDescent="0.25">
      <c r="B1353" s="4">
        <v>584632660</v>
      </c>
      <c r="C1353" s="4" t="s">
        <v>269</v>
      </c>
      <c r="D1353" s="4">
        <v>931</v>
      </c>
      <c r="E1353" s="4">
        <v>57</v>
      </c>
      <c r="G1353">
        <f t="shared" si="21"/>
        <v>512</v>
      </c>
    </row>
    <row r="1354" spans="2:7" ht="15" hidden="1" x14ac:dyDescent="0.25">
      <c r="B1354" s="4">
        <v>584632661</v>
      </c>
      <c r="C1354" s="4" t="s">
        <v>269</v>
      </c>
      <c r="D1354" s="4">
        <v>932</v>
      </c>
      <c r="E1354" s="4">
        <v>57</v>
      </c>
      <c r="G1354">
        <f t="shared" si="21"/>
        <v>512</v>
      </c>
    </row>
    <row r="1355" spans="2:7" ht="15" hidden="1" x14ac:dyDescent="0.25">
      <c r="B1355" s="4">
        <v>584632662</v>
      </c>
      <c r="C1355" s="4" t="s">
        <v>269</v>
      </c>
      <c r="D1355" s="4">
        <v>933</v>
      </c>
      <c r="E1355" s="4">
        <v>57</v>
      </c>
      <c r="G1355">
        <f t="shared" si="21"/>
        <v>512</v>
      </c>
    </row>
    <row r="1356" spans="2:7" ht="15" hidden="1" x14ac:dyDescent="0.25">
      <c r="B1356" s="4">
        <v>584632663</v>
      </c>
      <c r="C1356" s="4" t="s">
        <v>269</v>
      </c>
      <c r="D1356" s="4">
        <v>934</v>
      </c>
      <c r="E1356" s="4">
        <v>57</v>
      </c>
      <c r="G1356">
        <f t="shared" si="21"/>
        <v>512</v>
      </c>
    </row>
    <row r="1357" spans="2:7" ht="15" hidden="1" x14ac:dyDescent="0.25">
      <c r="B1357" s="4">
        <v>584632664</v>
      </c>
      <c r="C1357" s="4" t="s">
        <v>269</v>
      </c>
      <c r="D1357" s="4">
        <v>935</v>
      </c>
      <c r="E1357" s="4">
        <v>57</v>
      </c>
      <c r="G1357">
        <f t="shared" si="21"/>
        <v>512</v>
      </c>
    </row>
    <row r="1358" spans="2:7" ht="15" hidden="1" x14ac:dyDescent="0.25">
      <c r="B1358" s="4">
        <v>584632665</v>
      </c>
      <c r="C1358" s="4" t="s">
        <v>269</v>
      </c>
      <c r="D1358" s="4">
        <v>936</v>
      </c>
      <c r="E1358" s="4">
        <v>57</v>
      </c>
      <c r="G1358">
        <f t="shared" si="21"/>
        <v>512</v>
      </c>
    </row>
    <row r="1359" spans="2:7" ht="15" hidden="1" x14ac:dyDescent="0.25">
      <c r="B1359" s="4">
        <v>584632666</v>
      </c>
      <c r="C1359" s="4" t="s">
        <v>269</v>
      </c>
      <c r="D1359" s="4">
        <v>937</v>
      </c>
      <c r="E1359" s="4">
        <v>57</v>
      </c>
      <c r="G1359">
        <f t="shared" si="21"/>
        <v>512</v>
      </c>
    </row>
    <row r="1360" spans="2:7" ht="15" hidden="1" x14ac:dyDescent="0.25">
      <c r="B1360" s="4">
        <v>584632667</v>
      </c>
      <c r="C1360" s="4" t="s">
        <v>269</v>
      </c>
      <c r="D1360" s="4">
        <v>938</v>
      </c>
      <c r="E1360" s="4">
        <v>57</v>
      </c>
      <c r="G1360">
        <f t="shared" si="21"/>
        <v>512</v>
      </c>
    </row>
    <row r="1361" spans="2:7" ht="15" hidden="1" x14ac:dyDescent="0.25">
      <c r="B1361" s="4">
        <v>584632668</v>
      </c>
      <c r="C1361" s="4" t="s">
        <v>269</v>
      </c>
      <c r="D1361" s="4">
        <v>939</v>
      </c>
      <c r="E1361" s="4">
        <v>57</v>
      </c>
      <c r="G1361">
        <f t="shared" si="21"/>
        <v>512</v>
      </c>
    </row>
    <row r="1362" spans="2:7" ht="15" hidden="1" x14ac:dyDescent="0.25">
      <c r="B1362" s="4">
        <v>584632668</v>
      </c>
      <c r="C1362" s="4" t="s">
        <v>272</v>
      </c>
      <c r="D1362" s="4">
        <v>82</v>
      </c>
      <c r="E1362" s="4">
        <v>209</v>
      </c>
      <c r="G1362">
        <f t="shared" si="21"/>
        <v>1728</v>
      </c>
    </row>
    <row r="1363" spans="2:7" ht="15" hidden="1" x14ac:dyDescent="0.25">
      <c r="B1363" s="4">
        <v>584632669</v>
      </c>
      <c r="C1363" s="4" t="s">
        <v>269</v>
      </c>
      <c r="D1363" s="4">
        <v>940</v>
      </c>
      <c r="E1363" s="4">
        <v>57</v>
      </c>
      <c r="G1363">
        <f t="shared" si="21"/>
        <v>512</v>
      </c>
    </row>
    <row r="1364" spans="2:7" ht="15" hidden="1" x14ac:dyDescent="0.25">
      <c r="B1364" s="4">
        <v>584632670</v>
      </c>
      <c r="C1364" s="4" t="s">
        <v>269</v>
      </c>
      <c r="D1364" s="4">
        <v>941</v>
      </c>
      <c r="E1364" s="4">
        <v>57</v>
      </c>
      <c r="G1364">
        <f t="shared" si="21"/>
        <v>512</v>
      </c>
    </row>
    <row r="1365" spans="2:7" ht="15" hidden="1" x14ac:dyDescent="0.25">
      <c r="B1365" s="4">
        <v>584632671</v>
      </c>
      <c r="C1365" s="4" t="s">
        <v>269</v>
      </c>
      <c r="D1365" s="4">
        <v>942</v>
      </c>
      <c r="E1365" s="4">
        <v>57</v>
      </c>
      <c r="G1365">
        <f t="shared" si="21"/>
        <v>512</v>
      </c>
    </row>
    <row r="1366" spans="2:7" ht="15" hidden="1" x14ac:dyDescent="0.25">
      <c r="B1366" s="4">
        <v>584632672</v>
      </c>
      <c r="C1366" s="4" t="s">
        <v>269</v>
      </c>
      <c r="D1366" s="4">
        <v>943</v>
      </c>
      <c r="E1366" s="4">
        <v>57</v>
      </c>
      <c r="G1366">
        <f t="shared" si="21"/>
        <v>512</v>
      </c>
    </row>
    <row r="1367" spans="2:7" ht="15" hidden="1" x14ac:dyDescent="0.25">
      <c r="B1367" s="4">
        <v>584632673</v>
      </c>
      <c r="C1367" s="4" t="s">
        <v>269</v>
      </c>
      <c r="D1367" s="4">
        <v>944</v>
      </c>
      <c r="E1367" s="4">
        <v>57</v>
      </c>
      <c r="G1367">
        <f t="shared" si="21"/>
        <v>512</v>
      </c>
    </row>
    <row r="1368" spans="2:7" ht="15" hidden="1" x14ac:dyDescent="0.25">
      <c r="B1368" s="4">
        <v>584632674</v>
      </c>
      <c r="C1368" s="4" t="s">
        <v>269</v>
      </c>
      <c r="D1368" s="4">
        <v>945</v>
      </c>
      <c r="E1368" s="4">
        <v>57</v>
      </c>
      <c r="G1368">
        <f t="shared" si="21"/>
        <v>512</v>
      </c>
    </row>
    <row r="1369" spans="2:7" ht="15" hidden="1" x14ac:dyDescent="0.25">
      <c r="B1369" s="4">
        <v>584632675</v>
      </c>
      <c r="C1369" s="4" t="s">
        <v>269</v>
      </c>
      <c r="D1369" s="4">
        <v>946</v>
      </c>
      <c r="E1369" s="4">
        <v>57</v>
      </c>
      <c r="G1369">
        <f t="shared" si="21"/>
        <v>512</v>
      </c>
    </row>
    <row r="1370" spans="2:7" ht="15" hidden="1" x14ac:dyDescent="0.25">
      <c r="B1370" s="4">
        <v>584632676</v>
      </c>
      <c r="C1370" s="4" t="s">
        <v>269</v>
      </c>
      <c r="D1370" s="4">
        <v>947</v>
      </c>
      <c r="E1370" s="4">
        <v>57</v>
      </c>
      <c r="G1370">
        <f t="shared" si="21"/>
        <v>512</v>
      </c>
    </row>
    <row r="1371" spans="2:7" ht="15" hidden="1" x14ac:dyDescent="0.25">
      <c r="B1371" s="4">
        <v>584632677</v>
      </c>
      <c r="C1371" s="4" t="s">
        <v>269</v>
      </c>
      <c r="D1371" s="4">
        <v>948</v>
      </c>
      <c r="E1371" s="4">
        <v>57</v>
      </c>
      <c r="G1371">
        <f t="shared" si="21"/>
        <v>512</v>
      </c>
    </row>
    <row r="1372" spans="2:7" ht="15" hidden="1" x14ac:dyDescent="0.25">
      <c r="B1372" s="4">
        <v>584632678</v>
      </c>
      <c r="C1372" s="4" t="s">
        <v>269</v>
      </c>
      <c r="D1372" s="4">
        <v>949</v>
      </c>
      <c r="E1372" s="4">
        <v>57</v>
      </c>
      <c r="G1372">
        <f t="shared" si="21"/>
        <v>512</v>
      </c>
    </row>
    <row r="1373" spans="2:7" ht="15" hidden="1" x14ac:dyDescent="0.25">
      <c r="B1373" s="4">
        <v>584632678</v>
      </c>
      <c r="C1373" s="4" t="s">
        <v>272</v>
      </c>
      <c r="D1373" s="4">
        <v>83</v>
      </c>
      <c r="E1373" s="4">
        <v>211</v>
      </c>
      <c r="G1373">
        <f t="shared" si="21"/>
        <v>1744</v>
      </c>
    </row>
    <row r="1374" spans="2:7" ht="15" hidden="1" x14ac:dyDescent="0.25">
      <c r="B1374" s="4">
        <v>584632679</v>
      </c>
      <c r="C1374" s="4" t="s">
        <v>269</v>
      </c>
      <c r="D1374" s="4">
        <v>950</v>
      </c>
      <c r="E1374" s="4">
        <v>57</v>
      </c>
      <c r="G1374">
        <f t="shared" si="21"/>
        <v>512</v>
      </c>
    </row>
    <row r="1375" spans="2:7" ht="15" hidden="1" x14ac:dyDescent="0.25">
      <c r="B1375" s="4">
        <v>584632680</v>
      </c>
      <c r="C1375" s="4" t="s">
        <v>269</v>
      </c>
      <c r="D1375" s="4">
        <v>951</v>
      </c>
      <c r="E1375" s="4">
        <v>57</v>
      </c>
      <c r="G1375">
        <f t="shared" si="21"/>
        <v>512</v>
      </c>
    </row>
    <row r="1376" spans="2:7" ht="15" hidden="1" x14ac:dyDescent="0.25">
      <c r="B1376" s="4">
        <v>584632681</v>
      </c>
      <c r="C1376" s="4" t="s">
        <v>269</v>
      </c>
      <c r="D1376" s="4">
        <v>952</v>
      </c>
      <c r="E1376" s="4">
        <v>57</v>
      </c>
      <c r="G1376">
        <f t="shared" si="21"/>
        <v>512</v>
      </c>
    </row>
    <row r="1377" spans="2:7" ht="15" hidden="1" x14ac:dyDescent="0.25">
      <c r="B1377" s="4">
        <v>584632682</v>
      </c>
      <c r="C1377" s="4" t="s">
        <v>269</v>
      </c>
      <c r="D1377" s="4">
        <v>953</v>
      </c>
      <c r="E1377" s="4">
        <v>57</v>
      </c>
      <c r="G1377">
        <f t="shared" si="21"/>
        <v>512</v>
      </c>
    </row>
    <row r="1378" spans="2:7" ht="15" hidden="1" x14ac:dyDescent="0.25">
      <c r="B1378" s="4">
        <v>584632683</v>
      </c>
      <c r="C1378" s="4" t="s">
        <v>269</v>
      </c>
      <c r="D1378" s="4">
        <v>954</v>
      </c>
      <c r="E1378" s="4">
        <v>57</v>
      </c>
      <c r="G1378">
        <f t="shared" si="21"/>
        <v>512</v>
      </c>
    </row>
    <row r="1379" spans="2:7" ht="15" hidden="1" x14ac:dyDescent="0.25">
      <c r="B1379" s="4">
        <v>584632684</v>
      </c>
      <c r="C1379" s="4" t="s">
        <v>269</v>
      </c>
      <c r="D1379" s="4">
        <v>955</v>
      </c>
      <c r="E1379" s="4">
        <v>57</v>
      </c>
      <c r="G1379">
        <f t="shared" si="21"/>
        <v>512</v>
      </c>
    </row>
    <row r="1380" spans="2:7" ht="15" hidden="1" x14ac:dyDescent="0.25">
      <c r="B1380" s="4">
        <v>584632685</v>
      </c>
      <c r="C1380" s="4" t="s">
        <v>269</v>
      </c>
      <c r="D1380" s="4">
        <v>956</v>
      </c>
      <c r="E1380" s="4">
        <v>57</v>
      </c>
      <c r="G1380">
        <f t="shared" si="21"/>
        <v>512</v>
      </c>
    </row>
    <row r="1381" spans="2:7" ht="15" hidden="1" x14ac:dyDescent="0.25">
      <c r="B1381" s="4">
        <v>584632686</v>
      </c>
      <c r="C1381" s="4" t="s">
        <v>269</v>
      </c>
      <c r="D1381" s="4">
        <v>957</v>
      </c>
      <c r="E1381" s="4">
        <v>57</v>
      </c>
      <c r="G1381">
        <f t="shared" si="21"/>
        <v>512</v>
      </c>
    </row>
    <row r="1382" spans="2:7" ht="15" hidden="1" x14ac:dyDescent="0.25">
      <c r="B1382" s="4">
        <v>584632687</v>
      </c>
      <c r="C1382" s="4" t="s">
        <v>269</v>
      </c>
      <c r="D1382" s="4">
        <v>958</v>
      </c>
      <c r="E1382" s="4">
        <v>57</v>
      </c>
      <c r="G1382">
        <f t="shared" si="21"/>
        <v>512</v>
      </c>
    </row>
    <row r="1383" spans="2:7" ht="15" hidden="1" x14ac:dyDescent="0.25">
      <c r="B1383" s="4">
        <v>584632688</v>
      </c>
      <c r="C1383" s="4" t="s">
        <v>269</v>
      </c>
      <c r="D1383" s="4">
        <v>959</v>
      </c>
      <c r="E1383" s="4">
        <v>57</v>
      </c>
      <c r="G1383">
        <f t="shared" si="21"/>
        <v>512</v>
      </c>
    </row>
    <row r="1384" spans="2:7" ht="15" hidden="1" x14ac:dyDescent="0.25">
      <c r="B1384" s="4">
        <v>584632688</v>
      </c>
      <c r="C1384" s="4" t="s">
        <v>272</v>
      </c>
      <c r="D1384" s="4">
        <v>84</v>
      </c>
      <c r="E1384" s="4">
        <v>209</v>
      </c>
      <c r="G1384">
        <f t="shared" si="21"/>
        <v>1728</v>
      </c>
    </row>
    <row r="1385" spans="2:7" ht="15" hidden="1" x14ac:dyDescent="0.25">
      <c r="B1385" s="4">
        <v>584632689</v>
      </c>
      <c r="C1385" s="4" t="s">
        <v>269</v>
      </c>
      <c r="D1385" s="4">
        <v>960</v>
      </c>
      <c r="E1385" s="4">
        <v>57</v>
      </c>
      <c r="G1385">
        <f t="shared" si="21"/>
        <v>512</v>
      </c>
    </row>
    <row r="1386" spans="2:7" ht="15" hidden="1" x14ac:dyDescent="0.25">
      <c r="B1386" s="4">
        <v>584632690</v>
      </c>
      <c r="C1386" s="4" t="s">
        <v>269</v>
      </c>
      <c r="D1386" s="4">
        <v>961</v>
      </c>
      <c r="E1386" s="4">
        <v>57</v>
      </c>
      <c r="G1386">
        <f t="shared" si="21"/>
        <v>512</v>
      </c>
    </row>
    <row r="1387" spans="2:7" ht="15" hidden="1" x14ac:dyDescent="0.25">
      <c r="B1387" s="4">
        <v>584632691</v>
      </c>
      <c r="C1387" s="4" t="s">
        <v>269</v>
      </c>
      <c r="D1387" s="4">
        <v>962</v>
      </c>
      <c r="E1387" s="4">
        <v>57</v>
      </c>
      <c r="G1387">
        <f t="shared" si="21"/>
        <v>512</v>
      </c>
    </row>
    <row r="1388" spans="2:7" ht="15" hidden="1" x14ac:dyDescent="0.25">
      <c r="B1388" s="4">
        <v>584632692</v>
      </c>
      <c r="C1388" s="4" t="s">
        <v>269</v>
      </c>
      <c r="D1388" s="4">
        <v>963</v>
      </c>
      <c r="E1388" s="4">
        <v>57</v>
      </c>
      <c r="G1388">
        <f t="shared" si="21"/>
        <v>512</v>
      </c>
    </row>
    <row r="1389" spans="2:7" ht="15" hidden="1" x14ac:dyDescent="0.25">
      <c r="B1389" s="4">
        <v>584632693</v>
      </c>
      <c r="C1389" s="4" t="s">
        <v>269</v>
      </c>
      <c r="D1389" s="4">
        <v>964</v>
      </c>
      <c r="E1389" s="4">
        <v>57</v>
      </c>
      <c r="G1389">
        <f t="shared" si="21"/>
        <v>512</v>
      </c>
    </row>
    <row r="1390" spans="2:7" ht="15" hidden="1" x14ac:dyDescent="0.25">
      <c r="B1390" s="4">
        <v>584632694</v>
      </c>
      <c r="C1390" s="4" t="s">
        <v>269</v>
      </c>
      <c r="D1390" s="4">
        <v>965</v>
      </c>
      <c r="E1390" s="4">
        <v>57</v>
      </c>
      <c r="G1390">
        <f t="shared" si="21"/>
        <v>512</v>
      </c>
    </row>
    <row r="1391" spans="2:7" ht="15" hidden="1" x14ac:dyDescent="0.25">
      <c r="B1391" s="4">
        <v>584632695</v>
      </c>
      <c r="C1391" s="4" t="s">
        <v>269</v>
      </c>
      <c r="D1391" s="4">
        <v>966</v>
      </c>
      <c r="E1391" s="4">
        <v>57</v>
      </c>
      <c r="G1391">
        <f t="shared" si="21"/>
        <v>512</v>
      </c>
    </row>
    <row r="1392" spans="2:7" ht="15" hidden="1" x14ac:dyDescent="0.25">
      <c r="B1392" s="4">
        <v>584632696</v>
      </c>
      <c r="C1392" s="4" t="s">
        <v>269</v>
      </c>
      <c r="D1392" s="4">
        <v>967</v>
      </c>
      <c r="E1392" s="4">
        <v>57</v>
      </c>
      <c r="G1392">
        <f t="shared" si="21"/>
        <v>512</v>
      </c>
    </row>
    <row r="1393" spans="2:7" ht="15" hidden="1" x14ac:dyDescent="0.25">
      <c r="B1393" s="4">
        <v>584632697</v>
      </c>
      <c r="C1393" s="4" t="s">
        <v>269</v>
      </c>
      <c r="D1393" s="4">
        <v>968</v>
      </c>
      <c r="E1393" s="4">
        <v>57</v>
      </c>
      <c r="G1393">
        <f t="shared" si="21"/>
        <v>512</v>
      </c>
    </row>
    <row r="1394" spans="2:7" ht="15" hidden="1" x14ac:dyDescent="0.25">
      <c r="B1394" s="4">
        <v>584632698</v>
      </c>
      <c r="C1394" s="4" t="s">
        <v>269</v>
      </c>
      <c r="D1394" s="4">
        <v>969</v>
      </c>
      <c r="E1394" s="4">
        <v>57</v>
      </c>
      <c r="G1394">
        <f t="shared" si="21"/>
        <v>512</v>
      </c>
    </row>
    <row r="1395" spans="2:7" ht="15" hidden="1" x14ac:dyDescent="0.25">
      <c r="B1395" s="4">
        <v>584632698</v>
      </c>
      <c r="C1395" s="4" t="s">
        <v>272</v>
      </c>
      <c r="D1395" s="4">
        <v>85</v>
      </c>
      <c r="E1395" s="4">
        <v>209</v>
      </c>
      <c r="G1395">
        <f t="shared" si="21"/>
        <v>1728</v>
      </c>
    </row>
    <row r="1396" spans="2:7" ht="15" hidden="1" x14ac:dyDescent="0.25">
      <c r="B1396" s="4">
        <v>584632699</v>
      </c>
      <c r="C1396" s="4" t="s">
        <v>269</v>
      </c>
      <c r="D1396" s="4">
        <v>970</v>
      </c>
      <c r="E1396" s="4">
        <v>57</v>
      </c>
      <c r="G1396">
        <f t="shared" si="21"/>
        <v>512</v>
      </c>
    </row>
    <row r="1397" spans="2:7" ht="15" hidden="1" x14ac:dyDescent="0.25">
      <c r="B1397" s="4">
        <v>584632700</v>
      </c>
      <c r="C1397" s="4" t="s">
        <v>269</v>
      </c>
      <c r="D1397" s="4">
        <v>971</v>
      </c>
      <c r="E1397" s="4">
        <v>57</v>
      </c>
      <c r="G1397">
        <f t="shared" si="21"/>
        <v>512</v>
      </c>
    </row>
    <row r="1398" spans="2:7" ht="15" hidden="1" x14ac:dyDescent="0.25">
      <c r="B1398" s="4">
        <v>584632701</v>
      </c>
      <c r="C1398" s="4" t="s">
        <v>269</v>
      </c>
      <c r="D1398" s="4">
        <v>972</v>
      </c>
      <c r="E1398" s="4">
        <v>57</v>
      </c>
      <c r="G1398">
        <f t="shared" si="21"/>
        <v>512</v>
      </c>
    </row>
    <row r="1399" spans="2:7" ht="15" hidden="1" x14ac:dyDescent="0.25">
      <c r="B1399" s="4">
        <v>584632702</v>
      </c>
      <c r="C1399" s="4" t="s">
        <v>269</v>
      </c>
      <c r="D1399" s="4">
        <v>973</v>
      </c>
      <c r="E1399" s="4">
        <v>57</v>
      </c>
      <c r="G1399">
        <f t="shared" si="21"/>
        <v>512</v>
      </c>
    </row>
    <row r="1400" spans="2:7" ht="15" hidden="1" x14ac:dyDescent="0.25">
      <c r="B1400" s="4">
        <v>584632703</v>
      </c>
      <c r="C1400" s="4" t="s">
        <v>269</v>
      </c>
      <c r="D1400" s="4">
        <v>974</v>
      </c>
      <c r="E1400" s="4">
        <v>57</v>
      </c>
      <c r="G1400">
        <f t="shared" si="21"/>
        <v>512</v>
      </c>
    </row>
    <row r="1401" spans="2:7" ht="15" hidden="1" x14ac:dyDescent="0.25">
      <c r="B1401" s="4">
        <v>584632704</v>
      </c>
      <c r="C1401" s="4" t="s">
        <v>269</v>
      </c>
      <c r="D1401" s="4">
        <v>975</v>
      </c>
      <c r="E1401" s="4">
        <v>57</v>
      </c>
      <c r="G1401">
        <f t="shared" si="21"/>
        <v>512</v>
      </c>
    </row>
    <row r="1402" spans="2:7" ht="15" hidden="1" x14ac:dyDescent="0.25">
      <c r="B1402" s="4">
        <v>584632705</v>
      </c>
      <c r="C1402" s="4" t="s">
        <v>269</v>
      </c>
      <c r="D1402" s="4">
        <v>976</v>
      </c>
      <c r="E1402" s="4">
        <v>57</v>
      </c>
      <c r="G1402">
        <f t="shared" si="21"/>
        <v>512</v>
      </c>
    </row>
    <row r="1403" spans="2:7" ht="15" hidden="1" x14ac:dyDescent="0.25">
      <c r="B1403" s="4">
        <v>584632706</v>
      </c>
      <c r="C1403" s="4" t="s">
        <v>269</v>
      </c>
      <c r="D1403" s="4">
        <v>977</v>
      </c>
      <c r="E1403" s="4">
        <v>57</v>
      </c>
      <c r="G1403">
        <f t="shared" si="21"/>
        <v>512</v>
      </c>
    </row>
    <row r="1404" spans="2:7" ht="15" hidden="1" x14ac:dyDescent="0.25">
      <c r="B1404" s="4">
        <v>584632707</v>
      </c>
      <c r="C1404" s="4" t="s">
        <v>269</v>
      </c>
      <c r="D1404" s="4">
        <v>978</v>
      </c>
      <c r="E1404" s="4">
        <v>57</v>
      </c>
      <c r="G1404">
        <f t="shared" si="21"/>
        <v>512</v>
      </c>
    </row>
    <row r="1405" spans="2:7" ht="15" hidden="1" x14ac:dyDescent="0.25">
      <c r="B1405" s="4">
        <v>584632708</v>
      </c>
      <c r="C1405" s="4" t="s">
        <v>269</v>
      </c>
      <c r="D1405" s="4">
        <v>979</v>
      </c>
      <c r="E1405" s="4">
        <v>57</v>
      </c>
      <c r="G1405">
        <f t="shared" si="21"/>
        <v>512</v>
      </c>
    </row>
    <row r="1406" spans="2:7" ht="15" hidden="1" x14ac:dyDescent="0.25">
      <c r="B1406" s="4">
        <v>584632708</v>
      </c>
      <c r="C1406" s="4" t="s">
        <v>272</v>
      </c>
      <c r="D1406" s="4">
        <v>86</v>
      </c>
      <c r="E1406" s="4">
        <v>211</v>
      </c>
      <c r="G1406">
        <f t="shared" si="21"/>
        <v>1744</v>
      </c>
    </row>
    <row r="1407" spans="2:7" ht="15" hidden="1" x14ac:dyDescent="0.25">
      <c r="B1407" s="4">
        <v>584632709</v>
      </c>
      <c r="C1407" s="4" t="s">
        <v>269</v>
      </c>
      <c r="D1407" s="4">
        <v>980</v>
      </c>
      <c r="E1407" s="4">
        <v>57</v>
      </c>
      <c r="G1407">
        <f t="shared" si="21"/>
        <v>512</v>
      </c>
    </row>
    <row r="1408" spans="2:7" ht="15" hidden="1" x14ac:dyDescent="0.25">
      <c r="B1408" s="4">
        <v>584632710</v>
      </c>
      <c r="C1408" s="4" t="s">
        <v>269</v>
      </c>
      <c r="D1408" s="4">
        <v>981</v>
      </c>
      <c r="E1408" s="4">
        <v>57</v>
      </c>
      <c r="G1408">
        <f t="shared" si="21"/>
        <v>512</v>
      </c>
    </row>
    <row r="1409" spans="2:7" ht="15" hidden="1" x14ac:dyDescent="0.25">
      <c r="B1409" s="4">
        <v>584632711</v>
      </c>
      <c r="C1409" s="4" t="s">
        <v>269</v>
      </c>
      <c r="D1409" s="4">
        <v>982</v>
      </c>
      <c r="E1409" s="4">
        <v>57</v>
      </c>
      <c r="G1409">
        <f t="shared" si="21"/>
        <v>512</v>
      </c>
    </row>
    <row r="1410" spans="2:7" ht="15" hidden="1" x14ac:dyDescent="0.25">
      <c r="B1410" s="4">
        <v>584632712</v>
      </c>
      <c r="C1410" s="4" t="s">
        <v>269</v>
      </c>
      <c r="D1410" s="4">
        <v>983</v>
      </c>
      <c r="E1410" s="4">
        <v>57</v>
      </c>
      <c r="G1410">
        <f t="shared" si="21"/>
        <v>512</v>
      </c>
    </row>
    <row r="1411" spans="2:7" ht="15" hidden="1" x14ac:dyDescent="0.25">
      <c r="B1411" s="4">
        <v>584632713</v>
      </c>
      <c r="C1411" s="4" t="s">
        <v>269</v>
      </c>
      <c r="D1411" s="4">
        <v>984</v>
      </c>
      <c r="E1411" s="4">
        <v>57</v>
      </c>
      <c r="G1411">
        <f t="shared" si="21"/>
        <v>512</v>
      </c>
    </row>
    <row r="1412" spans="2:7" ht="15" hidden="1" x14ac:dyDescent="0.25">
      <c r="B1412" s="4">
        <v>584632714</v>
      </c>
      <c r="C1412" s="4" t="s">
        <v>269</v>
      </c>
      <c r="D1412" s="4">
        <v>985</v>
      </c>
      <c r="E1412" s="4">
        <v>57</v>
      </c>
      <c r="G1412">
        <f t="shared" ref="G1412:G1475" si="22">(E1412+7)*8</f>
        <v>512</v>
      </c>
    </row>
    <row r="1413" spans="2:7" ht="15" hidden="1" x14ac:dyDescent="0.25">
      <c r="B1413" s="4">
        <v>584632715</v>
      </c>
      <c r="C1413" s="4" t="s">
        <v>269</v>
      </c>
      <c r="D1413" s="4">
        <v>986</v>
      </c>
      <c r="E1413" s="4">
        <v>57</v>
      </c>
      <c r="G1413">
        <f t="shared" si="22"/>
        <v>512</v>
      </c>
    </row>
    <row r="1414" spans="2:7" ht="15" hidden="1" x14ac:dyDescent="0.25">
      <c r="B1414" s="4">
        <v>584632716</v>
      </c>
      <c r="C1414" s="4" t="s">
        <v>269</v>
      </c>
      <c r="D1414" s="4">
        <v>987</v>
      </c>
      <c r="E1414" s="4">
        <v>57</v>
      </c>
      <c r="G1414">
        <f t="shared" si="22"/>
        <v>512</v>
      </c>
    </row>
    <row r="1415" spans="2:7" ht="15" hidden="1" x14ac:dyDescent="0.25">
      <c r="B1415" s="4">
        <v>584632717</v>
      </c>
      <c r="C1415" s="4" t="s">
        <v>269</v>
      </c>
      <c r="D1415" s="4">
        <v>988</v>
      </c>
      <c r="E1415" s="4">
        <v>57</v>
      </c>
      <c r="G1415">
        <f t="shared" si="22"/>
        <v>512</v>
      </c>
    </row>
    <row r="1416" spans="2:7" ht="15" hidden="1" x14ac:dyDescent="0.25">
      <c r="B1416" s="4">
        <v>584632718</v>
      </c>
      <c r="C1416" s="4" t="s">
        <v>269</v>
      </c>
      <c r="D1416" s="4">
        <v>989</v>
      </c>
      <c r="E1416" s="4">
        <v>57</v>
      </c>
      <c r="G1416">
        <f t="shared" si="22"/>
        <v>512</v>
      </c>
    </row>
    <row r="1417" spans="2:7" ht="15" hidden="1" x14ac:dyDescent="0.25">
      <c r="B1417" s="4">
        <v>584632718</v>
      </c>
      <c r="C1417" s="4" t="s">
        <v>272</v>
      </c>
      <c r="D1417" s="4">
        <v>87</v>
      </c>
      <c r="E1417" s="4">
        <v>211</v>
      </c>
      <c r="G1417">
        <f t="shared" si="22"/>
        <v>1744</v>
      </c>
    </row>
    <row r="1418" spans="2:7" ht="15" hidden="1" x14ac:dyDescent="0.25">
      <c r="B1418" s="4">
        <v>584632719</v>
      </c>
      <c r="C1418" s="4" t="s">
        <v>269</v>
      </c>
      <c r="D1418" s="4">
        <v>990</v>
      </c>
      <c r="E1418" s="4">
        <v>57</v>
      </c>
      <c r="G1418">
        <f t="shared" si="22"/>
        <v>512</v>
      </c>
    </row>
    <row r="1419" spans="2:7" ht="15" hidden="1" x14ac:dyDescent="0.25">
      <c r="B1419" s="4">
        <v>584632720</v>
      </c>
      <c r="C1419" s="4" t="s">
        <v>269</v>
      </c>
      <c r="D1419" s="4">
        <v>991</v>
      </c>
      <c r="E1419" s="4">
        <v>57</v>
      </c>
      <c r="G1419">
        <f t="shared" si="22"/>
        <v>512</v>
      </c>
    </row>
    <row r="1420" spans="2:7" ht="15" hidden="1" x14ac:dyDescent="0.25">
      <c r="B1420" s="4">
        <v>584632721</v>
      </c>
      <c r="C1420" s="4" t="s">
        <v>269</v>
      </c>
      <c r="D1420" s="4">
        <v>992</v>
      </c>
      <c r="E1420" s="4">
        <v>57</v>
      </c>
      <c r="G1420">
        <f t="shared" si="22"/>
        <v>512</v>
      </c>
    </row>
    <row r="1421" spans="2:7" ht="15" hidden="1" x14ac:dyDescent="0.25">
      <c r="B1421" s="4">
        <v>584632722</v>
      </c>
      <c r="C1421" s="4" t="s">
        <v>269</v>
      </c>
      <c r="D1421" s="4">
        <v>993</v>
      </c>
      <c r="E1421" s="4">
        <v>57</v>
      </c>
      <c r="G1421">
        <f t="shared" si="22"/>
        <v>512</v>
      </c>
    </row>
    <row r="1422" spans="2:7" ht="15" hidden="1" x14ac:dyDescent="0.25">
      <c r="B1422" s="4">
        <v>584632723</v>
      </c>
      <c r="C1422" s="4" t="s">
        <v>269</v>
      </c>
      <c r="D1422" s="4">
        <v>994</v>
      </c>
      <c r="E1422" s="4">
        <v>57</v>
      </c>
      <c r="G1422">
        <f t="shared" si="22"/>
        <v>512</v>
      </c>
    </row>
    <row r="1423" spans="2:7" ht="15" hidden="1" x14ac:dyDescent="0.25">
      <c r="B1423" s="4">
        <v>584632724</v>
      </c>
      <c r="C1423" s="4" t="s">
        <v>269</v>
      </c>
      <c r="D1423" s="4">
        <v>995</v>
      </c>
      <c r="E1423" s="4">
        <v>57</v>
      </c>
      <c r="G1423">
        <f t="shared" si="22"/>
        <v>512</v>
      </c>
    </row>
    <row r="1424" spans="2:7" ht="15" hidden="1" x14ac:dyDescent="0.25">
      <c r="B1424" s="4">
        <v>584632725</v>
      </c>
      <c r="C1424" s="4" t="s">
        <v>269</v>
      </c>
      <c r="D1424" s="4">
        <v>996</v>
      </c>
      <c r="E1424" s="4">
        <v>57</v>
      </c>
      <c r="G1424">
        <f t="shared" si="22"/>
        <v>512</v>
      </c>
    </row>
    <row r="1425" spans="2:7" ht="15" hidden="1" x14ac:dyDescent="0.25">
      <c r="B1425" s="4">
        <v>584632726</v>
      </c>
      <c r="C1425" s="4" t="s">
        <v>269</v>
      </c>
      <c r="D1425" s="4">
        <v>997</v>
      </c>
      <c r="E1425" s="4">
        <v>57</v>
      </c>
      <c r="G1425">
        <f t="shared" si="22"/>
        <v>512</v>
      </c>
    </row>
    <row r="1426" spans="2:7" ht="15" hidden="1" x14ac:dyDescent="0.25">
      <c r="B1426" s="4">
        <v>584632727</v>
      </c>
      <c r="C1426" s="4" t="s">
        <v>269</v>
      </c>
      <c r="D1426" s="4">
        <v>998</v>
      </c>
      <c r="E1426" s="4">
        <v>57</v>
      </c>
      <c r="G1426">
        <f t="shared" si="22"/>
        <v>512</v>
      </c>
    </row>
    <row r="1427" spans="2:7" ht="15" hidden="1" x14ac:dyDescent="0.25">
      <c r="B1427" s="4">
        <v>584632728</v>
      </c>
      <c r="C1427" s="4" t="s">
        <v>269</v>
      </c>
      <c r="D1427" s="4">
        <v>999</v>
      </c>
      <c r="E1427" s="4">
        <v>57</v>
      </c>
      <c r="G1427">
        <f t="shared" si="22"/>
        <v>512</v>
      </c>
    </row>
    <row r="1428" spans="2:7" ht="15" hidden="1" x14ac:dyDescent="0.25">
      <c r="B1428" s="4">
        <v>584632728</v>
      </c>
      <c r="C1428" s="4" t="s">
        <v>272</v>
      </c>
      <c r="D1428" s="4">
        <v>88</v>
      </c>
      <c r="E1428" s="4">
        <v>209</v>
      </c>
      <c r="G1428">
        <f t="shared" si="22"/>
        <v>1728</v>
      </c>
    </row>
    <row r="1429" spans="2:7" ht="15" hidden="1" x14ac:dyDescent="0.25">
      <c r="B1429" s="4">
        <v>584632729</v>
      </c>
      <c r="C1429" s="4" t="s">
        <v>269</v>
      </c>
      <c r="D1429" s="4">
        <v>1000</v>
      </c>
      <c r="E1429" s="4">
        <v>57</v>
      </c>
      <c r="G1429">
        <f t="shared" si="22"/>
        <v>512</v>
      </c>
    </row>
    <row r="1430" spans="2:7" ht="15" hidden="1" x14ac:dyDescent="0.25">
      <c r="B1430" s="4">
        <v>584632730</v>
      </c>
      <c r="C1430" s="4" t="s">
        <v>268</v>
      </c>
      <c r="D1430" s="4">
        <v>242</v>
      </c>
      <c r="E1430" s="4">
        <v>6</v>
      </c>
      <c r="G1430">
        <f t="shared" si="22"/>
        <v>104</v>
      </c>
    </row>
    <row r="1431" spans="2:7" ht="15" hidden="1" x14ac:dyDescent="0.25">
      <c r="B1431" s="4">
        <v>584632730</v>
      </c>
      <c r="C1431" s="4" t="s">
        <v>268</v>
      </c>
      <c r="D1431" s="4">
        <v>242</v>
      </c>
      <c r="E1431" s="4">
        <v>6</v>
      </c>
      <c r="G1431">
        <f t="shared" si="22"/>
        <v>104</v>
      </c>
    </row>
    <row r="1432" spans="2:7" ht="15" hidden="1" x14ac:dyDescent="0.25">
      <c r="B1432" s="4">
        <v>584632730</v>
      </c>
      <c r="C1432" s="4" t="s">
        <v>268</v>
      </c>
      <c r="D1432" s="4">
        <v>243</v>
      </c>
      <c r="E1432" s="4">
        <v>9</v>
      </c>
      <c r="G1432">
        <f t="shared" si="22"/>
        <v>128</v>
      </c>
    </row>
    <row r="1433" spans="2:7" ht="15" hidden="1" x14ac:dyDescent="0.25">
      <c r="B1433" s="4">
        <v>584632730</v>
      </c>
      <c r="C1433" s="4" t="s">
        <v>268</v>
      </c>
      <c r="D1433" s="4">
        <v>243</v>
      </c>
      <c r="E1433" s="4">
        <v>9</v>
      </c>
      <c r="G1433">
        <f t="shared" si="22"/>
        <v>128</v>
      </c>
    </row>
    <row r="1434" spans="2:7" ht="15" hidden="1" x14ac:dyDescent="0.25">
      <c r="B1434" s="4">
        <v>584632730</v>
      </c>
      <c r="C1434" s="4" t="s">
        <v>268</v>
      </c>
      <c r="D1434" s="4">
        <v>244</v>
      </c>
      <c r="E1434" s="4">
        <v>7</v>
      </c>
      <c r="G1434">
        <f t="shared" si="22"/>
        <v>112</v>
      </c>
    </row>
    <row r="1435" spans="2:7" ht="15" hidden="1" x14ac:dyDescent="0.25">
      <c r="B1435" s="4">
        <v>584632730</v>
      </c>
      <c r="C1435" s="4" t="s">
        <v>268</v>
      </c>
      <c r="D1435" s="4">
        <v>244</v>
      </c>
      <c r="E1435" s="4">
        <v>7</v>
      </c>
      <c r="G1435">
        <f t="shared" si="22"/>
        <v>112</v>
      </c>
    </row>
    <row r="1436" spans="2:7" ht="15" hidden="1" x14ac:dyDescent="0.25">
      <c r="B1436" s="4">
        <v>584632730</v>
      </c>
      <c r="C1436" s="4" t="s">
        <v>268</v>
      </c>
      <c r="D1436" s="4">
        <v>245</v>
      </c>
      <c r="E1436" s="4">
        <v>7</v>
      </c>
      <c r="G1436">
        <f t="shared" si="22"/>
        <v>112</v>
      </c>
    </row>
    <row r="1437" spans="2:7" ht="15" hidden="1" x14ac:dyDescent="0.25">
      <c r="B1437" s="4">
        <v>584632730</v>
      </c>
      <c r="C1437" s="4" t="s">
        <v>268</v>
      </c>
      <c r="D1437" s="4">
        <v>245</v>
      </c>
      <c r="E1437" s="4">
        <v>7</v>
      </c>
      <c r="G1437">
        <f t="shared" si="22"/>
        <v>112</v>
      </c>
    </row>
    <row r="1438" spans="2:7" ht="15" hidden="1" x14ac:dyDescent="0.25">
      <c r="B1438" s="4">
        <v>584632730</v>
      </c>
      <c r="C1438" s="4" t="s">
        <v>268</v>
      </c>
      <c r="D1438" s="4">
        <v>246</v>
      </c>
      <c r="E1438" s="4">
        <v>7</v>
      </c>
      <c r="G1438">
        <f t="shared" si="22"/>
        <v>112</v>
      </c>
    </row>
    <row r="1439" spans="2:7" ht="15" hidden="1" x14ac:dyDescent="0.25">
      <c r="B1439" s="4">
        <v>584632730</v>
      </c>
      <c r="C1439" s="4" t="s">
        <v>268</v>
      </c>
      <c r="D1439" s="4">
        <v>246</v>
      </c>
      <c r="E1439" s="4">
        <v>7</v>
      </c>
      <c r="G1439">
        <f t="shared" si="22"/>
        <v>112</v>
      </c>
    </row>
    <row r="1440" spans="2:7" ht="15" hidden="1" x14ac:dyDescent="0.25">
      <c r="B1440" s="4">
        <v>584632730</v>
      </c>
      <c r="C1440" s="4" t="s">
        <v>269</v>
      </c>
      <c r="D1440" s="4">
        <v>1001</v>
      </c>
      <c r="E1440" s="4">
        <v>57</v>
      </c>
      <c r="G1440">
        <f t="shared" si="22"/>
        <v>512</v>
      </c>
    </row>
    <row r="1441" spans="2:7" ht="15" hidden="1" x14ac:dyDescent="0.25">
      <c r="B1441" s="4">
        <v>584632731</v>
      </c>
      <c r="C1441" s="4" t="s">
        <v>269</v>
      </c>
      <c r="D1441" s="4">
        <v>1002</v>
      </c>
      <c r="E1441" s="4">
        <v>57</v>
      </c>
      <c r="G1441">
        <f t="shared" si="22"/>
        <v>512</v>
      </c>
    </row>
    <row r="1442" spans="2:7" ht="15" hidden="1" x14ac:dyDescent="0.25">
      <c r="B1442" s="4">
        <v>584632732</v>
      </c>
      <c r="C1442" s="4" t="s">
        <v>268</v>
      </c>
      <c r="D1442" s="4">
        <v>247</v>
      </c>
      <c r="E1442" s="4">
        <v>7</v>
      </c>
      <c r="G1442">
        <f t="shared" si="22"/>
        <v>112</v>
      </c>
    </row>
    <row r="1443" spans="2:7" ht="15" hidden="1" x14ac:dyDescent="0.25">
      <c r="B1443" s="4">
        <v>584632732</v>
      </c>
      <c r="C1443" s="4" t="s">
        <v>268</v>
      </c>
      <c r="D1443" s="4">
        <v>247</v>
      </c>
      <c r="E1443" s="4">
        <v>7</v>
      </c>
      <c r="G1443">
        <f t="shared" si="22"/>
        <v>112</v>
      </c>
    </row>
    <row r="1444" spans="2:7" ht="15" hidden="1" x14ac:dyDescent="0.25">
      <c r="B1444" s="4">
        <v>584632732</v>
      </c>
      <c r="C1444" s="4" t="s">
        <v>268</v>
      </c>
      <c r="D1444" s="4">
        <v>248</v>
      </c>
      <c r="E1444" s="4">
        <v>5</v>
      </c>
      <c r="G1444">
        <f t="shared" si="22"/>
        <v>96</v>
      </c>
    </row>
    <row r="1445" spans="2:7" ht="15" hidden="1" x14ac:dyDescent="0.25">
      <c r="B1445" s="4">
        <v>584632732</v>
      </c>
      <c r="C1445" s="4" t="s">
        <v>268</v>
      </c>
      <c r="D1445" s="4">
        <v>248</v>
      </c>
      <c r="E1445" s="4">
        <v>5</v>
      </c>
      <c r="G1445">
        <f t="shared" si="22"/>
        <v>96</v>
      </c>
    </row>
    <row r="1446" spans="2:7" ht="15" hidden="1" x14ac:dyDescent="0.25">
      <c r="B1446" s="4">
        <v>584632732</v>
      </c>
      <c r="C1446" s="4" t="s">
        <v>268</v>
      </c>
      <c r="D1446" s="4">
        <v>249</v>
      </c>
      <c r="E1446" s="4">
        <v>7</v>
      </c>
      <c r="G1446">
        <f t="shared" si="22"/>
        <v>112</v>
      </c>
    </row>
    <row r="1447" spans="2:7" ht="15" hidden="1" x14ac:dyDescent="0.25">
      <c r="B1447" s="4">
        <v>584632732</v>
      </c>
      <c r="C1447" s="4" t="s">
        <v>268</v>
      </c>
      <c r="D1447" s="4">
        <v>249</v>
      </c>
      <c r="E1447" s="4">
        <v>7</v>
      </c>
      <c r="G1447">
        <f t="shared" si="22"/>
        <v>112</v>
      </c>
    </row>
    <row r="1448" spans="2:7" ht="15" hidden="1" x14ac:dyDescent="0.25">
      <c r="B1448" s="4">
        <v>584632732</v>
      </c>
      <c r="C1448" s="4" t="s">
        <v>269</v>
      </c>
      <c r="D1448" s="4">
        <v>1003</v>
      </c>
      <c r="E1448" s="4">
        <v>57</v>
      </c>
      <c r="G1448">
        <f t="shared" si="22"/>
        <v>512</v>
      </c>
    </row>
    <row r="1449" spans="2:7" ht="15" hidden="1" x14ac:dyDescent="0.25">
      <c r="B1449" s="4">
        <v>584632733</v>
      </c>
      <c r="C1449" s="4" t="s">
        <v>269</v>
      </c>
      <c r="D1449" s="4">
        <v>1004</v>
      </c>
      <c r="E1449" s="4">
        <v>57</v>
      </c>
      <c r="G1449">
        <f t="shared" si="22"/>
        <v>512</v>
      </c>
    </row>
    <row r="1450" spans="2:7" ht="15" hidden="1" x14ac:dyDescent="0.25">
      <c r="B1450" s="4">
        <v>584632734</v>
      </c>
      <c r="C1450" s="4" t="s">
        <v>269</v>
      </c>
      <c r="D1450" s="4">
        <v>1005</v>
      </c>
      <c r="E1450" s="4">
        <v>57</v>
      </c>
      <c r="G1450">
        <f t="shared" si="22"/>
        <v>512</v>
      </c>
    </row>
    <row r="1451" spans="2:7" ht="15" hidden="1" x14ac:dyDescent="0.25">
      <c r="B1451" s="4">
        <v>584632735</v>
      </c>
      <c r="C1451" s="4" t="s">
        <v>269</v>
      </c>
      <c r="D1451" s="4">
        <v>1006</v>
      </c>
      <c r="E1451" s="4">
        <v>57</v>
      </c>
      <c r="G1451">
        <f t="shared" si="22"/>
        <v>512</v>
      </c>
    </row>
    <row r="1452" spans="2:7" ht="15" hidden="1" x14ac:dyDescent="0.25">
      <c r="B1452" s="4">
        <v>584632736</v>
      </c>
      <c r="C1452" s="4" t="s">
        <v>269</v>
      </c>
      <c r="D1452" s="4">
        <v>1007</v>
      </c>
      <c r="E1452" s="4">
        <v>57</v>
      </c>
      <c r="G1452">
        <f t="shared" si="22"/>
        <v>512</v>
      </c>
    </row>
    <row r="1453" spans="2:7" ht="15" hidden="1" x14ac:dyDescent="0.25">
      <c r="B1453" s="4">
        <v>584632737</v>
      </c>
      <c r="C1453" s="4" t="s">
        <v>269</v>
      </c>
      <c r="D1453" s="4">
        <v>1008</v>
      </c>
      <c r="E1453" s="4">
        <v>57</v>
      </c>
      <c r="G1453">
        <f t="shared" si="22"/>
        <v>512</v>
      </c>
    </row>
    <row r="1454" spans="2:7" ht="15" hidden="1" x14ac:dyDescent="0.25">
      <c r="B1454" s="4">
        <v>584632738</v>
      </c>
      <c r="C1454" s="4" t="s">
        <v>269</v>
      </c>
      <c r="D1454" s="4">
        <v>1009</v>
      </c>
      <c r="E1454" s="4">
        <v>57</v>
      </c>
      <c r="G1454">
        <f t="shared" si="22"/>
        <v>512</v>
      </c>
    </row>
    <row r="1455" spans="2:7" ht="15" hidden="1" x14ac:dyDescent="0.25">
      <c r="B1455" s="4">
        <v>584632738</v>
      </c>
      <c r="C1455" s="4" t="s">
        <v>272</v>
      </c>
      <c r="D1455" s="4">
        <v>89</v>
      </c>
      <c r="E1455" s="4">
        <v>207</v>
      </c>
      <c r="G1455">
        <f t="shared" si="22"/>
        <v>1712</v>
      </c>
    </row>
    <row r="1456" spans="2:7" ht="15" hidden="1" x14ac:dyDescent="0.25">
      <c r="B1456" s="4">
        <v>584632739</v>
      </c>
      <c r="C1456" s="4" t="s">
        <v>269</v>
      </c>
      <c r="D1456" s="4">
        <v>1010</v>
      </c>
      <c r="E1456" s="4">
        <v>57</v>
      </c>
      <c r="G1456">
        <f t="shared" si="22"/>
        <v>512</v>
      </c>
    </row>
    <row r="1457" spans="1:7" ht="15" hidden="1" x14ac:dyDescent="0.25">
      <c r="B1457" s="4">
        <v>584632740</v>
      </c>
      <c r="C1457" s="4" t="s">
        <v>269</v>
      </c>
      <c r="D1457" s="4">
        <v>1011</v>
      </c>
      <c r="E1457" s="4">
        <v>57</v>
      </c>
      <c r="G1457">
        <f t="shared" si="22"/>
        <v>512</v>
      </c>
    </row>
    <row r="1458" spans="1:7" ht="15" hidden="1" x14ac:dyDescent="0.25">
      <c r="B1458" s="4">
        <v>584632741</v>
      </c>
      <c r="C1458" s="4" t="s">
        <v>269</v>
      </c>
      <c r="D1458" s="4">
        <v>1012</v>
      </c>
      <c r="E1458" s="4">
        <v>57</v>
      </c>
      <c r="G1458">
        <f t="shared" si="22"/>
        <v>512</v>
      </c>
    </row>
    <row r="1459" spans="1:7" ht="15" hidden="1" x14ac:dyDescent="0.25">
      <c r="B1459" s="4">
        <v>584632742</v>
      </c>
      <c r="C1459" s="4" t="s">
        <v>269</v>
      </c>
      <c r="D1459" s="4">
        <v>1013</v>
      </c>
      <c r="E1459" s="4">
        <v>57</v>
      </c>
      <c r="G1459">
        <f t="shared" si="22"/>
        <v>512</v>
      </c>
    </row>
    <row r="1460" spans="1:7" ht="15" hidden="1" x14ac:dyDescent="0.25">
      <c r="B1460" s="4">
        <v>584632743</v>
      </c>
      <c r="C1460" s="4" t="s">
        <v>269</v>
      </c>
      <c r="D1460" s="4">
        <v>1014</v>
      </c>
      <c r="E1460" s="4">
        <v>57</v>
      </c>
      <c r="G1460">
        <f t="shared" si="22"/>
        <v>512</v>
      </c>
    </row>
    <row r="1461" spans="1:7" ht="15" hidden="1" x14ac:dyDescent="0.25">
      <c r="B1461" s="4">
        <v>584632744</v>
      </c>
      <c r="C1461" s="4" t="s">
        <v>269</v>
      </c>
      <c r="D1461" s="4">
        <v>1015</v>
      </c>
      <c r="E1461" s="4">
        <v>57</v>
      </c>
      <c r="G1461">
        <f t="shared" si="22"/>
        <v>512</v>
      </c>
    </row>
    <row r="1462" spans="1:7" ht="15" hidden="1" x14ac:dyDescent="0.25">
      <c r="B1462" s="4">
        <v>584632745</v>
      </c>
      <c r="C1462" s="4" t="s">
        <v>269</v>
      </c>
      <c r="D1462" s="4">
        <v>1016</v>
      </c>
      <c r="E1462" s="4">
        <v>57</v>
      </c>
      <c r="G1462">
        <f t="shared" si="22"/>
        <v>512</v>
      </c>
    </row>
    <row r="1463" spans="1:7" ht="15" hidden="1" x14ac:dyDescent="0.25">
      <c r="B1463" s="4">
        <v>584632746</v>
      </c>
      <c r="C1463" s="4" t="s">
        <v>269</v>
      </c>
      <c r="D1463" s="4">
        <v>1017</v>
      </c>
      <c r="E1463" s="4">
        <v>57</v>
      </c>
      <c r="G1463">
        <f t="shared" si="22"/>
        <v>512</v>
      </c>
    </row>
    <row r="1464" spans="1:7" ht="15" hidden="1" x14ac:dyDescent="0.25">
      <c r="B1464" s="4">
        <v>584632747</v>
      </c>
      <c r="C1464" s="4" t="s">
        <v>269</v>
      </c>
      <c r="D1464" s="4">
        <v>1018</v>
      </c>
      <c r="E1464" s="4">
        <v>57</v>
      </c>
      <c r="G1464">
        <f t="shared" si="22"/>
        <v>512</v>
      </c>
    </row>
    <row r="1465" spans="1:7" ht="15" hidden="1" x14ac:dyDescent="0.25">
      <c r="B1465" s="4">
        <v>584632748</v>
      </c>
      <c r="C1465" s="4" t="s">
        <v>269</v>
      </c>
      <c r="D1465" s="4">
        <v>1019</v>
      </c>
      <c r="E1465" s="4">
        <v>57</v>
      </c>
      <c r="G1465">
        <f t="shared" si="22"/>
        <v>512</v>
      </c>
    </row>
    <row r="1466" spans="1:7" ht="15" x14ac:dyDescent="0.25">
      <c r="A1466">
        <f>B1466-B1256</f>
        <v>160</v>
      </c>
      <c r="B1466" s="4">
        <v>584632748</v>
      </c>
      <c r="C1466" s="4" t="s">
        <v>270</v>
      </c>
      <c r="D1466" s="4">
        <v>3</v>
      </c>
      <c r="E1466" s="4">
        <v>1100</v>
      </c>
      <c r="G1466">
        <f t="shared" si="22"/>
        <v>8856</v>
      </c>
    </row>
    <row r="1467" spans="1:7" ht="15" x14ac:dyDescent="0.25">
      <c r="A1467">
        <f>B1467-B1257</f>
        <v>160</v>
      </c>
      <c r="B1467" s="4">
        <v>584632748</v>
      </c>
      <c r="C1467" s="4" t="s">
        <v>271</v>
      </c>
      <c r="D1467" s="4">
        <v>3</v>
      </c>
      <c r="E1467" s="4">
        <v>1100</v>
      </c>
      <c r="G1467">
        <f t="shared" si="22"/>
        <v>8856</v>
      </c>
    </row>
    <row r="1468" spans="1:7" ht="15" hidden="1" x14ac:dyDescent="0.25">
      <c r="B1468" s="4">
        <v>584632749</v>
      </c>
      <c r="C1468" s="4" t="s">
        <v>269</v>
      </c>
      <c r="D1468" s="4">
        <v>1020</v>
      </c>
      <c r="E1468" s="4">
        <v>57</v>
      </c>
      <c r="G1468">
        <f t="shared" si="22"/>
        <v>512</v>
      </c>
    </row>
    <row r="1469" spans="1:7" ht="15" hidden="1" x14ac:dyDescent="0.25">
      <c r="B1469" s="4">
        <v>584632749</v>
      </c>
      <c r="C1469" s="4" t="s">
        <v>272</v>
      </c>
      <c r="D1469" s="4">
        <v>90</v>
      </c>
      <c r="E1469" s="4">
        <v>211</v>
      </c>
      <c r="G1469">
        <f t="shared" si="22"/>
        <v>1744</v>
      </c>
    </row>
    <row r="1470" spans="1:7" ht="15" hidden="1" x14ac:dyDescent="0.25">
      <c r="B1470" s="4">
        <v>584632750</v>
      </c>
      <c r="C1470" s="4" t="s">
        <v>269</v>
      </c>
      <c r="D1470" s="4">
        <v>1021</v>
      </c>
      <c r="E1470" s="4">
        <v>57</v>
      </c>
      <c r="G1470">
        <f t="shared" si="22"/>
        <v>512</v>
      </c>
    </row>
    <row r="1471" spans="1:7" ht="15" hidden="1" x14ac:dyDescent="0.25">
      <c r="B1471" s="4">
        <v>584632751</v>
      </c>
      <c r="C1471" s="4" t="s">
        <v>269</v>
      </c>
      <c r="D1471" s="4">
        <v>1022</v>
      </c>
      <c r="E1471" s="4">
        <v>57</v>
      </c>
      <c r="G1471">
        <f t="shared" si="22"/>
        <v>512</v>
      </c>
    </row>
    <row r="1472" spans="1:7" ht="15" hidden="1" x14ac:dyDescent="0.25">
      <c r="B1472" s="4">
        <v>584632752</v>
      </c>
      <c r="C1472" s="4" t="s">
        <v>269</v>
      </c>
      <c r="D1472" s="4">
        <v>1023</v>
      </c>
      <c r="E1472" s="4">
        <v>57</v>
      </c>
      <c r="G1472">
        <f t="shared" si="22"/>
        <v>512</v>
      </c>
    </row>
    <row r="1473" spans="2:7" ht="15" hidden="1" x14ac:dyDescent="0.25">
      <c r="B1473" s="4">
        <v>584632753</v>
      </c>
      <c r="C1473" s="4" t="s">
        <v>269</v>
      </c>
      <c r="D1473" s="4">
        <v>1024</v>
      </c>
      <c r="E1473" s="4">
        <v>57</v>
      </c>
      <c r="G1473">
        <f t="shared" si="22"/>
        <v>512</v>
      </c>
    </row>
    <row r="1474" spans="2:7" ht="15" hidden="1" x14ac:dyDescent="0.25">
      <c r="B1474" s="4">
        <v>584632754</v>
      </c>
      <c r="C1474" s="4" t="s">
        <v>269</v>
      </c>
      <c r="D1474" s="4">
        <v>1025</v>
      </c>
      <c r="E1474" s="4">
        <v>57</v>
      </c>
      <c r="G1474">
        <f t="shared" si="22"/>
        <v>512</v>
      </c>
    </row>
    <row r="1475" spans="2:7" ht="15" hidden="1" x14ac:dyDescent="0.25">
      <c r="B1475" s="4">
        <v>584632755</v>
      </c>
      <c r="C1475" s="4" t="s">
        <v>269</v>
      </c>
      <c r="D1475" s="4">
        <v>1026</v>
      </c>
      <c r="E1475" s="4">
        <v>57</v>
      </c>
      <c r="G1475">
        <f t="shared" si="22"/>
        <v>512</v>
      </c>
    </row>
    <row r="1476" spans="2:7" ht="15" hidden="1" x14ac:dyDescent="0.25">
      <c r="B1476" s="4">
        <v>584632756</v>
      </c>
      <c r="C1476" s="4" t="s">
        <v>269</v>
      </c>
      <c r="D1476" s="4">
        <v>1027</v>
      </c>
      <c r="E1476" s="4">
        <v>57</v>
      </c>
      <c r="G1476">
        <f t="shared" ref="G1476:G1539" si="23">(E1476+7)*8</f>
        <v>512</v>
      </c>
    </row>
    <row r="1477" spans="2:7" ht="15" hidden="1" x14ac:dyDescent="0.25">
      <c r="B1477" s="4">
        <v>584632757</v>
      </c>
      <c r="C1477" s="4" t="s">
        <v>269</v>
      </c>
      <c r="D1477" s="4">
        <v>1028</v>
      </c>
      <c r="E1477" s="4">
        <v>57</v>
      </c>
      <c r="G1477">
        <f t="shared" si="23"/>
        <v>512</v>
      </c>
    </row>
    <row r="1478" spans="2:7" ht="15" hidden="1" x14ac:dyDescent="0.25">
      <c r="B1478" s="4">
        <v>584632758</v>
      </c>
      <c r="C1478" s="4" t="s">
        <v>269</v>
      </c>
      <c r="D1478" s="4">
        <v>1029</v>
      </c>
      <c r="E1478" s="4">
        <v>57</v>
      </c>
      <c r="G1478">
        <f t="shared" si="23"/>
        <v>512</v>
      </c>
    </row>
    <row r="1479" spans="2:7" ht="15" hidden="1" x14ac:dyDescent="0.25">
      <c r="B1479" s="4">
        <v>584632758</v>
      </c>
      <c r="C1479" s="4" t="s">
        <v>272</v>
      </c>
      <c r="D1479" s="4">
        <v>91</v>
      </c>
      <c r="E1479" s="4">
        <v>209</v>
      </c>
      <c r="G1479">
        <f t="shared" si="23"/>
        <v>1728</v>
      </c>
    </row>
    <row r="1480" spans="2:7" ht="15" hidden="1" x14ac:dyDescent="0.25">
      <c r="B1480" s="4">
        <v>584632759</v>
      </c>
      <c r="C1480" s="4" t="s">
        <v>269</v>
      </c>
      <c r="D1480" s="4">
        <v>1030</v>
      </c>
      <c r="E1480" s="4">
        <v>57</v>
      </c>
      <c r="G1480">
        <f t="shared" si="23"/>
        <v>512</v>
      </c>
    </row>
    <row r="1481" spans="2:7" ht="15" hidden="1" x14ac:dyDescent="0.25">
      <c r="B1481" s="4">
        <v>584632760</v>
      </c>
      <c r="C1481" s="4" t="s">
        <v>269</v>
      </c>
      <c r="D1481" s="4">
        <v>1031</v>
      </c>
      <c r="E1481" s="4">
        <v>57</v>
      </c>
      <c r="G1481">
        <f t="shared" si="23"/>
        <v>512</v>
      </c>
    </row>
    <row r="1482" spans="2:7" ht="15" hidden="1" x14ac:dyDescent="0.25">
      <c r="B1482" s="4">
        <v>584632761</v>
      </c>
      <c r="C1482" s="4" t="s">
        <v>269</v>
      </c>
      <c r="D1482" s="4">
        <v>1032</v>
      </c>
      <c r="E1482" s="4">
        <v>57</v>
      </c>
      <c r="G1482">
        <f t="shared" si="23"/>
        <v>512</v>
      </c>
    </row>
    <row r="1483" spans="2:7" ht="15" hidden="1" x14ac:dyDescent="0.25">
      <c r="B1483" s="4">
        <v>584632762</v>
      </c>
      <c r="C1483" s="4" t="s">
        <v>269</v>
      </c>
      <c r="D1483" s="4">
        <v>1033</v>
      </c>
      <c r="E1483" s="4">
        <v>57</v>
      </c>
      <c r="G1483">
        <f t="shared" si="23"/>
        <v>512</v>
      </c>
    </row>
    <row r="1484" spans="2:7" ht="15" hidden="1" x14ac:dyDescent="0.25">
      <c r="B1484" s="4">
        <v>584632763</v>
      </c>
      <c r="C1484" s="4" t="s">
        <v>269</v>
      </c>
      <c r="D1484" s="4">
        <v>1034</v>
      </c>
      <c r="E1484" s="4">
        <v>57</v>
      </c>
      <c r="G1484">
        <f t="shared" si="23"/>
        <v>512</v>
      </c>
    </row>
    <row r="1485" spans="2:7" ht="15" hidden="1" x14ac:dyDescent="0.25">
      <c r="B1485" s="4">
        <v>584632764</v>
      </c>
      <c r="C1485" s="4" t="s">
        <v>269</v>
      </c>
      <c r="D1485" s="4">
        <v>1035</v>
      </c>
      <c r="E1485" s="4">
        <v>57</v>
      </c>
      <c r="G1485">
        <f t="shared" si="23"/>
        <v>512</v>
      </c>
    </row>
    <row r="1486" spans="2:7" ht="15" hidden="1" x14ac:dyDescent="0.25">
      <c r="B1486" s="4">
        <v>584632765</v>
      </c>
      <c r="C1486" s="4" t="s">
        <v>269</v>
      </c>
      <c r="D1486" s="4">
        <v>1036</v>
      </c>
      <c r="E1486" s="4">
        <v>57</v>
      </c>
      <c r="G1486">
        <f t="shared" si="23"/>
        <v>512</v>
      </c>
    </row>
    <row r="1487" spans="2:7" ht="15" hidden="1" x14ac:dyDescent="0.25">
      <c r="B1487" s="4">
        <v>584632766</v>
      </c>
      <c r="C1487" s="4" t="s">
        <v>269</v>
      </c>
      <c r="D1487" s="4">
        <v>1037</v>
      </c>
      <c r="E1487" s="4">
        <v>57</v>
      </c>
      <c r="G1487">
        <f t="shared" si="23"/>
        <v>512</v>
      </c>
    </row>
    <row r="1488" spans="2:7" ht="15" hidden="1" x14ac:dyDescent="0.25">
      <c r="B1488" s="4">
        <v>584632767</v>
      </c>
      <c r="C1488" s="4" t="s">
        <v>269</v>
      </c>
      <c r="D1488" s="4">
        <v>1038</v>
      </c>
      <c r="E1488" s="4">
        <v>57</v>
      </c>
      <c r="G1488">
        <f t="shared" si="23"/>
        <v>512</v>
      </c>
    </row>
    <row r="1489" spans="2:7" ht="15" hidden="1" x14ac:dyDescent="0.25">
      <c r="B1489" s="4">
        <v>584632768</v>
      </c>
      <c r="C1489" s="4" t="s">
        <v>269</v>
      </c>
      <c r="D1489" s="4">
        <v>1039</v>
      </c>
      <c r="E1489" s="4">
        <v>57</v>
      </c>
      <c r="G1489">
        <f t="shared" si="23"/>
        <v>512</v>
      </c>
    </row>
    <row r="1490" spans="2:7" ht="15" hidden="1" x14ac:dyDescent="0.25">
      <c r="B1490" s="4">
        <v>584632768</v>
      </c>
      <c r="C1490" s="4" t="s">
        <v>272</v>
      </c>
      <c r="D1490" s="4">
        <v>92</v>
      </c>
      <c r="E1490" s="4">
        <v>211</v>
      </c>
      <c r="G1490">
        <f t="shared" si="23"/>
        <v>1744</v>
      </c>
    </row>
    <row r="1491" spans="2:7" ht="15" hidden="1" x14ac:dyDescent="0.25">
      <c r="B1491" s="4">
        <v>584632769</v>
      </c>
      <c r="C1491" s="4" t="s">
        <v>269</v>
      </c>
      <c r="D1491" s="4">
        <v>1040</v>
      </c>
      <c r="E1491" s="4">
        <v>57</v>
      </c>
      <c r="G1491">
        <f t="shared" si="23"/>
        <v>512</v>
      </c>
    </row>
    <row r="1492" spans="2:7" ht="15" hidden="1" x14ac:dyDescent="0.25">
      <c r="B1492" s="4">
        <v>584632770</v>
      </c>
      <c r="C1492" s="4" t="s">
        <v>269</v>
      </c>
      <c r="D1492" s="4">
        <v>1041</v>
      </c>
      <c r="E1492" s="4">
        <v>57</v>
      </c>
      <c r="G1492">
        <f t="shared" si="23"/>
        <v>512</v>
      </c>
    </row>
    <row r="1493" spans="2:7" ht="15" hidden="1" x14ac:dyDescent="0.25">
      <c r="B1493" s="4">
        <v>584632771</v>
      </c>
      <c r="C1493" s="4" t="s">
        <v>269</v>
      </c>
      <c r="D1493" s="4">
        <v>1042</v>
      </c>
      <c r="E1493" s="4">
        <v>57</v>
      </c>
      <c r="G1493">
        <f t="shared" si="23"/>
        <v>512</v>
      </c>
    </row>
    <row r="1494" spans="2:7" ht="15" hidden="1" x14ac:dyDescent="0.25">
      <c r="B1494" s="4">
        <v>584632772</v>
      </c>
      <c r="C1494" s="4" t="s">
        <v>269</v>
      </c>
      <c r="D1494" s="4">
        <v>1043</v>
      </c>
      <c r="E1494" s="4">
        <v>57</v>
      </c>
      <c r="G1494">
        <f t="shared" si="23"/>
        <v>512</v>
      </c>
    </row>
    <row r="1495" spans="2:7" ht="15" hidden="1" x14ac:dyDescent="0.25">
      <c r="B1495" s="4">
        <v>584632773</v>
      </c>
      <c r="C1495" s="4" t="s">
        <v>269</v>
      </c>
      <c r="D1495" s="4">
        <v>1044</v>
      </c>
      <c r="E1495" s="4">
        <v>57</v>
      </c>
      <c r="G1495">
        <f t="shared" si="23"/>
        <v>512</v>
      </c>
    </row>
    <row r="1496" spans="2:7" ht="15" hidden="1" x14ac:dyDescent="0.25">
      <c r="B1496" s="4">
        <v>584632774</v>
      </c>
      <c r="C1496" s="4" t="s">
        <v>269</v>
      </c>
      <c r="D1496" s="4">
        <v>1045</v>
      </c>
      <c r="E1496" s="4">
        <v>57</v>
      </c>
      <c r="G1496">
        <f t="shared" si="23"/>
        <v>512</v>
      </c>
    </row>
    <row r="1497" spans="2:7" ht="15" hidden="1" x14ac:dyDescent="0.25">
      <c r="B1497" s="4">
        <v>584632775</v>
      </c>
      <c r="C1497" s="4" t="s">
        <v>269</v>
      </c>
      <c r="D1497" s="4">
        <v>1046</v>
      </c>
      <c r="E1497" s="4">
        <v>57</v>
      </c>
      <c r="G1497">
        <f t="shared" si="23"/>
        <v>512</v>
      </c>
    </row>
    <row r="1498" spans="2:7" ht="15" hidden="1" x14ac:dyDescent="0.25">
      <c r="B1498" s="4">
        <v>584632776</v>
      </c>
      <c r="C1498" s="4" t="s">
        <v>269</v>
      </c>
      <c r="D1498" s="4">
        <v>1047</v>
      </c>
      <c r="E1498" s="4">
        <v>57</v>
      </c>
      <c r="G1498">
        <f t="shared" si="23"/>
        <v>512</v>
      </c>
    </row>
    <row r="1499" spans="2:7" ht="15" hidden="1" x14ac:dyDescent="0.25">
      <c r="B1499" s="4">
        <v>584632777</v>
      </c>
      <c r="C1499" s="4" t="s">
        <v>269</v>
      </c>
      <c r="D1499" s="4">
        <v>1048</v>
      </c>
      <c r="E1499" s="4">
        <v>57</v>
      </c>
      <c r="G1499">
        <f t="shared" si="23"/>
        <v>512</v>
      </c>
    </row>
    <row r="1500" spans="2:7" ht="15" hidden="1" x14ac:dyDescent="0.25">
      <c r="B1500" s="4">
        <v>584632778</v>
      </c>
      <c r="C1500" s="4" t="s">
        <v>269</v>
      </c>
      <c r="D1500" s="4">
        <v>1049</v>
      </c>
      <c r="E1500" s="4">
        <v>57</v>
      </c>
      <c r="G1500">
        <f t="shared" si="23"/>
        <v>512</v>
      </c>
    </row>
    <row r="1501" spans="2:7" ht="15" hidden="1" x14ac:dyDescent="0.25">
      <c r="B1501" s="4">
        <v>584632778</v>
      </c>
      <c r="C1501" s="4" t="s">
        <v>272</v>
      </c>
      <c r="D1501" s="4">
        <v>93</v>
      </c>
      <c r="E1501" s="4">
        <v>211</v>
      </c>
      <c r="G1501">
        <f t="shared" si="23"/>
        <v>1744</v>
      </c>
    </row>
    <row r="1502" spans="2:7" ht="15" hidden="1" x14ac:dyDescent="0.25">
      <c r="B1502" s="4">
        <v>584632779</v>
      </c>
      <c r="C1502" s="4" t="s">
        <v>269</v>
      </c>
      <c r="D1502" s="4">
        <v>1050</v>
      </c>
      <c r="E1502" s="4">
        <v>57</v>
      </c>
      <c r="G1502">
        <f t="shared" si="23"/>
        <v>512</v>
      </c>
    </row>
    <row r="1503" spans="2:7" ht="15" hidden="1" x14ac:dyDescent="0.25">
      <c r="B1503" s="4">
        <v>584632780</v>
      </c>
      <c r="C1503" s="4" t="s">
        <v>269</v>
      </c>
      <c r="D1503" s="4">
        <v>1051</v>
      </c>
      <c r="E1503" s="4">
        <v>57</v>
      </c>
      <c r="G1503">
        <f t="shared" si="23"/>
        <v>512</v>
      </c>
    </row>
    <row r="1504" spans="2:7" ht="15" hidden="1" x14ac:dyDescent="0.25">
      <c r="B1504" s="4">
        <v>584632781</v>
      </c>
      <c r="C1504" s="4" t="s">
        <v>269</v>
      </c>
      <c r="D1504" s="4">
        <v>1052</v>
      </c>
      <c r="E1504" s="4">
        <v>57</v>
      </c>
      <c r="G1504">
        <f t="shared" si="23"/>
        <v>512</v>
      </c>
    </row>
    <row r="1505" spans="2:7" ht="15" hidden="1" x14ac:dyDescent="0.25">
      <c r="B1505" s="4">
        <v>584632782</v>
      </c>
      <c r="C1505" s="4" t="s">
        <v>269</v>
      </c>
      <c r="D1505" s="4">
        <v>1053</v>
      </c>
      <c r="E1505" s="4">
        <v>57</v>
      </c>
      <c r="G1505">
        <f t="shared" si="23"/>
        <v>512</v>
      </c>
    </row>
    <row r="1506" spans="2:7" ht="15" hidden="1" x14ac:dyDescent="0.25">
      <c r="B1506" s="4">
        <v>584632783</v>
      </c>
      <c r="C1506" s="4" t="s">
        <v>269</v>
      </c>
      <c r="D1506" s="4">
        <v>1054</v>
      </c>
      <c r="E1506" s="4">
        <v>57</v>
      </c>
      <c r="G1506">
        <f t="shared" si="23"/>
        <v>512</v>
      </c>
    </row>
    <row r="1507" spans="2:7" ht="15" hidden="1" x14ac:dyDescent="0.25">
      <c r="B1507" s="4">
        <v>584632784</v>
      </c>
      <c r="C1507" s="4" t="s">
        <v>269</v>
      </c>
      <c r="D1507" s="4">
        <v>1055</v>
      </c>
      <c r="E1507" s="4">
        <v>57</v>
      </c>
      <c r="G1507">
        <f t="shared" si="23"/>
        <v>512</v>
      </c>
    </row>
    <row r="1508" spans="2:7" ht="15" hidden="1" x14ac:dyDescent="0.25">
      <c r="B1508" s="4">
        <v>584632785</v>
      </c>
      <c r="C1508" s="4" t="s">
        <v>269</v>
      </c>
      <c r="D1508" s="4">
        <v>1056</v>
      </c>
      <c r="E1508" s="4">
        <v>57</v>
      </c>
      <c r="G1508">
        <f t="shared" si="23"/>
        <v>512</v>
      </c>
    </row>
    <row r="1509" spans="2:7" ht="15" hidden="1" x14ac:dyDescent="0.25">
      <c r="B1509" s="4">
        <v>584632786</v>
      </c>
      <c r="C1509" s="4" t="s">
        <v>269</v>
      </c>
      <c r="D1509" s="4">
        <v>1057</v>
      </c>
      <c r="E1509" s="4">
        <v>57</v>
      </c>
      <c r="G1509">
        <f t="shared" si="23"/>
        <v>512</v>
      </c>
    </row>
    <row r="1510" spans="2:7" ht="15" hidden="1" x14ac:dyDescent="0.25">
      <c r="B1510" s="4">
        <v>584632787</v>
      </c>
      <c r="C1510" s="4" t="s">
        <v>269</v>
      </c>
      <c r="D1510" s="4">
        <v>1058</v>
      </c>
      <c r="E1510" s="4">
        <v>57</v>
      </c>
      <c r="G1510">
        <f t="shared" si="23"/>
        <v>512</v>
      </c>
    </row>
    <row r="1511" spans="2:7" ht="15" hidden="1" x14ac:dyDescent="0.25">
      <c r="B1511" s="4">
        <v>584632788</v>
      </c>
      <c r="C1511" s="4" t="s">
        <v>269</v>
      </c>
      <c r="D1511" s="4">
        <v>1059</v>
      </c>
      <c r="E1511" s="4">
        <v>57</v>
      </c>
      <c r="G1511">
        <f t="shared" si="23"/>
        <v>512</v>
      </c>
    </row>
    <row r="1512" spans="2:7" ht="15" hidden="1" x14ac:dyDescent="0.25">
      <c r="B1512" s="4">
        <v>584632788</v>
      </c>
      <c r="C1512" s="4" t="s">
        <v>272</v>
      </c>
      <c r="D1512" s="4">
        <v>94</v>
      </c>
      <c r="E1512" s="4">
        <v>211</v>
      </c>
      <c r="G1512">
        <f t="shared" si="23"/>
        <v>1744</v>
      </c>
    </row>
    <row r="1513" spans="2:7" ht="15" hidden="1" x14ac:dyDescent="0.25">
      <c r="B1513" s="4">
        <v>584632789</v>
      </c>
      <c r="C1513" s="4" t="s">
        <v>269</v>
      </c>
      <c r="D1513" s="4">
        <v>1060</v>
      </c>
      <c r="E1513" s="4">
        <v>57</v>
      </c>
      <c r="G1513">
        <f t="shared" si="23"/>
        <v>512</v>
      </c>
    </row>
    <row r="1514" spans="2:7" ht="15" hidden="1" x14ac:dyDescent="0.25">
      <c r="B1514" s="4">
        <v>584632790</v>
      </c>
      <c r="C1514" s="4" t="s">
        <v>269</v>
      </c>
      <c r="D1514" s="4">
        <v>1061</v>
      </c>
      <c r="E1514" s="4">
        <v>57</v>
      </c>
      <c r="G1514">
        <f t="shared" si="23"/>
        <v>512</v>
      </c>
    </row>
    <row r="1515" spans="2:7" ht="15" hidden="1" x14ac:dyDescent="0.25">
      <c r="B1515" s="4">
        <v>584632791</v>
      </c>
      <c r="C1515" s="4" t="s">
        <v>269</v>
      </c>
      <c r="D1515" s="4">
        <v>1062</v>
      </c>
      <c r="E1515" s="4">
        <v>57</v>
      </c>
      <c r="G1515">
        <f t="shared" si="23"/>
        <v>512</v>
      </c>
    </row>
    <row r="1516" spans="2:7" ht="15" hidden="1" x14ac:dyDescent="0.25">
      <c r="B1516" s="4">
        <v>584632792</v>
      </c>
      <c r="C1516" s="4" t="s">
        <v>269</v>
      </c>
      <c r="D1516" s="4">
        <v>1063</v>
      </c>
      <c r="E1516" s="4">
        <v>57</v>
      </c>
      <c r="G1516">
        <f t="shared" si="23"/>
        <v>512</v>
      </c>
    </row>
    <row r="1517" spans="2:7" ht="15" hidden="1" x14ac:dyDescent="0.25">
      <c r="B1517" s="4">
        <v>584632793</v>
      </c>
      <c r="C1517" s="4" t="s">
        <v>269</v>
      </c>
      <c r="D1517" s="4">
        <v>1064</v>
      </c>
      <c r="E1517" s="4">
        <v>57</v>
      </c>
      <c r="G1517">
        <f t="shared" si="23"/>
        <v>512</v>
      </c>
    </row>
    <row r="1518" spans="2:7" ht="15" hidden="1" x14ac:dyDescent="0.25">
      <c r="B1518" s="4">
        <v>584632794</v>
      </c>
      <c r="C1518" s="4" t="s">
        <v>269</v>
      </c>
      <c r="D1518" s="4">
        <v>1065</v>
      </c>
      <c r="E1518" s="4">
        <v>57</v>
      </c>
      <c r="G1518">
        <f t="shared" si="23"/>
        <v>512</v>
      </c>
    </row>
    <row r="1519" spans="2:7" ht="15" hidden="1" x14ac:dyDescent="0.25">
      <c r="B1519" s="4">
        <v>584632795</v>
      </c>
      <c r="C1519" s="4" t="s">
        <v>269</v>
      </c>
      <c r="D1519" s="4">
        <v>1066</v>
      </c>
      <c r="E1519" s="4">
        <v>57</v>
      </c>
      <c r="G1519">
        <f t="shared" si="23"/>
        <v>512</v>
      </c>
    </row>
    <row r="1520" spans="2:7" ht="15" hidden="1" x14ac:dyDescent="0.25">
      <c r="B1520" s="4">
        <v>584632796</v>
      </c>
      <c r="C1520" s="4" t="s">
        <v>269</v>
      </c>
      <c r="D1520" s="4">
        <v>1067</v>
      </c>
      <c r="E1520" s="4">
        <v>57</v>
      </c>
      <c r="G1520">
        <f t="shared" si="23"/>
        <v>512</v>
      </c>
    </row>
    <row r="1521" spans="2:7" ht="15" hidden="1" x14ac:dyDescent="0.25">
      <c r="B1521" s="4">
        <v>584632797</v>
      </c>
      <c r="C1521" s="4" t="s">
        <v>269</v>
      </c>
      <c r="D1521" s="4">
        <v>1068</v>
      </c>
      <c r="E1521" s="4">
        <v>57</v>
      </c>
      <c r="G1521">
        <f t="shared" si="23"/>
        <v>512</v>
      </c>
    </row>
    <row r="1522" spans="2:7" ht="15" hidden="1" x14ac:dyDescent="0.25">
      <c r="B1522" s="4">
        <v>584632798</v>
      </c>
      <c r="C1522" s="4" t="s">
        <v>269</v>
      </c>
      <c r="D1522" s="4">
        <v>1069</v>
      </c>
      <c r="E1522" s="4">
        <v>57</v>
      </c>
      <c r="G1522">
        <f t="shared" si="23"/>
        <v>512</v>
      </c>
    </row>
    <row r="1523" spans="2:7" ht="15" hidden="1" x14ac:dyDescent="0.25">
      <c r="B1523" s="4">
        <v>584632798</v>
      </c>
      <c r="C1523" s="4" t="s">
        <v>272</v>
      </c>
      <c r="D1523" s="4">
        <v>95</v>
      </c>
      <c r="E1523" s="4">
        <v>207</v>
      </c>
      <c r="G1523">
        <f t="shared" si="23"/>
        <v>1712</v>
      </c>
    </row>
    <row r="1524" spans="2:7" ht="15" hidden="1" x14ac:dyDescent="0.25">
      <c r="B1524" s="4">
        <v>584632799</v>
      </c>
      <c r="C1524" s="4" t="s">
        <v>269</v>
      </c>
      <c r="D1524" s="4">
        <v>1070</v>
      </c>
      <c r="E1524" s="4">
        <v>57</v>
      </c>
      <c r="G1524">
        <f t="shared" si="23"/>
        <v>512</v>
      </c>
    </row>
    <row r="1525" spans="2:7" ht="15" hidden="1" x14ac:dyDescent="0.25">
      <c r="B1525" s="4">
        <v>584632800</v>
      </c>
      <c r="C1525" s="4" t="s">
        <v>269</v>
      </c>
      <c r="D1525" s="4">
        <v>1071</v>
      </c>
      <c r="E1525" s="4">
        <v>57</v>
      </c>
      <c r="G1525">
        <f t="shared" si="23"/>
        <v>512</v>
      </c>
    </row>
    <row r="1526" spans="2:7" ht="15" hidden="1" x14ac:dyDescent="0.25">
      <c r="B1526" s="4">
        <v>584632801</v>
      </c>
      <c r="C1526" s="4" t="s">
        <v>269</v>
      </c>
      <c r="D1526" s="4">
        <v>1072</v>
      </c>
      <c r="E1526" s="4">
        <v>57</v>
      </c>
      <c r="G1526">
        <f t="shared" si="23"/>
        <v>512</v>
      </c>
    </row>
    <row r="1527" spans="2:7" ht="15" hidden="1" x14ac:dyDescent="0.25">
      <c r="B1527" s="4">
        <v>584632802</v>
      </c>
      <c r="C1527" s="4" t="s">
        <v>269</v>
      </c>
      <c r="D1527" s="4">
        <v>1073</v>
      </c>
      <c r="E1527" s="4">
        <v>57</v>
      </c>
      <c r="G1527">
        <f t="shared" si="23"/>
        <v>512</v>
      </c>
    </row>
    <row r="1528" spans="2:7" ht="15" hidden="1" x14ac:dyDescent="0.25">
      <c r="B1528" s="4">
        <v>584632803</v>
      </c>
      <c r="C1528" s="4" t="s">
        <v>269</v>
      </c>
      <c r="D1528" s="4">
        <v>1074</v>
      </c>
      <c r="E1528" s="4">
        <v>57</v>
      </c>
      <c r="G1528">
        <f t="shared" si="23"/>
        <v>512</v>
      </c>
    </row>
    <row r="1529" spans="2:7" ht="15" hidden="1" x14ac:dyDescent="0.25">
      <c r="B1529" s="4">
        <v>584632804</v>
      </c>
      <c r="C1529" s="4" t="s">
        <v>269</v>
      </c>
      <c r="D1529" s="4">
        <v>1075</v>
      </c>
      <c r="E1529" s="4">
        <v>57</v>
      </c>
      <c r="G1529">
        <f t="shared" si="23"/>
        <v>512</v>
      </c>
    </row>
    <row r="1530" spans="2:7" ht="15" hidden="1" x14ac:dyDescent="0.25">
      <c r="B1530" s="4">
        <v>584632805</v>
      </c>
      <c r="C1530" s="4" t="s">
        <v>269</v>
      </c>
      <c r="D1530" s="4">
        <v>1076</v>
      </c>
      <c r="E1530" s="4">
        <v>57</v>
      </c>
      <c r="G1530">
        <f t="shared" si="23"/>
        <v>512</v>
      </c>
    </row>
    <row r="1531" spans="2:7" ht="15" hidden="1" x14ac:dyDescent="0.25">
      <c r="B1531" s="4">
        <v>584632806</v>
      </c>
      <c r="C1531" s="4" t="s">
        <v>269</v>
      </c>
      <c r="D1531" s="4">
        <v>1077</v>
      </c>
      <c r="E1531" s="4">
        <v>57</v>
      </c>
      <c r="G1531">
        <f t="shared" si="23"/>
        <v>512</v>
      </c>
    </row>
    <row r="1532" spans="2:7" ht="15" hidden="1" x14ac:dyDescent="0.25">
      <c r="B1532" s="4">
        <v>584632807</v>
      </c>
      <c r="C1532" s="4" t="s">
        <v>269</v>
      </c>
      <c r="D1532" s="4">
        <v>1078</v>
      </c>
      <c r="E1532" s="4">
        <v>57</v>
      </c>
      <c r="G1532">
        <f t="shared" si="23"/>
        <v>512</v>
      </c>
    </row>
    <row r="1533" spans="2:7" ht="15" hidden="1" x14ac:dyDescent="0.25">
      <c r="B1533" s="4">
        <v>584632808</v>
      </c>
      <c r="C1533" s="4" t="s">
        <v>269</v>
      </c>
      <c r="D1533" s="4">
        <v>1079</v>
      </c>
      <c r="E1533" s="4">
        <v>57</v>
      </c>
      <c r="G1533">
        <f t="shared" si="23"/>
        <v>512</v>
      </c>
    </row>
    <row r="1534" spans="2:7" ht="15" hidden="1" x14ac:dyDescent="0.25">
      <c r="B1534" s="4">
        <v>584632808</v>
      </c>
      <c r="C1534" s="4" t="s">
        <v>272</v>
      </c>
      <c r="D1534" s="4">
        <v>96</v>
      </c>
      <c r="E1534" s="4">
        <v>209</v>
      </c>
      <c r="G1534">
        <f t="shared" si="23"/>
        <v>1728</v>
      </c>
    </row>
    <row r="1535" spans="2:7" ht="15" hidden="1" x14ac:dyDescent="0.25">
      <c r="B1535" s="4">
        <v>584632809</v>
      </c>
      <c r="C1535" s="4" t="s">
        <v>269</v>
      </c>
      <c r="D1535" s="4">
        <v>1080</v>
      </c>
      <c r="E1535" s="4">
        <v>57</v>
      </c>
      <c r="G1535">
        <f t="shared" si="23"/>
        <v>512</v>
      </c>
    </row>
    <row r="1536" spans="2:7" ht="15" hidden="1" x14ac:dyDescent="0.25">
      <c r="B1536" s="4">
        <v>584632810</v>
      </c>
      <c r="C1536" s="4" t="s">
        <v>269</v>
      </c>
      <c r="D1536" s="4">
        <v>1081</v>
      </c>
      <c r="E1536" s="4">
        <v>57</v>
      </c>
      <c r="G1536">
        <f t="shared" si="23"/>
        <v>512</v>
      </c>
    </row>
    <row r="1537" spans="2:7" ht="15" hidden="1" x14ac:dyDescent="0.25">
      <c r="B1537" s="4">
        <v>584632811</v>
      </c>
      <c r="C1537" s="4" t="s">
        <v>269</v>
      </c>
      <c r="D1537" s="4">
        <v>1082</v>
      </c>
      <c r="E1537" s="4">
        <v>57</v>
      </c>
      <c r="G1537">
        <f t="shared" si="23"/>
        <v>512</v>
      </c>
    </row>
    <row r="1538" spans="2:7" ht="15" hidden="1" x14ac:dyDescent="0.25">
      <c r="B1538" s="4">
        <v>584632812</v>
      </c>
      <c r="C1538" s="4" t="s">
        <v>269</v>
      </c>
      <c r="D1538" s="4">
        <v>1083</v>
      </c>
      <c r="E1538" s="4">
        <v>57</v>
      </c>
      <c r="G1538">
        <f t="shared" si="23"/>
        <v>512</v>
      </c>
    </row>
    <row r="1539" spans="2:7" ht="15" hidden="1" x14ac:dyDescent="0.25">
      <c r="B1539" s="4">
        <v>584632813</v>
      </c>
      <c r="C1539" s="4" t="s">
        <v>269</v>
      </c>
      <c r="D1539" s="4">
        <v>1084</v>
      </c>
      <c r="E1539" s="4">
        <v>57</v>
      </c>
      <c r="G1539">
        <f t="shared" si="23"/>
        <v>512</v>
      </c>
    </row>
    <row r="1540" spans="2:7" ht="15" hidden="1" x14ac:dyDescent="0.25">
      <c r="B1540" s="4">
        <v>584632814</v>
      </c>
      <c r="C1540" s="4" t="s">
        <v>269</v>
      </c>
      <c r="D1540" s="4">
        <v>1085</v>
      </c>
      <c r="E1540" s="4">
        <v>57</v>
      </c>
      <c r="G1540">
        <f t="shared" ref="G1540:G1603" si="24">(E1540+7)*8</f>
        <v>512</v>
      </c>
    </row>
    <row r="1541" spans="2:7" ht="15" hidden="1" x14ac:dyDescent="0.25">
      <c r="B1541" s="4">
        <v>584632815</v>
      </c>
      <c r="C1541" s="4" t="s">
        <v>269</v>
      </c>
      <c r="D1541" s="4">
        <v>1086</v>
      </c>
      <c r="E1541" s="4">
        <v>57</v>
      </c>
      <c r="G1541">
        <f t="shared" si="24"/>
        <v>512</v>
      </c>
    </row>
    <row r="1542" spans="2:7" ht="15" hidden="1" x14ac:dyDescent="0.25">
      <c r="B1542" s="4">
        <v>584632816</v>
      </c>
      <c r="C1542" s="4" t="s">
        <v>269</v>
      </c>
      <c r="D1542" s="4">
        <v>1087</v>
      </c>
      <c r="E1542" s="4">
        <v>57</v>
      </c>
      <c r="G1542">
        <f t="shared" si="24"/>
        <v>512</v>
      </c>
    </row>
    <row r="1543" spans="2:7" ht="15" hidden="1" x14ac:dyDescent="0.25">
      <c r="B1543" s="4">
        <v>584632817</v>
      </c>
      <c r="C1543" s="4" t="s">
        <v>269</v>
      </c>
      <c r="D1543" s="4">
        <v>1088</v>
      </c>
      <c r="E1543" s="4">
        <v>57</v>
      </c>
      <c r="G1543">
        <f t="shared" si="24"/>
        <v>512</v>
      </c>
    </row>
    <row r="1544" spans="2:7" ht="15" hidden="1" x14ac:dyDescent="0.25">
      <c r="B1544" s="4">
        <v>584632818</v>
      </c>
      <c r="C1544" s="4" t="s">
        <v>269</v>
      </c>
      <c r="D1544" s="4">
        <v>1089</v>
      </c>
      <c r="E1544" s="4">
        <v>57</v>
      </c>
      <c r="G1544">
        <f t="shared" si="24"/>
        <v>512</v>
      </c>
    </row>
    <row r="1545" spans="2:7" ht="15" hidden="1" x14ac:dyDescent="0.25">
      <c r="B1545" s="4">
        <v>584632818</v>
      </c>
      <c r="C1545" s="4" t="s">
        <v>272</v>
      </c>
      <c r="D1545" s="4">
        <v>97</v>
      </c>
      <c r="E1545" s="4">
        <v>211</v>
      </c>
      <c r="G1545">
        <f t="shared" si="24"/>
        <v>1744</v>
      </c>
    </row>
    <row r="1546" spans="2:7" ht="15" hidden="1" x14ac:dyDescent="0.25">
      <c r="B1546" s="4">
        <v>584632819</v>
      </c>
      <c r="C1546" s="4" t="s">
        <v>269</v>
      </c>
      <c r="D1546" s="4">
        <v>1090</v>
      </c>
      <c r="E1546" s="4">
        <v>57</v>
      </c>
      <c r="G1546">
        <f t="shared" si="24"/>
        <v>512</v>
      </c>
    </row>
    <row r="1547" spans="2:7" ht="15" hidden="1" x14ac:dyDescent="0.25">
      <c r="B1547" s="4">
        <v>584632820</v>
      </c>
      <c r="C1547" s="4" t="s">
        <v>269</v>
      </c>
      <c r="D1547" s="4">
        <v>1091</v>
      </c>
      <c r="E1547" s="4">
        <v>57</v>
      </c>
      <c r="G1547">
        <f t="shared" si="24"/>
        <v>512</v>
      </c>
    </row>
    <row r="1548" spans="2:7" ht="15" hidden="1" x14ac:dyDescent="0.25">
      <c r="B1548" s="4">
        <v>584632821</v>
      </c>
      <c r="C1548" s="4" t="s">
        <v>269</v>
      </c>
      <c r="D1548" s="4">
        <v>1092</v>
      </c>
      <c r="E1548" s="4">
        <v>57</v>
      </c>
      <c r="G1548">
        <f t="shared" si="24"/>
        <v>512</v>
      </c>
    </row>
    <row r="1549" spans="2:7" ht="15" hidden="1" x14ac:dyDescent="0.25">
      <c r="B1549" s="4">
        <v>584632822</v>
      </c>
      <c r="C1549" s="4" t="s">
        <v>269</v>
      </c>
      <c r="D1549" s="4">
        <v>1093</v>
      </c>
      <c r="E1549" s="4">
        <v>57</v>
      </c>
      <c r="G1549">
        <f t="shared" si="24"/>
        <v>512</v>
      </c>
    </row>
    <row r="1550" spans="2:7" ht="15" hidden="1" x14ac:dyDescent="0.25">
      <c r="B1550" s="4">
        <v>584632823</v>
      </c>
      <c r="C1550" s="4" t="s">
        <v>269</v>
      </c>
      <c r="D1550" s="4">
        <v>1094</v>
      </c>
      <c r="E1550" s="4">
        <v>57</v>
      </c>
      <c r="G1550">
        <f t="shared" si="24"/>
        <v>512</v>
      </c>
    </row>
    <row r="1551" spans="2:7" ht="15" hidden="1" x14ac:dyDescent="0.25">
      <c r="B1551" s="4">
        <v>584632824</v>
      </c>
      <c r="C1551" s="4" t="s">
        <v>269</v>
      </c>
      <c r="D1551" s="4">
        <v>1095</v>
      </c>
      <c r="E1551" s="4">
        <v>57</v>
      </c>
      <c r="G1551">
        <f t="shared" si="24"/>
        <v>512</v>
      </c>
    </row>
    <row r="1552" spans="2:7" ht="15" hidden="1" x14ac:dyDescent="0.25">
      <c r="B1552" s="4">
        <v>584632825</v>
      </c>
      <c r="C1552" s="4" t="s">
        <v>269</v>
      </c>
      <c r="D1552" s="4">
        <v>1096</v>
      </c>
      <c r="E1552" s="4">
        <v>57</v>
      </c>
      <c r="G1552">
        <f t="shared" si="24"/>
        <v>512</v>
      </c>
    </row>
    <row r="1553" spans="2:7" ht="15" hidden="1" x14ac:dyDescent="0.25">
      <c r="B1553" s="4">
        <v>584632826</v>
      </c>
      <c r="C1553" s="4" t="s">
        <v>269</v>
      </c>
      <c r="D1553" s="4">
        <v>1097</v>
      </c>
      <c r="E1553" s="4">
        <v>57</v>
      </c>
      <c r="G1553">
        <f t="shared" si="24"/>
        <v>512</v>
      </c>
    </row>
    <row r="1554" spans="2:7" ht="15" hidden="1" x14ac:dyDescent="0.25">
      <c r="B1554" s="4">
        <v>584632827</v>
      </c>
      <c r="C1554" s="4" t="s">
        <v>269</v>
      </c>
      <c r="D1554" s="4">
        <v>1098</v>
      </c>
      <c r="E1554" s="4">
        <v>57</v>
      </c>
      <c r="G1554">
        <f t="shared" si="24"/>
        <v>512</v>
      </c>
    </row>
    <row r="1555" spans="2:7" ht="15" hidden="1" x14ac:dyDescent="0.25">
      <c r="B1555" s="4">
        <v>584632828</v>
      </c>
      <c r="C1555" s="4" t="s">
        <v>269</v>
      </c>
      <c r="D1555" s="4">
        <v>1099</v>
      </c>
      <c r="E1555" s="4">
        <v>57</v>
      </c>
      <c r="G1555">
        <f t="shared" si="24"/>
        <v>512</v>
      </c>
    </row>
    <row r="1556" spans="2:7" ht="15" hidden="1" x14ac:dyDescent="0.25">
      <c r="B1556" s="4">
        <v>584632828</v>
      </c>
      <c r="C1556" s="4" t="s">
        <v>272</v>
      </c>
      <c r="D1556" s="4">
        <v>98</v>
      </c>
      <c r="E1556" s="4">
        <v>209</v>
      </c>
      <c r="G1556">
        <f t="shared" si="24"/>
        <v>1728</v>
      </c>
    </row>
    <row r="1557" spans="2:7" ht="15" hidden="1" x14ac:dyDescent="0.25">
      <c r="B1557" s="4">
        <v>584632829</v>
      </c>
      <c r="C1557" s="4" t="s">
        <v>269</v>
      </c>
      <c r="D1557" s="4">
        <v>1100</v>
      </c>
      <c r="E1557" s="4">
        <v>57</v>
      </c>
      <c r="G1557">
        <f t="shared" si="24"/>
        <v>512</v>
      </c>
    </row>
    <row r="1558" spans="2:7" ht="15" hidden="1" x14ac:dyDescent="0.25">
      <c r="B1558" s="4">
        <v>584632830</v>
      </c>
      <c r="C1558" s="4" t="s">
        <v>269</v>
      </c>
      <c r="D1558" s="4">
        <v>1101</v>
      </c>
      <c r="E1558" s="4">
        <v>57</v>
      </c>
      <c r="G1558">
        <f t="shared" si="24"/>
        <v>512</v>
      </c>
    </row>
    <row r="1559" spans="2:7" ht="15" hidden="1" x14ac:dyDescent="0.25">
      <c r="B1559" s="4">
        <v>584632831</v>
      </c>
      <c r="C1559" s="4" t="s">
        <v>269</v>
      </c>
      <c r="D1559" s="4">
        <v>1102</v>
      </c>
      <c r="E1559" s="4">
        <v>57</v>
      </c>
      <c r="G1559">
        <f t="shared" si="24"/>
        <v>512</v>
      </c>
    </row>
    <row r="1560" spans="2:7" ht="15" hidden="1" x14ac:dyDescent="0.25">
      <c r="B1560" s="4">
        <v>584632832</v>
      </c>
      <c r="C1560" s="4" t="s">
        <v>268</v>
      </c>
      <c r="D1560" s="4">
        <v>250</v>
      </c>
      <c r="E1560" s="4">
        <v>6</v>
      </c>
      <c r="G1560">
        <f t="shared" si="24"/>
        <v>104</v>
      </c>
    </row>
    <row r="1561" spans="2:7" ht="15" hidden="1" x14ac:dyDescent="0.25">
      <c r="B1561" s="4">
        <v>584632832</v>
      </c>
      <c r="C1561" s="4" t="s">
        <v>268</v>
      </c>
      <c r="D1561" s="4">
        <v>250</v>
      </c>
      <c r="E1561" s="4">
        <v>6</v>
      </c>
      <c r="G1561">
        <f t="shared" si="24"/>
        <v>104</v>
      </c>
    </row>
    <row r="1562" spans="2:7" ht="15" hidden="1" x14ac:dyDescent="0.25">
      <c r="B1562" s="4">
        <v>584632832</v>
      </c>
      <c r="C1562" s="4" t="s">
        <v>268</v>
      </c>
      <c r="D1562" s="4">
        <v>251</v>
      </c>
      <c r="E1562" s="4">
        <v>9</v>
      </c>
      <c r="G1562">
        <f t="shared" si="24"/>
        <v>128</v>
      </c>
    </row>
    <row r="1563" spans="2:7" ht="15" hidden="1" x14ac:dyDescent="0.25">
      <c r="B1563" s="4">
        <v>584632832</v>
      </c>
      <c r="C1563" s="4" t="s">
        <v>268</v>
      </c>
      <c r="D1563" s="4">
        <v>251</v>
      </c>
      <c r="E1563" s="4">
        <v>9</v>
      </c>
      <c r="G1563">
        <f t="shared" si="24"/>
        <v>128</v>
      </c>
    </row>
    <row r="1564" spans="2:7" ht="15" hidden="1" x14ac:dyDescent="0.25">
      <c r="B1564" s="4">
        <v>584632832</v>
      </c>
      <c r="C1564" s="4" t="s">
        <v>268</v>
      </c>
      <c r="D1564" s="4">
        <v>252</v>
      </c>
      <c r="E1564" s="4">
        <v>7</v>
      </c>
      <c r="G1564">
        <f t="shared" si="24"/>
        <v>112</v>
      </c>
    </row>
    <row r="1565" spans="2:7" ht="15" hidden="1" x14ac:dyDescent="0.25">
      <c r="B1565" s="4">
        <v>584632832</v>
      </c>
      <c r="C1565" s="4" t="s">
        <v>268</v>
      </c>
      <c r="D1565" s="4">
        <v>252</v>
      </c>
      <c r="E1565" s="4">
        <v>7</v>
      </c>
      <c r="G1565">
        <f t="shared" si="24"/>
        <v>112</v>
      </c>
    </row>
    <row r="1566" spans="2:7" ht="15" hidden="1" x14ac:dyDescent="0.25">
      <c r="B1566" s="4">
        <v>584632832</v>
      </c>
      <c r="C1566" s="4" t="s">
        <v>268</v>
      </c>
      <c r="D1566" s="4">
        <v>253</v>
      </c>
      <c r="E1566" s="4">
        <v>7</v>
      </c>
      <c r="G1566">
        <f t="shared" si="24"/>
        <v>112</v>
      </c>
    </row>
    <row r="1567" spans="2:7" ht="15" hidden="1" x14ac:dyDescent="0.25">
      <c r="B1567" s="4">
        <v>584632832</v>
      </c>
      <c r="C1567" s="4" t="s">
        <v>268</v>
      </c>
      <c r="D1567" s="4">
        <v>253</v>
      </c>
      <c r="E1567" s="4">
        <v>7</v>
      </c>
      <c r="G1567">
        <f t="shared" si="24"/>
        <v>112</v>
      </c>
    </row>
    <row r="1568" spans="2:7" ht="15" hidden="1" x14ac:dyDescent="0.25">
      <c r="B1568" s="4">
        <v>584632832</v>
      </c>
      <c r="C1568" s="4" t="s">
        <v>268</v>
      </c>
      <c r="D1568" s="4">
        <v>254</v>
      </c>
      <c r="E1568" s="4">
        <v>7</v>
      </c>
      <c r="G1568">
        <f t="shared" si="24"/>
        <v>112</v>
      </c>
    </row>
    <row r="1569" spans="2:7" ht="15" hidden="1" x14ac:dyDescent="0.25">
      <c r="B1569" s="4">
        <v>584632832</v>
      </c>
      <c r="C1569" s="4" t="s">
        <v>268</v>
      </c>
      <c r="D1569" s="4">
        <v>254</v>
      </c>
      <c r="E1569" s="4">
        <v>7</v>
      </c>
      <c r="G1569">
        <f t="shared" si="24"/>
        <v>112</v>
      </c>
    </row>
    <row r="1570" spans="2:7" ht="15" hidden="1" x14ac:dyDescent="0.25">
      <c r="B1570" s="4">
        <v>584632832</v>
      </c>
      <c r="C1570" s="4" t="s">
        <v>269</v>
      </c>
      <c r="D1570" s="4">
        <v>1103</v>
      </c>
      <c r="E1570" s="4">
        <v>57</v>
      </c>
      <c r="G1570">
        <f t="shared" si="24"/>
        <v>512</v>
      </c>
    </row>
    <row r="1571" spans="2:7" ht="15" hidden="1" x14ac:dyDescent="0.25">
      <c r="B1571" s="4">
        <v>584632833</v>
      </c>
      <c r="C1571" s="4" t="s">
        <v>269</v>
      </c>
      <c r="D1571" s="4">
        <v>1104</v>
      </c>
      <c r="E1571" s="4">
        <v>57</v>
      </c>
      <c r="G1571">
        <f t="shared" si="24"/>
        <v>512</v>
      </c>
    </row>
    <row r="1572" spans="2:7" ht="15" hidden="1" x14ac:dyDescent="0.25">
      <c r="B1572" s="4">
        <v>584632834</v>
      </c>
      <c r="C1572" s="4" t="s">
        <v>268</v>
      </c>
      <c r="D1572" s="4">
        <v>255</v>
      </c>
      <c r="E1572" s="4">
        <v>7</v>
      </c>
      <c r="G1572">
        <f t="shared" si="24"/>
        <v>112</v>
      </c>
    </row>
    <row r="1573" spans="2:7" ht="15" hidden="1" x14ac:dyDescent="0.25">
      <c r="B1573" s="4">
        <v>584632834</v>
      </c>
      <c r="C1573" s="4" t="s">
        <v>268</v>
      </c>
      <c r="D1573" s="4">
        <v>255</v>
      </c>
      <c r="E1573" s="4">
        <v>7</v>
      </c>
      <c r="G1573">
        <f t="shared" si="24"/>
        <v>112</v>
      </c>
    </row>
    <row r="1574" spans="2:7" ht="15" hidden="1" x14ac:dyDescent="0.25">
      <c r="B1574" s="4">
        <v>584632834</v>
      </c>
      <c r="C1574" s="4" t="s">
        <v>268</v>
      </c>
      <c r="D1574" s="4">
        <v>256</v>
      </c>
      <c r="E1574" s="4">
        <v>5</v>
      </c>
      <c r="G1574">
        <f t="shared" si="24"/>
        <v>96</v>
      </c>
    </row>
    <row r="1575" spans="2:7" ht="15" hidden="1" x14ac:dyDescent="0.25">
      <c r="B1575" s="4">
        <v>584632834</v>
      </c>
      <c r="C1575" s="4" t="s">
        <v>268</v>
      </c>
      <c r="D1575" s="4">
        <v>256</v>
      </c>
      <c r="E1575" s="4">
        <v>5</v>
      </c>
      <c r="G1575">
        <f t="shared" si="24"/>
        <v>96</v>
      </c>
    </row>
    <row r="1576" spans="2:7" ht="15" hidden="1" x14ac:dyDescent="0.25">
      <c r="B1576" s="4">
        <v>584632834</v>
      </c>
      <c r="C1576" s="4" t="s">
        <v>268</v>
      </c>
      <c r="D1576" s="4">
        <v>257</v>
      </c>
      <c r="E1576" s="4">
        <v>7</v>
      </c>
      <c r="G1576">
        <f t="shared" si="24"/>
        <v>112</v>
      </c>
    </row>
    <row r="1577" spans="2:7" ht="15" hidden="1" x14ac:dyDescent="0.25">
      <c r="B1577" s="4">
        <v>584632834</v>
      </c>
      <c r="C1577" s="4" t="s">
        <v>268</v>
      </c>
      <c r="D1577" s="4">
        <v>257</v>
      </c>
      <c r="E1577" s="4">
        <v>7</v>
      </c>
      <c r="G1577">
        <f t="shared" si="24"/>
        <v>112</v>
      </c>
    </row>
    <row r="1578" spans="2:7" ht="15" hidden="1" x14ac:dyDescent="0.25">
      <c r="B1578" s="4">
        <v>584632834</v>
      </c>
      <c r="C1578" s="4" t="s">
        <v>269</v>
      </c>
      <c r="D1578" s="4">
        <v>1105</v>
      </c>
      <c r="E1578" s="4">
        <v>57</v>
      </c>
      <c r="G1578">
        <f t="shared" si="24"/>
        <v>512</v>
      </c>
    </row>
    <row r="1579" spans="2:7" ht="15" hidden="1" x14ac:dyDescent="0.25">
      <c r="B1579" s="4">
        <v>584632835</v>
      </c>
      <c r="C1579" s="4" t="s">
        <v>269</v>
      </c>
      <c r="D1579" s="4">
        <v>1106</v>
      </c>
      <c r="E1579" s="4">
        <v>57</v>
      </c>
      <c r="G1579">
        <f t="shared" si="24"/>
        <v>512</v>
      </c>
    </row>
    <row r="1580" spans="2:7" ht="15" hidden="1" x14ac:dyDescent="0.25">
      <c r="B1580" s="4">
        <v>584632836</v>
      </c>
      <c r="C1580" s="4" t="s">
        <v>269</v>
      </c>
      <c r="D1580" s="4">
        <v>1107</v>
      </c>
      <c r="E1580" s="4">
        <v>57</v>
      </c>
      <c r="G1580">
        <f t="shared" si="24"/>
        <v>512</v>
      </c>
    </row>
    <row r="1581" spans="2:7" ht="15" hidden="1" x14ac:dyDescent="0.25">
      <c r="B1581" s="4">
        <v>584632837</v>
      </c>
      <c r="C1581" s="4" t="s">
        <v>269</v>
      </c>
      <c r="D1581" s="4">
        <v>1108</v>
      </c>
      <c r="E1581" s="4">
        <v>57</v>
      </c>
      <c r="G1581">
        <f t="shared" si="24"/>
        <v>512</v>
      </c>
    </row>
    <row r="1582" spans="2:7" ht="15" hidden="1" x14ac:dyDescent="0.25">
      <c r="B1582" s="4">
        <v>584632838</v>
      </c>
      <c r="C1582" s="4" t="s">
        <v>269</v>
      </c>
      <c r="D1582" s="4">
        <v>1109</v>
      </c>
      <c r="E1582" s="4">
        <v>57</v>
      </c>
      <c r="G1582">
        <f t="shared" si="24"/>
        <v>512</v>
      </c>
    </row>
    <row r="1583" spans="2:7" ht="15" hidden="1" x14ac:dyDescent="0.25">
      <c r="B1583" s="4">
        <v>584632838</v>
      </c>
      <c r="C1583" s="4" t="s">
        <v>272</v>
      </c>
      <c r="D1583" s="4">
        <v>99</v>
      </c>
      <c r="E1583" s="4">
        <v>211</v>
      </c>
      <c r="G1583">
        <f t="shared" si="24"/>
        <v>1744</v>
      </c>
    </row>
    <row r="1584" spans="2:7" ht="15" hidden="1" x14ac:dyDescent="0.25">
      <c r="B1584" s="4">
        <v>584632839</v>
      </c>
      <c r="C1584" s="4" t="s">
        <v>269</v>
      </c>
      <c r="D1584" s="4">
        <v>1110</v>
      </c>
      <c r="E1584" s="4">
        <v>57</v>
      </c>
      <c r="G1584">
        <f t="shared" si="24"/>
        <v>512</v>
      </c>
    </row>
    <row r="1585" spans="2:7" ht="15" hidden="1" x14ac:dyDescent="0.25">
      <c r="B1585" s="4">
        <v>584632840</v>
      </c>
      <c r="C1585" s="4" t="s">
        <v>269</v>
      </c>
      <c r="D1585" s="4">
        <v>1111</v>
      </c>
      <c r="E1585" s="4">
        <v>57</v>
      </c>
      <c r="G1585">
        <f t="shared" si="24"/>
        <v>512</v>
      </c>
    </row>
    <row r="1586" spans="2:7" ht="15" hidden="1" x14ac:dyDescent="0.25">
      <c r="B1586" s="4">
        <v>584632841</v>
      </c>
      <c r="C1586" s="4" t="s">
        <v>269</v>
      </c>
      <c r="D1586" s="4">
        <v>1112</v>
      </c>
      <c r="E1586" s="4">
        <v>57</v>
      </c>
      <c r="G1586">
        <f t="shared" si="24"/>
        <v>512</v>
      </c>
    </row>
    <row r="1587" spans="2:7" ht="15" hidden="1" x14ac:dyDescent="0.25">
      <c r="B1587" s="4">
        <v>584632842</v>
      </c>
      <c r="C1587" s="4" t="s">
        <v>269</v>
      </c>
      <c r="D1587" s="4">
        <v>1113</v>
      </c>
      <c r="E1587" s="4">
        <v>57</v>
      </c>
      <c r="G1587">
        <f t="shared" si="24"/>
        <v>512</v>
      </c>
    </row>
    <row r="1588" spans="2:7" ht="15" hidden="1" x14ac:dyDescent="0.25">
      <c r="B1588" s="4">
        <v>584632843</v>
      </c>
      <c r="C1588" s="4" t="s">
        <v>269</v>
      </c>
      <c r="D1588" s="4">
        <v>1114</v>
      </c>
      <c r="E1588" s="4">
        <v>57</v>
      </c>
      <c r="G1588">
        <f t="shared" si="24"/>
        <v>512</v>
      </c>
    </row>
    <row r="1589" spans="2:7" ht="15" hidden="1" x14ac:dyDescent="0.25">
      <c r="B1589" s="4">
        <v>584632844</v>
      </c>
      <c r="C1589" s="4" t="s">
        <v>269</v>
      </c>
      <c r="D1589" s="4">
        <v>1115</v>
      </c>
      <c r="E1589" s="4">
        <v>57</v>
      </c>
      <c r="G1589">
        <f t="shared" si="24"/>
        <v>512</v>
      </c>
    </row>
    <row r="1590" spans="2:7" ht="15" hidden="1" x14ac:dyDescent="0.25">
      <c r="B1590" s="4">
        <v>584632845</v>
      </c>
      <c r="C1590" s="4" t="s">
        <v>269</v>
      </c>
      <c r="D1590" s="4">
        <v>1116</v>
      </c>
      <c r="E1590" s="4">
        <v>57</v>
      </c>
      <c r="G1590">
        <f t="shared" si="24"/>
        <v>512</v>
      </c>
    </row>
    <row r="1591" spans="2:7" ht="15" hidden="1" x14ac:dyDescent="0.25">
      <c r="B1591" s="4">
        <v>584632846</v>
      </c>
      <c r="C1591" s="4" t="s">
        <v>269</v>
      </c>
      <c r="D1591" s="4">
        <v>1117</v>
      </c>
      <c r="E1591" s="4">
        <v>57</v>
      </c>
      <c r="G1591">
        <f t="shared" si="24"/>
        <v>512</v>
      </c>
    </row>
    <row r="1592" spans="2:7" ht="15" hidden="1" x14ac:dyDescent="0.25">
      <c r="B1592" s="4">
        <v>584632847</v>
      </c>
      <c r="C1592" s="4" t="s">
        <v>269</v>
      </c>
      <c r="D1592" s="4">
        <v>1118</v>
      </c>
      <c r="E1592" s="4">
        <v>57</v>
      </c>
      <c r="G1592">
        <f t="shared" si="24"/>
        <v>512</v>
      </c>
    </row>
    <row r="1593" spans="2:7" ht="15" hidden="1" x14ac:dyDescent="0.25">
      <c r="B1593" s="4">
        <v>584632848</v>
      </c>
      <c r="C1593" s="4" t="s">
        <v>269</v>
      </c>
      <c r="D1593" s="4">
        <v>1119</v>
      </c>
      <c r="E1593" s="4">
        <v>57</v>
      </c>
      <c r="G1593">
        <f t="shared" si="24"/>
        <v>512</v>
      </c>
    </row>
    <row r="1594" spans="2:7" ht="15" hidden="1" x14ac:dyDescent="0.25">
      <c r="B1594" s="4">
        <v>584632848</v>
      </c>
      <c r="C1594" s="4" t="s">
        <v>272</v>
      </c>
      <c r="D1594" s="4">
        <v>100</v>
      </c>
      <c r="E1594" s="4">
        <v>209</v>
      </c>
      <c r="G1594">
        <f t="shared" si="24"/>
        <v>1728</v>
      </c>
    </row>
    <row r="1595" spans="2:7" ht="15" hidden="1" x14ac:dyDescent="0.25">
      <c r="B1595" s="4">
        <v>584632849</v>
      </c>
      <c r="C1595" s="4" t="s">
        <v>269</v>
      </c>
      <c r="D1595" s="4">
        <v>1120</v>
      </c>
      <c r="E1595" s="4">
        <v>57</v>
      </c>
      <c r="G1595">
        <f t="shared" si="24"/>
        <v>512</v>
      </c>
    </row>
    <row r="1596" spans="2:7" ht="15" hidden="1" x14ac:dyDescent="0.25">
      <c r="B1596" s="4">
        <v>584632850</v>
      </c>
      <c r="C1596" s="4" t="s">
        <v>269</v>
      </c>
      <c r="D1596" s="4">
        <v>1121</v>
      </c>
      <c r="E1596" s="4">
        <v>57</v>
      </c>
      <c r="G1596">
        <f t="shared" si="24"/>
        <v>512</v>
      </c>
    </row>
    <row r="1597" spans="2:7" ht="15" hidden="1" x14ac:dyDescent="0.25">
      <c r="B1597" s="4">
        <v>584632851</v>
      </c>
      <c r="C1597" s="4" t="s">
        <v>269</v>
      </c>
      <c r="D1597" s="4">
        <v>1122</v>
      </c>
      <c r="E1597" s="4">
        <v>57</v>
      </c>
      <c r="G1597">
        <f t="shared" si="24"/>
        <v>512</v>
      </c>
    </row>
    <row r="1598" spans="2:7" ht="15" hidden="1" x14ac:dyDescent="0.25">
      <c r="B1598" s="4">
        <v>584632852</v>
      </c>
      <c r="C1598" s="4" t="s">
        <v>269</v>
      </c>
      <c r="D1598" s="4">
        <v>1123</v>
      </c>
      <c r="E1598" s="4">
        <v>57</v>
      </c>
      <c r="G1598">
        <f t="shared" si="24"/>
        <v>512</v>
      </c>
    </row>
    <row r="1599" spans="2:7" ht="15" hidden="1" x14ac:dyDescent="0.25">
      <c r="B1599" s="4">
        <v>584632853</v>
      </c>
      <c r="C1599" s="4" t="s">
        <v>269</v>
      </c>
      <c r="D1599" s="4">
        <v>1124</v>
      </c>
      <c r="E1599" s="4">
        <v>57</v>
      </c>
      <c r="G1599">
        <f t="shared" si="24"/>
        <v>512</v>
      </c>
    </row>
    <row r="1600" spans="2:7" ht="15" hidden="1" x14ac:dyDescent="0.25">
      <c r="B1600" s="4">
        <v>584632854</v>
      </c>
      <c r="C1600" s="4" t="s">
        <v>269</v>
      </c>
      <c r="D1600" s="4">
        <v>1125</v>
      </c>
      <c r="E1600" s="4">
        <v>57</v>
      </c>
      <c r="G1600">
        <f t="shared" si="24"/>
        <v>512</v>
      </c>
    </row>
    <row r="1601" spans="2:7" ht="15" hidden="1" x14ac:dyDescent="0.25">
      <c r="B1601" s="4">
        <v>584632855</v>
      </c>
      <c r="C1601" s="4" t="s">
        <v>269</v>
      </c>
      <c r="D1601" s="4">
        <v>1126</v>
      </c>
      <c r="E1601" s="4">
        <v>57</v>
      </c>
      <c r="G1601">
        <f t="shared" si="24"/>
        <v>512</v>
      </c>
    </row>
    <row r="1602" spans="2:7" ht="15" hidden="1" x14ac:dyDescent="0.25">
      <c r="B1602" s="4">
        <v>584632856</v>
      </c>
      <c r="C1602" s="4" t="s">
        <v>269</v>
      </c>
      <c r="D1602" s="4">
        <v>1127</v>
      </c>
      <c r="E1602" s="4">
        <v>57</v>
      </c>
      <c r="G1602">
        <f t="shared" si="24"/>
        <v>512</v>
      </c>
    </row>
    <row r="1603" spans="2:7" ht="15" hidden="1" x14ac:dyDescent="0.25">
      <c r="B1603" s="4">
        <v>584632857</v>
      </c>
      <c r="C1603" s="4" t="s">
        <v>269</v>
      </c>
      <c r="D1603" s="4">
        <v>1128</v>
      </c>
      <c r="E1603" s="4">
        <v>57</v>
      </c>
      <c r="G1603">
        <f t="shared" si="24"/>
        <v>512</v>
      </c>
    </row>
    <row r="1604" spans="2:7" ht="15" hidden="1" x14ac:dyDescent="0.25">
      <c r="B1604" s="4">
        <v>584632858</v>
      </c>
      <c r="C1604" s="4" t="s">
        <v>269</v>
      </c>
      <c r="D1604" s="4">
        <v>1129</v>
      </c>
      <c r="E1604" s="4">
        <v>57</v>
      </c>
      <c r="G1604">
        <f t="shared" ref="G1604:G1667" si="25">(E1604+7)*8</f>
        <v>512</v>
      </c>
    </row>
    <row r="1605" spans="2:7" ht="15" hidden="1" x14ac:dyDescent="0.25">
      <c r="B1605" s="4">
        <v>584632858</v>
      </c>
      <c r="C1605" s="4" t="s">
        <v>272</v>
      </c>
      <c r="D1605" s="4">
        <v>101</v>
      </c>
      <c r="E1605" s="4">
        <v>211</v>
      </c>
      <c r="G1605">
        <f t="shared" si="25"/>
        <v>1744</v>
      </c>
    </row>
    <row r="1606" spans="2:7" ht="15" hidden="1" x14ac:dyDescent="0.25">
      <c r="B1606" s="4">
        <v>584632859</v>
      </c>
      <c r="C1606" s="4" t="s">
        <v>269</v>
      </c>
      <c r="D1606" s="4">
        <v>1130</v>
      </c>
      <c r="E1606" s="4">
        <v>57</v>
      </c>
      <c r="G1606">
        <f t="shared" si="25"/>
        <v>512</v>
      </c>
    </row>
    <row r="1607" spans="2:7" ht="15" hidden="1" x14ac:dyDescent="0.25">
      <c r="B1607" s="4">
        <v>584632860</v>
      </c>
      <c r="C1607" s="4" t="s">
        <v>269</v>
      </c>
      <c r="D1607" s="4">
        <v>1131</v>
      </c>
      <c r="E1607" s="4">
        <v>57</v>
      </c>
      <c r="G1607">
        <f t="shared" si="25"/>
        <v>512</v>
      </c>
    </row>
    <row r="1608" spans="2:7" ht="15" hidden="1" x14ac:dyDescent="0.25">
      <c r="B1608" s="4">
        <v>584632861</v>
      </c>
      <c r="C1608" s="4" t="s">
        <v>269</v>
      </c>
      <c r="D1608" s="4">
        <v>1132</v>
      </c>
      <c r="E1608" s="4">
        <v>57</v>
      </c>
      <c r="G1608">
        <f t="shared" si="25"/>
        <v>512</v>
      </c>
    </row>
    <row r="1609" spans="2:7" ht="15" hidden="1" x14ac:dyDescent="0.25">
      <c r="B1609" s="4">
        <v>584632862</v>
      </c>
      <c r="C1609" s="4" t="s">
        <v>269</v>
      </c>
      <c r="D1609" s="4">
        <v>1133</v>
      </c>
      <c r="E1609" s="4">
        <v>57</v>
      </c>
      <c r="G1609">
        <f t="shared" si="25"/>
        <v>512</v>
      </c>
    </row>
    <row r="1610" spans="2:7" ht="15" hidden="1" x14ac:dyDescent="0.25">
      <c r="B1610" s="4">
        <v>584632863</v>
      </c>
      <c r="C1610" s="4" t="s">
        <v>269</v>
      </c>
      <c r="D1610" s="4">
        <v>1134</v>
      </c>
      <c r="E1610" s="4">
        <v>57</v>
      </c>
      <c r="G1610">
        <f t="shared" si="25"/>
        <v>512</v>
      </c>
    </row>
    <row r="1611" spans="2:7" ht="15" hidden="1" x14ac:dyDescent="0.25">
      <c r="B1611" s="4">
        <v>584632864</v>
      </c>
      <c r="C1611" s="4" t="s">
        <v>269</v>
      </c>
      <c r="D1611" s="4">
        <v>1135</v>
      </c>
      <c r="E1611" s="4">
        <v>57</v>
      </c>
      <c r="G1611">
        <f t="shared" si="25"/>
        <v>512</v>
      </c>
    </row>
    <row r="1612" spans="2:7" ht="15" hidden="1" x14ac:dyDescent="0.25">
      <c r="B1612" s="4">
        <v>584632865</v>
      </c>
      <c r="C1612" s="4" t="s">
        <v>269</v>
      </c>
      <c r="D1612" s="4">
        <v>1136</v>
      </c>
      <c r="E1612" s="4">
        <v>57</v>
      </c>
      <c r="G1612">
        <f t="shared" si="25"/>
        <v>512</v>
      </c>
    </row>
    <row r="1613" spans="2:7" ht="15" hidden="1" x14ac:dyDescent="0.25">
      <c r="B1613" s="4">
        <v>584632866</v>
      </c>
      <c r="C1613" s="4" t="s">
        <v>269</v>
      </c>
      <c r="D1613" s="4">
        <v>1137</v>
      </c>
      <c r="E1613" s="4">
        <v>57</v>
      </c>
      <c r="G1613">
        <f t="shared" si="25"/>
        <v>512</v>
      </c>
    </row>
    <row r="1614" spans="2:7" ht="15" hidden="1" x14ac:dyDescent="0.25">
      <c r="B1614" s="4">
        <v>584632867</v>
      </c>
      <c r="C1614" s="4" t="s">
        <v>269</v>
      </c>
      <c r="D1614" s="4">
        <v>1138</v>
      </c>
      <c r="E1614" s="4">
        <v>57</v>
      </c>
      <c r="G1614">
        <f t="shared" si="25"/>
        <v>512</v>
      </c>
    </row>
    <row r="1615" spans="2:7" ht="15" hidden="1" x14ac:dyDescent="0.25">
      <c r="B1615" s="4">
        <v>584632868</v>
      </c>
      <c r="C1615" s="4" t="s">
        <v>269</v>
      </c>
      <c r="D1615" s="4">
        <v>1139</v>
      </c>
      <c r="E1615" s="4">
        <v>57</v>
      </c>
      <c r="G1615">
        <f t="shared" si="25"/>
        <v>512</v>
      </c>
    </row>
    <row r="1616" spans="2:7" ht="15" hidden="1" x14ac:dyDescent="0.25">
      <c r="B1616" s="4">
        <v>584632868</v>
      </c>
      <c r="C1616" s="4" t="s">
        <v>272</v>
      </c>
      <c r="D1616" s="4">
        <v>102</v>
      </c>
      <c r="E1616" s="4">
        <v>211</v>
      </c>
      <c r="G1616">
        <f t="shared" si="25"/>
        <v>1744</v>
      </c>
    </row>
    <row r="1617" spans="2:7" ht="15" hidden="1" x14ac:dyDescent="0.25">
      <c r="B1617" s="4">
        <v>584632869</v>
      </c>
      <c r="C1617" s="4" t="s">
        <v>269</v>
      </c>
      <c r="D1617" s="4">
        <v>1140</v>
      </c>
      <c r="E1617" s="4">
        <v>57</v>
      </c>
      <c r="G1617">
        <f t="shared" si="25"/>
        <v>512</v>
      </c>
    </row>
    <row r="1618" spans="2:7" ht="15" hidden="1" x14ac:dyDescent="0.25">
      <c r="B1618" s="4">
        <v>584632870</v>
      </c>
      <c r="C1618" s="4" t="s">
        <v>269</v>
      </c>
      <c r="D1618" s="4">
        <v>1141</v>
      </c>
      <c r="E1618" s="4">
        <v>57</v>
      </c>
      <c r="G1618">
        <f t="shared" si="25"/>
        <v>512</v>
      </c>
    </row>
    <row r="1619" spans="2:7" ht="15" hidden="1" x14ac:dyDescent="0.25">
      <c r="B1619" s="4">
        <v>584632871</v>
      </c>
      <c r="C1619" s="4" t="s">
        <v>269</v>
      </c>
      <c r="D1619" s="4">
        <v>1142</v>
      </c>
      <c r="E1619" s="4">
        <v>57</v>
      </c>
      <c r="G1619">
        <f t="shared" si="25"/>
        <v>512</v>
      </c>
    </row>
    <row r="1620" spans="2:7" ht="15" hidden="1" x14ac:dyDescent="0.25">
      <c r="B1620" s="4">
        <v>584632872</v>
      </c>
      <c r="C1620" s="4" t="s">
        <v>269</v>
      </c>
      <c r="D1620" s="4">
        <v>1143</v>
      </c>
      <c r="E1620" s="4">
        <v>57</v>
      </c>
      <c r="G1620">
        <f t="shared" si="25"/>
        <v>512</v>
      </c>
    </row>
    <row r="1621" spans="2:7" ht="15" hidden="1" x14ac:dyDescent="0.25">
      <c r="B1621" s="4">
        <v>584632873</v>
      </c>
      <c r="C1621" s="4" t="s">
        <v>269</v>
      </c>
      <c r="D1621" s="4">
        <v>1144</v>
      </c>
      <c r="E1621" s="4">
        <v>57</v>
      </c>
      <c r="G1621">
        <f t="shared" si="25"/>
        <v>512</v>
      </c>
    </row>
    <row r="1622" spans="2:7" ht="15" hidden="1" x14ac:dyDescent="0.25">
      <c r="B1622" s="4">
        <v>584632874</v>
      </c>
      <c r="C1622" s="4" t="s">
        <v>269</v>
      </c>
      <c r="D1622" s="4">
        <v>1145</v>
      </c>
      <c r="E1622" s="4">
        <v>57</v>
      </c>
      <c r="G1622">
        <f t="shared" si="25"/>
        <v>512</v>
      </c>
    </row>
    <row r="1623" spans="2:7" ht="15" hidden="1" x14ac:dyDescent="0.25">
      <c r="B1623" s="4">
        <v>584632875</v>
      </c>
      <c r="C1623" s="4" t="s">
        <v>269</v>
      </c>
      <c r="D1623" s="4">
        <v>1146</v>
      </c>
      <c r="E1623" s="4">
        <v>57</v>
      </c>
      <c r="G1623">
        <f t="shared" si="25"/>
        <v>512</v>
      </c>
    </row>
    <row r="1624" spans="2:7" ht="15" hidden="1" x14ac:dyDescent="0.25">
      <c r="B1624" s="4">
        <v>584632876</v>
      </c>
      <c r="C1624" s="4" t="s">
        <v>269</v>
      </c>
      <c r="D1624" s="4">
        <v>1147</v>
      </c>
      <c r="E1624" s="4">
        <v>57</v>
      </c>
      <c r="G1624">
        <f t="shared" si="25"/>
        <v>512</v>
      </c>
    </row>
    <row r="1625" spans="2:7" ht="15" hidden="1" x14ac:dyDescent="0.25">
      <c r="B1625" s="4">
        <v>584632877</v>
      </c>
      <c r="C1625" s="4" t="s">
        <v>269</v>
      </c>
      <c r="D1625" s="4">
        <v>1148</v>
      </c>
      <c r="E1625" s="4">
        <v>57</v>
      </c>
      <c r="G1625">
        <f t="shared" si="25"/>
        <v>512</v>
      </c>
    </row>
    <row r="1626" spans="2:7" ht="15" hidden="1" x14ac:dyDescent="0.25">
      <c r="B1626" s="4">
        <v>584632878</v>
      </c>
      <c r="C1626" s="4" t="s">
        <v>269</v>
      </c>
      <c r="D1626" s="4">
        <v>1149</v>
      </c>
      <c r="E1626" s="4">
        <v>57</v>
      </c>
      <c r="G1626">
        <f t="shared" si="25"/>
        <v>512</v>
      </c>
    </row>
    <row r="1627" spans="2:7" ht="15" hidden="1" x14ac:dyDescent="0.25">
      <c r="B1627" s="4">
        <v>584632878</v>
      </c>
      <c r="C1627" s="4" t="s">
        <v>272</v>
      </c>
      <c r="D1627" s="4">
        <v>103</v>
      </c>
      <c r="E1627" s="4">
        <v>209</v>
      </c>
      <c r="G1627">
        <f t="shared" si="25"/>
        <v>1728</v>
      </c>
    </row>
    <row r="1628" spans="2:7" ht="15" hidden="1" x14ac:dyDescent="0.25">
      <c r="B1628" s="4">
        <v>584632879</v>
      </c>
      <c r="C1628" s="4" t="s">
        <v>269</v>
      </c>
      <c r="D1628" s="4">
        <v>1150</v>
      </c>
      <c r="E1628" s="4">
        <v>57</v>
      </c>
      <c r="G1628">
        <f t="shared" si="25"/>
        <v>512</v>
      </c>
    </row>
    <row r="1629" spans="2:7" ht="15" hidden="1" x14ac:dyDescent="0.25">
      <c r="B1629" s="4">
        <v>584632880</v>
      </c>
      <c r="C1629" s="4" t="s">
        <v>269</v>
      </c>
      <c r="D1629" s="4">
        <v>1151</v>
      </c>
      <c r="E1629" s="4">
        <v>57</v>
      </c>
      <c r="G1629">
        <f t="shared" si="25"/>
        <v>512</v>
      </c>
    </row>
    <row r="1630" spans="2:7" ht="15" hidden="1" x14ac:dyDescent="0.25">
      <c r="B1630" s="4">
        <v>584632881</v>
      </c>
      <c r="C1630" s="4" t="s">
        <v>269</v>
      </c>
      <c r="D1630" s="4">
        <v>1152</v>
      </c>
      <c r="E1630" s="4">
        <v>57</v>
      </c>
      <c r="G1630">
        <f t="shared" si="25"/>
        <v>512</v>
      </c>
    </row>
    <row r="1631" spans="2:7" ht="15" hidden="1" x14ac:dyDescent="0.25">
      <c r="B1631" s="4">
        <v>584632882</v>
      </c>
      <c r="C1631" s="4" t="s">
        <v>269</v>
      </c>
      <c r="D1631" s="4">
        <v>1153</v>
      </c>
      <c r="E1631" s="4">
        <v>57</v>
      </c>
      <c r="G1631">
        <f t="shared" si="25"/>
        <v>512</v>
      </c>
    </row>
    <row r="1632" spans="2:7" ht="15" hidden="1" x14ac:dyDescent="0.25">
      <c r="B1632" s="4">
        <v>584632883</v>
      </c>
      <c r="C1632" s="4" t="s">
        <v>269</v>
      </c>
      <c r="D1632" s="4">
        <v>1154</v>
      </c>
      <c r="E1632" s="4">
        <v>57</v>
      </c>
      <c r="G1632">
        <f t="shared" si="25"/>
        <v>512</v>
      </c>
    </row>
    <row r="1633" spans="2:7" ht="15" hidden="1" x14ac:dyDescent="0.25">
      <c r="B1633" s="4">
        <v>584632884</v>
      </c>
      <c r="C1633" s="4" t="s">
        <v>269</v>
      </c>
      <c r="D1633" s="4">
        <v>1155</v>
      </c>
      <c r="E1633" s="4">
        <v>57</v>
      </c>
      <c r="G1633">
        <f t="shared" si="25"/>
        <v>512</v>
      </c>
    </row>
    <row r="1634" spans="2:7" ht="15" hidden="1" x14ac:dyDescent="0.25">
      <c r="B1634" s="4">
        <v>584632885</v>
      </c>
      <c r="C1634" s="4" t="s">
        <v>269</v>
      </c>
      <c r="D1634" s="4">
        <v>1156</v>
      </c>
      <c r="E1634" s="4">
        <v>57</v>
      </c>
      <c r="G1634">
        <f t="shared" si="25"/>
        <v>512</v>
      </c>
    </row>
    <row r="1635" spans="2:7" ht="15" hidden="1" x14ac:dyDescent="0.25">
      <c r="B1635" s="4">
        <v>584632886</v>
      </c>
      <c r="C1635" s="4" t="s">
        <v>269</v>
      </c>
      <c r="D1635" s="4">
        <v>1157</v>
      </c>
      <c r="E1635" s="4">
        <v>57</v>
      </c>
      <c r="G1635">
        <f t="shared" si="25"/>
        <v>512</v>
      </c>
    </row>
    <row r="1636" spans="2:7" ht="15" hidden="1" x14ac:dyDescent="0.25">
      <c r="B1636" s="4">
        <v>584632887</v>
      </c>
      <c r="C1636" s="4" t="s">
        <v>269</v>
      </c>
      <c r="D1636" s="4">
        <v>1158</v>
      </c>
      <c r="E1636" s="4">
        <v>57</v>
      </c>
      <c r="G1636">
        <f t="shared" si="25"/>
        <v>512</v>
      </c>
    </row>
    <row r="1637" spans="2:7" ht="15" hidden="1" x14ac:dyDescent="0.25">
      <c r="B1637" s="4">
        <v>584632888</v>
      </c>
      <c r="C1637" s="4" t="s">
        <v>269</v>
      </c>
      <c r="D1637" s="4">
        <v>1159</v>
      </c>
      <c r="E1637" s="4">
        <v>57</v>
      </c>
      <c r="G1637">
        <f t="shared" si="25"/>
        <v>512</v>
      </c>
    </row>
    <row r="1638" spans="2:7" ht="15" hidden="1" x14ac:dyDescent="0.25">
      <c r="B1638" s="4">
        <v>584632888</v>
      </c>
      <c r="C1638" s="4" t="s">
        <v>272</v>
      </c>
      <c r="D1638" s="4">
        <v>104</v>
      </c>
      <c r="E1638" s="4">
        <v>211</v>
      </c>
      <c r="G1638">
        <f t="shared" si="25"/>
        <v>1744</v>
      </c>
    </row>
    <row r="1639" spans="2:7" ht="15" hidden="1" x14ac:dyDescent="0.25">
      <c r="B1639" s="4">
        <v>584632889</v>
      </c>
      <c r="C1639" s="4" t="s">
        <v>269</v>
      </c>
      <c r="D1639" s="4">
        <v>1160</v>
      </c>
      <c r="E1639" s="4">
        <v>57</v>
      </c>
      <c r="G1639">
        <f t="shared" si="25"/>
        <v>512</v>
      </c>
    </row>
    <row r="1640" spans="2:7" ht="15" hidden="1" x14ac:dyDescent="0.25">
      <c r="B1640" s="4">
        <v>584632890</v>
      </c>
      <c r="C1640" s="4" t="s">
        <v>269</v>
      </c>
      <c r="D1640" s="4">
        <v>1161</v>
      </c>
      <c r="E1640" s="4">
        <v>57</v>
      </c>
      <c r="G1640">
        <f t="shared" si="25"/>
        <v>512</v>
      </c>
    </row>
    <row r="1641" spans="2:7" ht="15" hidden="1" x14ac:dyDescent="0.25">
      <c r="B1641" s="4">
        <v>584632891</v>
      </c>
      <c r="C1641" s="4" t="s">
        <v>269</v>
      </c>
      <c r="D1641" s="4">
        <v>1162</v>
      </c>
      <c r="E1641" s="4">
        <v>57</v>
      </c>
      <c r="G1641">
        <f t="shared" si="25"/>
        <v>512</v>
      </c>
    </row>
    <row r="1642" spans="2:7" ht="15" hidden="1" x14ac:dyDescent="0.25">
      <c r="B1642" s="4">
        <v>584632892</v>
      </c>
      <c r="C1642" s="4" t="s">
        <v>269</v>
      </c>
      <c r="D1642" s="4">
        <v>1163</v>
      </c>
      <c r="E1642" s="4">
        <v>57</v>
      </c>
      <c r="G1642">
        <f t="shared" si="25"/>
        <v>512</v>
      </c>
    </row>
    <row r="1643" spans="2:7" ht="15" hidden="1" x14ac:dyDescent="0.25">
      <c r="B1643" s="4">
        <v>584632893</v>
      </c>
      <c r="C1643" s="4" t="s">
        <v>269</v>
      </c>
      <c r="D1643" s="4">
        <v>1164</v>
      </c>
      <c r="E1643" s="4">
        <v>57</v>
      </c>
      <c r="G1643">
        <f t="shared" si="25"/>
        <v>512</v>
      </c>
    </row>
    <row r="1644" spans="2:7" ht="15" hidden="1" x14ac:dyDescent="0.25">
      <c r="B1644" s="4">
        <v>584632894</v>
      </c>
      <c r="C1644" s="4" t="s">
        <v>269</v>
      </c>
      <c r="D1644" s="4">
        <v>1165</v>
      </c>
      <c r="E1644" s="4">
        <v>57</v>
      </c>
      <c r="G1644">
        <f t="shared" si="25"/>
        <v>512</v>
      </c>
    </row>
    <row r="1645" spans="2:7" ht="15" hidden="1" x14ac:dyDescent="0.25">
      <c r="B1645" s="4">
        <v>584632895</v>
      </c>
      <c r="C1645" s="4" t="s">
        <v>269</v>
      </c>
      <c r="D1645" s="4">
        <v>1166</v>
      </c>
      <c r="E1645" s="4">
        <v>57</v>
      </c>
      <c r="G1645">
        <f t="shared" si="25"/>
        <v>512</v>
      </c>
    </row>
    <row r="1646" spans="2:7" ht="15" hidden="1" x14ac:dyDescent="0.25">
      <c r="B1646" s="4">
        <v>584632896</v>
      </c>
      <c r="C1646" s="4" t="s">
        <v>269</v>
      </c>
      <c r="D1646" s="4">
        <v>1167</v>
      </c>
      <c r="E1646" s="4">
        <v>57</v>
      </c>
      <c r="G1646">
        <f t="shared" si="25"/>
        <v>512</v>
      </c>
    </row>
    <row r="1647" spans="2:7" ht="15" hidden="1" x14ac:dyDescent="0.25">
      <c r="B1647" s="4">
        <v>584632897</v>
      </c>
      <c r="C1647" s="4" t="s">
        <v>269</v>
      </c>
      <c r="D1647" s="4">
        <v>1168</v>
      </c>
      <c r="E1647" s="4">
        <v>57</v>
      </c>
      <c r="G1647">
        <f t="shared" si="25"/>
        <v>512</v>
      </c>
    </row>
    <row r="1648" spans="2:7" ht="15" hidden="1" x14ac:dyDescent="0.25">
      <c r="B1648" s="4">
        <v>584632898</v>
      </c>
      <c r="C1648" s="4" t="s">
        <v>269</v>
      </c>
      <c r="D1648" s="4">
        <v>1169</v>
      </c>
      <c r="E1648" s="4">
        <v>57</v>
      </c>
      <c r="G1648">
        <f t="shared" si="25"/>
        <v>512</v>
      </c>
    </row>
    <row r="1649" spans="2:7" ht="15" hidden="1" x14ac:dyDescent="0.25">
      <c r="B1649" s="4">
        <v>584632898</v>
      </c>
      <c r="C1649" s="4" t="s">
        <v>272</v>
      </c>
      <c r="D1649" s="4">
        <v>105</v>
      </c>
      <c r="E1649" s="4">
        <v>209</v>
      </c>
      <c r="G1649">
        <f t="shared" si="25"/>
        <v>1728</v>
      </c>
    </row>
    <row r="1650" spans="2:7" ht="15" hidden="1" x14ac:dyDescent="0.25">
      <c r="B1650" s="4">
        <v>584632899</v>
      </c>
      <c r="C1650" s="4" t="s">
        <v>269</v>
      </c>
      <c r="D1650" s="4">
        <v>1170</v>
      </c>
      <c r="E1650" s="4">
        <v>57</v>
      </c>
      <c r="G1650">
        <f t="shared" si="25"/>
        <v>512</v>
      </c>
    </row>
    <row r="1651" spans="2:7" ht="15" hidden="1" x14ac:dyDescent="0.25">
      <c r="B1651" s="4">
        <v>584632900</v>
      </c>
      <c r="C1651" s="4" t="s">
        <v>269</v>
      </c>
      <c r="D1651" s="4">
        <v>1171</v>
      </c>
      <c r="E1651" s="4">
        <v>57</v>
      </c>
      <c r="G1651">
        <f t="shared" si="25"/>
        <v>512</v>
      </c>
    </row>
    <row r="1652" spans="2:7" ht="15" hidden="1" x14ac:dyDescent="0.25">
      <c r="B1652" s="4">
        <v>584632901</v>
      </c>
      <c r="C1652" s="4" t="s">
        <v>269</v>
      </c>
      <c r="D1652" s="4">
        <v>1172</v>
      </c>
      <c r="E1652" s="4">
        <v>57</v>
      </c>
      <c r="G1652">
        <f t="shared" si="25"/>
        <v>512</v>
      </c>
    </row>
    <row r="1653" spans="2:7" ht="15" hidden="1" x14ac:dyDescent="0.25">
      <c r="B1653" s="4">
        <v>584632902</v>
      </c>
      <c r="C1653" s="4" t="s">
        <v>269</v>
      </c>
      <c r="D1653" s="4">
        <v>1173</v>
      </c>
      <c r="E1653" s="4">
        <v>57</v>
      </c>
      <c r="G1653">
        <f t="shared" si="25"/>
        <v>512</v>
      </c>
    </row>
    <row r="1654" spans="2:7" ht="15" hidden="1" x14ac:dyDescent="0.25">
      <c r="B1654" s="4">
        <v>584632903</v>
      </c>
      <c r="C1654" s="4" t="s">
        <v>269</v>
      </c>
      <c r="D1654" s="4">
        <v>1174</v>
      </c>
      <c r="E1654" s="4">
        <v>57</v>
      </c>
      <c r="G1654">
        <f t="shared" si="25"/>
        <v>512</v>
      </c>
    </row>
    <row r="1655" spans="2:7" ht="15" hidden="1" x14ac:dyDescent="0.25">
      <c r="B1655" s="4">
        <v>584632904</v>
      </c>
      <c r="C1655" s="4" t="s">
        <v>269</v>
      </c>
      <c r="D1655" s="4">
        <v>1175</v>
      </c>
      <c r="E1655" s="4">
        <v>57</v>
      </c>
      <c r="G1655">
        <f t="shared" si="25"/>
        <v>512</v>
      </c>
    </row>
    <row r="1656" spans="2:7" ht="15" hidden="1" x14ac:dyDescent="0.25">
      <c r="B1656" s="4">
        <v>584632905</v>
      </c>
      <c r="C1656" s="4" t="s">
        <v>269</v>
      </c>
      <c r="D1656" s="4">
        <v>1176</v>
      </c>
      <c r="E1656" s="4">
        <v>57</v>
      </c>
      <c r="G1656">
        <f t="shared" si="25"/>
        <v>512</v>
      </c>
    </row>
    <row r="1657" spans="2:7" ht="15" hidden="1" x14ac:dyDescent="0.25">
      <c r="B1657" s="4">
        <v>584632906</v>
      </c>
      <c r="C1657" s="4" t="s">
        <v>269</v>
      </c>
      <c r="D1657" s="4">
        <v>1177</v>
      </c>
      <c r="E1657" s="4">
        <v>57</v>
      </c>
      <c r="G1657">
        <f t="shared" si="25"/>
        <v>512</v>
      </c>
    </row>
    <row r="1658" spans="2:7" ht="15" hidden="1" x14ac:dyDescent="0.25">
      <c r="B1658" s="4">
        <v>584632907</v>
      </c>
      <c r="C1658" s="4" t="s">
        <v>269</v>
      </c>
      <c r="D1658" s="4">
        <v>1178</v>
      </c>
      <c r="E1658" s="4">
        <v>57</v>
      </c>
      <c r="G1658">
        <f t="shared" si="25"/>
        <v>512</v>
      </c>
    </row>
    <row r="1659" spans="2:7" ht="15" hidden="1" x14ac:dyDescent="0.25">
      <c r="B1659" s="4">
        <v>584632908</v>
      </c>
      <c r="C1659" s="4" t="s">
        <v>269</v>
      </c>
      <c r="D1659" s="4">
        <v>1179</v>
      </c>
      <c r="E1659" s="4">
        <v>57</v>
      </c>
      <c r="G1659">
        <f t="shared" si="25"/>
        <v>512</v>
      </c>
    </row>
    <row r="1660" spans="2:7" ht="15" hidden="1" x14ac:dyDescent="0.25">
      <c r="B1660" s="4">
        <v>584632908</v>
      </c>
      <c r="C1660" s="4" t="s">
        <v>272</v>
      </c>
      <c r="D1660" s="4">
        <v>106</v>
      </c>
      <c r="E1660" s="4">
        <v>209</v>
      </c>
      <c r="G1660">
        <f t="shared" si="25"/>
        <v>1728</v>
      </c>
    </row>
    <row r="1661" spans="2:7" ht="15" hidden="1" x14ac:dyDescent="0.25">
      <c r="B1661" s="4">
        <v>584632909</v>
      </c>
      <c r="C1661" s="4" t="s">
        <v>269</v>
      </c>
      <c r="D1661" s="4">
        <v>1180</v>
      </c>
      <c r="E1661" s="4">
        <v>57</v>
      </c>
      <c r="G1661">
        <f t="shared" si="25"/>
        <v>512</v>
      </c>
    </row>
    <row r="1662" spans="2:7" ht="15" hidden="1" x14ac:dyDescent="0.25">
      <c r="B1662" s="4">
        <v>584632910</v>
      </c>
      <c r="C1662" s="4" t="s">
        <v>269</v>
      </c>
      <c r="D1662" s="4">
        <v>1181</v>
      </c>
      <c r="E1662" s="4">
        <v>57</v>
      </c>
      <c r="G1662">
        <f t="shared" si="25"/>
        <v>512</v>
      </c>
    </row>
    <row r="1663" spans="2:7" ht="15" hidden="1" x14ac:dyDescent="0.25">
      <c r="B1663" s="4">
        <v>584632911</v>
      </c>
      <c r="C1663" s="4" t="s">
        <v>269</v>
      </c>
      <c r="D1663" s="4">
        <v>1182</v>
      </c>
      <c r="E1663" s="4">
        <v>57</v>
      </c>
      <c r="G1663">
        <f t="shared" si="25"/>
        <v>512</v>
      </c>
    </row>
    <row r="1664" spans="2:7" ht="15" hidden="1" x14ac:dyDescent="0.25">
      <c r="B1664" s="4">
        <v>584632912</v>
      </c>
      <c r="C1664" s="4" t="s">
        <v>269</v>
      </c>
      <c r="D1664" s="4">
        <v>1183</v>
      </c>
      <c r="E1664" s="4">
        <v>57</v>
      </c>
      <c r="G1664">
        <f t="shared" si="25"/>
        <v>512</v>
      </c>
    </row>
    <row r="1665" spans="2:7" ht="15" hidden="1" x14ac:dyDescent="0.25">
      <c r="B1665" s="4">
        <v>584632913</v>
      </c>
      <c r="C1665" s="4" t="s">
        <v>269</v>
      </c>
      <c r="D1665" s="4">
        <v>1184</v>
      </c>
      <c r="E1665" s="4">
        <v>57</v>
      </c>
      <c r="G1665">
        <f t="shared" si="25"/>
        <v>512</v>
      </c>
    </row>
    <row r="1666" spans="2:7" ht="15" hidden="1" x14ac:dyDescent="0.25">
      <c r="B1666" s="4">
        <v>584632914</v>
      </c>
      <c r="C1666" s="4" t="s">
        <v>269</v>
      </c>
      <c r="D1666" s="4">
        <v>1185</v>
      </c>
      <c r="E1666" s="4">
        <v>57</v>
      </c>
      <c r="G1666">
        <f t="shared" si="25"/>
        <v>512</v>
      </c>
    </row>
    <row r="1667" spans="2:7" ht="15" hidden="1" x14ac:dyDescent="0.25">
      <c r="B1667" s="4">
        <v>584632915</v>
      </c>
      <c r="C1667" s="4" t="s">
        <v>269</v>
      </c>
      <c r="D1667" s="4">
        <v>1186</v>
      </c>
      <c r="E1667" s="4">
        <v>57</v>
      </c>
      <c r="G1667">
        <f t="shared" si="25"/>
        <v>512</v>
      </c>
    </row>
    <row r="1668" spans="2:7" ht="15" hidden="1" x14ac:dyDescent="0.25">
      <c r="B1668" s="4">
        <v>584632916</v>
      </c>
      <c r="C1668" s="4" t="s">
        <v>269</v>
      </c>
      <c r="D1668" s="4">
        <v>1187</v>
      </c>
      <c r="E1668" s="4">
        <v>57</v>
      </c>
      <c r="G1668">
        <f t="shared" ref="G1668:G1731" si="26">(E1668+7)*8</f>
        <v>512</v>
      </c>
    </row>
    <row r="1669" spans="2:7" ht="15" hidden="1" x14ac:dyDescent="0.25">
      <c r="B1669" s="4">
        <v>584632917</v>
      </c>
      <c r="C1669" s="4" t="s">
        <v>269</v>
      </c>
      <c r="D1669" s="4">
        <v>1188</v>
      </c>
      <c r="E1669" s="4">
        <v>57</v>
      </c>
      <c r="G1669">
        <f t="shared" si="26"/>
        <v>512</v>
      </c>
    </row>
    <row r="1670" spans="2:7" ht="15" hidden="1" x14ac:dyDescent="0.25">
      <c r="B1670" s="4">
        <v>584632918</v>
      </c>
      <c r="C1670" s="4" t="s">
        <v>269</v>
      </c>
      <c r="D1670" s="4">
        <v>1189</v>
      </c>
      <c r="E1670" s="4">
        <v>57</v>
      </c>
      <c r="G1670">
        <f t="shared" si="26"/>
        <v>512</v>
      </c>
    </row>
    <row r="1671" spans="2:7" ht="15" hidden="1" x14ac:dyDescent="0.25">
      <c r="B1671" s="4">
        <v>584632918</v>
      </c>
      <c r="C1671" s="4" t="s">
        <v>272</v>
      </c>
      <c r="D1671" s="4">
        <v>107</v>
      </c>
      <c r="E1671" s="4">
        <v>209</v>
      </c>
      <c r="G1671">
        <f t="shared" si="26"/>
        <v>1728</v>
      </c>
    </row>
    <row r="1672" spans="2:7" ht="15" hidden="1" x14ac:dyDescent="0.25">
      <c r="B1672" s="4">
        <v>584632919</v>
      </c>
      <c r="C1672" s="4" t="s">
        <v>269</v>
      </c>
      <c r="D1672" s="4">
        <v>1190</v>
      </c>
      <c r="E1672" s="4">
        <v>57</v>
      </c>
      <c r="G1672">
        <f t="shared" si="26"/>
        <v>512</v>
      </c>
    </row>
    <row r="1673" spans="2:7" ht="15" hidden="1" x14ac:dyDescent="0.25">
      <c r="B1673" s="4">
        <v>584632920</v>
      </c>
      <c r="C1673" s="4" t="s">
        <v>269</v>
      </c>
      <c r="D1673" s="4">
        <v>1191</v>
      </c>
      <c r="E1673" s="4">
        <v>57</v>
      </c>
      <c r="G1673">
        <f t="shared" si="26"/>
        <v>512</v>
      </c>
    </row>
    <row r="1674" spans="2:7" ht="15" hidden="1" x14ac:dyDescent="0.25">
      <c r="B1674" s="4">
        <v>584632921</v>
      </c>
      <c r="C1674" s="4" t="s">
        <v>269</v>
      </c>
      <c r="D1674" s="4">
        <v>1192</v>
      </c>
      <c r="E1674" s="4">
        <v>57</v>
      </c>
      <c r="G1674">
        <f t="shared" si="26"/>
        <v>512</v>
      </c>
    </row>
    <row r="1675" spans="2:7" ht="15" hidden="1" x14ac:dyDescent="0.25">
      <c r="B1675" s="4">
        <v>584632922</v>
      </c>
      <c r="C1675" s="4" t="s">
        <v>269</v>
      </c>
      <c r="D1675" s="4">
        <v>1193</v>
      </c>
      <c r="E1675" s="4">
        <v>57</v>
      </c>
      <c r="G1675">
        <f t="shared" si="26"/>
        <v>512</v>
      </c>
    </row>
    <row r="1676" spans="2:7" ht="15" hidden="1" x14ac:dyDescent="0.25">
      <c r="B1676" s="4">
        <v>584632923</v>
      </c>
      <c r="C1676" s="4" t="s">
        <v>269</v>
      </c>
      <c r="D1676" s="4">
        <v>1194</v>
      </c>
      <c r="E1676" s="4">
        <v>57</v>
      </c>
      <c r="G1676">
        <f t="shared" si="26"/>
        <v>512</v>
      </c>
    </row>
    <row r="1677" spans="2:7" ht="15" hidden="1" x14ac:dyDescent="0.25">
      <c r="B1677" s="4">
        <v>584632924</v>
      </c>
      <c r="C1677" s="4" t="s">
        <v>269</v>
      </c>
      <c r="D1677" s="4">
        <v>1195</v>
      </c>
      <c r="E1677" s="4">
        <v>57</v>
      </c>
      <c r="G1677">
        <f t="shared" si="26"/>
        <v>512</v>
      </c>
    </row>
    <row r="1678" spans="2:7" ht="15" hidden="1" x14ac:dyDescent="0.25">
      <c r="B1678" s="4">
        <v>584632925</v>
      </c>
      <c r="C1678" s="4" t="s">
        <v>269</v>
      </c>
      <c r="D1678" s="4">
        <v>1196</v>
      </c>
      <c r="E1678" s="4">
        <v>57</v>
      </c>
      <c r="G1678">
        <f t="shared" si="26"/>
        <v>512</v>
      </c>
    </row>
    <row r="1679" spans="2:7" ht="15" hidden="1" x14ac:dyDescent="0.25">
      <c r="B1679" s="4">
        <v>584632926</v>
      </c>
      <c r="C1679" s="4" t="s">
        <v>269</v>
      </c>
      <c r="D1679" s="4">
        <v>1197</v>
      </c>
      <c r="E1679" s="4">
        <v>57</v>
      </c>
      <c r="G1679">
        <f t="shared" si="26"/>
        <v>512</v>
      </c>
    </row>
    <row r="1680" spans="2:7" ht="15" hidden="1" x14ac:dyDescent="0.25">
      <c r="B1680" s="4">
        <v>584632927</v>
      </c>
      <c r="C1680" s="4" t="s">
        <v>269</v>
      </c>
      <c r="D1680" s="4">
        <v>1198</v>
      </c>
      <c r="E1680" s="4">
        <v>57</v>
      </c>
      <c r="G1680">
        <f t="shared" si="26"/>
        <v>512</v>
      </c>
    </row>
    <row r="1681" spans="2:7" ht="15" hidden="1" x14ac:dyDescent="0.25">
      <c r="B1681" s="4">
        <v>584632928</v>
      </c>
      <c r="C1681" s="4" t="s">
        <v>269</v>
      </c>
      <c r="D1681" s="4">
        <v>1199</v>
      </c>
      <c r="E1681" s="4">
        <v>57</v>
      </c>
      <c r="G1681">
        <f t="shared" si="26"/>
        <v>512</v>
      </c>
    </row>
    <row r="1682" spans="2:7" ht="15" hidden="1" x14ac:dyDescent="0.25">
      <c r="B1682" s="4">
        <v>584632928</v>
      </c>
      <c r="C1682" s="4" t="s">
        <v>272</v>
      </c>
      <c r="D1682" s="4">
        <v>108</v>
      </c>
      <c r="E1682" s="4">
        <v>209</v>
      </c>
      <c r="G1682">
        <f t="shared" si="26"/>
        <v>1728</v>
      </c>
    </row>
    <row r="1683" spans="2:7" ht="15" hidden="1" x14ac:dyDescent="0.25">
      <c r="B1683" s="4">
        <v>584632929</v>
      </c>
      <c r="C1683" s="4" t="s">
        <v>269</v>
      </c>
      <c r="D1683" s="4">
        <v>1200</v>
      </c>
      <c r="E1683" s="4">
        <v>57</v>
      </c>
      <c r="G1683">
        <f t="shared" si="26"/>
        <v>512</v>
      </c>
    </row>
    <row r="1684" spans="2:7" ht="15" hidden="1" x14ac:dyDescent="0.25">
      <c r="B1684" s="4">
        <v>584632930</v>
      </c>
      <c r="C1684" s="4" t="s">
        <v>269</v>
      </c>
      <c r="D1684" s="4">
        <v>1201</v>
      </c>
      <c r="E1684" s="4">
        <v>57</v>
      </c>
      <c r="G1684">
        <f t="shared" si="26"/>
        <v>512</v>
      </c>
    </row>
    <row r="1685" spans="2:7" ht="15" hidden="1" x14ac:dyDescent="0.25">
      <c r="B1685" s="4">
        <v>584632931</v>
      </c>
      <c r="C1685" s="4" t="s">
        <v>269</v>
      </c>
      <c r="D1685" s="4">
        <v>1202</v>
      </c>
      <c r="E1685" s="4">
        <v>57</v>
      </c>
      <c r="G1685">
        <f t="shared" si="26"/>
        <v>512</v>
      </c>
    </row>
    <row r="1686" spans="2:7" ht="15" hidden="1" x14ac:dyDescent="0.25">
      <c r="B1686" s="4">
        <v>584632932</v>
      </c>
      <c r="C1686" s="4" t="s">
        <v>269</v>
      </c>
      <c r="D1686" s="4">
        <v>1203</v>
      </c>
      <c r="E1686" s="4">
        <v>57</v>
      </c>
      <c r="G1686">
        <f t="shared" si="26"/>
        <v>512</v>
      </c>
    </row>
    <row r="1687" spans="2:7" ht="15" hidden="1" x14ac:dyDescent="0.25">
      <c r="B1687" s="4">
        <v>584632933</v>
      </c>
      <c r="C1687" s="4" t="s">
        <v>269</v>
      </c>
      <c r="D1687" s="4">
        <v>1204</v>
      </c>
      <c r="E1687" s="4">
        <v>57</v>
      </c>
      <c r="G1687">
        <f t="shared" si="26"/>
        <v>512</v>
      </c>
    </row>
    <row r="1688" spans="2:7" ht="15" hidden="1" x14ac:dyDescent="0.25">
      <c r="B1688" s="4">
        <v>584632934</v>
      </c>
      <c r="C1688" s="4" t="s">
        <v>268</v>
      </c>
      <c r="D1688" s="4">
        <v>258</v>
      </c>
      <c r="E1688" s="4">
        <v>6</v>
      </c>
      <c r="G1688">
        <f t="shared" si="26"/>
        <v>104</v>
      </c>
    </row>
    <row r="1689" spans="2:7" ht="15" hidden="1" x14ac:dyDescent="0.25">
      <c r="B1689" s="4">
        <v>584632934</v>
      </c>
      <c r="C1689" s="4" t="s">
        <v>268</v>
      </c>
      <c r="D1689" s="4">
        <v>258</v>
      </c>
      <c r="E1689" s="4">
        <v>6</v>
      </c>
      <c r="G1689">
        <f t="shared" si="26"/>
        <v>104</v>
      </c>
    </row>
    <row r="1690" spans="2:7" ht="15" hidden="1" x14ac:dyDescent="0.25">
      <c r="B1690" s="4">
        <v>584632934</v>
      </c>
      <c r="C1690" s="4" t="s">
        <v>268</v>
      </c>
      <c r="D1690" s="4">
        <v>259</v>
      </c>
      <c r="E1690" s="4">
        <v>9</v>
      </c>
      <c r="G1690">
        <f t="shared" si="26"/>
        <v>128</v>
      </c>
    </row>
    <row r="1691" spans="2:7" ht="15" hidden="1" x14ac:dyDescent="0.25">
      <c r="B1691" s="4">
        <v>584632934</v>
      </c>
      <c r="C1691" s="4" t="s">
        <v>268</v>
      </c>
      <c r="D1691" s="4">
        <v>259</v>
      </c>
      <c r="E1691" s="4">
        <v>9</v>
      </c>
      <c r="G1691">
        <f t="shared" si="26"/>
        <v>128</v>
      </c>
    </row>
    <row r="1692" spans="2:7" ht="15" hidden="1" x14ac:dyDescent="0.25">
      <c r="B1692" s="4">
        <v>584632934</v>
      </c>
      <c r="C1692" s="4" t="s">
        <v>268</v>
      </c>
      <c r="D1692" s="4">
        <v>260</v>
      </c>
      <c r="E1692" s="4">
        <v>7</v>
      </c>
      <c r="G1692">
        <f t="shared" si="26"/>
        <v>112</v>
      </c>
    </row>
    <row r="1693" spans="2:7" ht="15" hidden="1" x14ac:dyDescent="0.25">
      <c r="B1693" s="4">
        <v>584632934</v>
      </c>
      <c r="C1693" s="4" t="s">
        <v>268</v>
      </c>
      <c r="D1693" s="4">
        <v>260</v>
      </c>
      <c r="E1693" s="4">
        <v>7</v>
      </c>
      <c r="G1693">
        <f t="shared" si="26"/>
        <v>112</v>
      </c>
    </row>
    <row r="1694" spans="2:7" ht="15" hidden="1" x14ac:dyDescent="0.25">
      <c r="B1694" s="4">
        <v>584632934</v>
      </c>
      <c r="C1694" s="4" t="s">
        <v>268</v>
      </c>
      <c r="D1694" s="4">
        <v>261</v>
      </c>
      <c r="E1694" s="4">
        <v>7</v>
      </c>
      <c r="G1694">
        <f t="shared" si="26"/>
        <v>112</v>
      </c>
    </row>
    <row r="1695" spans="2:7" ht="15" hidden="1" x14ac:dyDescent="0.25">
      <c r="B1695" s="4">
        <v>584632934</v>
      </c>
      <c r="C1695" s="4" t="s">
        <v>268</v>
      </c>
      <c r="D1695" s="4">
        <v>261</v>
      </c>
      <c r="E1695" s="4">
        <v>7</v>
      </c>
      <c r="G1695">
        <f t="shared" si="26"/>
        <v>112</v>
      </c>
    </row>
    <row r="1696" spans="2:7" ht="15" hidden="1" x14ac:dyDescent="0.25">
      <c r="B1696" s="4">
        <v>584632934</v>
      </c>
      <c r="C1696" s="4" t="s">
        <v>268</v>
      </c>
      <c r="D1696" s="4">
        <v>262</v>
      </c>
      <c r="E1696" s="4">
        <v>7</v>
      </c>
      <c r="G1696">
        <f t="shared" si="26"/>
        <v>112</v>
      </c>
    </row>
    <row r="1697" spans="2:7" ht="15" hidden="1" x14ac:dyDescent="0.25">
      <c r="B1697" s="4">
        <v>584632934</v>
      </c>
      <c r="C1697" s="4" t="s">
        <v>268</v>
      </c>
      <c r="D1697" s="4">
        <v>262</v>
      </c>
      <c r="E1697" s="4">
        <v>7</v>
      </c>
      <c r="G1697">
        <f t="shared" si="26"/>
        <v>112</v>
      </c>
    </row>
    <row r="1698" spans="2:7" ht="15" hidden="1" x14ac:dyDescent="0.25">
      <c r="B1698" s="4">
        <v>584632934</v>
      </c>
      <c r="C1698" s="4" t="s">
        <v>269</v>
      </c>
      <c r="D1698" s="4">
        <v>1205</v>
      </c>
      <c r="E1698" s="4">
        <v>57</v>
      </c>
      <c r="G1698">
        <f t="shared" si="26"/>
        <v>512</v>
      </c>
    </row>
    <row r="1699" spans="2:7" ht="15" hidden="1" x14ac:dyDescent="0.25">
      <c r="B1699" s="4">
        <v>584632935</v>
      </c>
      <c r="C1699" s="4" t="s">
        <v>269</v>
      </c>
      <c r="D1699" s="4">
        <v>1206</v>
      </c>
      <c r="E1699" s="4">
        <v>57</v>
      </c>
      <c r="G1699">
        <f t="shared" si="26"/>
        <v>512</v>
      </c>
    </row>
    <row r="1700" spans="2:7" ht="15" hidden="1" x14ac:dyDescent="0.25">
      <c r="B1700" s="4">
        <v>584632936</v>
      </c>
      <c r="C1700" s="4" t="s">
        <v>268</v>
      </c>
      <c r="D1700" s="4">
        <v>263</v>
      </c>
      <c r="E1700" s="4">
        <v>7</v>
      </c>
      <c r="G1700">
        <f t="shared" si="26"/>
        <v>112</v>
      </c>
    </row>
    <row r="1701" spans="2:7" ht="15" hidden="1" x14ac:dyDescent="0.25">
      <c r="B1701" s="4">
        <v>584632936</v>
      </c>
      <c r="C1701" s="4" t="s">
        <v>268</v>
      </c>
      <c r="D1701" s="4">
        <v>263</v>
      </c>
      <c r="E1701" s="4">
        <v>7</v>
      </c>
      <c r="G1701">
        <f t="shared" si="26"/>
        <v>112</v>
      </c>
    </row>
    <row r="1702" spans="2:7" ht="15" hidden="1" x14ac:dyDescent="0.25">
      <c r="B1702" s="4">
        <v>584632936</v>
      </c>
      <c r="C1702" s="4" t="s">
        <v>268</v>
      </c>
      <c r="D1702" s="4">
        <v>264</v>
      </c>
      <c r="E1702" s="4">
        <v>5</v>
      </c>
      <c r="G1702">
        <f t="shared" si="26"/>
        <v>96</v>
      </c>
    </row>
    <row r="1703" spans="2:7" ht="15" hidden="1" x14ac:dyDescent="0.25">
      <c r="B1703" s="4">
        <v>584632936</v>
      </c>
      <c r="C1703" s="4" t="s">
        <v>268</v>
      </c>
      <c r="D1703" s="4">
        <v>264</v>
      </c>
      <c r="E1703" s="4">
        <v>5</v>
      </c>
      <c r="G1703">
        <f t="shared" si="26"/>
        <v>96</v>
      </c>
    </row>
    <row r="1704" spans="2:7" ht="15" hidden="1" x14ac:dyDescent="0.25">
      <c r="B1704" s="4">
        <v>584632936</v>
      </c>
      <c r="C1704" s="4" t="s">
        <v>268</v>
      </c>
      <c r="D1704" s="4">
        <v>265</v>
      </c>
      <c r="E1704" s="4">
        <v>7</v>
      </c>
      <c r="G1704">
        <f t="shared" si="26"/>
        <v>112</v>
      </c>
    </row>
    <row r="1705" spans="2:7" ht="15" hidden="1" x14ac:dyDescent="0.25">
      <c r="B1705" s="4">
        <v>584632936</v>
      </c>
      <c r="C1705" s="4" t="s">
        <v>268</v>
      </c>
      <c r="D1705" s="4">
        <v>265</v>
      </c>
      <c r="E1705" s="4">
        <v>7</v>
      </c>
      <c r="G1705">
        <f t="shared" si="26"/>
        <v>112</v>
      </c>
    </row>
    <row r="1706" spans="2:7" ht="15" hidden="1" x14ac:dyDescent="0.25">
      <c r="B1706" s="4">
        <v>584632936</v>
      </c>
      <c r="C1706" s="4" t="s">
        <v>269</v>
      </c>
      <c r="D1706" s="4">
        <v>1207</v>
      </c>
      <c r="E1706" s="4">
        <v>57</v>
      </c>
      <c r="G1706">
        <f t="shared" si="26"/>
        <v>512</v>
      </c>
    </row>
    <row r="1707" spans="2:7" ht="15" hidden="1" x14ac:dyDescent="0.25">
      <c r="B1707" s="4">
        <v>584632937</v>
      </c>
      <c r="C1707" s="4" t="s">
        <v>269</v>
      </c>
      <c r="D1707" s="4">
        <v>1208</v>
      </c>
      <c r="E1707" s="4">
        <v>57</v>
      </c>
      <c r="G1707">
        <f t="shared" si="26"/>
        <v>512</v>
      </c>
    </row>
    <row r="1708" spans="2:7" ht="15" hidden="1" x14ac:dyDescent="0.25">
      <c r="B1708" s="4">
        <v>584632938</v>
      </c>
      <c r="C1708" s="4" t="s">
        <v>269</v>
      </c>
      <c r="D1708" s="4">
        <v>1209</v>
      </c>
      <c r="E1708" s="4">
        <v>57</v>
      </c>
      <c r="G1708">
        <f t="shared" si="26"/>
        <v>512</v>
      </c>
    </row>
    <row r="1709" spans="2:7" ht="15" hidden="1" x14ac:dyDescent="0.25">
      <c r="B1709" s="4">
        <v>584632938</v>
      </c>
      <c r="C1709" s="4" t="s">
        <v>272</v>
      </c>
      <c r="D1709" s="4">
        <v>109</v>
      </c>
      <c r="E1709" s="4">
        <v>211</v>
      </c>
      <c r="G1709">
        <f t="shared" si="26"/>
        <v>1744</v>
      </c>
    </row>
    <row r="1710" spans="2:7" ht="15" hidden="1" x14ac:dyDescent="0.25">
      <c r="B1710" s="4">
        <v>584632939</v>
      </c>
      <c r="C1710" s="4" t="s">
        <v>269</v>
      </c>
      <c r="D1710" s="4">
        <v>1210</v>
      </c>
      <c r="E1710" s="4">
        <v>57</v>
      </c>
      <c r="G1710">
        <f t="shared" si="26"/>
        <v>512</v>
      </c>
    </row>
    <row r="1711" spans="2:7" ht="15" hidden="1" x14ac:dyDescent="0.25">
      <c r="B1711" s="4">
        <v>584632940</v>
      </c>
      <c r="C1711" s="4" t="s">
        <v>269</v>
      </c>
      <c r="D1711" s="4">
        <v>1211</v>
      </c>
      <c r="E1711" s="4">
        <v>57</v>
      </c>
      <c r="G1711">
        <f t="shared" si="26"/>
        <v>512</v>
      </c>
    </row>
    <row r="1712" spans="2:7" ht="15" hidden="1" x14ac:dyDescent="0.25">
      <c r="B1712" s="4">
        <v>584632941</v>
      </c>
      <c r="C1712" s="4" t="s">
        <v>269</v>
      </c>
      <c r="D1712" s="4">
        <v>1212</v>
      </c>
      <c r="E1712" s="4">
        <v>57</v>
      </c>
      <c r="G1712">
        <f t="shared" si="26"/>
        <v>512</v>
      </c>
    </row>
    <row r="1713" spans="2:7" ht="15" hidden="1" x14ac:dyDescent="0.25">
      <c r="B1713" s="4">
        <v>584632942</v>
      </c>
      <c r="C1713" s="4" t="s">
        <v>269</v>
      </c>
      <c r="D1713" s="4">
        <v>1213</v>
      </c>
      <c r="E1713" s="4">
        <v>57</v>
      </c>
      <c r="G1713">
        <f t="shared" si="26"/>
        <v>512</v>
      </c>
    </row>
    <row r="1714" spans="2:7" ht="15" hidden="1" x14ac:dyDescent="0.25">
      <c r="B1714" s="4">
        <v>584632943</v>
      </c>
      <c r="C1714" s="4" t="s">
        <v>269</v>
      </c>
      <c r="D1714" s="4">
        <v>1214</v>
      </c>
      <c r="E1714" s="4">
        <v>57</v>
      </c>
      <c r="G1714">
        <f t="shared" si="26"/>
        <v>512</v>
      </c>
    </row>
    <row r="1715" spans="2:7" ht="15" hidden="1" x14ac:dyDescent="0.25">
      <c r="B1715" s="4">
        <v>584632944</v>
      </c>
      <c r="C1715" s="4" t="s">
        <v>269</v>
      </c>
      <c r="D1715" s="4">
        <v>1215</v>
      </c>
      <c r="E1715" s="4">
        <v>57</v>
      </c>
      <c r="G1715">
        <f t="shared" si="26"/>
        <v>512</v>
      </c>
    </row>
    <row r="1716" spans="2:7" ht="15" hidden="1" x14ac:dyDescent="0.25">
      <c r="B1716" s="4">
        <v>584632945</v>
      </c>
      <c r="C1716" s="4" t="s">
        <v>269</v>
      </c>
      <c r="D1716" s="4">
        <v>1216</v>
      </c>
      <c r="E1716" s="4">
        <v>57</v>
      </c>
      <c r="G1716">
        <f t="shared" si="26"/>
        <v>512</v>
      </c>
    </row>
    <row r="1717" spans="2:7" ht="15" hidden="1" x14ac:dyDescent="0.25">
      <c r="B1717" s="4">
        <v>584632946</v>
      </c>
      <c r="C1717" s="4" t="s">
        <v>269</v>
      </c>
      <c r="D1717" s="4">
        <v>1217</v>
      </c>
      <c r="E1717" s="4">
        <v>57</v>
      </c>
      <c r="G1717">
        <f t="shared" si="26"/>
        <v>512</v>
      </c>
    </row>
    <row r="1718" spans="2:7" ht="15" hidden="1" x14ac:dyDescent="0.25">
      <c r="B1718" s="4">
        <v>584632947</v>
      </c>
      <c r="C1718" s="4" t="s">
        <v>269</v>
      </c>
      <c r="D1718" s="4">
        <v>1218</v>
      </c>
      <c r="E1718" s="4">
        <v>57</v>
      </c>
      <c r="G1718">
        <f t="shared" si="26"/>
        <v>512</v>
      </c>
    </row>
    <row r="1719" spans="2:7" ht="15" hidden="1" x14ac:dyDescent="0.25">
      <c r="B1719" s="4">
        <v>584632948</v>
      </c>
      <c r="C1719" s="4" t="s">
        <v>269</v>
      </c>
      <c r="D1719" s="4">
        <v>1219</v>
      </c>
      <c r="E1719" s="4">
        <v>57</v>
      </c>
      <c r="G1719">
        <f t="shared" si="26"/>
        <v>512</v>
      </c>
    </row>
    <row r="1720" spans="2:7" ht="15" hidden="1" x14ac:dyDescent="0.25">
      <c r="B1720" s="4">
        <v>584632948</v>
      </c>
      <c r="C1720" s="4" t="s">
        <v>272</v>
      </c>
      <c r="D1720" s="4">
        <v>110</v>
      </c>
      <c r="E1720" s="4">
        <v>211</v>
      </c>
      <c r="G1720">
        <f t="shared" si="26"/>
        <v>1744</v>
      </c>
    </row>
    <row r="1721" spans="2:7" ht="15" hidden="1" x14ac:dyDescent="0.25">
      <c r="B1721" s="4">
        <v>584632949</v>
      </c>
      <c r="C1721" s="4" t="s">
        <v>269</v>
      </c>
      <c r="D1721" s="4">
        <v>1220</v>
      </c>
      <c r="E1721" s="4">
        <v>57</v>
      </c>
      <c r="G1721">
        <f t="shared" si="26"/>
        <v>512</v>
      </c>
    </row>
    <row r="1722" spans="2:7" ht="15" hidden="1" x14ac:dyDescent="0.25">
      <c r="B1722" s="4">
        <v>584632950</v>
      </c>
      <c r="C1722" s="4" t="s">
        <v>269</v>
      </c>
      <c r="D1722" s="4">
        <v>1221</v>
      </c>
      <c r="E1722" s="4">
        <v>57</v>
      </c>
      <c r="G1722">
        <f t="shared" si="26"/>
        <v>512</v>
      </c>
    </row>
    <row r="1723" spans="2:7" ht="15" hidden="1" x14ac:dyDescent="0.25">
      <c r="B1723" s="4">
        <v>584632951</v>
      </c>
      <c r="C1723" s="4" t="s">
        <v>269</v>
      </c>
      <c r="D1723" s="4">
        <v>1222</v>
      </c>
      <c r="E1723" s="4">
        <v>57</v>
      </c>
      <c r="G1723">
        <f t="shared" si="26"/>
        <v>512</v>
      </c>
    </row>
    <row r="1724" spans="2:7" ht="15" hidden="1" x14ac:dyDescent="0.25">
      <c r="B1724" s="4">
        <v>584632952</v>
      </c>
      <c r="C1724" s="4" t="s">
        <v>269</v>
      </c>
      <c r="D1724" s="4">
        <v>1223</v>
      </c>
      <c r="E1724" s="4">
        <v>57</v>
      </c>
      <c r="G1724">
        <f t="shared" si="26"/>
        <v>512</v>
      </c>
    </row>
    <row r="1725" spans="2:7" ht="15" hidden="1" x14ac:dyDescent="0.25">
      <c r="B1725" s="4">
        <v>584632953</v>
      </c>
      <c r="C1725" s="4" t="s">
        <v>269</v>
      </c>
      <c r="D1725" s="4">
        <v>1224</v>
      </c>
      <c r="E1725" s="4">
        <v>57</v>
      </c>
      <c r="G1725">
        <f t="shared" si="26"/>
        <v>512</v>
      </c>
    </row>
    <row r="1726" spans="2:7" ht="15" hidden="1" x14ac:dyDescent="0.25">
      <c r="B1726" s="4">
        <v>584632954</v>
      </c>
      <c r="C1726" s="4" t="s">
        <v>269</v>
      </c>
      <c r="D1726" s="4">
        <v>1225</v>
      </c>
      <c r="E1726" s="4">
        <v>57</v>
      </c>
      <c r="G1726">
        <f t="shared" si="26"/>
        <v>512</v>
      </c>
    </row>
    <row r="1727" spans="2:7" ht="15" hidden="1" x14ac:dyDescent="0.25">
      <c r="B1727" s="4">
        <v>584632955</v>
      </c>
      <c r="C1727" s="4" t="s">
        <v>269</v>
      </c>
      <c r="D1727" s="4">
        <v>1226</v>
      </c>
      <c r="E1727" s="4">
        <v>57</v>
      </c>
      <c r="G1727">
        <f t="shared" si="26"/>
        <v>512</v>
      </c>
    </row>
    <row r="1728" spans="2:7" ht="15" hidden="1" x14ac:dyDescent="0.25">
      <c r="B1728" s="4">
        <v>584632956</v>
      </c>
      <c r="C1728" s="4" t="s">
        <v>269</v>
      </c>
      <c r="D1728" s="4">
        <v>1227</v>
      </c>
      <c r="E1728" s="4">
        <v>57</v>
      </c>
      <c r="G1728">
        <f t="shared" si="26"/>
        <v>512</v>
      </c>
    </row>
    <row r="1729" spans="2:7" ht="15" hidden="1" x14ac:dyDescent="0.25">
      <c r="B1729" s="4">
        <v>584632957</v>
      </c>
      <c r="C1729" s="4" t="s">
        <v>269</v>
      </c>
      <c r="D1729" s="4">
        <v>1228</v>
      </c>
      <c r="E1729" s="4">
        <v>57</v>
      </c>
      <c r="G1729">
        <f t="shared" si="26"/>
        <v>512</v>
      </c>
    </row>
    <row r="1730" spans="2:7" ht="15" hidden="1" x14ac:dyDescent="0.25">
      <c r="B1730" s="4">
        <v>584632958</v>
      </c>
      <c r="C1730" s="4" t="s">
        <v>269</v>
      </c>
      <c r="D1730" s="4">
        <v>1229</v>
      </c>
      <c r="E1730" s="4">
        <v>57</v>
      </c>
      <c r="G1730">
        <f t="shared" si="26"/>
        <v>512</v>
      </c>
    </row>
    <row r="1731" spans="2:7" ht="15" hidden="1" x14ac:dyDescent="0.25">
      <c r="B1731" s="4">
        <v>584632958</v>
      </c>
      <c r="C1731" s="4" t="s">
        <v>272</v>
      </c>
      <c r="D1731" s="4">
        <v>111</v>
      </c>
      <c r="E1731" s="4">
        <v>209</v>
      </c>
      <c r="G1731">
        <f t="shared" si="26"/>
        <v>1728</v>
      </c>
    </row>
    <row r="1732" spans="2:7" ht="15" hidden="1" x14ac:dyDescent="0.25">
      <c r="B1732" s="4">
        <v>584632959</v>
      </c>
      <c r="C1732" s="4" t="s">
        <v>269</v>
      </c>
      <c r="D1732" s="4">
        <v>1230</v>
      </c>
      <c r="E1732" s="4">
        <v>57</v>
      </c>
      <c r="G1732">
        <f t="shared" ref="G1732:G1795" si="27">(E1732+7)*8</f>
        <v>512</v>
      </c>
    </row>
    <row r="1733" spans="2:7" ht="15" hidden="1" x14ac:dyDescent="0.25">
      <c r="B1733" s="4">
        <v>584632960</v>
      </c>
      <c r="C1733" s="4" t="s">
        <v>269</v>
      </c>
      <c r="D1733" s="4">
        <v>1231</v>
      </c>
      <c r="E1733" s="4">
        <v>57</v>
      </c>
      <c r="G1733">
        <f t="shared" si="27"/>
        <v>512</v>
      </c>
    </row>
    <row r="1734" spans="2:7" ht="15" hidden="1" x14ac:dyDescent="0.25">
      <c r="B1734" s="4">
        <v>584632961</v>
      </c>
      <c r="C1734" s="4" t="s">
        <v>269</v>
      </c>
      <c r="D1734" s="4">
        <v>1232</v>
      </c>
      <c r="E1734" s="4">
        <v>57</v>
      </c>
      <c r="G1734">
        <f t="shared" si="27"/>
        <v>512</v>
      </c>
    </row>
    <row r="1735" spans="2:7" ht="15" hidden="1" x14ac:dyDescent="0.25">
      <c r="B1735" s="4">
        <v>584632962</v>
      </c>
      <c r="C1735" s="4" t="s">
        <v>269</v>
      </c>
      <c r="D1735" s="4">
        <v>1233</v>
      </c>
      <c r="E1735" s="4">
        <v>57</v>
      </c>
      <c r="G1735">
        <f t="shared" si="27"/>
        <v>512</v>
      </c>
    </row>
    <row r="1736" spans="2:7" ht="15" hidden="1" x14ac:dyDescent="0.25">
      <c r="B1736" s="4">
        <v>584632963</v>
      </c>
      <c r="C1736" s="4" t="s">
        <v>269</v>
      </c>
      <c r="D1736" s="4">
        <v>1234</v>
      </c>
      <c r="E1736" s="4">
        <v>57</v>
      </c>
      <c r="G1736">
        <f t="shared" si="27"/>
        <v>512</v>
      </c>
    </row>
    <row r="1737" spans="2:7" ht="15" hidden="1" x14ac:dyDescent="0.25">
      <c r="B1737" s="4">
        <v>584632964</v>
      </c>
      <c r="C1737" s="4" t="s">
        <v>269</v>
      </c>
      <c r="D1737" s="4">
        <v>1235</v>
      </c>
      <c r="E1737" s="4">
        <v>57</v>
      </c>
      <c r="G1737">
        <f t="shared" si="27"/>
        <v>512</v>
      </c>
    </row>
    <row r="1738" spans="2:7" ht="15" hidden="1" x14ac:dyDescent="0.25">
      <c r="B1738" s="4">
        <v>584632965</v>
      </c>
      <c r="C1738" s="4" t="s">
        <v>269</v>
      </c>
      <c r="D1738" s="4">
        <v>1236</v>
      </c>
      <c r="E1738" s="4">
        <v>57</v>
      </c>
      <c r="G1738">
        <f t="shared" si="27"/>
        <v>512</v>
      </c>
    </row>
    <row r="1739" spans="2:7" ht="15" hidden="1" x14ac:dyDescent="0.25">
      <c r="B1739" s="4">
        <v>584632966</v>
      </c>
      <c r="C1739" s="4" t="s">
        <v>269</v>
      </c>
      <c r="D1739" s="4">
        <v>1237</v>
      </c>
      <c r="E1739" s="4">
        <v>57</v>
      </c>
      <c r="G1739">
        <f t="shared" si="27"/>
        <v>512</v>
      </c>
    </row>
    <row r="1740" spans="2:7" ht="15" hidden="1" x14ac:dyDescent="0.25">
      <c r="B1740" s="4">
        <v>584632967</v>
      </c>
      <c r="C1740" s="4" t="s">
        <v>269</v>
      </c>
      <c r="D1740" s="4">
        <v>1238</v>
      </c>
      <c r="E1740" s="4">
        <v>57</v>
      </c>
      <c r="G1740">
        <f t="shared" si="27"/>
        <v>512</v>
      </c>
    </row>
    <row r="1741" spans="2:7" ht="15" hidden="1" x14ac:dyDescent="0.25">
      <c r="B1741" s="4">
        <v>584632968</v>
      </c>
      <c r="C1741" s="4" t="s">
        <v>269</v>
      </c>
      <c r="D1741" s="4">
        <v>1239</v>
      </c>
      <c r="E1741" s="4">
        <v>57</v>
      </c>
      <c r="G1741">
        <f t="shared" si="27"/>
        <v>512</v>
      </c>
    </row>
    <row r="1742" spans="2:7" ht="15" hidden="1" x14ac:dyDescent="0.25">
      <c r="B1742" s="4">
        <v>584632968</v>
      </c>
      <c r="C1742" s="4" t="s">
        <v>272</v>
      </c>
      <c r="D1742" s="4">
        <v>112</v>
      </c>
      <c r="E1742" s="4">
        <v>209</v>
      </c>
      <c r="G1742">
        <f t="shared" si="27"/>
        <v>1728</v>
      </c>
    </row>
    <row r="1743" spans="2:7" ht="15" hidden="1" x14ac:dyDescent="0.25">
      <c r="B1743" s="4">
        <v>584632969</v>
      </c>
      <c r="C1743" s="4" t="s">
        <v>269</v>
      </c>
      <c r="D1743" s="4">
        <v>1240</v>
      </c>
      <c r="E1743" s="4">
        <v>57</v>
      </c>
      <c r="G1743">
        <f t="shared" si="27"/>
        <v>512</v>
      </c>
    </row>
    <row r="1744" spans="2:7" ht="15" hidden="1" x14ac:dyDescent="0.25">
      <c r="B1744" s="4">
        <v>584632970</v>
      </c>
      <c r="C1744" s="4" t="s">
        <v>269</v>
      </c>
      <c r="D1744" s="4">
        <v>1241</v>
      </c>
      <c r="E1744" s="4">
        <v>57</v>
      </c>
      <c r="G1744">
        <f t="shared" si="27"/>
        <v>512</v>
      </c>
    </row>
    <row r="1745" spans="2:7" ht="15" hidden="1" x14ac:dyDescent="0.25">
      <c r="B1745" s="4">
        <v>584632971</v>
      </c>
      <c r="C1745" s="4" t="s">
        <v>269</v>
      </c>
      <c r="D1745" s="4">
        <v>1242</v>
      </c>
      <c r="E1745" s="4">
        <v>57</v>
      </c>
      <c r="G1745">
        <f t="shared" si="27"/>
        <v>512</v>
      </c>
    </row>
    <row r="1746" spans="2:7" ht="15" hidden="1" x14ac:dyDescent="0.25">
      <c r="B1746" s="4">
        <v>584632972</v>
      </c>
      <c r="C1746" s="4" t="s">
        <v>269</v>
      </c>
      <c r="D1746" s="4">
        <v>1243</v>
      </c>
      <c r="E1746" s="4">
        <v>57</v>
      </c>
      <c r="G1746">
        <f t="shared" si="27"/>
        <v>512</v>
      </c>
    </row>
    <row r="1747" spans="2:7" ht="15" hidden="1" x14ac:dyDescent="0.25">
      <c r="B1747" s="4">
        <v>584632973</v>
      </c>
      <c r="C1747" s="4" t="s">
        <v>269</v>
      </c>
      <c r="D1747" s="4">
        <v>1244</v>
      </c>
      <c r="E1747" s="4">
        <v>57</v>
      </c>
      <c r="G1747">
        <f t="shared" si="27"/>
        <v>512</v>
      </c>
    </row>
    <row r="1748" spans="2:7" ht="15" hidden="1" x14ac:dyDescent="0.25">
      <c r="B1748" s="4">
        <v>584632974</v>
      </c>
      <c r="C1748" s="4" t="s">
        <v>269</v>
      </c>
      <c r="D1748" s="4">
        <v>1245</v>
      </c>
      <c r="E1748" s="4">
        <v>57</v>
      </c>
      <c r="G1748">
        <f t="shared" si="27"/>
        <v>512</v>
      </c>
    </row>
    <row r="1749" spans="2:7" ht="15" hidden="1" x14ac:dyDescent="0.25">
      <c r="B1749" s="4">
        <v>584632975</v>
      </c>
      <c r="C1749" s="4" t="s">
        <v>269</v>
      </c>
      <c r="D1749" s="4">
        <v>1246</v>
      </c>
      <c r="E1749" s="4">
        <v>57</v>
      </c>
      <c r="G1749">
        <f t="shared" si="27"/>
        <v>512</v>
      </c>
    </row>
    <row r="1750" spans="2:7" ht="15" hidden="1" x14ac:dyDescent="0.25">
      <c r="B1750" s="4">
        <v>584632976</v>
      </c>
      <c r="C1750" s="4" t="s">
        <v>269</v>
      </c>
      <c r="D1750" s="4">
        <v>1247</v>
      </c>
      <c r="E1750" s="4">
        <v>57</v>
      </c>
      <c r="G1750">
        <f t="shared" si="27"/>
        <v>512</v>
      </c>
    </row>
    <row r="1751" spans="2:7" ht="15" hidden="1" x14ac:dyDescent="0.25">
      <c r="B1751" s="4">
        <v>584632977</v>
      </c>
      <c r="C1751" s="4" t="s">
        <v>269</v>
      </c>
      <c r="D1751" s="4">
        <v>1248</v>
      </c>
      <c r="E1751" s="4">
        <v>57</v>
      </c>
      <c r="G1751">
        <f t="shared" si="27"/>
        <v>512</v>
      </c>
    </row>
    <row r="1752" spans="2:7" ht="15" hidden="1" x14ac:dyDescent="0.25">
      <c r="B1752" s="4">
        <v>584632978</v>
      </c>
      <c r="C1752" s="4" t="s">
        <v>269</v>
      </c>
      <c r="D1752" s="4">
        <v>1249</v>
      </c>
      <c r="E1752" s="4">
        <v>57</v>
      </c>
      <c r="G1752">
        <f t="shared" si="27"/>
        <v>512</v>
      </c>
    </row>
    <row r="1753" spans="2:7" ht="15" hidden="1" x14ac:dyDescent="0.25">
      <c r="B1753" s="4">
        <v>584632978</v>
      </c>
      <c r="C1753" s="4" t="s">
        <v>272</v>
      </c>
      <c r="D1753" s="4">
        <v>113</v>
      </c>
      <c r="E1753" s="4">
        <v>215</v>
      </c>
      <c r="G1753">
        <f t="shared" si="27"/>
        <v>1776</v>
      </c>
    </row>
    <row r="1754" spans="2:7" ht="15" hidden="1" x14ac:dyDescent="0.25">
      <c r="B1754" s="4">
        <v>584632979</v>
      </c>
      <c r="C1754" s="4" t="s">
        <v>269</v>
      </c>
      <c r="D1754" s="4">
        <v>1250</v>
      </c>
      <c r="E1754" s="4">
        <v>57</v>
      </c>
      <c r="G1754">
        <f t="shared" si="27"/>
        <v>512</v>
      </c>
    </row>
    <row r="1755" spans="2:7" ht="15" hidden="1" x14ac:dyDescent="0.25">
      <c r="B1755" s="4">
        <v>584632980</v>
      </c>
      <c r="C1755" s="4" t="s">
        <v>269</v>
      </c>
      <c r="D1755" s="4">
        <v>1251</v>
      </c>
      <c r="E1755" s="4">
        <v>57</v>
      </c>
      <c r="G1755">
        <f t="shared" si="27"/>
        <v>512</v>
      </c>
    </row>
    <row r="1756" spans="2:7" ht="15" hidden="1" x14ac:dyDescent="0.25">
      <c r="B1756" s="4">
        <v>584632981</v>
      </c>
      <c r="C1756" s="4" t="s">
        <v>269</v>
      </c>
      <c r="D1756" s="4">
        <v>1252</v>
      </c>
      <c r="E1756" s="4">
        <v>57</v>
      </c>
      <c r="G1756">
        <f t="shared" si="27"/>
        <v>512</v>
      </c>
    </row>
    <row r="1757" spans="2:7" ht="15" hidden="1" x14ac:dyDescent="0.25">
      <c r="B1757" s="4">
        <v>584632982</v>
      </c>
      <c r="C1757" s="4" t="s">
        <v>269</v>
      </c>
      <c r="D1757" s="4">
        <v>1253</v>
      </c>
      <c r="E1757" s="4">
        <v>57</v>
      </c>
      <c r="G1757">
        <f t="shared" si="27"/>
        <v>512</v>
      </c>
    </row>
    <row r="1758" spans="2:7" ht="15" hidden="1" x14ac:dyDescent="0.25">
      <c r="B1758" s="4">
        <v>584632983</v>
      </c>
      <c r="C1758" s="4" t="s">
        <v>269</v>
      </c>
      <c r="D1758" s="4">
        <v>1254</v>
      </c>
      <c r="E1758" s="4">
        <v>57</v>
      </c>
      <c r="G1758">
        <f t="shared" si="27"/>
        <v>512</v>
      </c>
    </row>
    <row r="1759" spans="2:7" ht="15" hidden="1" x14ac:dyDescent="0.25">
      <c r="B1759" s="4">
        <v>584632984</v>
      </c>
      <c r="C1759" s="4" t="s">
        <v>269</v>
      </c>
      <c r="D1759" s="4">
        <v>1255</v>
      </c>
      <c r="E1759" s="4">
        <v>57</v>
      </c>
      <c r="G1759">
        <f t="shared" si="27"/>
        <v>512</v>
      </c>
    </row>
    <row r="1760" spans="2:7" ht="15" hidden="1" x14ac:dyDescent="0.25">
      <c r="B1760" s="4">
        <v>584632985</v>
      </c>
      <c r="C1760" s="4" t="s">
        <v>269</v>
      </c>
      <c r="D1760" s="4">
        <v>1256</v>
      </c>
      <c r="E1760" s="4">
        <v>57</v>
      </c>
      <c r="G1760">
        <f t="shared" si="27"/>
        <v>512</v>
      </c>
    </row>
    <row r="1761" spans="2:7" ht="15" hidden="1" x14ac:dyDescent="0.25">
      <c r="B1761" s="4">
        <v>584632986</v>
      </c>
      <c r="C1761" s="4" t="s">
        <v>269</v>
      </c>
      <c r="D1761" s="4">
        <v>1257</v>
      </c>
      <c r="E1761" s="4">
        <v>57</v>
      </c>
      <c r="G1761">
        <f t="shared" si="27"/>
        <v>512</v>
      </c>
    </row>
    <row r="1762" spans="2:7" ht="15" hidden="1" x14ac:dyDescent="0.25">
      <c r="B1762" s="4">
        <v>584632987</v>
      </c>
      <c r="C1762" s="4" t="s">
        <v>269</v>
      </c>
      <c r="D1762" s="4">
        <v>1258</v>
      </c>
      <c r="E1762" s="4">
        <v>57</v>
      </c>
      <c r="G1762">
        <f t="shared" si="27"/>
        <v>512</v>
      </c>
    </row>
    <row r="1763" spans="2:7" ht="15" hidden="1" x14ac:dyDescent="0.25">
      <c r="B1763" s="4">
        <v>584632988</v>
      </c>
      <c r="C1763" s="4" t="s">
        <v>269</v>
      </c>
      <c r="D1763" s="4">
        <v>1259</v>
      </c>
      <c r="E1763" s="4">
        <v>57</v>
      </c>
      <c r="G1763">
        <f t="shared" si="27"/>
        <v>512</v>
      </c>
    </row>
    <row r="1764" spans="2:7" ht="15" hidden="1" x14ac:dyDescent="0.25">
      <c r="B1764" s="4">
        <v>584632988</v>
      </c>
      <c r="C1764" s="4" t="s">
        <v>272</v>
      </c>
      <c r="D1764" s="4">
        <v>114</v>
      </c>
      <c r="E1764" s="4">
        <v>211</v>
      </c>
      <c r="G1764">
        <f t="shared" si="27"/>
        <v>1744</v>
      </c>
    </row>
    <row r="1765" spans="2:7" ht="15" hidden="1" x14ac:dyDescent="0.25">
      <c r="B1765" s="4">
        <v>584632989</v>
      </c>
      <c r="C1765" s="4" t="s">
        <v>269</v>
      </c>
      <c r="D1765" s="4">
        <v>1260</v>
      </c>
      <c r="E1765" s="4">
        <v>57</v>
      </c>
      <c r="G1765">
        <f t="shared" si="27"/>
        <v>512</v>
      </c>
    </row>
    <row r="1766" spans="2:7" ht="15" hidden="1" x14ac:dyDescent="0.25">
      <c r="B1766" s="4">
        <v>584632990</v>
      </c>
      <c r="C1766" s="4" t="s">
        <v>269</v>
      </c>
      <c r="D1766" s="4">
        <v>1261</v>
      </c>
      <c r="E1766" s="4">
        <v>57</v>
      </c>
      <c r="G1766">
        <f t="shared" si="27"/>
        <v>512</v>
      </c>
    </row>
    <row r="1767" spans="2:7" ht="15" hidden="1" x14ac:dyDescent="0.25">
      <c r="B1767" s="4">
        <v>584632991</v>
      </c>
      <c r="C1767" s="4" t="s">
        <v>269</v>
      </c>
      <c r="D1767" s="4">
        <v>1262</v>
      </c>
      <c r="E1767" s="4">
        <v>57</v>
      </c>
      <c r="G1767">
        <f t="shared" si="27"/>
        <v>512</v>
      </c>
    </row>
    <row r="1768" spans="2:7" ht="15" hidden="1" x14ac:dyDescent="0.25">
      <c r="B1768" s="4">
        <v>584632992</v>
      </c>
      <c r="C1768" s="4" t="s">
        <v>269</v>
      </c>
      <c r="D1768" s="4">
        <v>1263</v>
      </c>
      <c r="E1768" s="4">
        <v>57</v>
      </c>
      <c r="G1768">
        <f t="shared" si="27"/>
        <v>512</v>
      </c>
    </row>
    <row r="1769" spans="2:7" ht="15" hidden="1" x14ac:dyDescent="0.25">
      <c r="B1769" s="4">
        <v>584632993</v>
      </c>
      <c r="C1769" s="4" t="s">
        <v>269</v>
      </c>
      <c r="D1769" s="4">
        <v>1264</v>
      </c>
      <c r="E1769" s="4">
        <v>57</v>
      </c>
      <c r="G1769">
        <f t="shared" si="27"/>
        <v>512</v>
      </c>
    </row>
    <row r="1770" spans="2:7" ht="15" hidden="1" x14ac:dyDescent="0.25">
      <c r="B1770" s="4">
        <v>584632994</v>
      </c>
      <c r="C1770" s="4" t="s">
        <v>269</v>
      </c>
      <c r="D1770" s="4">
        <v>1265</v>
      </c>
      <c r="E1770" s="4">
        <v>57</v>
      </c>
      <c r="G1770">
        <f t="shared" si="27"/>
        <v>512</v>
      </c>
    </row>
    <row r="1771" spans="2:7" ht="15" hidden="1" x14ac:dyDescent="0.25">
      <c r="B1771" s="4">
        <v>584632995</v>
      </c>
      <c r="C1771" s="4" t="s">
        <v>269</v>
      </c>
      <c r="D1771" s="4">
        <v>1266</v>
      </c>
      <c r="E1771" s="4">
        <v>57</v>
      </c>
      <c r="G1771">
        <f t="shared" si="27"/>
        <v>512</v>
      </c>
    </row>
    <row r="1772" spans="2:7" ht="15" hidden="1" x14ac:dyDescent="0.25">
      <c r="B1772" s="4">
        <v>584632996</v>
      </c>
      <c r="C1772" s="4" t="s">
        <v>269</v>
      </c>
      <c r="D1772" s="4">
        <v>1267</v>
      </c>
      <c r="E1772" s="4">
        <v>57</v>
      </c>
      <c r="G1772">
        <f t="shared" si="27"/>
        <v>512</v>
      </c>
    </row>
    <row r="1773" spans="2:7" ht="15" hidden="1" x14ac:dyDescent="0.25">
      <c r="B1773" s="4">
        <v>584632997</v>
      </c>
      <c r="C1773" s="4" t="s">
        <v>269</v>
      </c>
      <c r="D1773" s="4">
        <v>1268</v>
      </c>
      <c r="E1773" s="4">
        <v>57</v>
      </c>
      <c r="G1773">
        <f t="shared" si="27"/>
        <v>512</v>
      </c>
    </row>
    <row r="1774" spans="2:7" ht="15" hidden="1" x14ac:dyDescent="0.25">
      <c r="B1774" s="4">
        <v>584632998</v>
      </c>
      <c r="C1774" s="4" t="s">
        <v>269</v>
      </c>
      <c r="D1774" s="4">
        <v>1269</v>
      </c>
      <c r="E1774" s="4">
        <v>57</v>
      </c>
      <c r="G1774">
        <f t="shared" si="27"/>
        <v>512</v>
      </c>
    </row>
    <row r="1775" spans="2:7" ht="15" hidden="1" x14ac:dyDescent="0.25">
      <c r="B1775" s="4">
        <v>584632998</v>
      </c>
      <c r="C1775" s="4" t="s">
        <v>272</v>
      </c>
      <c r="D1775" s="4">
        <v>115</v>
      </c>
      <c r="E1775" s="4">
        <v>211</v>
      </c>
      <c r="G1775">
        <f t="shared" si="27"/>
        <v>1744</v>
      </c>
    </row>
    <row r="1776" spans="2:7" ht="15" hidden="1" x14ac:dyDescent="0.25">
      <c r="B1776" s="4">
        <v>584632999</v>
      </c>
      <c r="C1776" s="4" t="s">
        <v>269</v>
      </c>
      <c r="D1776" s="4">
        <v>1270</v>
      </c>
      <c r="E1776" s="4">
        <v>57</v>
      </c>
      <c r="G1776">
        <f t="shared" si="27"/>
        <v>512</v>
      </c>
    </row>
    <row r="1777" spans="2:7" ht="15" hidden="1" x14ac:dyDescent="0.25">
      <c r="B1777" s="4">
        <v>584633000</v>
      </c>
      <c r="C1777" s="4" t="s">
        <v>269</v>
      </c>
      <c r="D1777" s="4">
        <v>1271</v>
      </c>
      <c r="E1777" s="4">
        <v>57</v>
      </c>
      <c r="G1777">
        <f t="shared" si="27"/>
        <v>512</v>
      </c>
    </row>
    <row r="1778" spans="2:7" ht="15" hidden="1" x14ac:dyDescent="0.25">
      <c r="B1778" s="4">
        <v>584633001</v>
      </c>
      <c r="C1778" s="4" t="s">
        <v>269</v>
      </c>
      <c r="D1778" s="4">
        <v>1272</v>
      </c>
      <c r="E1778" s="4">
        <v>57</v>
      </c>
      <c r="G1778">
        <f t="shared" si="27"/>
        <v>512</v>
      </c>
    </row>
    <row r="1779" spans="2:7" ht="15" hidden="1" x14ac:dyDescent="0.25">
      <c r="B1779" s="4">
        <v>584633002</v>
      </c>
      <c r="C1779" s="4" t="s">
        <v>269</v>
      </c>
      <c r="D1779" s="4">
        <v>1273</v>
      </c>
      <c r="E1779" s="4">
        <v>57</v>
      </c>
      <c r="G1779">
        <f t="shared" si="27"/>
        <v>512</v>
      </c>
    </row>
    <row r="1780" spans="2:7" ht="15" hidden="1" x14ac:dyDescent="0.25">
      <c r="B1780" s="4">
        <v>584633003</v>
      </c>
      <c r="C1780" s="4" t="s">
        <v>269</v>
      </c>
      <c r="D1780" s="4">
        <v>1274</v>
      </c>
      <c r="E1780" s="4">
        <v>57</v>
      </c>
      <c r="G1780">
        <f t="shared" si="27"/>
        <v>512</v>
      </c>
    </row>
    <row r="1781" spans="2:7" ht="15" hidden="1" x14ac:dyDescent="0.25">
      <c r="B1781" s="4">
        <v>584633004</v>
      </c>
      <c r="C1781" s="4" t="s">
        <v>269</v>
      </c>
      <c r="D1781" s="4">
        <v>1275</v>
      </c>
      <c r="E1781" s="4">
        <v>57</v>
      </c>
      <c r="G1781">
        <f t="shared" si="27"/>
        <v>512</v>
      </c>
    </row>
    <row r="1782" spans="2:7" ht="15" hidden="1" x14ac:dyDescent="0.25">
      <c r="B1782" s="4">
        <v>584633005</v>
      </c>
      <c r="C1782" s="4" t="s">
        <v>269</v>
      </c>
      <c r="D1782" s="4">
        <v>1276</v>
      </c>
      <c r="E1782" s="4">
        <v>57</v>
      </c>
      <c r="G1782">
        <f t="shared" si="27"/>
        <v>512</v>
      </c>
    </row>
    <row r="1783" spans="2:7" ht="15" hidden="1" x14ac:dyDescent="0.25">
      <c r="B1783" s="4">
        <v>584633006</v>
      </c>
      <c r="C1783" s="4" t="s">
        <v>269</v>
      </c>
      <c r="D1783" s="4">
        <v>1277</v>
      </c>
      <c r="E1783" s="4">
        <v>57</v>
      </c>
      <c r="G1783">
        <f t="shared" si="27"/>
        <v>512</v>
      </c>
    </row>
    <row r="1784" spans="2:7" ht="15" hidden="1" x14ac:dyDescent="0.25">
      <c r="B1784" s="4">
        <v>584633007</v>
      </c>
      <c r="C1784" s="4" t="s">
        <v>269</v>
      </c>
      <c r="D1784" s="4">
        <v>1278</v>
      </c>
      <c r="E1784" s="4">
        <v>57</v>
      </c>
      <c r="G1784">
        <f t="shared" si="27"/>
        <v>512</v>
      </c>
    </row>
    <row r="1785" spans="2:7" ht="15" hidden="1" x14ac:dyDescent="0.25">
      <c r="B1785" s="4">
        <v>584633008</v>
      </c>
      <c r="C1785" s="4" t="s">
        <v>269</v>
      </c>
      <c r="D1785" s="4">
        <v>1279</v>
      </c>
      <c r="E1785" s="4">
        <v>57</v>
      </c>
      <c r="G1785">
        <f t="shared" si="27"/>
        <v>512</v>
      </c>
    </row>
    <row r="1786" spans="2:7" ht="15" hidden="1" x14ac:dyDescent="0.25">
      <c r="B1786" s="4">
        <v>584633008</v>
      </c>
      <c r="C1786" s="4" t="s">
        <v>272</v>
      </c>
      <c r="D1786" s="4">
        <v>116</v>
      </c>
      <c r="E1786" s="4">
        <v>209</v>
      </c>
      <c r="G1786">
        <f t="shared" si="27"/>
        <v>1728</v>
      </c>
    </row>
    <row r="1787" spans="2:7" ht="15" hidden="1" x14ac:dyDescent="0.25">
      <c r="B1787" s="4">
        <v>584633009</v>
      </c>
      <c r="C1787" s="4" t="s">
        <v>269</v>
      </c>
      <c r="D1787" s="4">
        <v>1280</v>
      </c>
      <c r="E1787" s="4">
        <v>57</v>
      </c>
      <c r="G1787">
        <f t="shared" si="27"/>
        <v>512</v>
      </c>
    </row>
    <row r="1788" spans="2:7" ht="15" hidden="1" x14ac:dyDescent="0.25">
      <c r="B1788" s="4">
        <v>584633010</v>
      </c>
      <c r="C1788" s="4" t="s">
        <v>269</v>
      </c>
      <c r="D1788" s="4">
        <v>1281</v>
      </c>
      <c r="E1788" s="4">
        <v>57</v>
      </c>
      <c r="G1788">
        <f t="shared" si="27"/>
        <v>512</v>
      </c>
    </row>
    <row r="1789" spans="2:7" ht="15" hidden="1" x14ac:dyDescent="0.25">
      <c r="B1789" s="4">
        <v>584633011</v>
      </c>
      <c r="C1789" s="4" t="s">
        <v>269</v>
      </c>
      <c r="D1789" s="4">
        <v>1282</v>
      </c>
      <c r="E1789" s="4">
        <v>57</v>
      </c>
      <c r="G1789">
        <f t="shared" si="27"/>
        <v>512</v>
      </c>
    </row>
    <row r="1790" spans="2:7" ht="15" hidden="1" x14ac:dyDescent="0.25">
      <c r="B1790" s="4">
        <v>584633012</v>
      </c>
      <c r="C1790" s="4" t="s">
        <v>269</v>
      </c>
      <c r="D1790" s="4">
        <v>1283</v>
      </c>
      <c r="E1790" s="4">
        <v>57</v>
      </c>
      <c r="G1790">
        <f t="shared" si="27"/>
        <v>512</v>
      </c>
    </row>
    <row r="1791" spans="2:7" ht="15" hidden="1" x14ac:dyDescent="0.25">
      <c r="B1791" s="4">
        <v>584633013</v>
      </c>
      <c r="C1791" s="4" t="s">
        <v>269</v>
      </c>
      <c r="D1791" s="4">
        <v>1284</v>
      </c>
      <c r="E1791" s="4">
        <v>57</v>
      </c>
      <c r="G1791">
        <f t="shared" si="27"/>
        <v>512</v>
      </c>
    </row>
    <row r="1792" spans="2:7" ht="15" hidden="1" x14ac:dyDescent="0.25">
      <c r="B1792" s="4">
        <v>584633014</v>
      </c>
      <c r="C1792" s="4" t="s">
        <v>269</v>
      </c>
      <c r="D1792" s="4">
        <v>1285</v>
      </c>
      <c r="E1792" s="4">
        <v>57</v>
      </c>
      <c r="G1792">
        <f t="shared" si="27"/>
        <v>512</v>
      </c>
    </row>
    <row r="1793" spans="2:7" ht="15" hidden="1" x14ac:dyDescent="0.25">
      <c r="B1793" s="4">
        <v>584633015</v>
      </c>
      <c r="C1793" s="4" t="s">
        <v>269</v>
      </c>
      <c r="D1793" s="4">
        <v>1286</v>
      </c>
      <c r="E1793" s="4">
        <v>57</v>
      </c>
      <c r="G1793">
        <f t="shared" si="27"/>
        <v>512</v>
      </c>
    </row>
    <row r="1794" spans="2:7" ht="15" hidden="1" x14ac:dyDescent="0.25">
      <c r="B1794" s="4">
        <v>584633016</v>
      </c>
      <c r="C1794" s="4" t="s">
        <v>269</v>
      </c>
      <c r="D1794" s="4">
        <v>1287</v>
      </c>
      <c r="E1794" s="4">
        <v>57</v>
      </c>
      <c r="G1794">
        <f t="shared" si="27"/>
        <v>512</v>
      </c>
    </row>
    <row r="1795" spans="2:7" ht="15" hidden="1" x14ac:dyDescent="0.25">
      <c r="B1795" s="4">
        <v>584633017</v>
      </c>
      <c r="C1795" s="4" t="s">
        <v>269</v>
      </c>
      <c r="D1795" s="4">
        <v>1288</v>
      </c>
      <c r="E1795" s="4">
        <v>57</v>
      </c>
      <c r="G1795">
        <f t="shared" si="27"/>
        <v>512</v>
      </c>
    </row>
    <row r="1796" spans="2:7" ht="15" hidden="1" x14ac:dyDescent="0.25">
      <c r="B1796" s="4">
        <v>584633018</v>
      </c>
      <c r="C1796" s="4" t="s">
        <v>269</v>
      </c>
      <c r="D1796" s="4">
        <v>1289</v>
      </c>
      <c r="E1796" s="4">
        <v>57</v>
      </c>
      <c r="G1796">
        <f t="shared" ref="G1796:G1859" si="28">(E1796+7)*8</f>
        <v>512</v>
      </c>
    </row>
    <row r="1797" spans="2:7" ht="15" hidden="1" x14ac:dyDescent="0.25">
      <c r="B1797" s="4">
        <v>584633018</v>
      </c>
      <c r="C1797" s="4" t="s">
        <v>272</v>
      </c>
      <c r="D1797" s="4">
        <v>117</v>
      </c>
      <c r="E1797" s="4">
        <v>209</v>
      </c>
      <c r="G1797">
        <f t="shared" si="28"/>
        <v>1728</v>
      </c>
    </row>
    <row r="1798" spans="2:7" ht="15" hidden="1" x14ac:dyDescent="0.25">
      <c r="B1798" s="4">
        <v>584633019</v>
      </c>
      <c r="C1798" s="4" t="s">
        <v>269</v>
      </c>
      <c r="D1798" s="4">
        <v>1290</v>
      </c>
      <c r="E1798" s="4">
        <v>57</v>
      </c>
      <c r="G1798">
        <f t="shared" si="28"/>
        <v>512</v>
      </c>
    </row>
    <row r="1799" spans="2:7" ht="15" hidden="1" x14ac:dyDescent="0.25">
      <c r="B1799" s="4">
        <v>584633020</v>
      </c>
      <c r="C1799" s="4" t="s">
        <v>269</v>
      </c>
      <c r="D1799" s="4">
        <v>1291</v>
      </c>
      <c r="E1799" s="4">
        <v>57</v>
      </c>
      <c r="G1799">
        <f t="shared" si="28"/>
        <v>512</v>
      </c>
    </row>
    <row r="1800" spans="2:7" ht="15" hidden="1" x14ac:dyDescent="0.25">
      <c r="B1800" s="4">
        <v>584633021</v>
      </c>
      <c r="C1800" s="4" t="s">
        <v>269</v>
      </c>
      <c r="D1800" s="4">
        <v>1292</v>
      </c>
      <c r="E1800" s="4">
        <v>57</v>
      </c>
      <c r="G1800">
        <f t="shared" si="28"/>
        <v>512</v>
      </c>
    </row>
    <row r="1801" spans="2:7" ht="15" hidden="1" x14ac:dyDescent="0.25">
      <c r="B1801" s="4">
        <v>584633022</v>
      </c>
      <c r="C1801" s="4" t="s">
        <v>269</v>
      </c>
      <c r="D1801" s="4">
        <v>1293</v>
      </c>
      <c r="E1801" s="4">
        <v>57</v>
      </c>
      <c r="G1801">
        <f t="shared" si="28"/>
        <v>512</v>
      </c>
    </row>
    <row r="1802" spans="2:7" ht="15" hidden="1" x14ac:dyDescent="0.25">
      <c r="B1802" s="4">
        <v>584633023</v>
      </c>
      <c r="C1802" s="4" t="s">
        <v>269</v>
      </c>
      <c r="D1802" s="4">
        <v>1294</v>
      </c>
      <c r="E1802" s="4">
        <v>57</v>
      </c>
      <c r="G1802">
        <f t="shared" si="28"/>
        <v>512</v>
      </c>
    </row>
    <row r="1803" spans="2:7" ht="15" hidden="1" x14ac:dyDescent="0.25">
      <c r="B1803" s="4">
        <v>584633024</v>
      </c>
      <c r="C1803" s="4" t="s">
        <v>269</v>
      </c>
      <c r="D1803" s="4">
        <v>1295</v>
      </c>
      <c r="E1803" s="4">
        <v>57</v>
      </c>
      <c r="G1803">
        <f t="shared" si="28"/>
        <v>512</v>
      </c>
    </row>
    <row r="1804" spans="2:7" ht="15" hidden="1" x14ac:dyDescent="0.25">
      <c r="B1804" s="4">
        <v>584633025</v>
      </c>
      <c r="C1804" s="4" t="s">
        <v>269</v>
      </c>
      <c r="D1804" s="4">
        <v>1296</v>
      </c>
      <c r="E1804" s="4">
        <v>57</v>
      </c>
      <c r="G1804">
        <f t="shared" si="28"/>
        <v>512</v>
      </c>
    </row>
    <row r="1805" spans="2:7" ht="15" hidden="1" x14ac:dyDescent="0.25">
      <c r="B1805" s="4">
        <v>584633026</v>
      </c>
      <c r="C1805" s="4" t="s">
        <v>269</v>
      </c>
      <c r="D1805" s="4">
        <v>1297</v>
      </c>
      <c r="E1805" s="4">
        <v>57</v>
      </c>
      <c r="G1805">
        <f t="shared" si="28"/>
        <v>512</v>
      </c>
    </row>
    <row r="1806" spans="2:7" ht="15" hidden="1" x14ac:dyDescent="0.25">
      <c r="B1806" s="4">
        <v>584633027</v>
      </c>
      <c r="C1806" s="4" t="s">
        <v>269</v>
      </c>
      <c r="D1806" s="4">
        <v>1298</v>
      </c>
      <c r="E1806" s="4">
        <v>57</v>
      </c>
      <c r="G1806">
        <f t="shared" si="28"/>
        <v>512</v>
      </c>
    </row>
    <row r="1807" spans="2:7" ht="15" hidden="1" x14ac:dyDescent="0.25">
      <c r="B1807" s="4">
        <v>584633028</v>
      </c>
      <c r="C1807" s="4" t="s">
        <v>269</v>
      </c>
      <c r="D1807" s="4">
        <v>1299</v>
      </c>
      <c r="E1807" s="4">
        <v>57</v>
      </c>
      <c r="G1807">
        <f t="shared" si="28"/>
        <v>512</v>
      </c>
    </row>
    <row r="1808" spans="2:7" ht="15" hidden="1" x14ac:dyDescent="0.25">
      <c r="B1808" s="4">
        <v>584633028</v>
      </c>
      <c r="C1808" s="4" t="s">
        <v>272</v>
      </c>
      <c r="D1808" s="4">
        <v>118</v>
      </c>
      <c r="E1808" s="4">
        <v>211</v>
      </c>
      <c r="G1808">
        <f t="shared" si="28"/>
        <v>1744</v>
      </c>
    </row>
    <row r="1809" spans="2:7" ht="15" hidden="1" x14ac:dyDescent="0.25">
      <c r="B1809" s="4">
        <v>584633029</v>
      </c>
      <c r="C1809" s="4" t="s">
        <v>269</v>
      </c>
      <c r="D1809" s="4">
        <v>1300</v>
      </c>
      <c r="E1809" s="4">
        <v>57</v>
      </c>
      <c r="G1809">
        <f t="shared" si="28"/>
        <v>512</v>
      </c>
    </row>
    <row r="1810" spans="2:7" ht="15" hidden="1" x14ac:dyDescent="0.25">
      <c r="B1810" s="4">
        <v>584633030</v>
      </c>
      <c r="C1810" s="4" t="s">
        <v>269</v>
      </c>
      <c r="D1810" s="4">
        <v>1301</v>
      </c>
      <c r="E1810" s="4">
        <v>57</v>
      </c>
      <c r="G1810">
        <f t="shared" si="28"/>
        <v>512</v>
      </c>
    </row>
    <row r="1811" spans="2:7" ht="15" hidden="1" x14ac:dyDescent="0.25">
      <c r="B1811" s="4">
        <v>584633031</v>
      </c>
      <c r="C1811" s="4" t="s">
        <v>269</v>
      </c>
      <c r="D1811" s="4">
        <v>1302</v>
      </c>
      <c r="E1811" s="4">
        <v>57</v>
      </c>
      <c r="G1811">
        <f t="shared" si="28"/>
        <v>512</v>
      </c>
    </row>
    <row r="1812" spans="2:7" ht="15" hidden="1" x14ac:dyDescent="0.25">
      <c r="B1812" s="4">
        <v>584633032</v>
      </c>
      <c r="C1812" s="4" t="s">
        <v>269</v>
      </c>
      <c r="D1812" s="4">
        <v>1303</v>
      </c>
      <c r="E1812" s="4">
        <v>57</v>
      </c>
      <c r="G1812">
        <f t="shared" si="28"/>
        <v>512</v>
      </c>
    </row>
    <row r="1813" spans="2:7" ht="15" hidden="1" x14ac:dyDescent="0.25">
      <c r="B1813" s="4">
        <v>584633033</v>
      </c>
      <c r="C1813" s="4" t="s">
        <v>269</v>
      </c>
      <c r="D1813" s="4">
        <v>1304</v>
      </c>
      <c r="E1813" s="4">
        <v>57</v>
      </c>
      <c r="G1813">
        <f t="shared" si="28"/>
        <v>512</v>
      </c>
    </row>
    <row r="1814" spans="2:7" ht="15" hidden="1" x14ac:dyDescent="0.25">
      <c r="B1814" s="4">
        <v>584633034</v>
      </c>
      <c r="C1814" s="4" t="s">
        <v>269</v>
      </c>
      <c r="D1814" s="4">
        <v>1305</v>
      </c>
      <c r="E1814" s="4">
        <v>57</v>
      </c>
      <c r="G1814">
        <f t="shared" si="28"/>
        <v>512</v>
      </c>
    </row>
    <row r="1815" spans="2:7" ht="15" hidden="1" x14ac:dyDescent="0.25">
      <c r="B1815" s="4">
        <v>584633035</v>
      </c>
      <c r="C1815" s="4" t="s">
        <v>269</v>
      </c>
      <c r="D1815" s="4">
        <v>1306</v>
      </c>
      <c r="E1815" s="4">
        <v>57</v>
      </c>
      <c r="G1815">
        <f t="shared" si="28"/>
        <v>512</v>
      </c>
    </row>
    <row r="1816" spans="2:7" ht="15" hidden="1" x14ac:dyDescent="0.25">
      <c r="B1816" s="4">
        <v>584633036</v>
      </c>
      <c r="C1816" s="4" t="s">
        <v>268</v>
      </c>
      <c r="D1816" s="4">
        <v>266</v>
      </c>
      <c r="E1816" s="4">
        <v>6</v>
      </c>
      <c r="G1816">
        <f t="shared" si="28"/>
        <v>104</v>
      </c>
    </row>
    <row r="1817" spans="2:7" ht="15" hidden="1" x14ac:dyDescent="0.25">
      <c r="B1817" s="4">
        <v>584633036</v>
      </c>
      <c r="C1817" s="4" t="s">
        <v>268</v>
      </c>
      <c r="D1817" s="4">
        <v>266</v>
      </c>
      <c r="E1817" s="4">
        <v>6</v>
      </c>
      <c r="G1817">
        <f t="shared" si="28"/>
        <v>104</v>
      </c>
    </row>
    <row r="1818" spans="2:7" ht="15" hidden="1" x14ac:dyDescent="0.25">
      <c r="B1818" s="4">
        <v>584633036</v>
      </c>
      <c r="C1818" s="4" t="s">
        <v>268</v>
      </c>
      <c r="D1818" s="4">
        <v>267</v>
      </c>
      <c r="E1818" s="4">
        <v>9</v>
      </c>
      <c r="G1818">
        <f t="shared" si="28"/>
        <v>128</v>
      </c>
    </row>
    <row r="1819" spans="2:7" ht="15" hidden="1" x14ac:dyDescent="0.25">
      <c r="B1819" s="4">
        <v>584633036</v>
      </c>
      <c r="C1819" s="4" t="s">
        <v>268</v>
      </c>
      <c r="D1819" s="4">
        <v>267</v>
      </c>
      <c r="E1819" s="4">
        <v>9</v>
      </c>
      <c r="G1819">
        <f t="shared" si="28"/>
        <v>128</v>
      </c>
    </row>
    <row r="1820" spans="2:7" ht="15" hidden="1" x14ac:dyDescent="0.25">
      <c r="B1820" s="4">
        <v>584633036</v>
      </c>
      <c r="C1820" s="4" t="s">
        <v>268</v>
      </c>
      <c r="D1820" s="4">
        <v>268</v>
      </c>
      <c r="E1820" s="4">
        <v>7</v>
      </c>
      <c r="G1820">
        <f t="shared" si="28"/>
        <v>112</v>
      </c>
    </row>
    <row r="1821" spans="2:7" ht="15" hidden="1" x14ac:dyDescent="0.25">
      <c r="B1821" s="4">
        <v>584633036</v>
      </c>
      <c r="C1821" s="4" t="s">
        <v>268</v>
      </c>
      <c r="D1821" s="4">
        <v>268</v>
      </c>
      <c r="E1821" s="4">
        <v>7</v>
      </c>
      <c r="G1821">
        <f t="shared" si="28"/>
        <v>112</v>
      </c>
    </row>
    <row r="1822" spans="2:7" ht="15" hidden="1" x14ac:dyDescent="0.25">
      <c r="B1822" s="4">
        <v>584633036</v>
      </c>
      <c r="C1822" s="4" t="s">
        <v>268</v>
      </c>
      <c r="D1822" s="4">
        <v>269</v>
      </c>
      <c r="E1822" s="4">
        <v>7</v>
      </c>
      <c r="G1822">
        <f t="shared" si="28"/>
        <v>112</v>
      </c>
    </row>
    <row r="1823" spans="2:7" ht="15" hidden="1" x14ac:dyDescent="0.25">
      <c r="B1823" s="4">
        <v>584633036</v>
      </c>
      <c r="C1823" s="4" t="s">
        <v>268</v>
      </c>
      <c r="D1823" s="4">
        <v>269</v>
      </c>
      <c r="E1823" s="4">
        <v>7</v>
      </c>
      <c r="G1823">
        <f t="shared" si="28"/>
        <v>112</v>
      </c>
    </row>
    <row r="1824" spans="2:7" ht="15" hidden="1" x14ac:dyDescent="0.25">
      <c r="B1824" s="4">
        <v>584633036</v>
      </c>
      <c r="C1824" s="4" t="s">
        <v>268</v>
      </c>
      <c r="D1824" s="4">
        <v>270</v>
      </c>
      <c r="E1824" s="4">
        <v>7</v>
      </c>
      <c r="G1824">
        <f t="shared" si="28"/>
        <v>112</v>
      </c>
    </row>
    <row r="1825" spans="2:7" ht="15" hidden="1" x14ac:dyDescent="0.25">
      <c r="B1825" s="4">
        <v>584633036</v>
      </c>
      <c r="C1825" s="4" t="s">
        <v>268</v>
      </c>
      <c r="D1825" s="4">
        <v>270</v>
      </c>
      <c r="E1825" s="4">
        <v>7</v>
      </c>
      <c r="G1825">
        <f t="shared" si="28"/>
        <v>112</v>
      </c>
    </row>
    <row r="1826" spans="2:7" ht="15" hidden="1" x14ac:dyDescent="0.25">
      <c r="B1826" s="4">
        <v>584633036</v>
      </c>
      <c r="C1826" s="4" t="s">
        <v>269</v>
      </c>
      <c r="D1826" s="4">
        <v>1307</v>
      </c>
      <c r="E1826" s="4">
        <v>57</v>
      </c>
      <c r="G1826">
        <f t="shared" si="28"/>
        <v>512</v>
      </c>
    </row>
    <row r="1827" spans="2:7" ht="15" hidden="1" x14ac:dyDescent="0.25">
      <c r="B1827" s="4">
        <v>584633037</v>
      </c>
      <c r="C1827" s="4" t="s">
        <v>269</v>
      </c>
      <c r="D1827" s="4">
        <v>1308</v>
      </c>
      <c r="E1827" s="4">
        <v>57</v>
      </c>
      <c r="G1827">
        <f t="shared" si="28"/>
        <v>512</v>
      </c>
    </row>
    <row r="1828" spans="2:7" ht="15" hidden="1" x14ac:dyDescent="0.25">
      <c r="B1828" s="4">
        <v>584633038</v>
      </c>
      <c r="C1828" s="4" t="s">
        <v>268</v>
      </c>
      <c r="D1828" s="4">
        <v>271</v>
      </c>
      <c r="E1828" s="4">
        <v>7</v>
      </c>
      <c r="G1828">
        <f t="shared" si="28"/>
        <v>112</v>
      </c>
    </row>
    <row r="1829" spans="2:7" ht="15" hidden="1" x14ac:dyDescent="0.25">
      <c r="B1829" s="4">
        <v>584633038</v>
      </c>
      <c r="C1829" s="4" t="s">
        <v>268</v>
      </c>
      <c r="D1829" s="4">
        <v>271</v>
      </c>
      <c r="E1829" s="4">
        <v>7</v>
      </c>
      <c r="G1829">
        <f t="shared" si="28"/>
        <v>112</v>
      </c>
    </row>
    <row r="1830" spans="2:7" ht="15" hidden="1" x14ac:dyDescent="0.25">
      <c r="B1830" s="4">
        <v>584633038</v>
      </c>
      <c r="C1830" s="4" t="s">
        <v>268</v>
      </c>
      <c r="D1830" s="4">
        <v>272</v>
      </c>
      <c r="E1830" s="4">
        <v>5</v>
      </c>
      <c r="G1830">
        <f t="shared" si="28"/>
        <v>96</v>
      </c>
    </row>
    <row r="1831" spans="2:7" ht="15" hidden="1" x14ac:dyDescent="0.25">
      <c r="B1831" s="4">
        <v>584633038</v>
      </c>
      <c r="C1831" s="4" t="s">
        <v>268</v>
      </c>
      <c r="D1831" s="4">
        <v>272</v>
      </c>
      <c r="E1831" s="4">
        <v>5</v>
      </c>
      <c r="G1831">
        <f t="shared" si="28"/>
        <v>96</v>
      </c>
    </row>
    <row r="1832" spans="2:7" ht="15" hidden="1" x14ac:dyDescent="0.25">
      <c r="B1832" s="4">
        <v>584633038</v>
      </c>
      <c r="C1832" s="4" t="s">
        <v>268</v>
      </c>
      <c r="D1832" s="4">
        <v>273</v>
      </c>
      <c r="E1832" s="4">
        <v>7</v>
      </c>
      <c r="G1832">
        <f t="shared" si="28"/>
        <v>112</v>
      </c>
    </row>
    <row r="1833" spans="2:7" ht="15" hidden="1" x14ac:dyDescent="0.25">
      <c r="B1833" s="4">
        <v>584633038</v>
      </c>
      <c r="C1833" s="4" t="s">
        <v>268</v>
      </c>
      <c r="D1833" s="4">
        <v>273</v>
      </c>
      <c r="E1833" s="4">
        <v>7</v>
      </c>
      <c r="G1833">
        <f t="shared" si="28"/>
        <v>112</v>
      </c>
    </row>
    <row r="1834" spans="2:7" ht="15" hidden="1" x14ac:dyDescent="0.25">
      <c r="B1834" s="4">
        <v>584633038</v>
      </c>
      <c r="C1834" s="4" t="s">
        <v>269</v>
      </c>
      <c r="D1834" s="4">
        <v>1309</v>
      </c>
      <c r="E1834" s="4">
        <v>57</v>
      </c>
      <c r="G1834">
        <f t="shared" si="28"/>
        <v>512</v>
      </c>
    </row>
    <row r="1835" spans="2:7" ht="15" hidden="1" x14ac:dyDescent="0.25">
      <c r="B1835" s="4">
        <v>584633038</v>
      </c>
      <c r="C1835" s="4" t="s">
        <v>272</v>
      </c>
      <c r="D1835" s="4">
        <v>119</v>
      </c>
      <c r="E1835" s="4">
        <v>211</v>
      </c>
      <c r="G1835">
        <f t="shared" si="28"/>
        <v>1744</v>
      </c>
    </row>
    <row r="1836" spans="2:7" ht="15" hidden="1" x14ac:dyDescent="0.25">
      <c r="B1836" s="4">
        <v>584633039</v>
      </c>
      <c r="C1836" s="4" t="s">
        <v>269</v>
      </c>
      <c r="D1836" s="4">
        <v>1310</v>
      </c>
      <c r="E1836" s="4">
        <v>57</v>
      </c>
      <c r="G1836">
        <f t="shared" si="28"/>
        <v>512</v>
      </c>
    </row>
    <row r="1837" spans="2:7" ht="15" hidden="1" x14ac:dyDescent="0.25">
      <c r="B1837" s="4">
        <v>584633040</v>
      </c>
      <c r="C1837" s="4" t="s">
        <v>269</v>
      </c>
      <c r="D1837" s="4">
        <v>1311</v>
      </c>
      <c r="E1837" s="4">
        <v>57</v>
      </c>
      <c r="G1837">
        <f t="shared" si="28"/>
        <v>512</v>
      </c>
    </row>
    <row r="1838" spans="2:7" ht="15" hidden="1" x14ac:dyDescent="0.25">
      <c r="B1838" s="4">
        <v>584633041</v>
      </c>
      <c r="C1838" s="4" t="s">
        <v>269</v>
      </c>
      <c r="D1838" s="4">
        <v>1312</v>
      </c>
      <c r="E1838" s="4">
        <v>57</v>
      </c>
      <c r="G1838">
        <f t="shared" si="28"/>
        <v>512</v>
      </c>
    </row>
    <row r="1839" spans="2:7" ht="15" hidden="1" x14ac:dyDescent="0.25">
      <c r="B1839" s="4">
        <v>584633042</v>
      </c>
      <c r="C1839" s="4" t="s">
        <v>269</v>
      </c>
      <c r="D1839" s="4">
        <v>1313</v>
      </c>
      <c r="E1839" s="4">
        <v>57</v>
      </c>
      <c r="G1839">
        <f t="shared" si="28"/>
        <v>512</v>
      </c>
    </row>
    <row r="1840" spans="2:7" ht="15" hidden="1" x14ac:dyDescent="0.25">
      <c r="B1840" s="4">
        <v>584633043</v>
      </c>
      <c r="C1840" s="4" t="s">
        <v>269</v>
      </c>
      <c r="D1840" s="4">
        <v>1314</v>
      </c>
      <c r="E1840" s="4">
        <v>57</v>
      </c>
      <c r="G1840">
        <f t="shared" si="28"/>
        <v>512</v>
      </c>
    </row>
    <row r="1841" spans="1:7" ht="15" hidden="1" x14ac:dyDescent="0.25">
      <c r="B1841" s="4">
        <v>584633044</v>
      </c>
      <c r="C1841" s="4" t="s">
        <v>269</v>
      </c>
      <c r="D1841" s="4">
        <v>1315</v>
      </c>
      <c r="E1841" s="4">
        <v>57</v>
      </c>
      <c r="G1841">
        <f t="shared" si="28"/>
        <v>512</v>
      </c>
    </row>
    <row r="1842" spans="1:7" ht="15" hidden="1" x14ac:dyDescent="0.25">
      <c r="B1842" s="4">
        <v>584633045</v>
      </c>
      <c r="C1842" s="4" t="s">
        <v>269</v>
      </c>
      <c r="D1842" s="4">
        <v>1316</v>
      </c>
      <c r="E1842" s="4">
        <v>57</v>
      </c>
      <c r="G1842">
        <f t="shared" si="28"/>
        <v>512</v>
      </c>
    </row>
    <row r="1843" spans="1:7" ht="15" hidden="1" x14ac:dyDescent="0.25">
      <c r="B1843" s="4">
        <v>584633046</v>
      </c>
      <c r="C1843" s="4" t="s">
        <v>269</v>
      </c>
      <c r="D1843" s="4">
        <v>1317</v>
      </c>
      <c r="E1843" s="4">
        <v>57</v>
      </c>
      <c r="G1843">
        <f t="shared" si="28"/>
        <v>512</v>
      </c>
    </row>
    <row r="1844" spans="1:7" ht="15" hidden="1" x14ac:dyDescent="0.25">
      <c r="B1844" s="4">
        <v>584633047</v>
      </c>
      <c r="C1844" s="4" t="s">
        <v>269</v>
      </c>
      <c r="D1844" s="4">
        <v>1318</v>
      </c>
      <c r="E1844" s="4">
        <v>57</v>
      </c>
      <c r="G1844">
        <f t="shared" si="28"/>
        <v>512</v>
      </c>
    </row>
    <row r="1845" spans="1:7" ht="15" hidden="1" x14ac:dyDescent="0.25">
      <c r="B1845" s="4">
        <v>584633048</v>
      </c>
      <c r="C1845" s="4" t="s">
        <v>269</v>
      </c>
      <c r="D1845" s="4">
        <v>1319</v>
      </c>
      <c r="E1845" s="4">
        <v>57</v>
      </c>
      <c r="G1845">
        <f t="shared" si="28"/>
        <v>512</v>
      </c>
    </row>
    <row r="1846" spans="1:7" ht="15" x14ac:dyDescent="0.25">
      <c r="A1846">
        <f>B1846-B1636</f>
        <v>161</v>
      </c>
      <c r="B1846" s="4">
        <v>584633048</v>
      </c>
      <c r="C1846" s="4" t="s">
        <v>270</v>
      </c>
      <c r="D1846" s="4">
        <v>4</v>
      </c>
      <c r="E1846" s="4">
        <v>1100</v>
      </c>
      <c r="G1846">
        <f t="shared" si="28"/>
        <v>8856</v>
      </c>
    </row>
    <row r="1847" spans="1:7" ht="15" x14ac:dyDescent="0.25">
      <c r="A1847">
        <f>B1847-B1637</f>
        <v>160</v>
      </c>
      <c r="B1847" s="4">
        <v>584633048</v>
      </c>
      <c r="C1847" s="4" t="s">
        <v>271</v>
      </c>
      <c r="D1847" s="4">
        <v>4</v>
      </c>
      <c r="E1847" s="4">
        <v>1100</v>
      </c>
      <c r="G1847">
        <f t="shared" si="28"/>
        <v>8856</v>
      </c>
    </row>
    <row r="1848" spans="1:7" ht="15" hidden="1" x14ac:dyDescent="0.25">
      <c r="B1848" s="4">
        <v>584633049</v>
      </c>
      <c r="C1848" s="4" t="s">
        <v>269</v>
      </c>
      <c r="D1848" s="4">
        <v>1320</v>
      </c>
      <c r="E1848" s="4">
        <v>57</v>
      </c>
      <c r="G1848">
        <f t="shared" si="28"/>
        <v>512</v>
      </c>
    </row>
    <row r="1849" spans="1:7" ht="15" hidden="1" x14ac:dyDescent="0.25">
      <c r="B1849" s="4">
        <v>584633049</v>
      </c>
      <c r="C1849" s="4" t="s">
        <v>272</v>
      </c>
      <c r="D1849" s="4">
        <v>120</v>
      </c>
      <c r="E1849" s="4">
        <v>215</v>
      </c>
      <c r="G1849">
        <f t="shared" si="28"/>
        <v>1776</v>
      </c>
    </row>
    <row r="1850" spans="1:7" ht="15" hidden="1" x14ac:dyDescent="0.25">
      <c r="B1850" s="4">
        <v>584633050</v>
      </c>
      <c r="C1850" s="4" t="s">
        <v>269</v>
      </c>
      <c r="D1850" s="4">
        <v>1321</v>
      </c>
      <c r="E1850" s="4">
        <v>57</v>
      </c>
      <c r="G1850">
        <f t="shared" si="28"/>
        <v>512</v>
      </c>
    </row>
    <row r="1851" spans="1:7" ht="15" hidden="1" x14ac:dyDescent="0.25">
      <c r="B1851" s="4">
        <v>584633051</v>
      </c>
      <c r="C1851" s="4" t="s">
        <v>269</v>
      </c>
      <c r="D1851" s="4">
        <v>1322</v>
      </c>
      <c r="E1851" s="4">
        <v>57</v>
      </c>
      <c r="G1851">
        <f t="shared" si="28"/>
        <v>512</v>
      </c>
    </row>
    <row r="1852" spans="1:7" ht="15" hidden="1" x14ac:dyDescent="0.25">
      <c r="B1852" s="4">
        <v>584633052</v>
      </c>
      <c r="C1852" s="4" t="s">
        <v>269</v>
      </c>
      <c r="D1852" s="4">
        <v>1323</v>
      </c>
      <c r="E1852" s="4">
        <v>57</v>
      </c>
      <c r="G1852">
        <f t="shared" si="28"/>
        <v>512</v>
      </c>
    </row>
    <row r="1853" spans="1:7" ht="15" hidden="1" x14ac:dyDescent="0.25">
      <c r="B1853" s="4">
        <v>584633053</v>
      </c>
      <c r="C1853" s="4" t="s">
        <v>269</v>
      </c>
      <c r="D1853" s="4">
        <v>1324</v>
      </c>
      <c r="E1853" s="4">
        <v>57</v>
      </c>
      <c r="G1853">
        <f t="shared" si="28"/>
        <v>512</v>
      </c>
    </row>
    <row r="1854" spans="1:7" ht="15" hidden="1" x14ac:dyDescent="0.25">
      <c r="B1854" s="4">
        <v>584633054</v>
      </c>
      <c r="C1854" s="4" t="s">
        <v>269</v>
      </c>
      <c r="D1854" s="4">
        <v>1325</v>
      </c>
      <c r="E1854" s="4">
        <v>57</v>
      </c>
      <c r="G1854">
        <f t="shared" si="28"/>
        <v>512</v>
      </c>
    </row>
    <row r="1855" spans="1:7" ht="15" hidden="1" x14ac:dyDescent="0.25">
      <c r="B1855" s="4">
        <v>584633055</v>
      </c>
      <c r="C1855" s="4" t="s">
        <v>269</v>
      </c>
      <c r="D1855" s="4">
        <v>1326</v>
      </c>
      <c r="E1855" s="4">
        <v>57</v>
      </c>
      <c r="G1855">
        <f t="shared" si="28"/>
        <v>512</v>
      </c>
    </row>
    <row r="1856" spans="1:7" ht="15" hidden="1" x14ac:dyDescent="0.25">
      <c r="B1856" s="4">
        <v>584633056</v>
      </c>
      <c r="C1856" s="4" t="s">
        <v>269</v>
      </c>
      <c r="D1856" s="4">
        <v>1327</v>
      </c>
      <c r="E1856" s="4">
        <v>57</v>
      </c>
      <c r="G1856">
        <f t="shared" si="28"/>
        <v>512</v>
      </c>
    </row>
    <row r="1857" spans="2:7" ht="15" hidden="1" x14ac:dyDescent="0.25">
      <c r="B1857" s="4">
        <v>584633057</v>
      </c>
      <c r="C1857" s="4" t="s">
        <v>269</v>
      </c>
      <c r="D1857" s="4">
        <v>1328</v>
      </c>
      <c r="E1857" s="4">
        <v>57</v>
      </c>
      <c r="G1857">
        <f t="shared" si="28"/>
        <v>512</v>
      </c>
    </row>
    <row r="1858" spans="2:7" ht="15" hidden="1" x14ac:dyDescent="0.25">
      <c r="B1858" s="4">
        <v>584633058</v>
      </c>
      <c r="C1858" s="4" t="s">
        <v>269</v>
      </c>
      <c r="D1858" s="4">
        <v>1329</v>
      </c>
      <c r="E1858" s="4">
        <v>57</v>
      </c>
      <c r="G1858">
        <f t="shared" si="28"/>
        <v>512</v>
      </c>
    </row>
    <row r="1859" spans="2:7" ht="15" hidden="1" x14ac:dyDescent="0.25">
      <c r="B1859" s="4">
        <v>584633058</v>
      </c>
      <c r="C1859" s="4" t="s">
        <v>272</v>
      </c>
      <c r="D1859" s="4">
        <v>121</v>
      </c>
      <c r="E1859" s="4">
        <v>209</v>
      </c>
      <c r="G1859">
        <f t="shared" si="28"/>
        <v>1728</v>
      </c>
    </row>
    <row r="1860" spans="2:7" ht="15" hidden="1" x14ac:dyDescent="0.25">
      <c r="B1860" s="4">
        <v>584633059</v>
      </c>
      <c r="C1860" s="4" t="s">
        <v>269</v>
      </c>
      <c r="D1860" s="4">
        <v>1330</v>
      </c>
      <c r="E1860" s="4">
        <v>57</v>
      </c>
      <c r="G1860">
        <f t="shared" ref="G1860:G1923" si="29">(E1860+7)*8</f>
        <v>512</v>
      </c>
    </row>
    <row r="1861" spans="2:7" ht="15" hidden="1" x14ac:dyDescent="0.25">
      <c r="B1861" s="4">
        <v>584633060</v>
      </c>
      <c r="C1861" s="4" t="s">
        <v>269</v>
      </c>
      <c r="D1861" s="4">
        <v>1331</v>
      </c>
      <c r="E1861" s="4">
        <v>57</v>
      </c>
      <c r="G1861">
        <f t="shared" si="29"/>
        <v>512</v>
      </c>
    </row>
    <row r="1862" spans="2:7" ht="15" hidden="1" x14ac:dyDescent="0.25">
      <c r="B1862" s="4">
        <v>584633061</v>
      </c>
      <c r="C1862" s="4" t="s">
        <v>269</v>
      </c>
      <c r="D1862" s="4">
        <v>1332</v>
      </c>
      <c r="E1862" s="4">
        <v>57</v>
      </c>
      <c r="G1862">
        <f t="shared" si="29"/>
        <v>512</v>
      </c>
    </row>
    <row r="1863" spans="2:7" ht="15" hidden="1" x14ac:dyDescent="0.25">
      <c r="B1863" s="4">
        <v>584633062</v>
      </c>
      <c r="C1863" s="4" t="s">
        <v>269</v>
      </c>
      <c r="D1863" s="4">
        <v>1333</v>
      </c>
      <c r="E1863" s="4">
        <v>57</v>
      </c>
      <c r="G1863">
        <f t="shared" si="29"/>
        <v>512</v>
      </c>
    </row>
    <row r="1864" spans="2:7" ht="15" hidden="1" x14ac:dyDescent="0.25">
      <c r="B1864" s="4">
        <v>584633063</v>
      </c>
      <c r="C1864" s="4" t="s">
        <v>269</v>
      </c>
      <c r="D1864" s="4">
        <v>1334</v>
      </c>
      <c r="E1864" s="4">
        <v>57</v>
      </c>
      <c r="G1864">
        <f t="shared" si="29"/>
        <v>512</v>
      </c>
    </row>
    <row r="1865" spans="2:7" ht="15" hidden="1" x14ac:dyDescent="0.25">
      <c r="B1865" s="4">
        <v>584633064</v>
      </c>
      <c r="C1865" s="4" t="s">
        <v>269</v>
      </c>
      <c r="D1865" s="4">
        <v>1335</v>
      </c>
      <c r="E1865" s="4">
        <v>57</v>
      </c>
      <c r="G1865">
        <f t="shared" si="29"/>
        <v>512</v>
      </c>
    </row>
    <row r="1866" spans="2:7" ht="15" hidden="1" x14ac:dyDescent="0.25">
      <c r="B1866" s="4">
        <v>584633065</v>
      </c>
      <c r="C1866" s="4" t="s">
        <v>269</v>
      </c>
      <c r="D1866" s="4">
        <v>1336</v>
      </c>
      <c r="E1866" s="4">
        <v>57</v>
      </c>
      <c r="G1866">
        <f t="shared" si="29"/>
        <v>512</v>
      </c>
    </row>
    <row r="1867" spans="2:7" ht="15" hidden="1" x14ac:dyDescent="0.25">
      <c r="B1867" s="4">
        <v>584633066</v>
      </c>
      <c r="C1867" s="4" t="s">
        <v>269</v>
      </c>
      <c r="D1867" s="4">
        <v>1337</v>
      </c>
      <c r="E1867" s="4">
        <v>57</v>
      </c>
      <c r="G1867">
        <f t="shared" si="29"/>
        <v>512</v>
      </c>
    </row>
    <row r="1868" spans="2:7" ht="15" hidden="1" x14ac:dyDescent="0.25">
      <c r="B1868" s="4">
        <v>584633067</v>
      </c>
      <c r="C1868" s="4" t="s">
        <v>269</v>
      </c>
      <c r="D1868" s="4">
        <v>1338</v>
      </c>
      <c r="E1868" s="4">
        <v>57</v>
      </c>
      <c r="G1868">
        <f t="shared" si="29"/>
        <v>512</v>
      </c>
    </row>
    <row r="1869" spans="2:7" ht="15" hidden="1" x14ac:dyDescent="0.25">
      <c r="B1869" s="4">
        <v>584633068</v>
      </c>
      <c r="C1869" s="4" t="s">
        <v>269</v>
      </c>
      <c r="D1869" s="4">
        <v>1339</v>
      </c>
      <c r="E1869" s="4">
        <v>57</v>
      </c>
      <c r="G1869">
        <f t="shared" si="29"/>
        <v>512</v>
      </c>
    </row>
    <row r="1870" spans="2:7" ht="15" hidden="1" x14ac:dyDescent="0.25">
      <c r="B1870" s="4">
        <v>584633068</v>
      </c>
      <c r="C1870" s="4" t="s">
        <v>272</v>
      </c>
      <c r="D1870" s="4">
        <v>122</v>
      </c>
      <c r="E1870" s="4">
        <v>209</v>
      </c>
      <c r="G1870">
        <f t="shared" si="29"/>
        <v>1728</v>
      </c>
    </row>
    <row r="1871" spans="2:7" ht="15" hidden="1" x14ac:dyDescent="0.25">
      <c r="B1871" s="4">
        <v>584633069</v>
      </c>
      <c r="C1871" s="4" t="s">
        <v>269</v>
      </c>
      <c r="D1871" s="4">
        <v>1340</v>
      </c>
      <c r="E1871" s="4">
        <v>57</v>
      </c>
      <c r="G1871">
        <f t="shared" si="29"/>
        <v>512</v>
      </c>
    </row>
    <row r="1872" spans="2:7" ht="15" hidden="1" x14ac:dyDescent="0.25">
      <c r="B1872" s="4">
        <v>584633070</v>
      </c>
      <c r="C1872" s="4" t="s">
        <v>269</v>
      </c>
      <c r="D1872" s="4">
        <v>1341</v>
      </c>
      <c r="E1872" s="4">
        <v>57</v>
      </c>
      <c r="G1872">
        <f t="shared" si="29"/>
        <v>512</v>
      </c>
    </row>
    <row r="1873" spans="2:7" ht="15" hidden="1" x14ac:dyDescent="0.25">
      <c r="B1873" s="4">
        <v>584633071</v>
      </c>
      <c r="C1873" s="4" t="s">
        <v>269</v>
      </c>
      <c r="D1873" s="4">
        <v>1342</v>
      </c>
      <c r="E1873" s="4">
        <v>57</v>
      </c>
      <c r="G1873">
        <f t="shared" si="29"/>
        <v>512</v>
      </c>
    </row>
    <row r="1874" spans="2:7" ht="15" hidden="1" x14ac:dyDescent="0.25">
      <c r="B1874" s="4">
        <v>584633072</v>
      </c>
      <c r="C1874" s="4" t="s">
        <v>269</v>
      </c>
      <c r="D1874" s="4">
        <v>1343</v>
      </c>
      <c r="E1874" s="4">
        <v>57</v>
      </c>
      <c r="G1874">
        <f t="shared" si="29"/>
        <v>512</v>
      </c>
    </row>
    <row r="1875" spans="2:7" ht="15" hidden="1" x14ac:dyDescent="0.25">
      <c r="B1875" s="4">
        <v>584633073</v>
      </c>
      <c r="C1875" s="4" t="s">
        <v>269</v>
      </c>
      <c r="D1875" s="4">
        <v>1344</v>
      </c>
      <c r="E1875" s="4">
        <v>57</v>
      </c>
      <c r="G1875">
        <f t="shared" si="29"/>
        <v>512</v>
      </c>
    </row>
    <row r="1876" spans="2:7" ht="15" hidden="1" x14ac:dyDescent="0.25">
      <c r="B1876" s="4">
        <v>584633074</v>
      </c>
      <c r="C1876" s="4" t="s">
        <v>269</v>
      </c>
      <c r="D1876" s="4">
        <v>1345</v>
      </c>
      <c r="E1876" s="4">
        <v>57</v>
      </c>
      <c r="G1876">
        <f t="shared" si="29"/>
        <v>512</v>
      </c>
    </row>
    <row r="1877" spans="2:7" ht="15" hidden="1" x14ac:dyDescent="0.25">
      <c r="B1877" s="4">
        <v>584633075</v>
      </c>
      <c r="C1877" s="4" t="s">
        <v>269</v>
      </c>
      <c r="D1877" s="4">
        <v>1346</v>
      </c>
      <c r="E1877" s="4">
        <v>57</v>
      </c>
      <c r="G1877">
        <f t="shared" si="29"/>
        <v>512</v>
      </c>
    </row>
    <row r="1878" spans="2:7" ht="15" hidden="1" x14ac:dyDescent="0.25">
      <c r="B1878" s="4">
        <v>584633076</v>
      </c>
      <c r="C1878" s="4" t="s">
        <v>269</v>
      </c>
      <c r="D1878" s="4">
        <v>1347</v>
      </c>
      <c r="E1878" s="4">
        <v>57</v>
      </c>
      <c r="G1878">
        <f t="shared" si="29"/>
        <v>512</v>
      </c>
    </row>
    <row r="1879" spans="2:7" ht="15" hidden="1" x14ac:dyDescent="0.25">
      <c r="B1879" s="4">
        <v>584633077</v>
      </c>
      <c r="C1879" s="4" t="s">
        <v>269</v>
      </c>
      <c r="D1879" s="4">
        <v>1348</v>
      </c>
      <c r="E1879" s="4">
        <v>57</v>
      </c>
      <c r="G1879">
        <f t="shared" si="29"/>
        <v>512</v>
      </c>
    </row>
    <row r="1880" spans="2:7" ht="15" hidden="1" x14ac:dyDescent="0.25">
      <c r="B1880" s="4">
        <v>584633078</v>
      </c>
      <c r="C1880" s="4" t="s">
        <v>269</v>
      </c>
      <c r="D1880" s="4">
        <v>1349</v>
      </c>
      <c r="E1880" s="4">
        <v>57</v>
      </c>
      <c r="G1880">
        <f t="shared" si="29"/>
        <v>512</v>
      </c>
    </row>
    <row r="1881" spans="2:7" ht="15" hidden="1" x14ac:dyDescent="0.25">
      <c r="B1881" s="4">
        <v>584633078</v>
      </c>
      <c r="C1881" s="4" t="s">
        <v>272</v>
      </c>
      <c r="D1881" s="4">
        <v>123</v>
      </c>
      <c r="E1881" s="4">
        <v>209</v>
      </c>
      <c r="G1881">
        <f t="shared" si="29"/>
        <v>1728</v>
      </c>
    </row>
    <row r="1882" spans="2:7" ht="15" hidden="1" x14ac:dyDescent="0.25">
      <c r="B1882" s="4">
        <v>584633079</v>
      </c>
      <c r="C1882" s="4" t="s">
        <v>269</v>
      </c>
      <c r="D1882" s="4">
        <v>1350</v>
      </c>
      <c r="E1882" s="4">
        <v>57</v>
      </c>
      <c r="G1882">
        <f t="shared" si="29"/>
        <v>512</v>
      </c>
    </row>
    <row r="1883" spans="2:7" ht="15" hidden="1" x14ac:dyDescent="0.25">
      <c r="B1883" s="4">
        <v>584633080</v>
      </c>
      <c r="C1883" s="4" t="s">
        <v>269</v>
      </c>
      <c r="D1883" s="4">
        <v>1351</v>
      </c>
      <c r="E1883" s="4">
        <v>57</v>
      </c>
      <c r="G1883">
        <f t="shared" si="29"/>
        <v>512</v>
      </c>
    </row>
    <row r="1884" spans="2:7" ht="15" hidden="1" x14ac:dyDescent="0.25">
      <c r="B1884" s="4">
        <v>584633081</v>
      </c>
      <c r="C1884" s="4" t="s">
        <v>269</v>
      </c>
      <c r="D1884" s="4">
        <v>1352</v>
      </c>
      <c r="E1884" s="4">
        <v>57</v>
      </c>
      <c r="G1884">
        <f t="shared" si="29"/>
        <v>512</v>
      </c>
    </row>
    <row r="1885" spans="2:7" ht="15" hidden="1" x14ac:dyDescent="0.25">
      <c r="B1885" s="4">
        <v>584633082</v>
      </c>
      <c r="C1885" s="4" t="s">
        <v>269</v>
      </c>
      <c r="D1885" s="4">
        <v>1353</v>
      </c>
      <c r="E1885" s="4">
        <v>57</v>
      </c>
      <c r="G1885">
        <f t="shared" si="29"/>
        <v>512</v>
      </c>
    </row>
    <row r="1886" spans="2:7" ht="15" hidden="1" x14ac:dyDescent="0.25">
      <c r="B1886" s="4">
        <v>584633083</v>
      </c>
      <c r="C1886" s="4" t="s">
        <v>269</v>
      </c>
      <c r="D1886" s="4">
        <v>1354</v>
      </c>
      <c r="E1886" s="4">
        <v>57</v>
      </c>
      <c r="G1886">
        <f t="shared" si="29"/>
        <v>512</v>
      </c>
    </row>
    <row r="1887" spans="2:7" ht="15" hidden="1" x14ac:dyDescent="0.25">
      <c r="B1887" s="4">
        <v>584633084</v>
      </c>
      <c r="C1887" s="4" t="s">
        <v>269</v>
      </c>
      <c r="D1887" s="4">
        <v>1355</v>
      </c>
      <c r="E1887" s="4">
        <v>57</v>
      </c>
      <c r="G1887">
        <f t="shared" si="29"/>
        <v>512</v>
      </c>
    </row>
    <row r="1888" spans="2:7" ht="15" hidden="1" x14ac:dyDescent="0.25">
      <c r="B1888" s="4">
        <v>584633085</v>
      </c>
      <c r="C1888" s="4" t="s">
        <v>269</v>
      </c>
      <c r="D1888" s="4">
        <v>1356</v>
      </c>
      <c r="E1888" s="4">
        <v>57</v>
      </c>
      <c r="G1888">
        <f t="shared" si="29"/>
        <v>512</v>
      </c>
    </row>
    <row r="1889" spans="2:7" ht="15" hidden="1" x14ac:dyDescent="0.25">
      <c r="B1889" s="4">
        <v>584633086</v>
      </c>
      <c r="C1889" s="4" t="s">
        <v>269</v>
      </c>
      <c r="D1889" s="4">
        <v>1357</v>
      </c>
      <c r="E1889" s="4">
        <v>57</v>
      </c>
      <c r="G1889">
        <f t="shared" si="29"/>
        <v>512</v>
      </c>
    </row>
    <row r="1890" spans="2:7" ht="15" hidden="1" x14ac:dyDescent="0.25">
      <c r="B1890" s="4">
        <v>584633087</v>
      </c>
      <c r="C1890" s="4" t="s">
        <v>269</v>
      </c>
      <c r="D1890" s="4">
        <v>1358</v>
      </c>
      <c r="E1890" s="4">
        <v>57</v>
      </c>
      <c r="G1890">
        <f t="shared" si="29"/>
        <v>512</v>
      </c>
    </row>
    <row r="1891" spans="2:7" ht="15" hidden="1" x14ac:dyDescent="0.25">
      <c r="B1891" s="4">
        <v>584633088</v>
      </c>
      <c r="C1891" s="4" t="s">
        <v>269</v>
      </c>
      <c r="D1891" s="4">
        <v>1359</v>
      </c>
      <c r="E1891" s="4">
        <v>57</v>
      </c>
      <c r="G1891">
        <f t="shared" si="29"/>
        <v>512</v>
      </c>
    </row>
    <row r="1892" spans="2:7" ht="15" hidden="1" x14ac:dyDescent="0.25">
      <c r="B1892" s="4">
        <v>584633088</v>
      </c>
      <c r="C1892" s="4" t="s">
        <v>272</v>
      </c>
      <c r="D1892" s="4">
        <v>124</v>
      </c>
      <c r="E1892" s="4">
        <v>211</v>
      </c>
      <c r="G1892">
        <f t="shared" si="29"/>
        <v>1744</v>
      </c>
    </row>
    <row r="1893" spans="2:7" ht="15" hidden="1" x14ac:dyDescent="0.25">
      <c r="B1893" s="4">
        <v>584633089</v>
      </c>
      <c r="C1893" s="4" t="s">
        <v>269</v>
      </c>
      <c r="D1893" s="4">
        <v>1360</v>
      </c>
      <c r="E1893" s="4">
        <v>57</v>
      </c>
      <c r="G1893">
        <f t="shared" si="29"/>
        <v>512</v>
      </c>
    </row>
    <row r="1894" spans="2:7" ht="15" hidden="1" x14ac:dyDescent="0.25">
      <c r="B1894" s="4">
        <v>584633090</v>
      </c>
      <c r="C1894" s="4" t="s">
        <v>269</v>
      </c>
      <c r="D1894" s="4">
        <v>1361</v>
      </c>
      <c r="E1894" s="4">
        <v>57</v>
      </c>
      <c r="G1894">
        <f t="shared" si="29"/>
        <v>512</v>
      </c>
    </row>
    <row r="1895" spans="2:7" ht="15" hidden="1" x14ac:dyDescent="0.25">
      <c r="B1895" s="4">
        <v>584633091</v>
      </c>
      <c r="C1895" s="4" t="s">
        <v>269</v>
      </c>
      <c r="D1895" s="4">
        <v>1362</v>
      </c>
      <c r="E1895" s="4">
        <v>57</v>
      </c>
      <c r="G1895">
        <f t="shared" si="29"/>
        <v>512</v>
      </c>
    </row>
    <row r="1896" spans="2:7" ht="15" hidden="1" x14ac:dyDescent="0.25">
      <c r="B1896" s="4">
        <v>584633092</v>
      </c>
      <c r="C1896" s="4" t="s">
        <v>269</v>
      </c>
      <c r="D1896" s="4">
        <v>1363</v>
      </c>
      <c r="E1896" s="4">
        <v>57</v>
      </c>
      <c r="G1896">
        <f t="shared" si="29"/>
        <v>512</v>
      </c>
    </row>
    <row r="1897" spans="2:7" ht="15" hidden="1" x14ac:dyDescent="0.25">
      <c r="B1897" s="4">
        <v>584633093</v>
      </c>
      <c r="C1897" s="4" t="s">
        <v>269</v>
      </c>
      <c r="D1897" s="4">
        <v>1364</v>
      </c>
      <c r="E1897" s="4">
        <v>57</v>
      </c>
      <c r="G1897">
        <f t="shared" si="29"/>
        <v>512</v>
      </c>
    </row>
    <row r="1898" spans="2:7" ht="15" hidden="1" x14ac:dyDescent="0.25">
      <c r="B1898" s="4">
        <v>584633094</v>
      </c>
      <c r="C1898" s="4" t="s">
        <v>269</v>
      </c>
      <c r="D1898" s="4">
        <v>1365</v>
      </c>
      <c r="E1898" s="4">
        <v>57</v>
      </c>
      <c r="G1898">
        <f t="shared" si="29"/>
        <v>512</v>
      </c>
    </row>
    <row r="1899" spans="2:7" ht="15" hidden="1" x14ac:dyDescent="0.25">
      <c r="B1899" s="4">
        <v>584633095</v>
      </c>
      <c r="C1899" s="4" t="s">
        <v>269</v>
      </c>
      <c r="D1899" s="4">
        <v>1366</v>
      </c>
      <c r="E1899" s="4">
        <v>57</v>
      </c>
      <c r="G1899">
        <f t="shared" si="29"/>
        <v>512</v>
      </c>
    </row>
    <row r="1900" spans="2:7" ht="15" hidden="1" x14ac:dyDescent="0.25">
      <c r="B1900" s="4">
        <v>584633096</v>
      </c>
      <c r="C1900" s="4" t="s">
        <v>269</v>
      </c>
      <c r="D1900" s="4">
        <v>1367</v>
      </c>
      <c r="E1900" s="4">
        <v>57</v>
      </c>
      <c r="G1900">
        <f t="shared" si="29"/>
        <v>512</v>
      </c>
    </row>
    <row r="1901" spans="2:7" ht="15" hidden="1" x14ac:dyDescent="0.25">
      <c r="B1901" s="4">
        <v>584633097</v>
      </c>
      <c r="C1901" s="4" t="s">
        <v>269</v>
      </c>
      <c r="D1901" s="4">
        <v>1368</v>
      </c>
      <c r="E1901" s="4">
        <v>57</v>
      </c>
      <c r="G1901">
        <f t="shared" si="29"/>
        <v>512</v>
      </c>
    </row>
    <row r="1902" spans="2:7" ht="15" hidden="1" x14ac:dyDescent="0.25">
      <c r="B1902" s="4">
        <v>584633098</v>
      </c>
      <c r="C1902" s="4" t="s">
        <v>269</v>
      </c>
      <c r="D1902" s="4">
        <v>1369</v>
      </c>
      <c r="E1902" s="4">
        <v>57</v>
      </c>
      <c r="G1902">
        <f t="shared" si="29"/>
        <v>512</v>
      </c>
    </row>
    <row r="1903" spans="2:7" ht="15" hidden="1" x14ac:dyDescent="0.25">
      <c r="B1903" s="4">
        <v>584633098</v>
      </c>
      <c r="C1903" s="4" t="s">
        <v>272</v>
      </c>
      <c r="D1903" s="4">
        <v>125</v>
      </c>
      <c r="E1903" s="4">
        <v>209</v>
      </c>
      <c r="G1903">
        <f t="shared" si="29"/>
        <v>1728</v>
      </c>
    </row>
    <row r="1904" spans="2:7" ht="15" hidden="1" x14ac:dyDescent="0.25">
      <c r="B1904" s="4">
        <v>584633099</v>
      </c>
      <c r="C1904" s="4" t="s">
        <v>269</v>
      </c>
      <c r="D1904" s="4">
        <v>1370</v>
      </c>
      <c r="E1904" s="4">
        <v>57</v>
      </c>
      <c r="G1904">
        <f t="shared" si="29"/>
        <v>512</v>
      </c>
    </row>
    <row r="1905" spans="2:7" ht="15" hidden="1" x14ac:dyDescent="0.25">
      <c r="B1905" s="4">
        <v>584633100</v>
      </c>
      <c r="C1905" s="4" t="s">
        <v>269</v>
      </c>
      <c r="D1905" s="4">
        <v>1371</v>
      </c>
      <c r="E1905" s="4">
        <v>57</v>
      </c>
      <c r="G1905">
        <f t="shared" si="29"/>
        <v>512</v>
      </c>
    </row>
    <row r="1906" spans="2:7" ht="15" hidden="1" x14ac:dyDescent="0.25">
      <c r="B1906" s="4">
        <v>584633101</v>
      </c>
      <c r="C1906" s="4" t="s">
        <v>269</v>
      </c>
      <c r="D1906" s="4">
        <v>1372</v>
      </c>
      <c r="E1906" s="4">
        <v>57</v>
      </c>
      <c r="G1906">
        <f t="shared" si="29"/>
        <v>512</v>
      </c>
    </row>
    <row r="1907" spans="2:7" ht="15" hidden="1" x14ac:dyDescent="0.25">
      <c r="B1907" s="4">
        <v>584633102</v>
      </c>
      <c r="C1907" s="4" t="s">
        <v>269</v>
      </c>
      <c r="D1907" s="4">
        <v>1373</v>
      </c>
      <c r="E1907" s="4">
        <v>57</v>
      </c>
      <c r="G1907">
        <f t="shared" si="29"/>
        <v>512</v>
      </c>
    </row>
    <row r="1908" spans="2:7" ht="15" hidden="1" x14ac:dyDescent="0.25">
      <c r="B1908" s="4">
        <v>584633103</v>
      </c>
      <c r="C1908" s="4" t="s">
        <v>269</v>
      </c>
      <c r="D1908" s="4">
        <v>1374</v>
      </c>
      <c r="E1908" s="4">
        <v>57</v>
      </c>
      <c r="G1908">
        <f t="shared" si="29"/>
        <v>512</v>
      </c>
    </row>
    <row r="1909" spans="2:7" ht="15" hidden="1" x14ac:dyDescent="0.25">
      <c r="B1909" s="4">
        <v>584633104</v>
      </c>
      <c r="C1909" s="4" t="s">
        <v>269</v>
      </c>
      <c r="D1909" s="4">
        <v>1375</v>
      </c>
      <c r="E1909" s="4">
        <v>57</v>
      </c>
      <c r="G1909">
        <f t="shared" si="29"/>
        <v>512</v>
      </c>
    </row>
    <row r="1910" spans="2:7" ht="15" hidden="1" x14ac:dyDescent="0.25">
      <c r="B1910" s="4">
        <v>584633105</v>
      </c>
      <c r="C1910" s="4" t="s">
        <v>269</v>
      </c>
      <c r="D1910" s="4">
        <v>1376</v>
      </c>
      <c r="E1910" s="4">
        <v>57</v>
      </c>
      <c r="G1910">
        <f t="shared" si="29"/>
        <v>512</v>
      </c>
    </row>
    <row r="1911" spans="2:7" ht="15" hidden="1" x14ac:dyDescent="0.25">
      <c r="B1911" s="4">
        <v>584633106</v>
      </c>
      <c r="C1911" s="4" t="s">
        <v>269</v>
      </c>
      <c r="D1911" s="4">
        <v>1377</v>
      </c>
      <c r="E1911" s="4">
        <v>57</v>
      </c>
      <c r="G1911">
        <f t="shared" si="29"/>
        <v>512</v>
      </c>
    </row>
    <row r="1912" spans="2:7" ht="15" hidden="1" x14ac:dyDescent="0.25">
      <c r="B1912" s="4">
        <v>584633107</v>
      </c>
      <c r="C1912" s="4" t="s">
        <v>269</v>
      </c>
      <c r="D1912" s="4">
        <v>1378</v>
      </c>
      <c r="E1912" s="4">
        <v>57</v>
      </c>
      <c r="G1912">
        <f t="shared" si="29"/>
        <v>512</v>
      </c>
    </row>
    <row r="1913" spans="2:7" ht="15" hidden="1" x14ac:dyDescent="0.25">
      <c r="B1913" s="4">
        <v>584633108</v>
      </c>
      <c r="C1913" s="4" t="s">
        <v>269</v>
      </c>
      <c r="D1913" s="4">
        <v>1379</v>
      </c>
      <c r="E1913" s="4">
        <v>57</v>
      </c>
      <c r="G1913">
        <f t="shared" si="29"/>
        <v>512</v>
      </c>
    </row>
    <row r="1914" spans="2:7" ht="15" hidden="1" x14ac:dyDescent="0.25">
      <c r="B1914" s="4">
        <v>584633108</v>
      </c>
      <c r="C1914" s="4" t="s">
        <v>272</v>
      </c>
      <c r="D1914" s="4">
        <v>126</v>
      </c>
      <c r="E1914" s="4">
        <v>215</v>
      </c>
      <c r="G1914">
        <f t="shared" si="29"/>
        <v>1776</v>
      </c>
    </row>
    <row r="1915" spans="2:7" ht="15" hidden="1" x14ac:dyDescent="0.25">
      <c r="B1915" s="4">
        <v>584633109</v>
      </c>
      <c r="C1915" s="4" t="s">
        <v>269</v>
      </c>
      <c r="D1915" s="4">
        <v>1380</v>
      </c>
      <c r="E1915" s="4">
        <v>57</v>
      </c>
      <c r="G1915">
        <f t="shared" si="29"/>
        <v>512</v>
      </c>
    </row>
    <row r="1916" spans="2:7" ht="15" hidden="1" x14ac:dyDescent="0.25">
      <c r="B1916" s="4">
        <v>584633110</v>
      </c>
      <c r="C1916" s="4" t="s">
        <v>269</v>
      </c>
      <c r="D1916" s="4">
        <v>1381</v>
      </c>
      <c r="E1916" s="4">
        <v>57</v>
      </c>
      <c r="G1916">
        <f t="shared" si="29"/>
        <v>512</v>
      </c>
    </row>
    <row r="1917" spans="2:7" ht="15" hidden="1" x14ac:dyDescent="0.25">
      <c r="B1917" s="4">
        <v>584633111</v>
      </c>
      <c r="C1917" s="4" t="s">
        <v>269</v>
      </c>
      <c r="D1917" s="4">
        <v>1382</v>
      </c>
      <c r="E1917" s="4">
        <v>57</v>
      </c>
      <c r="G1917">
        <f t="shared" si="29"/>
        <v>512</v>
      </c>
    </row>
    <row r="1918" spans="2:7" ht="15" hidden="1" x14ac:dyDescent="0.25">
      <c r="B1918" s="4">
        <v>584633112</v>
      </c>
      <c r="C1918" s="4" t="s">
        <v>269</v>
      </c>
      <c r="D1918" s="4">
        <v>1383</v>
      </c>
      <c r="E1918" s="4">
        <v>57</v>
      </c>
      <c r="G1918">
        <f t="shared" si="29"/>
        <v>512</v>
      </c>
    </row>
    <row r="1919" spans="2:7" ht="15" hidden="1" x14ac:dyDescent="0.25">
      <c r="B1919" s="4">
        <v>584633113</v>
      </c>
      <c r="C1919" s="4" t="s">
        <v>269</v>
      </c>
      <c r="D1919" s="4">
        <v>1384</v>
      </c>
      <c r="E1919" s="4">
        <v>57</v>
      </c>
      <c r="G1919">
        <f t="shared" si="29"/>
        <v>512</v>
      </c>
    </row>
    <row r="1920" spans="2:7" ht="15" hidden="1" x14ac:dyDescent="0.25">
      <c r="B1920" s="4">
        <v>584633114</v>
      </c>
      <c r="C1920" s="4" t="s">
        <v>269</v>
      </c>
      <c r="D1920" s="4">
        <v>1385</v>
      </c>
      <c r="E1920" s="4">
        <v>57</v>
      </c>
      <c r="G1920">
        <f t="shared" si="29"/>
        <v>512</v>
      </c>
    </row>
    <row r="1921" spans="2:7" ht="15" hidden="1" x14ac:dyDescent="0.25">
      <c r="B1921" s="4">
        <v>584633115</v>
      </c>
      <c r="C1921" s="4" t="s">
        <v>269</v>
      </c>
      <c r="D1921" s="4">
        <v>1386</v>
      </c>
      <c r="E1921" s="4">
        <v>57</v>
      </c>
      <c r="G1921">
        <f t="shared" si="29"/>
        <v>512</v>
      </c>
    </row>
    <row r="1922" spans="2:7" ht="15" hidden="1" x14ac:dyDescent="0.25">
      <c r="B1922" s="4">
        <v>584633116</v>
      </c>
      <c r="C1922" s="4" t="s">
        <v>269</v>
      </c>
      <c r="D1922" s="4">
        <v>1387</v>
      </c>
      <c r="E1922" s="4">
        <v>57</v>
      </c>
      <c r="G1922">
        <f t="shared" si="29"/>
        <v>512</v>
      </c>
    </row>
    <row r="1923" spans="2:7" ht="15" hidden="1" x14ac:dyDescent="0.25">
      <c r="B1923" s="4">
        <v>584633117</v>
      </c>
      <c r="C1923" s="4" t="s">
        <v>269</v>
      </c>
      <c r="D1923" s="4">
        <v>1388</v>
      </c>
      <c r="E1923" s="4">
        <v>57</v>
      </c>
      <c r="G1923">
        <f t="shared" si="29"/>
        <v>512</v>
      </c>
    </row>
    <row r="1924" spans="2:7" ht="15" hidden="1" x14ac:dyDescent="0.25">
      <c r="B1924" s="4">
        <v>584633118</v>
      </c>
      <c r="C1924" s="4" t="s">
        <v>269</v>
      </c>
      <c r="D1924" s="4">
        <v>1389</v>
      </c>
      <c r="E1924" s="4">
        <v>57</v>
      </c>
      <c r="G1924">
        <f t="shared" ref="G1924:G1987" si="30">(E1924+7)*8</f>
        <v>512</v>
      </c>
    </row>
    <row r="1925" spans="2:7" ht="15" hidden="1" x14ac:dyDescent="0.25">
      <c r="B1925" s="4">
        <v>584633118</v>
      </c>
      <c r="C1925" s="4" t="s">
        <v>272</v>
      </c>
      <c r="D1925" s="4">
        <v>127</v>
      </c>
      <c r="E1925" s="4">
        <v>209</v>
      </c>
      <c r="G1925">
        <f t="shared" si="30"/>
        <v>1728</v>
      </c>
    </row>
    <row r="1926" spans="2:7" ht="15" hidden="1" x14ac:dyDescent="0.25">
      <c r="B1926" s="4">
        <v>584633119</v>
      </c>
      <c r="C1926" s="4" t="s">
        <v>269</v>
      </c>
      <c r="D1926" s="4">
        <v>1390</v>
      </c>
      <c r="E1926" s="4">
        <v>57</v>
      </c>
      <c r="G1926">
        <f t="shared" si="30"/>
        <v>512</v>
      </c>
    </row>
    <row r="1927" spans="2:7" ht="15" hidden="1" x14ac:dyDescent="0.25">
      <c r="B1927" s="4">
        <v>584633120</v>
      </c>
      <c r="C1927" s="4" t="s">
        <v>269</v>
      </c>
      <c r="D1927" s="4">
        <v>1391</v>
      </c>
      <c r="E1927" s="4">
        <v>57</v>
      </c>
      <c r="G1927">
        <f t="shared" si="30"/>
        <v>512</v>
      </c>
    </row>
    <row r="1928" spans="2:7" ht="15" hidden="1" x14ac:dyDescent="0.25">
      <c r="B1928" s="4">
        <v>584633121</v>
      </c>
      <c r="C1928" s="4" t="s">
        <v>269</v>
      </c>
      <c r="D1928" s="4">
        <v>1392</v>
      </c>
      <c r="E1928" s="4">
        <v>57</v>
      </c>
      <c r="G1928">
        <f t="shared" si="30"/>
        <v>512</v>
      </c>
    </row>
    <row r="1929" spans="2:7" ht="15" hidden="1" x14ac:dyDescent="0.25">
      <c r="B1929" s="4">
        <v>584633122</v>
      </c>
      <c r="C1929" s="4" t="s">
        <v>269</v>
      </c>
      <c r="D1929" s="4">
        <v>1393</v>
      </c>
      <c r="E1929" s="4">
        <v>57</v>
      </c>
      <c r="G1929">
        <f t="shared" si="30"/>
        <v>512</v>
      </c>
    </row>
    <row r="1930" spans="2:7" ht="15" hidden="1" x14ac:dyDescent="0.25">
      <c r="B1930" s="4">
        <v>584633123</v>
      </c>
      <c r="C1930" s="4" t="s">
        <v>269</v>
      </c>
      <c r="D1930" s="4">
        <v>1394</v>
      </c>
      <c r="E1930" s="4">
        <v>57</v>
      </c>
      <c r="G1930">
        <f t="shared" si="30"/>
        <v>512</v>
      </c>
    </row>
    <row r="1931" spans="2:7" ht="15" hidden="1" x14ac:dyDescent="0.25">
      <c r="B1931" s="4">
        <v>584633124</v>
      </c>
      <c r="C1931" s="4" t="s">
        <v>269</v>
      </c>
      <c r="D1931" s="4">
        <v>1395</v>
      </c>
      <c r="E1931" s="4">
        <v>57</v>
      </c>
      <c r="G1931">
        <f t="shared" si="30"/>
        <v>512</v>
      </c>
    </row>
    <row r="1932" spans="2:7" ht="15" hidden="1" x14ac:dyDescent="0.25">
      <c r="B1932" s="4">
        <v>584633125</v>
      </c>
      <c r="C1932" s="4" t="s">
        <v>269</v>
      </c>
      <c r="D1932" s="4">
        <v>1396</v>
      </c>
      <c r="E1932" s="4">
        <v>57</v>
      </c>
      <c r="G1932">
        <f t="shared" si="30"/>
        <v>512</v>
      </c>
    </row>
    <row r="1933" spans="2:7" ht="15" hidden="1" x14ac:dyDescent="0.25">
      <c r="B1933" s="4">
        <v>584633126</v>
      </c>
      <c r="C1933" s="4" t="s">
        <v>269</v>
      </c>
      <c r="D1933" s="4">
        <v>1397</v>
      </c>
      <c r="E1933" s="4">
        <v>57</v>
      </c>
      <c r="G1933">
        <f t="shared" si="30"/>
        <v>512</v>
      </c>
    </row>
    <row r="1934" spans="2:7" ht="15" hidden="1" x14ac:dyDescent="0.25">
      <c r="B1934" s="4">
        <v>584633127</v>
      </c>
      <c r="C1934" s="4" t="s">
        <v>269</v>
      </c>
      <c r="D1934" s="4">
        <v>1398</v>
      </c>
      <c r="E1934" s="4">
        <v>57</v>
      </c>
      <c r="G1934">
        <f t="shared" si="30"/>
        <v>512</v>
      </c>
    </row>
    <row r="1935" spans="2:7" ht="15" hidden="1" x14ac:dyDescent="0.25">
      <c r="B1935" s="4">
        <v>584633128</v>
      </c>
      <c r="C1935" s="4" t="s">
        <v>269</v>
      </c>
      <c r="D1935" s="4">
        <v>1399</v>
      </c>
      <c r="E1935" s="4">
        <v>57</v>
      </c>
      <c r="G1935">
        <f t="shared" si="30"/>
        <v>512</v>
      </c>
    </row>
    <row r="1936" spans="2:7" ht="15" hidden="1" x14ac:dyDescent="0.25">
      <c r="B1936" s="4">
        <v>584633128</v>
      </c>
      <c r="C1936" s="4" t="s">
        <v>272</v>
      </c>
      <c r="D1936" s="4">
        <v>128</v>
      </c>
      <c r="E1936" s="4">
        <v>213</v>
      </c>
      <c r="G1936">
        <f t="shared" si="30"/>
        <v>1760</v>
      </c>
    </row>
    <row r="1937" spans="2:7" ht="15" hidden="1" x14ac:dyDescent="0.25">
      <c r="B1937" s="4">
        <v>584633129</v>
      </c>
      <c r="C1937" s="4" t="s">
        <v>269</v>
      </c>
      <c r="D1937" s="4">
        <v>1400</v>
      </c>
      <c r="E1937" s="4">
        <v>57</v>
      </c>
      <c r="G1937">
        <f t="shared" si="30"/>
        <v>512</v>
      </c>
    </row>
    <row r="1938" spans="2:7" ht="15" hidden="1" x14ac:dyDescent="0.25">
      <c r="B1938" s="4">
        <v>584633130</v>
      </c>
      <c r="C1938" s="4" t="s">
        <v>269</v>
      </c>
      <c r="D1938" s="4">
        <v>1401</v>
      </c>
      <c r="E1938" s="4">
        <v>57</v>
      </c>
      <c r="G1938">
        <f t="shared" si="30"/>
        <v>512</v>
      </c>
    </row>
    <row r="1939" spans="2:7" ht="15" hidden="1" x14ac:dyDescent="0.25">
      <c r="B1939" s="4">
        <v>584633131</v>
      </c>
      <c r="C1939" s="4" t="s">
        <v>269</v>
      </c>
      <c r="D1939" s="4">
        <v>1402</v>
      </c>
      <c r="E1939" s="4">
        <v>57</v>
      </c>
      <c r="G1939">
        <f t="shared" si="30"/>
        <v>512</v>
      </c>
    </row>
    <row r="1940" spans="2:7" ht="15" hidden="1" x14ac:dyDescent="0.25">
      <c r="B1940" s="4">
        <v>584633132</v>
      </c>
      <c r="C1940" s="4" t="s">
        <v>269</v>
      </c>
      <c r="D1940" s="4">
        <v>1403</v>
      </c>
      <c r="E1940" s="4">
        <v>57</v>
      </c>
      <c r="G1940">
        <f t="shared" si="30"/>
        <v>512</v>
      </c>
    </row>
    <row r="1941" spans="2:7" ht="15" hidden="1" x14ac:dyDescent="0.25">
      <c r="B1941" s="4">
        <v>584633133</v>
      </c>
      <c r="C1941" s="4" t="s">
        <v>269</v>
      </c>
      <c r="D1941" s="4">
        <v>1404</v>
      </c>
      <c r="E1941" s="4">
        <v>57</v>
      </c>
      <c r="G1941">
        <f t="shared" si="30"/>
        <v>512</v>
      </c>
    </row>
    <row r="1942" spans="2:7" ht="15" hidden="1" x14ac:dyDescent="0.25">
      <c r="B1942" s="4">
        <v>584633134</v>
      </c>
      <c r="C1942" s="4" t="s">
        <v>269</v>
      </c>
      <c r="D1942" s="4">
        <v>1405</v>
      </c>
      <c r="E1942" s="4">
        <v>57</v>
      </c>
      <c r="G1942">
        <f t="shared" si="30"/>
        <v>512</v>
      </c>
    </row>
    <row r="1943" spans="2:7" ht="15" hidden="1" x14ac:dyDescent="0.25">
      <c r="B1943" s="4">
        <v>584633135</v>
      </c>
      <c r="C1943" s="4" t="s">
        <v>269</v>
      </c>
      <c r="D1943" s="4">
        <v>1406</v>
      </c>
      <c r="E1943" s="4">
        <v>57</v>
      </c>
      <c r="G1943">
        <f t="shared" si="30"/>
        <v>512</v>
      </c>
    </row>
    <row r="1944" spans="2:7" ht="15" hidden="1" x14ac:dyDescent="0.25">
      <c r="B1944" s="4">
        <v>584633136</v>
      </c>
      <c r="C1944" s="4" t="s">
        <v>269</v>
      </c>
      <c r="D1944" s="4">
        <v>1407</v>
      </c>
      <c r="E1944" s="4">
        <v>57</v>
      </c>
      <c r="G1944">
        <f t="shared" si="30"/>
        <v>512</v>
      </c>
    </row>
    <row r="1945" spans="2:7" ht="15" hidden="1" x14ac:dyDescent="0.25">
      <c r="B1945" s="4">
        <v>584633137</v>
      </c>
      <c r="C1945" s="4" t="s">
        <v>269</v>
      </c>
      <c r="D1945" s="4">
        <v>1408</v>
      </c>
      <c r="E1945" s="4">
        <v>57</v>
      </c>
      <c r="G1945">
        <f t="shared" si="30"/>
        <v>512</v>
      </c>
    </row>
    <row r="1946" spans="2:7" ht="15" hidden="1" x14ac:dyDescent="0.25">
      <c r="B1946" s="4">
        <v>584633138</v>
      </c>
      <c r="C1946" s="4" t="s">
        <v>268</v>
      </c>
      <c r="D1946" s="4">
        <v>274</v>
      </c>
      <c r="E1946" s="4">
        <v>6</v>
      </c>
      <c r="G1946">
        <f t="shared" si="30"/>
        <v>104</v>
      </c>
    </row>
    <row r="1947" spans="2:7" ht="15" hidden="1" x14ac:dyDescent="0.25">
      <c r="B1947" s="4">
        <v>584633138</v>
      </c>
      <c r="C1947" s="4" t="s">
        <v>268</v>
      </c>
      <c r="D1947" s="4">
        <v>274</v>
      </c>
      <c r="E1947" s="4">
        <v>6</v>
      </c>
      <c r="G1947">
        <f t="shared" si="30"/>
        <v>104</v>
      </c>
    </row>
    <row r="1948" spans="2:7" ht="15" hidden="1" x14ac:dyDescent="0.25">
      <c r="B1948" s="4">
        <v>584633138</v>
      </c>
      <c r="C1948" s="4" t="s">
        <v>268</v>
      </c>
      <c r="D1948" s="4">
        <v>275</v>
      </c>
      <c r="E1948" s="4">
        <v>9</v>
      </c>
      <c r="G1948">
        <f t="shared" si="30"/>
        <v>128</v>
      </c>
    </row>
    <row r="1949" spans="2:7" ht="15" hidden="1" x14ac:dyDescent="0.25">
      <c r="B1949" s="4">
        <v>584633138</v>
      </c>
      <c r="C1949" s="4" t="s">
        <v>268</v>
      </c>
      <c r="D1949" s="4">
        <v>275</v>
      </c>
      <c r="E1949" s="4">
        <v>9</v>
      </c>
      <c r="G1949">
        <f t="shared" si="30"/>
        <v>128</v>
      </c>
    </row>
    <row r="1950" spans="2:7" ht="15" hidden="1" x14ac:dyDescent="0.25">
      <c r="B1950" s="4">
        <v>584633138</v>
      </c>
      <c r="C1950" s="4" t="s">
        <v>268</v>
      </c>
      <c r="D1950" s="4">
        <v>276</v>
      </c>
      <c r="E1950" s="4">
        <v>7</v>
      </c>
      <c r="G1950">
        <f t="shared" si="30"/>
        <v>112</v>
      </c>
    </row>
    <row r="1951" spans="2:7" ht="15" hidden="1" x14ac:dyDescent="0.25">
      <c r="B1951" s="4">
        <v>584633138</v>
      </c>
      <c r="C1951" s="4" t="s">
        <v>268</v>
      </c>
      <c r="D1951" s="4">
        <v>276</v>
      </c>
      <c r="E1951" s="4">
        <v>7</v>
      </c>
      <c r="G1951">
        <f t="shared" si="30"/>
        <v>112</v>
      </c>
    </row>
    <row r="1952" spans="2:7" ht="15" hidden="1" x14ac:dyDescent="0.25">
      <c r="B1952" s="4">
        <v>584633138</v>
      </c>
      <c r="C1952" s="4" t="s">
        <v>268</v>
      </c>
      <c r="D1952" s="4">
        <v>277</v>
      </c>
      <c r="E1952" s="4">
        <v>7</v>
      </c>
      <c r="G1952">
        <f t="shared" si="30"/>
        <v>112</v>
      </c>
    </row>
    <row r="1953" spans="2:7" ht="15" hidden="1" x14ac:dyDescent="0.25">
      <c r="B1953" s="4">
        <v>584633138</v>
      </c>
      <c r="C1953" s="4" t="s">
        <v>268</v>
      </c>
      <c r="D1953" s="4">
        <v>277</v>
      </c>
      <c r="E1953" s="4">
        <v>7</v>
      </c>
      <c r="G1953">
        <f t="shared" si="30"/>
        <v>112</v>
      </c>
    </row>
    <row r="1954" spans="2:7" ht="15" hidden="1" x14ac:dyDescent="0.25">
      <c r="B1954" s="4">
        <v>584633138</v>
      </c>
      <c r="C1954" s="4" t="s">
        <v>268</v>
      </c>
      <c r="D1954" s="4">
        <v>278</v>
      </c>
      <c r="E1954" s="4">
        <v>7</v>
      </c>
      <c r="G1954">
        <f t="shared" si="30"/>
        <v>112</v>
      </c>
    </row>
    <row r="1955" spans="2:7" ht="15" hidden="1" x14ac:dyDescent="0.25">
      <c r="B1955" s="4">
        <v>584633138</v>
      </c>
      <c r="C1955" s="4" t="s">
        <v>268</v>
      </c>
      <c r="D1955" s="4">
        <v>278</v>
      </c>
      <c r="E1955" s="4">
        <v>7</v>
      </c>
      <c r="G1955">
        <f t="shared" si="30"/>
        <v>112</v>
      </c>
    </row>
    <row r="1956" spans="2:7" ht="15" hidden="1" x14ac:dyDescent="0.25">
      <c r="B1956" s="4">
        <v>584633138</v>
      </c>
      <c r="C1956" s="4" t="s">
        <v>269</v>
      </c>
      <c r="D1956" s="4">
        <v>1409</v>
      </c>
      <c r="E1956" s="4">
        <v>57</v>
      </c>
      <c r="G1956">
        <f t="shared" si="30"/>
        <v>512</v>
      </c>
    </row>
    <row r="1957" spans="2:7" ht="15" hidden="1" x14ac:dyDescent="0.25">
      <c r="B1957" s="4">
        <v>584633138</v>
      </c>
      <c r="C1957" s="4" t="s">
        <v>272</v>
      </c>
      <c r="D1957" s="4">
        <v>129</v>
      </c>
      <c r="E1957" s="4">
        <v>209</v>
      </c>
      <c r="G1957">
        <f t="shared" si="30"/>
        <v>1728</v>
      </c>
    </row>
    <row r="1958" spans="2:7" ht="15" hidden="1" x14ac:dyDescent="0.25">
      <c r="B1958" s="4">
        <v>584633139</v>
      </c>
      <c r="C1958" s="4" t="s">
        <v>269</v>
      </c>
      <c r="D1958" s="4">
        <v>1410</v>
      </c>
      <c r="E1958" s="4">
        <v>57</v>
      </c>
      <c r="G1958">
        <f t="shared" si="30"/>
        <v>512</v>
      </c>
    </row>
    <row r="1959" spans="2:7" ht="15" hidden="1" x14ac:dyDescent="0.25">
      <c r="B1959" s="4">
        <v>584633140</v>
      </c>
      <c r="C1959" s="4" t="s">
        <v>268</v>
      </c>
      <c r="D1959" s="4">
        <v>279</v>
      </c>
      <c r="E1959" s="4">
        <v>7</v>
      </c>
      <c r="G1959">
        <f t="shared" si="30"/>
        <v>112</v>
      </c>
    </row>
    <row r="1960" spans="2:7" ht="15" hidden="1" x14ac:dyDescent="0.25">
      <c r="B1960" s="4">
        <v>584633140</v>
      </c>
      <c r="C1960" s="4" t="s">
        <v>268</v>
      </c>
      <c r="D1960" s="4">
        <v>279</v>
      </c>
      <c r="E1960" s="4">
        <v>7</v>
      </c>
      <c r="G1960">
        <f t="shared" si="30"/>
        <v>112</v>
      </c>
    </row>
    <row r="1961" spans="2:7" ht="15" hidden="1" x14ac:dyDescent="0.25">
      <c r="B1961" s="4">
        <v>584633140</v>
      </c>
      <c r="C1961" s="4" t="s">
        <v>268</v>
      </c>
      <c r="D1961" s="4">
        <v>280</v>
      </c>
      <c r="E1961" s="4">
        <v>5</v>
      </c>
      <c r="G1961">
        <f t="shared" si="30"/>
        <v>96</v>
      </c>
    </row>
    <row r="1962" spans="2:7" ht="15" hidden="1" x14ac:dyDescent="0.25">
      <c r="B1962" s="4">
        <v>584633140</v>
      </c>
      <c r="C1962" s="4" t="s">
        <v>268</v>
      </c>
      <c r="D1962" s="4">
        <v>280</v>
      </c>
      <c r="E1962" s="4">
        <v>5</v>
      </c>
      <c r="G1962">
        <f t="shared" si="30"/>
        <v>96</v>
      </c>
    </row>
    <row r="1963" spans="2:7" ht="15" hidden="1" x14ac:dyDescent="0.25">
      <c r="B1963" s="4">
        <v>584633140</v>
      </c>
      <c r="C1963" s="4" t="s">
        <v>268</v>
      </c>
      <c r="D1963" s="4">
        <v>281</v>
      </c>
      <c r="E1963" s="4">
        <v>7</v>
      </c>
      <c r="G1963">
        <f t="shared" si="30"/>
        <v>112</v>
      </c>
    </row>
    <row r="1964" spans="2:7" ht="15" hidden="1" x14ac:dyDescent="0.25">
      <c r="B1964" s="4">
        <v>584633140</v>
      </c>
      <c r="C1964" s="4" t="s">
        <v>268</v>
      </c>
      <c r="D1964" s="4">
        <v>281</v>
      </c>
      <c r="E1964" s="4">
        <v>7</v>
      </c>
      <c r="G1964">
        <f t="shared" si="30"/>
        <v>112</v>
      </c>
    </row>
    <row r="1965" spans="2:7" ht="15" hidden="1" x14ac:dyDescent="0.25">
      <c r="B1965" s="4">
        <v>584633140</v>
      </c>
      <c r="C1965" s="4" t="s">
        <v>269</v>
      </c>
      <c r="D1965" s="4">
        <v>1411</v>
      </c>
      <c r="E1965" s="4">
        <v>57</v>
      </c>
      <c r="G1965">
        <f t="shared" si="30"/>
        <v>512</v>
      </c>
    </row>
    <row r="1966" spans="2:7" ht="15" hidden="1" x14ac:dyDescent="0.25">
      <c r="B1966" s="4">
        <v>584633141</v>
      </c>
      <c r="C1966" s="4" t="s">
        <v>269</v>
      </c>
      <c r="D1966" s="4">
        <v>1412</v>
      </c>
      <c r="E1966" s="4">
        <v>57</v>
      </c>
      <c r="G1966">
        <f t="shared" si="30"/>
        <v>512</v>
      </c>
    </row>
    <row r="1967" spans="2:7" ht="15" hidden="1" x14ac:dyDescent="0.25">
      <c r="B1967" s="4">
        <v>584633142</v>
      </c>
      <c r="C1967" s="4" t="s">
        <v>269</v>
      </c>
      <c r="D1967" s="4">
        <v>1413</v>
      </c>
      <c r="E1967" s="4">
        <v>57</v>
      </c>
      <c r="G1967">
        <f t="shared" si="30"/>
        <v>512</v>
      </c>
    </row>
    <row r="1968" spans="2:7" ht="15" hidden="1" x14ac:dyDescent="0.25">
      <c r="B1968" s="4">
        <v>584633143</v>
      </c>
      <c r="C1968" s="4" t="s">
        <v>269</v>
      </c>
      <c r="D1968" s="4">
        <v>1414</v>
      </c>
      <c r="E1968" s="4">
        <v>57</v>
      </c>
      <c r="G1968">
        <f t="shared" si="30"/>
        <v>512</v>
      </c>
    </row>
    <row r="1969" spans="2:7" ht="15" hidden="1" x14ac:dyDescent="0.25">
      <c r="B1969" s="4">
        <v>584633144</v>
      </c>
      <c r="C1969" s="4" t="s">
        <v>269</v>
      </c>
      <c r="D1969" s="4">
        <v>1415</v>
      </c>
      <c r="E1969" s="4">
        <v>57</v>
      </c>
      <c r="G1969">
        <f t="shared" si="30"/>
        <v>512</v>
      </c>
    </row>
    <row r="1970" spans="2:7" ht="15" hidden="1" x14ac:dyDescent="0.25">
      <c r="B1970" s="4">
        <v>584633145</v>
      </c>
      <c r="C1970" s="4" t="s">
        <v>269</v>
      </c>
      <c r="D1970" s="4">
        <v>1416</v>
      </c>
      <c r="E1970" s="4">
        <v>57</v>
      </c>
      <c r="G1970">
        <f t="shared" si="30"/>
        <v>512</v>
      </c>
    </row>
    <row r="1971" spans="2:7" ht="15" hidden="1" x14ac:dyDescent="0.25">
      <c r="B1971" s="4">
        <v>584633146</v>
      </c>
      <c r="C1971" s="4" t="s">
        <v>269</v>
      </c>
      <c r="D1971" s="4">
        <v>1417</v>
      </c>
      <c r="E1971" s="4">
        <v>57</v>
      </c>
      <c r="G1971">
        <f t="shared" si="30"/>
        <v>512</v>
      </c>
    </row>
    <row r="1972" spans="2:7" ht="15" hidden="1" x14ac:dyDescent="0.25">
      <c r="B1972" s="4">
        <v>584633147</v>
      </c>
      <c r="C1972" s="4" t="s">
        <v>269</v>
      </c>
      <c r="D1972" s="4">
        <v>1418</v>
      </c>
      <c r="E1972" s="4">
        <v>57</v>
      </c>
      <c r="G1972">
        <f t="shared" si="30"/>
        <v>512</v>
      </c>
    </row>
    <row r="1973" spans="2:7" ht="15" hidden="1" x14ac:dyDescent="0.25">
      <c r="B1973" s="4">
        <v>584633148</v>
      </c>
      <c r="C1973" s="4" t="s">
        <v>269</v>
      </c>
      <c r="D1973" s="4">
        <v>1419</v>
      </c>
      <c r="E1973" s="4">
        <v>57</v>
      </c>
      <c r="G1973">
        <f t="shared" si="30"/>
        <v>512</v>
      </c>
    </row>
    <row r="1974" spans="2:7" ht="15" hidden="1" x14ac:dyDescent="0.25">
      <c r="B1974" s="4">
        <v>584633148</v>
      </c>
      <c r="C1974" s="4" t="s">
        <v>272</v>
      </c>
      <c r="D1974" s="4">
        <v>130</v>
      </c>
      <c r="E1974" s="4">
        <v>213</v>
      </c>
      <c r="G1974">
        <f t="shared" si="30"/>
        <v>1760</v>
      </c>
    </row>
    <row r="1975" spans="2:7" ht="15" hidden="1" x14ac:dyDescent="0.25">
      <c r="B1975" s="4">
        <v>584633149</v>
      </c>
      <c r="C1975" s="4" t="s">
        <v>269</v>
      </c>
      <c r="D1975" s="4">
        <v>1420</v>
      </c>
      <c r="E1975" s="4">
        <v>57</v>
      </c>
      <c r="G1975">
        <f t="shared" si="30"/>
        <v>512</v>
      </c>
    </row>
    <row r="1976" spans="2:7" ht="15" hidden="1" x14ac:dyDescent="0.25">
      <c r="B1976" s="4">
        <v>584633150</v>
      </c>
      <c r="C1976" s="4" t="s">
        <v>269</v>
      </c>
      <c r="D1976" s="4">
        <v>1421</v>
      </c>
      <c r="E1976" s="4">
        <v>57</v>
      </c>
      <c r="G1976">
        <f t="shared" si="30"/>
        <v>512</v>
      </c>
    </row>
    <row r="1977" spans="2:7" ht="15" hidden="1" x14ac:dyDescent="0.25">
      <c r="B1977" s="4">
        <v>584633151</v>
      </c>
      <c r="C1977" s="4" t="s">
        <v>269</v>
      </c>
      <c r="D1977" s="4">
        <v>1422</v>
      </c>
      <c r="E1977" s="4">
        <v>57</v>
      </c>
      <c r="G1977">
        <f t="shared" si="30"/>
        <v>512</v>
      </c>
    </row>
    <row r="1978" spans="2:7" ht="15" hidden="1" x14ac:dyDescent="0.25">
      <c r="B1978" s="4">
        <v>584633152</v>
      </c>
      <c r="C1978" s="4" t="s">
        <v>269</v>
      </c>
      <c r="D1978" s="4">
        <v>1423</v>
      </c>
      <c r="E1978" s="4">
        <v>57</v>
      </c>
      <c r="G1978">
        <f t="shared" si="30"/>
        <v>512</v>
      </c>
    </row>
    <row r="1979" spans="2:7" ht="15" hidden="1" x14ac:dyDescent="0.25">
      <c r="B1979" s="4">
        <v>584633153</v>
      </c>
      <c r="C1979" s="4" t="s">
        <v>269</v>
      </c>
      <c r="D1979" s="4">
        <v>1424</v>
      </c>
      <c r="E1979" s="4">
        <v>57</v>
      </c>
      <c r="G1979">
        <f t="shared" si="30"/>
        <v>512</v>
      </c>
    </row>
    <row r="1980" spans="2:7" ht="15" hidden="1" x14ac:dyDescent="0.25">
      <c r="B1980" s="4">
        <v>584633154</v>
      </c>
      <c r="C1980" s="4" t="s">
        <v>269</v>
      </c>
      <c r="D1980" s="4">
        <v>1425</v>
      </c>
      <c r="E1980" s="4">
        <v>57</v>
      </c>
      <c r="G1980">
        <f t="shared" si="30"/>
        <v>512</v>
      </c>
    </row>
    <row r="1981" spans="2:7" ht="15" hidden="1" x14ac:dyDescent="0.25">
      <c r="B1981" s="4">
        <v>584633155</v>
      </c>
      <c r="C1981" s="4" t="s">
        <v>269</v>
      </c>
      <c r="D1981" s="4">
        <v>1426</v>
      </c>
      <c r="E1981" s="4">
        <v>57</v>
      </c>
      <c r="G1981">
        <f t="shared" si="30"/>
        <v>512</v>
      </c>
    </row>
    <row r="1982" spans="2:7" ht="15" hidden="1" x14ac:dyDescent="0.25">
      <c r="B1982" s="4">
        <v>584633156</v>
      </c>
      <c r="C1982" s="4" t="s">
        <v>269</v>
      </c>
      <c r="D1982" s="4">
        <v>1427</v>
      </c>
      <c r="E1982" s="4">
        <v>57</v>
      </c>
      <c r="G1982">
        <f t="shared" si="30"/>
        <v>512</v>
      </c>
    </row>
    <row r="1983" spans="2:7" ht="15" hidden="1" x14ac:dyDescent="0.25">
      <c r="B1983" s="4">
        <v>584633157</v>
      </c>
      <c r="C1983" s="4" t="s">
        <v>269</v>
      </c>
      <c r="D1983" s="4">
        <v>1428</v>
      </c>
      <c r="E1983" s="4">
        <v>57</v>
      </c>
      <c r="G1983">
        <f t="shared" si="30"/>
        <v>512</v>
      </c>
    </row>
    <row r="1984" spans="2:7" ht="15" hidden="1" x14ac:dyDescent="0.25">
      <c r="B1984" s="4">
        <v>584633158</v>
      </c>
      <c r="C1984" s="4" t="s">
        <v>269</v>
      </c>
      <c r="D1984" s="4">
        <v>1429</v>
      </c>
      <c r="E1984" s="4">
        <v>57</v>
      </c>
      <c r="G1984">
        <f t="shared" si="30"/>
        <v>512</v>
      </c>
    </row>
    <row r="1985" spans="2:7" ht="15" hidden="1" x14ac:dyDescent="0.25">
      <c r="B1985" s="4">
        <v>584633158</v>
      </c>
      <c r="C1985" s="4" t="s">
        <v>272</v>
      </c>
      <c r="D1985" s="4">
        <v>131</v>
      </c>
      <c r="E1985" s="4">
        <v>215</v>
      </c>
      <c r="G1985">
        <f t="shared" si="30"/>
        <v>1776</v>
      </c>
    </row>
    <row r="1986" spans="2:7" ht="15" hidden="1" x14ac:dyDescent="0.25">
      <c r="B1986" s="4">
        <v>584633159</v>
      </c>
      <c r="C1986" s="4" t="s">
        <v>269</v>
      </c>
      <c r="D1986" s="4">
        <v>1430</v>
      </c>
      <c r="E1986" s="4">
        <v>57</v>
      </c>
      <c r="G1986">
        <f t="shared" si="30"/>
        <v>512</v>
      </c>
    </row>
    <row r="1987" spans="2:7" ht="15" hidden="1" x14ac:dyDescent="0.25">
      <c r="B1987" s="4">
        <v>584633160</v>
      </c>
      <c r="C1987" s="4" t="s">
        <v>269</v>
      </c>
      <c r="D1987" s="4">
        <v>1431</v>
      </c>
      <c r="E1987" s="4">
        <v>57</v>
      </c>
      <c r="G1987">
        <f t="shared" si="30"/>
        <v>512</v>
      </c>
    </row>
    <row r="1988" spans="2:7" ht="15" hidden="1" x14ac:dyDescent="0.25">
      <c r="B1988" s="4">
        <v>584633161</v>
      </c>
      <c r="C1988" s="4" t="s">
        <v>269</v>
      </c>
      <c r="D1988" s="4">
        <v>1432</v>
      </c>
      <c r="E1988" s="4">
        <v>57</v>
      </c>
      <c r="G1988">
        <f t="shared" ref="G1988:G2051" si="31">(E1988+7)*8</f>
        <v>512</v>
      </c>
    </row>
    <row r="1989" spans="2:7" ht="15" hidden="1" x14ac:dyDescent="0.25">
      <c r="B1989" s="4">
        <v>584633162</v>
      </c>
      <c r="C1989" s="4" t="s">
        <v>269</v>
      </c>
      <c r="D1989" s="4">
        <v>1433</v>
      </c>
      <c r="E1989" s="4">
        <v>57</v>
      </c>
      <c r="G1989">
        <f t="shared" si="31"/>
        <v>512</v>
      </c>
    </row>
    <row r="1990" spans="2:7" ht="15" hidden="1" x14ac:dyDescent="0.25">
      <c r="B1990" s="4">
        <v>584633163</v>
      </c>
      <c r="C1990" s="4" t="s">
        <v>269</v>
      </c>
      <c r="D1990" s="4">
        <v>1434</v>
      </c>
      <c r="E1990" s="4">
        <v>57</v>
      </c>
      <c r="G1990">
        <f t="shared" si="31"/>
        <v>512</v>
      </c>
    </row>
    <row r="1991" spans="2:7" ht="15" hidden="1" x14ac:dyDescent="0.25">
      <c r="B1991" s="4">
        <v>584633164</v>
      </c>
      <c r="C1991" s="4" t="s">
        <v>269</v>
      </c>
      <c r="D1991" s="4">
        <v>1435</v>
      </c>
      <c r="E1991" s="4">
        <v>57</v>
      </c>
      <c r="G1991">
        <f t="shared" si="31"/>
        <v>512</v>
      </c>
    </row>
    <row r="1992" spans="2:7" ht="15" hidden="1" x14ac:dyDescent="0.25">
      <c r="B1992" s="4">
        <v>584633165</v>
      </c>
      <c r="C1992" s="4" t="s">
        <v>269</v>
      </c>
      <c r="D1992" s="4">
        <v>1436</v>
      </c>
      <c r="E1992" s="4">
        <v>57</v>
      </c>
      <c r="G1992">
        <f t="shared" si="31"/>
        <v>512</v>
      </c>
    </row>
    <row r="1993" spans="2:7" ht="15" hidden="1" x14ac:dyDescent="0.25">
      <c r="B1993" s="4">
        <v>584633166</v>
      </c>
      <c r="C1993" s="4" t="s">
        <v>269</v>
      </c>
      <c r="D1993" s="4">
        <v>1437</v>
      </c>
      <c r="E1993" s="4">
        <v>57</v>
      </c>
      <c r="G1993">
        <f t="shared" si="31"/>
        <v>512</v>
      </c>
    </row>
    <row r="1994" spans="2:7" ht="15" hidden="1" x14ac:dyDescent="0.25">
      <c r="B1994" s="4">
        <v>584633167</v>
      </c>
      <c r="C1994" s="4" t="s">
        <v>269</v>
      </c>
      <c r="D1994" s="4">
        <v>1438</v>
      </c>
      <c r="E1994" s="4">
        <v>57</v>
      </c>
      <c r="G1994">
        <f t="shared" si="31"/>
        <v>512</v>
      </c>
    </row>
    <row r="1995" spans="2:7" ht="15" hidden="1" x14ac:dyDescent="0.25">
      <c r="B1995" s="4">
        <v>584633168</v>
      </c>
      <c r="C1995" s="4" t="s">
        <v>269</v>
      </c>
      <c r="D1995" s="4">
        <v>1439</v>
      </c>
      <c r="E1995" s="4">
        <v>57</v>
      </c>
      <c r="G1995">
        <f t="shared" si="31"/>
        <v>512</v>
      </c>
    </row>
    <row r="1996" spans="2:7" ht="15" hidden="1" x14ac:dyDescent="0.25">
      <c r="B1996" s="4">
        <v>584633168</v>
      </c>
      <c r="C1996" s="4" t="s">
        <v>272</v>
      </c>
      <c r="D1996" s="4">
        <v>132</v>
      </c>
      <c r="E1996" s="4">
        <v>211</v>
      </c>
      <c r="G1996">
        <f t="shared" si="31"/>
        <v>1744</v>
      </c>
    </row>
    <row r="1997" spans="2:7" ht="15" hidden="1" x14ac:dyDescent="0.25">
      <c r="B1997" s="4">
        <v>584633169</v>
      </c>
      <c r="C1997" s="4" t="s">
        <v>269</v>
      </c>
      <c r="D1997" s="4">
        <v>1440</v>
      </c>
      <c r="E1997" s="4">
        <v>57</v>
      </c>
      <c r="G1997">
        <f t="shared" si="31"/>
        <v>512</v>
      </c>
    </row>
    <row r="1998" spans="2:7" ht="15" hidden="1" x14ac:dyDescent="0.25">
      <c r="B1998" s="4">
        <v>584633170</v>
      </c>
      <c r="C1998" s="4" t="s">
        <v>269</v>
      </c>
      <c r="D1998" s="4">
        <v>1441</v>
      </c>
      <c r="E1998" s="4">
        <v>57</v>
      </c>
      <c r="G1998">
        <f t="shared" si="31"/>
        <v>512</v>
      </c>
    </row>
    <row r="1999" spans="2:7" ht="15" hidden="1" x14ac:dyDescent="0.25">
      <c r="B1999" s="4">
        <v>584633171</v>
      </c>
      <c r="C1999" s="4" t="s">
        <v>269</v>
      </c>
      <c r="D1999" s="4">
        <v>1442</v>
      </c>
      <c r="E1999" s="4">
        <v>57</v>
      </c>
      <c r="G1999">
        <f t="shared" si="31"/>
        <v>512</v>
      </c>
    </row>
    <row r="2000" spans="2:7" ht="15" hidden="1" x14ac:dyDescent="0.25">
      <c r="B2000" s="4">
        <v>584633172</v>
      </c>
      <c r="C2000" s="4" t="s">
        <v>269</v>
      </c>
      <c r="D2000" s="4">
        <v>1443</v>
      </c>
      <c r="E2000" s="4">
        <v>57</v>
      </c>
      <c r="G2000">
        <f t="shared" si="31"/>
        <v>512</v>
      </c>
    </row>
    <row r="2001" spans="2:7" ht="15" hidden="1" x14ac:dyDescent="0.25">
      <c r="B2001" s="4">
        <v>584633173</v>
      </c>
      <c r="C2001" s="4" t="s">
        <v>269</v>
      </c>
      <c r="D2001" s="4">
        <v>1444</v>
      </c>
      <c r="E2001" s="4">
        <v>57</v>
      </c>
      <c r="G2001">
        <f t="shared" si="31"/>
        <v>512</v>
      </c>
    </row>
    <row r="2002" spans="2:7" ht="15" hidden="1" x14ac:dyDescent="0.25">
      <c r="B2002" s="4">
        <v>584633174</v>
      </c>
      <c r="C2002" s="4" t="s">
        <v>269</v>
      </c>
      <c r="D2002" s="4">
        <v>1445</v>
      </c>
      <c r="E2002" s="4">
        <v>57</v>
      </c>
      <c r="G2002">
        <f t="shared" si="31"/>
        <v>512</v>
      </c>
    </row>
    <row r="2003" spans="2:7" ht="15" hidden="1" x14ac:dyDescent="0.25">
      <c r="B2003" s="4">
        <v>584633175</v>
      </c>
      <c r="C2003" s="4" t="s">
        <v>269</v>
      </c>
      <c r="D2003" s="4">
        <v>1446</v>
      </c>
      <c r="E2003" s="4">
        <v>57</v>
      </c>
      <c r="G2003">
        <f t="shared" si="31"/>
        <v>512</v>
      </c>
    </row>
    <row r="2004" spans="2:7" ht="15" hidden="1" x14ac:dyDescent="0.25">
      <c r="B2004" s="4">
        <v>584633176</v>
      </c>
      <c r="C2004" s="4" t="s">
        <v>269</v>
      </c>
      <c r="D2004" s="4">
        <v>1447</v>
      </c>
      <c r="E2004" s="4">
        <v>57</v>
      </c>
      <c r="G2004">
        <f t="shared" si="31"/>
        <v>512</v>
      </c>
    </row>
    <row r="2005" spans="2:7" ht="15" hidden="1" x14ac:dyDescent="0.25">
      <c r="B2005" s="4">
        <v>584633177</v>
      </c>
      <c r="C2005" s="4" t="s">
        <v>269</v>
      </c>
      <c r="D2005" s="4">
        <v>1448</v>
      </c>
      <c r="E2005" s="4">
        <v>57</v>
      </c>
      <c r="G2005">
        <f t="shared" si="31"/>
        <v>512</v>
      </c>
    </row>
    <row r="2006" spans="2:7" ht="15" hidden="1" x14ac:dyDescent="0.25">
      <c r="B2006" s="4">
        <v>584633178</v>
      </c>
      <c r="C2006" s="4" t="s">
        <v>269</v>
      </c>
      <c r="D2006" s="4">
        <v>1449</v>
      </c>
      <c r="E2006" s="4">
        <v>57</v>
      </c>
      <c r="G2006">
        <f t="shared" si="31"/>
        <v>512</v>
      </c>
    </row>
    <row r="2007" spans="2:7" ht="15" hidden="1" x14ac:dyDescent="0.25">
      <c r="B2007" s="4">
        <v>584633178</v>
      </c>
      <c r="C2007" s="4" t="s">
        <v>272</v>
      </c>
      <c r="D2007" s="4">
        <v>133</v>
      </c>
      <c r="E2007" s="4">
        <v>219</v>
      </c>
      <c r="G2007">
        <f t="shared" si="31"/>
        <v>1808</v>
      </c>
    </row>
    <row r="2008" spans="2:7" ht="15" hidden="1" x14ac:dyDescent="0.25">
      <c r="B2008" s="4">
        <v>584633179</v>
      </c>
      <c r="C2008" s="4" t="s">
        <v>269</v>
      </c>
      <c r="D2008" s="4">
        <v>1450</v>
      </c>
      <c r="E2008" s="4">
        <v>57</v>
      </c>
      <c r="G2008">
        <f t="shared" si="31"/>
        <v>512</v>
      </c>
    </row>
    <row r="2009" spans="2:7" ht="15" hidden="1" x14ac:dyDescent="0.25">
      <c r="B2009" s="4">
        <v>584633180</v>
      </c>
      <c r="C2009" s="4" t="s">
        <v>269</v>
      </c>
      <c r="D2009" s="4">
        <v>1451</v>
      </c>
      <c r="E2009" s="4">
        <v>57</v>
      </c>
      <c r="G2009">
        <f t="shared" si="31"/>
        <v>512</v>
      </c>
    </row>
    <row r="2010" spans="2:7" ht="15" hidden="1" x14ac:dyDescent="0.25">
      <c r="B2010" s="4">
        <v>584633181</v>
      </c>
      <c r="C2010" s="4" t="s">
        <v>269</v>
      </c>
      <c r="D2010" s="4">
        <v>1452</v>
      </c>
      <c r="E2010" s="4">
        <v>57</v>
      </c>
      <c r="G2010">
        <f t="shared" si="31"/>
        <v>512</v>
      </c>
    </row>
    <row r="2011" spans="2:7" ht="15" hidden="1" x14ac:dyDescent="0.25">
      <c r="B2011" s="4">
        <v>584633182</v>
      </c>
      <c r="C2011" s="4" t="s">
        <v>269</v>
      </c>
      <c r="D2011" s="4">
        <v>1453</v>
      </c>
      <c r="E2011" s="4">
        <v>57</v>
      </c>
      <c r="G2011">
        <f t="shared" si="31"/>
        <v>512</v>
      </c>
    </row>
    <row r="2012" spans="2:7" ht="15" hidden="1" x14ac:dyDescent="0.25">
      <c r="B2012" s="4">
        <v>584633183</v>
      </c>
      <c r="C2012" s="4" t="s">
        <v>269</v>
      </c>
      <c r="D2012" s="4">
        <v>1454</v>
      </c>
      <c r="E2012" s="4">
        <v>57</v>
      </c>
      <c r="G2012">
        <f t="shared" si="31"/>
        <v>512</v>
      </c>
    </row>
    <row r="2013" spans="2:7" ht="15" hidden="1" x14ac:dyDescent="0.25">
      <c r="B2013" s="4">
        <v>584633184</v>
      </c>
      <c r="C2013" s="4" t="s">
        <v>269</v>
      </c>
      <c r="D2013" s="4">
        <v>1455</v>
      </c>
      <c r="E2013" s="4">
        <v>57</v>
      </c>
      <c r="G2013">
        <f t="shared" si="31"/>
        <v>512</v>
      </c>
    </row>
    <row r="2014" spans="2:7" ht="15" hidden="1" x14ac:dyDescent="0.25">
      <c r="B2014" s="4">
        <v>584633185</v>
      </c>
      <c r="C2014" s="4" t="s">
        <v>269</v>
      </c>
      <c r="D2014" s="4">
        <v>1456</v>
      </c>
      <c r="E2014" s="4">
        <v>57</v>
      </c>
      <c r="G2014">
        <f t="shared" si="31"/>
        <v>512</v>
      </c>
    </row>
    <row r="2015" spans="2:7" ht="15" hidden="1" x14ac:dyDescent="0.25">
      <c r="B2015" s="4">
        <v>584633186</v>
      </c>
      <c r="C2015" s="4" t="s">
        <v>269</v>
      </c>
      <c r="D2015" s="4">
        <v>1457</v>
      </c>
      <c r="E2015" s="4">
        <v>57</v>
      </c>
      <c r="G2015">
        <f t="shared" si="31"/>
        <v>512</v>
      </c>
    </row>
    <row r="2016" spans="2:7" ht="15" hidden="1" x14ac:dyDescent="0.25">
      <c r="B2016" s="4">
        <v>584633187</v>
      </c>
      <c r="C2016" s="4" t="s">
        <v>269</v>
      </c>
      <c r="D2016" s="4">
        <v>1458</v>
      </c>
      <c r="E2016" s="4">
        <v>57</v>
      </c>
      <c r="G2016">
        <f t="shared" si="31"/>
        <v>512</v>
      </c>
    </row>
    <row r="2017" spans="2:7" ht="15" hidden="1" x14ac:dyDescent="0.25">
      <c r="B2017" s="4">
        <v>584633188</v>
      </c>
      <c r="C2017" s="4" t="s">
        <v>269</v>
      </c>
      <c r="D2017" s="4">
        <v>1459</v>
      </c>
      <c r="E2017" s="4">
        <v>57</v>
      </c>
      <c r="G2017">
        <f t="shared" si="31"/>
        <v>512</v>
      </c>
    </row>
    <row r="2018" spans="2:7" ht="15" hidden="1" x14ac:dyDescent="0.25">
      <c r="B2018" s="4">
        <v>584633188</v>
      </c>
      <c r="C2018" s="4" t="s">
        <v>272</v>
      </c>
      <c r="D2018" s="4">
        <v>134</v>
      </c>
      <c r="E2018" s="4">
        <v>217</v>
      </c>
      <c r="G2018">
        <f t="shared" si="31"/>
        <v>1792</v>
      </c>
    </row>
    <row r="2019" spans="2:7" ht="15" hidden="1" x14ac:dyDescent="0.25">
      <c r="B2019" s="4">
        <v>584633189</v>
      </c>
      <c r="C2019" s="4" t="s">
        <v>269</v>
      </c>
      <c r="D2019" s="4">
        <v>1460</v>
      </c>
      <c r="E2019" s="4">
        <v>57</v>
      </c>
      <c r="G2019">
        <f t="shared" si="31"/>
        <v>512</v>
      </c>
    </row>
    <row r="2020" spans="2:7" ht="15" hidden="1" x14ac:dyDescent="0.25">
      <c r="B2020" s="4">
        <v>584633190</v>
      </c>
      <c r="C2020" s="4" t="s">
        <v>269</v>
      </c>
      <c r="D2020" s="4">
        <v>1461</v>
      </c>
      <c r="E2020" s="4">
        <v>57</v>
      </c>
      <c r="G2020">
        <f t="shared" si="31"/>
        <v>512</v>
      </c>
    </row>
    <row r="2021" spans="2:7" ht="15" hidden="1" x14ac:dyDescent="0.25">
      <c r="B2021" s="4">
        <v>584633191</v>
      </c>
      <c r="C2021" s="4" t="s">
        <v>269</v>
      </c>
      <c r="D2021" s="4">
        <v>1462</v>
      </c>
      <c r="E2021" s="4">
        <v>57</v>
      </c>
      <c r="G2021">
        <f t="shared" si="31"/>
        <v>512</v>
      </c>
    </row>
    <row r="2022" spans="2:7" ht="15" hidden="1" x14ac:dyDescent="0.25">
      <c r="B2022" s="4">
        <v>584633192</v>
      </c>
      <c r="C2022" s="4" t="s">
        <v>269</v>
      </c>
      <c r="D2022" s="4">
        <v>1463</v>
      </c>
      <c r="E2022" s="4">
        <v>57</v>
      </c>
      <c r="G2022">
        <f t="shared" si="31"/>
        <v>512</v>
      </c>
    </row>
    <row r="2023" spans="2:7" ht="15" hidden="1" x14ac:dyDescent="0.25">
      <c r="B2023" s="4">
        <v>584633193</v>
      </c>
      <c r="C2023" s="4" t="s">
        <v>269</v>
      </c>
      <c r="D2023" s="4">
        <v>1464</v>
      </c>
      <c r="E2023" s="4">
        <v>57</v>
      </c>
      <c r="G2023">
        <f t="shared" si="31"/>
        <v>512</v>
      </c>
    </row>
    <row r="2024" spans="2:7" ht="15" hidden="1" x14ac:dyDescent="0.25">
      <c r="B2024" s="4">
        <v>584633194</v>
      </c>
      <c r="C2024" s="4" t="s">
        <v>269</v>
      </c>
      <c r="D2024" s="4">
        <v>1465</v>
      </c>
      <c r="E2024" s="4">
        <v>57</v>
      </c>
      <c r="G2024">
        <f t="shared" si="31"/>
        <v>512</v>
      </c>
    </row>
    <row r="2025" spans="2:7" ht="15" hidden="1" x14ac:dyDescent="0.25">
      <c r="B2025" s="4">
        <v>584633195</v>
      </c>
      <c r="C2025" s="4" t="s">
        <v>269</v>
      </c>
      <c r="D2025" s="4">
        <v>1466</v>
      </c>
      <c r="E2025" s="4">
        <v>57</v>
      </c>
      <c r="G2025">
        <f t="shared" si="31"/>
        <v>512</v>
      </c>
    </row>
    <row r="2026" spans="2:7" ht="15" hidden="1" x14ac:dyDescent="0.25">
      <c r="B2026" s="4">
        <v>584633196</v>
      </c>
      <c r="C2026" s="4" t="s">
        <v>269</v>
      </c>
      <c r="D2026" s="4">
        <v>1467</v>
      </c>
      <c r="E2026" s="4">
        <v>57</v>
      </c>
      <c r="G2026">
        <f t="shared" si="31"/>
        <v>512</v>
      </c>
    </row>
    <row r="2027" spans="2:7" ht="15" hidden="1" x14ac:dyDescent="0.25">
      <c r="B2027" s="4">
        <v>584633197</v>
      </c>
      <c r="C2027" s="4" t="s">
        <v>269</v>
      </c>
      <c r="D2027" s="4">
        <v>1468</v>
      </c>
      <c r="E2027" s="4">
        <v>57</v>
      </c>
      <c r="G2027">
        <f t="shared" si="31"/>
        <v>512</v>
      </c>
    </row>
    <row r="2028" spans="2:7" ht="15" hidden="1" x14ac:dyDescent="0.25">
      <c r="B2028" s="4">
        <v>584633198</v>
      </c>
      <c r="C2028" s="4" t="s">
        <v>269</v>
      </c>
      <c r="D2028" s="4">
        <v>1469</v>
      </c>
      <c r="E2028" s="4">
        <v>57</v>
      </c>
      <c r="G2028">
        <f t="shared" si="31"/>
        <v>512</v>
      </c>
    </row>
    <row r="2029" spans="2:7" ht="15" hidden="1" x14ac:dyDescent="0.25">
      <c r="B2029" s="4">
        <v>584633198</v>
      </c>
      <c r="C2029" s="4" t="s">
        <v>272</v>
      </c>
      <c r="D2029" s="4">
        <v>135</v>
      </c>
      <c r="E2029" s="4">
        <v>215</v>
      </c>
      <c r="G2029">
        <f t="shared" si="31"/>
        <v>1776</v>
      </c>
    </row>
    <row r="2030" spans="2:7" ht="15" hidden="1" x14ac:dyDescent="0.25">
      <c r="B2030" s="4">
        <v>584633199</v>
      </c>
      <c r="C2030" s="4" t="s">
        <v>269</v>
      </c>
      <c r="D2030" s="4">
        <v>1470</v>
      </c>
      <c r="E2030" s="4">
        <v>57</v>
      </c>
      <c r="G2030">
        <f t="shared" si="31"/>
        <v>512</v>
      </c>
    </row>
    <row r="2031" spans="2:7" ht="15" hidden="1" x14ac:dyDescent="0.25">
      <c r="B2031" s="4">
        <v>584633200</v>
      </c>
      <c r="C2031" s="4" t="s">
        <v>269</v>
      </c>
      <c r="D2031" s="4">
        <v>1471</v>
      </c>
      <c r="E2031" s="4">
        <v>57</v>
      </c>
      <c r="G2031">
        <f t="shared" si="31"/>
        <v>512</v>
      </c>
    </row>
    <row r="2032" spans="2:7" ht="15" hidden="1" x14ac:dyDescent="0.25">
      <c r="B2032" s="4">
        <v>584633201</v>
      </c>
      <c r="C2032" s="4" t="s">
        <v>269</v>
      </c>
      <c r="D2032" s="4">
        <v>1472</v>
      </c>
      <c r="E2032" s="4">
        <v>57</v>
      </c>
      <c r="G2032">
        <f t="shared" si="31"/>
        <v>512</v>
      </c>
    </row>
    <row r="2033" spans="2:7" ht="15" hidden="1" x14ac:dyDescent="0.25">
      <c r="B2033" s="4">
        <v>584633202</v>
      </c>
      <c r="C2033" s="4" t="s">
        <v>269</v>
      </c>
      <c r="D2033" s="4">
        <v>1473</v>
      </c>
      <c r="E2033" s="4">
        <v>57</v>
      </c>
      <c r="G2033">
        <f t="shared" si="31"/>
        <v>512</v>
      </c>
    </row>
    <row r="2034" spans="2:7" ht="15" hidden="1" x14ac:dyDescent="0.25">
      <c r="B2034" s="4">
        <v>584633203</v>
      </c>
      <c r="C2034" s="4" t="s">
        <v>269</v>
      </c>
      <c r="D2034" s="4">
        <v>1474</v>
      </c>
      <c r="E2034" s="4">
        <v>57</v>
      </c>
      <c r="G2034">
        <f t="shared" si="31"/>
        <v>512</v>
      </c>
    </row>
    <row r="2035" spans="2:7" ht="15" hidden="1" x14ac:dyDescent="0.25">
      <c r="B2035" s="4">
        <v>584633204</v>
      </c>
      <c r="C2035" s="4" t="s">
        <v>269</v>
      </c>
      <c r="D2035" s="4">
        <v>1475</v>
      </c>
      <c r="E2035" s="4">
        <v>57</v>
      </c>
      <c r="G2035">
        <f t="shared" si="31"/>
        <v>512</v>
      </c>
    </row>
    <row r="2036" spans="2:7" ht="15" hidden="1" x14ac:dyDescent="0.25">
      <c r="B2036" s="4">
        <v>584633205</v>
      </c>
      <c r="C2036" s="4" t="s">
        <v>269</v>
      </c>
      <c r="D2036" s="4">
        <v>1476</v>
      </c>
      <c r="E2036" s="4">
        <v>57</v>
      </c>
      <c r="G2036">
        <f t="shared" si="31"/>
        <v>512</v>
      </c>
    </row>
    <row r="2037" spans="2:7" ht="15" hidden="1" x14ac:dyDescent="0.25">
      <c r="B2037" s="4">
        <v>584633206</v>
      </c>
      <c r="C2037" s="4" t="s">
        <v>269</v>
      </c>
      <c r="D2037" s="4">
        <v>1477</v>
      </c>
      <c r="E2037" s="4">
        <v>57</v>
      </c>
      <c r="G2037">
        <f t="shared" si="31"/>
        <v>512</v>
      </c>
    </row>
    <row r="2038" spans="2:7" ht="15" hidden="1" x14ac:dyDescent="0.25">
      <c r="B2038" s="4">
        <v>584633207</v>
      </c>
      <c r="C2038" s="4" t="s">
        <v>269</v>
      </c>
      <c r="D2038" s="4">
        <v>1478</v>
      </c>
      <c r="E2038" s="4">
        <v>57</v>
      </c>
      <c r="G2038">
        <f t="shared" si="31"/>
        <v>512</v>
      </c>
    </row>
    <row r="2039" spans="2:7" ht="15" hidden="1" x14ac:dyDescent="0.25">
      <c r="B2039" s="4">
        <v>584633208</v>
      </c>
      <c r="C2039" s="4" t="s">
        <v>269</v>
      </c>
      <c r="D2039" s="4">
        <v>1479</v>
      </c>
      <c r="E2039" s="4">
        <v>57</v>
      </c>
      <c r="G2039">
        <f t="shared" si="31"/>
        <v>512</v>
      </c>
    </row>
    <row r="2040" spans="2:7" ht="15" hidden="1" x14ac:dyDescent="0.25">
      <c r="B2040" s="4">
        <v>584633208</v>
      </c>
      <c r="C2040" s="4" t="s">
        <v>272</v>
      </c>
      <c r="D2040" s="4">
        <v>136</v>
      </c>
      <c r="E2040" s="4">
        <v>219</v>
      </c>
      <c r="G2040">
        <f t="shared" si="31"/>
        <v>1808</v>
      </c>
    </row>
    <row r="2041" spans="2:7" ht="15" hidden="1" x14ac:dyDescent="0.25">
      <c r="B2041" s="4">
        <v>584633209</v>
      </c>
      <c r="C2041" s="4" t="s">
        <v>269</v>
      </c>
      <c r="D2041" s="4">
        <v>1480</v>
      </c>
      <c r="E2041" s="4">
        <v>57</v>
      </c>
      <c r="G2041">
        <f t="shared" si="31"/>
        <v>512</v>
      </c>
    </row>
    <row r="2042" spans="2:7" ht="15" hidden="1" x14ac:dyDescent="0.25">
      <c r="B2042" s="4">
        <v>584633210</v>
      </c>
      <c r="C2042" s="4" t="s">
        <v>269</v>
      </c>
      <c r="D2042" s="4">
        <v>1481</v>
      </c>
      <c r="E2042" s="4">
        <v>57</v>
      </c>
      <c r="G2042">
        <f t="shared" si="31"/>
        <v>512</v>
      </c>
    </row>
    <row r="2043" spans="2:7" ht="15" hidden="1" x14ac:dyDescent="0.25">
      <c r="B2043" s="4">
        <v>584633211</v>
      </c>
      <c r="C2043" s="4" t="s">
        <v>269</v>
      </c>
      <c r="D2043" s="4">
        <v>1482</v>
      </c>
      <c r="E2043" s="4">
        <v>57</v>
      </c>
      <c r="G2043">
        <f t="shared" si="31"/>
        <v>512</v>
      </c>
    </row>
    <row r="2044" spans="2:7" ht="15" hidden="1" x14ac:dyDescent="0.25">
      <c r="B2044" s="4">
        <v>584633212</v>
      </c>
      <c r="C2044" s="4" t="s">
        <v>269</v>
      </c>
      <c r="D2044" s="4">
        <v>1483</v>
      </c>
      <c r="E2044" s="4">
        <v>57</v>
      </c>
      <c r="G2044">
        <f t="shared" si="31"/>
        <v>512</v>
      </c>
    </row>
    <row r="2045" spans="2:7" ht="15" hidden="1" x14ac:dyDescent="0.25">
      <c r="B2045" s="4">
        <v>584633213</v>
      </c>
      <c r="C2045" s="4" t="s">
        <v>269</v>
      </c>
      <c r="D2045" s="4">
        <v>1484</v>
      </c>
      <c r="E2045" s="4">
        <v>57</v>
      </c>
      <c r="G2045">
        <f t="shared" si="31"/>
        <v>512</v>
      </c>
    </row>
    <row r="2046" spans="2:7" ht="15" hidden="1" x14ac:dyDescent="0.25">
      <c r="B2046" s="4">
        <v>584633214</v>
      </c>
      <c r="C2046" s="4" t="s">
        <v>269</v>
      </c>
      <c r="D2046" s="4">
        <v>1485</v>
      </c>
      <c r="E2046" s="4">
        <v>57</v>
      </c>
      <c r="G2046">
        <f t="shared" si="31"/>
        <v>512</v>
      </c>
    </row>
    <row r="2047" spans="2:7" ht="15" hidden="1" x14ac:dyDescent="0.25">
      <c r="B2047" s="4">
        <v>584633215</v>
      </c>
      <c r="C2047" s="4" t="s">
        <v>269</v>
      </c>
      <c r="D2047" s="4">
        <v>1486</v>
      </c>
      <c r="E2047" s="4">
        <v>57</v>
      </c>
      <c r="G2047">
        <f t="shared" si="31"/>
        <v>512</v>
      </c>
    </row>
    <row r="2048" spans="2:7" ht="15" hidden="1" x14ac:dyDescent="0.25">
      <c r="B2048" s="4">
        <v>584633216</v>
      </c>
      <c r="C2048" s="4" t="s">
        <v>269</v>
      </c>
      <c r="D2048" s="4">
        <v>1487</v>
      </c>
      <c r="E2048" s="4">
        <v>57</v>
      </c>
      <c r="G2048">
        <f t="shared" si="31"/>
        <v>512</v>
      </c>
    </row>
    <row r="2049" spans="2:7" ht="15" hidden="1" x14ac:dyDescent="0.25">
      <c r="B2049" s="4">
        <v>584633217</v>
      </c>
      <c r="C2049" s="4" t="s">
        <v>269</v>
      </c>
      <c r="D2049" s="4">
        <v>1488</v>
      </c>
      <c r="E2049" s="4">
        <v>57</v>
      </c>
      <c r="G2049">
        <f t="shared" si="31"/>
        <v>512</v>
      </c>
    </row>
    <row r="2050" spans="2:7" ht="15" hidden="1" x14ac:dyDescent="0.25">
      <c r="B2050" s="4">
        <v>584633218</v>
      </c>
      <c r="C2050" s="4" t="s">
        <v>269</v>
      </c>
      <c r="D2050" s="4">
        <v>1489</v>
      </c>
      <c r="E2050" s="4">
        <v>57</v>
      </c>
      <c r="G2050">
        <f t="shared" si="31"/>
        <v>512</v>
      </c>
    </row>
    <row r="2051" spans="2:7" ht="15" hidden="1" x14ac:dyDescent="0.25">
      <c r="B2051" s="4">
        <v>584633218</v>
      </c>
      <c r="C2051" s="4" t="s">
        <v>272</v>
      </c>
      <c r="D2051" s="4">
        <v>137</v>
      </c>
      <c r="E2051" s="4">
        <v>209</v>
      </c>
      <c r="G2051">
        <f t="shared" si="31"/>
        <v>1728</v>
      </c>
    </row>
    <row r="2052" spans="2:7" ht="15" hidden="1" x14ac:dyDescent="0.25">
      <c r="B2052" s="4">
        <v>584633219</v>
      </c>
      <c r="C2052" s="4" t="s">
        <v>269</v>
      </c>
      <c r="D2052" s="4">
        <v>1490</v>
      </c>
      <c r="E2052" s="4">
        <v>57</v>
      </c>
      <c r="G2052">
        <f t="shared" ref="G2052:G2115" si="32">(E2052+7)*8</f>
        <v>512</v>
      </c>
    </row>
    <row r="2053" spans="2:7" ht="15" hidden="1" x14ac:dyDescent="0.25">
      <c r="B2053" s="4">
        <v>584633220</v>
      </c>
      <c r="C2053" s="4" t="s">
        <v>269</v>
      </c>
      <c r="D2053" s="4">
        <v>1491</v>
      </c>
      <c r="E2053" s="4">
        <v>57</v>
      </c>
      <c r="G2053">
        <f t="shared" si="32"/>
        <v>512</v>
      </c>
    </row>
    <row r="2054" spans="2:7" ht="15" hidden="1" x14ac:dyDescent="0.25">
      <c r="B2054" s="4">
        <v>584633221</v>
      </c>
      <c r="C2054" s="4" t="s">
        <v>269</v>
      </c>
      <c r="D2054" s="4">
        <v>1492</v>
      </c>
      <c r="E2054" s="4">
        <v>57</v>
      </c>
      <c r="G2054">
        <f t="shared" si="32"/>
        <v>512</v>
      </c>
    </row>
    <row r="2055" spans="2:7" ht="15" hidden="1" x14ac:dyDescent="0.25">
      <c r="B2055" s="4">
        <v>584633222</v>
      </c>
      <c r="C2055" s="4" t="s">
        <v>269</v>
      </c>
      <c r="D2055" s="4">
        <v>1493</v>
      </c>
      <c r="E2055" s="4">
        <v>57</v>
      </c>
      <c r="G2055">
        <f t="shared" si="32"/>
        <v>512</v>
      </c>
    </row>
    <row r="2056" spans="2:7" ht="15" hidden="1" x14ac:dyDescent="0.25">
      <c r="B2056" s="4">
        <v>584633223</v>
      </c>
      <c r="C2056" s="4" t="s">
        <v>269</v>
      </c>
      <c r="D2056" s="4">
        <v>1494</v>
      </c>
      <c r="E2056" s="4">
        <v>57</v>
      </c>
      <c r="G2056">
        <f t="shared" si="32"/>
        <v>512</v>
      </c>
    </row>
    <row r="2057" spans="2:7" ht="15" hidden="1" x14ac:dyDescent="0.25">
      <c r="B2057" s="4">
        <v>584633224</v>
      </c>
      <c r="C2057" s="4" t="s">
        <v>269</v>
      </c>
      <c r="D2057" s="4">
        <v>1495</v>
      </c>
      <c r="E2057" s="4">
        <v>57</v>
      </c>
      <c r="G2057">
        <f t="shared" si="32"/>
        <v>512</v>
      </c>
    </row>
    <row r="2058" spans="2:7" ht="15" hidden="1" x14ac:dyDescent="0.25">
      <c r="B2058" s="4">
        <v>584633225</v>
      </c>
      <c r="C2058" s="4" t="s">
        <v>269</v>
      </c>
      <c r="D2058" s="4">
        <v>1496</v>
      </c>
      <c r="E2058" s="4">
        <v>57</v>
      </c>
      <c r="G2058">
        <f t="shared" si="32"/>
        <v>512</v>
      </c>
    </row>
    <row r="2059" spans="2:7" ht="15" hidden="1" x14ac:dyDescent="0.25">
      <c r="B2059" s="4">
        <v>584633226</v>
      </c>
      <c r="C2059" s="4" t="s">
        <v>269</v>
      </c>
      <c r="D2059" s="4">
        <v>1497</v>
      </c>
      <c r="E2059" s="4">
        <v>57</v>
      </c>
      <c r="G2059">
        <f t="shared" si="32"/>
        <v>512</v>
      </c>
    </row>
    <row r="2060" spans="2:7" ht="15" hidden="1" x14ac:dyDescent="0.25">
      <c r="B2060" s="4">
        <v>584633227</v>
      </c>
      <c r="C2060" s="4" t="s">
        <v>269</v>
      </c>
      <c r="D2060" s="4">
        <v>1498</v>
      </c>
      <c r="E2060" s="4">
        <v>57</v>
      </c>
      <c r="G2060">
        <f t="shared" si="32"/>
        <v>512</v>
      </c>
    </row>
    <row r="2061" spans="2:7" ht="15" hidden="1" x14ac:dyDescent="0.25">
      <c r="B2061" s="4">
        <v>584633228</v>
      </c>
      <c r="C2061" s="4" t="s">
        <v>269</v>
      </c>
      <c r="D2061" s="4">
        <v>1499</v>
      </c>
      <c r="E2061" s="4">
        <v>57</v>
      </c>
      <c r="G2061">
        <f t="shared" si="32"/>
        <v>512</v>
      </c>
    </row>
    <row r="2062" spans="2:7" ht="15" hidden="1" x14ac:dyDescent="0.25">
      <c r="B2062" s="4">
        <v>584633228</v>
      </c>
      <c r="C2062" s="4" t="s">
        <v>272</v>
      </c>
      <c r="D2062" s="4">
        <v>138</v>
      </c>
      <c r="E2062" s="4">
        <v>215</v>
      </c>
      <c r="G2062">
        <f t="shared" si="32"/>
        <v>1776</v>
      </c>
    </row>
    <row r="2063" spans="2:7" ht="15" hidden="1" x14ac:dyDescent="0.25">
      <c r="B2063" s="4">
        <v>584633229</v>
      </c>
      <c r="C2063" s="4" t="s">
        <v>269</v>
      </c>
      <c r="D2063" s="4">
        <v>1500</v>
      </c>
      <c r="E2063" s="4">
        <v>57</v>
      </c>
      <c r="G2063">
        <f t="shared" si="32"/>
        <v>512</v>
      </c>
    </row>
    <row r="2064" spans="2:7" ht="15" hidden="1" x14ac:dyDescent="0.25">
      <c r="B2064" s="4">
        <v>584633230</v>
      </c>
      <c r="C2064" s="4" t="s">
        <v>269</v>
      </c>
      <c r="D2064" s="4">
        <v>1501</v>
      </c>
      <c r="E2064" s="4">
        <v>57</v>
      </c>
      <c r="G2064">
        <f t="shared" si="32"/>
        <v>512</v>
      </c>
    </row>
    <row r="2065" spans="2:7" ht="15" hidden="1" x14ac:dyDescent="0.25">
      <c r="B2065" s="4">
        <v>584633231</v>
      </c>
      <c r="C2065" s="4" t="s">
        <v>269</v>
      </c>
      <c r="D2065" s="4">
        <v>1502</v>
      </c>
      <c r="E2065" s="4">
        <v>57</v>
      </c>
      <c r="G2065">
        <f t="shared" si="32"/>
        <v>512</v>
      </c>
    </row>
    <row r="2066" spans="2:7" ht="15" hidden="1" x14ac:dyDescent="0.25">
      <c r="B2066" s="4">
        <v>584633232</v>
      </c>
      <c r="C2066" s="4" t="s">
        <v>269</v>
      </c>
      <c r="D2066" s="4">
        <v>1503</v>
      </c>
      <c r="E2066" s="4">
        <v>57</v>
      </c>
      <c r="G2066">
        <f t="shared" si="32"/>
        <v>512</v>
      </c>
    </row>
    <row r="2067" spans="2:7" ht="15" hidden="1" x14ac:dyDescent="0.25">
      <c r="B2067" s="4">
        <v>584633233</v>
      </c>
      <c r="C2067" s="4" t="s">
        <v>269</v>
      </c>
      <c r="D2067" s="4">
        <v>1504</v>
      </c>
      <c r="E2067" s="4">
        <v>57</v>
      </c>
      <c r="G2067">
        <f t="shared" si="32"/>
        <v>512</v>
      </c>
    </row>
    <row r="2068" spans="2:7" ht="15" hidden="1" x14ac:dyDescent="0.25">
      <c r="B2068" s="4">
        <v>584633234</v>
      </c>
      <c r="C2068" s="4" t="s">
        <v>269</v>
      </c>
      <c r="D2068" s="4">
        <v>1505</v>
      </c>
      <c r="E2068" s="4">
        <v>57</v>
      </c>
      <c r="G2068">
        <f t="shared" si="32"/>
        <v>512</v>
      </c>
    </row>
    <row r="2069" spans="2:7" ht="15" hidden="1" x14ac:dyDescent="0.25">
      <c r="B2069" s="4">
        <v>584633235</v>
      </c>
      <c r="C2069" s="4" t="s">
        <v>269</v>
      </c>
      <c r="D2069" s="4">
        <v>1506</v>
      </c>
      <c r="E2069" s="4">
        <v>57</v>
      </c>
      <c r="G2069">
        <f t="shared" si="32"/>
        <v>512</v>
      </c>
    </row>
    <row r="2070" spans="2:7" ht="15" hidden="1" x14ac:dyDescent="0.25">
      <c r="B2070" s="4">
        <v>584633236</v>
      </c>
      <c r="C2070" s="4" t="s">
        <v>269</v>
      </c>
      <c r="D2070" s="4">
        <v>1507</v>
      </c>
      <c r="E2070" s="4">
        <v>57</v>
      </c>
      <c r="G2070">
        <f t="shared" si="32"/>
        <v>512</v>
      </c>
    </row>
    <row r="2071" spans="2:7" ht="15" hidden="1" x14ac:dyDescent="0.25">
      <c r="B2071" s="4">
        <v>584633237</v>
      </c>
      <c r="C2071" s="4" t="s">
        <v>269</v>
      </c>
      <c r="D2071" s="4">
        <v>1508</v>
      </c>
      <c r="E2071" s="4">
        <v>57</v>
      </c>
      <c r="G2071">
        <f t="shared" si="32"/>
        <v>512</v>
      </c>
    </row>
    <row r="2072" spans="2:7" ht="15" hidden="1" x14ac:dyDescent="0.25">
      <c r="B2072" s="4">
        <v>584633238</v>
      </c>
      <c r="C2072" s="4" t="s">
        <v>269</v>
      </c>
      <c r="D2072" s="4">
        <v>1509</v>
      </c>
      <c r="E2072" s="4">
        <v>57</v>
      </c>
      <c r="G2072">
        <f t="shared" si="32"/>
        <v>512</v>
      </c>
    </row>
    <row r="2073" spans="2:7" ht="15" hidden="1" x14ac:dyDescent="0.25">
      <c r="B2073" s="4">
        <v>584633238</v>
      </c>
      <c r="C2073" s="4" t="s">
        <v>272</v>
      </c>
      <c r="D2073" s="4">
        <v>139</v>
      </c>
      <c r="E2073" s="4">
        <v>209</v>
      </c>
      <c r="G2073">
        <f t="shared" si="32"/>
        <v>1728</v>
      </c>
    </row>
    <row r="2074" spans="2:7" ht="15" hidden="1" x14ac:dyDescent="0.25">
      <c r="B2074" s="4">
        <v>584633239</v>
      </c>
      <c r="C2074" s="4" t="s">
        <v>269</v>
      </c>
      <c r="D2074" s="4">
        <v>1510</v>
      </c>
      <c r="E2074" s="4">
        <v>57</v>
      </c>
      <c r="G2074">
        <f t="shared" si="32"/>
        <v>512</v>
      </c>
    </row>
    <row r="2075" spans="2:7" ht="15" hidden="1" x14ac:dyDescent="0.25">
      <c r="B2075" s="4">
        <v>584633240</v>
      </c>
      <c r="C2075" s="4" t="s">
        <v>268</v>
      </c>
      <c r="D2075" s="4">
        <v>282</v>
      </c>
      <c r="E2075" s="4">
        <v>6</v>
      </c>
      <c r="G2075">
        <f t="shared" si="32"/>
        <v>104</v>
      </c>
    </row>
    <row r="2076" spans="2:7" ht="15" hidden="1" x14ac:dyDescent="0.25">
      <c r="B2076" s="4">
        <v>584633240</v>
      </c>
      <c r="C2076" s="4" t="s">
        <v>268</v>
      </c>
      <c r="D2076" s="4">
        <v>282</v>
      </c>
      <c r="E2076" s="4">
        <v>6</v>
      </c>
      <c r="G2076">
        <f t="shared" si="32"/>
        <v>104</v>
      </c>
    </row>
    <row r="2077" spans="2:7" ht="15" hidden="1" x14ac:dyDescent="0.25">
      <c r="B2077" s="4">
        <v>584633240</v>
      </c>
      <c r="C2077" s="4" t="s">
        <v>268</v>
      </c>
      <c r="D2077" s="4">
        <v>283</v>
      </c>
      <c r="E2077" s="4">
        <v>9</v>
      </c>
      <c r="G2077">
        <f t="shared" si="32"/>
        <v>128</v>
      </c>
    </row>
    <row r="2078" spans="2:7" ht="15" hidden="1" x14ac:dyDescent="0.25">
      <c r="B2078" s="4">
        <v>584633240</v>
      </c>
      <c r="C2078" s="4" t="s">
        <v>268</v>
      </c>
      <c r="D2078" s="4">
        <v>283</v>
      </c>
      <c r="E2078" s="4">
        <v>9</v>
      </c>
      <c r="G2078">
        <f t="shared" si="32"/>
        <v>128</v>
      </c>
    </row>
    <row r="2079" spans="2:7" ht="15" hidden="1" x14ac:dyDescent="0.25">
      <c r="B2079" s="4">
        <v>584633240</v>
      </c>
      <c r="C2079" s="4" t="s">
        <v>268</v>
      </c>
      <c r="D2079" s="4">
        <v>284</v>
      </c>
      <c r="E2079" s="4">
        <v>7</v>
      </c>
      <c r="G2079">
        <f t="shared" si="32"/>
        <v>112</v>
      </c>
    </row>
    <row r="2080" spans="2:7" ht="15" hidden="1" x14ac:dyDescent="0.25">
      <c r="B2080" s="4">
        <v>584633240</v>
      </c>
      <c r="C2080" s="4" t="s">
        <v>268</v>
      </c>
      <c r="D2080" s="4">
        <v>284</v>
      </c>
      <c r="E2080" s="4">
        <v>7</v>
      </c>
      <c r="G2080">
        <f t="shared" si="32"/>
        <v>112</v>
      </c>
    </row>
    <row r="2081" spans="2:7" ht="15" hidden="1" x14ac:dyDescent="0.25">
      <c r="B2081" s="4">
        <v>584633240</v>
      </c>
      <c r="C2081" s="4" t="s">
        <v>268</v>
      </c>
      <c r="D2081" s="4">
        <v>285</v>
      </c>
      <c r="E2081" s="4">
        <v>7</v>
      </c>
      <c r="G2081">
        <f t="shared" si="32"/>
        <v>112</v>
      </c>
    </row>
    <row r="2082" spans="2:7" ht="15" hidden="1" x14ac:dyDescent="0.25">
      <c r="B2082" s="4">
        <v>584633240</v>
      </c>
      <c r="C2082" s="4" t="s">
        <v>268</v>
      </c>
      <c r="D2082" s="4">
        <v>285</v>
      </c>
      <c r="E2082" s="4">
        <v>7</v>
      </c>
      <c r="G2082">
        <f t="shared" si="32"/>
        <v>112</v>
      </c>
    </row>
    <row r="2083" spans="2:7" ht="15" hidden="1" x14ac:dyDescent="0.25">
      <c r="B2083" s="4">
        <v>584633240</v>
      </c>
      <c r="C2083" s="4" t="s">
        <v>268</v>
      </c>
      <c r="D2083" s="4">
        <v>286</v>
      </c>
      <c r="E2083" s="4">
        <v>7</v>
      </c>
      <c r="G2083">
        <f t="shared" si="32"/>
        <v>112</v>
      </c>
    </row>
    <row r="2084" spans="2:7" ht="15" hidden="1" x14ac:dyDescent="0.25">
      <c r="B2084" s="4">
        <v>584633240</v>
      </c>
      <c r="C2084" s="4" t="s">
        <v>268</v>
      </c>
      <c r="D2084" s="4">
        <v>286</v>
      </c>
      <c r="E2084" s="4">
        <v>7</v>
      </c>
      <c r="G2084">
        <f t="shared" si="32"/>
        <v>112</v>
      </c>
    </row>
    <row r="2085" spans="2:7" ht="15" hidden="1" x14ac:dyDescent="0.25">
      <c r="B2085" s="4">
        <v>584633240</v>
      </c>
      <c r="C2085" s="4" t="s">
        <v>269</v>
      </c>
      <c r="D2085" s="4">
        <v>1511</v>
      </c>
      <c r="E2085" s="4">
        <v>57</v>
      </c>
      <c r="G2085">
        <f t="shared" si="32"/>
        <v>512</v>
      </c>
    </row>
    <row r="2086" spans="2:7" ht="15" hidden="1" x14ac:dyDescent="0.25">
      <c r="B2086" s="4">
        <v>584633241</v>
      </c>
      <c r="C2086" s="4" t="s">
        <v>269</v>
      </c>
      <c r="D2086" s="4">
        <v>1512</v>
      </c>
      <c r="E2086" s="4">
        <v>57</v>
      </c>
      <c r="G2086">
        <f t="shared" si="32"/>
        <v>512</v>
      </c>
    </row>
    <row r="2087" spans="2:7" ht="15" hidden="1" x14ac:dyDescent="0.25">
      <c r="B2087" s="4">
        <v>584633242</v>
      </c>
      <c r="C2087" s="4" t="s">
        <v>268</v>
      </c>
      <c r="D2087" s="4">
        <v>287</v>
      </c>
      <c r="E2087" s="4">
        <v>7</v>
      </c>
      <c r="G2087">
        <f t="shared" si="32"/>
        <v>112</v>
      </c>
    </row>
    <row r="2088" spans="2:7" ht="15" hidden="1" x14ac:dyDescent="0.25">
      <c r="B2088" s="4">
        <v>584633242</v>
      </c>
      <c r="C2088" s="4" t="s">
        <v>268</v>
      </c>
      <c r="D2088" s="4">
        <v>287</v>
      </c>
      <c r="E2088" s="4">
        <v>7</v>
      </c>
      <c r="G2088">
        <f t="shared" si="32"/>
        <v>112</v>
      </c>
    </row>
    <row r="2089" spans="2:7" ht="15" hidden="1" x14ac:dyDescent="0.25">
      <c r="B2089" s="4">
        <v>584633242</v>
      </c>
      <c r="C2089" s="4" t="s">
        <v>268</v>
      </c>
      <c r="D2089" s="4">
        <v>288</v>
      </c>
      <c r="E2089" s="4">
        <v>5</v>
      </c>
      <c r="G2089">
        <f t="shared" si="32"/>
        <v>96</v>
      </c>
    </row>
    <row r="2090" spans="2:7" ht="15" hidden="1" x14ac:dyDescent="0.25">
      <c r="B2090" s="4">
        <v>584633242</v>
      </c>
      <c r="C2090" s="4" t="s">
        <v>268</v>
      </c>
      <c r="D2090" s="4">
        <v>288</v>
      </c>
      <c r="E2090" s="4">
        <v>5</v>
      </c>
      <c r="G2090">
        <f t="shared" si="32"/>
        <v>96</v>
      </c>
    </row>
    <row r="2091" spans="2:7" ht="15" hidden="1" x14ac:dyDescent="0.25">
      <c r="B2091" s="4">
        <v>584633242</v>
      </c>
      <c r="C2091" s="4" t="s">
        <v>268</v>
      </c>
      <c r="D2091" s="4">
        <v>289</v>
      </c>
      <c r="E2091" s="4">
        <v>7</v>
      </c>
      <c r="G2091">
        <f t="shared" si="32"/>
        <v>112</v>
      </c>
    </row>
    <row r="2092" spans="2:7" ht="15" hidden="1" x14ac:dyDescent="0.25">
      <c r="B2092" s="4">
        <v>584633242</v>
      </c>
      <c r="C2092" s="4" t="s">
        <v>268</v>
      </c>
      <c r="D2092" s="4">
        <v>289</v>
      </c>
      <c r="E2092" s="4">
        <v>7</v>
      </c>
      <c r="G2092">
        <f t="shared" si="32"/>
        <v>112</v>
      </c>
    </row>
    <row r="2093" spans="2:7" ht="15" hidden="1" x14ac:dyDescent="0.25">
      <c r="B2093" s="4">
        <v>584633242</v>
      </c>
      <c r="C2093" s="4" t="s">
        <v>269</v>
      </c>
      <c r="D2093" s="4">
        <v>1513</v>
      </c>
      <c r="E2093" s="4">
        <v>57</v>
      </c>
      <c r="G2093">
        <f t="shared" si="32"/>
        <v>512</v>
      </c>
    </row>
    <row r="2094" spans="2:7" ht="15" hidden="1" x14ac:dyDescent="0.25">
      <c r="B2094" s="4">
        <v>584633243</v>
      </c>
      <c r="C2094" s="4" t="s">
        <v>269</v>
      </c>
      <c r="D2094" s="4">
        <v>1514</v>
      </c>
      <c r="E2094" s="4">
        <v>57</v>
      </c>
      <c r="G2094">
        <f t="shared" si="32"/>
        <v>512</v>
      </c>
    </row>
    <row r="2095" spans="2:7" ht="15" hidden="1" x14ac:dyDescent="0.25">
      <c r="B2095" s="4">
        <v>584633244</v>
      </c>
      <c r="C2095" s="4" t="s">
        <v>269</v>
      </c>
      <c r="D2095" s="4">
        <v>1515</v>
      </c>
      <c r="E2095" s="4">
        <v>57</v>
      </c>
      <c r="G2095">
        <f t="shared" si="32"/>
        <v>512</v>
      </c>
    </row>
    <row r="2096" spans="2:7" ht="15" hidden="1" x14ac:dyDescent="0.25">
      <c r="B2096" s="4">
        <v>584633245</v>
      </c>
      <c r="C2096" s="4" t="s">
        <v>269</v>
      </c>
      <c r="D2096" s="4">
        <v>1516</v>
      </c>
      <c r="E2096" s="4">
        <v>57</v>
      </c>
      <c r="G2096">
        <f t="shared" si="32"/>
        <v>512</v>
      </c>
    </row>
    <row r="2097" spans="2:7" ht="15" hidden="1" x14ac:dyDescent="0.25">
      <c r="B2097" s="4">
        <v>584633246</v>
      </c>
      <c r="C2097" s="4" t="s">
        <v>269</v>
      </c>
      <c r="D2097" s="4">
        <v>1517</v>
      </c>
      <c r="E2097" s="4">
        <v>57</v>
      </c>
      <c r="G2097">
        <f t="shared" si="32"/>
        <v>512</v>
      </c>
    </row>
    <row r="2098" spans="2:7" ht="15" hidden="1" x14ac:dyDescent="0.25">
      <c r="B2098" s="4">
        <v>584633247</v>
      </c>
      <c r="C2098" s="4" t="s">
        <v>269</v>
      </c>
      <c r="D2098" s="4">
        <v>1518</v>
      </c>
      <c r="E2098" s="4">
        <v>57</v>
      </c>
      <c r="G2098">
        <f t="shared" si="32"/>
        <v>512</v>
      </c>
    </row>
    <row r="2099" spans="2:7" ht="15" hidden="1" x14ac:dyDescent="0.25">
      <c r="B2099" s="4">
        <v>584633248</v>
      </c>
      <c r="C2099" s="4" t="s">
        <v>269</v>
      </c>
      <c r="D2099" s="4">
        <v>1519</v>
      </c>
      <c r="E2099" s="4">
        <v>57</v>
      </c>
      <c r="G2099">
        <f t="shared" si="32"/>
        <v>512</v>
      </c>
    </row>
    <row r="2100" spans="2:7" ht="15" hidden="1" x14ac:dyDescent="0.25">
      <c r="B2100" s="4">
        <v>584633248</v>
      </c>
      <c r="C2100" s="4" t="s">
        <v>272</v>
      </c>
      <c r="D2100" s="4">
        <v>140</v>
      </c>
      <c r="E2100" s="4">
        <v>217</v>
      </c>
      <c r="G2100">
        <f t="shared" si="32"/>
        <v>1792</v>
      </c>
    </row>
    <row r="2101" spans="2:7" ht="15" hidden="1" x14ac:dyDescent="0.25">
      <c r="B2101" s="4">
        <v>584633249</v>
      </c>
      <c r="C2101" s="4" t="s">
        <v>269</v>
      </c>
      <c r="D2101" s="4">
        <v>1520</v>
      </c>
      <c r="E2101" s="4">
        <v>57</v>
      </c>
      <c r="G2101">
        <f t="shared" si="32"/>
        <v>512</v>
      </c>
    </row>
    <row r="2102" spans="2:7" ht="15" hidden="1" x14ac:dyDescent="0.25">
      <c r="B2102" s="4">
        <v>584633250</v>
      </c>
      <c r="C2102" s="4" t="s">
        <v>269</v>
      </c>
      <c r="D2102" s="4">
        <v>1521</v>
      </c>
      <c r="E2102" s="4">
        <v>57</v>
      </c>
      <c r="G2102">
        <f t="shared" si="32"/>
        <v>512</v>
      </c>
    </row>
    <row r="2103" spans="2:7" ht="15" hidden="1" x14ac:dyDescent="0.25">
      <c r="B2103" s="4">
        <v>584633251</v>
      </c>
      <c r="C2103" s="4" t="s">
        <v>269</v>
      </c>
      <c r="D2103" s="4">
        <v>1522</v>
      </c>
      <c r="E2103" s="4">
        <v>57</v>
      </c>
      <c r="G2103">
        <f t="shared" si="32"/>
        <v>512</v>
      </c>
    </row>
    <row r="2104" spans="2:7" ht="15" hidden="1" x14ac:dyDescent="0.25">
      <c r="B2104" s="4">
        <v>584633252</v>
      </c>
      <c r="C2104" s="4" t="s">
        <v>269</v>
      </c>
      <c r="D2104" s="4">
        <v>1523</v>
      </c>
      <c r="E2104" s="4">
        <v>57</v>
      </c>
      <c r="G2104">
        <f t="shared" si="32"/>
        <v>512</v>
      </c>
    </row>
    <row r="2105" spans="2:7" ht="15" hidden="1" x14ac:dyDescent="0.25">
      <c r="B2105" s="4">
        <v>584633253</v>
      </c>
      <c r="C2105" s="4" t="s">
        <v>269</v>
      </c>
      <c r="D2105" s="4">
        <v>1524</v>
      </c>
      <c r="E2105" s="4">
        <v>57</v>
      </c>
      <c r="G2105">
        <f t="shared" si="32"/>
        <v>512</v>
      </c>
    </row>
    <row r="2106" spans="2:7" ht="15" hidden="1" x14ac:dyDescent="0.25">
      <c r="B2106" s="4">
        <v>584633254</v>
      </c>
      <c r="C2106" s="4" t="s">
        <v>269</v>
      </c>
      <c r="D2106" s="4">
        <v>1525</v>
      </c>
      <c r="E2106" s="4">
        <v>57</v>
      </c>
      <c r="G2106">
        <f t="shared" si="32"/>
        <v>512</v>
      </c>
    </row>
    <row r="2107" spans="2:7" ht="15" hidden="1" x14ac:dyDescent="0.25">
      <c r="B2107" s="4">
        <v>584633255</v>
      </c>
      <c r="C2107" s="4" t="s">
        <v>269</v>
      </c>
      <c r="D2107" s="4">
        <v>1526</v>
      </c>
      <c r="E2107" s="4">
        <v>57</v>
      </c>
      <c r="G2107">
        <f t="shared" si="32"/>
        <v>512</v>
      </c>
    </row>
    <row r="2108" spans="2:7" ht="15" hidden="1" x14ac:dyDescent="0.25">
      <c r="B2108" s="4">
        <v>584633256</v>
      </c>
      <c r="C2108" s="4" t="s">
        <v>269</v>
      </c>
      <c r="D2108" s="4">
        <v>1527</v>
      </c>
      <c r="E2108" s="4">
        <v>57</v>
      </c>
      <c r="G2108">
        <f t="shared" si="32"/>
        <v>512</v>
      </c>
    </row>
    <row r="2109" spans="2:7" ht="15" hidden="1" x14ac:dyDescent="0.25">
      <c r="B2109" s="4">
        <v>584633257</v>
      </c>
      <c r="C2109" s="4" t="s">
        <v>269</v>
      </c>
      <c r="D2109" s="4">
        <v>1528</v>
      </c>
      <c r="E2109" s="4">
        <v>57</v>
      </c>
      <c r="G2109">
        <f t="shared" si="32"/>
        <v>512</v>
      </c>
    </row>
    <row r="2110" spans="2:7" ht="15" hidden="1" x14ac:dyDescent="0.25">
      <c r="B2110" s="4">
        <v>584633258</v>
      </c>
      <c r="C2110" s="4" t="s">
        <v>269</v>
      </c>
      <c r="D2110" s="4">
        <v>1529</v>
      </c>
      <c r="E2110" s="4">
        <v>57</v>
      </c>
      <c r="G2110">
        <f t="shared" si="32"/>
        <v>512</v>
      </c>
    </row>
    <row r="2111" spans="2:7" ht="15" hidden="1" x14ac:dyDescent="0.25">
      <c r="B2111" s="4">
        <v>584633258</v>
      </c>
      <c r="C2111" s="4" t="s">
        <v>272</v>
      </c>
      <c r="D2111" s="4">
        <v>141</v>
      </c>
      <c r="E2111" s="4">
        <v>219</v>
      </c>
      <c r="G2111">
        <f t="shared" si="32"/>
        <v>1808</v>
      </c>
    </row>
    <row r="2112" spans="2:7" ht="15" hidden="1" x14ac:dyDescent="0.25">
      <c r="B2112" s="4">
        <v>584633259</v>
      </c>
      <c r="C2112" s="4" t="s">
        <v>269</v>
      </c>
      <c r="D2112" s="4">
        <v>1530</v>
      </c>
      <c r="E2112" s="4">
        <v>57</v>
      </c>
      <c r="G2112">
        <f t="shared" si="32"/>
        <v>512</v>
      </c>
    </row>
    <row r="2113" spans="2:7" ht="15" hidden="1" x14ac:dyDescent="0.25">
      <c r="B2113" s="4">
        <v>584633260</v>
      </c>
      <c r="C2113" s="4" t="s">
        <v>269</v>
      </c>
      <c r="D2113" s="4">
        <v>1531</v>
      </c>
      <c r="E2113" s="4">
        <v>57</v>
      </c>
      <c r="G2113">
        <f t="shared" si="32"/>
        <v>512</v>
      </c>
    </row>
    <row r="2114" spans="2:7" ht="15" hidden="1" x14ac:dyDescent="0.25">
      <c r="B2114" s="4">
        <v>584633261</v>
      </c>
      <c r="C2114" s="4" t="s">
        <v>269</v>
      </c>
      <c r="D2114" s="4">
        <v>1532</v>
      </c>
      <c r="E2114" s="4">
        <v>57</v>
      </c>
      <c r="G2114">
        <f t="shared" si="32"/>
        <v>512</v>
      </c>
    </row>
    <row r="2115" spans="2:7" ht="15" hidden="1" x14ac:dyDescent="0.25">
      <c r="B2115" s="4">
        <v>584633262</v>
      </c>
      <c r="C2115" s="4" t="s">
        <v>269</v>
      </c>
      <c r="D2115" s="4">
        <v>1533</v>
      </c>
      <c r="E2115" s="4">
        <v>57</v>
      </c>
      <c r="G2115">
        <f t="shared" si="32"/>
        <v>512</v>
      </c>
    </row>
    <row r="2116" spans="2:7" ht="15" hidden="1" x14ac:dyDescent="0.25">
      <c r="B2116" s="4">
        <v>584633263</v>
      </c>
      <c r="C2116" s="4" t="s">
        <v>269</v>
      </c>
      <c r="D2116" s="4">
        <v>1534</v>
      </c>
      <c r="E2116" s="4">
        <v>57</v>
      </c>
      <c r="G2116">
        <f t="shared" ref="G2116:G2179" si="33">(E2116+7)*8</f>
        <v>512</v>
      </c>
    </row>
    <row r="2117" spans="2:7" ht="15" hidden="1" x14ac:dyDescent="0.25">
      <c r="B2117" s="4">
        <v>584633264</v>
      </c>
      <c r="C2117" s="4" t="s">
        <v>269</v>
      </c>
      <c r="D2117" s="4">
        <v>1535</v>
      </c>
      <c r="E2117" s="4">
        <v>57</v>
      </c>
      <c r="G2117">
        <f t="shared" si="33"/>
        <v>512</v>
      </c>
    </row>
    <row r="2118" spans="2:7" ht="15" hidden="1" x14ac:dyDescent="0.25">
      <c r="B2118" s="4">
        <v>584633265</v>
      </c>
      <c r="C2118" s="4" t="s">
        <v>269</v>
      </c>
      <c r="D2118" s="4">
        <v>1536</v>
      </c>
      <c r="E2118" s="4">
        <v>57</v>
      </c>
      <c r="G2118">
        <f t="shared" si="33"/>
        <v>512</v>
      </c>
    </row>
    <row r="2119" spans="2:7" ht="15" hidden="1" x14ac:dyDescent="0.25">
      <c r="B2119" s="4">
        <v>584633266</v>
      </c>
      <c r="C2119" s="4" t="s">
        <v>269</v>
      </c>
      <c r="D2119" s="4">
        <v>1537</v>
      </c>
      <c r="E2119" s="4">
        <v>57</v>
      </c>
      <c r="G2119">
        <f t="shared" si="33"/>
        <v>512</v>
      </c>
    </row>
    <row r="2120" spans="2:7" ht="15" hidden="1" x14ac:dyDescent="0.25">
      <c r="B2120" s="4">
        <v>584633267</v>
      </c>
      <c r="C2120" s="4" t="s">
        <v>269</v>
      </c>
      <c r="D2120" s="4">
        <v>1538</v>
      </c>
      <c r="E2120" s="4">
        <v>57</v>
      </c>
      <c r="G2120">
        <f t="shared" si="33"/>
        <v>512</v>
      </c>
    </row>
    <row r="2121" spans="2:7" ht="15" hidden="1" x14ac:dyDescent="0.25">
      <c r="B2121" s="4">
        <v>584633268</v>
      </c>
      <c r="C2121" s="4" t="s">
        <v>269</v>
      </c>
      <c r="D2121" s="4">
        <v>1539</v>
      </c>
      <c r="E2121" s="4">
        <v>57</v>
      </c>
      <c r="G2121">
        <f t="shared" si="33"/>
        <v>512</v>
      </c>
    </row>
    <row r="2122" spans="2:7" ht="15" hidden="1" x14ac:dyDescent="0.25">
      <c r="B2122" s="4">
        <v>584633268</v>
      </c>
      <c r="C2122" s="4" t="s">
        <v>272</v>
      </c>
      <c r="D2122" s="4">
        <v>142</v>
      </c>
      <c r="E2122" s="4">
        <v>213</v>
      </c>
      <c r="G2122">
        <f t="shared" si="33"/>
        <v>1760</v>
      </c>
    </row>
    <row r="2123" spans="2:7" ht="15" hidden="1" x14ac:dyDescent="0.25">
      <c r="B2123" s="4">
        <v>584633269</v>
      </c>
      <c r="C2123" s="4" t="s">
        <v>269</v>
      </c>
      <c r="D2123" s="4">
        <v>1540</v>
      </c>
      <c r="E2123" s="4">
        <v>57</v>
      </c>
      <c r="G2123">
        <f t="shared" si="33"/>
        <v>512</v>
      </c>
    </row>
    <row r="2124" spans="2:7" ht="15" hidden="1" x14ac:dyDescent="0.25">
      <c r="B2124" s="4">
        <v>584633270</v>
      </c>
      <c r="C2124" s="4" t="s">
        <v>269</v>
      </c>
      <c r="D2124" s="4">
        <v>1541</v>
      </c>
      <c r="E2124" s="4">
        <v>57</v>
      </c>
      <c r="G2124">
        <f t="shared" si="33"/>
        <v>512</v>
      </c>
    </row>
    <row r="2125" spans="2:7" ht="15" hidden="1" x14ac:dyDescent="0.25">
      <c r="B2125" s="4">
        <v>584633271</v>
      </c>
      <c r="C2125" s="4" t="s">
        <v>269</v>
      </c>
      <c r="D2125" s="4">
        <v>1542</v>
      </c>
      <c r="E2125" s="4">
        <v>57</v>
      </c>
      <c r="G2125">
        <f t="shared" si="33"/>
        <v>512</v>
      </c>
    </row>
    <row r="2126" spans="2:7" ht="15" hidden="1" x14ac:dyDescent="0.25">
      <c r="B2126" s="4">
        <v>584633272</v>
      </c>
      <c r="C2126" s="4" t="s">
        <v>269</v>
      </c>
      <c r="D2126" s="4">
        <v>1543</v>
      </c>
      <c r="E2126" s="4">
        <v>57</v>
      </c>
      <c r="G2126">
        <f t="shared" si="33"/>
        <v>512</v>
      </c>
    </row>
    <row r="2127" spans="2:7" ht="15" hidden="1" x14ac:dyDescent="0.25">
      <c r="B2127" s="4">
        <v>584633273</v>
      </c>
      <c r="C2127" s="4" t="s">
        <v>269</v>
      </c>
      <c r="D2127" s="4">
        <v>1544</v>
      </c>
      <c r="E2127" s="4">
        <v>57</v>
      </c>
      <c r="G2127">
        <f t="shared" si="33"/>
        <v>512</v>
      </c>
    </row>
    <row r="2128" spans="2:7" ht="15" hidden="1" x14ac:dyDescent="0.25">
      <c r="B2128" s="4">
        <v>584633274</v>
      </c>
      <c r="C2128" s="4" t="s">
        <v>269</v>
      </c>
      <c r="D2128" s="4">
        <v>1545</v>
      </c>
      <c r="E2128" s="4">
        <v>57</v>
      </c>
      <c r="G2128">
        <f t="shared" si="33"/>
        <v>512</v>
      </c>
    </row>
    <row r="2129" spans="2:7" ht="15" hidden="1" x14ac:dyDescent="0.25">
      <c r="B2129" s="4">
        <v>584633275</v>
      </c>
      <c r="C2129" s="4" t="s">
        <v>269</v>
      </c>
      <c r="D2129" s="4">
        <v>1546</v>
      </c>
      <c r="E2129" s="4">
        <v>57</v>
      </c>
      <c r="G2129">
        <f t="shared" si="33"/>
        <v>512</v>
      </c>
    </row>
    <row r="2130" spans="2:7" ht="15" hidden="1" x14ac:dyDescent="0.25">
      <c r="B2130" s="4">
        <v>584633276</v>
      </c>
      <c r="C2130" s="4" t="s">
        <v>269</v>
      </c>
      <c r="D2130" s="4">
        <v>1547</v>
      </c>
      <c r="E2130" s="4">
        <v>57</v>
      </c>
      <c r="G2130">
        <f t="shared" si="33"/>
        <v>512</v>
      </c>
    </row>
    <row r="2131" spans="2:7" ht="15" hidden="1" x14ac:dyDescent="0.25">
      <c r="B2131" s="4">
        <v>584633277</v>
      </c>
      <c r="C2131" s="4" t="s">
        <v>269</v>
      </c>
      <c r="D2131" s="4">
        <v>1548</v>
      </c>
      <c r="E2131" s="4">
        <v>57</v>
      </c>
      <c r="G2131">
        <f t="shared" si="33"/>
        <v>512</v>
      </c>
    </row>
    <row r="2132" spans="2:7" ht="15" hidden="1" x14ac:dyDescent="0.25">
      <c r="B2132" s="4">
        <v>584633278</v>
      </c>
      <c r="C2132" s="4" t="s">
        <v>269</v>
      </c>
      <c r="D2132" s="4">
        <v>1549</v>
      </c>
      <c r="E2132" s="4">
        <v>57</v>
      </c>
      <c r="G2132">
        <f t="shared" si="33"/>
        <v>512</v>
      </c>
    </row>
    <row r="2133" spans="2:7" ht="15" hidden="1" x14ac:dyDescent="0.25">
      <c r="B2133" s="4">
        <v>584633278</v>
      </c>
      <c r="C2133" s="4" t="s">
        <v>272</v>
      </c>
      <c r="D2133" s="4">
        <v>143</v>
      </c>
      <c r="E2133" s="4">
        <v>211</v>
      </c>
      <c r="G2133">
        <f t="shared" si="33"/>
        <v>1744</v>
      </c>
    </row>
    <row r="2134" spans="2:7" ht="15" hidden="1" x14ac:dyDescent="0.25">
      <c r="B2134" s="4">
        <v>584633279</v>
      </c>
      <c r="C2134" s="4" t="s">
        <v>269</v>
      </c>
      <c r="D2134" s="4">
        <v>1550</v>
      </c>
      <c r="E2134" s="4">
        <v>57</v>
      </c>
      <c r="G2134">
        <f t="shared" si="33"/>
        <v>512</v>
      </c>
    </row>
    <row r="2135" spans="2:7" ht="15" hidden="1" x14ac:dyDescent="0.25">
      <c r="B2135" s="4">
        <v>584633280</v>
      </c>
      <c r="C2135" s="4" t="s">
        <v>269</v>
      </c>
      <c r="D2135" s="4">
        <v>1551</v>
      </c>
      <c r="E2135" s="4">
        <v>57</v>
      </c>
      <c r="G2135">
        <f t="shared" si="33"/>
        <v>512</v>
      </c>
    </row>
    <row r="2136" spans="2:7" ht="15" hidden="1" x14ac:dyDescent="0.25">
      <c r="B2136" s="4">
        <v>584633281</v>
      </c>
      <c r="C2136" s="4" t="s">
        <v>269</v>
      </c>
      <c r="D2136" s="4">
        <v>1552</v>
      </c>
      <c r="E2136" s="4">
        <v>57</v>
      </c>
      <c r="G2136">
        <f t="shared" si="33"/>
        <v>512</v>
      </c>
    </row>
    <row r="2137" spans="2:7" ht="15" hidden="1" x14ac:dyDescent="0.25">
      <c r="B2137" s="4">
        <v>584633282</v>
      </c>
      <c r="C2137" s="4" t="s">
        <v>269</v>
      </c>
      <c r="D2137" s="4">
        <v>1553</v>
      </c>
      <c r="E2137" s="4">
        <v>57</v>
      </c>
      <c r="G2137">
        <f t="shared" si="33"/>
        <v>512</v>
      </c>
    </row>
    <row r="2138" spans="2:7" ht="15" hidden="1" x14ac:dyDescent="0.25">
      <c r="B2138" s="4">
        <v>584633283</v>
      </c>
      <c r="C2138" s="4" t="s">
        <v>269</v>
      </c>
      <c r="D2138" s="4">
        <v>1554</v>
      </c>
      <c r="E2138" s="4">
        <v>57</v>
      </c>
      <c r="G2138">
        <f t="shared" si="33"/>
        <v>512</v>
      </c>
    </row>
    <row r="2139" spans="2:7" ht="15" hidden="1" x14ac:dyDescent="0.25">
      <c r="B2139" s="4">
        <v>584633284</v>
      </c>
      <c r="C2139" s="4" t="s">
        <v>269</v>
      </c>
      <c r="D2139" s="4">
        <v>1555</v>
      </c>
      <c r="E2139" s="4">
        <v>57</v>
      </c>
      <c r="G2139">
        <f t="shared" si="33"/>
        <v>512</v>
      </c>
    </row>
    <row r="2140" spans="2:7" ht="15" hidden="1" x14ac:dyDescent="0.25">
      <c r="B2140" s="4">
        <v>584633285</v>
      </c>
      <c r="C2140" s="4" t="s">
        <v>269</v>
      </c>
      <c r="D2140" s="4">
        <v>1556</v>
      </c>
      <c r="E2140" s="4">
        <v>57</v>
      </c>
      <c r="G2140">
        <f t="shared" si="33"/>
        <v>512</v>
      </c>
    </row>
    <row r="2141" spans="2:7" ht="15" hidden="1" x14ac:dyDescent="0.25">
      <c r="B2141" s="4">
        <v>584633286</v>
      </c>
      <c r="C2141" s="4" t="s">
        <v>269</v>
      </c>
      <c r="D2141" s="4">
        <v>1557</v>
      </c>
      <c r="E2141" s="4">
        <v>57</v>
      </c>
      <c r="G2141">
        <f t="shared" si="33"/>
        <v>512</v>
      </c>
    </row>
    <row r="2142" spans="2:7" ht="15" hidden="1" x14ac:dyDescent="0.25">
      <c r="B2142" s="4">
        <v>584633287</v>
      </c>
      <c r="C2142" s="4" t="s">
        <v>269</v>
      </c>
      <c r="D2142" s="4">
        <v>1558</v>
      </c>
      <c r="E2142" s="4">
        <v>57</v>
      </c>
      <c r="G2142">
        <f t="shared" si="33"/>
        <v>512</v>
      </c>
    </row>
    <row r="2143" spans="2:7" ht="15" hidden="1" x14ac:dyDescent="0.25">
      <c r="B2143" s="4">
        <v>584633288</v>
      </c>
      <c r="C2143" s="4" t="s">
        <v>269</v>
      </c>
      <c r="D2143" s="4">
        <v>1559</v>
      </c>
      <c r="E2143" s="4">
        <v>57</v>
      </c>
      <c r="G2143">
        <f t="shared" si="33"/>
        <v>512</v>
      </c>
    </row>
    <row r="2144" spans="2:7" ht="15" hidden="1" x14ac:dyDescent="0.25">
      <c r="B2144" s="4">
        <v>584633288</v>
      </c>
      <c r="C2144" s="4" t="s">
        <v>272</v>
      </c>
      <c r="D2144" s="4">
        <v>144</v>
      </c>
      <c r="E2144" s="4">
        <v>227</v>
      </c>
      <c r="G2144">
        <f t="shared" si="33"/>
        <v>1872</v>
      </c>
    </row>
    <row r="2145" spans="2:7" ht="15" hidden="1" x14ac:dyDescent="0.25">
      <c r="B2145" s="4">
        <v>584633289</v>
      </c>
      <c r="C2145" s="4" t="s">
        <v>269</v>
      </c>
      <c r="D2145" s="4">
        <v>1560</v>
      </c>
      <c r="E2145" s="4">
        <v>57</v>
      </c>
      <c r="G2145">
        <f t="shared" si="33"/>
        <v>512</v>
      </c>
    </row>
    <row r="2146" spans="2:7" ht="15" hidden="1" x14ac:dyDescent="0.25">
      <c r="B2146" s="4">
        <v>584633290</v>
      </c>
      <c r="C2146" s="4" t="s">
        <v>269</v>
      </c>
      <c r="D2146" s="4">
        <v>1561</v>
      </c>
      <c r="E2146" s="4">
        <v>57</v>
      </c>
      <c r="G2146">
        <f t="shared" si="33"/>
        <v>512</v>
      </c>
    </row>
    <row r="2147" spans="2:7" ht="15" hidden="1" x14ac:dyDescent="0.25">
      <c r="B2147" s="4">
        <v>584633291</v>
      </c>
      <c r="C2147" s="4" t="s">
        <v>269</v>
      </c>
      <c r="D2147" s="4">
        <v>1562</v>
      </c>
      <c r="E2147" s="4">
        <v>57</v>
      </c>
      <c r="G2147">
        <f t="shared" si="33"/>
        <v>512</v>
      </c>
    </row>
    <row r="2148" spans="2:7" ht="15" hidden="1" x14ac:dyDescent="0.25">
      <c r="B2148" s="4">
        <v>584633292</v>
      </c>
      <c r="C2148" s="4" t="s">
        <v>269</v>
      </c>
      <c r="D2148" s="4">
        <v>1563</v>
      </c>
      <c r="E2148" s="4">
        <v>57</v>
      </c>
      <c r="G2148">
        <f t="shared" si="33"/>
        <v>512</v>
      </c>
    </row>
    <row r="2149" spans="2:7" ht="15" hidden="1" x14ac:dyDescent="0.25">
      <c r="B2149" s="4">
        <v>584633293</v>
      </c>
      <c r="C2149" s="4" t="s">
        <v>269</v>
      </c>
      <c r="D2149" s="4">
        <v>1564</v>
      </c>
      <c r="E2149" s="4">
        <v>57</v>
      </c>
      <c r="G2149">
        <f t="shared" si="33"/>
        <v>512</v>
      </c>
    </row>
    <row r="2150" spans="2:7" ht="15" hidden="1" x14ac:dyDescent="0.25">
      <c r="B2150" s="4">
        <v>584633294</v>
      </c>
      <c r="C2150" s="4" t="s">
        <v>269</v>
      </c>
      <c r="D2150" s="4">
        <v>1565</v>
      </c>
      <c r="E2150" s="4">
        <v>57</v>
      </c>
      <c r="G2150">
        <f t="shared" si="33"/>
        <v>512</v>
      </c>
    </row>
    <row r="2151" spans="2:7" ht="15" hidden="1" x14ac:dyDescent="0.25">
      <c r="B2151" s="4">
        <v>584633295</v>
      </c>
      <c r="C2151" s="4" t="s">
        <v>269</v>
      </c>
      <c r="D2151" s="4">
        <v>1566</v>
      </c>
      <c r="E2151" s="4">
        <v>57</v>
      </c>
      <c r="G2151">
        <f t="shared" si="33"/>
        <v>512</v>
      </c>
    </row>
    <row r="2152" spans="2:7" ht="15" hidden="1" x14ac:dyDescent="0.25">
      <c r="B2152" s="4">
        <v>584633296</v>
      </c>
      <c r="C2152" s="4" t="s">
        <v>269</v>
      </c>
      <c r="D2152" s="4">
        <v>1567</v>
      </c>
      <c r="E2152" s="4">
        <v>57</v>
      </c>
      <c r="G2152">
        <f t="shared" si="33"/>
        <v>512</v>
      </c>
    </row>
    <row r="2153" spans="2:7" ht="15" hidden="1" x14ac:dyDescent="0.25">
      <c r="B2153" s="4">
        <v>584633297</v>
      </c>
      <c r="C2153" s="4" t="s">
        <v>269</v>
      </c>
      <c r="D2153" s="4">
        <v>1568</v>
      </c>
      <c r="E2153" s="4">
        <v>57</v>
      </c>
      <c r="G2153">
        <f t="shared" si="33"/>
        <v>512</v>
      </c>
    </row>
    <row r="2154" spans="2:7" ht="15" hidden="1" x14ac:dyDescent="0.25">
      <c r="B2154" s="4">
        <v>584633298</v>
      </c>
      <c r="C2154" s="4" t="s">
        <v>269</v>
      </c>
      <c r="D2154" s="4">
        <v>1569</v>
      </c>
      <c r="E2154" s="4">
        <v>57</v>
      </c>
      <c r="G2154">
        <f t="shared" si="33"/>
        <v>512</v>
      </c>
    </row>
    <row r="2155" spans="2:7" ht="15" hidden="1" x14ac:dyDescent="0.25">
      <c r="B2155" s="4">
        <v>584633298</v>
      </c>
      <c r="C2155" s="4" t="s">
        <v>272</v>
      </c>
      <c r="D2155" s="4">
        <v>145</v>
      </c>
      <c r="E2155" s="4">
        <v>217</v>
      </c>
      <c r="G2155">
        <f t="shared" si="33"/>
        <v>1792</v>
      </c>
    </row>
    <row r="2156" spans="2:7" ht="15" hidden="1" x14ac:dyDescent="0.25">
      <c r="B2156" s="4">
        <v>584633299</v>
      </c>
      <c r="C2156" s="4" t="s">
        <v>269</v>
      </c>
      <c r="D2156" s="4">
        <v>1570</v>
      </c>
      <c r="E2156" s="4">
        <v>57</v>
      </c>
      <c r="G2156">
        <f t="shared" si="33"/>
        <v>512</v>
      </c>
    </row>
    <row r="2157" spans="2:7" ht="15" hidden="1" x14ac:dyDescent="0.25">
      <c r="B2157" s="4">
        <v>584633300</v>
      </c>
      <c r="C2157" s="4" t="s">
        <v>269</v>
      </c>
      <c r="D2157" s="4">
        <v>1571</v>
      </c>
      <c r="E2157" s="4">
        <v>57</v>
      </c>
      <c r="G2157">
        <f t="shared" si="33"/>
        <v>512</v>
      </c>
    </row>
    <row r="2158" spans="2:7" ht="15" hidden="1" x14ac:dyDescent="0.25">
      <c r="B2158" s="4">
        <v>584633301</v>
      </c>
      <c r="C2158" s="4" t="s">
        <v>269</v>
      </c>
      <c r="D2158" s="4">
        <v>1572</v>
      </c>
      <c r="E2158" s="4">
        <v>57</v>
      </c>
      <c r="G2158">
        <f t="shared" si="33"/>
        <v>512</v>
      </c>
    </row>
    <row r="2159" spans="2:7" ht="15" hidden="1" x14ac:dyDescent="0.25">
      <c r="B2159" s="4">
        <v>584633302</v>
      </c>
      <c r="C2159" s="4" t="s">
        <v>269</v>
      </c>
      <c r="D2159" s="4">
        <v>1573</v>
      </c>
      <c r="E2159" s="4">
        <v>57</v>
      </c>
      <c r="G2159">
        <f t="shared" si="33"/>
        <v>512</v>
      </c>
    </row>
    <row r="2160" spans="2:7" ht="15" hidden="1" x14ac:dyDescent="0.25">
      <c r="B2160" s="4">
        <v>584633303</v>
      </c>
      <c r="C2160" s="4" t="s">
        <v>269</v>
      </c>
      <c r="D2160" s="4">
        <v>1574</v>
      </c>
      <c r="E2160" s="4">
        <v>57</v>
      </c>
      <c r="G2160">
        <f t="shared" si="33"/>
        <v>512</v>
      </c>
    </row>
    <row r="2161" spans="2:7" ht="15" hidden="1" x14ac:dyDescent="0.25">
      <c r="B2161" s="4">
        <v>584633304</v>
      </c>
      <c r="C2161" s="4" t="s">
        <v>269</v>
      </c>
      <c r="D2161" s="4">
        <v>1575</v>
      </c>
      <c r="E2161" s="4">
        <v>57</v>
      </c>
      <c r="G2161">
        <f t="shared" si="33"/>
        <v>512</v>
      </c>
    </row>
    <row r="2162" spans="2:7" ht="15" hidden="1" x14ac:dyDescent="0.25">
      <c r="B2162" s="4">
        <v>584633305</v>
      </c>
      <c r="C2162" s="4" t="s">
        <v>269</v>
      </c>
      <c r="D2162" s="4">
        <v>1576</v>
      </c>
      <c r="E2162" s="4">
        <v>57</v>
      </c>
      <c r="G2162">
        <f t="shared" si="33"/>
        <v>512</v>
      </c>
    </row>
    <row r="2163" spans="2:7" ht="15" hidden="1" x14ac:dyDescent="0.25">
      <c r="B2163" s="4">
        <v>584633306</v>
      </c>
      <c r="C2163" s="4" t="s">
        <v>269</v>
      </c>
      <c r="D2163" s="4">
        <v>1577</v>
      </c>
      <c r="E2163" s="4">
        <v>57</v>
      </c>
      <c r="G2163">
        <f t="shared" si="33"/>
        <v>512</v>
      </c>
    </row>
    <row r="2164" spans="2:7" ht="15" hidden="1" x14ac:dyDescent="0.25">
      <c r="B2164" s="4">
        <v>584633307</v>
      </c>
      <c r="C2164" s="4" t="s">
        <v>269</v>
      </c>
      <c r="D2164" s="4">
        <v>1578</v>
      </c>
      <c r="E2164" s="4">
        <v>57</v>
      </c>
      <c r="G2164">
        <f t="shared" si="33"/>
        <v>512</v>
      </c>
    </row>
    <row r="2165" spans="2:7" ht="15" hidden="1" x14ac:dyDescent="0.25">
      <c r="B2165" s="4">
        <v>584633308</v>
      </c>
      <c r="C2165" s="4" t="s">
        <v>269</v>
      </c>
      <c r="D2165" s="4">
        <v>1579</v>
      </c>
      <c r="E2165" s="4">
        <v>57</v>
      </c>
      <c r="G2165">
        <f t="shared" si="33"/>
        <v>512</v>
      </c>
    </row>
    <row r="2166" spans="2:7" ht="15" hidden="1" x14ac:dyDescent="0.25">
      <c r="B2166" s="4">
        <v>584633308</v>
      </c>
      <c r="C2166" s="4" t="s">
        <v>272</v>
      </c>
      <c r="D2166" s="4">
        <v>146</v>
      </c>
      <c r="E2166" s="4">
        <v>219</v>
      </c>
      <c r="G2166">
        <f t="shared" si="33"/>
        <v>1808</v>
      </c>
    </row>
    <row r="2167" spans="2:7" ht="15" hidden="1" x14ac:dyDescent="0.25">
      <c r="B2167" s="4">
        <v>584633309</v>
      </c>
      <c r="C2167" s="4" t="s">
        <v>269</v>
      </c>
      <c r="D2167" s="4">
        <v>1580</v>
      </c>
      <c r="E2167" s="4">
        <v>57</v>
      </c>
      <c r="G2167">
        <f t="shared" si="33"/>
        <v>512</v>
      </c>
    </row>
    <row r="2168" spans="2:7" ht="15" hidden="1" x14ac:dyDescent="0.25">
      <c r="B2168" s="4">
        <v>584633310</v>
      </c>
      <c r="C2168" s="4" t="s">
        <v>269</v>
      </c>
      <c r="D2168" s="4">
        <v>1581</v>
      </c>
      <c r="E2168" s="4">
        <v>57</v>
      </c>
      <c r="G2168">
        <f t="shared" si="33"/>
        <v>512</v>
      </c>
    </row>
    <row r="2169" spans="2:7" ht="15" hidden="1" x14ac:dyDescent="0.25">
      <c r="B2169" s="4">
        <v>584633311</v>
      </c>
      <c r="C2169" s="4" t="s">
        <v>269</v>
      </c>
      <c r="D2169" s="4">
        <v>1582</v>
      </c>
      <c r="E2169" s="4">
        <v>57</v>
      </c>
      <c r="G2169">
        <f t="shared" si="33"/>
        <v>512</v>
      </c>
    </row>
    <row r="2170" spans="2:7" ht="15" hidden="1" x14ac:dyDescent="0.25">
      <c r="B2170" s="4">
        <v>584633312</v>
      </c>
      <c r="C2170" s="4" t="s">
        <v>269</v>
      </c>
      <c r="D2170" s="4">
        <v>1583</v>
      </c>
      <c r="E2170" s="4">
        <v>57</v>
      </c>
      <c r="G2170">
        <f t="shared" si="33"/>
        <v>512</v>
      </c>
    </row>
    <row r="2171" spans="2:7" ht="15" hidden="1" x14ac:dyDescent="0.25">
      <c r="B2171" s="4">
        <v>584633313</v>
      </c>
      <c r="C2171" s="4" t="s">
        <v>269</v>
      </c>
      <c r="D2171" s="4">
        <v>1584</v>
      </c>
      <c r="E2171" s="4">
        <v>57</v>
      </c>
      <c r="G2171">
        <f t="shared" si="33"/>
        <v>512</v>
      </c>
    </row>
    <row r="2172" spans="2:7" ht="15" hidden="1" x14ac:dyDescent="0.25">
      <c r="B2172" s="4">
        <v>584633314</v>
      </c>
      <c r="C2172" s="4" t="s">
        <v>269</v>
      </c>
      <c r="D2172" s="4">
        <v>1585</v>
      </c>
      <c r="E2172" s="4">
        <v>57</v>
      </c>
      <c r="G2172">
        <f t="shared" si="33"/>
        <v>512</v>
      </c>
    </row>
    <row r="2173" spans="2:7" ht="15" hidden="1" x14ac:dyDescent="0.25">
      <c r="B2173" s="4">
        <v>584633315</v>
      </c>
      <c r="C2173" s="4" t="s">
        <v>269</v>
      </c>
      <c r="D2173" s="4">
        <v>1586</v>
      </c>
      <c r="E2173" s="4">
        <v>57</v>
      </c>
      <c r="G2173">
        <f t="shared" si="33"/>
        <v>512</v>
      </c>
    </row>
    <row r="2174" spans="2:7" ht="15" hidden="1" x14ac:dyDescent="0.25">
      <c r="B2174" s="4">
        <v>584633316</v>
      </c>
      <c r="C2174" s="4" t="s">
        <v>269</v>
      </c>
      <c r="D2174" s="4">
        <v>1587</v>
      </c>
      <c r="E2174" s="4">
        <v>57</v>
      </c>
      <c r="G2174">
        <f t="shared" si="33"/>
        <v>512</v>
      </c>
    </row>
    <row r="2175" spans="2:7" ht="15" hidden="1" x14ac:dyDescent="0.25">
      <c r="B2175" s="4">
        <v>584633317</v>
      </c>
      <c r="C2175" s="4" t="s">
        <v>269</v>
      </c>
      <c r="D2175" s="4">
        <v>1588</v>
      </c>
      <c r="E2175" s="4">
        <v>57</v>
      </c>
      <c r="G2175">
        <f t="shared" si="33"/>
        <v>512</v>
      </c>
    </row>
    <row r="2176" spans="2:7" ht="15" hidden="1" x14ac:dyDescent="0.25">
      <c r="B2176" s="4">
        <v>584633318</v>
      </c>
      <c r="C2176" s="4" t="s">
        <v>269</v>
      </c>
      <c r="D2176" s="4">
        <v>1589</v>
      </c>
      <c r="E2176" s="4">
        <v>57</v>
      </c>
      <c r="G2176">
        <f t="shared" si="33"/>
        <v>512</v>
      </c>
    </row>
    <row r="2177" spans="2:7" ht="15" hidden="1" x14ac:dyDescent="0.25">
      <c r="B2177" s="4">
        <v>584633318</v>
      </c>
      <c r="C2177" s="4" t="s">
        <v>272</v>
      </c>
      <c r="D2177" s="4">
        <v>147</v>
      </c>
      <c r="E2177" s="4">
        <v>209</v>
      </c>
      <c r="G2177">
        <f t="shared" si="33"/>
        <v>1728</v>
      </c>
    </row>
    <row r="2178" spans="2:7" ht="15" hidden="1" x14ac:dyDescent="0.25">
      <c r="B2178" s="4">
        <v>584633319</v>
      </c>
      <c r="C2178" s="4" t="s">
        <v>269</v>
      </c>
      <c r="D2178" s="4">
        <v>1590</v>
      </c>
      <c r="E2178" s="4">
        <v>57</v>
      </c>
      <c r="G2178">
        <f t="shared" si="33"/>
        <v>512</v>
      </c>
    </row>
    <row r="2179" spans="2:7" ht="15" hidden="1" x14ac:dyDescent="0.25">
      <c r="B2179" s="4">
        <v>584633320</v>
      </c>
      <c r="C2179" s="4" t="s">
        <v>269</v>
      </c>
      <c r="D2179" s="4">
        <v>1591</v>
      </c>
      <c r="E2179" s="4">
        <v>57</v>
      </c>
      <c r="G2179">
        <f t="shared" si="33"/>
        <v>512</v>
      </c>
    </row>
    <row r="2180" spans="2:7" ht="15" hidden="1" x14ac:dyDescent="0.25">
      <c r="B2180" s="4">
        <v>584633321</v>
      </c>
      <c r="C2180" s="4" t="s">
        <v>269</v>
      </c>
      <c r="D2180" s="4">
        <v>1592</v>
      </c>
      <c r="E2180" s="4">
        <v>57</v>
      </c>
      <c r="G2180">
        <f t="shared" ref="G2180:G2243" si="34">(E2180+7)*8</f>
        <v>512</v>
      </c>
    </row>
    <row r="2181" spans="2:7" ht="15" hidden="1" x14ac:dyDescent="0.25">
      <c r="B2181" s="4">
        <v>584633322</v>
      </c>
      <c r="C2181" s="4" t="s">
        <v>269</v>
      </c>
      <c r="D2181" s="4">
        <v>1593</v>
      </c>
      <c r="E2181" s="4">
        <v>57</v>
      </c>
      <c r="G2181">
        <f t="shared" si="34"/>
        <v>512</v>
      </c>
    </row>
    <row r="2182" spans="2:7" ht="15" hidden="1" x14ac:dyDescent="0.25">
      <c r="B2182" s="4">
        <v>584633323</v>
      </c>
      <c r="C2182" s="4" t="s">
        <v>269</v>
      </c>
      <c r="D2182" s="4">
        <v>1594</v>
      </c>
      <c r="E2182" s="4">
        <v>57</v>
      </c>
      <c r="G2182">
        <f t="shared" si="34"/>
        <v>512</v>
      </c>
    </row>
    <row r="2183" spans="2:7" ht="15" hidden="1" x14ac:dyDescent="0.25">
      <c r="B2183" s="4">
        <v>584633324</v>
      </c>
      <c r="C2183" s="4" t="s">
        <v>269</v>
      </c>
      <c r="D2183" s="4">
        <v>1595</v>
      </c>
      <c r="E2183" s="4">
        <v>57</v>
      </c>
      <c r="G2183">
        <f t="shared" si="34"/>
        <v>512</v>
      </c>
    </row>
    <row r="2184" spans="2:7" ht="15" hidden="1" x14ac:dyDescent="0.25">
      <c r="B2184" s="4">
        <v>584633325</v>
      </c>
      <c r="C2184" s="4" t="s">
        <v>269</v>
      </c>
      <c r="D2184" s="4">
        <v>1596</v>
      </c>
      <c r="E2184" s="4">
        <v>57</v>
      </c>
      <c r="G2184">
        <f t="shared" si="34"/>
        <v>512</v>
      </c>
    </row>
    <row r="2185" spans="2:7" ht="15" hidden="1" x14ac:dyDescent="0.25">
      <c r="B2185" s="4">
        <v>584633326</v>
      </c>
      <c r="C2185" s="4" t="s">
        <v>269</v>
      </c>
      <c r="D2185" s="4">
        <v>1597</v>
      </c>
      <c r="E2185" s="4">
        <v>57</v>
      </c>
      <c r="G2185">
        <f t="shared" si="34"/>
        <v>512</v>
      </c>
    </row>
    <row r="2186" spans="2:7" ht="15" hidden="1" x14ac:dyDescent="0.25">
      <c r="B2186" s="4">
        <v>584633327</v>
      </c>
      <c r="C2186" s="4" t="s">
        <v>269</v>
      </c>
      <c r="D2186" s="4">
        <v>1598</v>
      </c>
      <c r="E2186" s="4">
        <v>57</v>
      </c>
      <c r="G2186">
        <f t="shared" si="34"/>
        <v>512</v>
      </c>
    </row>
    <row r="2187" spans="2:7" ht="15" hidden="1" x14ac:dyDescent="0.25">
      <c r="B2187" s="4">
        <v>584633328</v>
      </c>
      <c r="C2187" s="4" t="s">
        <v>269</v>
      </c>
      <c r="D2187" s="4">
        <v>1599</v>
      </c>
      <c r="E2187" s="4">
        <v>57</v>
      </c>
      <c r="G2187">
        <f t="shared" si="34"/>
        <v>512</v>
      </c>
    </row>
    <row r="2188" spans="2:7" ht="15" hidden="1" x14ac:dyDescent="0.25">
      <c r="B2188" s="4">
        <v>584633328</v>
      </c>
      <c r="C2188" s="4" t="s">
        <v>272</v>
      </c>
      <c r="D2188" s="4">
        <v>148</v>
      </c>
      <c r="E2188" s="4">
        <v>215</v>
      </c>
      <c r="G2188">
        <f t="shared" si="34"/>
        <v>1776</v>
      </c>
    </row>
    <row r="2189" spans="2:7" ht="15" hidden="1" x14ac:dyDescent="0.25">
      <c r="B2189" s="4">
        <v>584633329</v>
      </c>
      <c r="C2189" s="4" t="s">
        <v>269</v>
      </c>
      <c r="D2189" s="4">
        <v>1600</v>
      </c>
      <c r="E2189" s="4">
        <v>57</v>
      </c>
      <c r="G2189">
        <f t="shared" si="34"/>
        <v>512</v>
      </c>
    </row>
    <row r="2190" spans="2:7" ht="15" hidden="1" x14ac:dyDescent="0.25">
      <c r="B2190" s="4">
        <v>584633330</v>
      </c>
      <c r="C2190" s="4" t="s">
        <v>269</v>
      </c>
      <c r="D2190" s="4">
        <v>1601</v>
      </c>
      <c r="E2190" s="4">
        <v>57</v>
      </c>
      <c r="G2190">
        <f t="shared" si="34"/>
        <v>512</v>
      </c>
    </row>
    <row r="2191" spans="2:7" ht="15" hidden="1" x14ac:dyDescent="0.25">
      <c r="B2191" s="4">
        <v>584633331</v>
      </c>
      <c r="C2191" s="4" t="s">
        <v>269</v>
      </c>
      <c r="D2191" s="4">
        <v>1602</v>
      </c>
      <c r="E2191" s="4">
        <v>57</v>
      </c>
      <c r="G2191">
        <f t="shared" si="34"/>
        <v>512</v>
      </c>
    </row>
    <row r="2192" spans="2:7" ht="15" hidden="1" x14ac:dyDescent="0.25">
      <c r="B2192" s="4">
        <v>584633332</v>
      </c>
      <c r="C2192" s="4" t="s">
        <v>269</v>
      </c>
      <c r="D2192" s="4">
        <v>1603</v>
      </c>
      <c r="E2192" s="4">
        <v>57</v>
      </c>
      <c r="G2192">
        <f t="shared" si="34"/>
        <v>512</v>
      </c>
    </row>
    <row r="2193" spans="2:7" ht="15" hidden="1" x14ac:dyDescent="0.25">
      <c r="B2193" s="4">
        <v>584633333</v>
      </c>
      <c r="C2193" s="4" t="s">
        <v>269</v>
      </c>
      <c r="D2193" s="4">
        <v>1604</v>
      </c>
      <c r="E2193" s="4">
        <v>57</v>
      </c>
      <c r="G2193">
        <f t="shared" si="34"/>
        <v>512</v>
      </c>
    </row>
    <row r="2194" spans="2:7" ht="15" hidden="1" x14ac:dyDescent="0.25">
      <c r="B2194" s="4">
        <v>584633334</v>
      </c>
      <c r="C2194" s="4" t="s">
        <v>269</v>
      </c>
      <c r="D2194" s="4">
        <v>1605</v>
      </c>
      <c r="E2194" s="4">
        <v>57</v>
      </c>
      <c r="G2194">
        <f t="shared" si="34"/>
        <v>512</v>
      </c>
    </row>
    <row r="2195" spans="2:7" ht="15" hidden="1" x14ac:dyDescent="0.25">
      <c r="B2195" s="4">
        <v>584633335</v>
      </c>
      <c r="C2195" s="4" t="s">
        <v>269</v>
      </c>
      <c r="D2195" s="4">
        <v>1606</v>
      </c>
      <c r="E2195" s="4">
        <v>57</v>
      </c>
      <c r="G2195">
        <f t="shared" si="34"/>
        <v>512</v>
      </c>
    </row>
    <row r="2196" spans="2:7" ht="15" hidden="1" x14ac:dyDescent="0.25">
      <c r="B2196" s="4">
        <v>584633336</v>
      </c>
      <c r="C2196" s="4" t="s">
        <v>269</v>
      </c>
      <c r="D2196" s="4">
        <v>1607</v>
      </c>
      <c r="E2196" s="4">
        <v>57</v>
      </c>
      <c r="G2196">
        <f t="shared" si="34"/>
        <v>512</v>
      </c>
    </row>
    <row r="2197" spans="2:7" ht="15" hidden="1" x14ac:dyDescent="0.25">
      <c r="B2197" s="4">
        <v>584633337</v>
      </c>
      <c r="C2197" s="4" t="s">
        <v>269</v>
      </c>
      <c r="D2197" s="4">
        <v>1608</v>
      </c>
      <c r="E2197" s="4">
        <v>57</v>
      </c>
      <c r="G2197">
        <f t="shared" si="34"/>
        <v>512</v>
      </c>
    </row>
    <row r="2198" spans="2:7" ht="15" hidden="1" x14ac:dyDescent="0.25">
      <c r="B2198" s="4">
        <v>584633338</v>
      </c>
      <c r="C2198" s="4" t="s">
        <v>269</v>
      </c>
      <c r="D2198" s="4">
        <v>1609</v>
      </c>
      <c r="E2198" s="4">
        <v>57</v>
      </c>
      <c r="G2198">
        <f t="shared" si="34"/>
        <v>512</v>
      </c>
    </row>
    <row r="2199" spans="2:7" ht="15" hidden="1" x14ac:dyDescent="0.25">
      <c r="B2199" s="4">
        <v>584633338</v>
      </c>
      <c r="C2199" s="4" t="s">
        <v>272</v>
      </c>
      <c r="D2199" s="4">
        <v>149</v>
      </c>
      <c r="E2199" s="4">
        <v>211</v>
      </c>
      <c r="G2199">
        <f t="shared" si="34"/>
        <v>1744</v>
      </c>
    </row>
    <row r="2200" spans="2:7" ht="15" hidden="1" x14ac:dyDescent="0.25">
      <c r="B2200" s="4">
        <v>584633339</v>
      </c>
      <c r="C2200" s="4" t="s">
        <v>269</v>
      </c>
      <c r="D2200" s="4">
        <v>1610</v>
      </c>
      <c r="E2200" s="4">
        <v>57</v>
      </c>
      <c r="G2200">
        <f t="shared" si="34"/>
        <v>512</v>
      </c>
    </row>
    <row r="2201" spans="2:7" ht="15" hidden="1" x14ac:dyDescent="0.25">
      <c r="B2201" s="4">
        <v>584633340</v>
      </c>
      <c r="C2201" s="4" t="s">
        <v>269</v>
      </c>
      <c r="D2201" s="4">
        <v>1611</v>
      </c>
      <c r="E2201" s="4">
        <v>57</v>
      </c>
      <c r="G2201">
        <f t="shared" si="34"/>
        <v>512</v>
      </c>
    </row>
    <row r="2202" spans="2:7" ht="15" hidden="1" x14ac:dyDescent="0.25">
      <c r="B2202" s="4">
        <v>584633341</v>
      </c>
      <c r="C2202" s="4" t="s">
        <v>269</v>
      </c>
      <c r="D2202" s="4">
        <v>1612</v>
      </c>
      <c r="E2202" s="4">
        <v>57</v>
      </c>
      <c r="G2202">
        <f t="shared" si="34"/>
        <v>512</v>
      </c>
    </row>
    <row r="2203" spans="2:7" ht="15" hidden="1" x14ac:dyDescent="0.25">
      <c r="B2203" s="4">
        <v>584633342</v>
      </c>
      <c r="C2203" s="4" t="s">
        <v>268</v>
      </c>
      <c r="D2203" s="4">
        <v>290</v>
      </c>
      <c r="E2203" s="4">
        <v>9</v>
      </c>
      <c r="G2203">
        <f t="shared" si="34"/>
        <v>128</v>
      </c>
    </row>
    <row r="2204" spans="2:7" ht="15" hidden="1" x14ac:dyDescent="0.25">
      <c r="B2204" s="4">
        <v>584633342</v>
      </c>
      <c r="C2204" s="4" t="s">
        <v>268</v>
      </c>
      <c r="D2204" s="4">
        <v>290</v>
      </c>
      <c r="E2204" s="4">
        <v>9</v>
      </c>
      <c r="G2204">
        <f t="shared" si="34"/>
        <v>128</v>
      </c>
    </row>
    <row r="2205" spans="2:7" ht="15" hidden="1" x14ac:dyDescent="0.25">
      <c r="B2205" s="4">
        <v>584633342</v>
      </c>
      <c r="C2205" s="4" t="s">
        <v>268</v>
      </c>
      <c r="D2205" s="4">
        <v>291</v>
      </c>
      <c r="E2205" s="4">
        <v>7</v>
      </c>
      <c r="G2205">
        <f t="shared" si="34"/>
        <v>112</v>
      </c>
    </row>
    <row r="2206" spans="2:7" ht="15" hidden="1" x14ac:dyDescent="0.25">
      <c r="B2206" s="4">
        <v>584633342</v>
      </c>
      <c r="C2206" s="4" t="s">
        <v>268</v>
      </c>
      <c r="D2206" s="4">
        <v>291</v>
      </c>
      <c r="E2206" s="4">
        <v>7</v>
      </c>
      <c r="G2206">
        <f t="shared" si="34"/>
        <v>112</v>
      </c>
    </row>
    <row r="2207" spans="2:7" ht="15" hidden="1" x14ac:dyDescent="0.25">
      <c r="B2207" s="4">
        <v>584633342</v>
      </c>
      <c r="C2207" s="4" t="s">
        <v>269</v>
      </c>
      <c r="D2207" s="4">
        <v>1613</v>
      </c>
      <c r="E2207" s="4">
        <v>57</v>
      </c>
      <c r="G2207">
        <f t="shared" si="34"/>
        <v>512</v>
      </c>
    </row>
    <row r="2208" spans="2:7" ht="15" hidden="1" x14ac:dyDescent="0.25">
      <c r="B2208" s="4">
        <v>584633343</v>
      </c>
      <c r="C2208" s="4" t="s">
        <v>268</v>
      </c>
      <c r="D2208" s="4">
        <v>292</v>
      </c>
      <c r="E2208" s="4">
        <v>9</v>
      </c>
      <c r="G2208">
        <f t="shared" si="34"/>
        <v>128</v>
      </c>
    </row>
    <row r="2209" spans="1:7" ht="15" hidden="1" x14ac:dyDescent="0.25">
      <c r="B2209" s="4">
        <v>584633343</v>
      </c>
      <c r="C2209" s="4" t="s">
        <v>268</v>
      </c>
      <c r="D2209" s="4">
        <v>292</v>
      </c>
      <c r="E2209" s="4">
        <v>9</v>
      </c>
      <c r="G2209">
        <f t="shared" si="34"/>
        <v>128</v>
      </c>
    </row>
    <row r="2210" spans="1:7" ht="15" hidden="1" x14ac:dyDescent="0.25">
      <c r="B2210" s="4">
        <v>584633343</v>
      </c>
      <c r="C2210" s="4" t="s">
        <v>268</v>
      </c>
      <c r="D2210" s="4">
        <v>293</v>
      </c>
      <c r="E2210" s="4">
        <v>7</v>
      </c>
      <c r="G2210">
        <f t="shared" si="34"/>
        <v>112</v>
      </c>
    </row>
    <row r="2211" spans="1:7" ht="15" hidden="1" x14ac:dyDescent="0.25">
      <c r="B2211" s="4">
        <v>584633343</v>
      </c>
      <c r="C2211" s="4" t="s">
        <v>268</v>
      </c>
      <c r="D2211" s="4">
        <v>293</v>
      </c>
      <c r="E2211" s="4">
        <v>7</v>
      </c>
      <c r="G2211">
        <f t="shared" si="34"/>
        <v>112</v>
      </c>
    </row>
    <row r="2212" spans="1:7" ht="15" hidden="1" x14ac:dyDescent="0.25">
      <c r="B2212" s="4">
        <v>584633343</v>
      </c>
      <c r="C2212" s="4" t="s">
        <v>269</v>
      </c>
      <c r="D2212" s="4">
        <v>1614</v>
      </c>
      <c r="E2212" s="4">
        <v>57</v>
      </c>
      <c r="G2212">
        <f t="shared" si="34"/>
        <v>512</v>
      </c>
    </row>
    <row r="2213" spans="1:7" ht="15" hidden="1" x14ac:dyDescent="0.25">
      <c r="B2213" s="4">
        <v>584633344</v>
      </c>
      <c r="C2213" s="4" t="s">
        <v>268</v>
      </c>
      <c r="D2213" s="4">
        <v>294</v>
      </c>
      <c r="E2213" s="4">
        <v>9</v>
      </c>
      <c r="G2213">
        <f t="shared" si="34"/>
        <v>128</v>
      </c>
    </row>
    <row r="2214" spans="1:7" ht="15" hidden="1" x14ac:dyDescent="0.25">
      <c r="B2214" s="4">
        <v>584633344</v>
      </c>
      <c r="C2214" s="4" t="s">
        <v>268</v>
      </c>
      <c r="D2214" s="4">
        <v>294</v>
      </c>
      <c r="E2214" s="4">
        <v>9</v>
      </c>
      <c r="G2214">
        <f t="shared" si="34"/>
        <v>128</v>
      </c>
    </row>
    <row r="2215" spans="1:7" ht="15" hidden="1" x14ac:dyDescent="0.25">
      <c r="B2215" s="4">
        <v>584633344</v>
      </c>
      <c r="C2215" s="4" t="s">
        <v>268</v>
      </c>
      <c r="D2215" s="4">
        <v>295</v>
      </c>
      <c r="E2215" s="4">
        <v>7</v>
      </c>
      <c r="G2215">
        <f t="shared" si="34"/>
        <v>112</v>
      </c>
    </row>
    <row r="2216" spans="1:7" ht="15" hidden="1" x14ac:dyDescent="0.25">
      <c r="B2216" s="4">
        <v>584633344</v>
      </c>
      <c r="C2216" s="4" t="s">
        <v>268</v>
      </c>
      <c r="D2216" s="4">
        <v>295</v>
      </c>
      <c r="E2216" s="4">
        <v>7</v>
      </c>
      <c r="G2216">
        <f t="shared" si="34"/>
        <v>112</v>
      </c>
    </row>
    <row r="2217" spans="1:7" ht="15" hidden="1" x14ac:dyDescent="0.25">
      <c r="B2217" s="4">
        <v>584633344</v>
      </c>
      <c r="C2217" s="4" t="s">
        <v>269</v>
      </c>
      <c r="D2217" s="4">
        <v>1615</v>
      </c>
      <c r="E2217" s="4">
        <v>57</v>
      </c>
      <c r="G2217">
        <f t="shared" si="34"/>
        <v>512</v>
      </c>
    </row>
    <row r="2218" spans="1:7" ht="15" hidden="1" x14ac:dyDescent="0.25">
      <c r="B2218" s="4">
        <v>584633345</v>
      </c>
      <c r="C2218" s="4" t="s">
        <v>268</v>
      </c>
      <c r="D2218" s="4">
        <v>296</v>
      </c>
      <c r="E2218" s="4">
        <v>7</v>
      </c>
      <c r="G2218">
        <f t="shared" si="34"/>
        <v>112</v>
      </c>
    </row>
    <row r="2219" spans="1:7" ht="15" hidden="1" x14ac:dyDescent="0.25">
      <c r="B2219" s="4">
        <v>584633345</v>
      </c>
      <c r="C2219" s="4" t="s">
        <v>268</v>
      </c>
      <c r="D2219" s="4">
        <v>296</v>
      </c>
      <c r="E2219" s="4">
        <v>7</v>
      </c>
      <c r="G2219">
        <f t="shared" si="34"/>
        <v>112</v>
      </c>
    </row>
    <row r="2220" spans="1:7" ht="15" hidden="1" x14ac:dyDescent="0.25">
      <c r="B2220" s="4">
        <v>584633345</v>
      </c>
      <c r="C2220" s="4" t="s">
        <v>268</v>
      </c>
      <c r="D2220" s="4">
        <v>297</v>
      </c>
      <c r="E2220" s="4">
        <v>5</v>
      </c>
      <c r="G2220">
        <f t="shared" si="34"/>
        <v>96</v>
      </c>
    </row>
    <row r="2221" spans="1:7" ht="15" hidden="1" x14ac:dyDescent="0.25">
      <c r="B2221" s="4">
        <v>584633345</v>
      </c>
      <c r="C2221" s="4" t="s">
        <v>268</v>
      </c>
      <c r="D2221" s="4">
        <v>297</v>
      </c>
      <c r="E2221" s="4">
        <v>5</v>
      </c>
      <c r="G2221">
        <f t="shared" si="34"/>
        <v>96</v>
      </c>
    </row>
    <row r="2222" spans="1:7" ht="15" x14ac:dyDescent="0.25">
      <c r="A2222">
        <f>B2222-B2012</f>
        <v>165</v>
      </c>
      <c r="B2222" s="4">
        <v>584633348</v>
      </c>
      <c r="C2222" s="4" t="s">
        <v>270</v>
      </c>
      <c r="D2222" s="4">
        <v>5</v>
      </c>
      <c r="E2222" s="4">
        <v>1100</v>
      </c>
      <c r="G2222">
        <f t="shared" si="34"/>
        <v>8856</v>
      </c>
    </row>
    <row r="2223" spans="1:7" ht="15" x14ac:dyDescent="0.25">
      <c r="A2223">
        <f>B2223-B2013</f>
        <v>164</v>
      </c>
      <c r="B2223" s="4">
        <v>584633348</v>
      </c>
      <c r="C2223" s="4" t="s">
        <v>271</v>
      </c>
      <c r="D2223" s="4">
        <v>5</v>
      </c>
      <c r="E2223" s="4">
        <v>1100</v>
      </c>
      <c r="G2223">
        <f t="shared" si="34"/>
        <v>8856</v>
      </c>
    </row>
    <row r="2224" spans="1:7" ht="15" hidden="1" x14ac:dyDescent="0.25">
      <c r="B2224" s="4">
        <v>584633349</v>
      </c>
      <c r="C2224" s="4" t="s">
        <v>272</v>
      </c>
      <c r="D2224" s="4">
        <v>150</v>
      </c>
      <c r="E2224" s="4">
        <v>213</v>
      </c>
      <c r="G2224">
        <f t="shared" si="34"/>
        <v>1760</v>
      </c>
    </row>
    <row r="2225" spans="2:7" ht="15" hidden="1" x14ac:dyDescent="0.25">
      <c r="B2225" s="4">
        <v>584633566</v>
      </c>
      <c r="C2225" s="4" t="s">
        <v>268</v>
      </c>
      <c r="D2225" s="4">
        <v>298</v>
      </c>
      <c r="E2225" s="4">
        <v>9</v>
      </c>
      <c r="G2225">
        <f t="shared" si="34"/>
        <v>128</v>
      </c>
    </row>
    <row r="2226" spans="2:7" ht="15" hidden="1" x14ac:dyDescent="0.25">
      <c r="B2226" s="4">
        <v>584633566</v>
      </c>
      <c r="C2226" s="4" t="s">
        <v>268</v>
      </c>
      <c r="D2226" s="4">
        <v>298</v>
      </c>
      <c r="E2226" s="4">
        <v>9</v>
      </c>
      <c r="G2226">
        <f t="shared" si="34"/>
        <v>128</v>
      </c>
    </row>
    <row r="2227" spans="2:7" ht="15" hidden="1" x14ac:dyDescent="0.25">
      <c r="B2227" s="4">
        <v>584633569</v>
      </c>
      <c r="C2227" s="4" t="s">
        <v>268</v>
      </c>
      <c r="D2227" s="4">
        <v>299</v>
      </c>
      <c r="E2227" s="4">
        <v>9</v>
      </c>
      <c r="G2227">
        <f t="shared" si="34"/>
        <v>128</v>
      </c>
    </row>
    <row r="2228" spans="2:7" ht="15" hidden="1" x14ac:dyDescent="0.25">
      <c r="B2228" s="4">
        <v>584633569</v>
      </c>
      <c r="C2228" s="4" t="s">
        <v>268</v>
      </c>
      <c r="D2228" s="4">
        <v>299</v>
      </c>
      <c r="E2228" s="4">
        <v>9</v>
      </c>
      <c r="G2228">
        <f t="shared" si="34"/>
        <v>128</v>
      </c>
    </row>
    <row r="2229" spans="2:7" ht="15" hidden="1" x14ac:dyDescent="0.25">
      <c r="B2229" s="4">
        <v>584633572</v>
      </c>
      <c r="C2229" s="4" t="s">
        <v>268</v>
      </c>
      <c r="D2229" s="4">
        <v>300</v>
      </c>
      <c r="E2229" s="4">
        <v>9</v>
      </c>
      <c r="G2229">
        <f t="shared" si="34"/>
        <v>128</v>
      </c>
    </row>
    <row r="2230" spans="2:7" ht="15" hidden="1" x14ac:dyDescent="0.25">
      <c r="B2230" s="4">
        <v>584633572</v>
      </c>
      <c r="C2230" s="4" t="s">
        <v>268</v>
      </c>
      <c r="D2230" s="4">
        <v>300</v>
      </c>
      <c r="E2230" s="4">
        <v>9</v>
      </c>
      <c r="G2230">
        <f t="shared" si="34"/>
        <v>128</v>
      </c>
    </row>
    <row r="2231" spans="2:7" ht="15" hidden="1" x14ac:dyDescent="0.25">
      <c r="B2231" s="4">
        <v>584633575</v>
      </c>
      <c r="C2231" s="4" t="s">
        <v>268</v>
      </c>
      <c r="D2231" s="4">
        <v>301</v>
      </c>
      <c r="E2231" s="4">
        <v>7</v>
      </c>
      <c r="G2231">
        <f t="shared" si="34"/>
        <v>112</v>
      </c>
    </row>
    <row r="2232" spans="2:7" ht="15" hidden="1" x14ac:dyDescent="0.25">
      <c r="B2232" s="4">
        <v>584633575</v>
      </c>
      <c r="C2232" s="4" t="s">
        <v>268</v>
      </c>
      <c r="D2232" s="4">
        <v>301</v>
      </c>
      <c r="E2232" s="4">
        <v>7</v>
      </c>
      <c r="G2232">
        <f t="shared" si="34"/>
        <v>112</v>
      </c>
    </row>
    <row r="2233" spans="2:7" ht="15" hidden="1" x14ac:dyDescent="0.25">
      <c r="B2233" s="4">
        <v>584634176</v>
      </c>
      <c r="C2233" s="4" t="s">
        <v>268</v>
      </c>
      <c r="D2233" s="4">
        <v>302</v>
      </c>
      <c r="E2233" s="4">
        <v>6</v>
      </c>
      <c r="G2233">
        <f t="shared" si="34"/>
        <v>104</v>
      </c>
    </row>
    <row r="2234" spans="2:7" ht="15" hidden="1" x14ac:dyDescent="0.25">
      <c r="B2234" s="4">
        <v>584634176</v>
      </c>
      <c r="C2234" s="4" t="s">
        <v>268</v>
      </c>
      <c r="D2234" s="4">
        <v>302</v>
      </c>
      <c r="E2234" s="4">
        <v>6</v>
      </c>
      <c r="G2234">
        <f t="shared" si="34"/>
        <v>104</v>
      </c>
    </row>
    <row r="2235" spans="2:7" ht="15" hidden="1" x14ac:dyDescent="0.25">
      <c r="B2235" s="4">
        <v>584634176</v>
      </c>
      <c r="C2235" s="4" t="s">
        <v>268</v>
      </c>
      <c r="D2235" s="4">
        <v>303</v>
      </c>
      <c r="E2235" s="4">
        <v>13</v>
      </c>
      <c r="G2235">
        <f t="shared" si="34"/>
        <v>160</v>
      </c>
    </row>
    <row r="2236" spans="2:7" ht="15" hidden="1" x14ac:dyDescent="0.25">
      <c r="B2236" s="4">
        <v>584634176</v>
      </c>
      <c r="C2236" s="4" t="s">
        <v>268</v>
      </c>
      <c r="D2236" s="4">
        <v>303</v>
      </c>
      <c r="E2236" s="4">
        <v>13</v>
      </c>
      <c r="G2236">
        <f t="shared" si="34"/>
        <v>160</v>
      </c>
    </row>
    <row r="2237" spans="2:7" ht="15" hidden="1" x14ac:dyDescent="0.25">
      <c r="B2237" s="4">
        <v>584634176</v>
      </c>
      <c r="C2237" s="4" t="s">
        <v>268</v>
      </c>
      <c r="D2237" s="4">
        <v>304</v>
      </c>
      <c r="E2237" s="4">
        <v>13</v>
      </c>
      <c r="G2237">
        <f t="shared" si="34"/>
        <v>160</v>
      </c>
    </row>
    <row r="2238" spans="2:7" ht="15" hidden="1" x14ac:dyDescent="0.25">
      <c r="B2238" s="4">
        <v>584634176</v>
      </c>
      <c r="C2238" s="4" t="s">
        <v>268</v>
      </c>
      <c r="D2238" s="4">
        <v>304</v>
      </c>
      <c r="E2238" s="4">
        <v>13</v>
      </c>
      <c r="G2238">
        <f t="shared" si="34"/>
        <v>160</v>
      </c>
    </row>
    <row r="2239" spans="2:7" ht="15" hidden="1" x14ac:dyDescent="0.25">
      <c r="B2239" s="4">
        <v>584634176</v>
      </c>
      <c r="C2239" s="4" t="s">
        <v>268</v>
      </c>
      <c r="D2239" s="4">
        <v>305</v>
      </c>
      <c r="E2239" s="4">
        <v>13</v>
      </c>
      <c r="G2239">
        <f t="shared" si="34"/>
        <v>160</v>
      </c>
    </row>
    <row r="2240" spans="2:7" ht="15" hidden="1" x14ac:dyDescent="0.25">
      <c r="B2240" s="4">
        <v>584634176</v>
      </c>
      <c r="C2240" s="4" t="s">
        <v>268</v>
      </c>
      <c r="D2240" s="4">
        <v>305</v>
      </c>
      <c r="E2240" s="4">
        <v>13</v>
      </c>
      <c r="G2240">
        <f t="shared" si="34"/>
        <v>160</v>
      </c>
    </row>
    <row r="2241" spans="2:7" ht="15" hidden="1" x14ac:dyDescent="0.25">
      <c r="B2241" s="4">
        <v>584634176</v>
      </c>
      <c r="C2241" s="4" t="s">
        <v>268</v>
      </c>
      <c r="D2241" s="4">
        <v>306</v>
      </c>
      <c r="E2241" s="4">
        <v>13</v>
      </c>
      <c r="G2241">
        <f t="shared" si="34"/>
        <v>160</v>
      </c>
    </row>
    <row r="2242" spans="2:7" ht="15" hidden="1" x14ac:dyDescent="0.25">
      <c r="B2242" s="4">
        <v>584634176</v>
      </c>
      <c r="C2242" s="4" t="s">
        <v>268</v>
      </c>
      <c r="D2242" s="4">
        <v>306</v>
      </c>
      <c r="E2242" s="4">
        <v>13</v>
      </c>
      <c r="G2242">
        <f t="shared" si="34"/>
        <v>160</v>
      </c>
    </row>
    <row r="2243" spans="2:7" ht="15" hidden="1" x14ac:dyDescent="0.25">
      <c r="B2243" s="4">
        <v>584634176</v>
      </c>
      <c r="C2243" s="4" t="s">
        <v>268</v>
      </c>
      <c r="D2243" s="4">
        <v>307</v>
      </c>
      <c r="E2243" s="4">
        <v>13</v>
      </c>
      <c r="G2243">
        <f t="shared" si="34"/>
        <v>160</v>
      </c>
    </row>
    <row r="2244" spans="2:7" ht="15" hidden="1" x14ac:dyDescent="0.25">
      <c r="B2244" s="4">
        <v>584634176</v>
      </c>
      <c r="C2244" s="4" t="s">
        <v>268</v>
      </c>
      <c r="D2244" s="4">
        <v>307</v>
      </c>
      <c r="E2244" s="4">
        <v>13</v>
      </c>
      <c r="G2244">
        <f t="shared" ref="G2244:G2307" si="35">(E2244+7)*8</f>
        <v>160</v>
      </c>
    </row>
    <row r="2245" spans="2:7" ht="15" hidden="1" x14ac:dyDescent="0.25">
      <c r="B2245" s="4">
        <v>584634176</v>
      </c>
      <c r="C2245" s="4" t="s">
        <v>268</v>
      </c>
      <c r="D2245" s="4">
        <v>308</v>
      </c>
      <c r="E2245" s="4">
        <v>13</v>
      </c>
      <c r="G2245">
        <f t="shared" si="35"/>
        <v>160</v>
      </c>
    </row>
    <row r="2246" spans="2:7" ht="15" hidden="1" x14ac:dyDescent="0.25">
      <c r="B2246" s="4">
        <v>584634176</v>
      </c>
      <c r="C2246" s="4" t="s">
        <v>268</v>
      </c>
      <c r="D2246" s="4">
        <v>308</v>
      </c>
      <c r="E2246" s="4">
        <v>13</v>
      </c>
      <c r="G2246">
        <f t="shared" si="35"/>
        <v>160</v>
      </c>
    </row>
    <row r="2247" spans="2:7" ht="15" hidden="1" x14ac:dyDescent="0.25">
      <c r="B2247" s="4">
        <v>584634176</v>
      </c>
      <c r="C2247" s="4" t="s">
        <v>268</v>
      </c>
      <c r="D2247" s="4">
        <v>309</v>
      </c>
      <c r="E2247" s="4">
        <v>13</v>
      </c>
      <c r="G2247">
        <f t="shared" si="35"/>
        <v>160</v>
      </c>
    </row>
    <row r="2248" spans="2:7" ht="15" hidden="1" x14ac:dyDescent="0.25">
      <c r="B2248" s="4">
        <v>584634176</v>
      </c>
      <c r="C2248" s="4" t="s">
        <v>268</v>
      </c>
      <c r="D2248" s="4">
        <v>309</v>
      </c>
      <c r="E2248" s="4">
        <v>13</v>
      </c>
      <c r="G2248">
        <f t="shared" si="35"/>
        <v>160</v>
      </c>
    </row>
    <row r="2249" spans="2:7" ht="15" hidden="1" x14ac:dyDescent="0.25">
      <c r="B2249" s="4">
        <v>584634176</v>
      </c>
      <c r="C2249" s="4" t="s">
        <v>268</v>
      </c>
      <c r="D2249" s="4">
        <v>310</v>
      </c>
      <c r="E2249" s="4">
        <v>13</v>
      </c>
      <c r="G2249">
        <f t="shared" si="35"/>
        <v>160</v>
      </c>
    </row>
    <row r="2250" spans="2:7" ht="15" hidden="1" x14ac:dyDescent="0.25">
      <c r="B2250" s="4">
        <v>584634176</v>
      </c>
      <c r="C2250" s="4" t="s">
        <v>268</v>
      </c>
      <c r="D2250" s="4">
        <v>310</v>
      </c>
      <c r="E2250" s="4">
        <v>13</v>
      </c>
      <c r="G2250">
        <f t="shared" si="35"/>
        <v>160</v>
      </c>
    </row>
    <row r="2251" spans="2:7" ht="15" hidden="1" x14ac:dyDescent="0.25">
      <c r="B2251" s="4">
        <v>584634176</v>
      </c>
      <c r="C2251" s="4" t="s">
        <v>268</v>
      </c>
      <c r="D2251" s="4">
        <v>311</v>
      </c>
      <c r="E2251" s="4">
        <v>13</v>
      </c>
      <c r="G2251">
        <f t="shared" si="35"/>
        <v>160</v>
      </c>
    </row>
    <row r="2252" spans="2:7" ht="15" hidden="1" x14ac:dyDescent="0.25">
      <c r="B2252" s="4">
        <v>584634176</v>
      </c>
      <c r="C2252" s="4" t="s">
        <v>268</v>
      </c>
      <c r="D2252" s="4">
        <v>311</v>
      </c>
      <c r="E2252" s="4">
        <v>13</v>
      </c>
      <c r="G2252">
        <f t="shared" si="35"/>
        <v>160</v>
      </c>
    </row>
    <row r="2253" spans="2:7" ht="15" hidden="1" x14ac:dyDescent="0.25">
      <c r="B2253" s="4">
        <v>584634176</v>
      </c>
      <c r="C2253" s="4" t="s">
        <v>268</v>
      </c>
      <c r="D2253" s="4">
        <v>312</v>
      </c>
      <c r="E2253" s="4">
        <v>13</v>
      </c>
      <c r="G2253">
        <f t="shared" si="35"/>
        <v>160</v>
      </c>
    </row>
    <row r="2254" spans="2:7" ht="15" hidden="1" x14ac:dyDescent="0.25">
      <c r="B2254" s="4">
        <v>584634176</v>
      </c>
      <c r="C2254" s="4" t="s">
        <v>268</v>
      </c>
      <c r="D2254" s="4">
        <v>312</v>
      </c>
      <c r="E2254" s="4">
        <v>13</v>
      </c>
      <c r="G2254">
        <f t="shared" si="35"/>
        <v>160</v>
      </c>
    </row>
    <row r="2255" spans="2:7" ht="15" hidden="1" x14ac:dyDescent="0.25">
      <c r="B2255" s="4">
        <v>584634176</v>
      </c>
      <c r="C2255" s="4" t="s">
        <v>268</v>
      </c>
      <c r="D2255" s="4">
        <v>313</v>
      </c>
      <c r="E2255" s="4">
        <v>13</v>
      </c>
      <c r="G2255">
        <f t="shared" si="35"/>
        <v>160</v>
      </c>
    </row>
    <row r="2256" spans="2:7" ht="15" hidden="1" x14ac:dyDescent="0.25">
      <c r="B2256" s="4">
        <v>584634176</v>
      </c>
      <c r="C2256" s="4" t="s">
        <v>268</v>
      </c>
      <c r="D2256" s="4">
        <v>313</v>
      </c>
      <c r="E2256" s="4">
        <v>13</v>
      </c>
      <c r="G2256">
        <f t="shared" si="35"/>
        <v>160</v>
      </c>
    </row>
    <row r="2257" spans="2:7" ht="15" hidden="1" x14ac:dyDescent="0.25">
      <c r="B2257" s="4">
        <v>584634176</v>
      </c>
      <c r="C2257" s="4" t="s">
        <v>268</v>
      </c>
      <c r="D2257" s="4">
        <v>314</v>
      </c>
      <c r="E2257" s="4">
        <v>13</v>
      </c>
      <c r="G2257">
        <f t="shared" si="35"/>
        <v>160</v>
      </c>
    </row>
    <row r="2258" spans="2:7" ht="15" hidden="1" x14ac:dyDescent="0.25">
      <c r="B2258" s="4">
        <v>584634176</v>
      </c>
      <c r="C2258" s="4" t="s">
        <v>268</v>
      </c>
      <c r="D2258" s="4">
        <v>314</v>
      </c>
      <c r="E2258" s="4">
        <v>13</v>
      </c>
      <c r="G2258">
        <f t="shared" si="35"/>
        <v>160</v>
      </c>
    </row>
    <row r="2259" spans="2:7" ht="15" hidden="1" x14ac:dyDescent="0.25">
      <c r="B2259" s="4">
        <v>584634176</v>
      </c>
      <c r="C2259" s="4" t="s">
        <v>268</v>
      </c>
      <c r="D2259" s="4">
        <v>315</v>
      </c>
      <c r="E2259" s="4">
        <v>7</v>
      </c>
      <c r="G2259">
        <f t="shared" si="35"/>
        <v>112</v>
      </c>
    </row>
    <row r="2260" spans="2:7" ht="15" hidden="1" x14ac:dyDescent="0.25">
      <c r="B2260" s="4">
        <v>584634176</v>
      </c>
      <c r="C2260" s="4" t="s">
        <v>268</v>
      </c>
      <c r="D2260" s="4">
        <v>315</v>
      </c>
      <c r="E2260" s="4">
        <v>7</v>
      </c>
      <c r="G2260">
        <f t="shared" si="35"/>
        <v>112</v>
      </c>
    </row>
    <row r="2261" spans="2:7" ht="15" hidden="1" x14ac:dyDescent="0.25">
      <c r="B2261" s="4">
        <v>584634236</v>
      </c>
      <c r="C2261" s="4" t="s">
        <v>268</v>
      </c>
      <c r="D2261" s="4">
        <v>316</v>
      </c>
      <c r="E2261" s="4">
        <v>13</v>
      </c>
      <c r="G2261">
        <f t="shared" si="35"/>
        <v>160</v>
      </c>
    </row>
    <row r="2262" spans="2:7" ht="15" hidden="1" x14ac:dyDescent="0.25">
      <c r="B2262" s="4">
        <v>584634236</v>
      </c>
      <c r="C2262" s="4" t="s">
        <v>268</v>
      </c>
      <c r="D2262" s="4">
        <v>316</v>
      </c>
      <c r="E2262" s="4">
        <v>13</v>
      </c>
      <c r="G2262">
        <f t="shared" si="35"/>
        <v>160</v>
      </c>
    </row>
    <row r="2263" spans="2:7" ht="15" hidden="1" x14ac:dyDescent="0.25">
      <c r="B2263" s="4">
        <v>584634236</v>
      </c>
      <c r="C2263" s="4" t="s">
        <v>268</v>
      </c>
      <c r="D2263" s="4">
        <v>317</v>
      </c>
      <c r="E2263" s="4">
        <v>7</v>
      </c>
      <c r="G2263">
        <f t="shared" si="35"/>
        <v>112</v>
      </c>
    </row>
    <row r="2264" spans="2:7" ht="15" hidden="1" x14ac:dyDescent="0.25">
      <c r="B2264" s="4">
        <v>584634236</v>
      </c>
      <c r="C2264" s="4" t="s">
        <v>268</v>
      </c>
      <c r="D2264" s="4">
        <v>317</v>
      </c>
      <c r="E2264" s="4">
        <v>7</v>
      </c>
      <c r="G2264">
        <f t="shared" si="35"/>
        <v>112</v>
      </c>
    </row>
    <row r="2265" spans="2:7" ht="15" hidden="1" x14ac:dyDescent="0.25">
      <c r="B2265" s="4">
        <v>584634596</v>
      </c>
      <c r="C2265" s="4" t="s">
        <v>268</v>
      </c>
      <c r="D2265" s="4">
        <v>318</v>
      </c>
      <c r="E2265" s="4">
        <v>7</v>
      </c>
      <c r="G2265">
        <f t="shared" si="35"/>
        <v>112</v>
      </c>
    </row>
    <row r="2266" spans="2:7" ht="15" hidden="1" x14ac:dyDescent="0.25">
      <c r="B2266" s="4">
        <v>584634596</v>
      </c>
      <c r="C2266" s="4" t="s">
        <v>268</v>
      </c>
      <c r="D2266" s="4">
        <v>318</v>
      </c>
      <c r="E2266" s="4">
        <v>7</v>
      </c>
      <c r="G2266">
        <f t="shared" si="35"/>
        <v>112</v>
      </c>
    </row>
    <row r="2267" spans="2:7" ht="15" hidden="1" x14ac:dyDescent="0.25">
      <c r="B2267" s="4">
        <v>584634596</v>
      </c>
      <c r="C2267" s="4" t="s">
        <v>268</v>
      </c>
      <c r="D2267" s="4">
        <v>319</v>
      </c>
      <c r="E2267" s="4">
        <v>13</v>
      </c>
      <c r="G2267">
        <f t="shared" si="35"/>
        <v>160</v>
      </c>
    </row>
    <row r="2268" spans="2:7" ht="15" hidden="1" x14ac:dyDescent="0.25">
      <c r="B2268" s="4">
        <v>584634596</v>
      </c>
      <c r="C2268" s="4" t="s">
        <v>268</v>
      </c>
      <c r="D2268" s="4">
        <v>319</v>
      </c>
      <c r="E2268" s="4">
        <v>13</v>
      </c>
      <c r="G2268">
        <f t="shared" si="35"/>
        <v>160</v>
      </c>
    </row>
    <row r="2269" spans="2:7" ht="15" hidden="1" x14ac:dyDescent="0.25">
      <c r="B2269" s="4">
        <v>584634596</v>
      </c>
      <c r="C2269" s="4" t="s">
        <v>268</v>
      </c>
      <c r="D2269" s="4">
        <v>320</v>
      </c>
      <c r="E2269" s="4">
        <v>7</v>
      </c>
      <c r="G2269">
        <f t="shared" si="35"/>
        <v>112</v>
      </c>
    </row>
    <row r="2270" spans="2:7" ht="15" hidden="1" x14ac:dyDescent="0.25">
      <c r="B2270" s="4">
        <v>584634596</v>
      </c>
      <c r="C2270" s="4" t="s">
        <v>268</v>
      </c>
      <c r="D2270" s="4">
        <v>320</v>
      </c>
      <c r="E2270" s="4">
        <v>7</v>
      </c>
      <c r="G2270">
        <f t="shared" si="35"/>
        <v>112</v>
      </c>
    </row>
    <row r="2271" spans="2:7" ht="15" hidden="1" x14ac:dyDescent="0.25">
      <c r="B2271" s="4">
        <v>584631775</v>
      </c>
      <c r="C2271" s="4" t="s">
        <v>268</v>
      </c>
      <c r="D2271" s="4">
        <v>53</v>
      </c>
      <c r="E2271" s="4">
        <v>7</v>
      </c>
      <c r="G2271">
        <f t="shared" si="35"/>
        <v>112</v>
      </c>
    </row>
    <row r="2272" spans="2:7" ht="15" hidden="1" x14ac:dyDescent="0.25">
      <c r="B2272" s="4">
        <v>584631775</v>
      </c>
      <c r="C2272" s="4" t="s">
        <v>268</v>
      </c>
      <c r="D2272" s="4">
        <v>53</v>
      </c>
      <c r="E2272" s="4">
        <v>7</v>
      </c>
      <c r="G2272">
        <f t="shared" si="35"/>
        <v>112</v>
      </c>
    </row>
    <row r="2273" spans="2:7" ht="15" hidden="1" x14ac:dyDescent="0.25">
      <c r="B2273" s="4">
        <v>584631775</v>
      </c>
      <c r="C2273" s="4" t="s">
        <v>268</v>
      </c>
      <c r="D2273" s="4">
        <v>54</v>
      </c>
      <c r="E2273" s="4">
        <v>7</v>
      </c>
      <c r="G2273">
        <f t="shared" si="35"/>
        <v>112</v>
      </c>
    </row>
    <row r="2274" spans="2:7" ht="15" hidden="1" x14ac:dyDescent="0.25">
      <c r="B2274" s="4">
        <v>584631775</v>
      </c>
      <c r="C2274" s="4" t="s">
        <v>268</v>
      </c>
      <c r="D2274" s="4">
        <v>54</v>
      </c>
      <c r="E2274" s="4">
        <v>7</v>
      </c>
      <c r="G2274">
        <f t="shared" si="35"/>
        <v>112</v>
      </c>
    </row>
    <row r="2275" spans="2:7" ht="15" hidden="1" x14ac:dyDescent="0.25">
      <c r="B2275" s="4">
        <v>584631775</v>
      </c>
      <c r="C2275" s="4" t="s">
        <v>268</v>
      </c>
      <c r="D2275" s="4">
        <v>55</v>
      </c>
      <c r="E2275" s="4">
        <v>7</v>
      </c>
      <c r="G2275">
        <f t="shared" si="35"/>
        <v>112</v>
      </c>
    </row>
    <row r="2276" spans="2:7" ht="15" hidden="1" x14ac:dyDescent="0.25">
      <c r="B2276" s="4">
        <v>584631775</v>
      </c>
      <c r="C2276" s="4" t="s">
        <v>268</v>
      </c>
      <c r="D2276" s="4">
        <v>55</v>
      </c>
      <c r="E2276" s="4">
        <v>7</v>
      </c>
      <c r="G2276">
        <f t="shared" si="35"/>
        <v>112</v>
      </c>
    </row>
    <row r="2277" spans="2:7" ht="15" hidden="1" x14ac:dyDescent="0.25">
      <c r="B2277" s="4">
        <v>584631775</v>
      </c>
      <c r="C2277" s="4" t="s">
        <v>269</v>
      </c>
      <c r="D2277" s="4">
        <v>46</v>
      </c>
      <c r="E2277" s="4">
        <v>57</v>
      </c>
      <c r="G2277">
        <f t="shared" si="35"/>
        <v>512</v>
      </c>
    </row>
    <row r="2278" spans="2:7" ht="15" hidden="1" x14ac:dyDescent="0.25">
      <c r="B2278" s="4">
        <v>584631776</v>
      </c>
      <c r="C2278" s="4" t="s">
        <v>268</v>
      </c>
      <c r="D2278" s="4">
        <v>56</v>
      </c>
      <c r="E2278" s="4">
        <v>7</v>
      </c>
      <c r="G2278">
        <f t="shared" si="35"/>
        <v>112</v>
      </c>
    </row>
    <row r="2279" spans="2:7" ht="15" hidden="1" x14ac:dyDescent="0.25">
      <c r="B2279" s="4">
        <v>584631776</v>
      </c>
      <c r="C2279" s="4" t="s">
        <v>268</v>
      </c>
      <c r="D2279" s="4">
        <v>56</v>
      </c>
      <c r="E2279" s="4">
        <v>7</v>
      </c>
      <c r="G2279">
        <f t="shared" si="35"/>
        <v>112</v>
      </c>
    </row>
    <row r="2280" spans="2:7" ht="15" hidden="1" x14ac:dyDescent="0.25">
      <c r="B2280" s="4">
        <v>584631776</v>
      </c>
      <c r="C2280" s="4" t="s">
        <v>268</v>
      </c>
      <c r="D2280" s="4">
        <v>57</v>
      </c>
      <c r="E2280" s="4">
        <v>7</v>
      </c>
      <c r="G2280">
        <f t="shared" si="35"/>
        <v>112</v>
      </c>
    </row>
    <row r="2281" spans="2:7" ht="15" hidden="1" x14ac:dyDescent="0.25">
      <c r="B2281" s="4">
        <v>584631776</v>
      </c>
      <c r="C2281" s="4" t="s">
        <v>268</v>
      </c>
      <c r="D2281" s="4">
        <v>57</v>
      </c>
      <c r="E2281" s="4">
        <v>7</v>
      </c>
      <c r="G2281">
        <f t="shared" si="35"/>
        <v>112</v>
      </c>
    </row>
    <row r="2282" spans="2:7" ht="15" hidden="1" x14ac:dyDescent="0.25">
      <c r="B2282" s="4">
        <v>584631776</v>
      </c>
      <c r="C2282" s="4" t="s">
        <v>268</v>
      </c>
      <c r="D2282" s="4">
        <v>58</v>
      </c>
      <c r="E2282" s="4">
        <v>7</v>
      </c>
      <c r="G2282">
        <f t="shared" si="35"/>
        <v>112</v>
      </c>
    </row>
    <row r="2283" spans="2:7" ht="15" hidden="1" x14ac:dyDescent="0.25">
      <c r="B2283" s="4">
        <v>584631776</v>
      </c>
      <c r="C2283" s="4" t="s">
        <v>268</v>
      </c>
      <c r="D2283" s="4">
        <v>58</v>
      </c>
      <c r="E2283" s="4">
        <v>7</v>
      </c>
      <c r="G2283">
        <f t="shared" si="35"/>
        <v>112</v>
      </c>
    </row>
    <row r="2284" spans="2:7" ht="15" hidden="1" x14ac:dyDescent="0.25">
      <c r="B2284" s="4">
        <v>584631776</v>
      </c>
      <c r="C2284" s="4" t="s">
        <v>269</v>
      </c>
      <c r="D2284" s="4">
        <v>47</v>
      </c>
      <c r="E2284" s="4">
        <v>57</v>
      </c>
      <c r="G2284">
        <f t="shared" si="35"/>
        <v>512</v>
      </c>
    </row>
    <row r="2285" spans="2:7" ht="15" hidden="1" x14ac:dyDescent="0.25">
      <c r="B2285" s="4">
        <v>584631777</v>
      </c>
      <c r="C2285" s="4" t="s">
        <v>268</v>
      </c>
      <c r="D2285" s="4">
        <v>59</v>
      </c>
      <c r="E2285" s="4">
        <v>6</v>
      </c>
      <c r="G2285">
        <f t="shared" si="35"/>
        <v>104</v>
      </c>
    </row>
    <row r="2286" spans="2:7" ht="15" hidden="1" x14ac:dyDescent="0.25">
      <c r="B2286" s="4">
        <v>584631777</v>
      </c>
      <c r="C2286" s="4" t="s">
        <v>268</v>
      </c>
      <c r="D2286" s="4">
        <v>59</v>
      </c>
      <c r="E2286" s="4">
        <v>6</v>
      </c>
      <c r="G2286">
        <f t="shared" si="35"/>
        <v>104</v>
      </c>
    </row>
    <row r="2287" spans="2:7" ht="15" hidden="1" x14ac:dyDescent="0.25">
      <c r="B2287" s="4">
        <v>584631777</v>
      </c>
      <c r="C2287" s="4" t="s">
        <v>268</v>
      </c>
      <c r="D2287" s="4">
        <v>60</v>
      </c>
      <c r="E2287" s="4">
        <v>9</v>
      </c>
      <c r="G2287">
        <f t="shared" si="35"/>
        <v>128</v>
      </c>
    </row>
    <row r="2288" spans="2:7" ht="15" hidden="1" x14ac:dyDescent="0.25">
      <c r="B2288" s="4">
        <v>584631777</v>
      </c>
      <c r="C2288" s="4" t="s">
        <v>268</v>
      </c>
      <c r="D2288" s="4">
        <v>60</v>
      </c>
      <c r="E2288" s="4">
        <v>9</v>
      </c>
      <c r="G2288">
        <f t="shared" si="35"/>
        <v>128</v>
      </c>
    </row>
    <row r="2289" spans="2:7" ht="15" hidden="1" x14ac:dyDescent="0.25">
      <c r="B2289" s="4">
        <v>584631777</v>
      </c>
      <c r="C2289" s="4" t="s">
        <v>268</v>
      </c>
      <c r="D2289" s="4">
        <v>61</v>
      </c>
      <c r="E2289" s="4">
        <v>7</v>
      </c>
      <c r="G2289">
        <f t="shared" si="35"/>
        <v>112</v>
      </c>
    </row>
    <row r="2290" spans="2:7" ht="15" hidden="1" x14ac:dyDescent="0.25">
      <c r="B2290" s="4">
        <v>584631777</v>
      </c>
      <c r="C2290" s="4" t="s">
        <v>268</v>
      </c>
      <c r="D2290" s="4">
        <v>61</v>
      </c>
      <c r="E2290" s="4">
        <v>7</v>
      </c>
      <c r="G2290">
        <f t="shared" si="35"/>
        <v>112</v>
      </c>
    </row>
    <row r="2291" spans="2:7" ht="15" hidden="1" x14ac:dyDescent="0.25">
      <c r="B2291" s="4">
        <v>584631777</v>
      </c>
      <c r="C2291" s="4" t="s">
        <v>269</v>
      </c>
      <c r="D2291" s="4">
        <v>48</v>
      </c>
      <c r="E2291" s="4">
        <v>57</v>
      </c>
      <c r="G2291">
        <f t="shared" si="35"/>
        <v>512</v>
      </c>
    </row>
    <row r="2292" spans="2:7" ht="15" hidden="1" x14ac:dyDescent="0.25">
      <c r="B2292" s="4">
        <v>584631778</v>
      </c>
      <c r="C2292" s="4" t="s">
        <v>269</v>
      </c>
      <c r="D2292" s="4">
        <v>49</v>
      </c>
      <c r="E2292" s="4">
        <v>57</v>
      </c>
      <c r="G2292">
        <f t="shared" si="35"/>
        <v>512</v>
      </c>
    </row>
    <row r="2293" spans="2:7" ht="15" hidden="1" x14ac:dyDescent="0.25">
      <c r="B2293" s="4">
        <v>584631779</v>
      </c>
      <c r="C2293" s="4" t="s">
        <v>269</v>
      </c>
      <c r="D2293" s="4">
        <v>50</v>
      </c>
      <c r="E2293" s="4">
        <v>57</v>
      </c>
      <c r="G2293">
        <f t="shared" si="35"/>
        <v>512</v>
      </c>
    </row>
    <row r="2294" spans="2:7" ht="15" hidden="1" x14ac:dyDescent="0.25">
      <c r="B2294" s="4">
        <v>584631780</v>
      </c>
      <c r="C2294" s="4" t="s">
        <v>268</v>
      </c>
      <c r="D2294" s="4">
        <v>62</v>
      </c>
      <c r="E2294" s="4">
        <v>9</v>
      </c>
      <c r="G2294">
        <f t="shared" si="35"/>
        <v>128</v>
      </c>
    </row>
    <row r="2295" spans="2:7" ht="15" hidden="1" x14ac:dyDescent="0.25">
      <c r="B2295" s="4">
        <v>584631780</v>
      </c>
      <c r="C2295" s="4" t="s">
        <v>268</v>
      </c>
      <c r="D2295" s="4">
        <v>62</v>
      </c>
      <c r="E2295" s="4">
        <v>9</v>
      </c>
      <c r="G2295">
        <f t="shared" si="35"/>
        <v>128</v>
      </c>
    </row>
    <row r="2296" spans="2:7" ht="15" hidden="1" x14ac:dyDescent="0.25">
      <c r="B2296" s="4">
        <v>584631780</v>
      </c>
      <c r="C2296" s="4" t="s">
        <v>268</v>
      </c>
      <c r="D2296" s="4">
        <v>63</v>
      </c>
      <c r="E2296" s="4">
        <v>7</v>
      </c>
      <c r="G2296">
        <f t="shared" si="35"/>
        <v>112</v>
      </c>
    </row>
    <row r="2297" spans="2:7" ht="15" hidden="1" x14ac:dyDescent="0.25">
      <c r="B2297" s="4">
        <v>584631780</v>
      </c>
      <c r="C2297" s="4" t="s">
        <v>268</v>
      </c>
      <c r="D2297" s="4">
        <v>63</v>
      </c>
      <c r="E2297" s="4">
        <v>7</v>
      </c>
      <c r="G2297">
        <f t="shared" si="35"/>
        <v>112</v>
      </c>
    </row>
    <row r="2298" spans="2:7" ht="15" hidden="1" x14ac:dyDescent="0.25">
      <c r="B2298" s="4">
        <v>584631780</v>
      </c>
      <c r="C2298" s="4" t="s">
        <v>268</v>
      </c>
      <c r="D2298" s="4">
        <v>64</v>
      </c>
      <c r="E2298" s="4">
        <v>7</v>
      </c>
      <c r="G2298">
        <f t="shared" si="35"/>
        <v>112</v>
      </c>
    </row>
    <row r="2299" spans="2:7" ht="15" hidden="1" x14ac:dyDescent="0.25">
      <c r="B2299" s="4">
        <v>584631780</v>
      </c>
      <c r="C2299" s="4" t="s">
        <v>268</v>
      </c>
      <c r="D2299" s="4">
        <v>64</v>
      </c>
      <c r="E2299" s="4">
        <v>7</v>
      </c>
      <c r="G2299">
        <f t="shared" si="35"/>
        <v>112</v>
      </c>
    </row>
    <row r="2300" spans="2:7" ht="15" hidden="1" x14ac:dyDescent="0.25">
      <c r="B2300" s="4">
        <v>584631780</v>
      </c>
      <c r="C2300" s="4" t="s">
        <v>269</v>
      </c>
      <c r="D2300" s="4">
        <v>51</v>
      </c>
      <c r="E2300" s="4">
        <v>57</v>
      </c>
      <c r="G2300">
        <f t="shared" si="35"/>
        <v>512</v>
      </c>
    </row>
    <row r="2301" spans="2:7" ht="15" hidden="1" x14ac:dyDescent="0.25">
      <c r="B2301" s="4">
        <v>584631781</v>
      </c>
      <c r="C2301" s="4" t="s">
        <v>269</v>
      </c>
      <c r="D2301" s="4">
        <v>52</v>
      </c>
      <c r="E2301" s="4">
        <v>57</v>
      </c>
      <c r="G2301">
        <f t="shared" si="35"/>
        <v>512</v>
      </c>
    </row>
    <row r="2302" spans="2:7" ht="15" hidden="1" x14ac:dyDescent="0.25">
      <c r="B2302" s="4">
        <v>584631782</v>
      </c>
      <c r="C2302" s="4" t="s">
        <v>269</v>
      </c>
      <c r="D2302" s="4">
        <v>53</v>
      </c>
      <c r="E2302" s="4">
        <v>57</v>
      </c>
      <c r="G2302">
        <f t="shared" si="35"/>
        <v>512</v>
      </c>
    </row>
    <row r="2303" spans="2:7" ht="15" hidden="1" x14ac:dyDescent="0.25">
      <c r="B2303" s="4">
        <v>584631783</v>
      </c>
      <c r="C2303" s="4" t="s">
        <v>268</v>
      </c>
      <c r="D2303" s="4">
        <v>65</v>
      </c>
      <c r="E2303" s="4">
        <v>9</v>
      </c>
      <c r="G2303">
        <f t="shared" si="35"/>
        <v>128</v>
      </c>
    </row>
    <row r="2304" spans="2:7" ht="15" hidden="1" x14ac:dyDescent="0.25">
      <c r="B2304" s="4">
        <v>584631783</v>
      </c>
      <c r="C2304" s="4" t="s">
        <v>268</v>
      </c>
      <c r="D2304" s="4">
        <v>65</v>
      </c>
      <c r="E2304" s="4">
        <v>9</v>
      </c>
      <c r="G2304">
        <f t="shared" si="35"/>
        <v>128</v>
      </c>
    </row>
    <row r="2305" spans="2:7" ht="15" hidden="1" x14ac:dyDescent="0.25">
      <c r="B2305" s="4">
        <v>584631783</v>
      </c>
      <c r="C2305" s="4" t="s">
        <v>268</v>
      </c>
      <c r="D2305" s="4">
        <v>66</v>
      </c>
      <c r="E2305" s="4">
        <v>7</v>
      </c>
      <c r="G2305">
        <f t="shared" si="35"/>
        <v>112</v>
      </c>
    </row>
    <row r="2306" spans="2:7" ht="15" hidden="1" x14ac:dyDescent="0.25">
      <c r="B2306" s="4">
        <v>584631783</v>
      </c>
      <c r="C2306" s="4" t="s">
        <v>268</v>
      </c>
      <c r="D2306" s="4">
        <v>66</v>
      </c>
      <c r="E2306" s="4">
        <v>7</v>
      </c>
      <c r="G2306">
        <f t="shared" si="35"/>
        <v>112</v>
      </c>
    </row>
    <row r="2307" spans="2:7" ht="15" hidden="1" x14ac:dyDescent="0.25">
      <c r="B2307" s="4">
        <v>584631783</v>
      </c>
      <c r="C2307" s="4" t="s">
        <v>268</v>
      </c>
      <c r="D2307" s="4">
        <v>67</v>
      </c>
      <c r="E2307" s="4">
        <v>7</v>
      </c>
      <c r="G2307">
        <f t="shared" si="35"/>
        <v>112</v>
      </c>
    </row>
    <row r="2308" spans="2:7" ht="15" hidden="1" x14ac:dyDescent="0.25">
      <c r="B2308" s="4">
        <v>584631783</v>
      </c>
      <c r="C2308" s="4" t="s">
        <v>268</v>
      </c>
      <c r="D2308" s="4">
        <v>67</v>
      </c>
      <c r="E2308" s="4">
        <v>7</v>
      </c>
      <c r="G2308">
        <f t="shared" ref="G2308:G2371" si="36">(E2308+7)*8</f>
        <v>112</v>
      </c>
    </row>
    <row r="2309" spans="2:7" ht="15" hidden="1" x14ac:dyDescent="0.25">
      <c r="B2309" s="4">
        <v>584631783</v>
      </c>
      <c r="C2309" s="4" t="s">
        <v>269</v>
      </c>
      <c r="D2309" s="4">
        <v>54</v>
      </c>
      <c r="E2309" s="4">
        <v>57</v>
      </c>
      <c r="G2309">
        <f t="shared" si="36"/>
        <v>512</v>
      </c>
    </row>
    <row r="2310" spans="2:7" ht="15" hidden="1" x14ac:dyDescent="0.25">
      <c r="B2310" s="4">
        <v>584631784</v>
      </c>
      <c r="C2310" s="4" t="s">
        <v>269</v>
      </c>
      <c r="D2310" s="4">
        <v>55</v>
      </c>
      <c r="E2310" s="4">
        <v>57</v>
      </c>
      <c r="G2310">
        <f t="shared" si="36"/>
        <v>512</v>
      </c>
    </row>
    <row r="2311" spans="2:7" ht="15" hidden="1" x14ac:dyDescent="0.25">
      <c r="B2311" s="4">
        <v>584631785</v>
      </c>
      <c r="C2311" s="4" t="s">
        <v>269</v>
      </c>
      <c r="D2311" s="4">
        <v>56</v>
      </c>
      <c r="E2311" s="4">
        <v>57</v>
      </c>
      <c r="G2311">
        <f t="shared" si="36"/>
        <v>512</v>
      </c>
    </row>
    <row r="2312" spans="2:7" ht="15" hidden="1" x14ac:dyDescent="0.25">
      <c r="B2312" s="4">
        <v>584631786</v>
      </c>
      <c r="C2312" s="4" t="s">
        <v>268</v>
      </c>
      <c r="D2312" s="4">
        <v>68</v>
      </c>
      <c r="E2312" s="4">
        <v>9</v>
      </c>
      <c r="G2312">
        <f t="shared" si="36"/>
        <v>128</v>
      </c>
    </row>
    <row r="2313" spans="2:7" ht="15" hidden="1" x14ac:dyDescent="0.25">
      <c r="B2313" s="4">
        <v>584631786</v>
      </c>
      <c r="C2313" s="4" t="s">
        <v>268</v>
      </c>
      <c r="D2313" s="4">
        <v>68</v>
      </c>
      <c r="E2313" s="4">
        <v>9</v>
      </c>
      <c r="G2313">
        <f t="shared" si="36"/>
        <v>128</v>
      </c>
    </row>
    <row r="2314" spans="2:7" ht="15" hidden="1" x14ac:dyDescent="0.25">
      <c r="B2314" s="4">
        <v>584631786</v>
      </c>
      <c r="C2314" s="4" t="s">
        <v>268</v>
      </c>
      <c r="D2314" s="4">
        <v>69</v>
      </c>
      <c r="E2314" s="4">
        <v>7</v>
      </c>
      <c r="G2314">
        <f t="shared" si="36"/>
        <v>112</v>
      </c>
    </row>
    <row r="2315" spans="2:7" ht="15" hidden="1" x14ac:dyDescent="0.25">
      <c r="B2315" s="4">
        <v>584631786</v>
      </c>
      <c r="C2315" s="4" t="s">
        <v>268</v>
      </c>
      <c r="D2315" s="4">
        <v>69</v>
      </c>
      <c r="E2315" s="4">
        <v>7</v>
      </c>
      <c r="G2315">
        <f t="shared" si="36"/>
        <v>112</v>
      </c>
    </row>
    <row r="2316" spans="2:7" ht="15" hidden="1" x14ac:dyDescent="0.25">
      <c r="B2316" s="4">
        <v>584631786</v>
      </c>
      <c r="C2316" s="4" t="s">
        <v>268</v>
      </c>
      <c r="D2316" s="4">
        <v>70</v>
      </c>
      <c r="E2316" s="4">
        <v>7</v>
      </c>
      <c r="G2316">
        <f t="shared" si="36"/>
        <v>112</v>
      </c>
    </row>
    <row r="2317" spans="2:7" ht="15" hidden="1" x14ac:dyDescent="0.25">
      <c r="B2317" s="4">
        <v>584631786</v>
      </c>
      <c r="C2317" s="4" t="s">
        <v>268</v>
      </c>
      <c r="D2317" s="4">
        <v>70</v>
      </c>
      <c r="E2317" s="4">
        <v>7</v>
      </c>
      <c r="G2317">
        <f t="shared" si="36"/>
        <v>112</v>
      </c>
    </row>
    <row r="2318" spans="2:7" ht="15" hidden="1" x14ac:dyDescent="0.25">
      <c r="B2318" s="4">
        <v>584631786</v>
      </c>
      <c r="C2318" s="4" t="s">
        <v>269</v>
      </c>
      <c r="D2318" s="4">
        <v>57</v>
      </c>
      <c r="E2318" s="4">
        <v>57</v>
      </c>
      <c r="G2318">
        <f t="shared" si="36"/>
        <v>512</v>
      </c>
    </row>
    <row r="2319" spans="2:7" ht="15" hidden="1" x14ac:dyDescent="0.25">
      <c r="B2319" s="4">
        <v>584631787</v>
      </c>
      <c r="C2319" s="4" t="s">
        <v>269</v>
      </c>
      <c r="D2319" s="4">
        <v>58</v>
      </c>
      <c r="E2319" s="4">
        <v>57</v>
      </c>
      <c r="G2319">
        <f t="shared" si="36"/>
        <v>512</v>
      </c>
    </row>
    <row r="2320" spans="2:7" ht="15" hidden="1" x14ac:dyDescent="0.25">
      <c r="B2320" s="4">
        <v>584631788</v>
      </c>
      <c r="C2320" s="4" t="s">
        <v>269</v>
      </c>
      <c r="D2320" s="4">
        <v>59</v>
      </c>
      <c r="E2320" s="4">
        <v>57</v>
      </c>
      <c r="G2320">
        <f t="shared" si="36"/>
        <v>512</v>
      </c>
    </row>
    <row r="2321" spans="2:7" ht="15" hidden="1" x14ac:dyDescent="0.25">
      <c r="B2321" s="4">
        <v>584631789</v>
      </c>
      <c r="C2321" s="4" t="s">
        <v>268</v>
      </c>
      <c r="D2321" s="4">
        <v>71</v>
      </c>
      <c r="E2321" s="4">
        <v>9</v>
      </c>
      <c r="G2321">
        <f t="shared" si="36"/>
        <v>128</v>
      </c>
    </row>
    <row r="2322" spans="2:7" ht="15" hidden="1" x14ac:dyDescent="0.25">
      <c r="B2322" s="4">
        <v>584631789</v>
      </c>
      <c r="C2322" s="4" t="s">
        <v>268</v>
      </c>
      <c r="D2322" s="4">
        <v>71</v>
      </c>
      <c r="E2322" s="4">
        <v>9</v>
      </c>
      <c r="G2322">
        <f t="shared" si="36"/>
        <v>128</v>
      </c>
    </row>
    <row r="2323" spans="2:7" ht="15" hidden="1" x14ac:dyDescent="0.25">
      <c r="B2323" s="4">
        <v>584631789</v>
      </c>
      <c r="C2323" s="4" t="s">
        <v>268</v>
      </c>
      <c r="D2323" s="4">
        <v>72</v>
      </c>
      <c r="E2323" s="4">
        <v>7</v>
      </c>
      <c r="G2323">
        <f t="shared" si="36"/>
        <v>112</v>
      </c>
    </row>
    <row r="2324" spans="2:7" ht="15" hidden="1" x14ac:dyDescent="0.25">
      <c r="B2324" s="4">
        <v>584631789</v>
      </c>
      <c r="C2324" s="4" t="s">
        <v>268</v>
      </c>
      <c r="D2324" s="4">
        <v>72</v>
      </c>
      <c r="E2324" s="4">
        <v>7</v>
      </c>
      <c r="G2324">
        <f t="shared" si="36"/>
        <v>112</v>
      </c>
    </row>
    <row r="2325" spans="2:7" ht="15" hidden="1" x14ac:dyDescent="0.25">
      <c r="B2325" s="4">
        <v>584631789</v>
      </c>
      <c r="C2325" s="4" t="s">
        <v>268</v>
      </c>
      <c r="D2325" s="4">
        <v>73</v>
      </c>
      <c r="E2325" s="4">
        <v>7</v>
      </c>
      <c r="G2325">
        <f t="shared" si="36"/>
        <v>112</v>
      </c>
    </row>
    <row r="2326" spans="2:7" ht="15" hidden="1" x14ac:dyDescent="0.25">
      <c r="B2326" s="4">
        <v>584631789</v>
      </c>
      <c r="C2326" s="4" t="s">
        <v>268</v>
      </c>
      <c r="D2326" s="4">
        <v>73</v>
      </c>
      <c r="E2326" s="4">
        <v>7</v>
      </c>
      <c r="G2326">
        <f t="shared" si="36"/>
        <v>112</v>
      </c>
    </row>
    <row r="2327" spans="2:7" ht="15" hidden="1" x14ac:dyDescent="0.25">
      <c r="B2327" s="4">
        <v>584631789</v>
      </c>
      <c r="C2327" s="4" t="s">
        <v>269</v>
      </c>
      <c r="D2327" s="4">
        <v>60</v>
      </c>
      <c r="E2327" s="4">
        <v>57</v>
      </c>
      <c r="G2327">
        <f t="shared" si="36"/>
        <v>512</v>
      </c>
    </row>
    <row r="2328" spans="2:7" ht="15" hidden="1" x14ac:dyDescent="0.25">
      <c r="B2328" s="4">
        <v>584631790</v>
      </c>
      <c r="C2328" s="4" t="s">
        <v>269</v>
      </c>
      <c r="D2328" s="4">
        <v>61</v>
      </c>
      <c r="E2328" s="4">
        <v>57</v>
      </c>
      <c r="G2328">
        <f t="shared" si="36"/>
        <v>512</v>
      </c>
    </row>
    <row r="2329" spans="2:7" ht="15" hidden="1" x14ac:dyDescent="0.25">
      <c r="B2329" s="4">
        <v>584631791</v>
      </c>
      <c r="C2329" s="4" t="s">
        <v>269</v>
      </c>
      <c r="D2329" s="4">
        <v>62</v>
      </c>
      <c r="E2329" s="4">
        <v>57</v>
      </c>
      <c r="G2329">
        <f t="shared" si="36"/>
        <v>512</v>
      </c>
    </row>
    <row r="2330" spans="2:7" ht="15" hidden="1" x14ac:dyDescent="0.25">
      <c r="B2330" s="4">
        <v>584631792</v>
      </c>
      <c r="C2330" s="4" t="s">
        <v>268</v>
      </c>
      <c r="D2330" s="4">
        <v>74</v>
      </c>
      <c r="E2330" s="4">
        <v>9</v>
      </c>
      <c r="G2330">
        <f t="shared" si="36"/>
        <v>128</v>
      </c>
    </row>
    <row r="2331" spans="2:7" ht="15" hidden="1" x14ac:dyDescent="0.25">
      <c r="B2331" s="4">
        <v>584631792</v>
      </c>
      <c r="C2331" s="4" t="s">
        <v>268</v>
      </c>
      <c r="D2331" s="4">
        <v>74</v>
      </c>
      <c r="E2331" s="4">
        <v>9</v>
      </c>
      <c r="G2331">
        <f t="shared" si="36"/>
        <v>128</v>
      </c>
    </row>
    <row r="2332" spans="2:7" ht="15" hidden="1" x14ac:dyDescent="0.25">
      <c r="B2332" s="4">
        <v>584631792</v>
      </c>
      <c r="C2332" s="4" t="s">
        <v>268</v>
      </c>
      <c r="D2332" s="4">
        <v>75</v>
      </c>
      <c r="E2332" s="4">
        <v>7</v>
      </c>
      <c r="G2332">
        <f t="shared" si="36"/>
        <v>112</v>
      </c>
    </row>
    <row r="2333" spans="2:7" ht="15" hidden="1" x14ac:dyDescent="0.25">
      <c r="B2333" s="4">
        <v>584631792</v>
      </c>
      <c r="C2333" s="4" t="s">
        <v>268</v>
      </c>
      <c r="D2333" s="4">
        <v>75</v>
      </c>
      <c r="E2333" s="4">
        <v>7</v>
      </c>
      <c r="G2333">
        <f t="shared" si="36"/>
        <v>112</v>
      </c>
    </row>
    <row r="2334" spans="2:7" ht="15" hidden="1" x14ac:dyDescent="0.25">
      <c r="B2334" s="4">
        <v>584631792</v>
      </c>
      <c r="C2334" s="4" t="s">
        <v>268</v>
      </c>
      <c r="D2334" s="4">
        <v>76</v>
      </c>
      <c r="E2334" s="4">
        <v>7</v>
      </c>
      <c r="G2334">
        <f t="shared" si="36"/>
        <v>112</v>
      </c>
    </row>
    <row r="2335" spans="2:7" ht="15" hidden="1" x14ac:dyDescent="0.25">
      <c r="B2335" s="4">
        <v>584631792</v>
      </c>
      <c r="C2335" s="4" t="s">
        <v>268</v>
      </c>
      <c r="D2335" s="4">
        <v>76</v>
      </c>
      <c r="E2335" s="4">
        <v>7</v>
      </c>
      <c r="G2335">
        <f t="shared" si="36"/>
        <v>112</v>
      </c>
    </row>
    <row r="2336" spans="2:7" ht="15" hidden="1" x14ac:dyDescent="0.25">
      <c r="B2336" s="4">
        <v>584631792</v>
      </c>
      <c r="C2336" s="4" t="s">
        <v>269</v>
      </c>
      <c r="D2336" s="4">
        <v>63</v>
      </c>
      <c r="E2336" s="4">
        <v>57</v>
      </c>
      <c r="G2336">
        <f t="shared" si="36"/>
        <v>512</v>
      </c>
    </row>
    <row r="2337" spans="2:7" ht="15" hidden="1" x14ac:dyDescent="0.25">
      <c r="B2337" s="4">
        <v>584631793</v>
      </c>
      <c r="C2337" s="4" t="s">
        <v>269</v>
      </c>
      <c r="D2337" s="4">
        <v>64</v>
      </c>
      <c r="E2337" s="4">
        <v>57</v>
      </c>
      <c r="G2337">
        <f t="shared" si="36"/>
        <v>512</v>
      </c>
    </row>
    <row r="2338" spans="2:7" ht="15" hidden="1" x14ac:dyDescent="0.25">
      <c r="B2338" s="4">
        <v>584631794</v>
      </c>
      <c r="C2338" s="4" t="s">
        <v>269</v>
      </c>
      <c r="D2338" s="4">
        <v>65</v>
      </c>
      <c r="E2338" s="4">
        <v>57</v>
      </c>
      <c r="G2338">
        <f t="shared" si="36"/>
        <v>512</v>
      </c>
    </row>
    <row r="2339" spans="2:7" ht="15" hidden="1" x14ac:dyDescent="0.25">
      <c r="B2339" s="4">
        <v>584631795</v>
      </c>
      <c r="C2339" s="4" t="s">
        <v>268</v>
      </c>
      <c r="D2339" s="4">
        <v>77</v>
      </c>
      <c r="E2339" s="4">
        <v>9</v>
      </c>
      <c r="G2339">
        <f t="shared" si="36"/>
        <v>128</v>
      </c>
    </row>
    <row r="2340" spans="2:7" ht="15" hidden="1" x14ac:dyDescent="0.25">
      <c r="B2340" s="4">
        <v>584631795</v>
      </c>
      <c r="C2340" s="4" t="s">
        <v>268</v>
      </c>
      <c r="D2340" s="4">
        <v>77</v>
      </c>
      <c r="E2340" s="4">
        <v>9</v>
      </c>
      <c r="G2340">
        <f t="shared" si="36"/>
        <v>128</v>
      </c>
    </row>
    <row r="2341" spans="2:7" ht="15" hidden="1" x14ac:dyDescent="0.25">
      <c r="B2341" s="4">
        <v>584631795</v>
      </c>
      <c r="C2341" s="4" t="s">
        <v>268</v>
      </c>
      <c r="D2341" s="4">
        <v>78</v>
      </c>
      <c r="E2341" s="4">
        <v>7</v>
      </c>
      <c r="G2341">
        <f t="shared" si="36"/>
        <v>112</v>
      </c>
    </row>
    <row r="2342" spans="2:7" ht="15" hidden="1" x14ac:dyDescent="0.25">
      <c r="B2342" s="4">
        <v>584631795</v>
      </c>
      <c r="C2342" s="4" t="s">
        <v>268</v>
      </c>
      <c r="D2342" s="4">
        <v>78</v>
      </c>
      <c r="E2342" s="4">
        <v>7</v>
      </c>
      <c r="G2342">
        <f t="shared" si="36"/>
        <v>112</v>
      </c>
    </row>
    <row r="2343" spans="2:7" ht="15" hidden="1" x14ac:dyDescent="0.25">
      <c r="B2343" s="4">
        <v>584631795</v>
      </c>
      <c r="C2343" s="4" t="s">
        <v>268</v>
      </c>
      <c r="D2343" s="4">
        <v>79</v>
      </c>
      <c r="E2343" s="4">
        <v>7</v>
      </c>
      <c r="G2343">
        <f t="shared" si="36"/>
        <v>112</v>
      </c>
    </row>
    <row r="2344" spans="2:7" ht="15" hidden="1" x14ac:dyDescent="0.25">
      <c r="B2344" s="4">
        <v>584631795</v>
      </c>
      <c r="C2344" s="4" t="s">
        <v>268</v>
      </c>
      <c r="D2344" s="4">
        <v>79</v>
      </c>
      <c r="E2344" s="4">
        <v>7</v>
      </c>
      <c r="G2344">
        <f t="shared" si="36"/>
        <v>112</v>
      </c>
    </row>
    <row r="2345" spans="2:7" ht="15" hidden="1" x14ac:dyDescent="0.25">
      <c r="B2345" s="4">
        <v>584631795</v>
      </c>
      <c r="C2345" s="4" t="s">
        <v>269</v>
      </c>
      <c r="D2345" s="4">
        <v>66</v>
      </c>
      <c r="E2345" s="4">
        <v>57</v>
      </c>
      <c r="G2345">
        <f t="shared" si="36"/>
        <v>512</v>
      </c>
    </row>
    <row r="2346" spans="2:7" ht="15" hidden="1" x14ac:dyDescent="0.25">
      <c r="B2346" s="4">
        <v>584631796</v>
      </c>
      <c r="C2346" s="4" t="s">
        <v>269</v>
      </c>
      <c r="D2346" s="4">
        <v>67</v>
      </c>
      <c r="E2346" s="4">
        <v>57</v>
      </c>
      <c r="G2346">
        <f t="shared" si="36"/>
        <v>512</v>
      </c>
    </row>
    <row r="2347" spans="2:7" ht="15" hidden="1" x14ac:dyDescent="0.25">
      <c r="B2347" s="4">
        <v>584631797</v>
      </c>
      <c r="C2347" s="4" t="s">
        <v>269</v>
      </c>
      <c r="D2347" s="4">
        <v>68</v>
      </c>
      <c r="E2347" s="4">
        <v>57</v>
      </c>
      <c r="G2347">
        <f t="shared" si="36"/>
        <v>512</v>
      </c>
    </row>
    <row r="2348" spans="2:7" ht="15" hidden="1" x14ac:dyDescent="0.25">
      <c r="B2348" s="4">
        <v>584631798</v>
      </c>
      <c r="C2348" s="4" t="s">
        <v>268</v>
      </c>
      <c r="D2348" s="4">
        <v>80</v>
      </c>
      <c r="E2348" s="4">
        <v>9</v>
      </c>
      <c r="G2348">
        <f t="shared" si="36"/>
        <v>128</v>
      </c>
    </row>
    <row r="2349" spans="2:7" ht="15" hidden="1" x14ac:dyDescent="0.25">
      <c r="B2349" s="4">
        <v>584631798</v>
      </c>
      <c r="C2349" s="4" t="s">
        <v>268</v>
      </c>
      <c r="D2349" s="4">
        <v>80</v>
      </c>
      <c r="E2349" s="4">
        <v>9</v>
      </c>
      <c r="G2349">
        <f t="shared" si="36"/>
        <v>128</v>
      </c>
    </row>
    <row r="2350" spans="2:7" ht="15" hidden="1" x14ac:dyDescent="0.25">
      <c r="B2350" s="4">
        <v>584631798</v>
      </c>
      <c r="C2350" s="4" t="s">
        <v>268</v>
      </c>
      <c r="D2350" s="4">
        <v>81</v>
      </c>
      <c r="E2350" s="4">
        <v>7</v>
      </c>
      <c r="G2350">
        <f t="shared" si="36"/>
        <v>112</v>
      </c>
    </row>
    <row r="2351" spans="2:7" ht="15" hidden="1" x14ac:dyDescent="0.25">
      <c r="B2351" s="4">
        <v>584631798</v>
      </c>
      <c r="C2351" s="4" t="s">
        <v>268</v>
      </c>
      <c r="D2351" s="4">
        <v>81</v>
      </c>
      <c r="E2351" s="4">
        <v>7</v>
      </c>
      <c r="G2351">
        <f t="shared" si="36"/>
        <v>112</v>
      </c>
    </row>
    <row r="2352" spans="2:7" ht="15" hidden="1" x14ac:dyDescent="0.25">
      <c r="B2352" s="4">
        <v>584631798</v>
      </c>
      <c r="C2352" s="4" t="s">
        <v>268</v>
      </c>
      <c r="D2352" s="4">
        <v>82</v>
      </c>
      <c r="E2352" s="4">
        <v>7</v>
      </c>
      <c r="G2352">
        <f t="shared" si="36"/>
        <v>112</v>
      </c>
    </row>
    <row r="2353" spans="2:7" ht="15" hidden="1" x14ac:dyDescent="0.25">
      <c r="B2353" s="4">
        <v>584631798</v>
      </c>
      <c r="C2353" s="4" t="s">
        <v>268</v>
      </c>
      <c r="D2353" s="4">
        <v>82</v>
      </c>
      <c r="E2353" s="4">
        <v>7</v>
      </c>
      <c r="G2353">
        <f t="shared" si="36"/>
        <v>112</v>
      </c>
    </row>
    <row r="2354" spans="2:7" ht="15" hidden="1" x14ac:dyDescent="0.25">
      <c r="B2354" s="4">
        <v>584631798</v>
      </c>
      <c r="C2354" s="4" t="s">
        <v>269</v>
      </c>
      <c r="D2354" s="4">
        <v>69</v>
      </c>
      <c r="E2354" s="4">
        <v>57</v>
      </c>
      <c r="G2354">
        <f t="shared" si="36"/>
        <v>512</v>
      </c>
    </row>
    <row r="2355" spans="2:7" ht="15" hidden="1" x14ac:dyDescent="0.25">
      <c r="B2355" s="4">
        <v>584631799</v>
      </c>
      <c r="C2355" s="4" t="s">
        <v>269</v>
      </c>
      <c r="D2355" s="4">
        <v>70</v>
      </c>
      <c r="E2355" s="4">
        <v>57</v>
      </c>
      <c r="G2355">
        <f t="shared" si="36"/>
        <v>512</v>
      </c>
    </row>
    <row r="2356" spans="2:7" ht="15" hidden="1" x14ac:dyDescent="0.25">
      <c r="B2356" s="4">
        <v>584631800</v>
      </c>
      <c r="C2356" s="4" t="s">
        <v>269</v>
      </c>
      <c r="D2356" s="4">
        <v>71</v>
      </c>
      <c r="E2356" s="4">
        <v>57</v>
      </c>
      <c r="G2356">
        <f t="shared" si="36"/>
        <v>512</v>
      </c>
    </row>
    <row r="2357" spans="2:7" ht="15" hidden="1" x14ac:dyDescent="0.25">
      <c r="B2357" s="4">
        <v>584631801</v>
      </c>
      <c r="C2357" s="4" t="s">
        <v>268</v>
      </c>
      <c r="D2357" s="4">
        <v>83</v>
      </c>
      <c r="E2357" s="4">
        <v>9</v>
      </c>
      <c r="G2357">
        <f t="shared" si="36"/>
        <v>128</v>
      </c>
    </row>
    <row r="2358" spans="2:7" ht="15" hidden="1" x14ac:dyDescent="0.25">
      <c r="B2358" s="4">
        <v>584631801</v>
      </c>
      <c r="C2358" s="4" t="s">
        <v>268</v>
      </c>
      <c r="D2358" s="4">
        <v>83</v>
      </c>
      <c r="E2358" s="4">
        <v>9</v>
      </c>
      <c r="G2358">
        <f t="shared" si="36"/>
        <v>128</v>
      </c>
    </row>
    <row r="2359" spans="2:7" ht="15" hidden="1" x14ac:dyDescent="0.25">
      <c r="B2359" s="4">
        <v>584631801</v>
      </c>
      <c r="C2359" s="4" t="s">
        <v>268</v>
      </c>
      <c r="D2359" s="4">
        <v>84</v>
      </c>
      <c r="E2359" s="4">
        <v>7</v>
      </c>
      <c r="G2359">
        <f t="shared" si="36"/>
        <v>112</v>
      </c>
    </row>
    <row r="2360" spans="2:7" ht="15" hidden="1" x14ac:dyDescent="0.25">
      <c r="B2360" s="4">
        <v>584631801</v>
      </c>
      <c r="C2360" s="4" t="s">
        <v>268</v>
      </c>
      <c r="D2360" s="4">
        <v>84</v>
      </c>
      <c r="E2360" s="4">
        <v>7</v>
      </c>
      <c r="G2360">
        <f t="shared" si="36"/>
        <v>112</v>
      </c>
    </row>
    <row r="2361" spans="2:7" ht="15" hidden="1" x14ac:dyDescent="0.25">
      <c r="B2361" s="4">
        <v>584631801</v>
      </c>
      <c r="C2361" s="4" t="s">
        <v>268</v>
      </c>
      <c r="D2361" s="4">
        <v>85</v>
      </c>
      <c r="E2361" s="4">
        <v>7</v>
      </c>
      <c r="G2361">
        <f t="shared" si="36"/>
        <v>112</v>
      </c>
    </row>
    <row r="2362" spans="2:7" ht="15" hidden="1" x14ac:dyDescent="0.25">
      <c r="B2362" s="4">
        <v>584631801</v>
      </c>
      <c r="C2362" s="4" t="s">
        <v>268</v>
      </c>
      <c r="D2362" s="4">
        <v>85</v>
      </c>
      <c r="E2362" s="4">
        <v>7</v>
      </c>
      <c r="G2362">
        <f t="shared" si="36"/>
        <v>112</v>
      </c>
    </row>
    <row r="2363" spans="2:7" ht="15" hidden="1" x14ac:dyDescent="0.25">
      <c r="B2363" s="4">
        <v>584631801</v>
      </c>
      <c r="C2363" s="4" t="s">
        <v>269</v>
      </c>
      <c r="D2363" s="4">
        <v>72</v>
      </c>
      <c r="E2363" s="4">
        <v>57</v>
      </c>
      <c r="G2363">
        <f t="shared" si="36"/>
        <v>512</v>
      </c>
    </row>
    <row r="2364" spans="2:7" ht="15" hidden="1" x14ac:dyDescent="0.25">
      <c r="B2364" s="4">
        <v>584631802</v>
      </c>
      <c r="C2364" s="4" t="s">
        <v>269</v>
      </c>
      <c r="D2364" s="4">
        <v>73</v>
      </c>
      <c r="E2364" s="4">
        <v>57</v>
      </c>
      <c r="G2364">
        <f t="shared" si="36"/>
        <v>512</v>
      </c>
    </row>
    <row r="2365" spans="2:7" ht="15" hidden="1" x14ac:dyDescent="0.25">
      <c r="B2365" s="4">
        <v>584631803</v>
      </c>
      <c r="C2365" s="4" t="s">
        <v>269</v>
      </c>
      <c r="D2365" s="4">
        <v>74</v>
      </c>
      <c r="E2365" s="4">
        <v>57</v>
      </c>
      <c r="G2365">
        <f t="shared" si="36"/>
        <v>512</v>
      </c>
    </row>
    <row r="2366" spans="2:7" ht="15" hidden="1" x14ac:dyDescent="0.25">
      <c r="B2366" s="4">
        <v>584631804</v>
      </c>
      <c r="C2366" s="4" t="s">
        <v>268</v>
      </c>
      <c r="D2366" s="4">
        <v>86</v>
      </c>
      <c r="E2366" s="4">
        <v>9</v>
      </c>
      <c r="G2366">
        <f t="shared" si="36"/>
        <v>128</v>
      </c>
    </row>
    <row r="2367" spans="2:7" ht="15" hidden="1" x14ac:dyDescent="0.25">
      <c r="B2367" s="4">
        <v>584631804</v>
      </c>
      <c r="C2367" s="4" t="s">
        <v>268</v>
      </c>
      <c r="D2367" s="4">
        <v>86</v>
      </c>
      <c r="E2367" s="4">
        <v>9</v>
      </c>
      <c r="G2367">
        <f t="shared" si="36"/>
        <v>128</v>
      </c>
    </row>
    <row r="2368" spans="2:7" ht="15" hidden="1" x14ac:dyDescent="0.25">
      <c r="B2368" s="4">
        <v>584631804</v>
      </c>
      <c r="C2368" s="4" t="s">
        <v>268</v>
      </c>
      <c r="D2368" s="4">
        <v>87</v>
      </c>
      <c r="E2368" s="4">
        <v>7</v>
      </c>
      <c r="G2368">
        <f t="shared" si="36"/>
        <v>112</v>
      </c>
    </row>
    <row r="2369" spans="2:7" ht="15" hidden="1" x14ac:dyDescent="0.25">
      <c r="B2369" s="4">
        <v>584631804</v>
      </c>
      <c r="C2369" s="4" t="s">
        <v>268</v>
      </c>
      <c r="D2369" s="4">
        <v>87</v>
      </c>
      <c r="E2369" s="4">
        <v>7</v>
      </c>
      <c r="G2369">
        <f t="shared" si="36"/>
        <v>112</v>
      </c>
    </row>
    <row r="2370" spans="2:7" ht="15" hidden="1" x14ac:dyDescent="0.25">
      <c r="B2370" s="4">
        <v>584631804</v>
      </c>
      <c r="C2370" s="4" t="s">
        <v>268</v>
      </c>
      <c r="D2370" s="4">
        <v>88</v>
      </c>
      <c r="E2370" s="4">
        <v>7</v>
      </c>
      <c r="G2370">
        <f t="shared" si="36"/>
        <v>112</v>
      </c>
    </row>
    <row r="2371" spans="2:7" ht="15" hidden="1" x14ac:dyDescent="0.25">
      <c r="B2371" s="4">
        <v>584631804</v>
      </c>
      <c r="C2371" s="4" t="s">
        <v>268</v>
      </c>
      <c r="D2371" s="4">
        <v>88</v>
      </c>
      <c r="E2371" s="4">
        <v>7</v>
      </c>
      <c r="G2371">
        <f t="shared" si="36"/>
        <v>112</v>
      </c>
    </row>
    <row r="2372" spans="2:7" ht="15" hidden="1" x14ac:dyDescent="0.25">
      <c r="B2372" s="4">
        <v>584631804</v>
      </c>
      <c r="C2372" s="4" t="s">
        <v>269</v>
      </c>
      <c r="D2372" s="4">
        <v>75</v>
      </c>
      <c r="E2372" s="4">
        <v>57</v>
      </c>
      <c r="G2372">
        <f t="shared" ref="G2372:G2435" si="37">(E2372+7)*8</f>
        <v>512</v>
      </c>
    </row>
    <row r="2373" spans="2:7" ht="15" hidden="1" x14ac:dyDescent="0.25">
      <c r="B2373" s="4">
        <v>584631805</v>
      </c>
      <c r="C2373" s="4" t="s">
        <v>269</v>
      </c>
      <c r="D2373" s="4">
        <v>76</v>
      </c>
      <c r="E2373" s="4">
        <v>57</v>
      </c>
      <c r="G2373">
        <f t="shared" si="37"/>
        <v>512</v>
      </c>
    </row>
    <row r="2374" spans="2:7" ht="15" hidden="1" x14ac:dyDescent="0.25">
      <c r="B2374" s="4">
        <v>584631806</v>
      </c>
      <c r="C2374" s="4" t="s">
        <v>269</v>
      </c>
      <c r="D2374" s="4">
        <v>77</v>
      </c>
      <c r="E2374" s="4">
        <v>57</v>
      </c>
      <c r="G2374">
        <f t="shared" si="37"/>
        <v>512</v>
      </c>
    </row>
    <row r="2375" spans="2:7" ht="15" hidden="1" x14ac:dyDescent="0.25">
      <c r="B2375" s="4">
        <v>584631807</v>
      </c>
      <c r="C2375" s="4" t="s">
        <v>268</v>
      </c>
      <c r="D2375" s="4">
        <v>89</v>
      </c>
      <c r="E2375" s="4">
        <v>9</v>
      </c>
      <c r="G2375">
        <f t="shared" si="37"/>
        <v>128</v>
      </c>
    </row>
    <row r="2376" spans="2:7" ht="15" hidden="1" x14ac:dyDescent="0.25">
      <c r="B2376" s="4">
        <v>584631807</v>
      </c>
      <c r="C2376" s="4" t="s">
        <v>268</v>
      </c>
      <c r="D2376" s="4">
        <v>89</v>
      </c>
      <c r="E2376" s="4">
        <v>9</v>
      </c>
      <c r="G2376">
        <f t="shared" si="37"/>
        <v>128</v>
      </c>
    </row>
    <row r="2377" spans="2:7" ht="15" hidden="1" x14ac:dyDescent="0.25">
      <c r="B2377" s="4">
        <v>584631807</v>
      </c>
      <c r="C2377" s="4" t="s">
        <v>268</v>
      </c>
      <c r="D2377" s="4">
        <v>90</v>
      </c>
      <c r="E2377" s="4">
        <v>7</v>
      </c>
      <c r="G2377">
        <f t="shared" si="37"/>
        <v>112</v>
      </c>
    </row>
    <row r="2378" spans="2:7" ht="15" hidden="1" x14ac:dyDescent="0.25">
      <c r="B2378" s="4">
        <v>584631807</v>
      </c>
      <c r="C2378" s="4" t="s">
        <v>268</v>
      </c>
      <c r="D2378" s="4">
        <v>90</v>
      </c>
      <c r="E2378" s="4">
        <v>7</v>
      </c>
      <c r="G2378">
        <f t="shared" si="37"/>
        <v>112</v>
      </c>
    </row>
    <row r="2379" spans="2:7" ht="15" hidden="1" x14ac:dyDescent="0.25">
      <c r="B2379" s="4">
        <v>584631807</v>
      </c>
      <c r="C2379" s="4" t="s">
        <v>268</v>
      </c>
      <c r="D2379" s="4">
        <v>91</v>
      </c>
      <c r="E2379" s="4">
        <v>7</v>
      </c>
      <c r="G2379">
        <f t="shared" si="37"/>
        <v>112</v>
      </c>
    </row>
    <row r="2380" spans="2:7" ht="15" hidden="1" x14ac:dyDescent="0.25">
      <c r="B2380" s="4">
        <v>584631807</v>
      </c>
      <c r="C2380" s="4" t="s">
        <v>268</v>
      </c>
      <c r="D2380" s="4">
        <v>91</v>
      </c>
      <c r="E2380" s="4">
        <v>7</v>
      </c>
      <c r="G2380">
        <f t="shared" si="37"/>
        <v>112</v>
      </c>
    </row>
    <row r="2381" spans="2:7" ht="15" hidden="1" x14ac:dyDescent="0.25">
      <c r="B2381" s="4">
        <v>584631807</v>
      </c>
      <c r="C2381" s="4" t="s">
        <v>269</v>
      </c>
      <c r="D2381" s="4">
        <v>78</v>
      </c>
      <c r="E2381" s="4">
        <v>57</v>
      </c>
      <c r="G2381">
        <f t="shared" si="37"/>
        <v>512</v>
      </c>
    </row>
    <row r="2382" spans="2:7" ht="15" hidden="1" x14ac:dyDescent="0.25">
      <c r="B2382" s="4">
        <v>584631808</v>
      </c>
      <c r="C2382" s="4" t="s">
        <v>269</v>
      </c>
      <c r="D2382" s="4">
        <v>79</v>
      </c>
      <c r="E2382" s="4">
        <v>57</v>
      </c>
      <c r="G2382">
        <f t="shared" si="37"/>
        <v>512</v>
      </c>
    </row>
    <row r="2383" spans="2:7" ht="15" hidden="1" x14ac:dyDescent="0.25">
      <c r="B2383" s="4">
        <v>584631809</v>
      </c>
      <c r="C2383" s="4" t="s">
        <v>269</v>
      </c>
      <c r="D2383" s="4">
        <v>80</v>
      </c>
      <c r="E2383" s="4">
        <v>57</v>
      </c>
      <c r="G2383">
        <f t="shared" si="37"/>
        <v>512</v>
      </c>
    </row>
    <row r="2384" spans="2:7" ht="15" hidden="1" x14ac:dyDescent="0.25">
      <c r="B2384" s="4">
        <v>584631810</v>
      </c>
      <c r="C2384" s="4" t="s">
        <v>268</v>
      </c>
      <c r="D2384" s="4">
        <v>92</v>
      </c>
      <c r="E2384" s="4">
        <v>9</v>
      </c>
      <c r="G2384">
        <f t="shared" si="37"/>
        <v>128</v>
      </c>
    </row>
    <row r="2385" spans="2:7" ht="15" hidden="1" x14ac:dyDescent="0.25">
      <c r="B2385" s="4">
        <v>584631810</v>
      </c>
      <c r="C2385" s="4" t="s">
        <v>268</v>
      </c>
      <c r="D2385" s="4">
        <v>92</v>
      </c>
      <c r="E2385" s="4">
        <v>9</v>
      </c>
      <c r="G2385">
        <f t="shared" si="37"/>
        <v>128</v>
      </c>
    </row>
    <row r="2386" spans="2:7" ht="15" hidden="1" x14ac:dyDescent="0.25">
      <c r="B2386" s="4">
        <v>584631810</v>
      </c>
      <c r="C2386" s="4" t="s">
        <v>268</v>
      </c>
      <c r="D2386" s="4">
        <v>93</v>
      </c>
      <c r="E2386" s="4">
        <v>7</v>
      </c>
      <c r="G2386">
        <f t="shared" si="37"/>
        <v>112</v>
      </c>
    </row>
    <row r="2387" spans="2:7" ht="15" hidden="1" x14ac:dyDescent="0.25">
      <c r="B2387" s="4">
        <v>584631810</v>
      </c>
      <c r="C2387" s="4" t="s">
        <v>268</v>
      </c>
      <c r="D2387" s="4">
        <v>93</v>
      </c>
      <c r="E2387" s="4">
        <v>7</v>
      </c>
      <c r="G2387">
        <f t="shared" si="37"/>
        <v>112</v>
      </c>
    </row>
    <row r="2388" spans="2:7" ht="15" hidden="1" x14ac:dyDescent="0.25">
      <c r="B2388" s="4">
        <v>584631810</v>
      </c>
      <c r="C2388" s="4" t="s">
        <v>268</v>
      </c>
      <c r="D2388" s="4">
        <v>94</v>
      </c>
      <c r="E2388" s="4">
        <v>7</v>
      </c>
      <c r="G2388">
        <f t="shared" si="37"/>
        <v>112</v>
      </c>
    </row>
    <row r="2389" spans="2:7" ht="15" hidden="1" x14ac:dyDescent="0.25">
      <c r="B2389" s="4">
        <v>584631810</v>
      </c>
      <c r="C2389" s="4" t="s">
        <v>268</v>
      </c>
      <c r="D2389" s="4">
        <v>94</v>
      </c>
      <c r="E2389" s="4">
        <v>7</v>
      </c>
      <c r="G2389">
        <f t="shared" si="37"/>
        <v>112</v>
      </c>
    </row>
    <row r="2390" spans="2:7" ht="15" hidden="1" x14ac:dyDescent="0.25">
      <c r="B2390" s="4">
        <v>584631810</v>
      </c>
      <c r="C2390" s="4" t="s">
        <v>269</v>
      </c>
      <c r="D2390" s="4">
        <v>81</v>
      </c>
      <c r="E2390" s="4">
        <v>57</v>
      </c>
      <c r="G2390">
        <f t="shared" si="37"/>
        <v>512</v>
      </c>
    </row>
    <row r="2391" spans="2:7" ht="15" hidden="1" x14ac:dyDescent="0.25">
      <c r="B2391" s="4">
        <v>584631811</v>
      </c>
      <c r="C2391" s="4" t="s">
        <v>269</v>
      </c>
      <c r="D2391" s="4">
        <v>82</v>
      </c>
      <c r="E2391" s="4">
        <v>57</v>
      </c>
      <c r="G2391">
        <f t="shared" si="37"/>
        <v>512</v>
      </c>
    </row>
    <row r="2392" spans="2:7" ht="15" hidden="1" x14ac:dyDescent="0.25">
      <c r="B2392" s="4">
        <v>584631812</v>
      </c>
      <c r="C2392" s="4" t="s">
        <v>269</v>
      </c>
      <c r="D2392" s="4">
        <v>83</v>
      </c>
      <c r="E2392" s="4">
        <v>57</v>
      </c>
      <c r="G2392">
        <f t="shared" si="37"/>
        <v>512</v>
      </c>
    </row>
    <row r="2393" spans="2:7" ht="15" hidden="1" x14ac:dyDescent="0.25">
      <c r="B2393" s="4">
        <v>584631813</v>
      </c>
      <c r="C2393" s="4" t="s">
        <v>268</v>
      </c>
      <c r="D2393" s="4">
        <v>95</v>
      </c>
      <c r="E2393" s="4">
        <v>9</v>
      </c>
      <c r="G2393">
        <f t="shared" si="37"/>
        <v>128</v>
      </c>
    </row>
    <row r="2394" spans="2:7" ht="15" hidden="1" x14ac:dyDescent="0.25">
      <c r="B2394" s="4">
        <v>584631813</v>
      </c>
      <c r="C2394" s="4" t="s">
        <v>268</v>
      </c>
      <c r="D2394" s="4">
        <v>95</v>
      </c>
      <c r="E2394" s="4">
        <v>9</v>
      </c>
      <c r="G2394">
        <f t="shared" si="37"/>
        <v>128</v>
      </c>
    </row>
    <row r="2395" spans="2:7" ht="15" hidden="1" x14ac:dyDescent="0.25">
      <c r="B2395" s="4">
        <v>584631813</v>
      </c>
      <c r="C2395" s="4" t="s">
        <v>268</v>
      </c>
      <c r="D2395" s="4">
        <v>96</v>
      </c>
      <c r="E2395" s="4">
        <v>7</v>
      </c>
      <c r="G2395">
        <f t="shared" si="37"/>
        <v>112</v>
      </c>
    </row>
    <row r="2396" spans="2:7" ht="15" hidden="1" x14ac:dyDescent="0.25">
      <c r="B2396" s="4">
        <v>584631813</v>
      </c>
      <c r="C2396" s="4" t="s">
        <v>268</v>
      </c>
      <c r="D2396" s="4">
        <v>96</v>
      </c>
      <c r="E2396" s="4">
        <v>7</v>
      </c>
      <c r="G2396">
        <f t="shared" si="37"/>
        <v>112</v>
      </c>
    </row>
    <row r="2397" spans="2:7" ht="15" hidden="1" x14ac:dyDescent="0.25">
      <c r="B2397" s="4">
        <v>584631813</v>
      </c>
      <c r="C2397" s="4" t="s">
        <v>268</v>
      </c>
      <c r="D2397" s="4">
        <v>97</v>
      </c>
      <c r="E2397" s="4">
        <v>7</v>
      </c>
      <c r="G2397">
        <f t="shared" si="37"/>
        <v>112</v>
      </c>
    </row>
    <row r="2398" spans="2:7" ht="15" hidden="1" x14ac:dyDescent="0.25">
      <c r="B2398" s="4">
        <v>584631813</v>
      </c>
      <c r="C2398" s="4" t="s">
        <v>268</v>
      </c>
      <c r="D2398" s="4">
        <v>97</v>
      </c>
      <c r="E2398" s="4">
        <v>7</v>
      </c>
      <c r="G2398">
        <f t="shared" si="37"/>
        <v>112</v>
      </c>
    </row>
    <row r="2399" spans="2:7" ht="15" hidden="1" x14ac:dyDescent="0.25">
      <c r="B2399" s="4">
        <v>584631813</v>
      </c>
      <c r="C2399" s="4" t="s">
        <v>269</v>
      </c>
      <c r="D2399" s="4">
        <v>84</v>
      </c>
      <c r="E2399" s="4">
        <v>57</v>
      </c>
      <c r="G2399">
        <f t="shared" si="37"/>
        <v>512</v>
      </c>
    </row>
    <row r="2400" spans="2:7" ht="15" hidden="1" x14ac:dyDescent="0.25">
      <c r="B2400" s="4">
        <v>584631814</v>
      </c>
      <c r="C2400" s="4" t="s">
        <v>269</v>
      </c>
      <c r="D2400" s="4">
        <v>85</v>
      </c>
      <c r="E2400" s="4">
        <v>57</v>
      </c>
      <c r="G2400">
        <f t="shared" si="37"/>
        <v>512</v>
      </c>
    </row>
    <row r="2401" spans="2:7" ht="15" hidden="1" x14ac:dyDescent="0.25">
      <c r="B2401" s="4">
        <v>584631815</v>
      </c>
      <c r="C2401" s="4" t="s">
        <v>269</v>
      </c>
      <c r="D2401" s="4">
        <v>86</v>
      </c>
      <c r="E2401" s="4">
        <v>57</v>
      </c>
      <c r="G2401">
        <f t="shared" si="37"/>
        <v>512</v>
      </c>
    </row>
    <row r="2402" spans="2:7" ht="15" hidden="1" x14ac:dyDescent="0.25">
      <c r="B2402" s="4">
        <v>584631816</v>
      </c>
      <c r="C2402" s="4" t="s">
        <v>268</v>
      </c>
      <c r="D2402" s="4">
        <v>98</v>
      </c>
      <c r="E2402" s="4">
        <v>9</v>
      </c>
      <c r="G2402">
        <f t="shared" si="37"/>
        <v>128</v>
      </c>
    </row>
    <row r="2403" spans="2:7" ht="15" hidden="1" x14ac:dyDescent="0.25">
      <c r="B2403" s="4">
        <v>584631816</v>
      </c>
      <c r="C2403" s="4" t="s">
        <v>268</v>
      </c>
      <c r="D2403" s="4">
        <v>98</v>
      </c>
      <c r="E2403" s="4">
        <v>9</v>
      </c>
      <c r="G2403">
        <f t="shared" si="37"/>
        <v>128</v>
      </c>
    </row>
    <row r="2404" spans="2:7" ht="15" hidden="1" x14ac:dyDescent="0.25">
      <c r="B2404" s="4">
        <v>584631816</v>
      </c>
      <c r="C2404" s="4" t="s">
        <v>268</v>
      </c>
      <c r="D2404" s="4">
        <v>99</v>
      </c>
      <c r="E2404" s="4">
        <v>7</v>
      </c>
      <c r="G2404">
        <f t="shared" si="37"/>
        <v>112</v>
      </c>
    </row>
    <row r="2405" spans="2:7" ht="15" hidden="1" x14ac:dyDescent="0.25">
      <c r="B2405" s="4">
        <v>584631816</v>
      </c>
      <c r="C2405" s="4" t="s">
        <v>268</v>
      </c>
      <c r="D2405" s="4">
        <v>99</v>
      </c>
      <c r="E2405" s="4">
        <v>7</v>
      </c>
      <c r="G2405">
        <f t="shared" si="37"/>
        <v>112</v>
      </c>
    </row>
    <row r="2406" spans="2:7" ht="15" hidden="1" x14ac:dyDescent="0.25">
      <c r="B2406" s="4">
        <v>584631816</v>
      </c>
      <c r="C2406" s="4" t="s">
        <v>268</v>
      </c>
      <c r="D2406" s="4">
        <v>100</v>
      </c>
      <c r="E2406" s="4">
        <v>7</v>
      </c>
      <c r="G2406">
        <f t="shared" si="37"/>
        <v>112</v>
      </c>
    </row>
    <row r="2407" spans="2:7" ht="15" hidden="1" x14ac:dyDescent="0.25">
      <c r="B2407" s="4">
        <v>584631816</v>
      </c>
      <c r="C2407" s="4" t="s">
        <v>268</v>
      </c>
      <c r="D2407" s="4">
        <v>100</v>
      </c>
      <c r="E2407" s="4">
        <v>7</v>
      </c>
      <c r="G2407">
        <f t="shared" si="37"/>
        <v>112</v>
      </c>
    </row>
    <row r="2408" spans="2:7" ht="15" hidden="1" x14ac:dyDescent="0.25">
      <c r="B2408" s="4">
        <v>584631816</v>
      </c>
      <c r="C2408" s="4" t="s">
        <v>269</v>
      </c>
      <c r="D2408" s="4">
        <v>87</v>
      </c>
      <c r="E2408" s="4">
        <v>57</v>
      </c>
      <c r="G2408">
        <f t="shared" si="37"/>
        <v>512</v>
      </c>
    </row>
    <row r="2409" spans="2:7" ht="15" hidden="1" x14ac:dyDescent="0.25">
      <c r="B2409" s="4">
        <v>584631817</v>
      </c>
      <c r="C2409" s="4" t="s">
        <v>269</v>
      </c>
      <c r="D2409" s="4">
        <v>88</v>
      </c>
      <c r="E2409" s="4">
        <v>57</v>
      </c>
      <c r="G2409">
        <f t="shared" si="37"/>
        <v>512</v>
      </c>
    </row>
    <row r="2410" spans="2:7" ht="15" hidden="1" x14ac:dyDescent="0.25">
      <c r="B2410" s="4">
        <v>584631818</v>
      </c>
      <c r="C2410" s="4" t="s">
        <v>269</v>
      </c>
      <c r="D2410" s="4">
        <v>89</v>
      </c>
      <c r="E2410" s="4">
        <v>57</v>
      </c>
      <c r="G2410">
        <f t="shared" si="37"/>
        <v>512</v>
      </c>
    </row>
    <row r="2411" spans="2:7" ht="15" hidden="1" x14ac:dyDescent="0.25">
      <c r="B2411" s="4">
        <v>584631819</v>
      </c>
      <c r="C2411" s="4" t="s">
        <v>268</v>
      </c>
      <c r="D2411" s="4">
        <v>101</v>
      </c>
      <c r="E2411" s="4">
        <v>9</v>
      </c>
      <c r="G2411">
        <f t="shared" si="37"/>
        <v>128</v>
      </c>
    </row>
    <row r="2412" spans="2:7" ht="15" hidden="1" x14ac:dyDescent="0.25">
      <c r="B2412" s="4">
        <v>584631819</v>
      </c>
      <c r="C2412" s="4" t="s">
        <v>268</v>
      </c>
      <c r="D2412" s="4">
        <v>101</v>
      </c>
      <c r="E2412" s="4">
        <v>9</v>
      </c>
      <c r="G2412">
        <f t="shared" si="37"/>
        <v>128</v>
      </c>
    </row>
    <row r="2413" spans="2:7" ht="15" hidden="1" x14ac:dyDescent="0.25">
      <c r="B2413" s="4">
        <v>584631819</v>
      </c>
      <c r="C2413" s="4" t="s">
        <v>268</v>
      </c>
      <c r="D2413" s="4">
        <v>102</v>
      </c>
      <c r="E2413" s="4">
        <v>7</v>
      </c>
      <c r="G2413">
        <f t="shared" si="37"/>
        <v>112</v>
      </c>
    </row>
    <row r="2414" spans="2:7" ht="15" hidden="1" x14ac:dyDescent="0.25">
      <c r="B2414" s="4">
        <v>584631819</v>
      </c>
      <c r="C2414" s="4" t="s">
        <v>268</v>
      </c>
      <c r="D2414" s="4">
        <v>102</v>
      </c>
      <c r="E2414" s="4">
        <v>7</v>
      </c>
      <c r="G2414">
        <f t="shared" si="37"/>
        <v>112</v>
      </c>
    </row>
    <row r="2415" spans="2:7" ht="15" hidden="1" x14ac:dyDescent="0.25">
      <c r="B2415" s="4">
        <v>584631819</v>
      </c>
      <c r="C2415" s="4" t="s">
        <v>268</v>
      </c>
      <c r="D2415" s="4">
        <v>103</v>
      </c>
      <c r="E2415" s="4">
        <v>7</v>
      </c>
      <c r="G2415">
        <f t="shared" si="37"/>
        <v>112</v>
      </c>
    </row>
    <row r="2416" spans="2:7" ht="15" hidden="1" x14ac:dyDescent="0.25">
      <c r="B2416" s="4">
        <v>584631819</v>
      </c>
      <c r="C2416" s="4" t="s">
        <v>268</v>
      </c>
      <c r="D2416" s="4">
        <v>103</v>
      </c>
      <c r="E2416" s="4">
        <v>7</v>
      </c>
      <c r="G2416">
        <f t="shared" si="37"/>
        <v>112</v>
      </c>
    </row>
    <row r="2417" spans="2:7" ht="15" hidden="1" x14ac:dyDescent="0.25">
      <c r="B2417" s="4">
        <v>584631819</v>
      </c>
      <c r="C2417" s="4" t="s">
        <v>269</v>
      </c>
      <c r="D2417" s="4">
        <v>90</v>
      </c>
      <c r="E2417" s="4">
        <v>57</v>
      </c>
      <c r="G2417">
        <f t="shared" si="37"/>
        <v>512</v>
      </c>
    </row>
    <row r="2418" spans="2:7" ht="15" hidden="1" x14ac:dyDescent="0.25">
      <c r="B2418" s="4">
        <v>584631820</v>
      </c>
      <c r="C2418" s="4" t="s">
        <v>269</v>
      </c>
      <c r="D2418" s="4">
        <v>91</v>
      </c>
      <c r="E2418" s="4">
        <v>57</v>
      </c>
      <c r="G2418">
        <f t="shared" si="37"/>
        <v>512</v>
      </c>
    </row>
    <row r="2419" spans="2:7" ht="15" hidden="1" x14ac:dyDescent="0.25">
      <c r="B2419" s="4">
        <v>584631821</v>
      </c>
      <c r="C2419" s="4" t="s">
        <v>269</v>
      </c>
      <c r="D2419" s="4">
        <v>92</v>
      </c>
      <c r="E2419" s="4">
        <v>57</v>
      </c>
      <c r="G2419">
        <f t="shared" si="37"/>
        <v>512</v>
      </c>
    </row>
    <row r="2420" spans="2:7" ht="15" hidden="1" x14ac:dyDescent="0.25">
      <c r="B2420" s="4">
        <v>584631822</v>
      </c>
      <c r="C2420" s="4" t="s">
        <v>268</v>
      </c>
      <c r="D2420" s="4">
        <v>104</v>
      </c>
      <c r="E2420" s="4">
        <v>9</v>
      </c>
      <c r="G2420">
        <f t="shared" si="37"/>
        <v>128</v>
      </c>
    </row>
    <row r="2421" spans="2:7" ht="15" hidden="1" x14ac:dyDescent="0.25">
      <c r="B2421" s="4">
        <v>584631822</v>
      </c>
      <c r="C2421" s="4" t="s">
        <v>268</v>
      </c>
      <c r="D2421" s="4">
        <v>104</v>
      </c>
      <c r="E2421" s="4">
        <v>9</v>
      </c>
      <c r="G2421">
        <f t="shared" si="37"/>
        <v>128</v>
      </c>
    </row>
    <row r="2422" spans="2:7" ht="15" hidden="1" x14ac:dyDescent="0.25">
      <c r="B2422" s="4">
        <v>584631822</v>
      </c>
      <c r="C2422" s="4" t="s">
        <v>268</v>
      </c>
      <c r="D2422" s="4">
        <v>105</v>
      </c>
      <c r="E2422" s="4">
        <v>7</v>
      </c>
      <c r="G2422">
        <f t="shared" si="37"/>
        <v>112</v>
      </c>
    </row>
    <row r="2423" spans="2:7" ht="15" hidden="1" x14ac:dyDescent="0.25">
      <c r="B2423" s="4">
        <v>584631822</v>
      </c>
      <c r="C2423" s="4" t="s">
        <v>268</v>
      </c>
      <c r="D2423" s="4">
        <v>105</v>
      </c>
      <c r="E2423" s="4">
        <v>7</v>
      </c>
      <c r="G2423">
        <f t="shared" si="37"/>
        <v>112</v>
      </c>
    </row>
    <row r="2424" spans="2:7" ht="15" hidden="1" x14ac:dyDescent="0.25">
      <c r="B2424" s="4">
        <v>584631822</v>
      </c>
      <c r="C2424" s="4" t="s">
        <v>268</v>
      </c>
      <c r="D2424" s="4">
        <v>106</v>
      </c>
      <c r="E2424" s="4">
        <v>7</v>
      </c>
      <c r="G2424">
        <f t="shared" si="37"/>
        <v>112</v>
      </c>
    </row>
    <row r="2425" spans="2:7" ht="15" hidden="1" x14ac:dyDescent="0.25">
      <c r="B2425" s="4">
        <v>584631822</v>
      </c>
      <c r="C2425" s="4" t="s">
        <v>268</v>
      </c>
      <c r="D2425" s="4">
        <v>106</v>
      </c>
      <c r="E2425" s="4">
        <v>7</v>
      </c>
      <c r="G2425">
        <f t="shared" si="37"/>
        <v>112</v>
      </c>
    </row>
    <row r="2426" spans="2:7" ht="15" hidden="1" x14ac:dyDescent="0.25">
      <c r="B2426" s="4">
        <v>584631822</v>
      </c>
      <c r="C2426" s="4" t="s">
        <v>269</v>
      </c>
      <c r="D2426" s="4">
        <v>93</v>
      </c>
      <c r="E2426" s="4">
        <v>57</v>
      </c>
      <c r="G2426">
        <f t="shared" si="37"/>
        <v>512</v>
      </c>
    </row>
    <row r="2427" spans="2:7" ht="15" hidden="1" x14ac:dyDescent="0.25">
      <c r="B2427" s="4">
        <v>584631823</v>
      </c>
      <c r="C2427" s="4" t="s">
        <v>269</v>
      </c>
      <c r="D2427" s="4">
        <v>94</v>
      </c>
      <c r="E2427" s="4">
        <v>57</v>
      </c>
      <c r="G2427">
        <f t="shared" si="37"/>
        <v>512</v>
      </c>
    </row>
    <row r="2428" spans="2:7" ht="15" hidden="1" x14ac:dyDescent="0.25">
      <c r="B2428" s="4">
        <v>584631824</v>
      </c>
      <c r="C2428" s="4" t="s">
        <v>269</v>
      </c>
      <c r="D2428" s="4">
        <v>95</v>
      </c>
      <c r="E2428" s="4">
        <v>57</v>
      </c>
      <c r="G2428">
        <f t="shared" si="37"/>
        <v>512</v>
      </c>
    </row>
    <row r="2429" spans="2:7" ht="15" hidden="1" x14ac:dyDescent="0.25">
      <c r="B2429" s="4">
        <v>584631825</v>
      </c>
      <c r="C2429" s="4" t="s">
        <v>268</v>
      </c>
      <c r="D2429" s="4">
        <v>107</v>
      </c>
      <c r="E2429" s="4">
        <v>9</v>
      </c>
      <c r="G2429">
        <f t="shared" si="37"/>
        <v>128</v>
      </c>
    </row>
    <row r="2430" spans="2:7" ht="15" hidden="1" x14ac:dyDescent="0.25">
      <c r="B2430" s="4">
        <v>584631825</v>
      </c>
      <c r="C2430" s="4" t="s">
        <v>268</v>
      </c>
      <c r="D2430" s="4">
        <v>107</v>
      </c>
      <c r="E2430" s="4">
        <v>9</v>
      </c>
      <c r="G2430">
        <f t="shared" si="37"/>
        <v>128</v>
      </c>
    </row>
    <row r="2431" spans="2:7" ht="15" hidden="1" x14ac:dyDescent="0.25">
      <c r="B2431" s="4">
        <v>584631825</v>
      </c>
      <c r="C2431" s="4" t="s">
        <v>268</v>
      </c>
      <c r="D2431" s="4">
        <v>108</v>
      </c>
      <c r="E2431" s="4">
        <v>7</v>
      </c>
      <c r="G2431">
        <f t="shared" si="37"/>
        <v>112</v>
      </c>
    </row>
    <row r="2432" spans="2:7" ht="15" hidden="1" x14ac:dyDescent="0.25">
      <c r="B2432" s="4">
        <v>584631825</v>
      </c>
      <c r="C2432" s="4" t="s">
        <v>268</v>
      </c>
      <c r="D2432" s="4">
        <v>108</v>
      </c>
      <c r="E2432" s="4">
        <v>7</v>
      </c>
      <c r="G2432">
        <f t="shared" si="37"/>
        <v>112</v>
      </c>
    </row>
    <row r="2433" spans="2:7" ht="15" hidden="1" x14ac:dyDescent="0.25">
      <c r="B2433" s="4">
        <v>584631825</v>
      </c>
      <c r="C2433" s="4" t="s">
        <v>268</v>
      </c>
      <c r="D2433" s="4">
        <v>109</v>
      </c>
      <c r="E2433" s="4">
        <v>7</v>
      </c>
      <c r="G2433">
        <f t="shared" si="37"/>
        <v>112</v>
      </c>
    </row>
    <row r="2434" spans="2:7" ht="15" hidden="1" x14ac:dyDescent="0.25">
      <c r="B2434" s="4">
        <v>584631825</v>
      </c>
      <c r="C2434" s="4" t="s">
        <v>268</v>
      </c>
      <c r="D2434" s="4">
        <v>109</v>
      </c>
      <c r="E2434" s="4">
        <v>7</v>
      </c>
      <c r="G2434">
        <f t="shared" si="37"/>
        <v>112</v>
      </c>
    </row>
    <row r="2435" spans="2:7" ht="15" hidden="1" x14ac:dyDescent="0.25">
      <c r="B2435" s="4">
        <v>584631825</v>
      </c>
      <c r="C2435" s="4" t="s">
        <v>269</v>
      </c>
      <c r="D2435" s="4">
        <v>96</v>
      </c>
      <c r="E2435" s="4">
        <v>57</v>
      </c>
      <c r="G2435">
        <f t="shared" si="37"/>
        <v>512</v>
      </c>
    </row>
    <row r="2436" spans="2:7" ht="15" hidden="1" x14ac:dyDescent="0.25">
      <c r="B2436" s="4">
        <v>584631826</v>
      </c>
      <c r="C2436" s="4" t="s">
        <v>269</v>
      </c>
      <c r="D2436" s="4">
        <v>97</v>
      </c>
      <c r="E2436" s="4">
        <v>57</v>
      </c>
      <c r="G2436">
        <f t="shared" ref="G2436:G2499" si="38">(E2436+7)*8</f>
        <v>512</v>
      </c>
    </row>
    <row r="2437" spans="2:7" ht="15" hidden="1" x14ac:dyDescent="0.25">
      <c r="B2437" s="4">
        <v>584631827</v>
      </c>
      <c r="C2437" s="4" t="s">
        <v>269</v>
      </c>
      <c r="D2437" s="4">
        <v>98</v>
      </c>
      <c r="E2437" s="4">
        <v>57</v>
      </c>
      <c r="G2437">
        <f t="shared" si="38"/>
        <v>512</v>
      </c>
    </row>
    <row r="2438" spans="2:7" ht="15" hidden="1" x14ac:dyDescent="0.25">
      <c r="B2438" s="4">
        <v>584631828</v>
      </c>
      <c r="C2438" s="4" t="s">
        <v>268</v>
      </c>
      <c r="D2438" s="4">
        <v>110</v>
      </c>
      <c r="E2438" s="4">
        <v>9</v>
      </c>
      <c r="G2438">
        <f t="shared" si="38"/>
        <v>128</v>
      </c>
    </row>
    <row r="2439" spans="2:7" ht="15" hidden="1" x14ac:dyDescent="0.25">
      <c r="B2439" s="4">
        <v>584631828</v>
      </c>
      <c r="C2439" s="4" t="s">
        <v>268</v>
      </c>
      <c r="D2439" s="4">
        <v>110</v>
      </c>
      <c r="E2439" s="4">
        <v>9</v>
      </c>
      <c r="G2439">
        <f t="shared" si="38"/>
        <v>128</v>
      </c>
    </row>
    <row r="2440" spans="2:7" ht="15" hidden="1" x14ac:dyDescent="0.25">
      <c r="B2440" s="4">
        <v>584631828</v>
      </c>
      <c r="C2440" s="4" t="s">
        <v>268</v>
      </c>
      <c r="D2440" s="4">
        <v>111</v>
      </c>
      <c r="E2440" s="4">
        <v>7</v>
      </c>
      <c r="G2440">
        <f t="shared" si="38"/>
        <v>112</v>
      </c>
    </row>
    <row r="2441" spans="2:7" ht="15" hidden="1" x14ac:dyDescent="0.25">
      <c r="B2441" s="4">
        <v>584631828</v>
      </c>
      <c r="C2441" s="4" t="s">
        <v>268</v>
      </c>
      <c r="D2441" s="4">
        <v>111</v>
      </c>
      <c r="E2441" s="4">
        <v>7</v>
      </c>
      <c r="G2441">
        <f t="shared" si="38"/>
        <v>112</v>
      </c>
    </row>
    <row r="2442" spans="2:7" ht="15" hidden="1" x14ac:dyDescent="0.25">
      <c r="B2442" s="4">
        <v>584631828</v>
      </c>
      <c r="C2442" s="4" t="s">
        <v>268</v>
      </c>
      <c r="D2442" s="4">
        <v>112</v>
      </c>
      <c r="E2442" s="4">
        <v>5</v>
      </c>
      <c r="G2442">
        <f t="shared" si="38"/>
        <v>96</v>
      </c>
    </row>
    <row r="2443" spans="2:7" ht="15" hidden="1" x14ac:dyDescent="0.25">
      <c r="B2443" s="4">
        <v>584631828</v>
      </c>
      <c r="C2443" s="4" t="s">
        <v>268</v>
      </c>
      <c r="D2443" s="4">
        <v>112</v>
      </c>
      <c r="E2443" s="4">
        <v>5</v>
      </c>
      <c r="G2443">
        <f t="shared" si="38"/>
        <v>96</v>
      </c>
    </row>
    <row r="2444" spans="2:7" ht="15" hidden="1" x14ac:dyDescent="0.25">
      <c r="B2444" s="4">
        <v>584631828</v>
      </c>
      <c r="C2444" s="4" t="s">
        <v>268</v>
      </c>
      <c r="D2444" s="4">
        <v>113</v>
      </c>
      <c r="E2444" s="4">
        <v>9</v>
      </c>
      <c r="G2444">
        <f t="shared" si="38"/>
        <v>128</v>
      </c>
    </row>
    <row r="2445" spans="2:7" ht="15" hidden="1" x14ac:dyDescent="0.25">
      <c r="B2445" s="4">
        <v>584631828</v>
      </c>
      <c r="C2445" s="4" t="s">
        <v>268</v>
      </c>
      <c r="D2445" s="4">
        <v>113</v>
      </c>
      <c r="E2445" s="4">
        <v>9</v>
      </c>
      <c r="G2445">
        <f t="shared" si="38"/>
        <v>128</v>
      </c>
    </row>
    <row r="2446" spans="2:7" ht="15" hidden="1" x14ac:dyDescent="0.25">
      <c r="B2446" s="4">
        <v>584631828</v>
      </c>
      <c r="C2446" s="4" t="s">
        <v>268</v>
      </c>
      <c r="D2446" s="4">
        <v>114</v>
      </c>
      <c r="E2446" s="4">
        <v>6</v>
      </c>
      <c r="G2446">
        <f t="shared" si="38"/>
        <v>104</v>
      </c>
    </row>
    <row r="2447" spans="2:7" ht="15" hidden="1" x14ac:dyDescent="0.25">
      <c r="B2447" s="4">
        <v>584631828</v>
      </c>
      <c r="C2447" s="4" t="s">
        <v>268</v>
      </c>
      <c r="D2447" s="4">
        <v>114</v>
      </c>
      <c r="E2447" s="4">
        <v>6</v>
      </c>
      <c r="G2447">
        <f t="shared" si="38"/>
        <v>104</v>
      </c>
    </row>
    <row r="2448" spans="2:7" ht="15" hidden="1" x14ac:dyDescent="0.25">
      <c r="B2448" s="4">
        <v>584631828</v>
      </c>
      <c r="C2448" s="4" t="s">
        <v>268</v>
      </c>
      <c r="D2448" s="4">
        <v>115</v>
      </c>
      <c r="E2448" s="4">
        <v>9</v>
      </c>
      <c r="G2448">
        <f t="shared" si="38"/>
        <v>128</v>
      </c>
    </row>
    <row r="2449" spans="2:7" ht="15" hidden="1" x14ac:dyDescent="0.25">
      <c r="B2449" s="4">
        <v>584631828</v>
      </c>
      <c r="C2449" s="4" t="s">
        <v>268</v>
      </c>
      <c r="D2449" s="4">
        <v>115</v>
      </c>
      <c r="E2449" s="4">
        <v>9</v>
      </c>
      <c r="G2449">
        <f t="shared" si="38"/>
        <v>128</v>
      </c>
    </row>
    <row r="2450" spans="2:7" ht="15" hidden="1" x14ac:dyDescent="0.25">
      <c r="B2450" s="4">
        <v>584631828</v>
      </c>
      <c r="C2450" s="4" t="s">
        <v>268</v>
      </c>
      <c r="D2450" s="4">
        <v>116</v>
      </c>
      <c r="E2450" s="4">
        <v>7</v>
      </c>
      <c r="G2450">
        <f t="shared" si="38"/>
        <v>112</v>
      </c>
    </row>
    <row r="2451" spans="2:7" ht="15" hidden="1" x14ac:dyDescent="0.25">
      <c r="B2451" s="4">
        <v>584631828</v>
      </c>
      <c r="C2451" s="4" t="s">
        <v>268</v>
      </c>
      <c r="D2451" s="4">
        <v>116</v>
      </c>
      <c r="E2451" s="4">
        <v>7</v>
      </c>
      <c r="G2451">
        <f t="shared" si="38"/>
        <v>112</v>
      </c>
    </row>
    <row r="2452" spans="2:7" ht="15" hidden="1" x14ac:dyDescent="0.25">
      <c r="B2452" s="4">
        <v>584631828</v>
      </c>
      <c r="C2452" s="4" t="s">
        <v>268</v>
      </c>
      <c r="D2452" s="4">
        <v>117</v>
      </c>
      <c r="E2452" s="4">
        <v>7</v>
      </c>
      <c r="G2452">
        <f t="shared" si="38"/>
        <v>112</v>
      </c>
    </row>
    <row r="2453" spans="2:7" ht="15" hidden="1" x14ac:dyDescent="0.25">
      <c r="B2453" s="4">
        <v>584631828</v>
      </c>
      <c r="C2453" s="4" t="s">
        <v>268</v>
      </c>
      <c r="D2453" s="4">
        <v>117</v>
      </c>
      <c r="E2453" s="4">
        <v>7</v>
      </c>
      <c r="G2453">
        <f t="shared" si="38"/>
        <v>112</v>
      </c>
    </row>
    <row r="2454" spans="2:7" ht="15" hidden="1" x14ac:dyDescent="0.25">
      <c r="B2454" s="4">
        <v>584631828</v>
      </c>
      <c r="C2454" s="4" t="s">
        <v>268</v>
      </c>
      <c r="D2454" s="4">
        <v>118</v>
      </c>
      <c r="E2454" s="4">
        <v>7</v>
      </c>
      <c r="G2454">
        <f t="shared" si="38"/>
        <v>112</v>
      </c>
    </row>
    <row r="2455" spans="2:7" ht="15" hidden="1" x14ac:dyDescent="0.25">
      <c r="B2455" s="4">
        <v>584631828</v>
      </c>
      <c r="C2455" s="4" t="s">
        <v>268</v>
      </c>
      <c r="D2455" s="4">
        <v>118</v>
      </c>
      <c r="E2455" s="4">
        <v>7</v>
      </c>
      <c r="G2455">
        <f t="shared" si="38"/>
        <v>112</v>
      </c>
    </row>
    <row r="2456" spans="2:7" ht="15" hidden="1" x14ac:dyDescent="0.25">
      <c r="B2456" s="4">
        <v>584631828</v>
      </c>
      <c r="C2456" s="4" t="s">
        <v>269</v>
      </c>
      <c r="D2456" s="4">
        <v>99</v>
      </c>
      <c r="E2456" s="4">
        <v>57</v>
      </c>
      <c r="G2456">
        <f t="shared" si="38"/>
        <v>512</v>
      </c>
    </row>
    <row r="2457" spans="2:7" ht="15" hidden="1" x14ac:dyDescent="0.25">
      <c r="B2457" s="4">
        <v>584631829</v>
      </c>
      <c r="C2457" s="4" t="s">
        <v>269</v>
      </c>
      <c r="D2457" s="4">
        <v>100</v>
      </c>
      <c r="E2457" s="4">
        <v>57</v>
      </c>
      <c r="G2457">
        <f t="shared" si="38"/>
        <v>512</v>
      </c>
    </row>
    <row r="2458" spans="2:7" ht="15" hidden="1" x14ac:dyDescent="0.25">
      <c r="B2458" s="4">
        <v>584631830</v>
      </c>
      <c r="C2458" s="4" t="s">
        <v>268</v>
      </c>
      <c r="D2458" s="4">
        <v>119</v>
      </c>
      <c r="E2458" s="4">
        <v>7</v>
      </c>
      <c r="G2458">
        <f t="shared" si="38"/>
        <v>112</v>
      </c>
    </row>
    <row r="2459" spans="2:7" ht="15" hidden="1" x14ac:dyDescent="0.25">
      <c r="B2459" s="4">
        <v>584631830</v>
      </c>
      <c r="C2459" s="4" t="s">
        <v>268</v>
      </c>
      <c r="D2459" s="4">
        <v>119</v>
      </c>
      <c r="E2459" s="4">
        <v>7</v>
      </c>
      <c r="G2459">
        <f t="shared" si="38"/>
        <v>112</v>
      </c>
    </row>
    <row r="2460" spans="2:7" ht="15" hidden="1" x14ac:dyDescent="0.25">
      <c r="B2460" s="4">
        <v>584631830</v>
      </c>
      <c r="C2460" s="4" t="s">
        <v>268</v>
      </c>
      <c r="D2460" s="4">
        <v>120</v>
      </c>
      <c r="E2460" s="4">
        <v>5</v>
      </c>
      <c r="G2460">
        <f t="shared" si="38"/>
        <v>96</v>
      </c>
    </row>
    <row r="2461" spans="2:7" ht="15" hidden="1" x14ac:dyDescent="0.25">
      <c r="B2461" s="4">
        <v>584631830</v>
      </c>
      <c r="C2461" s="4" t="s">
        <v>268</v>
      </c>
      <c r="D2461" s="4">
        <v>120</v>
      </c>
      <c r="E2461" s="4">
        <v>5</v>
      </c>
      <c r="G2461">
        <f t="shared" si="38"/>
        <v>96</v>
      </c>
    </row>
    <row r="2462" spans="2:7" ht="15" hidden="1" x14ac:dyDescent="0.25">
      <c r="B2462" s="4">
        <v>584631830</v>
      </c>
      <c r="C2462" s="4" t="s">
        <v>268</v>
      </c>
      <c r="D2462" s="4">
        <v>121</v>
      </c>
      <c r="E2462" s="4">
        <v>7</v>
      </c>
      <c r="G2462">
        <f t="shared" si="38"/>
        <v>112</v>
      </c>
    </row>
    <row r="2463" spans="2:7" ht="15" hidden="1" x14ac:dyDescent="0.25">
      <c r="B2463" s="4">
        <v>584631830</v>
      </c>
      <c r="C2463" s="4" t="s">
        <v>268</v>
      </c>
      <c r="D2463" s="4">
        <v>121</v>
      </c>
      <c r="E2463" s="4">
        <v>7</v>
      </c>
      <c r="G2463">
        <f t="shared" si="38"/>
        <v>112</v>
      </c>
    </row>
    <row r="2464" spans="2:7" ht="15" hidden="1" x14ac:dyDescent="0.25">
      <c r="B2464" s="4">
        <v>584631830</v>
      </c>
      <c r="C2464" s="4" t="s">
        <v>269</v>
      </c>
      <c r="D2464" s="4">
        <v>101</v>
      </c>
      <c r="E2464" s="4">
        <v>57</v>
      </c>
      <c r="G2464">
        <f t="shared" si="38"/>
        <v>512</v>
      </c>
    </row>
    <row r="2465" spans="2:7" ht="15" hidden="1" x14ac:dyDescent="0.25">
      <c r="B2465" s="4">
        <v>584631831</v>
      </c>
      <c r="C2465" s="4" t="s">
        <v>269</v>
      </c>
      <c r="D2465" s="4">
        <v>102</v>
      </c>
      <c r="E2465" s="4">
        <v>57</v>
      </c>
      <c r="G2465">
        <f t="shared" si="38"/>
        <v>512</v>
      </c>
    </row>
    <row r="2466" spans="2:7" ht="15" hidden="1" x14ac:dyDescent="0.25">
      <c r="B2466" s="4">
        <v>584631832</v>
      </c>
      <c r="C2466" s="4" t="s">
        <v>269</v>
      </c>
      <c r="D2466" s="4">
        <v>103</v>
      </c>
      <c r="E2466" s="4">
        <v>57</v>
      </c>
      <c r="G2466">
        <f t="shared" si="38"/>
        <v>512</v>
      </c>
    </row>
    <row r="2467" spans="2:7" ht="15" hidden="1" x14ac:dyDescent="0.25">
      <c r="B2467" s="4">
        <v>584631833</v>
      </c>
      <c r="C2467" s="4" t="s">
        <v>269</v>
      </c>
      <c r="D2467" s="4">
        <v>104</v>
      </c>
      <c r="E2467" s="4">
        <v>57</v>
      </c>
      <c r="G2467">
        <f t="shared" si="38"/>
        <v>512</v>
      </c>
    </row>
    <row r="2468" spans="2:7" ht="15" hidden="1" x14ac:dyDescent="0.25">
      <c r="B2468" s="4">
        <v>584631834</v>
      </c>
      <c r="C2468" s="4" t="s">
        <v>269</v>
      </c>
      <c r="D2468" s="4">
        <v>105</v>
      </c>
      <c r="E2468" s="4">
        <v>57</v>
      </c>
      <c r="G2468">
        <f t="shared" si="38"/>
        <v>512</v>
      </c>
    </row>
    <row r="2469" spans="2:7" ht="15" hidden="1" x14ac:dyDescent="0.25">
      <c r="B2469" s="4">
        <v>584631835</v>
      </c>
      <c r="C2469" s="4" t="s">
        <v>269</v>
      </c>
      <c r="D2469" s="4">
        <v>106</v>
      </c>
      <c r="E2469" s="4">
        <v>57</v>
      </c>
      <c r="G2469">
        <f t="shared" si="38"/>
        <v>512</v>
      </c>
    </row>
    <row r="2470" spans="2:7" ht="15" hidden="1" x14ac:dyDescent="0.25">
      <c r="B2470" s="4">
        <v>584631836</v>
      </c>
      <c r="C2470" s="4" t="s">
        <v>269</v>
      </c>
      <c r="D2470" s="4">
        <v>107</v>
      </c>
      <c r="E2470" s="4">
        <v>57</v>
      </c>
      <c r="G2470">
        <f t="shared" si="38"/>
        <v>512</v>
      </c>
    </row>
    <row r="2471" spans="2:7" ht="15" hidden="1" x14ac:dyDescent="0.25">
      <c r="B2471" s="4">
        <v>584631837</v>
      </c>
      <c r="C2471" s="4" t="s">
        <v>269</v>
      </c>
      <c r="D2471" s="4">
        <v>108</v>
      </c>
      <c r="E2471" s="4">
        <v>57</v>
      </c>
      <c r="G2471">
        <f t="shared" si="38"/>
        <v>512</v>
      </c>
    </row>
    <row r="2472" spans="2:7" ht="15" hidden="1" x14ac:dyDescent="0.25">
      <c r="B2472" s="4">
        <v>584631838</v>
      </c>
      <c r="C2472" s="4" t="s">
        <v>269</v>
      </c>
      <c r="D2472" s="4">
        <v>109</v>
      </c>
      <c r="E2472" s="4">
        <v>57</v>
      </c>
      <c r="G2472">
        <f t="shared" si="38"/>
        <v>512</v>
      </c>
    </row>
    <row r="2473" spans="2:7" ht="15" hidden="1" x14ac:dyDescent="0.25">
      <c r="B2473" s="4">
        <v>584631839</v>
      </c>
      <c r="C2473" s="4" t="s">
        <v>269</v>
      </c>
      <c r="D2473" s="4">
        <v>110</v>
      </c>
      <c r="E2473" s="4">
        <v>57</v>
      </c>
      <c r="G2473">
        <f t="shared" si="38"/>
        <v>512</v>
      </c>
    </row>
    <row r="2474" spans="2:7" ht="15" hidden="1" x14ac:dyDescent="0.25">
      <c r="B2474" s="4">
        <v>584631840</v>
      </c>
      <c r="C2474" s="4" t="s">
        <v>269</v>
      </c>
      <c r="D2474" s="4">
        <v>111</v>
      </c>
      <c r="E2474" s="4">
        <v>57</v>
      </c>
      <c r="G2474">
        <f t="shared" si="38"/>
        <v>512</v>
      </c>
    </row>
    <row r="2475" spans="2:7" ht="15" hidden="1" x14ac:dyDescent="0.25">
      <c r="B2475" s="4">
        <v>584631841</v>
      </c>
      <c r="C2475" s="4" t="s">
        <v>269</v>
      </c>
      <c r="D2475" s="4">
        <v>112</v>
      </c>
      <c r="E2475" s="4">
        <v>57</v>
      </c>
      <c r="G2475">
        <f t="shared" si="38"/>
        <v>512</v>
      </c>
    </row>
    <row r="2476" spans="2:7" ht="15" hidden="1" x14ac:dyDescent="0.25">
      <c r="B2476" s="4">
        <v>584631842</v>
      </c>
      <c r="C2476" s="4" t="s">
        <v>269</v>
      </c>
      <c r="D2476" s="4">
        <v>113</v>
      </c>
      <c r="E2476" s="4">
        <v>57</v>
      </c>
      <c r="G2476">
        <f t="shared" si="38"/>
        <v>512</v>
      </c>
    </row>
    <row r="2477" spans="2:7" ht="15" hidden="1" x14ac:dyDescent="0.25">
      <c r="B2477" s="4">
        <v>584631843</v>
      </c>
      <c r="C2477" s="4" t="s">
        <v>269</v>
      </c>
      <c r="D2477" s="4">
        <v>114</v>
      </c>
      <c r="E2477" s="4">
        <v>57</v>
      </c>
      <c r="G2477">
        <f t="shared" si="38"/>
        <v>512</v>
      </c>
    </row>
    <row r="2478" spans="2:7" ht="15" hidden="1" x14ac:dyDescent="0.25">
      <c r="B2478" s="4">
        <v>584631844</v>
      </c>
      <c r="C2478" s="4" t="s">
        <v>269</v>
      </c>
      <c r="D2478" s="4">
        <v>115</v>
      </c>
      <c r="E2478" s="4">
        <v>57</v>
      </c>
      <c r="G2478">
        <f t="shared" si="38"/>
        <v>512</v>
      </c>
    </row>
    <row r="2479" spans="2:7" ht="15" hidden="1" x14ac:dyDescent="0.25">
      <c r="B2479" s="4">
        <v>584631845</v>
      </c>
      <c r="C2479" s="4" t="s">
        <v>269</v>
      </c>
      <c r="D2479" s="4">
        <v>116</v>
      </c>
      <c r="E2479" s="4">
        <v>57</v>
      </c>
      <c r="G2479">
        <f t="shared" si="38"/>
        <v>512</v>
      </c>
    </row>
    <row r="2480" spans="2:7" ht="15" hidden="1" x14ac:dyDescent="0.25">
      <c r="B2480" s="4">
        <v>584631846</v>
      </c>
      <c r="C2480" s="4" t="s">
        <v>269</v>
      </c>
      <c r="D2480" s="4">
        <v>117</v>
      </c>
      <c r="E2480" s="4">
        <v>57</v>
      </c>
      <c r="G2480">
        <f t="shared" si="38"/>
        <v>512</v>
      </c>
    </row>
    <row r="2481" spans="1:7" ht="15" hidden="1" x14ac:dyDescent="0.25">
      <c r="B2481" s="4">
        <v>584631847</v>
      </c>
      <c r="C2481" s="4" t="s">
        <v>269</v>
      </c>
      <c r="D2481" s="4">
        <v>118</v>
      </c>
      <c r="E2481" s="4">
        <v>57</v>
      </c>
      <c r="G2481">
        <f t="shared" si="38"/>
        <v>512</v>
      </c>
    </row>
    <row r="2482" spans="1:7" ht="15" hidden="1" x14ac:dyDescent="0.25">
      <c r="B2482" s="4">
        <v>584631848</v>
      </c>
      <c r="C2482" s="4" t="s">
        <v>269</v>
      </c>
      <c r="D2482" s="4">
        <v>119</v>
      </c>
      <c r="E2482" s="4">
        <v>57</v>
      </c>
      <c r="G2482">
        <f t="shared" si="38"/>
        <v>512</v>
      </c>
    </row>
    <row r="2483" spans="1:7" ht="15" x14ac:dyDescent="0.25">
      <c r="A2483">
        <f>B2483-B2273</f>
        <v>73</v>
      </c>
      <c r="B2483" s="4">
        <v>584631848</v>
      </c>
      <c r="C2483" s="4" t="s">
        <v>270</v>
      </c>
      <c r="D2483" s="4">
        <v>0</v>
      </c>
      <c r="E2483" s="4">
        <v>1100</v>
      </c>
      <c r="G2483">
        <f t="shared" si="38"/>
        <v>8856</v>
      </c>
    </row>
    <row r="2484" spans="1:7" ht="15" x14ac:dyDescent="0.25">
      <c r="A2484">
        <f>B2484-B2274</f>
        <v>73</v>
      </c>
      <c r="B2484" s="4">
        <v>584631848</v>
      </c>
      <c r="C2484" s="4" t="s">
        <v>271</v>
      </c>
      <c r="D2484" s="4">
        <v>0</v>
      </c>
      <c r="E2484" s="4">
        <v>1100</v>
      </c>
      <c r="G2484">
        <f t="shared" si="38"/>
        <v>8856</v>
      </c>
    </row>
    <row r="2485" spans="1:7" ht="15" hidden="1" x14ac:dyDescent="0.25">
      <c r="B2485" s="4">
        <v>584631849</v>
      </c>
      <c r="C2485" s="4" t="s">
        <v>269</v>
      </c>
      <c r="D2485" s="4">
        <v>120</v>
      </c>
      <c r="E2485" s="4">
        <v>57</v>
      </c>
      <c r="G2485">
        <f t="shared" si="38"/>
        <v>512</v>
      </c>
    </row>
    <row r="2486" spans="1:7" ht="15" hidden="1" x14ac:dyDescent="0.25">
      <c r="B2486" s="4">
        <v>584631849</v>
      </c>
      <c r="C2486" s="4" t="s">
        <v>272</v>
      </c>
      <c r="D2486" s="4">
        <v>0</v>
      </c>
      <c r="E2486" s="4">
        <v>227</v>
      </c>
      <c r="G2486">
        <f t="shared" si="38"/>
        <v>1872</v>
      </c>
    </row>
    <row r="2487" spans="1:7" ht="15" hidden="1" x14ac:dyDescent="0.25">
      <c r="B2487" s="4">
        <v>584631850</v>
      </c>
      <c r="C2487" s="4" t="s">
        <v>269</v>
      </c>
      <c r="D2487" s="4">
        <v>121</v>
      </c>
      <c r="E2487" s="4">
        <v>57</v>
      </c>
      <c r="G2487">
        <f t="shared" si="38"/>
        <v>512</v>
      </c>
    </row>
    <row r="2488" spans="1:7" ht="15" hidden="1" x14ac:dyDescent="0.25">
      <c r="B2488" s="4">
        <v>584631851</v>
      </c>
      <c r="C2488" s="4" t="s">
        <v>269</v>
      </c>
      <c r="D2488" s="4">
        <v>122</v>
      </c>
      <c r="E2488" s="4">
        <v>57</v>
      </c>
      <c r="G2488">
        <f t="shared" si="38"/>
        <v>512</v>
      </c>
    </row>
    <row r="2489" spans="1:7" ht="15" hidden="1" x14ac:dyDescent="0.25">
      <c r="B2489" s="4">
        <v>584631852</v>
      </c>
      <c r="C2489" s="4" t="s">
        <v>269</v>
      </c>
      <c r="D2489" s="4">
        <v>123</v>
      </c>
      <c r="E2489" s="4">
        <v>57</v>
      </c>
      <c r="G2489">
        <f t="shared" si="38"/>
        <v>512</v>
      </c>
    </row>
    <row r="2490" spans="1:7" ht="15" hidden="1" x14ac:dyDescent="0.25">
      <c r="B2490" s="4">
        <v>584631853</v>
      </c>
      <c r="C2490" s="4" t="s">
        <v>269</v>
      </c>
      <c r="D2490" s="4">
        <v>124</v>
      </c>
      <c r="E2490" s="4">
        <v>57</v>
      </c>
      <c r="G2490">
        <f t="shared" si="38"/>
        <v>512</v>
      </c>
    </row>
    <row r="2491" spans="1:7" ht="15" hidden="1" x14ac:dyDescent="0.25">
      <c r="B2491" s="4">
        <v>584631854</v>
      </c>
      <c r="C2491" s="4" t="s">
        <v>269</v>
      </c>
      <c r="D2491" s="4">
        <v>125</v>
      </c>
      <c r="E2491" s="4">
        <v>57</v>
      </c>
      <c r="G2491">
        <f t="shared" si="38"/>
        <v>512</v>
      </c>
    </row>
    <row r="2492" spans="1:7" ht="15" hidden="1" x14ac:dyDescent="0.25">
      <c r="B2492" s="4">
        <v>584631855</v>
      </c>
      <c r="C2492" s="4" t="s">
        <v>269</v>
      </c>
      <c r="D2492" s="4">
        <v>126</v>
      </c>
      <c r="E2492" s="4">
        <v>57</v>
      </c>
      <c r="G2492">
        <f t="shared" si="38"/>
        <v>512</v>
      </c>
    </row>
    <row r="2493" spans="1:7" ht="15" hidden="1" x14ac:dyDescent="0.25">
      <c r="B2493" s="4">
        <v>584631856</v>
      </c>
      <c r="C2493" s="4" t="s">
        <v>269</v>
      </c>
      <c r="D2493" s="4">
        <v>127</v>
      </c>
      <c r="E2493" s="4">
        <v>57</v>
      </c>
      <c r="G2493">
        <f t="shared" si="38"/>
        <v>512</v>
      </c>
    </row>
    <row r="2494" spans="1:7" ht="15" hidden="1" x14ac:dyDescent="0.25">
      <c r="B2494" s="4">
        <v>584631857</v>
      </c>
      <c r="C2494" s="4" t="s">
        <v>269</v>
      </c>
      <c r="D2494" s="4">
        <v>128</v>
      </c>
      <c r="E2494" s="4">
        <v>57</v>
      </c>
      <c r="G2494">
        <f t="shared" si="38"/>
        <v>512</v>
      </c>
    </row>
    <row r="2495" spans="1:7" ht="15" hidden="1" x14ac:dyDescent="0.25">
      <c r="B2495" s="4">
        <v>584631858</v>
      </c>
      <c r="C2495" s="4" t="s">
        <v>269</v>
      </c>
      <c r="D2495" s="4">
        <v>129</v>
      </c>
      <c r="E2495" s="4">
        <v>57</v>
      </c>
      <c r="G2495">
        <f t="shared" si="38"/>
        <v>512</v>
      </c>
    </row>
    <row r="2496" spans="1:7" ht="15" hidden="1" x14ac:dyDescent="0.25">
      <c r="B2496" s="4">
        <v>584631858</v>
      </c>
      <c r="C2496" s="4" t="s">
        <v>272</v>
      </c>
      <c r="D2496" s="4">
        <v>1</v>
      </c>
      <c r="E2496" s="4">
        <v>207</v>
      </c>
      <c r="G2496">
        <f t="shared" si="38"/>
        <v>1712</v>
      </c>
    </row>
    <row r="2497" spans="2:7" ht="15" hidden="1" x14ac:dyDescent="0.25">
      <c r="B2497" s="4">
        <v>584631859</v>
      </c>
      <c r="C2497" s="4" t="s">
        <v>269</v>
      </c>
      <c r="D2497" s="4">
        <v>130</v>
      </c>
      <c r="E2497" s="4">
        <v>57</v>
      </c>
      <c r="G2497">
        <f t="shared" si="38"/>
        <v>512</v>
      </c>
    </row>
    <row r="2498" spans="2:7" ht="15" hidden="1" x14ac:dyDescent="0.25">
      <c r="B2498" s="4">
        <v>584631860</v>
      </c>
      <c r="C2498" s="4" t="s">
        <v>268</v>
      </c>
      <c r="D2498" s="4">
        <v>122</v>
      </c>
      <c r="E2498" s="4">
        <v>6</v>
      </c>
      <c r="G2498">
        <f t="shared" si="38"/>
        <v>104</v>
      </c>
    </row>
    <row r="2499" spans="2:7" ht="15" hidden="1" x14ac:dyDescent="0.25">
      <c r="B2499" s="4">
        <v>584631860</v>
      </c>
      <c r="C2499" s="4" t="s">
        <v>268</v>
      </c>
      <c r="D2499" s="4">
        <v>122</v>
      </c>
      <c r="E2499" s="4">
        <v>6</v>
      </c>
      <c r="G2499">
        <f t="shared" si="38"/>
        <v>104</v>
      </c>
    </row>
    <row r="2500" spans="2:7" ht="15" hidden="1" x14ac:dyDescent="0.25">
      <c r="B2500" s="4">
        <v>584631860</v>
      </c>
      <c r="C2500" s="4" t="s">
        <v>268</v>
      </c>
      <c r="D2500" s="4">
        <v>123</v>
      </c>
      <c r="E2500" s="4">
        <v>9</v>
      </c>
      <c r="G2500">
        <f t="shared" ref="G2500:G2563" si="39">(E2500+7)*8</f>
        <v>128</v>
      </c>
    </row>
    <row r="2501" spans="2:7" ht="15" hidden="1" x14ac:dyDescent="0.25">
      <c r="B2501" s="4">
        <v>584631860</v>
      </c>
      <c r="C2501" s="4" t="s">
        <v>268</v>
      </c>
      <c r="D2501" s="4">
        <v>123</v>
      </c>
      <c r="E2501" s="4">
        <v>9</v>
      </c>
      <c r="G2501">
        <f t="shared" si="39"/>
        <v>128</v>
      </c>
    </row>
    <row r="2502" spans="2:7" ht="15" hidden="1" x14ac:dyDescent="0.25">
      <c r="B2502" s="4">
        <v>584631860</v>
      </c>
      <c r="C2502" s="4" t="s">
        <v>268</v>
      </c>
      <c r="D2502" s="4">
        <v>124</v>
      </c>
      <c r="E2502" s="4">
        <v>7</v>
      </c>
      <c r="G2502">
        <f t="shared" si="39"/>
        <v>112</v>
      </c>
    </row>
    <row r="2503" spans="2:7" ht="15" hidden="1" x14ac:dyDescent="0.25">
      <c r="B2503" s="4">
        <v>584631860</v>
      </c>
      <c r="C2503" s="4" t="s">
        <v>268</v>
      </c>
      <c r="D2503" s="4">
        <v>124</v>
      </c>
      <c r="E2503" s="4">
        <v>7</v>
      </c>
      <c r="G2503">
        <f t="shared" si="39"/>
        <v>112</v>
      </c>
    </row>
    <row r="2504" spans="2:7" ht="15" hidden="1" x14ac:dyDescent="0.25">
      <c r="B2504" s="4">
        <v>584631860</v>
      </c>
      <c r="C2504" s="4" t="s">
        <v>268</v>
      </c>
      <c r="D2504" s="4">
        <v>125</v>
      </c>
      <c r="E2504" s="4">
        <v>7</v>
      </c>
      <c r="G2504">
        <f t="shared" si="39"/>
        <v>112</v>
      </c>
    </row>
    <row r="2505" spans="2:7" ht="15" hidden="1" x14ac:dyDescent="0.25">
      <c r="B2505" s="4">
        <v>584631860</v>
      </c>
      <c r="C2505" s="4" t="s">
        <v>268</v>
      </c>
      <c r="D2505" s="4">
        <v>125</v>
      </c>
      <c r="E2505" s="4">
        <v>7</v>
      </c>
      <c r="G2505">
        <f t="shared" si="39"/>
        <v>112</v>
      </c>
    </row>
    <row r="2506" spans="2:7" ht="15" hidden="1" x14ac:dyDescent="0.25">
      <c r="B2506" s="4">
        <v>584631860</v>
      </c>
      <c r="C2506" s="4" t="s">
        <v>268</v>
      </c>
      <c r="D2506" s="4">
        <v>126</v>
      </c>
      <c r="E2506" s="4">
        <v>7</v>
      </c>
      <c r="G2506">
        <f t="shared" si="39"/>
        <v>112</v>
      </c>
    </row>
    <row r="2507" spans="2:7" ht="15" hidden="1" x14ac:dyDescent="0.25">
      <c r="B2507" s="4">
        <v>584631860</v>
      </c>
      <c r="C2507" s="4" t="s">
        <v>268</v>
      </c>
      <c r="D2507" s="4">
        <v>126</v>
      </c>
      <c r="E2507" s="4">
        <v>7</v>
      </c>
      <c r="G2507">
        <f t="shared" si="39"/>
        <v>112</v>
      </c>
    </row>
    <row r="2508" spans="2:7" ht="15" hidden="1" x14ac:dyDescent="0.25">
      <c r="B2508" s="4">
        <v>584631860</v>
      </c>
      <c r="C2508" s="4" t="s">
        <v>269</v>
      </c>
      <c r="D2508" s="4">
        <v>131</v>
      </c>
      <c r="E2508" s="4">
        <v>57</v>
      </c>
      <c r="G2508">
        <f t="shared" si="39"/>
        <v>512</v>
      </c>
    </row>
    <row r="2509" spans="2:7" ht="15" hidden="1" x14ac:dyDescent="0.25">
      <c r="B2509" s="4">
        <v>584631861</v>
      </c>
      <c r="C2509" s="4" t="s">
        <v>269</v>
      </c>
      <c r="D2509" s="4">
        <v>132</v>
      </c>
      <c r="E2509" s="4">
        <v>57</v>
      </c>
      <c r="G2509">
        <f t="shared" si="39"/>
        <v>512</v>
      </c>
    </row>
    <row r="2510" spans="2:7" ht="15" hidden="1" x14ac:dyDescent="0.25">
      <c r="B2510" s="4">
        <v>584631862</v>
      </c>
      <c r="C2510" s="4" t="s">
        <v>268</v>
      </c>
      <c r="D2510" s="4">
        <v>127</v>
      </c>
      <c r="E2510" s="4">
        <v>7</v>
      </c>
      <c r="G2510">
        <f t="shared" si="39"/>
        <v>112</v>
      </c>
    </row>
    <row r="2511" spans="2:7" ht="15" hidden="1" x14ac:dyDescent="0.25">
      <c r="B2511" s="4">
        <v>584631862</v>
      </c>
      <c r="C2511" s="4" t="s">
        <v>268</v>
      </c>
      <c r="D2511" s="4">
        <v>127</v>
      </c>
      <c r="E2511" s="4">
        <v>7</v>
      </c>
      <c r="G2511">
        <f t="shared" si="39"/>
        <v>112</v>
      </c>
    </row>
    <row r="2512" spans="2:7" ht="15" hidden="1" x14ac:dyDescent="0.25">
      <c r="B2512" s="4">
        <v>584631862</v>
      </c>
      <c r="C2512" s="4" t="s">
        <v>268</v>
      </c>
      <c r="D2512" s="4">
        <v>128</v>
      </c>
      <c r="E2512" s="4">
        <v>5</v>
      </c>
      <c r="G2512">
        <f t="shared" si="39"/>
        <v>96</v>
      </c>
    </row>
    <row r="2513" spans="2:7" ht="15" hidden="1" x14ac:dyDescent="0.25">
      <c r="B2513" s="4">
        <v>584631862</v>
      </c>
      <c r="C2513" s="4" t="s">
        <v>268</v>
      </c>
      <c r="D2513" s="4">
        <v>128</v>
      </c>
      <c r="E2513" s="4">
        <v>5</v>
      </c>
      <c r="G2513">
        <f t="shared" si="39"/>
        <v>96</v>
      </c>
    </row>
    <row r="2514" spans="2:7" ht="15" hidden="1" x14ac:dyDescent="0.25">
      <c r="B2514" s="4">
        <v>584631862</v>
      </c>
      <c r="C2514" s="4" t="s">
        <v>268</v>
      </c>
      <c r="D2514" s="4">
        <v>129</v>
      </c>
      <c r="E2514" s="4">
        <v>7</v>
      </c>
      <c r="G2514">
        <f t="shared" si="39"/>
        <v>112</v>
      </c>
    </row>
    <row r="2515" spans="2:7" ht="15" hidden="1" x14ac:dyDescent="0.25">
      <c r="B2515" s="4">
        <v>584631862</v>
      </c>
      <c r="C2515" s="4" t="s">
        <v>268</v>
      </c>
      <c r="D2515" s="4">
        <v>129</v>
      </c>
      <c r="E2515" s="4">
        <v>7</v>
      </c>
      <c r="G2515">
        <f t="shared" si="39"/>
        <v>112</v>
      </c>
    </row>
    <row r="2516" spans="2:7" ht="15" hidden="1" x14ac:dyDescent="0.25">
      <c r="B2516" s="4">
        <v>584631862</v>
      </c>
      <c r="C2516" s="4" t="s">
        <v>269</v>
      </c>
      <c r="D2516" s="4">
        <v>133</v>
      </c>
      <c r="E2516" s="4">
        <v>57</v>
      </c>
      <c r="G2516">
        <f t="shared" si="39"/>
        <v>512</v>
      </c>
    </row>
    <row r="2517" spans="2:7" ht="15" hidden="1" x14ac:dyDescent="0.25">
      <c r="B2517" s="4">
        <v>584631863</v>
      </c>
      <c r="C2517" s="4" t="s">
        <v>269</v>
      </c>
      <c r="D2517" s="4">
        <v>134</v>
      </c>
      <c r="E2517" s="4">
        <v>57</v>
      </c>
      <c r="G2517">
        <f t="shared" si="39"/>
        <v>512</v>
      </c>
    </row>
    <row r="2518" spans="2:7" ht="15" hidden="1" x14ac:dyDescent="0.25">
      <c r="B2518" s="4">
        <v>584631864</v>
      </c>
      <c r="C2518" s="4" t="s">
        <v>269</v>
      </c>
      <c r="D2518" s="4">
        <v>135</v>
      </c>
      <c r="E2518" s="4">
        <v>57</v>
      </c>
      <c r="G2518">
        <f t="shared" si="39"/>
        <v>512</v>
      </c>
    </row>
    <row r="2519" spans="2:7" ht="15" hidden="1" x14ac:dyDescent="0.25">
      <c r="B2519" s="4">
        <v>584631865</v>
      </c>
      <c r="C2519" s="4" t="s">
        <v>269</v>
      </c>
      <c r="D2519" s="4">
        <v>136</v>
      </c>
      <c r="E2519" s="4">
        <v>57</v>
      </c>
      <c r="G2519">
        <f t="shared" si="39"/>
        <v>512</v>
      </c>
    </row>
    <row r="2520" spans="2:7" ht="15" hidden="1" x14ac:dyDescent="0.25">
      <c r="B2520" s="4">
        <v>584631866</v>
      </c>
      <c r="C2520" s="4" t="s">
        <v>269</v>
      </c>
      <c r="D2520" s="4">
        <v>137</v>
      </c>
      <c r="E2520" s="4">
        <v>57</v>
      </c>
      <c r="G2520">
        <f t="shared" si="39"/>
        <v>512</v>
      </c>
    </row>
    <row r="2521" spans="2:7" ht="15" hidden="1" x14ac:dyDescent="0.25">
      <c r="B2521" s="4">
        <v>584631867</v>
      </c>
      <c r="C2521" s="4" t="s">
        <v>269</v>
      </c>
      <c r="D2521" s="4">
        <v>138</v>
      </c>
      <c r="E2521" s="4">
        <v>57</v>
      </c>
      <c r="G2521">
        <f t="shared" si="39"/>
        <v>512</v>
      </c>
    </row>
    <row r="2522" spans="2:7" ht="15" hidden="1" x14ac:dyDescent="0.25">
      <c r="B2522" s="4">
        <v>584631868</v>
      </c>
      <c r="C2522" s="4" t="s">
        <v>269</v>
      </c>
      <c r="D2522" s="4">
        <v>139</v>
      </c>
      <c r="E2522" s="4">
        <v>57</v>
      </c>
      <c r="G2522">
        <f t="shared" si="39"/>
        <v>512</v>
      </c>
    </row>
    <row r="2523" spans="2:7" ht="15" hidden="1" x14ac:dyDescent="0.25">
      <c r="B2523" s="4">
        <v>584631868</v>
      </c>
      <c r="C2523" s="4" t="s">
        <v>272</v>
      </c>
      <c r="D2523" s="4">
        <v>2</v>
      </c>
      <c r="E2523" s="4">
        <v>209</v>
      </c>
      <c r="G2523">
        <f t="shared" si="39"/>
        <v>1728</v>
      </c>
    </row>
    <row r="2524" spans="2:7" ht="15" hidden="1" x14ac:dyDescent="0.25">
      <c r="B2524" s="4">
        <v>584631869</v>
      </c>
      <c r="C2524" s="4" t="s">
        <v>269</v>
      </c>
      <c r="D2524" s="4">
        <v>140</v>
      </c>
      <c r="E2524" s="4">
        <v>57</v>
      </c>
      <c r="G2524">
        <f t="shared" si="39"/>
        <v>512</v>
      </c>
    </row>
    <row r="2525" spans="2:7" ht="15" hidden="1" x14ac:dyDescent="0.25">
      <c r="B2525" s="4">
        <v>584631870</v>
      </c>
      <c r="C2525" s="4" t="s">
        <v>269</v>
      </c>
      <c r="D2525" s="4">
        <v>141</v>
      </c>
      <c r="E2525" s="4">
        <v>57</v>
      </c>
      <c r="G2525">
        <f t="shared" si="39"/>
        <v>512</v>
      </c>
    </row>
    <row r="2526" spans="2:7" ht="15" hidden="1" x14ac:dyDescent="0.25">
      <c r="B2526" s="4">
        <v>584631871</v>
      </c>
      <c r="C2526" s="4" t="s">
        <v>269</v>
      </c>
      <c r="D2526" s="4">
        <v>142</v>
      </c>
      <c r="E2526" s="4">
        <v>57</v>
      </c>
      <c r="G2526">
        <f t="shared" si="39"/>
        <v>512</v>
      </c>
    </row>
    <row r="2527" spans="2:7" ht="15" hidden="1" x14ac:dyDescent="0.25">
      <c r="B2527" s="4">
        <v>584631872</v>
      </c>
      <c r="C2527" s="4" t="s">
        <v>269</v>
      </c>
      <c r="D2527" s="4">
        <v>143</v>
      </c>
      <c r="E2527" s="4">
        <v>57</v>
      </c>
      <c r="G2527">
        <f t="shared" si="39"/>
        <v>512</v>
      </c>
    </row>
    <row r="2528" spans="2:7" ht="15" hidden="1" x14ac:dyDescent="0.25">
      <c r="B2528" s="4">
        <v>584631873</v>
      </c>
      <c r="C2528" s="4" t="s">
        <v>269</v>
      </c>
      <c r="D2528" s="4">
        <v>144</v>
      </c>
      <c r="E2528" s="4">
        <v>57</v>
      </c>
      <c r="G2528">
        <f t="shared" si="39"/>
        <v>512</v>
      </c>
    </row>
    <row r="2529" spans="2:7" ht="15" hidden="1" x14ac:dyDescent="0.25">
      <c r="B2529" s="4">
        <v>584631874</v>
      </c>
      <c r="C2529" s="4" t="s">
        <v>269</v>
      </c>
      <c r="D2529" s="4">
        <v>145</v>
      </c>
      <c r="E2529" s="4">
        <v>57</v>
      </c>
      <c r="G2529">
        <f t="shared" si="39"/>
        <v>512</v>
      </c>
    </row>
    <row r="2530" spans="2:7" ht="15" hidden="1" x14ac:dyDescent="0.25">
      <c r="B2530" s="4">
        <v>584631875</v>
      </c>
      <c r="C2530" s="4" t="s">
        <v>269</v>
      </c>
      <c r="D2530" s="4">
        <v>146</v>
      </c>
      <c r="E2530" s="4">
        <v>57</v>
      </c>
      <c r="G2530">
        <f t="shared" si="39"/>
        <v>512</v>
      </c>
    </row>
    <row r="2531" spans="2:7" ht="15" hidden="1" x14ac:dyDescent="0.25">
      <c r="B2531" s="4">
        <v>584631876</v>
      </c>
      <c r="C2531" s="4" t="s">
        <v>269</v>
      </c>
      <c r="D2531" s="4">
        <v>147</v>
      </c>
      <c r="E2531" s="4">
        <v>57</v>
      </c>
      <c r="G2531">
        <f t="shared" si="39"/>
        <v>512</v>
      </c>
    </row>
    <row r="2532" spans="2:7" ht="15" hidden="1" x14ac:dyDescent="0.25">
      <c r="B2532" s="4">
        <v>584631877</v>
      </c>
      <c r="C2532" s="4" t="s">
        <v>269</v>
      </c>
      <c r="D2532" s="4">
        <v>148</v>
      </c>
      <c r="E2532" s="4">
        <v>57</v>
      </c>
      <c r="G2532">
        <f t="shared" si="39"/>
        <v>512</v>
      </c>
    </row>
    <row r="2533" spans="2:7" ht="15" hidden="1" x14ac:dyDescent="0.25">
      <c r="B2533" s="4">
        <v>584631878</v>
      </c>
      <c r="C2533" s="4" t="s">
        <v>269</v>
      </c>
      <c r="D2533" s="4">
        <v>149</v>
      </c>
      <c r="E2533" s="4">
        <v>57</v>
      </c>
      <c r="G2533">
        <f t="shared" si="39"/>
        <v>512</v>
      </c>
    </row>
    <row r="2534" spans="2:7" ht="15" hidden="1" x14ac:dyDescent="0.25">
      <c r="B2534" s="4">
        <v>584631878</v>
      </c>
      <c r="C2534" s="4" t="s">
        <v>272</v>
      </c>
      <c r="D2534" s="4">
        <v>3</v>
      </c>
      <c r="E2534" s="4">
        <v>211</v>
      </c>
      <c r="G2534">
        <f t="shared" si="39"/>
        <v>1744</v>
      </c>
    </row>
    <row r="2535" spans="2:7" ht="15" hidden="1" x14ac:dyDescent="0.25">
      <c r="B2535" s="4">
        <v>584631879</v>
      </c>
      <c r="C2535" s="4" t="s">
        <v>269</v>
      </c>
      <c r="D2535" s="4">
        <v>150</v>
      </c>
      <c r="E2535" s="4">
        <v>57</v>
      </c>
      <c r="G2535">
        <f t="shared" si="39"/>
        <v>512</v>
      </c>
    </row>
    <row r="2536" spans="2:7" ht="15" hidden="1" x14ac:dyDescent="0.25">
      <c r="B2536" s="4">
        <v>584631880</v>
      </c>
      <c r="C2536" s="4" t="s">
        <v>269</v>
      </c>
      <c r="D2536" s="4">
        <v>151</v>
      </c>
      <c r="E2536" s="4">
        <v>57</v>
      </c>
      <c r="G2536">
        <f t="shared" si="39"/>
        <v>512</v>
      </c>
    </row>
    <row r="2537" spans="2:7" ht="15" hidden="1" x14ac:dyDescent="0.25">
      <c r="B2537" s="4">
        <v>584631881</v>
      </c>
      <c r="C2537" s="4" t="s">
        <v>269</v>
      </c>
      <c r="D2537" s="4">
        <v>152</v>
      </c>
      <c r="E2537" s="4">
        <v>57</v>
      </c>
      <c r="G2537">
        <f t="shared" si="39"/>
        <v>512</v>
      </c>
    </row>
    <row r="2538" spans="2:7" ht="15" hidden="1" x14ac:dyDescent="0.25">
      <c r="B2538" s="4">
        <v>584631882</v>
      </c>
      <c r="C2538" s="4" t="s">
        <v>269</v>
      </c>
      <c r="D2538" s="4">
        <v>153</v>
      </c>
      <c r="E2538" s="4">
        <v>57</v>
      </c>
      <c r="G2538">
        <f t="shared" si="39"/>
        <v>512</v>
      </c>
    </row>
    <row r="2539" spans="2:7" ht="15" hidden="1" x14ac:dyDescent="0.25">
      <c r="B2539" s="4">
        <v>584631883</v>
      </c>
      <c r="C2539" s="4" t="s">
        <v>269</v>
      </c>
      <c r="D2539" s="4">
        <v>154</v>
      </c>
      <c r="E2539" s="4">
        <v>57</v>
      </c>
      <c r="G2539">
        <f t="shared" si="39"/>
        <v>512</v>
      </c>
    </row>
    <row r="2540" spans="2:7" ht="15" hidden="1" x14ac:dyDescent="0.25">
      <c r="B2540" s="4">
        <v>584631884</v>
      </c>
      <c r="C2540" s="4" t="s">
        <v>269</v>
      </c>
      <c r="D2540" s="4">
        <v>155</v>
      </c>
      <c r="E2540" s="4">
        <v>57</v>
      </c>
      <c r="G2540">
        <f t="shared" si="39"/>
        <v>512</v>
      </c>
    </row>
    <row r="2541" spans="2:7" ht="15" hidden="1" x14ac:dyDescent="0.25">
      <c r="B2541" s="4">
        <v>584631885</v>
      </c>
      <c r="C2541" s="4" t="s">
        <v>269</v>
      </c>
      <c r="D2541" s="4">
        <v>156</v>
      </c>
      <c r="E2541" s="4">
        <v>57</v>
      </c>
      <c r="G2541">
        <f t="shared" si="39"/>
        <v>512</v>
      </c>
    </row>
    <row r="2542" spans="2:7" ht="15" hidden="1" x14ac:dyDescent="0.25">
      <c r="B2542" s="4">
        <v>584631886</v>
      </c>
      <c r="C2542" s="4" t="s">
        <v>269</v>
      </c>
      <c r="D2542" s="4">
        <v>157</v>
      </c>
      <c r="E2542" s="4">
        <v>57</v>
      </c>
      <c r="G2542">
        <f t="shared" si="39"/>
        <v>512</v>
      </c>
    </row>
    <row r="2543" spans="2:7" ht="15" hidden="1" x14ac:dyDescent="0.25">
      <c r="B2543" s="4">
        <v>584631887</v>
      </c>
      <c r="C2543" s="4" t="s">
        <v>269</v>
      </c>
      <c r="D2543" s="4">
        <v>158</v>
      </c>
      <c r="E2543" s="4">
        <v>57</v>
      </c>
      <c r="G2543">
        <f t="shared" si="39"/>
        <v>512</v>
      </c>
    </row>
    <row r="2544" spans="2:7" ht="15" hidden="1" x14ac:dyDescent="0.25">
      <c r="B2544" s="4">
        <v>584631888</v>
      </c>
      <c r="C2544" s="4" t="s">
        <v>269</v>
      </c>
      <c r="D2544" s="4">
        <v>159</v>
      </c>
      <c r="E2544" s="4">
        <v>57</v>
      </c>
      <c r="G2544">
        <f t="shared" si="39"/>
        <v>512</v>
      </c>
    </row>
    <row r="2545" spans="2:7" ht="15" hidden="1" x14ac:dyDescent="0.25">
      <c r="B2545" s="4">
        <v>584631888</v>
      </c>
      <c r="C2545" s="4" t="s">
        <v>272</v>
      </c>
      <c r="D2545" s="4">
        <v>4</v>
      </c>
      <c r="E2545" s="4">
        <v>211</v>
      </c>
      <c r="G2545">
        <f t="shared" si="39"/>
        <v>1744</v>
      </c>
    </row>
    <row r="2546" spans="2:7" ht="15" hidden="1" x14ac:dyDescent="0.25">
      <c r="B2546" s="4">
        <v>584631889</v>
      </c>
      <c r="C2546" s="4" t="s">
        <v>269</v>
      </c>
      <c r="D2546" s="4">
        <v>160</v>
      </c>
      <c r="E2546" s="4">
        <v>57</v>
      </c>
      <c r="G2546">
        <f t="shared" si="39"/>
        <v>512</v>
      </c>
    </row>
    <row r="2547" spans="2:7" ht="15" hidden="1" x14ac:dyDescent="0.25">
      <c r="B2547" s="4">
        <v>584631890</v>
      </c>
      <c r="C2547" s="4" t="s">
        <v>269</v>
      </c>
      <c r="D2547" s="4">
        <v>161</v>
      </c>
      <c r="E2547" s="4">
        <v>57</v>
      </c>
      <c r="G2547">
        <f t="shared" si="39"/>
        <v>512</v>
      </c>
    </row>
    <row r="2548" spans="2:7" ht="15" hidden="1" x14ac:dyDescent="0.25">
      <c r="B2548" s="4">
        <v>584631891</v>
      </c>
      <c r="C2548" s="4" t="s">
        <v>269</v>
      </c>
      <c r="D2548" s="4">
        <v>162</v>
      </c>
      <c r="E2548" s="4">
        <v>57</v>
      </c>
      <c r="G2548">
        <f t="shared" si="39"/>
        <v>512</v>
      </c>
    </row>
    <row r="2549" spans="2:7" ht="15" hidden="1" x14ac:dyDescent="0.25">
      <c r="B2549" s="4">
        <v>584631892</v>
      </c>
      <c r="C2549" s="4" t="s">
        <v>268</v>
      </c>
      <c r="D2549" s="4">
        <v>130</v>
      </c>
      <c r="E2549" s="4">
        <v>6</v>
      </c>
      <c r="G2549">
        <f t="shared" si="39"/>
        <v>104</v>
      </c>
    </row>
    <row r="2550" spans="2:7" ht="15" hidden="1" x14ac:dyDescent="0.25">
      <c r="B2550" s="4">
        <v>584631892</v>
      </c>
      <c r="C2550" s="4" t="s">
        <v>268</v>
      </c>
      <c r="D2550" s="4">
        <v>130</v>
      </c>
      <c r="E2550" s="4">
        <v>6</v>
      </c>
      <c r="G2550">
        <f t="shared" si="39"/>
        <v>104</v>
      </c>
    </row>
    <row r="2551" spans="2:7" ht="15" hidden="1" x14ac:dyDescent="0.25">
      <c r="B2551" s="4">
        <v>584631892</v>
      </c>
      <c r="C2551" s="4" t="s">
        <v>268</v>
      </c>
      <c r="D2551" s="4">
        <v>131</v>
      </c>
      <c r="E2551" s="4">
        <v>9</v>
      </c>
      <c r="G2551">
        <f t="shared" si="39"/>
        <v>128</v>
      </c>
    </row>
    <row r="2552" spans="2:7" ht="15" hidden="1" x14ac:dyDescent="0.25">
      <c r="B2552" s="4">
        <v>584631892</v>
      </c>
      <c r="C2552" s="4" t="s">
        <v>268</v>
      </c>
      <c r="D2552" s="4">
        <v>131</v>
      </c>
      <c r="E2552" s="4">
        <v>9</v>
      </c>
      <c r="G2552">
        <f t="shared" si="39"/>
        <v>128</v>
      </c>
    </row>
    <row r="2553" spans="2:7" ht="15" hidden="1" x14ac:dyDescent="0.25">
      <c r="B2553" s="4">
        <v>584631892</v>
      </c>
      <c r="C2553" s="4" t="s">
        <v>268</v>
      </c>
      <c r="D2553" s="4">
        <v>132</v>
      </c>
      <c r="E2553" s="4">
        <v>7</v>
      </c>
      <c r="G2553">
        <f t="shared" si="39"/>
        <v>112</v>
      </c>
    </row>
    <row r="2554" spans="2:7" ht="15" hidden="1" x14ac:dyDescent="0.25">
      <c r="B2554" s="4">
        <v>584631892</v>
      </c>
      <c r="C2554" s="4" t="s">
        <v>268</v>
      </c>
      <c r="D2554" s="4">
        <v>132</v>
      </c>
      <c r="E2554" s="4">
        <v>7</v>
      </c>
      <c r="G2554">
        <f t="shared" si="39"/>
        <v>112</v>
      </c>
    </row>
    <row r="2555" spans="2:7" ht="15" hidden="1" x14ac:dyDescent="0.25">
      <c r="B2555" s="4">
        <v>584631892</v>
      </c>
      <c r="C2555" s="4" t="s">
        <v>268</v>
      </c>
      <c r="D2555" s="4">
        <v>133</v>
      </c>
      <c r="E2555" s="4">
        <v>7</v>
      </c>
      <c r="G2555">
        <f t="shared" si="39"/>
        <v>112</v>
      </c>
    </row>
    <row r="2556" spans="2:7" ht="15" hidden="1" x14ac:dyDescent="0.25">
      <c r="B2556" s="4">
        <v>584631892</v>
      </c>
      <c r="C2556" s="4" t="s">
        <v>268</v>
      </c>
      <c r="D2556" s="4">
        <v>133</v>
      </c>
      <c r="E2556" s="4">
        <v>7</v>
      </c>
      <c r="G2556">
        <f t="shared" si="39"/>
        <v>112</v>
      </c>
    </row>
    <row r="2557" spans="2:7" ht="15" hidden="1" x14ac:dyDescent="0.25">
      <c r="B2557" s="4">
        <v>584631892</v>
      </c>
      <c r="C2557" s="4" t="s">
        <v>268</v>
      </c>
      <c r="D2557" s="4">
        <v>134</v>
      </c>
      <c r="E2557" s="4">
        <v>7</v>
      </c>
      <c r="G2557">
        <f t="shared" si="39"/>
        <v>112</v>
      </c>
    </row>
    <row r="2558" spans="2:7" ht="15" hidden="1" x14ac:dyDescent="0.25">
      <c r="B2558" s="4">
        <v>584631892</v>
      </c>
      <c r="C2558" s="4" t="s">
        <v>268</v>
      </c>
      <c r="D2558" s="4">
        <v>134</v>
      </c>
      <c r="E2558" s="4">
        <v>7</v>
      </c>
      <c r="G2558">
        <f t="shared" si="39"/>
        <v>112</v>
      </c>
    </row>
    <row r="2559" spans="2:7" ht="15" hidden="1" x14ac:dyDescent="0.25">
      <c r="B2559" s="4">
        <v>584631892</v>
      </c>
      <c r="C2559" s="4" t="s">
        <v>269</v>
      </c>
      <c r="D2559" s="4">
        <v>163</v>
      </c>
      <c r="E2559" s="4">
        <v>57</v>
      </c>
      <c r="G2559">
        <f t="shared" si="39"/>
        <v>512</v>
      </c>
    </row>
    <row r="2560" spans="2:7" ht="15" hidden="1" x14ac:dyDescent="0.25">
      <c r="B2560" s="4">
        <v>584631893</v>
      </c>
      <c r="C2560" s="4" t="s">
        <v>269</v>
      </c>
      <c r="D2560" s="4">
        <v>164</v>
      </c>
      <c r="E2560" s="4">
        <v>57</v>
      </c>
      <c r="G2560">
        <f t="shared" si="39"/>
        <v>512</v>
      </c>
    </row>
    <row r="2561" spans="2:7" ht="15" hidden="1" x14ac:dyDescent="0.25">
      <c r="B2561" s="4">
        <v>584631894</v>
      </c>
      <c r="C2561" s="4" t="s">
        <v>268</v>
      </c>
      <c r="D2561" s="4">
        <v>135</v>
      </c>
      <c r="E2561" s="4">
        <v>7</v>
      </c>
      <c r="G2561">
        <f t="shared" si="39"/>
        <v>112</v>
      </c>
    </row>
    <row r="2562" spans="2:7" ht="15" hidden="1" x14ac:dyDescent="0.25">
      <c r="B2562" s="4">
        <v>584631894</v>
      </c>
      <c r="C2562" s="4" t="s">
        <v>268</v>
      </c>
      <c r="D2562" s="4">
        <v>135</v>
      </c>
      <c r="E2562" s="4">
        <v>7</v>
      </c>
      <c r="G2562">
        <f t="shared" si="39"/>
        <v>112</v>
      </c>
    </row>
    <row r="2563" spans="2:7" ht="15" hidden="1" x14ac:dyDescent="0.25">
      <c r="B2563" s="4">
        <v>584631894</v>
      </c>
      <c r="C2563" s="4" t="s">
        <v>268</v>
      </c>
      <c r="D2563" s="4">
        <v>136</v>
      </c>
      <c r="E2563" s="4">
        <v>5</v>
      </c>
      <c r="G2563">
        <f t="shared" si="39"/>
        <v>96</v>
      </c>
    </row>
    <row r="2564" spans="2:7" ht="15" hidden="1" x14ac:dyDescent="0.25">
      <c r="B2564" s="4">
        <v>584631894</v>
      </c>
      <c r="C2564" s="4" t="s">
        <v>268</v>
      </c>
      <c r="D2564" s="4">
        <v>136</v>
      </c>
      <c r="E2564" s="4">
        <v>5</v>
      </c>
      <c r="G2564">
        <f t="shared" ref="G2564:G2627" si="40">(E2564+7)*8</f>
        <v>96</v>
      </c>
    </row>
    <row r="2565" spans="2:7" ht="15" hidden="1" x14ac:dyDescent="0.25">
      <c r="B2565" s="4">
        <v>584631894</v>
      </c>
      <c r="C2565" s="4" t="s">
        <v>268</v>
      </c>
      <c r="D2565" s="4">
        <v>137</v>
      </c>
      <c r="E2565" s="4">
        <v>7</v>
      </c>
      <c r="G2565">
        <f t="shared" si="40"/>
        <v>112</v>
      </c>
    </row>
    <row r="2566" spans="2:7" ht="15" hidden="1" x14ac:dyDescent="0.25">
      <c r="B2566" s="4">
        <v>584631894</v>
      </c>
      <c r="C2566" s="4" t="s">
        <v>268</v>
      </c>
      <c r="D2566" s="4">
        <v>137</v>
      </c>
      <c r="E2566" s="4">
        <v>7</v>
      </c>
      <c r="G2566">
        <f t="shared" si="40"/>
        <v>112</v>
      </c>
    </row>
    <row r="2567" spans="2:7" ht="15" hidden="1" x14ac:dyDescent="0.25">
      <c r="B2567" s="4">
        <v>584631894</v>
      </c>
      <c r="C2567" s="4" t="s">
        <v>269</v>
      </c>
      <c r="D2567" s="4">
        <v>165</v>
      </c>
      <c r="E2567" s="4">
        <v>57</v>
      </c>
      <c r="G2567">
        <f t="shared" si="40"/>
        <v>512</v>
      </c>
    </row>
    <row r="2568" spans="2:7" ht="15" hidden="1" x14ac:dyDescent="0.25">
      <c r="B2568" s="4">
        <v>584631895</v>
      </c>
      <c r="C2568" s="4" t="s">
        <v>269</v>
      </c>
      <c r="D2568" s="4">
        <v>166</v>
      </c>
      <c r="E2568" s="4">
        <v>57</v>
      </c>
      <c r="G2568">
        <f t="shared" si="40"/>
        <v>512</v>
      </c>
    </row>
    <row r="2569" spans="2:7" ht="15" hidden="1" x14ac:dyDescent="0.25">
      <c r="B2569" s="4">
        <v>584631896</v>
      </c>
      <c r="C2569" s="4" t="s">
        <v>269</v>
      </c>
      <c r="D2569" s="4">
        <v>167</v>
      </c>
      <c r="E2569" s="4">
        <v>57</v>
      </c>
      <c r="G2569">
        <f t="shared" si="40"/>
        <v>512</v>
      </c>
    </row>
    <row r="2570" spans="2:7" ht="15" hidden="1" x14ac:dyDescent="0.25">
      <c r="B2570" s="4">
        <v>584631897</v>
      </c>
      <c r="C2570" s="4" t="s">
        <v>269</v>
      </c>
      <c r="D2570" s="4">
        <v>168</v>
      </c>
      <c r="E2570" s="4">
        <v>57</v>
      </c>
      <c r="G2570">
        <f t="shared" si="40"/>
        <v>512</v>
      </c>
    </row>
    <row r="2571" spans="2:7" ht="15" hidden="1" x14ac:dyDescent="0.25">
      <c r="B2571" s="4">
        <v>584631898</v>
      </c>
      <c r="C2571" s="4" t="s">
        <v>269</v>
      </c>
      <c r="D2571" s="4">
        <v>169</v>
      </c>
      <c r="E2571" s="4">
        <v>57</v>
      </c>
      <c r="G2571">
        <f t="shared" si="40"/>
        <v>512</v>
      </c>
    </row>
    <row r="2572" spans="2:7" ht="15" hidden="1" x14ac:dyDescent="0.25">
      <c r="B2572" s="4">
        <v>584631898</v>
      </c>
      <c r="C2572" s="4" t="s">
        <v>272</v>
      </c>
      <c r="D2572" s="4">
        <v>5</v>
      </c>
      <c r="E2572" s="4">
        <v>215</v>
      </c>
      <c r="G2572">
        <f t="shared" si="40"/>
        <v>1776</v>
      </c>
    </row>
    <row r="2573" spans="2:7" ht="15" hidden="1" x14ac:dyDescent="0.25">
      <c r="B2573" s="4">
        <v>584631899</v>
      </c>
      <c r="C2573" s="4" t="s">
        <v>269</v>
      </c>
      <c r="D2573" s="4">
        <v>170</v>
      </c>
      <c r="E2573" s="4">
        <v>57</v>
      </c>
      <c r="G2573">
        <f t="shared" si="40"/>
        <v>512</v>
      </c>
    </row>
    <row r="2574" spans="2:7" ht="15" hidden="1" x14ac:dyDescent="0.25">
      <c r="B2574" s="4">
        <v>584631900</v>
      </c>
      <c r="C2574" s="4" t="s">
        <v>269</v>
      </c>
      <c r="D2574" s="4">
        <v>171</v>
      </c>
      <c r="E2574" s="4">
        <v>57</v>
      </c>
      <c r="G2574">
        <f t="shared" si="40"/>
        <v>512</v>
      </c>
    </row>
    <row r="2575" spans="2:7" ht="15" hidden="1" x14ac:dyDescent="0.25">
      <c r="B2575" s="4">
        <v>584631901</v>
      </c>
      <c r="C2575" s="4" t="s">
        <v>269</v>
      </c>
      <c r="D2575" s="4">
        <v>172</v>
      </c>
      <c r="E2575" s="4">
        <v>57</v>
      </c>
      <c r="G2575">
        <f t="shared" si="40"/>
        <v>512</v>
      </c>
    </row>
    <row r="2576" spans="2:7" ht="15" hidden="1" x14ac:dyDescent="0.25">
      <c r="B2576" s="4">
        <v>584631902</v>
      </c>
      <c r="C2576" s="4" t="s">
        <v>269</v>
      </c>
      <c r="D2576" s="4">
        <v>173</v>
      </c>
      <c r="E2576" s="4">
        <v>57</v>
      </c>
      <c r="G2576">
        <f t="shared" si="40"/>
        <v>512</v>
      </c>
    </row>
    <row r="2577" spans="2:7" ht="15" hidden="1" x14ac:dyDescent="0.25">
      <c r="B2577" s="4">
        <v>584631903</v>
      </c>
      <c r="C2577" s="4" t="s">
        <v>269</v>
      </c>
      <c r="D2577" s="4">
        <v>174</v>
      </c>
      <c r="E2577" s="4">
        <v>57</v>
      </c>
      <c r="G2577">
        <f t="shared" si="40"/>
        <v>512</v>
      </c>
    </row>
    <row r="2578" spans="2:7" ht="15" hidden="1" x14ac:dyDescent="0.25">
      <c r="B2578" s="4">
        <v>584631904</v>
      </c>
      <c r="C2578" s="4" t="s">
        <v>269</v>
      </c>
      <c r="D2578" s="4">
        <v>175</v>
      </c>
      <c r="E2578" s="4">
        <v>57</v>
      </c>
      <c r="G2578">
        <f t="shared" si="40"/>
        <v>512</v>
      </c>
    </row>
    <row r="2579" spans="2:7" ht="15" hidden="1" x14ac:dyDescent="0.25">
      <c r="B2579" s="4">
        <v>584631905</v>
      </c>
      <c r="C2579" s="4" t="s">
        <v>269</v>
      </c>
      <c r="D2579" s="4">
        <v>176</v>
      </c>
      <c r="E2579" s="4">
        <v>57</v>
      </c>
      <c r="G2579">
        <f t="shared" si="40"/>
        <v>512</v>
      </c>
    </row>
    <row r="2580" spans="2:7" ht="15" hidden="1" x14ac:dyDescent="0.25">
      <c r="B2580" s="4">
        <v>584631906</v>
      </c>
      <c r="C2580" s="4" t="s">
        <v>269</v>
      </c>
      <c r="D2580" s="4">
        <v>177</v>
      </c>
      <c r="E2580" s="4">
        <v>57</v>
      </c>
      <c r="G2580">
        <f t="shared" si="40"/>
        <v>512</v>
      </c>
    </row>
    <row r="2581" spans="2:7" ht="15" hidden="1" x14ac:dyDescent="0.25">
      <c r="B2581" s="4">
        <v>584631907</v>
      </c>
      <c r="C2581" s="4" t="s">
        <v>269</v>
      </c>
      <c r="D2581" s="4">
        <v>178</v>
      </c>
      <c r="E2581" s="4">
        <v>57</v>
      </c>
      <c r="G2581">
        <f t="shared" si="40"/>
        <v>512</v>
      </c>
    </row>
    <row r="2582" spans="2:7" ht="15" hidden="1" x14ac:dyDescent="0.25">
      <c r="B2582" s="4">
        <v>584631908</v>
      </c>
      <c r="C2582" s="4" t="s">
        <v>269</v>
      </c>
      <c r="D2582" s="4">
        <v>179</v>
      </c>
      <c r="E2582" s="4">
        <v>57</v>
      </c>
      <c r="G2582">
        <f t="shared" si="40"/>
        <v>512</v>
      </c>
    </row>
    <row r="2583" spans="2:7" ht="15" hidden="1" x14ac:dyDescent="0.25">
      <c r="B2583" s="4">
        <v>584631908</v>
      </c>
      <c r="C2583" s="4" t="s">
        <v>272</v>
      </c>
      <c r="D2583" s="4">
        <v>6</v>
      </c>
      <c r="E2583" s="4">
        <v>209</v>
      </c>
      <c r="G2583">
        <f t="shared" si="40"/>
        <v>1728</v>
      </c>
    </row>
    <row r="2584" spans="2:7" ht="15" hidden="1" x14ac:dyDescent="0.25">
      <c r="B2584" s="4">
        <v>584631909</v>
      </c>
      <c r="C2584" s="4" t="s">
        <v>269</v>
      </c>
      <c r="D2584" s="4">
        <v>180</v>
      </c>
      <c r="E2584" s="4">
        <v>57</v>
      </c>
      <c r="G2584">
        <f t="shared" si="40"/>
        <v>512</v>
      </c>
    </row>
    <row r="2585" spans="2:7" ht="15" hidden="1" x14ac:dyDescent="0.25">
      <c r="B2585" s="4">
        <v>584631910</v>
      </c>
      <c r="C2585" s="4" t="s">
        <v>269</v>
      </c>
      <c r="D2585" s="4">
        <v>181</v>
      </c>
      <c r="E2585" s="4">
        <v>57</v>
      </c>
      <c r="G2585">
        <f t="shared" si="40"/>
        <v>512</v>
      </c>
    </row>
    <row r="2586" spans="2:7" ht="15" hidden="1" x14ac:dyDescent="0.25">
      <c r="B2586" s="4">
        <v>584631911</v>
      </c>
      <c r="C2586" s="4" t="s">
        <v>269</v>
      </c>
      <c r="D2586" s="4">
        <v>182</v>
      </c>
      <c r="E2586" s="4">
        <v>57</v>
      </c>
      <c r="G2586">
        <f t="shared" si="40"/>
        <v>512</v>
      </c>
    </row>
    <row r="2587" spans="2:7" ht="15" hidden="1" x14ac:dyDescent="0.25">
      <c r="B2587" s="4">
        <v>584631912</v>
      </c>
      <c r="C2587" s="4" t="s">
        <v>269</v>
      </c>
      <c r="D2587" s="4">
        <v>183</v>
      </c>
      <c r="E2587" s="4">
        <v>57</v>
      </c>
      <c r="G2587">
        <f t="shared" si="40"/>
        <v>512</v>
      </c>
    </row>
    <row r="2588" spans="2:7" ht="15" hidden="1" x14ac:dyDescent="0.25">
      <c r="B2588" s="4">
        <v>584631913</v>
      </c>
      <c r="C2588" s="4" t="s">
        <v>269</v>
      </c>
      <c r="D2588" s="4">
        <v>184</v>
      </c>
      <c r="E2588" s="4">
        <v>57</v>
      </c>
      <c r="G2588">
        <f t="shared" si="40"/>
        <v>512</v>
      </c>
    </row>
    <row r="2589" spans="2:7" ht="15" hidden="1" x14ac:dyDescent="0.25">
      <c r="B2589" s="4">
        <v>584631914</v>
      </c>
      <c r="C2589" s="4" t="s">
        <v>269</v>
      </c>
      <c r="D2589" s="4">
        <v>185</v>
      </c>
      <c r="E2589" s="4">
        <v>57</v>
      </c>
      <c r="G2589">
        <f t="shared" si="40"/>
        <v>512</v>
      </c>
    </row>
    <row r="2590" spans="2:7" ht="15" hidden="1" x14ac:dyDescent="0.25">
      <c r="B2590" s="4">
        <v>584631915</v>
      </c>
      <c r="C2590" s="4" t="s">
        <v>269</v>
      </c>
      <c r="D2590" s="4">
        <v>186</v>
      </c>
      <c r="E2590" s="4">
        <v>57</v>
      </c>
      <c r="G2590">
        <f t="shared" si="40"/>
        <v>512</v>
      </c>
    </row>
    <row r="2591" spans="2:7" ht="15" hidden="1" x14ac:dyDescent="0.25">
      <c r="B2591" s="4">
        <v>584631916</v>
      </c>
      <c r="C2591" s="4" t="s">
        <v>269</v>
      </c>
      <c r="D2591" s="4">
        <v>187</v>
      </c>
      <c r="E2591" s="4">
        <v>57</v>
      </c>
      <c r="G2591">
        <f t="shared" si="40"/>
        <v>512</v>
      </c>
    </row>
    <row r="2592" spans="2:7" ht="15" hidden="1" x14ac:dyDescent="0.25">
      <c r="B2592" s="4">
        <v>584631917</v>
      </c>
      <c r="C2592" s="4" t="s">
        <v>269</v>
      </c>
      <c r="D2592" s="4">
        <v>188</v>
      </c>
      <c r="E2592" s="4">
        <v>57</v>
      </c>
      <c r="G2592">
        <f t="shared" si="40"/>
        <v>512</v>
      </c>
    </row>
    <row r="2593" spans="2:7" ht="15" hidden="1" x14ac:dyDescent="0.25">
      <c r="B2593" s="4">
        <v>584631918</v>
      </c>
      <c r="C2593" s="4" t="s">
        <v>269</v>
      </c>
      <c r="D2593" s="4">
        <v>189</v>
      </c>
      <c r="E2593" s="4">
        <v>57</v>
      </c>
      <c r="G2593">
        <f t="shared" si="40"/>
        <v>512</v>
      </c>
    </row>
    <row r="2594" spans="2:7" ht="15" hidden="1" x14ac:dyDescent="0.25">
      <c r="B2594" s="4">
        <v>584631918</v>
      </c>
      <c r="C2594" s="4" t="s">
        <v>272</v>
      </c>
      <c r="D2594" s="4">
        <v>7</v>
      </c>
      <c r="E2594" s="4">
        <v>207</v>
      </c>
      <c r="G2594">
        <f t="shared" si="40"/>
        <v>1712</v>
      </c>
    </row>
    <row r="2595" spans="2:7" ht="15" hidden="1" x14ac:dyDescent="0.25">
      <c r="B2595" s="4">
        <v>584631919</v>
      </c>
      <c r="C2595" s="4" t="s">
        <v>269</v>
      </c>
      <c r="D2595" s="4">
        <v>190</v>
      </c>
      <c r="E2595" s="4">
        <v>57</v>
      </c>
      <c r="G2595">
        <f t="shared" si="40"/>
        <v>512</v>
      </c>
    </row>
    <row r="2596" spans="2:7" ht="15" hidden="1" x14ac:dyDescent="0.25">
      <c r="B2596" s="4">
        <v>584631920</v>
      </c>
      <c r="C2596" s="4" t="s">
        <v>269</v>
      </c>
      <c r="D2596" s="4">
        <v>191</v>
      </c>
      <c r="E2596" s="4">
        <v>57</v>
      </c>
      <c r="G2596">
        <f t="shared" si="40"/>
        <v>512</v>
      </c>
    </row>
    <row r="2597" spans="2:7" ht="15" hidden="1" x14ac:dyDescent="0.25">
      <c r="B2597" s="4">
        <v>584631921</v>
      </c>
      <c r="C2597" s="4" t="s">
        <v>269</v>
      </c>
      <c r="D2597" s="4">
        <v>192</v>
      </c>
      <c r="E2597" s="4">
        <v>57</v>
      </c>
      <c r="G2597">
        <f t="shared" si="40"/>
        <v>512</v>
      </c>
    </row>
    <row r="2598" spans="2:7" ht="15" hidden="1" x14ac:dyDescent="0.25">
      <c r="B2598" s="4">
        <v>584631922</v>
      </c>
      <c r="C2598" s="4" t="s">
        <v>269</v>
      </c>
      <c r="D2598" s="4">
        <v>193</v>
      </c>
      <c r="E2598" s="4">
        <v>57</v>
      </c>
      <c r="G2598">
        <f t="shared" si="40"/>
        <v>512</v>
      </c>
    </row>
    <row r="2599" spans="2:7" ht="15" hidden="1" x14ac:dyDescent="0.25">
      <c r="B2599" s="4">
        <v>584631923</v>
      </c>
      <c r="C2599" s="4" t="s">
        <v>269</v>
      </c>
      <c r="D2599" s="4">
        <v>194</v>
      </c>
      <c r="E2599" s="4">
        <v>57</v>
      </c>
      <c r="G2599">
        <f t="shared" si="40"/>
        <v>512</v>
      </c>
    </row>
    <row r="2600" spans="2:7" ht="15" hidden="1" x14ac:dyDescent="0.25">
      <c r="B2600" s="4">
        <v>584631924</v>
      </c>
      <c r="C2600" s="4" t="s">
        <v>268</v>
      </c>
      <c r="D2600" s="4">
        <v>138</v>
      </c>
      <c r="E2600" s="4">
        <v>6</v>
      </c>
      <c r="G2600">
        <f t="shared" si="40"/>
        <v>104</v>
      </c>
    </row>
    <row r="2601" spans="2:7" ht="15" hidden="1" x14ac:dyDescent="0.25">
      <c r="B2601" s="4">
        <v>584631924</v>
      </c>
      <c r="C2601" s="4" t="s">
        <v>268</v>
      </c>
      <c r="D2601" s="4">
        <v>138</v>
      </c>
      <c r="E2601" s="4">
        <v>6</v>
      </c>
      <c r="G2601">
        <f t="shared" si="40"/>
        <v>104</v>
      </c>
    </row>
    <row r="2602" spans="2:7" ht="15" hidden="1" x14ac:dyDescent="0.25">
      <c r="B2602" s="4">
        <v>584631924</v>
      </c>
      <c r="C2602" s="4" t="s">
        <v>268</v>
      </c>
      <c r="D2602" s="4">
        <v>139</v>
      </c>
      <c r="E2602" s="4">
        <v>9</v>
      </c>
      <c r="G2602">
        <f t="shared" si="40"/>
        <v>128</v>
      </c>
    </row>
    <row r="2603" spans="2:7" ht="15" hidden="1" x14ac:dyDescent="0.25">
      <c r="B2603" s="4">
        <v>584631924</v>
      </c>
      <c r="C2603" s="4" t="s">
        <v>268</v>
      </c>
      <c r="D2603" s="4">
        <v>139</v>
      </c>
      <c r="E2603" s="4">
        <v>9</v>
      </c>
      <c r="G2603">
        <f t="shared" si="40"/>
        <v>128</v>
      </c>
    </row>
    <row r="2604" spans="2:7" ht="15" hidden="1" x14ac:dyDescent="0.25">
      <c r="B2604" s="4">
        <v>584631924</v>
      </c>
      <c r="C2604" s="4" t="s">
        <v>268</v>
      </c>
      <c r="D2604" s="4">
        <v>140</v>
      </c>
      <c r="E2604" s="4">
        <v>7</v>
      </c>
      <c r="G2604">
        <f t="shared" si="40"/>
        <v>112</v>
      </c>
    </row>
    <row r="2605" spans="2:7" ht="15" hidden="1" x14ac:dyDescent="0.25">
      <c r="B2605" s="4">
        <v>584631924</v>
      </c>
      <c r="C2605" s="4" t="s">
        <v>268</v>
      </c>
      <c r="D2605" s="4">
        <v>140</v>
      </c>
      <c r="E2605" s="4">
        <v>7</v>
      </c>
      <c r="G2605">
        <f t="shared" si="40"/>
        <v>112</v>
      </c>
    </row>
    <row r="2606" spans="2:7" ht="15" hidden="1" x14ac:dyDescent="0.25">
      <c r="B2606" s="4">
        <v>584631924</v>
      </c>
      <c r="C2606" s="4" t="s">
        <v>268</v>
      </c>
      <c r="D2606" s="4">
        <v>141</v>
      </c>
      <c r="E2606" s="4">
        <v>7</v>
      </c>
      <c r="G2606">
        <f t="shared" si="40"/>
        <v>112</v>
      </c>
    </row>
    <row r="2607" spans="2:7" ht="15" hidden="1" x14ac:dyDescent="0.25">
      <c r="B2607" s="4">
        <v>584631924</v>
      </c>
      <c r="C2607" s="4" t="s">
        <v>268</v>
      </c>
      <c r="D2607" s="4">
        <v>141</v>
      </c>
      <c r="E2607" s="4">
        <v>7</v>
      </c>
      <c r="G2607">
        <f t="shared" si="40"/>
        <v>112</v>
      </c>
    </row>
    <row r="2608" spans="2:7" ht="15" hidden="1" x14ac:dyDescent="0.25">
      <c r="B2608" s="4">
        <v>584631924</v>
      </c>
      <c r="C2608" s="4" t="s">
        <v>268</v>
      </c>
      <c r="D2608" s="4">
        <v>142</v>
      </c>
      <c r="E2608" s="4">
        <v>7</v>
      </c>
      <c r="G2608">
        <f t="shared" si="40"/>
        <v>112</v>
      </c>
    </row>
    <row r="2609" spans="2:7" ht="15" hidden="1" x14ac:dyDescent="0.25">
      <c r="B2609" s="4">
        <v>584631924</v>
      </c>
      <c r="C2609" s="4" t="s">
        <v>268</v>
      </c>
      <c r="D2609" s="4">
        <v>142</v>
      </c>
      <c r="E2609" s="4">
        <v>7</v>
      </c>
      <c r="G2609">
        <f t="shared" si="40"/>
        <v>112</v>
      </c>
    </row>
    <row r="2610" spans="2:7" ht="15" hidden="1" x14ac:dyDescent="0.25">
      <c r="B2610" s="4">
        <v>584631924</v>
      </c>
      <c r="C2610" s="4" t="s">
        <v>269</v>
      </c>
      <c r="D2610" s="4">
        <v>195</v>
      </c>
      <c r="E2610" s="4">
        <v>57</v>
      </c>
      <c r="G2610">
        <f t="shared" si="40"/>
        <v>512</v>
      </c>
    </row>
    <row r="2611" spans="2:7" ht="15" hidden="1" x14ac:dyDescent="0.25">
      <c r="B2611" s="4">
        <v>584631925</v>
      </c>
      <c r="C2611" s="4" t="s">
        <v>269</v>
      </c>
      <c r="D2611" s="4">
        <v>196</v>
      </c>
      <c r="E2611" s="4">
        <v>57</v>
      </c>
      <c r="G2611">
        <f t="shared" si="40"/>
        <v>512</v>
      </c>
    </row>
    <row r="2612" spans="2:7" ht="15" hidden="1" x14ac:dyDescent="0.25">
      <c r="B2612" s="4">
        <v>584631926</v>
      </c>
      <c r="C2612" s="4" t="s">
        <v>268</v>
      </c>
      <c r="D2612" s="4">
        <v>143</v>
      </c>
      <c r="E2612" s="4">
        <v>7</v>
      </c>
      <c r="G2612">
        <f t="shared" si="40"/>
        <v>112</v>
      </c>
    </row>
    <row r="2613" spans="2:7" ht="15" hidden="1" x14ac:dyDescent="0.25">
      <c r="B2613" s="4">
        <v>584631926</v>
      </c>
      <c r="C2613" s="4" t="s">
        <v>268</v>
      </c>
      <c r="D2613" s="4">
        <v>143</v>
      </c>
      <c r="E2613" s="4">
        <v>7</v>
      </c>
      <c r="G2613">
        <f t="shared" si="40"/>
        <v>112</v>
      </c>
    </row>
    <row r="2614" spans="2:7" ht="15" hidden="1" x14ac:dyDescent="0.25">
      <c r="B2614" s="4">
        <v>584631926</v>
      </c>
      <c r="C2614" s="4" t="s">
        <v>268</v>
      </c>
      <c r="D2614" s="4">
        <v>144</v>
      </c>
      <c r="E2614" s="4">
        <v>5</v>
      </c>
      <c r="G2614">
        <f t="shared" si="40"/>
        <v>96</v>
      </c>
    </row>
    <row r="2615" spans="2:7" ht="15" hidden="1" x14ac:dyDescent="0.25">
      <c r="B2615" s="4">
        <v>584631926</v>
      </c>
      <c r="C2615" s="4" t="s">
        <v>268</v>
      </c>
      <c r="D2615" s="4">
        <v>144</v>
      </c>
      <c r="E2615" s="4">
        <v>5</v>
      </c>
      <c r="G2615">
        <f t="shared" si="40"/>
        <v>96</v>
      </c>
    </row>
    <row r="2616" spans="2:7" ht="15" hidden="1" x14ac:dyDescent="0.25">
      <c r="B2616" s="4">
        <v>584631926</v>
      </c>
      <c r="C2616" s="4" t="s">
        <v>268</v>
      </c>
      <c r="D2616" s="4">
        <v>145</v>
      </c>
      <c r="E2616" s="4">
        <v>7</v>
      </c>
      <c r="G2616">
        <f t="shared" si="40"/>
        <v>112</v>
      </c>
    </row>
    <row r="2617" spans="2:7" ht="15" hidden="1" x14ac:dyDescent="0.25">
      <c r="B2617" s="4">
        <v>584631926</v>
      </c>
      <c r="C2617" s="4" t="s">
        <v>268</v>
      </c>
      <c r="D2617" s="4">
        <v>145</v>
      </c>
      <c r="E2617" s="4">
        <v>7</v>
      </c>
      <c r="G2617">
        <f t="shared" si="40"/>
        <v>112</v>
      </c>
    </row>
    <row r="2618" spans="2:7" ht="15" hidden="1" x14ac:dyDescent="0.25">
      <c r="B2618" s="4">
        <v>584631926</v>
      </c>
      <c r="C2618" s="4" t="s">
        <v>269</v>
      </c>
      <c r="D2618" s="4">
        <v>197</v>
      </c>
      <c r="E2618" s="4">
        <v>57</v>
      </c>
      <c r="G2618">
        <f t="shared" si="40"/>
        <v>512</v>
      </c>
    </row>
    <row r="2619" spans="2:7" ht="15" hidden="1" x14ac:dyDescent="0.25">
      <c r="B2619" s="4">
        <v>584631927</v>
      </c>
      <c r="C2619" s="4" t="s">
        <v>269</v>
      </c>
      <c r="D2619" s="4">
        <v>198</v>
      </c>
      <c r="E2619" s="4">
        <v>57</v>
      </c>
      <c r="G2619">
        <f t="shared" si="40"/>
        <v>512</v>
      </c>
    </row>
    <row r="2620" spans="2:7" ht="15" hidden="1" x14ac:dyDescent="0.25">
      <c r="B2620" s="4">
        <v>584631928</v>
      </c>
      <c r="C2620" s="4" t="s">
        <v>269</v>
      </c>
      <c r="D2620" s="4">
        <v>199</v>
      </c>
      <c r="E2620" s="4">
        <v>57</v>
      </c>
      <c r="G2620">
        <f t="shared" si="40"/>
        <v>512</v>
      </c>
    </row>
    <row r="2621" spans="2:7" ht="15" hidden="1" x14ac:dyDescent="0.25">
      <c r="B2621" s="4">
        <v>584631928</v>
      </c>
      <c r="C2621" s="4" t="s">
        <v>272</v>
      </c>
      <c r="D2621" s="4">
        <v>8</v>
      </c>
      <c r="E2621" s="4">
        <v>215</v>
      </c>
      <c r="G2621">
        <f t="shared" si="40"/>
        <v>1776</v>
      </c>
    </row>
    <row r="2622" spans="2:7" ht="15" hidden="1" x14ac:dyDescent="0.25">
      <c r="B2622" s="4">
        <v>584631929</v>
      </c>
      <c r="C2622" s="4" t="s">
        <v>269</v>
      </c>
      <c r="D2622" s="4">
        <v>200</v>
      </c>
      <c r="E2622" s="4">
        <v>57</v>
      </c>
      <c r="G2622">
        <f t="shared" si="40"/>
        <v>512</v>
      </c>
    </row>
    <row r="2623" spans="2:7" ht="15" hidden="1" x14ac:dyDescent="0.25">
      <c r="B2623" s="4">
        <v>584631930</v>
      </c>
      <c r="C2623" s="4" t="s">
        <v>269</v>
      </c>
      <c r="D2623" s="4">
        <v>201</v>
      </c>
      <c r="E2623" s="4">
        <v>57</v>
      </c>
      <c r="G2623">
        <f t="shared" si="40"/>
        <v>512</v>
      </c>
    </row>
    <row r="2624" spans="2:7" ht="15" hidden="1" x14ac:dyDescent="0.25">
      <c r="B2624" s="4">
        <v>584631931</v>
      </c>
      <c r="C2624" s="4" t="s">
        <v>269</v>
      </c>
      <c r="D2624" s="4">
        <v>202</v>
      </c>
      <c r="E2624" s="4">
        <v>57</v>
      </c>
      <c r="G2624">
        <f t="shared" si="40"/>
        <v>512</v>
      </c>
    </row>
    <row r="2625" spans="2:7" ht="15" hidden="1" x14ac:dyDescent="0.25">
      <c r="B2625" s="4">
        <v>584631932</v>
      </c>
      <c r="C2625" s="4" t="s">
        <v>269</v>
      </c>
      <c r="D2625" s="4">
        <v>203</v>
      </c>
      <c r="E2625" s="4">
        <v>57</v>
      </c>
      <c r="G2625">
        <f t="shared" si="40"/>
        <v>512</v>
      </c>
    </row>
    <row r="2626" spans="2:7" ht="15" hidden="1" x14ac:dyDescent="0.25">
      <c r="B2626" s="4">
        <v>584631933</v>
      </c>
      <c r="C2626" s="4" t="s">
        <v>269</v>
      </c>
      <c r="D2626" s="4">
        <v>204</v>
      </c>
      <c r="E2626" s="4">
        <v>57</v>
      </c>
      <c r="G2626">
        <f t="shared" si="40"/>
        <v>512</v>
      </c>
    </row>
    <row r="2627" spans="2:7" ht="15" hidden="1" x14ac:dyDescent="0.25">
      <c r="B2627" s="4">
        <v>584631934</v>
      </c>
      <c r="C2627" s="4" t="s">
        <v>269</v>
      </c>
      <c r="D2627" s="4">
        <v>205</v>
      </c>
      <c r="E2627" s="4">
        <v>57</v>
      </c>
      <c r="G2627">
        <f t="shared" si="40"/>
        <v>512</v>
      </c>
    </row>
    <row r="2628" spans="2:7" ht="15" hidden="1" x14ac:dyDescent="0.25">
      <c r="B2628" s="4">
        <v>584631935</v>
      </c>
      <c r="C2628" s="4" t="s">
        <v>269</v>
      </c>
      <c r="D2628" s="4">
        <v>206</v>
      </c>
      <c r="E2628" s="4">
        <v>57</v>
      </c>
      <c r="G2628">
        <f t="shared" ref="G2628:G2691" si="41">(E2628+7)*8</f>
        <v>512</v>
      </c>
    </row>
    <row r="2629" spans="2:7" ht="15" hidden="1" x14ac:dyDescent="0.25">
      <c r="B2629" s="4">
        <v>584631936</v>
      </c>
      <c r="C2629" s="4" t="s">
        <v>269</v>
      </c>
      <c r="D2629" s="4">
        <v>207</v>
      </c>
      <c r="E2629" s="4">
        <v>57</v>
      </c>
      <c r="G2629">
        <f t="shared" si="41"/>
        <v>512</v>
      </c>
    </row>
    <row r="2630" spans="2:7" ht="15" hidden="1" x14ac:dyDescent="0.25">
      <c r="B2630" s="4">
        <v>584631937</v>
      </c>
      <c r="C2630" s="4" t="s">
        <v>269</v>
      </c>
      <c r="D2630" s="4">
        <v>208</v>
      </c>
      <c r="E2630" s="4">
        <v>57</v>
      </c>
      <c r="G2630">
        <f t="shared" si="41"/>
        <v>512</v>
      </c>
    </row>
    <row r="2631" spans="2:7" ht="15" hidden="1" x14ac:dyDescent="0.25">
      <c r="B2631" s="4">
        <v>584631938</v>
      </c>
      <c r="C2631" s="4" t="s">
        <v>269</v>
      </c>
      <c r="D2631" s="4">
        <v>209</v>
      </c>
      <c r="E2631" s="4">
        <v>57</v>
      </c>
      <c r="G2631">
        <f t="shared" si="41"/>
        <v>512</v>
      </c>
    </row>
    <row r="2632" spans="2:7" ht="15" hidden="1" x14ac:dyDescent="0.25">
      <c r="B2632" s="4">
        <v>584631938</v>
      </c>
      <c r="C2632" s="4" t="s">
        <v>272</v>
      </c>
      <c r="D2632" s="4">
        <v>9</v>
      </c>
      <c r="E2632" s="4">
        <v>211</v>
      </c>
      <c r="G2632">
        <f t="shared" si="41"/>
        <v>1744</v>
      </c>
    </row>
    <row r="2633" spans="2:7" ht="15" hidden="1" x14ac:dyDescent="0.25">
      <c r="B2633" s="4">
        <v>584631939</v>
      </c>
      <c r="C2633" s="4" t="s">
        <v>269</v>
      </c>
      <c r="D2633" s="4">
        <v>210</v>
      </c>
      <c r="E2633" s="4">
        <v>57</v>
      </c>
      <c r="G2633">
        <f t="shared" si="41"/>
        <v>512</v>
      </c>
    </row>
    <row r="2634" spans="2:7" ht="15" hidden="1" x14ac:dyDescent="0.25">
      <c r="B2634" s="4">
        <v>584631940</v>
      </c>
      <c r="C2634" s="4" t="s">
        <v>269</v>
      </c>
      <c r="D2634" s="4">
        <v>211</v>
      </c>
      <c r="E2634" s="4">
        <v>57</v>
      </c>
      <c r="G2634">
        <f t="shared" si="41"/>
        <v>512</v>
      </c>
    </row>
    <row r="2635" spans="2:7" ht="15" hidden="1" x14ac:dyDescent="0.25">
      <c r="B2635" s="4">
        <v>584631941</v>
      </c>
      <c r="C2635" s="4" t="s">
        <v>269</v>
      </c>
      <c r="D2635" s="4">
        <v>212</v>
      </c>
      <c r="E2635" s="4">
        <v>57</v>
      </c>
      <c r="G2635">
        <f t="shared" si="41"/>
        <v>512</v>
      </c>
    </row>
    <row r="2636" spans="2:7" ht="15" hidden="1" x14ac:dyDescent="0.25">
      <c r="B2636" s="4">
        <v>584631942</v>
      </c>
      <c r="C2636" s="4" t="s">
        <v>269</v>
      </c>
      <c r="D2636" s="4">
        <v>213</v>
      </c>
      <c r="E2636" s="4">
        <v>57</v>
      </c>
      <c r="G2636">
        <f t="shared" si="41"/>
        <v>512</v>
      </c>
    </row>
    <row r="2637" spans="2:7" ht="15" hidden="1" x14ac:dyDescent="0.25">
      <c r="B2637" s="4">
        <v>584631943</v>
      </c>
      <c r="C2637" s="4" t="s">
        <v>269</v>
      </c>
      <c r="D2637" s="4">
        <v>214</v>
      </c>
      <c r="E2637" s="4">
        <v>57</v>
      </c>
      <c r="G2637">
        <f t="shared" si="41"/>
        <v>512</v>
      </c>
    </row>
    <row r="2638" spans="2:7" ht="15" hidden="1" x14ac:dyDescent="0.25">
      <c r="B2638" s="4">
        <v>584631944</v>
      </c>
      <c r="C2638" s="4" t="s">
        <v>269</v>
      </c>
      <c r="D2638" s="4">
        <v>215</v>
      </c>
      <c r="E2638" s="4">
        <v>57</v>
      </c>
      <c r="G2638">
        <f t="shared" si="41"/>
        <v>512</v>
      </c>
    </row>
    <row r="2639" spans="2:7" ht="15" hidden="1" x14ac:dyDescent="0.25">
      <c r="B2639" s="4">
        <v>584631945</v>
      </c>
      <c r="C2639" s="4" t="s">
        <v>269</v>
      </c>
      <c r="D2639" s="4">
        <v>216</v>
      </c>
      <c r="E2639" s="4">
        <v>57</v>
      </c>
      <c r="G2639">
        <f t="shared" si="41"/>
        <v>512</v>
      </c>
    </row>
    <row r="2640" spans="2:7" ht="15" hidden="1" x14ac:dyDescent="0.25">
      <c r="B2640" s="4">
        <v>584631946</v>
      </c>
      <c r="C2640" s="4" t="s">
        <v>269</v>
      </c>
      <c r="D2640" s="4">
        <v>217</v>
      </c>
      <c r="E2640" s="4">
        <v>57</v>
      </c>
      <c r="G2640">
        <f t="shared" si="41"/>
        <v>512</v>
      </c>
    </row>
    <row r="2641" spans="2:7" ht="15" hidden="1" x14ac:dyDescent="0.25">
      <c r="B2641" s="4">
        <v>584631947</v>
      </c>
      <c r="C2641" s="4" t="s">
        <v>269</v>
      </c>
      <c r="D2641" s="4">
        <v>218</v>
      </c>
      <c r="E2641" s="4">
        <v>57</v>
      </c>
      <c r="G2641">
        <f t="shared" si="41"/>
        <v>512</v>
      </c>
    </row>
    <row r="2642" spans="2:7" ht="15" hidden="1" x14ac:dyDescent="0.25">
      <c r="B2642" s="4">
        <v>584631948</v>
      </c>
      <c r="C2642" s="4" t="s">
        <v>269</v>
      </c>
      <c r="D2642" s="4">
        <v>219</v>
      </c>
      <c r="E2642" s="4">
        <v>57</v>
      </c>
      <c r="G2642">
        <f t="shared" si="41"/>
        <v>512</v>
      </c>
    </row>
    <row r="2643" spans="2:7" ht="15" hidden="1" x14ac:dyDescent="0.25">
      <c r="B2643" s="4">
        <v>584631948</v>
      </c>
      <c r="C2643" s="4" t="s">
        <v>272</v>
      </c>
      <c r="D2643" s="4">
        <v>10</v>
      </c>
      <c r="E2643" s="4">
        <v>211</v>
      </c>
      <c r="G2643">
        <f t="shared" si="41"/>
        <v>1744</v>
      </c>
    </row>
    <row r="2644" spans="2:7" ht="15" hidden="1" x14ac:dyDescent="0.25">
      <c r="B2644" s="4">
        <v>584631949</v>
      </c>
      <c r="C2644" s="4" t="s">
        <v>269</v>
      </c>
      <c r="D2644" s="4">
        <v>220</v>
      </c>
      <c r="E2644" s="4">
        <v>57</v>
      </c>
      <c r="G2644">
        <f t="shared" si="41"/>
        <v>512</v>
      </c>
    </row>
    <row r="2645" spans="2:7" ht="15" hidden="1" x14ac:dyDescent="0.25">
      <c r="B2645" s="4">
        <v>584631950</v>
      </c>
      <c r="C2645" s="4" t="s">
        <v>269</v>
      </c>
      <c r="D2645" s="4">
        <v>221</v>
      </c>
      <c r="E2645" s="4">
        <v>57</v>
      </c>
      <c r="G2645">
        <f t="shared" si="41"/>
        <v>512</v>
      </c>
    </row>
    <row r="2646" spans="2:7" ht="15" hidden="1" x14ac:dyDescent="0.25">
      <c r="B2646" s="4">
        <v>584631951</v>
      </c>
      <c r="C2646" s="4" t="s">
        <v>269</v>
      </c>
      <c r="D2646" s="4">
        <v>222</v>
      </c>
      <c r="E2646" s="4">
        <v>57</v>
      </c>
      <c r="G2646">
        <f t="shared" si="41"/>
        <v>512</v>
      </c>
    </row>
    <row r="2647" spans="2:7" ht="15" hidden="1" x14ac:dyDescent="0.25">
      <c r="B2647" s="4">
        <v>584631952</v>
      </c>
      <c r="C2647" s="4" t="s">
        <v>269</v>
      </c>
      <c r="D2647" s="4">
        <v>223</v>
      </c>
      <c r="E2647" s="4">
        <v>57</v>
      </c>
      <c r="G2647">
        <f t="shared" si="41"/>
        <v>512</v>
      </c>
    </row>
    <row r="2648" spans="2:7" ht="15" hidden="1" x14ac:dyDescent="0.25">
      <c r="B2648" s="4">
        <v>584631953</v>
      </c>
      <c r="C2648" s="4" t="s">
        <v>269</v>
      </c>
      <c r="D2648" s="4">
        <v>224</v>
      </c>
      <c r="E2648" s="4">
        <v>57</v>
      </c>
      <c r="G2648">
        <f t="shared" si="41"/>
        <v>512</v>
      </c>
    </row>
    <row r="2649" spans="2:7" ht="15" hidden="1" x14ac:dyDescent="0.25">
      <c r="B2649" s="4">
        <v>584631954</v>
      </c>
      <c r="C2649" s="4" t="s">
        <v>269</v>
      </c>
      <c r="D2649" s="4">
        <v>225</v>
      </c>
      <c r="E2649" s="4">
        <v>57</v>
      </c>
      <c r="G2649">
        <f t="shared" si="41"/>
        <v>512</v>
      </c>
    </row>
    <row r="2650" spans="2:7" ht="15" hidden="1" x14ac:dyDescent="0.25">
      <c r="B2650" s="4">
        <v>584631955</v>
      </c>
      <c r="C2650" s="4" t="s">
        <v>269</v>
      </c>
      <c r="D2650" s="4">
        <v>226</v>
      </c>
      <c r="E2650" s="4">
        <v>57</v>
      </c>
      <c r="G2650">
        <f t="shared" si="41"/>
        <v>512</v>
      </c>
    </row>
    <row r="2651" spans="2:7" ht="15" hidden="1" x14ac:dyDescent="0.25">
      <c r="B2651" s="4">
        <v>584631956</v>
      </c>
      <c r="C2651" s="4" t="s">
        <v>268</v>
      </c>
      <c r="D2651" s="4">
        <v>146</v>
      </c>
      <c r="E2651" s="4">
        <v>6</v>
      </c>
      <c r="G2651">
        <f t="shared" si="41"/>
        <v>104</v>
      </c>
    </row>
    <row r="2652" spans="2:7" ht="15" hidden="1" x14ac:dyDescent="0.25">
      <c r="B2652" s="4">
        <v>584631956</v>
      </c>
      <c r="C2652" s="4" t="s">
        <v>268</v>
      </c>
      <c r="D2652" s="4">
        <v>146</v>
      </c>
      <c r="E2652" s="4">
        <v>6</v>
      </c>
      <c r="G2652">
        <f t="shared" si="41"/>
        <v>104</v>
      </c>
    </row>
    <row r="2653" spans="2:7" ht="15" hidden="1" x14ac:dyDescent="0.25">
      <c r="B2653" s="4">
        <v>584631956</v>
      </c>
      <c r="C2653" s="4" t="s">
        <v>268</v>
      </c>
      <c r="D2653" s="4">
        <v>147</v>
      </c>
      <c r="E2653" s="4">
        <v>9</v>
      </c>
      <c r="G2653">
        <f t="shared" si="41"/>
        <v>128</v>
      </c>
    </row>
    <row r="2654" spans="2:7" ht="15" hidden="1" x14ac:dyDescent="0.25">
      <c r="B2654" s="4">
        <v>584631956</v>
      </c>
      <c r="C2654" s="4" t="s">
        <v>268</v>
      </c>
      <c r="D2654" s="4">
        <v>147</v>
      </c>
      <c r="E2654" s="4">
        <v>9</v>
      </c>
      <c r="G2654">
        <f t="shared" si="41"/>
        <v>128</v>
      </c>
    </row>
    <row r="2655" spans="2:7" ht="15" hidden="1" x14ac:dyDescent="0.25">
      <c r="B2655" s="4">
        <v>584631956</v>
      </c>
      <c r="C2655" s="4" t="s">
        <v>268</v>
      </c>
      <c r="D2655" s="4">
        <v>148</v>
      </c>
      <c r="E2655" s="4">
        <v>7</v>
      </c>
      <c r="G2655">
        <f t="shared" si="41"/>
        <v>112</v>
      </c>
    </row>
    <row r="2656" spans="2:7" ht="15" hidden="1" x14ac:dyDescent="0.25">
      <c r="B2656" s="4">
        <v>584631956</v>
      </c>
      <c r="C2656" s="4" t="s">
        <v>268</v>
      </c>
      <c r="D2656" s="4">
        <v>148</v>
      </c>
      <c r="E2656" s="4">
        <v>7</v>
      </c>
      <c r="G2656">
        <f t="shared" si="41"/>
        <v>112</v>
      </c>
    </row>
    <row r="2657" spans="2:7" ht="15" hidden="1" x14ac:dyDescent="0.25">
      <c r="B2657" s="4">
        <v>584631956</v>
      </c>
      <c r="C2657" s="4" t="s">
        <v>268</v>
      </c>
      <c r="D2657" s="4">
        <v>149</v>
      </c>
      <c r="E2657" s="4">
        <v>7</v>
      </c>
      <c r="G2657">
        <f t="shared" si="41"/>
        <v>112</v>
      </c>
    </row>
    <row r="2658" spans="2:7" ht="15" hidden="1" x14ac:dyDescent="0.25">
      <c r="B2658" s="4">
        <v>584631956</v>
      </c>
      <c r="C2658" s="4" t="s">
        <v>268</v>
      </c>
      <c r="D2658" s="4">
        <v>149</v>
      </c>
      <c r="E2658" s="4">
        <v>7</v>
      </c>
      <c r="G2658">
        <f t="shared" si="41"/>
        <v>112</v>
      </c>
    </row>
    <row r="2659" spans="2:7" ht="15" hidden="1" x14ac:dyDescent="0.25">
      <c r="B2659" s="4">
        <v>584631956</v>
      </c>
      <c r="C2659" s="4" t="s">
        <v>268</v>
      </c>
      <c r="D2659" s="4">
        <v>150</v>
      </c>
      <c r="E2659" s="4">
        <v>7</v>
      </c>
      <c r="G2659">
        <f t="shared" si="41"/>
        <v>112</v>
      </c>
    </row>
    <row r="2660" spans="2:7" ht="15" hidden="1" x14ac:dyDescent="0.25">
      <c r="B2660" s="4">
        <v>584631956</v>
      </c>
      <c r="C2660" s="4" t="s">
        <v>268</v>
      </c>
      <c r="D2660" s="4">
        <v>150</v>
      </c>
      <c r="E2660" s="4">
        <v>7</v>
      </c>
      <c r="G2660">
        <f t="shared" si="41"/>
        <v>112</v>
      </c>
    </row>
    <row r="2661" spans="2:7" ht="15" hidden="1" x14ac:dyDescent="0.25">
      <c r="B2661" s="4">
        <v>584631956</v>
      </c>
      <c r="C2661" s="4" t="s">
        <v>269</v>
      </c>
      <c r="D2661" s="4">
        <v>227</v>
      </c>
      <c r="E2661" s="4">
        <v>57</v>
      </c>
      <c r="G2661">
        <f t="shared" si="41"/>
        <v>512</v>
      </c>
    </row>
    <row r="2662" spans="2:7" ht="15" hidden="1" x14ac:dyDescent="0.25">
      <c r="B2662" s="4">
        <v>584631957</v>
      </c>
      <c r="C2662" s="4" t="s">
        <v>269</v>
      </c>
      <c r="D2662" s="4">
        <v>228</v>
      </c>
      <c r="E2662" s="4">
        <v>57</v>
      </c>
      <c r="G2662">
        <f t="shared" si="41"/>
        <v>512</v>
      </c>
    </row>
    <row r="2663" spans="2:7" ht="15" hidden="1" x14ac:dyDescent="0.25">
      <c r="B2663" s="4">
        <v>584631958</v>
      </c>
      <c r="C2663" s="4" t="s">
        <v>268</v>
      </c>
      <c r="D2663" s="4">
        <v>151</v>
      </c>
      <c r="E2663" s="4">
        <v>7</v>
      </c>
      <c r="G2663">
        <f t="shared" si="41"/>
        <v>112</v>
      </c>
    </row>
    <row r="2664" spans="2:7" ht="15" hidden="1" x14ac:dyDescent="0.25">
      <c r="B2664" s="4">
        <v>584631958</v>
      </c>
      <c r="C2664" s="4" t="s">
        <v>268</v>
      </c>
      <c r="D2664" s="4">
        <v>151</v>
      </c>
      <c r="E2664" s="4">
        <v>7</v>
      </c>
      <c r="G2664">
        <f t="shared" si="41"/>
        <v>112</v>
      </c>
    </row>
    <row r="2665" spans="2:7" ht="15" hidden="1" x14ac:dyDescent="0.25">
      <c r="B2665" s="4">
        <v>584631958</v>
      </c>
      <c r="C2665" s="4" t="s">
        <v>268</v>
      </c>
      <c r="D2665" s="4">
        <v>152</v>
      </c>
      <c r="E2665" s="4">
        <v>5</v>
      </c>
      <c r="G2665">
        <f t="shared" si="41"/>
        <v>96</v>
      </c>
    </row>
    <row r="2666" spans="2:7" ht="15" hidden="1" x14ac:dyDescent="0.25">
      <c r="B2666" s="4">
        <v>584631958</v>
      </c>
      <c r="C2666" s="4" t="s">
        <v>268</v>
      </c>
      <c r="D2666" s="4">
        <v>152</v>
      </c>
      <c r="E2666" s="4">
        <v>5</v>
      </c>
      <c r="G2666">
        <f t="shared" si="41"/>
        <v>96</v>
      </c>
    </row>
    <row r="2667" spans="2:7" ht="15" hidden="1" x14ac:dyDescent="0.25">
      <c r="B2667" s="4">
        <v>584631958</v>
      </c>
      <c r="C2667" s="4" t="s">
        <v>268</v>
      </c>
      <c r="D2667" s="4">
        <v>153</v>
      </c>
      <c r="E2667" s="4">
        <v>7</v>
      </c>
      <c r="G2667">
        <f t="shared" si="41"/>
        <v>112</v>
      </c>
    </row>
    <row r="2668" spans="2:7" ht="15" hidden="1" x14ac:dyDescent="0.25">
      <c r="B2668" s="4">
        <v>584631958</v>
      </c>
      <c r="C2668" s="4" t="s">
        <v>268</v>
      </c>
      <c r="D2668" s="4">
        <v>153</v>
      </c>
      <c r="E2668" s="4">
        <v>7</v>
      </c>
      <c r="G2668">
        <f t="shared" si="41"/>
        <v>112</v>
      </c>
    </row>
    <row r="2669" spans="2:7" ht="15" hidden="1" x14ac:dyDescent="0.25">
      <c r="B2669" s="4">
        <v>584631958</v>
      </c>
      <c r="C2669" s="4" t="s">
        <v>269</v>
      </c>
      <c r="D2669" s="4">
        <v>229</v>
      </c>
      <c r="E2669" s="4">
        <v>57</v>
      </c>
      <c r="G2669">
        <f t="shared" si="41"/>
        <v>512</v>
      </c>
    </row>
    <row r="2670" spans="2:7" ht="15" hidden="1" x14ac:dyDescent="0.25">
      <c r="B2670" s="4">
        <v>584631958</v>
      </c>
      <c r="C2670" s="4" t="s">
        <v>272</v>
      </c>
      <c r="D2670" s="4">
        <v>11</v>
      </c>
      <c r="E2670" s="4">
        <v>213</v>
      </c>
      <c r="G2670">
        <f t="shared" si="41"/>
        <v>1760</v>
      </c>
    </row>
    <row r="2671" spans="2:7" ht="15" hidden="1" x14ac:dyDescent="0.25">
      <c r="B2671" s="4">
        <v>584631959</v>
      </c>
      <c r="C2671" s="4" t="s">
        <v>269</v>
      </c>
      <c r="D2671" s="4">
        <v>230</v>
      </c>
      <c r="E2671" s="4">
        <v>57</v>
      </c>
      <c r="G2671">
        <f t="shared" si="41"/>
        <v>512</v>
      </c>
    </row>
    <row r="2672" spans="2:7" ht="15" hidden="1" x14ac:dyDescent="0.25">
      <c r="B2672" s="4">
        <v>584631960</v>
      </c>
      <c r="C2672" s="4" t="s">
        <v>269</v>
      </c>
      <c r="D2672" s="4">
        <v>231</v>
      </c>
      <c r="E2672" s="4">
        <v>57</v>
      </c>
      <c r="G2672">
        <f t="shared" si="41"/>
        <v>512</v>
      </c>
    </row>
    <row r="2673" spans="2:7" ht="15" hidden="1" x14ac:dyDescent="0.25">
      <c r="B2673" s="4">
        <v>584631961</v>
      </c>
      <c r="C2673" s="4" t="s">
        <v>269</v>
      </c>
      <c r="D2673" s="4">
        <v>232</v>
      </c>
      <c r="E2673" s="4">
        <v>57</v>
      </c>
      <c r="G2673">
        <f t="shared" si="41"/>
        <v>512</v>
      </c>
    </row>
    <row r="2674" spans="2:7" ht="15" hidden="1" x14ac:dyDescent="0.25">
      <c r="B2674" s="4">
        <v>584631962</v>
      </c>
      <c r="C2674" s="4" t="s">
        <v>269</v>
      </c>
      <c r="D2674" s="4">
        <v>233</v>
      </c>
      <c r="E2674" s="4">
        <v>57</v>
      </c>
      <c r="G2674">
        <f t="shared" si="41"/>
        <v>512</v>
      </c>
    </row>
    <row r="2675" spans="2:7" ht="15" hidden="1" x14ac:dyDescent="0.25">
      <c r="B2675" s="4">
        <v>584631963</v>
      </c>
      <c r="C2675" s="4" t="s">
        <v>269</v>
      </c>
      <c r="D2675" s="4">
        <v>234</v>
      </c>
      <c r="E2675" s="4">
        <v>57</v>
      </c>
      <c r="G2675">
        <f t="shared" si="41"/>
        <v>512</v>
      </c>
    </row>
    <row r="2676" spans="2:7" ht="15" hidden="1" x14ac:dyDescent="0.25">
      <c r="B2676" s="4">
        <v>584631964</v>
      </c>
      <c r="C2676" s="4" t="s">
        <v>269</v>
      </c>
      <c r="D2676" s="4">
        <v>235</v>
      </c>
      <c r="E2676" s="4">
        <v>57</v>
      </c>
      <c r="G2676">
        <f t="shared" si="41"/>
        <v>512</v>
      </c>
    </row>
    <row r="2677" spans="2:7" ht="15" hidden="1" x14ac:dyDescent="0.25">
      <c r="B2677" s="4">
        <v>584631965</v>
      </c>
      <c r="C2677" s="4" t="s">
        <v>269</v>
      </c>
      <c r="D2677" s="4">
        <v>236</v>
      </c>
      <c r="E2677" s="4">
        <v>57</v>
      </c>
      <c r="G2677">
        <f t="shared" si="41"/>
        <v>512</v>
      </c>
    </row>
    <row r="2678" spans="2:7" ht="15" hidden="1" x14ac:dyDescent="0.25">
      <c r="B2678" s="4">
        <v>584631966</v>
      </c>
      <c r="C2678" s="4" t="s">
        <v>269</v>
      </c>
      <c r="D2678" s="4">
        <v>237</v>
      </c>
      <c r="E2678" s="4">
        <v>57</v>
      </c>
      <c r="G2678">
        <f t="shared" si="41"/>
        <v>512</v>
      </c>
    </row>
    <row r="2679" spans="2:7" ht="15" hidden="1" x14ac:dyDescent="0.25">
      <c r="B2679" s="4">
        <v>584631967</v>
      </c>
      <c r="C2679" s="4" t="s">
        <v>269</v>
      </c>
      <c r="D2679" s="4">
        <v>238</v>
      </c>
      <c r="E2679" s="4">
        <v>57</v>
      </c>
      <c r="G2679">
        <f t="shared" si="41"/>
        <v>512</v>
      </c>
    </row>
    <row r="2680" spans="2:7" ht="15" hidden="1" x14ac:dyDescent="0.25">
      <c r="B2680" s="4">
        <v>584631968</v>
      </c>
      <c r="C2680" s="4" t="s">
        <v>269</v>
      </c>
      <c r="D2680" s="4">
        <v>239</v>
      </c>
      <c r="E2680" s="4">
        <v>57</v>
      </c>
      <c r="G2680">
        <f t="shared" si="41"/>
        <v>512</v>
      </c>
    </row>
    <row r="2681" spans="2:7" ht="15" hidden="1" x14ac:dyDescent="0.25">
      <c r="B2681" s="4">
        <v>584631968</v>
      </c>
      <c r="C2681" s="4" t="s">
        <v>272</v>
      </c>
      <c r="D2681" s="4">
        <v>12</v>
      </c>
      <c r="E2681" s="4">
        <v>217</v>
      </c>
      <c r="G2681">
        <f t="shared" si="41"/>
        <v>1792</v>
      </c>
    </row>
    <row r="2682" spans="2:7" ht="15" hidden="1" x14ac:dyDescent="0.25">
      <c r="B2682" s="4">
        <v>584631969</v>
      </c>
      <c r="C2682" s="4" t="s">
        <v>269</v>
      </c>
      <c r="D2682" s="4">
        <v>240</v>
      </c>
      <c r="E2682" s="4">
        <v>57</v>
      </c>
      <c r="G2682">
        <f t="shared" si="41"/>
        <v>512</v>
      </c>
    </row>
    <row r="2683" spans="2:7" ht="15" hidden="1" x14ac:dyDescent="0.25">
      <c r="B2683" s="4">
        <v>584631970</v>
      </c>
      <c r="C2683" s="4" t="s">
        <v>269</v>
      </c>
      <c r="D2683" s="4">
        <v>241</v>
      </c>
      <c r="E2683" s="4">
        <v>57</v>
      </c>
      <c r="G2683">
        <f t="shared" si="41"/>
        <v>512</v>
      </c>
    </row>
    <row r="2684" spans="2:7" ht="15" hidden="1" x14ac:dyDescent="0.25">
      <c r="B2684" s="4">
        <v>584631971</v>
      </c>
      <c r="C2684" s="4" t="s">
        <v>269</v>
      </c>
      <c r="D2684" s="4">
        <v>242</v>
      </c>
      <c r="E2684" s="4">
        <v>57</v>
      </c>
      <c r="G2684">
        <f t="shared" si="41"/>
        <v>512</v>
      </c>
    </row>
    <row r="2685" spans="2:7" ht="15" hidden="1" x14ac:dyDescent="0.25">
      <c r="B2685" s="4">
        <v>584631972</v>
      </c>
      <c r="C2685" s="4" t="s">
        <v>269</v>
      </c>
      <c r="D2685" s="4">
        <v>243</v>
      </c>
      <c r="E2685" s="4">
        <v>57</v>
      </c>
      <c r="G2685">
        <f t="shared" si="41"/>
        <v>512</v>
      </c>
    </row>
    <row r="2686" spans="2:7" ht="15" hidden="1" x14ac:dyDescent="0.25">
      <c r="B2686" s="4">
        <v>584631973</v>
      </c>
      <c r="C2686" s="4" t="s">
        <v>269</v>
      </c>
      <c r="D2686" s="4">
        <v>244</v>
      </c>
      <c r="E2686" s="4">
        <v>57</v>
      </c>
      <c r="G2686">
        <f t="shared" si="41"/>
        <v>512</v>
      </c>
    </row>
    <row r="2687" spans="2:7" ht="15" hidden="1" x14ac:dyDescent="0.25">
      <c r="B2687" s="4">
        <v>584631974</v>
      </c>
      <c r="C2687" s="4" t="s">
        <v>269</v>
      </c>
      <c r="D2687" s="4">
        <v>245</v>
      </c>
      <c r="E2687" s="4">
        <v>57</v>
      </c>
      <c r="G2687">
        <f t="shared" si="41"/>
        <v>512</v>
      </c>
    </row>
    <row r="2688" spans="2:7" ht="15" hidden="1" x14ac:dyDescent="0.25">
      <c r="B2688" s="4">
        <v>584631975</v>
      </c>
      <c r="C2688" s="4" t="s">
        <v>269</v>
      </c>
      <c r="D2688" s="4">
        <v>246</v>
      </c>
      <c r="E2688" s="4">
        <v>57</v>
      </c>
      <c r="G2688">
        <f t="shared" si="41"/>
        <v>512</v>
      </c>
    </row>
    <row r="2689" spans="2:7" ht="15" hidden="1" x14ac:dyDescent="0.25">
      <c r="B2689" s="4">
        <v>584631976</v>
      </c>
      <c r="C2689" s="4" t="s">
        <v>269</v>
      </c>
      <c r="D2689" s="4">
        <v>247</v>
      </c>
      <c r="E2689" s="4">
        <v>57</v>
      </c>
      <c r="G2689">
        <f t="shared" si="41"/>
        <v>512</v>
      </c>
    </row>
    <row r="2690" spans="2:7" ht="15" hidden="1" x14ac:dyDescent="0.25">
      <c r="B2690" s="4">
        <v>584631977</v>
      </c>
      <c r="C2690" s="4" t="s">
        <v>269</v>
      </c>
      <c r="D2690" s="4">
        <v>248</v>
      </c>
      <c r="E2690" s="4">
        <v>57</v>
      </c>
      <c r="G2690">
        <f t="shared" si="41"/>
        <v>512</v>
      </c>
    </row>
    <row r="2691" spans="2:7" ht="15" hidden="1" x14ac:dyDescent="0.25">
      <c r="B2691" s="4">
        <v>584631978</v>
      </c>
      <c r="C2691" s="4" t="s">
        <v>269</v>
      </c>
      <c r="D2691" s="4">
        <v>249</v>
      </c>
      <c r="E2691" s="4">
        <v>57</v>
      </c>
      <c r="G2691">
        <f t="shared" si="41"/>
        <v>512</v>
      </c>
    </row>
    <row r="2692" spans="2:7" ht="15" hidden="1" x14ac:dyDescent="0.25">
      <c r="B2692" s="4">
        <v>584631978</v>
      </c>
      <c r="C2692" s="4" t="s">
        <v>272</v>
      </c>
      <c r="D2692" s="4">
        <v>13</v>
      </c>
      <c r="E2692" s="4">
        <v>217</v>
      </c>
      <c r="G2692">
        <f t="shared" ref="G2692:G2755" si="42">(E2692+7)*8</f>
        <v>1792</v>
      </c>
    </row>
    <row r="2693" spans="2:7" ht="15" hidden="1" x14ac:dyDescent="0.25">
      <c r="B2693" s="4">
        <v>584631979</v>
      </c>
      <c r="C2693" s="4" t="s">
        <v>269</v>
      </c>
      <c r="D2693" s="4">
        <v>250</v>
      </c>
      <c r="E2693" s="4">
        <v>57</v>
      </c>
      <c r="G2693">
        <f t="shared" si="42"/>
        <v>512</v>
      </c>
    </row>
    <row r="2694" spans="2:7" ht="15" hidden="1" x14ac:dyDescent="0.25">
      <c r="B2694" s="4">
        <v>584631980</v>
      </c>
      <c r="C2694" s="4" t="s">
        <v>269</v>
      </c>
      <c r="D2694" s="4">
        <v>251</v>
      </c>
      <c r="E2694" s="4">
        <v>57</v>
      </c>
      <c r="G2694">
        <f t="shared" si="42"/>
        <v>512</v>
      </c>
    </row>
    <row r="2695" spans="2:7" ht="15" hidden="1" x14ac:dyDescent="0.25">
      <c r="B2695" s="4">
        <v>584631981</v>
      </c>
      <c r="C2695" s="4" t="s">
        <v>269</v>
      </c>
      <c r="D2695" s="4">
        <v>252</v>
      </c>
      <c r="E2695" s="4">
        <v>57</v>
      </c>
      <c r="G2695">
        <f t="shared" si="42"/>
        <v>512</v>
      </c>
    </row>
    <row r="2696" spans="2:7" ht="15" hidden="1" x14ac:dyDescent="0.25">
      <c r="B2696" s="4">
        <v>584631982</v>
      </c>
      <c r="C2696" s="4" t="s">
        <v>269</v>
      </c>
      <c r="D2696" s="4">
        <v>253</v>
      </c>
      <c r="E2696" s="4">
        <v>57</v>
      </c>
      <c r="G2696">
        <f t="shared" si="42"/>
        <v>512</v>
      </c>
    </row>
    <row r="2697" spans="2:7" ht="15" hidden="1" x14ac:dyDescent="0.25">
      <c r="B2697" s="4">
        <v>584631983</v>
      </c>
      <c r="C2697" s="4" t="s">
        <v>269</v>
      </c>
      <c r="D2697" s="4">
        <v>254</v>
      </c>
      <c r="E2697" s="4">
        <v>57</v>
      </c>
      <c r="G2697">
        <f t="shared" si="42"/>
        <v>512</v>
      </c>
    </row>
    <row r="2698" spans="2:7" ht="15" hidden="1" x14ac:dyDescent="0.25">
      <c r="B2698" s="4">
        <v>584631984</v>
      </c>
      <c r="C2698" s="4" t="s">
        <v>269</v>
      </c>
      <c r="D2698" s="4">
        <v>255</v>
      </c>
      <c r="E2698" s="4">
        <v>57</v>
      </c>
      <c r="G2698">
        <f t="shared" si="42"/>
        <v>512</v>
      </c>
    </row>
    <row r="2699" spans="2:7" ht="15" hidden="1" x14ac:dyDescent="0.25">
      <c r="B2699" s="4">
        <v>584631985</v>
      </c>
      <c r="C2699" s="4" t="s">
        <v>269</v>
      </c>
      <c r="D2699" s="4">
        <v>256</v>
      </c>
      <c r="E2699" s="4">
        <v>57</v>
      </c>
      <c r="G2699">
        <f t="shared" si="42"/>
        <v>512</v>
      </c>
    </row>
    <row r="2700" spans="2:7" ht="15" hidden="1" x14ac:dyDescent="0.25">
      <c r="B2700" s="4">
        <v>584631986</v>
      </c>
      <c r="C2700" s="4" t="s">
        <v>269</v>
      </c>
      <c r="D2700" s="4">
        <v>257</v>
      </c>
      <c r="E2700" s="4">
        <v>57</v>
      </c>
      <c r="G2700">
        <f t="shared" si="42"/>
        <v>512</v>
      </c>
    </row>
    <row r="2701" spans="2:7" ht="15" hidden="1" x14ac:dyDescent="0.25">
      <c r="B2701" s="4">
        <v>584631987</v>
      </c>
      <c r="C2701" s="4" t="s">
        <v>269</v>
      </c>
      <c r="D2701" s="4">
        <v>258</v>
      </c>
      <c r="E2701" s="4">
        <v>57</v>
      </c>
      <c r="G2701">
        <f t="shared" si="42"/>
        <v>512</v>
      </c>
    </row>
    <row r="2702" spans="2:7" ht="15" hidden="1" x14ac:dyDescent="0.25">
      <c r="B2702" s="4">
        <v>584631988</v>
      </c>
      <c r="C2702" s="4" t="s">
        <v>268</v>
      </c>
      <c r="D2702" s="4">
        <v>154</v>
      </c>
      <c r="E2702" s="4">
        <v>6</v>
      </c>
      <c r="G2702">
        <f t="shared" si="42"/>
        <v>104</v>
      </c>
    </row>
    <row r="2703" spans="2:7" ht="15" hidden="1" x14ac:dyDescent="0.25">
      <c r="B2703" s="4">
        <v>584631988</v>
      </c>
      <c r="C2703" s="4" t="s">
        <v>268</v>
      </c>
      <c r="D2703" s="4">
        <v>154</v>
      </c>
      <c r="E2703" s="4">
        <v>6</v>
      </c>
      <c r="G2703">
        <f t="shared" si="42"/>
        <v>104</v>
      </c>
    </row>
    <row r="2704" spans="2:7" ht="15" hidden="1" x14ac:dyDescent="0.25">
      <c r="B2704" s="4">
        <v>584631988</v>
      </c>
      <c r="C2704" s="4" t="s">
        <v>268</v>
      </c>
      <c r="D2704" s="4">
        <v>155</v>
      </c>
      <c r="E2704" s="4">
        <v>9</v>
      </c>
      <c r="G2704">
        <f t="shared" si="42"/>
        <v>128</v>
      </c>
    </row>
    <row r="2705" spans="2:7" ht="15" hidden="1" x14ac:dyDescent="0.25">
      <c r="B2705" s="4">
        <v>584631988</v>
      </c>
      <c r="C2705" s="4" t="s">
        <v>268</v>
      </c>
      <c r="D2705" s="4">
        <v>155</v>
      </c>
      <c r="E2705" s="4">
        <v>9</v>
      </c>
      <c r="G2705">
        <f t="shared" si="42"/>
        <v>128</v>
      </c>
    </row>
    <row r="2706" spans="2:7" ht="15" hidden="1" x14ac:dyDescent="0.25">
      <c r="B2706" s="4">
        <v>584631988</v>
      </c>
      <c r="C2706" s="4" t="s">
        <v>268</v>
      </c>
      <c r="D2706" s="4">
        <v>156</v>
      </c>
      <c r="E2706" s="4">
        <v>7</v>
      </c>
      <c r="G2706">
        <f t="shared" si="42"/>
        <v>112</v>
      </c>
    </row>
    <row r="2707" spans="2:7" ht="15" hidden="1" x14ac:dyDescent="0.25">
      <c r="B2707" s="4">
        <v>584631988</v>
      </c>
      <c r="C2707" s="4" t="s">
        <v>268</v>
      </c>
      <c r="D2707" s="4">
        <v>156</v>
      </c>
      <c r="E2707" s="4">
        <v>7</v>
      </c>
      <c r="G2707">
        <f t="shared" si="42"/>
        <v>112</v>
      </c>
    </row>
    <row r="2708" spans="2:7" ht="15" hidden="1" x14ac:dyDescent="0.25">
      <c r="B2708" s="4">
        <v>584631988</v>
      </c>
      <c r="C2708" s="4" t="s">
        <v>268</v>
      </c>
      <c r="D2708" s="4">
        <v>157</v>
      </c>
      <c r="E2708" s="4">
        <v>7</v>
      </c>
      <c r="G2708">
        <f t="shared" si="42"/>
        <v>112</v>
      </c>
    </row>
    <row r="2709" spans="2:7" ht="15" hidden="1" x14ac:dyDescent="0.25">
      <c r="B2709" s="4">
        <v>584631988</v>
      </c>
      <c r="C2709" s="4" t="s">
        <v>268</v>
      </c>
      <c r="D2709" s="4">
        <v>157</v>
      </c>
      <c r="E2709" s="4">
        <v>7</v>
      </c>
      <c r="G2709">
        <f t="shared" si="42"/>
        <v>112</v>
      </c>
    </row>
    <row r="2710" spans="2:7" ht="15" hidden="1" x14ac:dyDescent="0.25">
      <c r="B2710" s="4">
        <v>584631988</v>
      </c>
      <c r="C2710" s="4" t="s">
        <v>268</v>
      </c>
      <c r="D2710" s="4">
        <v>158</v>
      </c>
      <c r="E2710" s="4">
        <v>7</v>
      </c>
      <c r="G2710">
        <f t="shared" si="42"/>
        <v>112</v>
      </c>
    </row>
    <row r="2711" spans="2:7" ht="15" hidden="1" x14ac:dyDescent="0.25">
      <c r="B2711" s="4">
        <v>584631988</v>
      </c>
      <c r="C2711" s="4" t="s">
        <v>268</v>
      </c>
      <c r="D2711" s="4">
        <v>158</v>
      </c>
      <c r="E2711" s="4">
        <v>7</v>
      </c>
      <c r="G2711">
        <f t="shared" si="42"/>
        <v>112</v>
      </c>
    </row>
    <row r="2712" spans="2:7" ht="15" hidden="1" x14ac:dyDescent="0.25">
      <c r="B2712" s="4">
        <v>584631988</v>
      </c>
      <c r="C2712" s="4" t="s">
        <v>269</v>
      </c>
      <c r="D2712" s="4">
        <v>259</v>
      </c>
      <c r="E2712" s="4">
        <v>57</v>
      </c>
      <c r="G2712">
        <f t="shared" si="42"/>
        <v>512</v>
      </c>
    </row>
    <row r="2713" spans="2:7" ht="15" hidden="1" x14ac:dyDescent="0.25">
      <c r="B2713" s="4">
        <v>584631988</v>
      </c>
      <c r="C2713" s="4" t="s">
        <v>272</v>
      </c>
      <c r="D2713" s="4">
        <v>14</v>
      </c>
      <c r="E2713" s="4">
        <v>217</v>
      </c>
      <c r="G2713">
        <f t="shared" si="42"/>
        <v>1792</v>
      </c>
    </row>
    <row r="2714" spans="2:7" ht="15" hidden="1" x14ac:dyDescent="0.25">
      <c r="B2714" s="4">
        <v>584631989</v>
      </c>
      <c r="C2714" s="4" t="s">
        <v>269</v>
      </c>
      <c r="D2714" s="4">
        <v>260</v>
      </c>
      <c r="E2714" s="4">
        <v>57</v>
      </c>
      <c r="G2714">
        <f t="shared" si="42"/>
        <v>512</v>
      </c>
    </row>
    <row r="2715" spans="2:7" ht="15" hidden="1" x14ac:dyDescent="0.25">
      <c r="B2715" s="4">
        <v>584631990</v>
      </c>
      <c r="C2715" s="4" t="s">
        <v>268</v>
      </c>
      <c r="D2715" s="4">
        <v>159</v>
      </c>
      <c r="E2715" s="4">
        <v>7</v>
      </c>
      <c r="G2715">
        <f t="shared" si="42"/>
        <v>112</v>
      </c>
    </row>
    <row r="2716" spans="2:7" ht="15" hidden="1" x14ac:dyDescent="0.25">
      <c r="B2716" s="4">
        <v>584631990</v>
      </c>
      <c r="C2716" s="4" t="s">
        <v>268</v>
      </c>
      <c r="D2716" s="4">
        <v>159</v>
      </c>
      <c r="E2716" s="4">
        <v>7</v>
      </c>
      <c r="G2716">
        <f t="shared" si="42"/>
        <v>112</v>
      </c>
    </row>
    <row r="2717" spans="2:7" ht="15" hidden="1" x14ac:dyDescent="0.25">
      <c r="B2717" s="4">
        <v>584631990</v>
      </c>
      <c r="C2717" s="4" t="s">
        <v>268</v>
      </c>
      <c r="D2717" s="4">
        <v>160</v>
      </c>
      <c r="E2717" s="4">
        <v>5</v>
      </c>
      <c r="G2717">
        <f t="shared" si="42"/>
        <v>96</v>
      </c>
    </row>
    <row r="2718" spans="2:7" ht="15" hidden="1" x14ac:dyDescent="0.25">
      <c r="B2718" s="4">
        <v>584631990</v>
      </c>
      <c r="C2718" s="4" t="s">
        <v>268</v>
      </c>
      <c r="D2718" s="4">
        <v>160</v>
      </c>
      <c r="E2718" s="4">
        <v>5</v>
      </c>
      <c r="G2718">
        <f t="shared" si="42"/>
        <v>96</v>
      </c>
    </row>
    <row r="2719" spans="2:7" ht="15" hidden="1" x14ac:dyDescent="0.25">
      <c r="B2719" s="4">
        <v>584631990</v>
      </c>
      <c r="C2719" s="4" t="s">
        <v>268</v>
      </c>
      <c r="D2719" s="4">
        <v>161</v>
      </c>
      <c r="E2719" s="4">
        <v>7</v>
      </c>
      <c r="G2719">
        <f t="shared" si="42"/>
        <v>112</v>
      </c>
    </row>
    <row r="2720" spans="2:7" ht="15" hidden="1" x14ac:dyDescent="0.25">
      <c r="B2720" s="4">
        <v>584631990</v>
      </c>
      <c r="C2720" s="4" t="s">
        <v>268</v>
      </c>
      <c r="D2720" s="4">
        <v>161</v>
      </c>
      <c r="E2720" s="4">
        <v>7</v>
      </c>
      <c r="G2720">
        <f t="shared" si="42"/>
        <v>112</v>
      </c>
    </row>
    <row r="2721" spans="2:7" ht="15" hidden="1" x14ac:dyDescent="0.25">
      <c r="B2721" s="4">
        <v>584631990</v>
      </c>
      <c r="C2721" s="4" t="s">
        <v>269</v>
      </c>
      <c r="D2721" s="4">
        <v>261</v>
      </c>
      <c r="E2721" s="4">
        <v>57</v>
      </c>
      <c r="G2721">
        <f t="shared" si="42"/>
        <v>512</v>
      </c>
    </row>
    <row r="2722" spans="2:7" ht="15" hidden="1" x14ac:dyDescent="0.25">
      <c r="B2722" s="4">
        <v>584631991</v>
      </c>
      <c r="C2722" s="4" t="s">
        <v>269</v>
      </c>
      <c r="D2722" s="4">
        <v>262</v>
      </c>
      <c r="E2722" s="4">
        <v>57</v>
      </c>
      <c r="G2722">
        <f t="shared" si="42"/>
        <v>512</v>
      </c>
    </row>
    <row r="2723" spans="2:7" ht="15" hidden="1" x14ac:dyDescent="0.25">
      <c r="B2723" s="4">
        <v>584631992</v>
      </c>
      <c r="C2723" s="4" t="s">
        <v>269</v>
      </c>
      <c r="D2723" s="4">
        <v>263</v>
      </c>
      <c r="E2723" s="4">
        <v>57</v>
      </c>
      <c r="G2723">
        <f t="shared" si="42"/>
        <v>512</v>
      </c>
    </row>
    <row r="2724" spans="2:7" ht="15" hidden="1" x14ac:dyDescent="0.25">
      <c r="B2724" s="4">
        <v>584631993</v>
      </c>
      <c r="C2724" s="4" t="s">
        <v>269</v>
      </c>
      <c r="D2724" s="4">
        <v>264</v>
      </c>
      <c r="E2724" s="4">
        <v>57</v>
      </c>
      <c r="G2724">
        <f t="shared" si="42"/>
        <v>512</v>
      </c>
    </row>
    <row r="2725" spans="2:7" ht="15" hidden="1" x14ac:dyDescent="0.25">
      <c r="B2725" s="4">
        <v>584631994</v>
      </c>
      <c r="C2725" s="4" t="s">
        <v>269</v>
      </c>
      <c r="D2725" s="4">
        <v>265</v>
      </c>
      <c r="E2725" s="4">
        <v>57</v>
      </c>
      <c r="G2725">
        <f t="shared" si="42"/>
        <v>512</v>
      </c>
    </row>
    <row r="2726" spans="2:7" ht="15" hidden="1" x14ac:dyDescent="0.25">
      <c r="B2726" s="4">
        <v>584631995</v>
      </c>
      <c r="C2726" s="4" t="s">
        <v>269</v>
      </c>
      <c r="D2726" s="4">
        <v>266</v>
      </c>
      <c r="E2726" s="4">
        <v>57</v>
      </c>
      <c r="G2726">
        <f t="shared" si="42"/>
        <v>512</v>
      </c>
    </row>
    <row r="2727" spans="2:7" ht="15" hidden="1" x14ac:dyDescent="0.25">
      <c r="B2727" s="4">
        <v>584631996</v>
      </c>
      <c r="C2727" s="4" t="s">
        <v>269</v>
      </c>
      <c r="D2727" s="4">
        <v>267</v>
      </c>
      <c r="E2727" s="4">
        <v>57</v>
      </c>
      <c r="G2727">
        <f t="shared" si="42"/>
        <v>512</v>
      </c>
    </row>
    <row r="2728" spans="2:7" ht="15" hidden="1" x14ac:dyDescent="0.25">
      <c r="B2728" s="4">
        <v>584631997</v>
      </c>
      <c r="C2728" s="4" t="s">
        <v>269</v>
      </c>
      <c r="D2728" s="4">
        <v>268</v>
      </c>
      <c r="E2728" s="4">
        <v>57</v>
      </c>
      <c r="G2728">
        <f t="shared" si="42"/>
        <v>512</v>
      </c>
    </row>
    <row r="2729" spans="2:7" ht="15" hidden="1" x14ac:dyDescent="0.25">
      <c r="B2729" s="4">
        <v>584631998</v>
      </c>
      <c r="C2729" s="4" t="s">
        <v>269</v>
      </c>
      <c r="D2729" s="4">
        <v>269</v>
      </c>
      <c r="E2729" s="4">
        <v>57</v>
      </c>
      <c r="G2729">
        <f t="shared" si="42"/>
        <v>512</v>
      </c>
    </row>
    <row r="2730" spans="2:7" ht="15" hidden="1" x14ac:dyDescent="0.25">
      <c r="B2730" s="4">
        <v>584631998</v>
      </c>
      <c r="C2730" s="4" t="s">
        <v>272</v>
      </c>
      <c r="D2730" s="4">
        <v>15</v>
      </c>
      <c r="E2730" s="4">
        <v>219</v>
      </c>
      <c r="G2730">
        <f t="shared" si="42"/>
        <v>1808</v>
      </c>
    </row>
    <row r="2731" spans="2:7" ht="15" hidden="1" x14ac:dyDescent="0.25">
      <c r="B2731" s="4">
        <v>584631999</v>
      </c>
      <c r="C2731" s="4" t="s">
        <v>269</v>
      </c>
      <c r="D2731" s="4">
        <v>270</v>
      </c>
      <c r="E2731" s="4">
        <v>57</v>
      </c>
      <c r="G2731">
        <f t="shared" si="42"/>
        <v>512</v>
      </c>
    </row>
    <row r="2732" spans="2:7" ht="15" hidden="1" x14ac:dyDescent="0.25">
      <c r="B2732" s="4">
        <v>584632000</v>
      </c>
      <c r="C2732" s="4" t="s">
        <v>269</v>
      </c>
      <c r="D2732" s="4">
        <v>271</v>
      </c>
      <c r="E2732" s="4">
        <v>57</v>
      </c>
      <c r="G2732">
        <f t="shared" si="42"/>
        <v>512</v>
      </c>
    </row>
    <row r="2733" spans="2:7" ht="15" hidden="1" x14ac:dyDescent="0.25">
      <c r="B2733" s="4">
        <v>584632001</v>
      </c>
      <c r="C2733" s="4" t="s">
        <v>269</v>
      </c>
      <c r="D2733" s="4">
        <v>272</v>
      </c>
      <c r="E2733" s="4">
        <v>57</v>
      </c>
      <c r="G2733">
        <f t="shared" si="42"/>
        <v>512</v>
      </c>
    </row>
    <row r="2734" spans="2:7" ht="15" hidden="1" x14ac:dyDescent="0.25">
      <c r="B2734" s="4">
        <v>584632002</v>
      </c>
      <c r="C2734" s="4" t="s">
        <v>269</v>
      </c>
      <c r="D2734" s="4">
        <v>273</v>
      </c>
      <c r="E2734" s="4">
        <v>57</v>
      </c>
      <c r="G2734">
        <f t="shared" si="42"/>
        <v>512</v>
      </c>
    </row>
    <row r="2735" spans="2:7" ht="15" hidden="1" x14ac:dyDescent="0.25">
      <c r="B2735" s="4">
        <v>584632003</v>
      </c>
      <c r="C2735" s="4" t="s">
        <v>269</v>
      </c>
      <c r="D2735" s="4">
        <v>274</v>
      </c>
      <c r="E2735" s="4">
        <v>57</v>
      </c>
      <c r="G2735">
        <f t="shared" si="42"/>
        <v>512</v>
      </c>
    </row>
    <row r="2736" spans="2:7" ht="15" hidden="1" x14ac:dyDescent="0.25">
      <c r="B2736" s="4">
        <v>584632004</v>
      </c>
      <c r="C2736" s="4" t="s">
        <v>269</v>
      </c>
      <c r="D2736" s="4">
        <v>275</v>
      </c>
      <c r="E2736" s="4">
        <v>57</v>
      </c>
      <c r="G2736">
        <f t="shared" si="42"/>
        <v>512</v>
      </c>
    </row>
    <row r="2737" spans="2:7" ht="15" hidden="1" x14ac:dyDescent="0.25">
      <c r="B2737" s="4">
        <v>584632005</v>
      </c>
      <c r="C2737" s="4" t="s">
        <v>269</v>
      </c>
      <c r="D2737" s="4">
        <v>276</v>
      </c>
      <c r="E2737" s="4">
        <v>57</v>
      </c>
      <c r="G2737">
        <f t="shared" si="42"/>
        <v>512</v>
      </c>
    </row>
    <row r="2738" spans="2:7" ht="15" hidden="1" x14ac:dyDescent="0.25">
      <c r="B2738" s="4">
        <v>584632006</v>
      </c>
      <c r="C2738" s="4" t="s">
        <v>269</v>
      </c>
      <c r="D2738" s="4">
        <v>277</v>
      </c>
      <c r="E2738" s="4">
        <v>57</v>
      </c>
      <c r="G2738">
        <f t="shared" si="42"/>
        <v>512</v>
      </c>
    </row>
    <row r="2739" spans="2:7" ht="15" hidden="1" x14ac:dyDescent="0.25">
      <c r="B2739" s="4">
        <v>584632007</v>
      </c>
      <c r="C2739" s="4" t="s">
        <v>269</v>
      </c>
      <c r="D2739" s="4">
        <v>278</v>
      </c>
      <c r="E2739" s="4">
        <v>57</v>
      </c>
      <c r="G2739">
        <f t="shared" si="42"/>
        <v>512</v>
      </c>
    </row>
    <row r="2740" spans="2:7" ht="15" hidden="1" x14ac:dyDescent="0.25">
      <c r="B2740" s="4">
        <v>584632008</v>
      </c>
      <c r="C2740" s="4" t="s">
        <v>269</v>
      </c>
      <c r="D2740" s="4">
        <v>279</v>
      </c>
      <c r="E2740" s="4">
        <v>57</v>
      </c>
      <c r="G2740">
        <f t="shared" si="42"/>
        <v>512</v>
      </c>
    </row>
    <row r="2741" spans="2:7" ht="15" hidden="1" x14ac:dyDescent="0.25">
      <c r="B2741" s="4">
        <v>584632008</v>
      </c>
      <c r="C2741" s="4" t="s">
        <v>272</v>
      </c>
      <c r="D2741" s="4">
        <v>16</v>
      </c>
      <c r="E2741" s="4">
        <v>219</v>
      </c>
      <c r="G2741">
        <f t="shared" si="42"/>
        <v>1808</v>
      </c>
    </row>
    <row r="2742" spans="2:7" ht="15" hidden="1" x14ac:dyDescent="0.25">
      <c r="B2742" s="4">
        <v>584632009</v>
      </c>
      <c r="C2742" s="4" t="s">
        <v>269</v>
      </c>
      <c r="D2742" s="4">
        <v>280</v>
      </c>
      <c r="E2742" s="4">
        <v>57</v>
      </c>
      <c r="G2742">
        <f t="shared" si="42"/>
        <v>512</v>
      </c>
    </row>
    <row r="2743" spans="2:7" ht="15" hidden="1" x14ac:dyDescent="0.25">
      <c r="B2743" s="4">
        <v>584632010</v>
      </c>
      <c r="C2743" s="4" t="s">
        <v>269</v>
      </c>
      <c r="D2743" s="4">
        <v>281</v>
      </c>
      <c r="E2743" s="4">
        <v>57</v>
      </c>
      <c r="G2743">
        <f t="shared" si="42"/>
        <v>512</v>
      </c>
    </row>
    <row r="2744" spans="2:7" ht="15" hidden="1" x14ac:dyDescent="0.25">
      <c r="B2744" s="4">
        <v>584632011</v>
      </c>
      <c r="C2744" s="4" t="s">
        <v>269</v>
      </c>
      <c r="D2744" s="4">
        <v>282</v>
      </c>
      <c r="E2744" s="4">
        <v>57</v>
      </c>
      <c r="G2744">
        <f t="shared" si="42"/>
        <v>512</v>
      </c>
    </row>
    <row r="2745" spans="2:7" ht="15" hidden="1" x14ac:dyDescent="0.25">
      <c r="B2745" s="4">
        <v>584632012</v>
      </c>
      <c r="C2745" s="4" t="s">
        <v>269</v>
      </c>
      <c r="D2745" s="4">
        <v>283</v>
      </c>
      <c r="E2745" s="4">
        <v>57</v>
      </c>
      <c r="G2745">
        <f t="shared" si="42"/>
        <v>512</v>
      </c>
    </row>
    <row r="2746" spans="2:7" ht="15" hidden="1" x14ac:dyDescent="0.25">
      <c r="B2746" s="4">
        <v>584632013</v>
      </c>
      <c r="C2746" s="4" t="s">
        <v>269</v>
      </c>
      <c r="D2746" s="4">
        <v>284</v>
      </c>
      <c r="E2746" s="4">
        <v>57</v>
      </c>
      <c r="G2746">
        <f t="shared" si="42"/>
        <v>512</v>
      </c>
    </row>
    <row r="2747" spans="2:7" ht="15" hidden="1" x14ac:dyDescent="0.25">
      <c r="B2747" s="4">
        <v>584632014</v>
      </c>
      <c r="C2747" s="4" t="s">
        <v>269</v>
      </c>
      <c r="D2747" s="4">
        <v>285</v>
      </c>
      <c r="E2747" s="4">
        <v>57</v>
      </c>
      <c r="G2747">
        <f t="shared" si="42"/>
        <v>512</v>
      </c>
    </row>
    <row r="2748" spans="2:7" ht="15" hidden="1" x14ac:dyDescent="0.25">
      <c r="B2748" s="4">
        <v>584632015</v>
      </c>
      <c r="C2748" s="4" t="s">
        <v>269</v>
      </c>
      <c r="D2748" s="4">
        <v>286</v>
      </c>
      <c r="E2748" s="4">
        <v>57</v>
      </c>
      <c r="G2748">
        <f t="shared" si="42"/>
        <v>512</v>
      </c>
    </row>
    <row r="2749" spans="2:7" ht="15" hidden="1" x14ac:dyDescent="0.25">
      <c r="B2749" s="4">
        <v>584632016</v>
      </c>
      <c r="C2749" s="4" t="s">
        <v>269</v>
      </c>
      <c r="D2749" s="4">
        <v>287</v>
      </c>
      <c r="E2749" s="4">
        <v>57</v>
      </c>
      <c r="G2749">
        <f t="shared" si="42"/>
        <v>512</v>
      </c>
    </row>
    <row r="2750" spans="2:7" ht="15" hidden="1" x14ac:dyDescent="0.25">
      <c r="B2750" s="4">
        <v>584632017</v>
      </c>
      <c r="C2750" s="4" t="s">
        <v>269</v>
      </c>
      <c r="D2750" s="4">
        <v>288</v>
      </c>
      <c r="E2750" s="4">
        <v>57</v>
      </c>
      <c r="G2750">
        <f t="shared" si="42"/>
        <v>512</v>
      </c>
    </row>
    <row r="2751" spans="2:7" ht="15" hidden="1" x14ac:dyDescent="0.25">
      <c r="B2751" s="4">
        <v>584632018</v>
      </c>
      <c r="C2751" s="4" t="s">
        <v>269</v>
      </c>
      <c r="D2751" s="4">
        <v>289</v>
      </c>
      <c r="E2751" s="4">
        <v>57</v>
      </c>
      <c r="G2751">
        <f t="shared" si="42"/>
        <v>512</v>
      </c>
    </row>
    <row r="2752" spans="2:7" ht="15" hidden="1" x14ac:dyDescent="0.25">
      <c r="B2752" s="4">
        <v>584632018</v>
      </c>
      <c r="C2752" s="4" t="s">
        <v>272</v>
      </c>
      <c r="D2752" s="4">
        <v>17</v>
      </c>
      <c r="E2752" s="4">
        <v>219</v>
      </c>
      <c r="G2752">
        <f t="shared" si="42"/>
        <v>1808</v>
      </c>
    </row>
    <row r="2753" spans="2:7" ht="15" hidden="1" x14ac:dyDescent="0.25">
      <c r="B2753" s="4">
        <v>584632019</v>
      </c>
      <c r="C2753" s="4" t="s">
        <v>269</v>
      </c>
      <c r="D2753" s="4">
        <v>290</v>
      </c>
      <c r="E2753" s="4">
        <v>57</v>
      </c>
      <c r="G2753">
        <f t="shared" si="42"/>
        <v>512</v>
      </c>
    </row>
    <row r="2754" spans="2:7" ht="15" hidden="1" x14ac:dyDescent="0.25">
      <c r="B2754" s="4">
        <v>584632020</v>
      </c>
      <c r="C2754" s="4" t="s">
        <v>268</v>
      </c>
      <c r="D2754" s="4">
        <v>162</v>
      </c>
      <c r="E2754" s="4">
        <v>6</v>
      </c>
      <c r="G2754">
        <f t="shared" si="42"/>
        <v>104</v>
      </c>
    </row>
    <row r="2755" spans="2:7" ht="15" hidden="1" x14ac:dyDescent="0.25">
      <c r="B2755" s="4">
        <v>584632020</v>
      </c>
      <c r="C2755" s="4" t="s">
        <v>268</v>
      </c>
      <c r="D2755" s="4">
        <v>162</v>
      </c>
      <c r="E2755" s="4">
        <v>6</v>
      </c>
      <c r="G2755">
        <f t="shared" si="42"/>
        <v>104</v>
      </c>
    </row>
    <row r="2756" spans="2:7" ht="15" hidden="1" x14ac:dyDescent="0.25">
      <c r="B2756" s="4">
        <v>584632020</v>
      </c>
      <c r="C2756" s="4" t="s">
        <v>268</v>
      </c>
      <c r="D2756" s="4">
        <v>163</v>
      </c>
      <c r="E2756" s="4">
        <v>9</v>
      </c>
      <c r="G2756">
        <f t="shared" ref="G2756:G2819" si="43">(E2756+7)*8</f>
        <v>128</v>
      </c>
    </row>
    <row r="2757" spans="2:7" ht="15" hidden="1" x14ac:dyDescent="0.25">
      <c r="B2757" s="4">
        <v>584632020</v>
      </c>
      <c r="C2757" s="4" t="s">
        <v>268</v>
      </c>
      <c r="D2757" s="4">
        <v>163</v>
      </c>
      <c r="E2757" s="4">
        <v>9</v>
      </c>
      <c r="G2757">
        <f t="shared" si="43"/>
        <v>128</v>
      </c>
    </row>
    <row r="2758" spans="2:7" ht="15" hidden="1" x14ac:dyDescent="0.25">
      <c r="B2758" s="4">
        <v>584632020</v>
      </c>
      <c r="C2758" s="4" t="s">
        <v>268</v>
      </c>
      <c r="D2758" s="4">
        <v>164</v>
      </c>
      <c r="E2758" s="4">
        <v>7</v>
      </c>
      <c r="G2758">
        <f t="shared" si="43"/>
        <v>112</v>
      </c>
    </row>
    <row r="2759" spans="2:7" ht="15" hidden="1" x14ac:dyDescent="0.25">
      <c r="B2759" s="4">
        <v>584632020</v>
      </c>
      <c r="C2759" s="4" t="s">
        <v>268</v>
      </c>
      <c r="D2759" s="4">
        <v>164</v>
      </c>
      <c r="E2759" s="4">
        <v>7</v>
      </c>
      <c r="G2759">
        <f t="shared" si="43"/>
        <v>112</v>
      </c>
    </row>
    <row r="2760" spans="2:7" ht="15" hidden="1" x14ac:dyDescent="0.25">
      <c r="B2760" s="4">
        <v>584632020</v>
      </c>
      <c r="C2760" s="4" t="s">
        <v>268</v>
      </c>
      <c r="D2760" s="4">
        <v>165</v>
      </c>
      <c r="E2760" s="4">
        <v>7</v>
      </c>
      <c r="G2760">
        <f t="shared" si="43"/>
        <v>112</v>
      </c>
    </row>
    <row r="2761" spans="2:7" ht="15" hidden="1" x14ac:dyDescent="0.25">
      <c r="B2761" s="4">
        <v>584632020</v>
      </c>
      <c r="C2761" s="4" t="s">
        <v>268</v>
      </c>
      <c r="D2761" s="4">
        <v>165</v>
      </c>
      <c r="E2761" s="4">
        <v>7</v>
      </c>
      <c r="G2761">
        <f t="shared" si="43"/>
        <v>112</v>
      </c>
    </row>
    <row r="2762" spans="2:7" ht="15" hidden="1" x14ac:dyDescent="0.25">
      <c r="B2762" s="4">
        <v>584632020</v>
      </c>
      <c r="C2762" s="4" t="s">
        <v>268</v>
      </c>
      <c r="D2762" s="4">
        <v>166</v>
      </c>
      <c r="E2762" s="4">
        <v>7</v>
      </c>
      <c r="G2762">
        <f t="shared" si="43"/>
        <v>112</v>
      </c>
    </row>
    <row r="2763" spans="2:7" ht="15" hidden="1" x14ac:dyDescent="0.25">
      <c r="B2763" s="4">
        <v>584632020</v>
      </c>
      <c r="C2763" s="4" t="s">
        <v>268</v>
      </c>
      <c r="D2763" s="4">
        <v>166</v>
      </c>
      <c r="E2763" s="4">
        <v>7</v>
      </c>
      <c r="G2763">
        <f t="shared" si="43"/>
        <v>112</v>
      </c>
    </row>
    <row r="2764" spans="2:7" ht="15" hidden="1" x14ac:dyDescent="0.25">
      <c r="B2764" s="4">
        <v>584632020</v>
      </c>
      <c r="C2764" s="4" t="s">
        <v>269</v>
      </c>
      <c r="D2764" s="4">
        <v>291</v>
      </c>
      <c r="E2764" s="4">
        <v>57</v>
      </c>
      <c r="G2764">
        <f t="shared" si="43"/>
        <v>512</v>
      </c>
    </row>
    <row r="2765" spans="2:7" ht="15" hidden="1" x14ac:dyDescent="0.25">
      <c r="B2765" s="4">
        <v>584632021</v>
      </c>
      <c r="C2765" s="4" t="s">
        <v>269</v>
      </c>
      <c r="D2765" s="4">
        <v>292</v>
      </c>
      <c r="E2765" s="4">
        <v>57</v>
      </c>
      <c r="G2765">
        <f t="shared" si="43"/>
        <v>512</v>
      </c>
    </row>
    <row r="2766" spans="2:7" ht="15" hidden="1" x14ac:dyDescent="0.25">
      <c r="B2766" s="4">
        <v>584632022</v>
      </c>
      <c r="C2766" s="4" t="s">
        <v>268</v>
      </c>
      <c r="D2766" s="4">
        <v>167</v>
      </c>
      <c r="E2766" s="4">
        <v>7</v>
      </c>
      <c r="G2766">
        <f t="shared" si="43"/>
        <v>112</v>
      </c>
    </row>
    <row r="2767" spans="2:7" ht="15" hidden="1" x14ac:dyDescent="0.25">
      <c r="B2767" s="4">
        <v>584632022</v>
      </c>
      <c r="C2767" s="4" t="s">
        <v>268</v>
      </c>
      <c r="D2767" s="4">
        <v>167</v>
      </c>
      <c r="E2767" s="4">
        <v>7</v>
      </c>
      <c r="G2767">
        <f t="shared" si="43"/>
        <v>112</v>
      </c>
    </row>
    <row r="2768" spans="2:7" ht="15" hidden="1" x14ac:dyDescent="0.25">
      <c r="B2768" s="4">
        <v>584632022</v>
      </c>
      <c r="C2768" s="4" t="s">
        <v>268</v>
      </c>
      <c r="D2768" s="4">
        <v>168</v>
      </c>
      <c r="E2768" s="4">
        <v>5</v>
      </c>
      <c r="G2768">
        <f t="shared" si="43"/>
        <v>96</v>
      </c>
    </row>
    <row r="2769" spans="2:7" ht="15" hidden="1" x14ac:dyDescent="0.25">
      <c r="B2769" s="4">
        <v>584632022</v>
      </c>
      <c r="C2769" s="4" t="s">
        <v>268</v>
      </c>
      <c r="D2769" s="4">
        <v>168</v>
      </c>
      <c r="E2769" s="4">
        <v>5</v>
      </c>
      <c r="G2769">
        <f t="shared" si="43"/>
        <v>96</v>
      </c>
    </row>
    <row r="2770" spans="2:7" ht="15" hidden="1" x14ac:dyDescent="0.25">
      <c r="B2770" s="4">
        <v>584632022</v>
      </c>
      <c r="C2770" s="4" t="s">
        <v>268</v>
      </c>
      <c r="D2770" s="4">
        <v>169</v>
      </c>
      <c r="E2770" s="4">
        <v>7</v>
      </c>
      <c r="G2770">
        <f t="shared" si="43"/>
        <v>112</v>
      </c>
    </row>
    <row r="2771" spans="2:7" ht="15" hidden="1" x14ac:dyDescent="0.25">
      <c r="B2771" s="4">
        <v>584632022</v>
      </c>
      <c r="C2771" s="4" t="s">
        <v>268</v>
      </c>
      <c r="D2771" s="4">
        <v>169</v>
      </c>
      <c r="E2771" s="4">
        <v>7</v>
      </c>
      <c r="G2771">
        <f t="shared" si="43"/>
        <v>112</v>
      </c>
    </row>
    <row r="2772" spans="2:7" ht="15" hidden="1" x14ac:dyDescent="0.25">
      <c r="B2772" s="4">
        <v>584632022</v>
      </c>
      <c r="C2772" s="4" t="s">
        <v>269</v>
      </c>
      <c r="D2772" s="4">
        <v>293</v>
      </c>
      <c r="E2772" s="4">
        <v>57</v>
      </c>
      <c r="G2772">
        <f t="shared" si="43"/>
        <v>512</v>
      </c>
    </row>
    <row r="2773" spans="2:7" ht="15" hidden="1" x14ac:dyDescent="0.25">
      <c r="B2773" s="4">
        <v>584632023</v>
      </c>
      <c r="C2773" s="4" t="s">
        <v>269</v>
      </c>
      <c r="D2773" s="4">
        <v>294</v>
      </c>
      <c r="E2773" s="4">
        <v>57</v>
      </c>
      <c r="G2773">
        <f t="shared" si="43"/>
        <v>512</v>
      </c>
    </row>
    <row r="2774" spans="2:7" ht="15" hidden="1" x14ac:dyDescent="0.25">
      <c r="B2774" s="4">
        <v>584632024</v>
      </c>
      <c r="C2774" s="4" t="s">
        <v>269</v>
      </c>
      <c r="D2774" s="4">
        <v>295</v>
      </c>
      <c r="E2774" s="4">
        <v>57</v>
      </c>
      <c r="G2774">
        <f t="shared" si="43"/>
        <v>512</v>
      </c>
    </row>
    <row r="2775" spans="2:7" ht="15" hidden="1" x14ac:dyDescent="0.25">
      <c r="B2775" s="4">
        <v>584632025</v>
      </c>
      <c r="C2775" s="4" t="s">
        <v>269</v>
      </c>
      <c r="D2775" s="4">
        <v>296</v>
      </c>
      <c r="E2775" s="4">
        <v>57</v>
      </c>
      <c r="G2775">
        <f t="shared" si="43"/>
        <v>512</v>
      </c>
    </row>
    <row r="2776" spans="2:7" ht="15" hidden="1" x14ac:dyDescent="0.25">
      <c r="B2776" s="4">
        <v>584632026</v>
      </c>
      <c r="C2776" s="4" t="s">
        <v>269</v>
      </c>
      <c r="D2776" s="4">
        <v>297</v>
      </c>
      <c r="E2776" s="4">
        <v>57</v>
      </c>
      <c r="G2776">
        <f t="shared" si="43"/>
        <v>512</v>
      </c>
    </row>
    <row r="2777" spans="2:7" ht="15" hidden="1" x14ac:dyDescent="0.25">
      <c r="B2777" s="4">
        <v>584632027</v>
      </c>
      <c r="C2777" s="4" t="s">
        <v>269</v>
      </c>
      <c r="D2777" s="4">
        <v>298</v>
      </c>
      <c r="E2777" s="4">
        <v>57</v>
      </c>
      <c r="G2777">
        <f t="shared" si="43"/>
        <v>512</v>
      </c>
    </row>
    <row r="2778" spans="2:7" ht="15" hidden="1" x14ac:dyDescent="0.25">
      <c r="B2778" s="4">
        <v>584632028</v>
      </c>
      <c r="C2778" s="4" t="s">
        <v>269</v>
      </c>
      <c r="D2778" s="4">
        <v>299</v>
      </c>
      <c r="E2778" s="4">
        <v>57</v>
      </c>
      <c r="G2778">
        <f t="shared" si="43"/>
        <v>512</v>
      </c>
    </row>
    <row r="2779" spans="2:7" ht="15" hidden="1" x14ac:dyDescent="0.25">
      <c r="B2779" s="4">
        <v>584632028</v>
      </c>
      <c r="C2779" s="4" t="s">
        <v>272</v>
      </c>
      <c r="D2779" s="4">
        <v>18</v>
      </c>
      <c r="E2779" s="4">
        <v>225</v>
      </c>
      <c r="G2779">
        <f t="shared" si="43"/>
        <v>1856</v>
      </c>
    </row>
    <row r="2780" spans="2:7" ht="15" hidden="1" x14ac:dyDescent="0.25">
      <c r="B2780" s="4">
        <v>584632029</v>
      </c>
      <c r="C2780" s="4" t="s">
        <v>269</v>
      </c>
      <c r="D2780" s="4">
        <v>300</v>
      </c>
      <c r="E2780" s="4">
        <v>57</v>
      </c>
      <c r="G2780">
        <f t="shared" si="43"/>
        <v>512</v>
      </c>
    </row>
    <row r="2781" spans="2:7" ht="15" hidden="1" x14ac:dyDescent="0.25">
      <c r="B2781" s="4">
        <v>584632030</v>
      </c>
      <c r="C2781" s="4" t="s">
        <v>269</v>
      </c>
      <c r="D2781" s="4">
        <v>301</v>
      </c>
      <c r="E2781" s="4">
        <v>57</v>
      </c>
      <c r="G2781">
        <f t="shared" si="43"/>
        <v>512</v>
      </c>
    </row>
    <row r="2782" spans="2:7" ht="15" hidden="1" x14ac:dyDescent="0.25">
      <c r="B2782" s="4">
        <v>584632031</v>
      </c>
      <c r="C2782" s="4" t="s">
        <v>269</v>
      </c>
      <c r="D2782" s="4">
        <v>302</v>
      </c>
      <c r="E2782" s="4">
        <v>57</v>
      </c>
      <c r="G2782">
        <f t="shared" si="43"/>
        <v>512</v>
      </c>
    </row>
    <row r="2783" spans="2:7" ht="15" hidden="1" x14ac:dyDescent="0.25">
      <c r="B2783" s="4">
        <v>584632032</v>
      </c>
      <c r="C2783" s="4" t="s">
        <v>269</v>
      </c>
      <c r="D2783" s="4">
        <v>303</v>
      </c>
      <c r="E2783" s="4">
        <v>57</v>
      </c>
      <c r="G2783">
        <f t="shared" si="43"/>
        <v>512</v>
      </c>
    </row>
    <row r="2784" spans="2:7" ht="15" hidden="1" x14ac:dyDescent="0.25">
      <c r="B2784" s="4">
        <v>584632033</v>
      </c>
      <c r="C2784" s="4" t="s">
        <v>269</v>
      </c>
      <c r="D2784" s="4">
        <v>304</v>
      </c>
      <c r="E2784" s="4">
        <v>57</v>
      </c>
      <c r="G2784">
        <f t="shared" si="43"/>
        <v>512</v>
      </c>
    </row>
    <row r="2785" spans="2:7" ht="15" hidden="1" x14ac:dyDescent="0.25">
      <c r="B2785" s="4">
        <v>584632034</v>
      </c>
      <c r="C2785" s="4" t="s">
        <v>269</v>
      </c>
      <c r="D2785" s="4">
        <v>305</v>
      </c>
      <c r="E2785" s="4">
        <v>57</v>
      </c>
      <c r="G2785">
        <f t="shared" si="43"/>
        <v>512</v>
      </c>
    </row>
    <row r="2786" spans="2:7" ht="15" hidden="1" x14ac:dyDescent="0.25">
      <c r="B2786" s="4">
        <v>584632035</v>
      </c>
      <c r="C2786" s="4" t="s">
        <v>269</v>
      </c>
      <c r="D2786" s="4">
        <v>306</v>
      </c>
      <c r="E2786" s="4">
        <v>57</v>
      </c>
      <c r="G2786">
        <f t="shared" si="43"/>
        <v>512</v>
      </c>
    </row>
    <row r="2787" spans="2:7" ht="15" hidden="1" x14ac:dyDescent="0.25">
      <c r="B2787" s="4">
        <v>584632036</v>
      </c>
      <c r="C2787" s="4" t="s">
        <v>269</v>
      </c>
      <c r="D2787" s="4">
        <v>307</v>
      </c>
      <c r="E2787" s="4">
        <v>57</v>
      </c>
      <c r="G2787">
        <f t="shared" si="43"/>
        <v>512</v>
      </c>
    </row>
    <row r="2788" spans="2:7" ht="15" hidden="1" x14ac:dyDescent="0.25">
      <c r="B2788" s="4">
        <v>584632037</v>
      </c>
      <c r="C2788" s="4" t="s">
        <v>269</v>
      </c>
      <c r="D2788" s="4">
        <v>308</v>
      </c>
      <c r="E2788" s="4">
        <v>57</v>
      </c>
      <c r="G2788">
        <f t="shared" si="43"/>
        <v>512</v>
      </c>
    </row>
    <row r="2789" spans="2:7" ht="15" hidden="1" x14ac:dyDescent="0.25">
      <c r="B2789" s="4">
        <v>584632038</v>
      </c>
      <c r="C2789" s="4" t="s">
        <v>269</v>
      </c>
      <c r="D2789" s="4">
        <v>309</v>
      </c>
      <c r="E2789" s="4">
        <v>57</v>
      </c>
      <c r="G2789">
        <f t="shared" si="43"/>
        <v>512</v>
      </c>
    </row>
    <row r="2790" spans="2:7" ht="15" hidden="1" x14ac:dyDescent="0.25">
      <c r="B2790" s="4">
        <v>584632038</v>
      </c>
      <c r="C2790" s="4" t="s">
        <v>272</v>
      </c>
      <c r="D2790" s="4">
        <v>19</v>
      </c>
      <c r="E2790" s="4">
        <v>225</v>
      </c>
      <c r="G2790">
        <f t="shared" si="43"/>
        <v>1856</v>
      </c>
    </row>
    <row r="2791" spans="2:7" ht="15" hidden="1" x14ac:dyDescent="0.25">
      <c r="B2791" s="4">
        <v>584632039</v>
      </c>
      <c r="C2791" s="4" t="s">
        <v>269</v>
      </c>
      <c r="D2791" s="4">
        <v>310</v>
      </c>
      <c r="E2791" s="4">
        <v>57</v>
      </c>
      <c r="G2791">
        <f t="shared" si="43"/>
        <v>512</v>
      </c>
    </row>
    <row r="2792" spans="2:7" ht="15" hidden="1" x14ac:dyDescent="0.25">
      <c r="B2792" s="4">
        <v>584632040</v>
      </c>
      <c r="C2792" s="4" t="s">
        <v>269</v>
      </c>
      <c r="D2792" s="4">
        <v>311</v>
      </c>
      <c r="E2792" s="4">
        <v>57</v>
      </c>
      <c r="G2792">
        <f t="shared" si="43"/>
        <v>512</v>
      </c>
    </row>
    <row r="2793" spans="2:7" ht="15" hidden="1" x14ac:dyDescent="0.25">
      <c r="B2793" s="4">
        <v>584632041</v>
      </c>
      <c r="C2793" s="4" t="s">
        <v>269</v>
      </c>
      <c r="D2793" s="4">
        <v>312</v>
      </c>
      <c r="E2793" s="4">
        <v>57</v>
      </c>
      <c r="G2793">
        <f t="shared" si="43"/>
        <v>512</v>
      </c>
    </row>
    <row r="2794" spans="2:7" ht="15" hidden="1" x14ac:dyDescent="0.25">
      <c r="B2794" s="4">
        <v>584632042</v>
      </c>
      <c r="C2794" s="4" t="s">
        <v>269</v>
      </c>
      <c r="D2794" s="4">
        <v>313</v>
      </c>
      <c r="E2794" s="4">
        <v>57</v>
      </c>
      <c r="G2794">
        <f t="shared" si="43"/>
        <v>512</v>
      </c>
    </row>
    <row r="2795" spans="2:7" ht="15" hidden="1" x14ac:dyDescent="0.25">
      <c r="B2795" s="4">
        <v>584632043</v>
      </c>
      <c r="C2795" s="4" t="s">
        <v>269</v>
      </c>
      <c r="D2795" s="4">
        <v>314</v>
      </c>
      <c r="E2795" s="4">
        <v>57</v>
      </c>
      <c r="G2795">
        <f t="shared" si="43"/>
        <v>512</v>
      </c>
    </row>
    <row r="2796" spans="2:7" ht="15" hidden="1" x14ac:dyDescent="0.25">
      <c r="B2796" s="4">
        <v>584632044</v>
      </c>
      <c r="C2796" s="4" t="s">
        <v>269</v>
      </c>
      <c r="D2796" s="4">
        <v>315</v>
      </c>
      <c r="E2796" s="4">
        <v>57</v>
      </c>
      <c r="G2796">
        <f t="shared" si="43"/>
        <v>512</v>
      </c>
    </row>
    <row r="2797" spans="2:7" ht="15" hidden="1" x14ac:dyDescent="0.25">
      <c r="B2797" s="4">
        <v>584632045</v>
      </c>
      <c r="C2797" s="4" t="s">
        <v>269</v>
      </c>
      <c r="D2797" s="4">
        <v>316</v>
      </c>
      <c r="E2797" s="4">
        <v>57</v>
      </c>
      <c r="G2797">
        <f t="shared" si="43"/>
        <v>512</v>
      </c>
    </row>
    <row r="2798" spans="2:7" ht="15" hidden="1" x14ac:dyDescent="0.25">
      <c r="B2798" s="4">
        <v>584632046</v>
      </c>
      <c r="C2798" s="4" t="s">
        <v>269</v>
      </c>
      <c r="D2798" s="4">
        <v>317</v>
      </c>
      <c r="E2798" s="4">
        <v>57</v>
      </c>
      <c r="G2798">
        <f t="shared" si="43"/>
        <v>512</v>
      </c>
    </row>
    <row r="2799" spans="2:7" ht="15" hidden="1" x14ac:dyDescent="0.25">
      <c r="B2799" s="4">
        <v>584632047</v>
      </c>
      <c r="C2799" s="4" t="s">
        <v>269</v>
      </c>
      <c r="D2799" s="4">
        <v>318</v>
      </c>
      <c r="E2799" s="4">
        <v>57</v>
      </c>
      <c r="G2799">
        <f t="shared" si="43"/>
        <v>512</v>
      </c>
    </row>
    <row r="2800" spans="2:7" ht="15" hidden="1" x14ac:dyDescent="0.25">
      <c r="B2800" s="4">
        <v>584632048</v>
      </c>
      <c r="C2800" s="4" t="s">
        <v>269</v>
      </c>
      <c r="D2800" s="4">
        <v>319</v>
      </c>
      <c r="E2800" s="4">
        <v>57</v>
      </c>
      <c r="G2800">
        <f t="shared" si="43"/>
        <v>512</v>
      </c>
    </row>
    <row r="2801" spans="2:7" ht="15" hidden="1" x14ac:dyDescent="0.25">
      <c r="B2801" s="4">
        <v>584632048</v>
      </c>
      <c r="C2801" s="4" t="s">
        <v>272</v>
      </c>
      <c r="D2801" s="4">
        <v>20</v>
      </c>
      <c r="E2801" s="4">
        <v>225</v>
      </c>
      <c r="G2801">
        <f t="shared" si="43"/>
        <v>1856</v>
      </c>
    </row>
    <row r="2802" spans="2:7" ht="15" hidden="1" x14ac:dyDescent="0.25">
      <c r="B2802" s="4">
        <v>584632049</v>
      </c>
      <c r="C2802" s="4" t="s">
        <v>269</v>
      </c>
      <c r="D2802" s="4">
        <v>320</v>
      </c>
      <c r="E2802" s="4">
        <v>57</v>
      </c>
      <c r="G2802">
        <f t="shared" si="43"/>
        <v>512</v>
      </c>
    </row>
    <row r="2803" spans="2:7" ht="15" hidden="1" x14ac:dyDescent="0.25">
      <c r="B2803" s="4">
        <v>584632050</v>
      </c>
      <c r="C2803" s="4" t="s">
        <v>269</v>
      </c>
      <c r="D2803" s="4">
        <v>321</v>
      </c>
      <c r="E2803" s="4">
        <v>57</v>
      </c>
      <c r="G2803">
        <f t="shared" si="43"/>
        <v>512</v>
      </c>
    </row>
    <row r="2804" spans="2:7" ht="15" hidden="1" x14ac:dyDescent="0.25">
      <c r="B2804" s="4">
        <v>584632051</v>
      </c>
      <c r="C2804" s="4" t="s">
        <v>269</v>
      </c>
      <c r="D2804" s="4">
        <v>322</v>
      </c>
      <c r="E2804" s="4">
        <v>57</v>
      </c>
      <c r="G2804">
        <f t="shared" si="43"/>
        <v>512</v>
      </c>
    </row>
    <row r="2805" spans="2:7" ht="15" hidden="1" x14ac:dyDescent="0.25">
      <c r="B2805" s="4">
        <v>584632052</v>
      </c>
      <c r="C2805" s="4" t="s">
        <v>268</v>
      </c>
      <c r="D2805" s="4">
        <v>170</v>
      </c>
      <c r="E2805" s="4">
        <v>6</v>
      </c>
      <c r="G2805">
        <f t="shared" si="43"/>
        <v>104</v>
      </c>
    </row>
    <row r="2806" spans="2:7" ht="15" hidden="1" x14ac:dyDescent="0.25">
      <c r="B2806" s="4">
        <v>584632052</v>
      </c>
      <c r="C2806" s="4" t="s">
        <v>268</v>
      </c>
      <c r="D2806" s="4">
        <v>170</v>
      </c>
      <c r="E2806" s="4">
        <v>6</v>
      </c>
      <c r="G2806">
        <f t="shared" si="43"/>
        <v>104</v>
      </c>
    </row>
    <row r="2807" spans="2:7" ht="15" hidden="1" x14ac:dyDescent="0.25">
      <c r="B2807" s="4">
        <v>584632052</v>
      </c>
      <c r="C2807" s="4" t="s">
        <v>268</v>
      </c>
      <c r="D2807" s="4">
        <v>171</v>
      </c>
      <c r="E2807" s="4">
        <v>9</v>
      </c>
      <c r="G2807">
        <f t="shared" si="43"/>
        <v>128</v>
      </c>
    </row>
    <row r="2808" spans="2:7" ht="15" hidden="1" x14ac:dyDescent="0.25">
      <c r="B2808" s="4">
        <v>584632052</v>
      </c>
      <c r="C2808" s="4" t="s">
        <v>268</v>
      </c>
      <c r="D2808" s="4">
        <v>171</v>
      </c>
      <c r="E2808" s="4">
        <v>9</v>
      </c>
      <c r="G2808">
        <f t="shared" si="43"/>
        <v>128</v>
      </c>
    </row>
    <row r="2809" spans="2:7" ht="15" hidden="1" x14ac:dyDescent="0.25">
      <c r="B2809" s="4">
        <v>584632052</v>
      </c>
      <c r="C2809" s="4" t="s">
        <v>268</v>
      </c>
      <c r="D2809" s="4">
        <v>172</v>
      </c>
      <c r="E2809" s="4">
        <v>7</v>
      </c>
      <c r="G2809">
        <f t="shared" si="43"/>
        <v>112</v>
      </c>
    </row>
    <row r="2810" spans="2:7" ht="15" hidden="1" x14ac:dyDescent="0.25">
      <c r="B2810" s="4">
        <v>584632052</v>
      </c>
      <c r="C2810" s="4" t="s">
        <v>268</v>
      </c>
      <c r="D2810" s="4">
        <v>172</v>
      </c>
      <c r="E2810" s="4">
        <v>7</v>
      </c>
      <c r="G2810">
        <f t="shared" si="43"/>
        <v>112</v>
      </c>
    </row>
    <row r="2811" spans="2:7" ht="15" hidden="1" x14ac:dyDescent="0.25">
      <c r="B2811" s="4">
        <v>584632052</v>
      </c>
      <c r="C2811" s="4" t="s">
        <v>268</v>
      </c>
      <c r="D2811" s="4">
        <v>173</v>
      </c>
      <c r="E2811" s="4">
        <v>7</v>
      </c>
      <c r="G2811">
        <f t="shared" si="43"/>
        <v>112</v>
      </c>
    </row>
    <row r="2812" spans="2:7" ht="15" hidden="1" x14ac:dyDescent="0.25">
      <c r="B2812" s="4">
        <v>584632052</v>
      </c>
      <c r="C2812" s="4" t="s">
        <v>268</v>
      </c>
      <c r="D2812" s="4">
        <v>173</v>
      </c>
      <c r="E2812" s="4">
        <v>7</v>
      </c>
      <c r="G2812">
        <f t="shared" si="43"/>
        <v>112</v>
      </c>
    </row>
    <row r="2813" spans="2:7" ht="15" hidden="1" x14ac:dyDescent="0.25">
      <c r="B2813" s="4">
        <v>584632052</v>
      </c>
      <c r="C2813" s="4" t="s">
        <v>268</v>
      </c>
      <c r="D2813" s="4">
        <v>174</v>
      </c>
      <c r="E2813" s="4">
        <v>7</v>
      </c>
      <c r="G2813">
        <f t="shared" si="43"/>
        <v>112</v>
      </c>
    </row>
    <row r="2814" spans="2:7" ht="15" hidden="1" x14ac:dyDescent="0.25">
      <c r="B2814" s="4">
        <v>584632052</v>
      </c>
      <c r="C2814" s="4" t="s">
        <v>268</v>
      </c>
      <c r="D2814" s="4">
        <v>174</v>
      </c>
      <c r="E2814" s="4">
        <v>7</v>
      </c>
      <c r="G2814">
        <f t="shared" si="43"/>
        <v>112</v>
      </c>
    </row>
    <row r="2815" spans="2:7" ht="15" hidden="1" x14ac:dyDescent="0.25">
      <c r="B2815" s="4">
        <v>584632052</v>
      </c>
      <c r="C2815" s="4" t="s">
        <v>269</v>
      </c>
      <c r="D2815" s="4">
        <v>323</v>
      </c>
      <c r="E2815" s="4">
        <v>57</v>
      </c>
      <c r="G2815">
        <f t="shared" si="43"/>
        <v>512</v>
      </c>
    </row>
    <row r="2816" spans="2:7" ht="15" hidden="1" x14ac:dyDescent="0.25">
      <c r="B2816" s="4">
        <v>584632053</v>
      </c>
      <c r="C2816" s="4" t="s">
        <v>269</v>
      </c>
      <c r="D2816" s="4">
        <v>324</v>
      </c>
      <c r="E2816" s="4">
        <v>57</v>
      </c>
      <c r="G2816">
        <f t="shared" si="43"/>
        <v>512</v>
      </c>
    </row>
    <row r="2817" spans="2:7" ht="15" hidden="1" x14ac:dyDescent="0.25">
      <c r="B2817" s="4">
        <v>584632054</v>
      </c>
      <c r="C2817" s="4" t="s">
        <v>268</v>
      </c>
      <c r="D2817" s="4">
        <v>175</v>
      </c>
      <c r="E2817" s="4">
        <v>7</v>
      </c>
      <c r="G2817">
        <f t="shared" si="43"/>
        <v>112</v>
      </c>
    </row>
    <row r="2818" spans="2:7" ht="15" hidden="1" x14ac:dyDescent="0.25">
      <c r="B2818" s="4">
        <v>584632054</v>
      </c>
      <c r="C2818" s="4" t="s">
        <v>268</v>
      </c>
      <c r="D2818" s="4">
        <v>175</v>
      </c>
      <c r="E2818" s="4">
        <v>7</v>
      </c>
      <c r="G2818">
        <f t="shared" si="43"/>
        <v>112</v>
      </c>
    </row>
    <row r="2819" spans="2:7" ht="15" hidden="1" x14ac:dyDescent="0.25">
      <c r="B2819" s="4">
        <v>584632054</v>
      </c>
      <c r="C2819" s="4" t="s">
        <v>268</v>
      </c>
      <c r="D2819" s="4">
        <v>176</v>
      </c>
      <c r="E2819" s="4">
        <v>5</v>
      </c>
      <c r="G2819">
        <f t="shared" si="43"/>
        <v>96</v>
      </c>
    </row>
    <row r="2820" spans="2:7" ht="15" hidden="1" x14ac:dyDescent="0.25">
      <c r="B2820" s="4">
        <v>584632054</v>
      </c>
      <c r="C2820" s="4" t="s">
        <v>268</v>
      </c>
      <c r="D2820" s="4">
        <v>176</v>
      </c>
      <c r="E2820" s="4">
        <v>5</v>
      </c>
      <c r="G2820">
        <f t="shared" ref="G2820:G2883" si="44">(E2820+7)*8</f>
        <v>96</v>
      </c>
    </row>
    <row r="2821" spans="2:7" ht="15" hidden="1" x14ac:dyDescent="0.25">
      <c r="B2821" s="4">
        <v>584632054</v>
      </c>
      <c r="C2821" s="4" t="s">
        <v>268</v>
      </c>
      <c r="D2821" s="4">
        <v>177</v>
      </c>
      <c r="E2821" s="4">
        <v>7</v>
      </c>
      <c r="G2821">
        <f t="shared" si="44"/>
        <v>112</v>
      </c>
    </row>
    <row r="2822" spans="2:7" ht="15" hidden="1" x14ac:dyDescent="0.25">
      <c r="B2822" s="4">
        <v>584632054</v>
      </c>
      <c r="C2822" s="4" t="s">
        <v>268</v>
      </c>
      <c r="D2822" s="4">
        <v>177</v>
      </c>
      <c r="E2822" s="4">
        <v>7</v>
      </c>
      <c r="G2822">
        <f t="shared" si="44"/>
        <v>112</v>
      </c>
    </row>
    <row r="2823" spans="2:7" ht="15" hidden="1" x14ac:dyDescent="0.25">
      <c r="B2823" s="4">
        <v>584632054</v>
      </c>
      <c r="C2823" s="4" t="s">
        <v>269</v>
      </c>
      <c r="D2823" s="4">
        <v>325</v>
      </c>
      <c r="E2823" s="4">
        <v>57</v>
      </c>
      <c r="G2823">
        <f t="shared" si="44"/>
        <v>512</v>
      </c>
    </row>
    <row r="2824" spans="2:7" ht="15" hidden="1" x14ac:dyDescent="0.25">
      <c r="B2824" s="4">
        <v>584632055</v>
      </c>
      <c r="C2824" s="4" t="s">
        <v>269</v>
      </c>
      <c r="D2824" s="4">
        <v>326</v>
      </c>
      <c r="E2824" s="4">
        <v>57</v>
      </c>
      <c r="G2824">
        <f t="shared" si="44"/>
        <v>512</v>
      </c>
    </row>
    <row r="2825" spans="2:7" ht="15" hidden="1" x14ac:dyDescent="0.25">
      <c r="B2825" s="4">
        <v>584632056</v>
      </c>
      <c r="C2825" s="4" t="s">
        <v>269</v>
      </c>
      <c r="D2825" s="4">
        <v>327</v>
      </c>
      <c r="E2825" s="4">
        <v>57</v>
      </c>
      <c r="G2825">
        <f t="shared" si="44"/>
        <v>512</v>
      </c>
    </row>
    <row r="2826" spans="2:7" ht="15" hidden="1" x14ac:dyDescent="0.25">
      <c r="B2826" s="4">
        <v>584632057</v>
      </c>
      <c r="C2826" s="4" t="s">
        <v>269</v>
      </c>
      <c r="D2826" s="4">
        <v>328</v>
      </c>
      <c r="E2826" s="4">
        <v>57</v>
      </c>
      <c r="G2826">
        <f t="shared" si="44"/>
        <v>512</v>
      </c>
    </row>
    <row r="2827" spans="2:7" ht="15" hidden="1" x14ac:dyDescent="0.25">
      <c r="B2827" s="4">
        <v>584632058</v>
      </c>
      <c r="C2827" s="4" t="s">
        <v>269</v>
      </c>
      <c r="D2827" s="4">
        <v>329</v>
      </c>
      <c r="E2827" s="4">
        <v>57</v>
      </c>
      <c r="G2827">
        <f t="shared" si="44"/>
        <v>512</v>
      </c>
    </row>
    <row r="2828" spans="2:7" ht="15" hidden="1" x14ac:dyDescent="0.25">
      <c r="B2828" s="4">
        <v>584632058</v>
      </c>
      <c r="C2828" s="4" t="s">
        <v>272</v>
      </c>
      <c r="D2828" s="4">
        <v>21</v>
      </c>
      <c r="E2828" s="4">
        <v>225</v>
      </c>
      <c r="G2828">
        <f t="shared" si="44"/>
        <v>1856</v>
      </c>
    </row>
    <row r="2829" spans="2:7" ht="15" hidden="1" x14ac:dyDescent="0.25">
      <c r="B2829" s="4">
        <v>584632059</v>
      </c>
      <c r="C2829" s="4" t="s">
        <v>269</v>
      </c>
      <c r="D2829" s="4">
        <v>330</v>
      </c>
      <c r="E2829" s="4">
        <v>57</v>
      </c>
      <c r="G2829">
        <f t="shared" si="44"/>
        <v>512</v>
      </c>
    </row>
    <row r="2830" spans="2:7" ht="15" hidden="1" x14ac:dyDescent="0.25">
      <c r="B2830" s="4">
        <v>584632060</v>
      </c>
      <c r="C2830" s="4" t="s">
        <v>269</v>
      </c>
      <c r="D2830" s="4">
        <v>331</v>
      </c>
      <c r="E2830" s="4">
        <v>57</v>
      </c>
      <c r="G2830">
        <f t="shared" si="44"/>
        <v>512</v>
      </c>
    </row>
    <row r="2831" spans="2:7" ht="15" hidden="1" x14ac:dyDescent="0.25">
      <c r="B2831" s="4">
        <v>584632061</v>
      </c>
      <c r="C2831" s="4" t="s">
        <v>269</v>
      </c>
      <c r="D2831" s="4">
        <v>332</v>
      </c>
      <c r="E2831" s="4">
        <v>57</v>
      </c>
      <c r="G2831">
        <f t="shared" si="44"/>
        <v>512</v>
      </c>
    </row>
    <row r="2832" spans="2:7" ht="15" hidden="1" x14ac:dyDescent="0.25">
      <c r="B2832" s="4">
        <v>584632062</v>
      </c>
      <c r="C2832" s="4" t="s">
        <v>269</v>
      </c>
      <c r="D2832" s="4">
        <v>333</v>
      </c>
      <c r="E2832" s="4">
        <v>57</v>
      </c>
      <c r="G2832">
        <f t="shared" si="44"/>
        <v>512</v>
      </c>
    </row>
    <row r="2833" spans="2:7" ht="15" hidden="1" x14ac:dyDescent="0.25">
      <c r="B2833" s="4">
        <v>584632063</v>
      </c>
      <c r="C2833" s="4" t="s">
        <v>269</v>
      </c>
      <c r="D2833" s="4">
        <v>334</v>
      </c>
      <c r="E2833" s="4">
        <v>57</v>
      </c>
      <c r="G2833">
        <f t="shared" si="44"/>
        <v>512</v>
      </c>
    </row>
    <row r="2834" spans="2:7" ht="15" hidden="1" x14ac:dyDescent="0.25">
      <c r="B2834" s="4">
        <v>584632064</v>
      </c>
      <c r="C2834" s="4" t="s">
        <v>269</v>
      </c>
      <c r="D2834" s="4">
        <v>335</v>
      </c>
      <c r="E2834" s="4">
        <v>57</v>
      </c>
      <c r="G2834">
        <f t="shared" si="44"/>
        <v>512</v>
      </c>
    </row>
    <row r="2835" spans="2:7" ht="15" hidden="1" x14ac:dyDescent="0.25">
      <c r="B2835" s="4">
        <v>584632065</v>
      </c>
      <c r="C2835" s="4" t="s">
        <v>269</v>
      </c>
      <c r="D2835" s="4">
        <v>336</v>
      </c>
      <c r="E2835" s="4">
        <v>57</v>
      </c>
      <c r="G2835">
        <f t="shared" si="44"/>
        <v>512</v>
      </c>
    </row>
    <row r="2836" spans="2:7" ht="15" hidden="1" x14ac:dyDescent="0.25">
      <c r="B2836" s="4">
        <v>584632066</v>
      </c>
      <c r="C2836" s="4" t="s">
        <v>269</v>
      </c>
      <c r="D2836" s="4">
        <v>337</v>
      </c>
      <c r="E2836" s="4">
        <v>57</v>
      </c>
      <c r="G2836">
        <f t="shared" si="44"/>
        <v>512</v>
      </c>
    </row>
    <row r="2837" spans="2:7" ht="15" hidden="1" x14ac:dyDescent="0.25">
      <c r="B2837" s="4">
        <v>584632067</v>
      </c>
      <c r="C2837" s="4" t="s">
        <v>269</v>
      </c>
      <c r="D2837" s="4">
        <v>338</v>
      </c>
      <c r="E2837" s="4">
        <v>57</v>
      </c>
      <c r="G2837">
        <f t="shared" si="44"/>
        <v>512</v>
      </c>
    </row>
    <row r="2838" spans="2:7" ht="15" hidden="1" x14ac:dyDescent="0.25">
      <c r="B2838" s="4">
        <v>584632068</v>
      </c>
      <c r="C2838" s="4" t="s">
        <v>269</v>
      </c>
      <c r="D2838" s="4">
        <v>339</v>
      </c>
      <c r="E2838" s="4">
        <v>57</v>
      </c>
      <c r="G2838">
        <f t="shared" si="44"/>
        <v>512</v>
      </c>
    </row>
    <row r="2839" spans="2:7" ht="15" hidden="1" x14ac:dyDescent="0.25">
      <c r="B2839" s="4">
        <v>584632068</v>
      </c>
      <c r="C2839" s="4" t="s">
        <v>272</v>
      </c>
      <c r="D2839" s="4">
        <v>22</v>
      </c>
      <c r="E2839" s="4">
        <v>225</v>
      </c>
      <c r="G2839">
        <f t="shared" si="44"/>
        <v>1856</v>
      </c>
    </row>
    <row r="2840" spans="2:7" ht="15" hidden="1" x14ac:dyDescent="0.25">
      <c r="B2840" s="4">
        <v>584632069</v>
      </c>
      <c r="C2840" s="4" t="s">
        <v>269</v>
      </c>
      <c r="D2840" s="4">
        <v>340</v>
      </c>
      <c r="E2840" s="4">
        <v>57</v>
      </c>
      <c r="G2840">
        <f t="shared" si="44"/>
        <v>512</v>
      </c>
    </row>
    <row r="2841" spans="2:7" ht="15" hidden="1" x14ac:dyDescent="0.25">
      <c r="B2841" s="4">
        <v>584632070</v>
      </c>
      <c r="C2841" s="4" t="s">
        <v>269</v>
      </c>
      <c r="D2841" s="4">
        <v>341</v>
      </c>
      <c r="E2841" s="4">
        <v>57</v>
      </c>
      <c r="G2841">
        <f t="shared" si="44"/>
        <v>512</v>
      </c>
    </row>
    <row r="2842" spans="2:7" ht="15" hidden="1" x14ac:dyDescent="0.25">
      <c r="B2842" s="4">
        <v>584632071</v>
      </c>
      <c r="C2842" s="4" t="s">
        <v>269</v>
      </c>
      <c r="D2842" s="4">
        <v>342</v>
      </c>
      <c r="E2842" s="4">
        <v>57</v>
      </c>
      <c r="G2842">
        <f t="shared" si="44"/>
        <v>512</v>
      </c>
    </row>
    <row r="2843" spans="2:7" ht="15" hidden="1" x14ac:dyDescent="0.25">
      <c r="B2843" s="4">
        <v>584632072</v>
      </c>
      <c r="C2843" s="4" t="s">
        <v>269</v>
      </c>
      <c r="D2843" s="4">
        <v>343</v>
      </c>
      <c r="E2843" s="4">
        <v>57</v>
      </c>
      <c r="G2843">
        <f t="shared" si="44"/>
        <v>512</v>
      </c>
    </row>
    <row r="2844" spans="2:7" ht="15" hidden="1" x14ac:dyDescent="0.25">
      <c r="B2844" s="4">
        <v>584632073</v>
      </c>
      <c r="C2844" s="4" t="s">
        <v>269</v>
      </c>
      <c r="D2844" s="4">
        <v>344</v>
      </c>
      <c r="E2844" s="4">
        <v>57</v>
      </c>
      <c r="G2844">
        <f t="shared" si="44"/>
        <v>512</v>
      </c>
    </row>
    <row r="2845" spans="2:7" ht="15" hidden="1" x14ac:dyDescent="0.25">
      <c r="B2845" s="4">
        <v>584632074</v>
      </c>
      <c r="C2845" s="4" t="s">
        <v>269</v>
      </c>
      <c r="D2845" s="4">
        <v>345</v>
      </c>
      <c r="E2845" s="4">
        <v>57</v>
      </c>
      <c r="G2845">
        <f t="shared" si="44"/>
        <v>512</v>
      </c>
    </row>
    <row r="2846" spans="2:7" ht="15" hidden="1" x14ac:dyDescent="0.25">
      <c r="B2846" s="4">
        <v>584632075</v>
      </c>
      <c r="C2846" s="4" t="s">
        <v>269</v>
      </c>
      <c r="D2846" s="4">
        <v>346</v>
      </c>
      <c r="E2846" s="4">
        <v>57</v>
      </c>
      <c r="G2846">
        <f t="shared" si="44"/>
        <v>512</v>
      </c>
    </row>
    <row r="2847" spans="2:7" ht="15" hidden="1" x14ac:dyDescent="0.25">
      <c r="B2847" s="4">
        <v>584632076</v>
      </c>
      <c r="C2847" s="4" t="s">
        <v>269</v>
      </c>
      <c r="D2847" s="4">
        <v>347</v>
      </c>
      <c r="E2847" s="4">
        <v>57</v>
      </c>
      <c r="G2847">
        <f t="shared" si="44"/>
        <v>512</v>
      </c>
    </row>
    <row r="2848" spans="2:7" ht="15" hidden="1" x14ac:dyDescent="0.25">
      <c r="B2848" s="4">
        <v>584632077</v>
      </c>
      <c r="C2848" s="4" t="s">
        <v>269</v>
      </c>
      <c r="D2848" s="4">
        <v>348</v>
      </c>
      <c r="E2848" s="4">
        <v>57</v>
      </c>
      <c r="G2848">
        <f t="shared" si="44"/>
        <v>512</v>
      </c>
    </row>
    <row r="2849" spans="2:7" ht="15" hidden="1" x14ac:dyDescent="0.25">
      <c r="B2849" s="4">
        <v>584632078</v>
      </c>
      <c r="C2849" s="4" t="s">
        <v>269</v>
      </c>
      <c r="D2849" s="4">
        <v>349</v>
      </c>
      <c r="E2849" s="4">
        <v>57</v>
      </c>
      <c r="G2849">
        <f t="shared" si="44"/>
        <v>512</v>
      </c>
    </row>
    <row r="2850" spans="2:7" ht="15" hidden="1" x14ac:dyDescent="0.25">
      <c r="B2850" s="4">
        <v>584632078</v>
      </c>
      <c r="C2850" s="4" t="s">
        <v>272</v>
      </c>
      <c r="D2850" s="4">
        <v>23</v>
      </c>
      <c r="E2850" s="4">
        <v>225</v>
      </c>
      <c r="G2850">
        <f t="shared" si="44"/>
        <v>1856</v>
      </c>
    </row>
    <row r="2851" spans="2:7" ht="15" hidden="1" x14ac:dyDescent="0.25">
      <c r="B2851" s="4">
        <v>584632079</v>
      </c>
      <c r="C2851" s="4" t="s">
        <v>269</v>
      </c>
      <c r="D2851" s="4">
        <v>350</v>
      </c>
      <c r="E2851" s="4">
        <v>57</v>
      </c>
      <c r="G2851">
        <f t="shared" si="44"/>
        <v>512</v>
      </c>
    </row>
    <row r="2852" spans="2:7" ht="15" hidden="1" x14ac:dyDescent="0.25">
      <c r="B2852" s="4">
        <v>584632080</v>
      </c>
      <c r="C2852" s="4" t="s">
        <v>269</v>
      </c>
      <c r="D2852" s="4">
        <v>351</v>
      </c>
      <c r="E2852" s="4">
        <v>57</v>
      </c>
      <c r="G2852">
        <f t="shared" si="44"/>
        <v>512</v>
      </c>
    </row>
    <row r="2853" spans="2:7" ht="15" hidden="1" x14ac:dyDescent="0.25">
      <c r="B2853" s="4">
        <v>584632081</v>
      </c>
      <c r="C2853" s="4" t="s">
        <v>269</v>
      </c>
      <c r="D2853" s="4">
        <v>352</v>
      </c>
      <c r="E2853" s="4">
        <v>57</v>
      </c>
      <c r="G2853">
        <f t="shared" si="44"/>
        <v>512</v>
      </c>
    </row>
    <row r="2854" spans="2:7" ht="15" hidden="1" x14ac:dyDescent="0.25">
      <c r="B2854" s="4">
        <v>584632082</v>
      </c>
      <c r="C2854" s="4" t="s">
        <v>269</v>
      </c>
      <c r="D2854" s="4">
        <v>353</v>
      </c>
      <c r="E2854" s="4">
        <v>57</v>
      </c>
      <c r="G2854">
        <f t="shared" si="44"/>
        <v>512</v>
      </c>
    </row>
    <row r="2855" spans="2:7" ht="15" hidden="1" x14ac:dyDescent="0.25">
      <c r="B2855" s="4">
        <v>584632083</v>
      </c>
      <c r="C2855" s="4" t="s">
        <v>269</v>
      </c>
      <c r="D2855" s="4">
        <v>354</v>
      </c>
      <c r="E2855" s="4">
        <v>57</v>
      </c>
      <c r="G2855">
        <f t="shared" si="44"/>
        <v>512</v>
      </c>
    </row>
    <row r="2856" spans="2:7" ht="15" hidden="1" x14ac:dyDescent="0.25">
      <c r="B2856" s="4">
        <v>584632084</v>
      </c>
      <c r="C2856" s="4" t="s">
        <v>269</v>
      </c>
      <c r="D2856" s="4">
        <v>355</v>
      </c>
      <c r="E2856" s="4">
        <v>57</v>
      </c>
      <c r="G2856">
        <f t="shared" si="44"/>
        <v>512</v>
      </c>
    </row>
    <row r="2857" spans="2:7" ht="15" hidden="1" x14ac:dyDescent="0.25">
      <c r="B2857" s="4">
        <v>584632085</v>
      </c>
      <c r="C2857" s="4" t="s">
        <v>269</v>
      </c>
      <c r="D2857" s="4">
        <v>356</v>
      </c>
      <c r="E2857" s="4">
        <v>57</v>
      </c>
      <c r="G2857">
        <f t="shared" si="44"/>
        <v>512</v>
      </c>
    </row>
    <row r="2858" spans="2:7" ht="15" hidden="1" x14ac:dyDescent="0.25">
      <c r="B2858" s="4">
        <v>584632086</v>
      </c>
      <c r="C2858" s="4" t="s">
        <v>269</v>
      </c>
      <c r="D2858" s="4">
        <v>357</v>
      </c>
      <c r="E2858" s="4">
        <v>57</v>
      </c>
      <c r="G2858">
        <f t="shared" si="44"/>
        <v>512</v>
      </c>
    </row>
    <row r="2859" spans="2:7" ht="15" hidden="1" x14ac:dyDescent="0.25">
      <c r="B2859" s="4">
        <v>584632087</v>
      </c>
      <c r="C2859" s="4" t="s">
        <v>269</v>
      </c>
      <c r="D2859" s="4">
        <v>358</v>
      </c>
      <c r="E2859" s="4">
        <v>57</v>
      </c>
      <c r="G2859">
        <f t="shared" si="44"/>
        <v>512</v>
      </c>
    </row>
    <row r="2860" spans="2:7" ht="15" hidden="1" x14ac:dyDescent="0.25">
      <c r="B2860" s="4">
        <v>584632088</v>
      </c>
      <c r="C2860" s="4" t="s">
        <v>269</v>
      </c>
      <c r="D2860" s="4">
        <v>359</v>
      </c>
      <c r="E2860" s="4">
        <v>57</v>
      </c>
      <c r="G2860">
        <f t="shared" si="44"/>
        <v>512</v>
      </c>
    </row>
    <row r="2861" spans="2:7" ht="15" hidden="1" x14ac:dyDescent="0.25">
      <c r="B2861" s="4">
        <v>584632088</v>
      </c>
      <c r="C2861" s="4" t="s">
        <v>272</v>
      </c>
      <c r="D2861" s="4">
        <v>24</v>
      </c>
      <c r="E2861" s="4">
        <v>225</v>
      </c>
      <c r="G2861">
        <f t="shared" si="44"/>
        <v>1856</v>
      </c>
    </row>
    <row r="2862" spans="2:7" ht="15" hidden="1" x14ac:dyDescent="0.25">
      <c r="B2862" s="4">
        <v>584632089</v>
      </c>
      <c r="C2862" s="4" t="s">
        <v>269</v>
      </c>
      <c r="D2862" s="4">
        <v>360</v>
      </c>
      <c r="E2862" s="4">
        <v>57</v>
      </c>
      <c r="G2862">
        <f t="shared" si="44"/>
        <v>512</v>
      </c>
    </row>
    <row r="2863" spans="2:7" ht="15" hidden="1" x14ac:dyDescent="0.25">
      <c r="B2863" s="4">
        <v>584632090</v>
      </c>
      <c r="C2863" s="4" t="s">
        <v>269</v>
      </c>
      <c r="D2863" s="4">
        <v>361</v>
      </c>
      <c r="E2863" s="4">
        <v>57</v>
      </c>
      <c r="G2863">
        <f t="shared" si="44"/>
        <v>512</v>
      </c>
    </row>
    <row r="2864" spans="2:7" ht="15" hidden="1" x14ac:dyDescent="0.25">
      <c r="B2864" s="4">
        <v>584632091</v>
      </c>
      <c r="C2864" s="4" t="s">
        <v>269</v>
      </c>
      <c r="D2864" s="4">
        <v>362</v>
      </c>
      <c r="E2864" s="4">
        <v>57</v>
      </c>
      <c r="G2864">
        <f t="shared" si="44"/>
        <v>512</v>
      </c>
    </row>
    <row r="2865" spans="2:7" ht="15" hidden="1" x14ac:dyDescent="0.25">
      <c r="B2865" s="4">
        <v>584632092</v>
      </c>
      <c r="C2865" s="4" t="s">
        <v>269</v>
      </c>
      <c r="D2865" s="4">
        <v>363</v>
      </c>
      <c r="E2865" s="4">
        <v>57</v>
      </c>
      <c r="G2865">
        <f t="shared" si="44"/>
        <v>512</v>
      </c>
    </row>
    <row r="2866" spans="2:7" ht="15" hidden="1" x14ac:dyDescent="0.25">
      <c r="B2866" s="4">
        <v>584632093</v>
      </c>
      <c r="C2866" s="4" t="s">
        <v>269</v>
      </c>
      <c r="D2866" s="4">
        <v>364</v>
      </c>
      <c r="E2866" s="4">
        <v>57</v>
      </c>
      <c r="G2866">
        <f t="shared" si="44"/>
        <v>512</v>
      </c>
    </row>
    <row r="2867" spans="2:7" ht="15" hidden="1" x14ac:dyDescent="0.25">
      <c r="B2867" s="4">
        <v>584632094</v>
      </c>
      <c r="C2867" s="4" t="s">
        <v>269</v>
      </c>
      <c r="D2867" s="4">
        <v>365</v>
      </c>
      <c r="E2867" s="4">
        <v>57</v>
      </c>
      <c r="G2867">
        <f t="shared" si="44"/>
        <v>512</v>
      </c>
    </row>
    <row r="2868" spans="2:7" ht="15" hidden="1" x14ac:dyDescent="0.25">
      <c r="B2868" s="4">
        <v>584632095</v>
      </c>
      <c r="C2868" s="4" t="s">
        <v>269</v>
      </c>
      <c r="D2868" s="4">
        <v>366</v>
      </c>
      <c r="E2868" s="4">
        <v>57</v>
      </c>
      <c r="G2868">
        <f t="shared" si="44"/>
        <v>512</v>
      </c>
    </row>
    <row r="2869" spans="2:7" ht="15" hidden="1" x14ac:dyDescent="0.25">
      <c r="B2869" s="4">
        <v>584632096</v>
      </c>
      <c r="C2869" s="4" t="s">
        <v>269</v>
      </c>
      <c r="D2869" s="4">
        <v>367</v>
      </c>
      <c r="E2869" s="4">
        <v>57</v>
      </c>
      <c r="G2869">
        <f t="shared" si="44"/>
        <v>512</v>
      </c>
    </row>
    <row r="2870" spans="2:7" ht="15" hidden="1" x14ac:dyDescent="0.25">
      <c r="B2870" s="4">
        <v>584632097</v>
      </c>
      <c r="C2870" s="4" t="s">
        <v>269</v>
      </c>
      <c r="D2870" s="4">
        <v>368</v>
      </c>
      <c r="E2870" s="4">
        <v>57</v>
      </c>
      <c r="G2870">
        <f t="shared" si="44"/>
        <v>512</v>
      </c>
    </row>
    <row r="2871" spans="2:7" ht="15" hidden="1" x14ac:dyDescent="0.25">
      <c r="B2871" s="4">
        <v>584632098</v>
      </c>
      <c r="C2871" s="4" t="s">
        <v>269</v>
      </c>
      <c r="D2871" s="4">
        <v>369</v>
      </c>
      <c r="E2871" s="4">
        <v>57</v>
      </c>
      <c r="G2871">
        <f t="shared" si="44"/>
        <v>512</v>
      </c>
    </row>
    <row r="2872" spans="2:7" ht="15" hidden="1" x14ac:dyDescent="0.25">
      <c r="B2872" s="4">
        <v>584632098</v>
      </c>
      <c r="C2872" s="4" t="s">
        <v>272</v>
      </c>
      <c r="D2872" s="4">
        <v>25</v>
      </c>
      <c r="E2872" s="4">
        <v>225</v>
      </c>
      <c r="G2872">
        <f t="shared" si="44"/>
        <v>1856</v>
      </c>
    </row>
    <row r="2873" spans="2:7" ht="15" hidden="1" x14ac:dyDescent="0.25">
      <c r="B2873" s="4">
        <v>584632099</v>
      </c>
      <c r="C2873" s="4" t="s">
        <v>269</v>
      </c>
      <c r="D2873" s="4">
        <v>370</v>
      </c>
      <c r="E2873" s="4">
        <v>57</v>
      </c>
      <c r="G2873">
        <f t="shared" si="44"/>
        <v>512</v>
      </c>
    </row>
    <row r="2874" spans="2:7" ht="15" hidden="1" x14ac:dyDescent="0.25">
      <c r="B2874" s="4">
        <v>584632100</v>
      </c>
      <c r="C2874" s="4" t="s">
        <v>269</v>
      </c>
      <c r="D2874" s="4">
        <v>371</v>
      </c>
      <c r="E2874" s="4">
        <v>57</v>
      </c>
      <c r="G2874">
        <f t="shared" si="44"/>
        <v>512</v>
      </c>
    </row>
    <row r="2875" spans="2:7" ht="15" hidden="1" x14ac:dyDescent="0.25">
      <c r="B2875" s="4">
        <v>584632101</v>
      </c>
      <c r="C2875" s="4" t="s">
        <v>269</v>
      </c>
      <c r="D2875" s="4">
        <v>372</v>
      </c>
      <c r="E2875" s="4">
        <v>57</v>
      </c>
      <c r="G2875">
        <f t="shared" si="44"/>
        <v>512</v>
      </c>
    </row>
    <row r="2876" spans="2:7" ht="15" hidden="1" x14ac:dyDescent="0.25">
      <c r="B2876" s="4">
        <v>584632102</v>
      </c>
      <c r="C2876" s="4" t="s">
        <v>269</v>
      </c>
      <c r="D2876" s="4">
        <v>373</v>
      </c>
      <c r="E2876" s="4">
        <v>57</v>
      </c>
      <c r="G2876">
        <f t="shared" si="44"/>
        <v>512</v>
      </c>
    </row>
    <row r="2877" spans="2:7" ht="15" hidden="1" x14ac:dyDescent="0.25">
      <c r="B2877" s="4">
        <v>584632103</v>
      </c>
      <c r="C2877" s="4" t="s">
        <v>269</v>
      </c>
      <c r="D2877" s="4">
        <v>374</v>
      </c>
      <c r="E2877" s="4">
        <v>57</v>
      </c>
      <c r="G2877">
        <f t="shared" si="44"/>
        <v>512</v>
      </c>
    </row>
    <row r="2878" spans="2:7" ht="15" hidden="1" x14ac:dyDescent="0.25">
      <c r="B2878" s="4">
        <v>584632104</v>
      </c>
      <c r="C2878" s="4" t="s">
        <v>269</v>
      </c>
      <c r="D2878" s="4">
        <v>375</v>
      </c>
      <c r="E2878" s="4">
        <v>57</v>
      </c>
      <c r="G2878">
        <f t="shared" si="44"/>
        <v>512</v>
      </c>
    </row>
    <row r="2879" spans="2:7" ht="15" hidden="1" x14ac:dyDescent="0.25">
      <c r="B2879" s="4">
        <v>584632105</v>
      </c>
      <c r="C2879" s="4" t="s">
        <v>269</v>
      </c>
      <c r="D2879" s="4">
        <v>376</v>
      </c>
      <c r="E2879" s="4">
        <v>57</v>
      </c>
      <c r="G2879">
        <f t="shared" si="44"/>
        <v>512</v>
      </c>
    </row>
    <row r="2880" spans="2:7" ht="15" hidden="1" x14ac:dyDescent="0.25">
      <c r="B2880" s="4">
        <v>584632106</v>
      </c>
      <c r="C2880" s="4" t="s">
        <v>269</v>
      </c>
      <c r="D2880" s="4">
        <v>377</v>
      </c>
      <c r="E2880" s="4">
        <v>57</v>
      </c>
      <c r="G2880">
        <f t="shared" si="44"/>
        <v>512</v>
      </c>
    </row>
    <row r="2881" spans="2:7" ht="15" hidden="1" x14ac:dyDescent="0.25">
      <c r="B2881" s="4">
        <v>584632107</v>
      </c>
      <c r="C2881" s="4" t="s">
        <v>269</v>
      </c>
      <c r="D2881" s="4">
        <v>378</v>
      </c>
      <c r="E2881" s="4">
        <v>57</v>
      </c>
      <c r="G2881">
        <f t="shared" si="44"/>
        <v>512</v>
      </c>
    </row>
    <row r="2882" spans="2:7" ht="15" hidden="1" x14ac:dyDescent="0.25">
      <c r="B2882" s="4">
        <v>584632108</v>
      </c>
      <c r="C2882" s="4" t="s">
        <v>269</v>
      </c>
      <c r="D2882" s="4">
        <v>379</v>
      </c>
      <c r="E2882" s="4">
        <v>57</v>
      </c>
      <c r="G2882">
        <f t="shared" si="44"/>
        <v>512</v>
      </c>
    </row>
    <row r="2883" spans="2:7" ht="15" hidden="1" x14ac:dyDescent="0.25">
      <c r="B2883" s="4">
        <v>584632108</v>
      </c>
      <c r="C2883" s="4" t="s">
        <v>272</v>
      </c>
      <c r="D2883" s="4">
        <v>26</v>
      </c>
      <c r="E2883" s="4">
        <v>225</v>
      </c>
      <c r="G2883">
        <f t="shared" si="44"/>
        <v>1856</v>
      </c>
    </row>
    <row r="2884" spans="2:7" ht="15" hidden="1" x14ac:dyDescent="0.25">
      <c r="B2884" s="4">
        <v>584632109</v>
      </c>
      <c r="C2884" s="4" t="s">
        <v>269</v>
      </c>
      <c r="D2884" s="4">
        <v>380</v>
      </c>
      <c r="E2884" s="4">
        <v>57</v>
      </c>
      <c r="G2884">
        <f t="shared" ref="G2884:G2947" si="45">(E2884+7)*8</f>
        <v>512</v>
      </c>
    </row>
    <row r="2885" spans="2:7" ht="15" hidden="1" x14ac:dyDescent="0.25">
      <c r="B2885" s="4">
        <v>584632110</v>
      </c>
      <c r="C2885" s="4" t="s">
        <v>269</v>
      </c>
      <c r="D2885" s="4">
        <v>381</v>
      </c>
      <c r="E2885" s="4">
        <v>57</v>
      </c>
      <c r="G2885">
        <f t="shared" si="45"/>
        <v>512</v>
      </c>
    </row>
    <row r="2886" spans="2:7" ht="15" hidden="1" x14ac:dyDescent="0.25">
      <c r="B2886" s="4">
        <v>584632111</v>
      </c>
      <c r="C2886" s="4" t="s">
        <v>269</v>
      </c>
      <c r="D2886" s="4">
        <v>382</v>
      </c>
      <c r="E2886" s="4">
        <v>57</v>
      </c>
      <c r="G2886">
        <f t="shared" si="45"/>
        <v>512</v>
      </c>
    </row>
    <row r="2887" spans="2:7" ht="15" hidden="1" x14ac:dyDescent="0.25">
      <c r="B2887" s="4">
        <v>584632112</v>
      </c>
      <c r="C2887" s="4" t="s">
        <v>269</v>
      </c>
      <c r="D2887" s="4">
        <v>383</v>
      </c>
      <c r="E2887" s="4">
        <v>57</v>
      </c>
      <c r="G2887">
        <f t="shared" si="45"/>
        <v>512</v>
      </c>
    </row>
    <row r="2888" spans="2:7" ht="15" hidden="1" x14ac:dyDescent="0.25">
      <c r="B2888" s="4">
        <v>584632113</v>
      </c>
      <c r="C2888" s="4" t="s">
        <v>269</v>
      </c>
      <c r="D2888" s="4">
        <v>384</v>
      </c>
      <c r="E2888" s="4">
        <v>57</v>
      </c>
      <c r="G2888">
        <f t="shared" si="45"/>
        <v>512</v>
      </c>
    </row>
    <row r="2889" spans="2:7" ht="15" hidden="1" x14ac:dyDescent="0.25">
      <c r="B2889" s="4">
        <v>584632114</v>
      </c>
      <c r="C2889" s="4" t="s">
        <v>268</v>
      </c>
      <c r="D2889" s="4">
        <v>178</v>
      </c>
      <c r="E2889" s="4">
        <v>6</v>
      </c>
      <c r="G2889">
        <f t="shared" si="45"/>
        <v>104</v>
      </c>
    </row>
    <row r="2890" spans="2:7" ht="15" hidden="1" x14ac:dyDescent="0.25">
      <c r="B2890" s="4">
        <v>584632114</v>
      </c>
      <c r="C2890" s="4" t="s">
        <v>268</v>
      </c>
      <c r="D2890" s="4">
        <v>178</v>
      </c>
      <c r="E2890" s="4">
        <v>6</v>
      </c>
      <c r="G2890">
        <f t="shared" si="45"/>
        <v>104</v>
      </c>
    </row>
    <row r="2891" spans="2:7" ht="15" hidden="1" x14ac:dyDescent="0.25">
      <c r="B2891" s="4">
        <v>584632114</v>
      </c>
      <c r="C2891" s="4" t="s">
        <v>268</v>
      </c>
      <c r="D2891" s="4">
        <v>179</v>
      </c>
      <c r="E2891" s="4">
        <v>9</v>
      </c>
      <c r="G2891">
        <f t="shared" si="45"/>
        <v>128</v>
      </c>
    </row>
    <row r="2892" spans="2:7" ht="15" hidden="1" x14ac:dyDescent="0.25">
      <c r="B2892" s="4">
        <v>584632114</v>
      </c>
      <c r="C2892" s="4" t="s">
        <v>268</v>
      </c>
      <c r="D2892" s="4">
        <v>179</v>
      </c>
      <c r="E2892" s="4">
        <v>9</v>
      </c>
      <c r="G2892">
        <f t="shared" si="45"/>
        <v>128</v>
      </c>
    </row>
    <row r="2893" spans="2:7" ht="15" hidden="1" x14ac:dyDescent="0.25">
      <c r="B2893" s="4">
        <v>584632114</v>
      </c>
      <c r="C2893" s="4" t="s">
        <v>268</v>
      </c>
      <c r="D2893" s="4">
        <v>180</v>
      </c>
      <c r="E2893" s="4">
        <v>7</v>
      </c>
      <c r="G2893">
        <f t="shared" si="45"/>
        <v>112</v>
      </c>
    </row>
    <row r="2894" spans="2:7" ht="15" hidden="1" x14ac:dyDescent="0.25">
      <c r="B2894" s="4">
        <v>584632114</v>
      </c>
      <c r="C2894" s="4" t="s">
        <v>268</v>
      </c>
      <c r="D2894" s="4">
        <v>180</v>
      </c>
      <c r="E2894" s="4">
        <v>7</v>
      </c>
      <c r="G2894">
        <f t="shared" si="45"/>
        <v>112</v>
      </c>
    </row>
    <row r="2895" spans="2:7" ht="15" hidden="1" x14ac:dyDescent="0.25">
      <c r="B2895" s="4">
        <v>584632114</v>
      </c>
      <c r="C2895" s="4" t="s">
        <v>268</v>
      </c>
      <c r="D2895" s="4">
        <v>181</v>
      </c>
      <c r="E2895" s="4">
        <v>7</v>
      </c>
      <c r="G2895">
        <f t="shared" si="45"/>
        <v>112</v>
      </c>
    </row>
    <row r="2896" spans="2:7" ht="15" hidden="1" x14ac:dyDescent="0.25">
      <c r="B2896" s="4">
        <v>584632114</v>
      </c>
      <c r="C2896" s="4" t="s">
        <v>268</v>
      </c>
      <c r="D2896" s="4">
        <v>181</v>
      </c>
      <c r="E2896" s="4">
        <v>7</v>
      </c>
      <c r="G2896">
        <f t="shared" si="45"/>
        <v>112</v>
      </c>
    </row>
    <row r="2897" spans="2:7" ht="15" hidden="1" x14ac:dyDescent="0.25">
      <c r="B2897" s="4">
        <v>584632114</v>
      </c>
      <c r="C2897" s="4" t="s">
        <v>268</v>
      </c>
      <c r="D2897" s="4">
        <v>182</v>
      </c>
      <c r="E2897" s="4">
        <v>7</v>
      </c>
      <c r="G2897">
        <f t="shared" si="45"/>
        <v>112</v>
      </c>
    </row>
    <row r="2898" spans="2:7" ht="15" hidden="1" x14ac:dyDescent="0.25">
      <c r="B2898" s="4">
        <v>584632114</v>
      </c>
      <c r="C2898" s="4" t="s">
        <v>268</v>
      </c>
      <c r="D2898" s="4">
        <v>182</v>
      </c>
      <c r="E2898" s="4">
        <v>7</v>
      </c>
      <c r="G2898">
        <f t="shared" si="45"/>
        <v>112</v>
      </c>
    </row>
    <row r="2899" spans="2:7" ht="15" hidden="1" x14ac:dyDescent="0.25">
      <c r="B2899" s="4">
        <v>584632114</v>
      </c>
      <c r="C2899" s="4" t="s">
        <v>269</v>
      </c>
      <c r="D2899" s="4">
        <v>385</v>
      </c>
      <c r="E2899" s="4">
        <v>57</v>
      </c>
      <c r="G2899">
        <f t="shared" si="45"/>
        <v>512</v>
      </c>
    </row>
    <row r="2900" spans="2:7" ht="15" hidden="1" x14ac:dyDescent="0.25">
      <c r="B2900" s="4">
        <v>584632115</v>
      </c>
      <c r="C2900" s="4" t="s">
        <v>269</v>
      </c>
      <c r="D2900" s="4">
        <v>386</v>
      </c>
      <c r="E2900" s="4">
        <v>57</v>
      </c>
      <c r="G2900">
        <f t="shared" si="45"/>
        <v>512</v>
      </c>
    </row>
    <row r="2901" spans="2:7" ht="15" hidden="1" x14ac:dyDescent="0.25">
      <c r="B2901" s="4">
        <v>584632116</v>
      </c>
      <c r="C2901" s="4" t="s">
        <v>268</v>
      </c>
      <c r="D2901" s="4">
        <v>183</v>
      </c>
      <c r="E2901" s="4">
        <v>7</v>
      </c>
      <c r="G2901">
        <f t="shared" si="45"/>
        <v>112</v>
      </c>
    </row>
    <row r="2902" spans="2:7" ht="15" hidden="1" x14ac:dyDescent="0.25">
      <c r="B2902" s="4">
        <v>584632116</v>
      </c>
      <c r="C2902" s="4" t="s">
        <v>268</v>
      </c>
      <c r="D2902" s="4">
        <v>183</v>
      </c>
      <c r="E2902" s="4">
        <v>7</v>
      </c>
      <c r="G2902">
        <f t="shared" si="45"/>
        <v>112</v>
      </c>
    </row>
    <row r="2903" spans="2:7" ht="15" hidden="1" x14ac:dyDescent="0.25">
      <c r="B2903" s="4">
        <v>584632116</v>
      </c>
      <c r="C2903" s="4" t="s">
        <v>268</v>
      </c>
      <c r="D2903" s="4">
        <v>184</v>
      </c>
      <c r="E2903" s="4">
        <v>5</v>
      </c>
      <c r="G2903">
        <f t="shared" si="45"/>
        <v>96</v>
      </c>
    </row>
    <row r="2904" spans="2:7" ht="15" hidden="1" x14ac:dyDescent="0.25">
      <c r="B2904" s="4">
        <v>584632116</v>
      </c>
      <c r="C2904" s="4" t="s">
        <v>268</v>
      </c>
      <c r="D2904" s="4">
        <v>184</v>
      </c>
      <c r="E2904" s="4">
        <v>5</v>
      </c>
      <c r="G2904">
        <f t="shared" si="45"/>
        <v>96</v>
      </c>
    </row>
    <row r="2905" spans="2:7" ht="15" hidden="1" x14ac:dyDescent="0.25">
      <c r="B2905" s="4">
        <v>584632116</v>
      </c>
      <c r="C2905" s="4" t="s">
        <v>268</v>
      </c>
      <c r="D2905" s="4">
        <v>185</v>
      </c>
      <c r="E2905" s="4">
        <v>7</v>
      </c>
      <c r="G2905">
        <f t="shared" si="45"/>
        <v>112</v>
      </c>
    </row>
    <row r="2906" spans="2:7" ht="15" hidden="1" x14ac:dyDescent="0.25">
      <c r="B2906" s="4">
        <v>584632116</v>
      </c>
      <c r="C2906" s="4" t="s">
        <v>268</v>
      </c>
      <c r="D2906" s="4">
        <v>185</v>
      </c>
      <c r="E2906" s="4">
        <v>7</v>
      </c>
      <c r="G2906">
        <f t="shared" si="45"/>
        <v>112</v>
      </c>
    </row>
    <row r="2907" spans="2:7" ht="15" hidden="1" x14ac:dyDescent="0.25">
      <c r="B2907" s="4">
        <v>584632116</v>
      </c>
      <c r="C2907" s="4" t="s">
        <v>269</v>
      </c>
      <c r="D2907" s="4">
        <v>387</v>
      </c>
      <c r="E2907" s="4">
        <v>57</v>
      </c>
      <c r="G2907">
        <f t="shared" si="45"/>
        <v>512</v>
      </c>
    </row>
    <row r="2908" spans="2:7" ht="15" hidden="1" x14ac:dyDescent="0.25">
      <c r="B2908" s="4">
        <v>584632117</v>
      </c>
      <c r="C2908" s="4" t="s">
        <v>269</v>
      </c>
      <c r="D2908" s="4">
        <v>388</v>
      </c>
      <c r="E2908" s="4">
        <v>57</v>
      </c>
      <c r="G2908">
        <f t="shared" si="45"/>
        <v>512</v>
      </c>
    </row>
    <row r="2909" spans="2:7" ht="15" hidden="1" x14ac:dyDescent="0.25">
      <c r="B2909" s="4">
        <v>584632118</v>
      </c>
      <c r="C2909" s="4" t="s">
        <v>269</v>
      </c>
      <c r="D2909" s="4">
        <v>389</v>
      </c>
      <c r="E2909" s="4">
        <v>57</v>
      </c>
      <c r="G2909">
        <f t="shared" si="45"/>
        <v>512</v>
      </c>
    </row>
    <row r="2910" spans="2:7" ht="15" hidden="1" x14ac:dyDescent="0.25">
      <c r="B2910" s="4">
        <v>584632118</v>
      </c>
      <c r="C2910" s="4" t="s">
        <v>272</v>
      </c>
      <c r="D2910" s="4">
        <v>27</v>
      </c>
      <c r="E2910" s="4">
        <v>225</v>
      </c>
      <c r="G2910">
        <f t="shared" si="45"/>
        <v>1856</v>
      </c>
    </row>
    <row r="2911" spans="2:7" ht="15" hidden="1" x14ac:dyDescent="0.25">
      <c r="B2911" s="4">
        <v>584632119</v>
      </c>
      <c r="C2911" s="4" t="s">
        <v>269</v>
      </c>
      <c r="D2911" s="4">
        <v>390</v>
      </c>
      <c r="E2911" s="4">
        <v>57</v>
      </c>
      <c r="G2911">
        <f t="shared" si="45"/>
        <v>512</v>
      </c>
    </row>
    <row r="2912" spans="2:7" ht="15" hidden="1" x14ac:dyDescent="0.25">
      <c r="B2912" s="4">
        <v>584632120</v>
      </c>
      <c r="C2912" s="4" t="s">
        <v>269</v>
      </c>
      <c r="D2912" s="4">
        <v>391</v>
      </c>
      <c r="E2912" s="4">
        <v>57</v>
      </c>
      <c r="G2912">
        <f t="shared" si="45"/>
        <v>512</v>
      </c>
    </row>
    <row r="2913" spans="2:7" ht="15" hidden="1" x14ac:dyDescent="0.25">
      <c r="B2913" s="4">
        <v>584632121</v>
      </c>
      <c r="C2913" s="4" t="s">
        <v>269</v>
      </c>
      <c r="D2913" s="4">
        <v>392</v>
      </c>
      <c r="E2913" s="4">
        <v>57</v>
      </c>
      <c r="G2913">
        <f t="shared" si="45"/>
        <v>512</v>
      </c>
    </row>
    <row r="2914" spans="2:7" ht="15" hidden="1" x14ac:dyDescent="0.25">
      <c r="B2914" s="4">
        <v>584632122</v>
      </c>
      <c r="C2914" s="4" t="s">
        <v>269</v>
      </c>
      <c r="D2914" s="4">
        <v>393</v>
      </c>
      <c r="E2914" s="4">
        <v>57</v>
      </c>
      <c r="G2914">
        <f t="shared" si="45"/>
        <v>512</v>
      </c>
    </row>
    <row r="2915" spans="2:7" ht="15" hidden="1" x14ac:dyDescent="0.25">
      <c r="B2915" s="4">
        <v>584632123</v>
      </c>
      <c r="C2915" s="4" t="s">
        <v>269</v>
      </c>
      <c r="D2915" s="4">
        <v>394</v>
      </c>
      <c r="E2915" s="4">
        <v>57</v>
      </c>
      <c r="G2915">
        <f t="shared" si="45"/>
        <v>512</v>
      </c>
    </row>
    <row r="2916" spans="2:7" ht="15" hidden="1" x14ac:dyDescent="0.25">
      <c r="B2916" s="4">
        <v>584632124</v>
      </c>
      <c r="C2916" s="4" t="s">
        <v>269</v>
      </c>
      <c r="D2916" s="4">
        <v>395</v>
      </c>
      <c r="E2916" s="4">
        <v>57</v>
      </c>
      <c r="G2916">
        <f t="shared" si="45"/>
        <v>512</v>
      </c>
    </row>
    <row r="2917" spans="2:7" ht="15" hidden="1" x14ac:dyDescent="0.25">
      <c r="B2917" s="4">
        <v>584632125</v>
      </c>
      <c r="C2917" s="4" t="s">
        <v>269</v>
      </c>
      <c r="D2917" s="4">
        <v>396</v>
      </c>
      <c r="E2917" s="4">
        <v>57</v>
      </c>
      <c r="G2917">
        <f t="shared" si="45"/>
        <v>512</v>
      </c>
    </row>
    <row r="2918" spans="2:7" ht="15" hidden="1" x14ac:dyDescent="0.25">
      <c r="B2918" s="4">
        <v>584632126</v>
      </c>
      <c r="C2918" s="4" t="s">
        <v>269</v>
      </c>
      <c r="D2918" s="4">
        <v>397</v>
      </c>
      <c r="E2918" s="4">
        <v>57</v>
      </c>
      <c r="G2918">
        <f t="shared" si="45"/>
        <v>512</v>
      </c>
    </row>
    <row r="2919" spans="2:7" ht="15" hidden="1" x14ac:dyDescent="0.25">
      <c r="B2919" s="4">
        <v>584632127</v>
      </c>
      <c r="C2919" s="4" t="s">
        <v>269</v>
      </c>
      <c r="D2919" s="4">
        <v>398</v>
      </c>
      <c r="E2919" s="4">
        <v>57</v>
      </c>
      <c r="G2919">
        <f t="shared" si="45"/>
        <v>512</v>
      </c>
    </row>
    <row r="2920" spans="2:7" ht="15" hidden="1" x14ac:dyDescent="0.25">
      <c r="B2920" s="4">
        <v>584632128</v>
      </c>
      <c r="C2920" s="4" t="s">
        <v>269</v>
      </c>
      <c r="D2920" s="4">
        <v>399</v>
      </c>
      <c r="E2920" s="4">
        <v>57</v>
      </c>
      <c r="G2920">
        <f t="shared" si="45"/>
        <v>512</v>
      </c>
    </row>
    <row r="2921" spans="2:7" ht="15" hidden="1" x14ac:dyDescent="0.25">
      <c r="B2921" s="4">
        <v>584632128</v>
      </c>
      <c r="C2921" s="4" t="s">
        <v>272</v>
      </c>
      <c r="D2921" s="4">
        <v>28</v>
      </c>
      <c r="E2921" s="4">
        <v>225</v>
      </c>
      <c r="G2921">
        <f t="shared" si="45"/>
        <v>1856</v>
      </c>
    </row>
    <row r="2922" spans="2:7" ht="15" hidden="1" x14ac:dyDescent="0.25">
      <c r="B2922" s="4">
        <v>584632129</v>
      </c>
      <c r="C2922" s="4" t="s">
        <v>269</v>
      </c>
      <c r="D2922" s="4">
        <v>400</v>
      </c>
      <c r="E2922" s="4">
        <v>57</v>
      </c>
      <c r="G2922">
        <f t="shared" si="45"/>
        <v>512</v>
      </c>
    </row>
    <row r="2923" spans="2:7" ht="15" hidden="1" x14ac:dyDescent="0.25">
      <c r="B2923" s="4">
        <v>584632130</v>
      </c>
      <c r="C2923" s="4" t="s">
        <v>269</v>
      </c>
      <c r="D2923" s="4">
        <v>401</v>
      </c>
      <c r="E2923" s="4">
        <v>57</v>
      </c>
      <c r="G2923">
        <f t="shared" si="45"/>
        <v>512</v>
      </c>
    </row>
    <row r="2924" spans="2:7" ht="15" hidden="1" x14ac:dyDescent="0.25">
      <c r="B2924" s="4">
        <v>584632131</v>
      </c>
      <c r="C2924" s="4" t="s">
        <v>269</v>
      </c>
      <c r="D2924" s="4">
        <v>402</v>
      </c>
      <c r="E2924" s="4">
        <v>57</v>
      </c>
      <c r="G2924">
        <f t="shared" si="45"/>
        <v>512</v>
      </c>
    </row>
    <row r="2925" spans="2:7" ht="15" hidden="1" x14ac:dyDescent="0.25">
      <c r="B2925" s="4">
        <v>584632132</v>
      </c>
      <c r="C2925" s="4" t="s">
        <v>269</v>
      </c>
      <c r="D2925" s="4">
        <v>403</v>
      </c>
      <c r="E2925" s="4">
        <v>57</v>
      </c>
      <c r="G2925">
        <f t="shared" si="45"/>
        <v>512</v>
      </c>
    </row>
    <row r="2926" spans="2:7" ht="15" hidden="1" x14ac:dyDescent="0.25">
      <c r="B2926" s="4">
        <v>584632133</v>
      </c>
      <c r="C2926" s="4" t="s">
        <v>269</v>
      </c>
      <c r="D2926" s="4">
        <v>404</v>
      </c>
      <c r="E2926" s="4">
        <v>57</v>
      </c>
      <c r="G2926">
        <f t="shared" si="45"/>
        <v>512</v>
      </c>
    </row>
    <row r="2927" spans="2:7" ht="15" hidden="1" x14ac:dyDescent="0.25">
      <c r="B2927" s="4">
        <v>584632134</v>
      </c>
      <c r="C2927" s="4" t="s">
        <v>269</v>
      </c>
      <c r="D2927" s="4">
        <v>405</v>
      </c>
      <c r="E2927" s="4">
        <v>57</v>
      </c>
      <c r="G2927">
        <f t="shared" si="45"/>
        <v>512</v>
      </c>
    </row>
    <row r="2928" spans="2:7" ht="15" hidden="1" x14ac:dyDescent="0.25">
      <c r="B2928" s="4">
        <v>584632135</v>
      </c>
      <c r="C2928" s="4" t="s">
        <v>269</v>
      </c>
      <c r="D2928" s="4">
        <v>406</v>
      </c>
      <c r="E2928" s="4">
        <v>57</v>
      </c>
      <c r="G2928">
        <f t="shared" si="45"/>
        <v>512</v>
      </c>
    </row>
    <row r="2929" spans="1:7" ht="15" hidden="1" x14ac:dyDescent="0.25">
      <c r="B2929" s="4">
        <v>584632136</v>
      </c>
      <c r="C2929" s="4" t="s">
        <v>269</v>
      </c>
      <c r="D2929" s="4">
        <v>407</v>
      </c>
      <c r="E2929" s="4">
        <v>57</v>
      </c>
      <c r="G2929">
        <f t="shared" si="45"/>
        <v>512</v>
      </c>
    </row>
    <row r="2930" spans="1:7" ht="15" hidden="1" x14ac:dyDescent="0.25">
      <c r="B2930" s="4">
        <v>584632137</v>
      </c>
      <c r="C2930" s="4" t="s">
        <v>269</v>
      </c>
      <c r="D2930" s="4">
        <v>408</v>
      </c>
      <c r="E2930" s="4">
        <v>57</v>
      </c>
      <c r="G2930">
        <f t="shared" si="45"/>
        <v>512</v>
      </c>
    </row>
    <row r="2931" spans="1:7" ht="15" hidden="1" x14ac:dyDescent="0.25">
      <c r="B2931" s="4">
        <v>584632138</v>
      </c>
      <c r="C2931" s="4" t="s">
        <v>269</v>
      </c>
      <c r="D2931" s="4">
        <v>409</v>
      </c>
      <c r="E2931" s="4">
        <v>57</v>
      </c>
      <c r="G2931">
        <f t="shared" si="45"/>
        <v>512</v>
      </c>
    </row>
    <row r="2932" spans="1:7" ht="15" hidden="1" x14ac:dyDescent="0.25">
      <c r="B2932" s="4">
        <v>584632138</v>
      </c>
      <c r="C2932" s="4" t="s">
        <v>272</v>
      </c>
      <c r="D2932" s="4">
        <v>29</v>
      </c>
      <c r="E2932" s="4">
        <v>225</v>
      </c>
      <c r="G2932">
        <f t="shared" si="45"/>
        <v>1856</v>
      </c>
    </row>
    <row r="2933" spans="1:7" ht="15" hidden="1" x14ac:dyDescent="0.25">
      <c r="B2933" s="4">
        <v>584632139</v>
      </c>
      <c r="C2933" s="4" t="s">
        <v>269</v>
      </c>
      <c r="D2933" s="4">
        <v>410</v>
      </c>
      <c r="E2933" s="4">
        <v>57</v>
      </c>
      <c r="G2933">
        <f t="shared" si="45"/>
        <v>512</v>
      </c>
    </row>
    <row r="2934" spans="1:7" ht="15" hidden="1" x14ac:dyDescent="0.25">
      <c r="B2934" s="4">
        <v>584632140</v>
      </c>
      <c r="C2934" s="4" t="s">
        <v>269</v>
      </c>
      <c r="D2934" s="4">
        <v>411</v>
      </c>
      <c r="E2934" s="4">
        <v>57</v>
      </c>
      <c r="G2934">
        <f t="shared" si="45"/>
        <v>512</v>
      </c>
    </row>
    <row r="2935" spans="1:7" ht="15" hidden="1" x14ac:dyDescent="0.25">
      <c r="B2935" s="4">
        <v>584632141</v>
      </c>
      <c r="C2935" s="4" t="s">
        <v>269</v>
      </c>
      <c r="D2935" s="4">
        <v>412</v>
      </c>
      <c r="E2935" s="4">
        <v>57</v>
      </c>
      <c r="G2935">
        <f t="shared" si="45"/>
        <v>512</v>
      </c>
    </row>
    <row r="2936" spans="1:7" ht="15" hidden="1" x14ac:dyDescent="0.25">
      <c r="B2936" s="4">
        <v>584632142</v>
      </c>
      <c r="C2936" s="4" t="s">
        <v>269</v>
      </c>
      <c r="D2936" s="4">
        <v>413</v>
      </c>
      <c r="E2936" s="4">
        <v>57</v>
      </c>
      <c r="G2936">
        <f t="shared" si="45"/>
        <v>512</v>
      </c>
    </row>
    <row r="2937" spans="1:7" ht="15" hidden="1" x14ac:dyDescent="0.25">
      <c r="B2937" s="4">
        <v>584632143</v>
      </c>
      <c r="C2937" s="4" t="s">
        <v>269</v>
      </c>
      <c r="D2937" s="4">
        <v>414</v>
      </c>
      <c r="E2937" s="4">
        <v>57</v>
      </c>
      <c r="G2937">
        <f t="shared" si="45"/>
        <v>512</v>
      </c>
    </row>
    <row r="2938" spans="1:7" ht="15" hidden="1" x14ac:dyDescent="0.25">
      <c r="B2938" s="4">
        <v>584632144</v>
      </c>
      <c r="C2938" s="4" t="s">
        <v>269</v>
      </c>
      <c r="D2938" s="4">
        <v>415</v>
      </c>
      <c r="E2938" s="4">
        <v>57</v>
      </c>
      <c r="G2938">
        <f t="shared" si="45"/>
        <v>512</v>
      </c>
    </row>
    <row r="2939" spans="1:7" ht="15" hidden="1" x14ac:dyDescent="0.25">
      <c r="B2939" s="4">
        <v>584632145</v>
      </c>
      <c r="C2939" s="4" t="s">
        <v>269</v>
      </c>
      <c r="D2939" s="4">
        <v>416</v>
      </c>
      <c r="E2939" s="4">
        <v>57</v>
      </c>
      <c r="G2939">
        <f t="shared" si="45"/>
        <v>512</v>
      </c>
    </row>
    <row r="2940" spans="1:7" ht="15" hidden="1" x14ac:dyDescent="0.25">
      <c r="B2940" s="4">
        <v>584632146</v>
      </c>
      <c r="C2940" s="4" t="s">
        <v>269</v>
      </c>
      <c r="D2940" s="4">
        <v>417</v>
      </c>
      <c r="E2940" s="4">
        <v>57</v>
      </c>
      <c r="G2940">
        <f t="shared" si="45"/>
        <v>512</v>
      </c>
    </row>
    <row r="2941" spans="1:7" ht="15" hidden="1" x14ac:dyDescent="0.25">
      <c r="B2941" s="4">
        <v>584632147</v>
      </c>
      <c r="C2941" s="4" t="s">
        <v>269</v>
      </c>
      <c r="D2941" s="4">
        <v>418</v>
      </c>
      <c r="E2941" s="4">
        <v>57</v>
      </c>
      <c r="G2941">
        <f t="shared" si="45"/>
        <v>512</v>
      </c>
    </row>
    <row r="2942" spans="1:7" ht="15" hidden="1" x14ac:dyDescent="0.25">
      <c r="B2942" s="4">
        <v>584632148</v>
      </c>
      <c r="C2942" s="4" t="s">
        <v>269</v>
      </c>
      <c r="D2942" s="4">
        <v>419</v>
      </c>
      <c r="E2942" s="4">
        <v>57</v>
      </c>
      <c r="G2942">
        <f t="shared" si="45"/>
        <v>512</v>
      </c>
    </row>
    <row r="2943" spans="1:7" ht="15" x14ac:dyDescent="0.25">
      <c r="A2943">
        <f>B2943-B2733</f>
        <v>147</v>
      </c>
      <c r="B2943" s="4">
        <v>584632148</v>
      </c>
      <c r="C2943" s="4" t="s">
        <v>270</v>
      </c>
      <c r="D2943" s="4">
        <v>1</v>
      </c>
      <c r="E2943" s="4">
        <v>1100</v>
      </c>
      <c r="G2943">
        <f t="shared" si="45"/>
        <v>8856</v>
      </c>
    </row>
    <row r="2944" spans="1:7" ht="15" x14ac:dyDescent="0.25">
      <c r="A2944">
        <f>B2944-B2734</f>
        <v>146</v>
      </c>
      <c r="B2944" s="4">
        <v>584632148</v>
      </c>
      <c r="C2944" s="4" t="s">
        <v>271</v>
      </c>
      <c r="D2944" s="4">
        <v>1</v>
      </c>
      <c r="E2944" s="4">
        <v>1100</v>
      </c>
      <c r="G2944">
        <f t="shared" si="45"/>
        <v>8856</v>
      </c>
    </row>
    <row r="2945" spans="2:7" ht="15" hidden="1" x14ac:dyDescent="0.25">
      <c r="B2945" s="4">
        <v>584632149</v>
      </c>
      <c r="C2945" s="4" t="s">
        <v>269</v>
      </c>
      <c r="D2945" s="4">
        <v>420</v>
      </c>
      <c r="E2945" s="4">
        <v>57</v>
      </c>
      <c r="G2945">
        <f t="shared" si="45"/>
        <v>512</v>
      </c>
    </row>
    <row r="2946" spans="2:7" ht="15" hidden="1" x14ac:dyDescent="0.25">
      <c r="B2946" s="4">
        <v>584632149</v>
      </c>
      <c r="C2946" s="4" t="s">
        <v>272</v>
      </c>
      <c r="D2946" s="4">
        <v>30</v>
      </c>
      <c r="E2946" s="4">
        <v>225</v>
      </c>
      <c r="G2946">
        <f t="shared" si="45"/>
        <v>1856</v>
      </c>
    </row>
    <row r="2947" spans="2:7" ht="15" hidden="1" x14ac:dyDescent="0.25">
      <c r="B2947" s="4">
        <v>584632150</v>
      </c>
      <c r="C2947" s="4" t="s">
        <v>269</v>
      </c>
      <c r="D2947" s="4">
        <v>421</v>
      </c>
      <c r="E2947" s="4">
        <v>57</v>
      </c>
      <c r="G2947">
        <f t="shared" si="45"/>
        <v>512</v>
      </c>
    </row>
    <row r="2948" spans="2:7" ht="15" hidden="1" x14ac:dyDescent="0.25">
      <c r="B2948" s="4">
        <v>584632151</v>
      </c>
      <c r="C2948" s="4" t="s">
        <v>269</v>
      </c>
      <c r="D2948" s="4">
        <v>422</v>
      </c>
      <c r="E2948" s="4">
        <v>57</v>
      </c>
      <c r="G2948">
        <f t="shared" ref="G2948:G3011" si="46">(E2948+7)*8</f>
        <v>512</v>
      </c>
    </row>
    <row r="2949" spans="2:7" ht="15" hidden="1" x14ac:dyDescent="0.25">
      <c r="B2949" s="4">
        <v>584632152</v>
      </c>
      <c r="C2949" s="4" t="s">
        <v>269</v>
      </c>
      <c r="D2949" s="4">
        <v>423</v>
      </c>
      <c r="E2949" s="4">
        <v>57</v>
      </c>
      <c r="G2949">
        <f t="shared" si="46"/>
        <v>512</v>
      </c>
    </row>
    <row r="2950" spans="2:7" ht="15" hidden="1" x14ac:dyDescent="0.25">
      <c r="B2950" s="4">
        <v>584632153</v>
      </c>
      <c r="C2950" s="4" t="s">
        <v>269</v>
      </c>
      <c r="D2950" s="4">
        <v>424</v>
      </c>
      <c r="E2950" s="4">
        <v>57</v>
      </c>
      <c r="G2950">
        <f t="shared" si="46"/>
        <v>512</v>
      </c>
    </row>
    <row r="2951" spans="2:7" ht="15" hidden="1" x14ac:dyDescent="0.25">
      <c r="B2951" s="4">
        <v>584632154</v>
      </c>
      <c r="C2951" s="4" t="s">
        <v>269</v>
      </c>
      <c r="D2951" s="4">
        <v>425</v>
      </c>
      <c r="E2951" s="4">
        <v>57</v>
      </c>
      <c r="G2951">
        <f t="shared" si="46"/>
        <v>512</v>
      </c>
    </row>
    <row r="2952" spans="2:7" ht="15" hidden="1" x14ac:dyDescent="0.25">
      <c r="B2952" s="4">
        <v>584632155</v>
      </c>
      <c r="C2952" s="4" t="s">
        <v>269</v>
      </c>
      <c r="D2952" s="4">
        <v>426</v>
      </c>
      <c r="E2952" s="4">
        <v>57</v>
      </c>
      <c r="G2952">
        <f t="shared" si="46"/>
        <v>512</v>
      </c>
    </row>
    <row r="2953" spans="2:7" ht="15" hidden="1" x14ac:dyDescent="0.25">
      <c r="B2953" s="4">
        <v>584632156</v>
      </c>
      <c r="C2953" s="4" t="s">
        <v>269</v>
      </c>
      <c r="D2953" s="4">
        <v>427</v>
      </c>
      <c r="E2953" s="4">
        <v>57</v>
      </c>
      <c r="G2953">
        <f t="shared" si="46"/>
        <v>512</v>
      </c>
    </row>
    <row r="2954" spans="2:7" ht="15" hidden="1" x14ac:dyDescent="0.25">
      <c r="B2954" s="4">
        <v>584632157</v>
      </c>
      <c r="C2954" s="4" t="s">
        <v>269</v>
      </c>
      <c r="D2954" s="4">
        <v>428</v>
      </c>
      <c r="E2954" s="4">
        <v>57</v>
      </c>
      <c r="G2954">
        <f t="shared" si="46"/>
        <v>512</v>
      </c>
    </row>
    <row r="2955" spans="2:7" ht="15" hidden="1" x14ac:dyDescent="0.25">
      <c r="B2955" s="4">
        <v>584632158</v>
      </c>
      <c r="C2955" s="4" t="s">
        <v>269</v>
      </c>
      <c r="D2955" s="4">
        <v>429</v>
      </c>
      <c r="E2955" s="4">
        <v>57</v>
      </c>
      <c r="G2955">
        <f t="shared" si="46"/>
        <v>512</v>
      </c>
    </row>
    <row r="2956" spans="2:7" ht="15" hidden="1" x14ac:dyDescent="0.25">
      <c r="B2956" s="4">
        <v>584632158</v>
      </c>
      <c r="C2956" s="4" t="s">
        <v>272</v>
      </c>
      <c r="D2956" s="4">
        <v>31</v>
      </c>
      <c r="E2956" s="4">
        <v>225</v>
      </c>
      <c r="G2956">
        <f t="shared" si="46"/>
        <v>1856</v>
      </c>
    </row>
    <row r="2957" spans="2:7" ht="15" hidden="1" x14ac:dyDescent="0.25">
      <c r="B2957" s="4">
        <v>584632159</v>
      </c>
      <c r="C2957" s="4" t="s">
        <v>269</v>
      </c>
      <c r="D2957" s="4">
        <v>430</v>
      </c>
      <c r="E2957" s="4">
        <v>57</v>
      </c>
      <c r="G2957">
        <f t="shared" si="46"/>
        <v>512</v>
      </c>
    </row>
    <row r="2958" spans="2:7" ht="15" hidden="1" x14ac:dyDescent="0.25">
      <c r="B2958" s="4">
        <v>584632160</v>
      </c>
      <c r="C2958" s="4" t="s">
        <v>269</v>
      </c>
      <c r="D2958" s="4">
        <v>431</v>
      </c>
      <c r="E2958" s="4">
        <v>57</v>
      </c>
      <c r="G2958">
        <f t="shared" si="46"/>
        <v>512</v>
      </c>
    </row>
    <row r="2959" spans="2:7" ht="15" hidden="1" x14ac:dyDescent="0.25">
      <c r="B2959" s="4">
        <v>584632161</v>
      </c>
      <c r="C2959" s="4" t="s">
        <v>269</v>
      </c>
      <c r="D2959" s="4">
        <v>432</v>
      </c>
      <c r="E2959" s="4">
        <v>57</v>
      </c>
      <c r="G2959">
        <f t="shared" si="46"/>
        <v>512</v>
      </c>
    </row>
    <row r="2960" spans="2:7" ht="15" hidden="1" x14ac:dyDescent="0.25">
      <c r="B2960" s="4">
        <v>584632162</v>
      </c>
      <c r="C2960" s="4" t="s">
        <v>269</v>
      </c>
      <c r="D2960" s="4">
        <v>433</v>
      </c>
      <c r="E2960" s="4">
        <v>57</v>
      </c>
      <c r="G2960">
        <f t="shared" si="46"/>
        <v>512</v>
      </c>
    </row>
    <row r="2961" spans="2:7" ht="15" hidden="1" x14ac:dyDescent="0.25">
      <c r="B2961" s="4">
        <v>584632163</v>
      </c>
      <c r="C2961" s="4" t="s">
        <v>269</v>
      </c>
      <c r="D2961" s="4">
        <v>434</v>
      </c>
      <c r="E2961" s="4">
        <v>57</v>
      </c>
      <c r="G2961">
        <f t="shared" si="46"/>
        <v>512</v>
      </c>
    </row>
    <row r="2962" spans="2:7" ht="15" hidden="1" x14ac:dyDescent="0.25">
      <c r="B2962" s="4">
        <v>584632164</v>
      </c>
      <c r="C2962" s="4" t="s">
        <v>269</v>
      </c>
      <c r="D2962" s="4">
        <v>435</v>
      </c>
      <c r="E2962" s="4">
        <v>57</v>
      </c>
      <c r="G2962">
        <f t="shared" si="46"/>
        <v>512</v>
      </c>
    </row>
    <row r="2963" spans="2:7" ht="15" hidden="1" x14ac:dyDescent="0.25">
      <c r="B2963" s="4">
        <v>584632165</v>
      </c>
      <c r="C2963" s="4" t="s">
        <v>269</v>
      </c>
      <c r="D2963" s="4">
        <v>436</v>
      </c>
      <c r="E2963" s="4">
        <v>57</v>
      </c>
      <c r="G2963">
        <f t="shared" si="46"/>
        <v>512</v>
      </c>
    </row>
    <row r="2964" spans="2:7" ht="15" hidden="1" x14ac:dyDescent="0.25">
      <c r="B2964" s="4">
        <v>584632166</v>
      </c>
      <c r="C2964" s="4" t="s">
        <v>269</v>
      </c>
      <c r="D2964" s="4">
        <v>437</v>
      </c>
      <c r="E2964" s="4">
        <v>57</v>
      </c>
      <c r="G2964">
        <f t="shared" si="46"/>
        <v>512</v>
      </c>
    </row>
    <row r="2965" spans="2:7" ht="15" hidden="1" x14ac:dyDescent="0.25">
      <c r="B2965" s="4">
        <v>584632167</v>
      </c>
      <c r="C2965" s="4" t="s">
        <v>269</v>
      </c>
      <c r="D2965" s="4">
        <v>438</v>
      </c>
      <c r="E2965" s="4">
        <v>57</v>
      </c>
      <c r="G2965">
        <f t="shared" si="46"/>
        <v>512</v>
      </c>
    </row>
    <row r="2966" spans="2:7" ht="15" hidden="1" x14ac:dyDescent="0.25">
      <c r="B2966" s="4">
        <v>584632168</v>
      </c>
      <c r="C2966" s="4" t="s">
        <v>269</v>
      </c>
      <c r="D2966" s="4">
        <v>439</v>
      </c>
      <c r="E2966" s="4">
        <v>57</v>
      </c>
      <c r="G2966">
        <f t="shared" si="46"/>
        <v>512</v>
      </c>
    </row>
    <row r="2967" spans="2:7" ht="15" hidden="1" x14ac:dyDescent="0.25">
      <c r="B2967" s="4">
        <v>584632168</v>
      </c>
      <c r="C2967" s="4" t="s">
        <v>272</v>
      </c>
      <c r="D2967" s="4">
        <v>32</v>
      </c>
      <c r="E2967" s="4">
        <v>225</v>
      </c>
      <c r="G2967">
        <f t="shared" si="46"/>
        <v>1856</v>
      </c>
    </row>
    <row r="2968" spans="2:7" ht="15" hidden="1" x14ac:dyDescent="0.25">
      <c r="B2968" s="4">
        <v>584632169</v>
      </c>
      <c r="C2968" s="4" t="s">
        <v>269</v>
      </c>
      <c r="D2968" s="4">
        <v>440</v>
      </c>
      <c r="E2968" s="4">
        <v>57</v>
      </c>
      <c r="G2968">
        <f t="shared" si="46"/>
        <v>512</v>
      </c>
    </row>
    <row r="2969" spans="2:7" ht="15" hidden="1" x14ac:dyDescent="0.25">
      <c r="B2969" s="4">
        <v>584632170</v>
      </c>
      <c r="C2969" s="4" t="s">
        <v>269</v>
      </c>
      <c r="D2969" s="4">
        <v>441</v>
      </c>
      <c r="E2969" s="4">
        <v>57</v>
      </c>
      <c r="G2969">
        <f t="shared" si="46"/>
        <v>512</v>
      </c>
    </row>
    <row r="2970" spans="2:7" ht="15" hidden="1" x14ac:dyDescent="0.25">
      <c r="B2970" s="4">
        <v>584632171</v>
      </c>
      <c r="C2970" s="4" t="s">
        <v>269</v>
      </c>
      <c r="D2970" s="4">
        <v>442</v>
      </c>
      <c r="E2970" s="4">
        <v>57</v>
      </c>
      <c r="G2970">
        <f t="shared" si="46"/>
        <v>512</v>
      </c>
    </row>
    <row r="2971" spans="2:7" ht="15" hidden="1" x14ac:dyDescent="0.25">
      <c r="B2971" s="4">
        <v>584632172</v>
      </c>
      <c r="C2971" s="4" t="s">
        <v>269</v>
      </c>
      <c r="D2971" s="4">
        <v>443</v>
      </c>
      <c r="E2971" s="4">
        <v>57</v>
      </c>
      <c r="G2971">
        <f t="shared" si="46"/>
        <v>512</v>
      </c>
    </row>
    <row r="2972" spans="2:7" ht="15" hidden="1" x14ac:dyDescent="0.25">
      <c r="B2972" s="4">
        <v>584632173</v>
      </c>
      <c r="C2972" s="4" t="s">
        <v>269</v>
      </c>
      <c r="D2972" s="4">
        <v>444</v>
      </c>
      <c r="E2972" s="4">
        <v>57</v>
      </c>
      <c r="G2972">
        <f t="shared" si="46"/>
        <v>512</v>
      </c>
    </row>
    <row r="2973" spans="2:7" ht="15" hidden="1" x14ac:dyDescent="0.25">
      <c r="B2973" s="4">
        <v>584632174</v>
      </c>
      <c r="C2973" s="4" t="s">
        <v>269</v>
      </c>
      <c r="D2973" s="4">
        <v>445</v>
      </c>
      <c r="E2973" s="4">
        <v>57</v>
      </c>
      <c r="G2973">
        <f t="shared" si="46"/>
        <v>512</v>
      </c>
    </row>
    <row r="2974" spans="2:7" ht="15" hidden="1" x14ac:dyDescent="0.25">
      <c r="B2974" s="4">
        <v>584632175</v>
      </c>
      <c r="C2974" s="4" t="s">
        <v>269</v>
      </c>
      <c r="D2974" s="4">
        <v>446</v>
      </c>
      <c r="E2974" s="4">
        <v>57</v>
      </c>
      <c r="G2974">
        <f t="shared" si="46"/>
        <v>512</v>
      </c>
    </row>
    <row r="2975" spans="2:7" ht="15" hidden="1" x14ac:dyDescent="0.25">
      <c r="B2975" s="4">
        <v>584632176</v>
      </c>
      <c r="C2975" s="4" t="s">
        <v>268</v>
      </c>
      <c r="D2975" s="4">
        <v>186</v>
      </c>
      <c r="E2975" s="4">
        <v>6</v>
      </c>
      <c r="G2975">
        <f t="shared" si="46"/>
        <v>104</v>
      </c>
    </row>
    <row r="2976" spans="2:7" ht="15" hidden="1" x14ac:dyDescent="0.25">
      <c r="B2976" s="4">
        <v>584632176</v>
      </c>
      <c r="C2976" s="4" t="s">
        <v>268</v>
      </c>
      <c r="D2976" s="4">
        <v>186</v>
      </c>
      <c r="E2976" s="4">
        <v>6</v>
      </c>
      <c r="G2976">
        <f t="shared" si="46"/>
        <v>104</v>
      </c>
    </row>
    <row r="2977" spans="2:7" ht="15" hidden="1" x14ac:dyDescent="0.25">
      <c r="B2977" s="4">
        <v>584632176</v>
      </c>
      <c r="C2977" s="4" t="s">
        <v>268</v>
      </c>
      <c r="D2977" s="4">
        <v>187</v>
      </c>
      <c r="E2977" s="4">
        <v>9</v>
      </c>
      <c r="G2977">
        <f t="shared" si="46"/>
        <v>128</v>
      </c>
    </row>
    <row r="2978" spans="2:7" ht="15" hidden="1" x14ac:dyDescent="0.25">
      <c r="B2978" s="4">
        <v>584632176</v>
      </c>
      <c r="C2978" s="4" t="s">
        <v>268</v>
      </c>
      <c r="D2978" s="4">
        <v>187</v>
      </c>
      <c r="E2978" s="4">
        <v>9</v>
      </c>
      <c r="G2978">
        <f t="shared" si="46"/>
        <v>128</v>
      </c>
    </row>
    <row r="2979" spans="2:7" ht="15" hidden="1" x14ac:dyDescent="0.25">
      <c r="B2979" s="4">
        <v>584632176</v>
      </c>
      <c r="C2979" s="4" t="s">
        <v>268</v>
      </c>
      <c r="D2979" s="4">
        <v>188</v>
      </c>
      <c r="E2979" s="4">
        <v>7</v>
      </c>
      <c r="G2979">
        <f t="shared" si="46"/>
        <v>112</v>
      </c>
    </row>
    <row r="2980" spans="2:7" ht="15" hidden="1" x14ac:dyDescent="0.25">
      <c r="B2980" s="4">
        <v>584632176</v>
      </c>
      <c r="C2980" s="4" t="s">
        <v>268</v>
      </c>
      <c r="D2980" s="4">
        <v>188</v>
      </c>
      <c r="E2980" s="4">
        <v>7</v>
      </c>
      <c r="G2980">
        <f t="shared" si="46"/>
        <v>112</v>
      </c>
    </row>
    <row r="2981" spans="2:7" ht="15" hidden="1" x14ac:dyDescent="0.25">
      <c r="B2981" s="4">
        <v>584632176</v>
      </c>
      <c r="C2981" s="4" t="s">
        <v>268</v>
      </c>
      <c r="D2981" s="4">
        <v>189</v>
      </c>
      <c r="E2981" s="4">
        <v>7</v>
      </c>
      <c r="G2981">
        <f t="shared" si="46"/>
        <v>112</v>
      </c>
    </row>
    <row r="2982" spans="2:7" ht="15" hidden="1" x14ac:dyDescent="0.25">
      <c r="B2982" s="4">
        <v>584632176</v>
      </c>
      <c r="C2982" s="4" t="s">
        <v>268</v>
      </c>
      <c r="D2982" s="4">
        <v>189</v>
      </c>
      <c r="E2982" s="4">
        <v>7</v>
      </c>
      <c r="G2982">
        <f t="shared" si="46"/>
        <v>112</v>
      </c>
    </row>
    <row r="2983" spans="2:7" ht="15" hidden="1" x14ac:dyDescent="0.25">
      <c r="B2983" s="4">
        <v>584632176</v>
      </c>
      <c r="C2983" s="4" t="s">
        <v>268</v>
      </c>
      <c r="D2983" s="4">
        <v>190</v>
      </c>
      <c r="E2983" s="4">
        <v>7</v>
      </c>
      <c r="G2983">
        <f t="shared" si="46"/>
        <v>112</v>
      </c>
    </row>
    <row r="2984" spans="2:7" ht="15" hidden="1" x14ac:dyDescent="0.25">
      <c r="B2984" s="4">
        <v>584632176</v>
      </c>
      <c r="C2984" s="4" t="s">
        <v>268</v>
      </c>
      <c r="D2984" s="4">
        <v>190</v>
      </c>
      <c r="E2984" s="4">
        <v>7</v>
      </c>
      <c r="G2984">
        <f t="shared" si="46"/>
        <v>112</v>
      </c>
    </row>
    <row r="2985" spans="2:7" ht="15" hidden="1" x14ac:dyDescent="0.25">
      <c r="B2985" s="4">
        <v>584632176</v>
      </c>
      <c r="C2985" s="4" t="s">
        <v>269</v>
      </c>
      <c r="D2985" s="4">
        <v>447</v>
      </c>
      <c r="E2985" s="4">
        <v>57</v>
      </c>
      <c r="G2985">
        <f t="shared" si="46"/>
        <v>512</v>
      </c>
    </row>
    <row r="2986" spans="2:7" ht="15" hidden="1" x14ac:dyDescent="0.25">
      <c r="B2986" s="4">
        <v>584632177</v>
      </c>
      <c r="C2986" s="4" t="s">
        <v>269</v>
      </c>
      <c r="D2986" s="4">
        <v>448</v>
      </c>
      <c r="E2986" s="4">
        <v>57</v>
      </c>
      <c r="G2986">
        <f t="shared" si="46"/>
        <v>512</v>
      </c>
    </row>
    <row r="2987" spans="2:7" ht="15" hidden="1" x14ac:dyDescent="0.25">
      <c r="B2987" s="4">
        <v>584632178</v>
      </c>
      <c r="C2987" s="4" t="s">
        <v>268</v>
      </c>
      <c r="D2987" s="4">
        <v>191</v>
      </c>
      <c r="E2987" s="4">
        <v>7</v>
      </c>
      <c r="G2987">
        <f t="shared" si="46"/>
        <v>112</v>
      </c>
    </row>
    <row r="2988" spans="2:7" ht="15" hidden="1" x14ac:dyDescent="0.25">
      <c r="B2988" s="4">
        <v>584632178</v>
      </c>
      <c r="C2988" s="4" t="s">
        <v>268</v>
      </c>
      <c r="D2988" s="4">
        <v>191</v>
      </c>
      <c r="E2988" s="4">
        <v>7</v>
      </c>
      <c r="G2988">
        <f t="shared" si="46"/>
        <v>112</v>
      </c>
    </row>
    <row r="2989" spans="2:7" ht="15" hidden="1" x14ac:dyDescent="0.25">
      <c r="B2989" s="4">
        <v>584632178</v>
      </c>
      <c r="C2989" s="4" t="s">
        <v>268</v>
      </c>
      <c r="D2989" s="4">
        <v>192</v>
      </c>
      <c r="E2989" s="4">
        <v>5</v>
      </c>
      <c r="G2989">
        <f t="shared" si="46"/>
        <v>96</v>
      </c>
    </row>
    <row r="2990" spans="2:7" ht="15" hidden="1" x14ac:dyDescent="0.25">
      <c r="B2990" s="4">
        <v>584632178</v>
      </c>
      <c r="C2990" s="4" t="s">
        <v>268</v>
      </c>
      <c r="D2990" s="4">
        <v>192</v>
      </c>
      <c r="E2990" s="4">
        <v>5</v>
      </c>
      <c r="G2990">
        <f t="shared" si="46"/>
        <v>96</v>
      </c>
    </row>
    <row r="2991" spans="2:7" ht="15" hidden="1" x14ac:dyDescent="0.25">
      <c r="B2991" s="4">
        <v>584632178</v>
      </c>
      <c r="C2991" s="4" t="s">
        <v>268</v>
      </c>
      <c r="D2991" s="4">
        <v>193</v>
      </c>
      <c r="E2991" s="4">
        <v>7</v>
      </c>
      <c r="G2991">
        <f t="shared" si="46"/>
        <v>112</v>
      </c>
    </row>
    <row r="2992" spans="2:7" ht="15" hidden="1" x14ac:dyDescent="0.25">
      <c r="B2992" s="4">
        <v>584632178</v>
      </c>
      <c r="C2992" s="4" t="s">
        <v>268</v>
      </c>
      <c r="D2992" s="4">
        <v>193</v>
      </c>
      <c r="E2992" s="4">
        <v>7</v>
      </c>
      <c r="G2992">
        <f t="shared" si="46"/>
        <v>112</v>
      </c>
    </row>
    <row r="2993" spans="2:7" ht="15" hidden="1" x14ac:dyDescent="0.25">
      <c r="B2993" s="4">
        <v>584632178</v>
      </c>
      <c r="C2993" s="4" t="s">
        <v>269</v>
      </c>
      <c r="D2993" s="4">
        <v>449</v>
      </c>
      <c r="E2993" s="4">
        <v>57</v>
      </c>
      <c r="G2993">
        <f t="shared" si="46"/>
        <v>512</v>
      </c>
    </row>
    <row r="2994" spans="2:7" ht="15" hidden="1" x14ac:dyDescent="0.25">
      <c r="B2994" s="4">
        <v>584632178</v>
      </c>
      <c r="C2994" s="4" t="s">
        <v>272</v>
      </c>
      <c r="D2994" s="4">
        <v>33</v>
      </c>
      <c r="E2994" s="4">
        <v>225</v>
      </c>
      <c r="G2994">
        <f t="shared" si="46"/>
        <v>1856</v>
      </c>
    </row>
    <row r="2995" spans="2:7" ht="15" hidden="1" x14ac:dyDescent="0.25">
      <c r="B2995" s="4">
        <v>584632179</v>
      </c>
      <c r="C2995" s="4" t="s">
        <v>269</v>
      </c>
      <c r="D2995" s="4">
        <v>450</v>
      </c>
      <c r="E2995" s="4">
        <v>57</v>
      </c>
      <c r="G2995">
        <f t="shared" si="46"/>
        <v>512</v>
      </c>
    </row>
    <row r="2996" spans="2:7" ht="15" hidden="1" x14ac:dyDescent="0.25">
      <c r="B2996" s="4">
        <v>584632180</v>
      </c>
      <c r="C2996" s="4" t="s">
        <v>269</v>
      </c>
      <c r="D2996" s="4">
        <v>451</v>
      </c>
      <c r="E2996" s="4">
        <v>57</v>
      </c>
      <c r="G2996">
        <f t="shared" si="46"/>
        <v>512</v>
      </c>
    </row>
    <row r="2997" spans="2:7" ht="15" hidden="1" x14ac:dyDescent="0.25">
      <c r="B2997" s="4">
        <v>584632181</v>
      </c>
      <c r="C2997" s="4" t="s">
        <v>269</v>
      </c>
      <c r="D2997" s="4">
        <v>452</v>
      </c>
      <c r="E2997" s="4">
        <v>57</v>
      </c>
      <c r="G2997">
        <f t="shared" si="46"/>
        <v>512</v>
      </c>
    </row>
    <row r="2998" spans="2:7" ht="15" hidden="1" x14ac:dyDescent="0.25">
      <c r="B2998" s="4">
        <v>584632182</v>
      </c>
      <c r="C2998" s="4" t="s">
        <v>269</v>
      </c>
      <c r="D2998" s="4">
        <v>453</v>
      </c>
      <c r="E2998" s="4">
        <v>57</v>
      </c>
      <c r="G2998">
        <f t="shared" si="46"/>
        <v>512</v>
      </c>
    </row>
    <row r="2999" spans="2:7" ht="15" hidden="1" x14ac:dyDescent="0.25">
      <c r="B2999" s="4">
        <v>584632183</v>
      </c>
      <c r="C2999" s="4" t="s">
        <v>269</v>
      </c>
      <c r="D2999" s="4">
        <v>454</v>
      </c>
      <c r="E2999" s="4">
        <v>57</v>
      </c>
      <c r="G2999">
        <f t="shared" si="46"/>
        <v>512</v>
      </c>
    </row>
    <row r="3000" spans="2:7" ht="15" hidden="1" x14ac:dyDescent="0.25">
      <c r="B3000" s="4">
        <v>584632184</v>
      </c>
      <c r="C3000" s="4" t="s">
        <v>269</v>
      </c>
      <c r="D3000" s="4">
        <v>455</v>
      </c>
      <c r="E3000" s="4">
        <v>57</v>
      </c>
      <c r="G3000">
        <f t="shared" si="46"/>
        <v>512</v>
      </c>
    </row>
    <row r="3001" spans="2:7" ht="15" hidden="1" x14ac:dyDescent="0.25">
      <c r="B3001" s="4">
        <v>584632185</v>
      </c>
      <c r="C3001" s="4" t="s">
        <v>269</v>
      </c>
      <c r="D3001" s="4">
        <v>456</v>
      </c>
      <c r="E3001" s="4">
        <v>57</v>
      </c>
      <c r="G3001">
        <f t="shared" si="46"/>
        <v>512</v>
      </c>
    </row>
    <row r="3002" spans="2:7" ht="15" hidden="1" x14ac:dyDescent="0.25">
      <c r="B3002" s="4">
        <v>584632186</v>
      </c>
      <c r="C3002" s="4" t="s">
        <v>269</v>
      </c>
      <c r="D3002" s="4">
        <v>457</v>
      </c>
      <c r="E3002" s="4">
        <v>57</v>
      </c>
      <c r="G3002">
        <f t="shared" si="46"/>
        <v>512</v>
      </c>
    </row>
    <row r="3003" spans="2:7" ht="15" hidden="1" x14ac:dyDescent="0.25">
      <c r="B3003" s="4">
        <v>584632187</v>
      </c>
      <c r="C3003" s="4" t="s">
        <v>269</v>
      </c>
      <c r="D3003" s="4">
        <v>458</v>
      </c>
      <c r="E3003" s="4">
        <v>57</v>
      </c>
      <c r="G3003">
        <f t="shared" si="46"/>
        <v>512</v>
      </c>
    </row>
    <row r="3004" spans="2:7" ht="15" hidden="1" x14ac:dyDescent="0.25">
      <c r="B3004" s="4">
        <v>584632188</v>
      </c>
      <c r="C3004" s="4" t="s">
        <v>269</v>
      </c>
      <c r="D3004" s="4">
        <v>459</v>
      </c>
      <c r="E3004" s="4">
        <v>57</v>
      </c>
      <c r="G3004">
        <f t="shared" si="46"/>
        <v>512</v>
      </c>
    </row>
    <row r="3005" spans="2:7" ht="15" hidden="1" x14ac:dyDescent="0.25">
      <c r="B3005" s="4">
        <v>584632188</v>
      </c>
      <c r="C3005" s="4" t="s">
        <v>272</v>
      </c>
      <c r="D3005" s="4">
        <v>34</v>
      </c>
      <c r="E3005" s="4">
        <v>223</v>
      </c>
      <c r="G3005">
        <f t="shared" si="46"/>
        <v>1840</v>
      </c>
    </row>
    <row r="3006" spans="2:7" ht="15" hidden="1" x14ac:dyDescent="0.25">
      <c r="B3006" s="4">
        <v>584632189</v>
      </c>
      <c r="C3006" s="4" t="s">
        <v>269</v>
      </c>
      <c r="D3006" s="4">
        <v>460</v>
      </c>
      <c r="E3006" s="4">
        <v>57</v>
      </c>
      <c r="G3006">
        <f t="shared" si="46"/>
        <v>512</v>
      </c>
    </row>
    <row r="3007" spans="2:7" ht="15" hidden="1" x14ac:dyDescent="0.25">
      <c r="B3007" s="4">
        <v>584632190</v>
      </c>
      <c r="C3007" s="4" t="s">
        <v>269</v>
      </c>
      <c r="D3007" s="4">
        <v>461</v>
      </c>
      <c r="E3007" s="4">
        <v>57</v>
      </c>
      <c r="G3007">
        <f t="shared" si="46"/>
        <v>512</v>
      </c>
    </row>
    <row r="3008" spans="2:7" ht="15" hidden="1" x14ac:dyDescent="0.25">
      <c r="B3008" s="4">
        <v>584632191</v>
      </c>
      <c r="C3008" s="4" t="s">
        <v>269</v>
      </c>
      <c r="D3008" s="4">
        <v>462</v>
      </c>
      <c r="E3008" s="4">
        <v>57</v>
      </c>
      <c r="G3008">
        <f t="shared" si="46"/>
        <v>512</v>
      </c>
    </row>
    <row r="3009" spans="2:7" ht="15" hidden="1" x14ac:dyDescent="0.25">
      <c r="B3009" s="4">
        <v>584632192</v>
      </c>
      <c r="C3009" s="4" t="s">
        <v>269</v>
      </c>
      <c r="D3009" s="4">
        <v>463</v>
      </c>
      <c r="E3009" s="4">
        <v>57</v>
      </c>
      <c r="G3009">
        <f t="shared" si="46"/>
        <v>512</v>
      </c>
    </row>
    <row r="3010" spans="2:7" ht="15" hidden="1" x14ac:dyDescent="0.25">
      <c r="B3010" s="4">
        <v>584632193</v>
      </c>
      <c r="C3010" s="4" t="s">
        <v>269</v>
      </c>
      <c r="D3010" s="4">
        <v>464</v>
      </c>
      <c r="E3010" s="4">
        <v>57</v>
      </c>
      <c r="G3010">
        <f t="shared" si="46"/>
        <v>512</v>
      </c>
    </row>
    <row r="3011" spans="2:7" ht="15" hidden="1" x14ac:dyDescent="0.25">
      <c r="B3011" s="4">
        <v>584632194</v>
      </c>
      <c r="C3011" s="4" t="s">
        <v>269</v>
      </c>
      <c r="D3011" s="4">
        <v>465</v>
      </c>
      <c r="E3011" s="4">
        <v>57</v>
      </c>
      <c r="G3011">
        <f t="shared" si="46"/>
        <v>512</v>
      </c>
    </row>
    <row r="3012" spans="2:7" ht="15" hidden="1" x14ac:dyDescent="0.25">
      <c r="B3012" s="4">
        <v>584632195</v>
      </c>
      <c r="C3012" s="4" t="s">
        <v>269</v>
      </c>
      <c r="D3012" s="4">
        <v>466</v>
      </c>
      <c r="E3012" s="4">
        <v>57</v>
      </c>
      <c r="G3012">
        <f t="shared" ref="G3012:G3075" si="47">(E3012+7)*8</f>
        <v>512</v>
      </c>
    </row>
    <row r="3013" spans="2:7" ht="15" hidden="1" x14ac:dyDescent="0.25">
      <c r="B3013" s="4">
        <v>584632196</v>
      </c>
      <c r="C3013" s="4" t="s">
        <v>269</v>
      </c>
      <c r="D3013" s="4">
        <v>467</v>
      </c>
      <c r="E3013" s="4">
        <v>57</v>
      </c>
      <c r="G3013">
        <f t="shared" si="47"/>
        <v>512</v>
      </c>
    </row>
    <row r="3014" spans="2:7" ht="15" hidden="1" x14ac:dyDescent="0.25">
      <c r="B3014" s="4">
        <v>584632197</v>
      </c>
      <c r="C3014" s="4" t="s">
        <v>269</v>
      </c>
      <c r="D3014" s="4">
        <v>468</v>
      </c>
      <c r="E3014" s="4">
        <v>57</v>
      </c>
      <c r="G3014">
        <f t="shared" si="47"/>
        <v>512</v>
      </c>
    </row>
    <row r="3015" spans="2:7" ht="15" hidden="1" x14ac:dyDescent="0.25">
      <c r="B3015" s="4">
        <v>584632198</v>
      </c>
      <c r="C3015" s="4" t="s">
        <v>269</v>
      </c>
      <c r="D3015" s="4">
        <v>469</v>
      </c>
      <c r="E3015" s="4">
        <v>57</v>
      </c>
      <c r="G3015">
        <f t="shared" si="47"/>
        <v>512</v>
      </c>
    </row>
    <row r="3016" spans="2:7" ht="15" hidden="1" x14ac:dyDescent="0.25">
      <c r="B3016" s="4">
        <v>584632198</v>
      </c>
      <c r="C3016" s="4" t="s">
        <v>272</v>
      </c>
      <c r="D3016" s="4">
        <v>35</v>
      </c>
      <c r="E3016" s="4">
        <v>225</v>
      </c>
      <c r="G3016">
        <f t="shared" si="47"/>
        <v>1856</v>
      </c>
    </row>
    <row r="3017" spans="2:7" ht="15" hidden="1" x14ac:dyDescent="0.25">
      <c r="B3017" s="4">
        <v>584632199</v>
      </c>
      <c r="C3017" s="4" t="s">
        <v>269</v>
      </c>
      <c r="D3017" s="4">
        <v>470</v>
      </c>
      <c r="E3017" s="4">
        <v>57</v>
      </c>
      <c r="G3017">
        <f t="shared" si="47"/>
        <v>512</v>
      </c>
    </row>
    <row r="3018" spans="2:7" ht="15" hidden="1" x14ac:dyDescent="0.25">
      <c r="B3018" s="4">
        <v>584632200</v>
      </c>
      <c r="C3018" s="4" t="s">
        <v>269</v>
      </c>
      <c r="D3018" s="4">
        <v>471</v>
      </c>
      <c r="E3018" s="4">
        <v>57</v>
      </c>
      <c r="G3018">
        <f t="shared" si="47"/>
        <v>512</v>
      </c>
    </row>
    <row r="3019" spans="2:7" ht="15" hidden="1" x14ac:dyDescent="0.25">
      <c r="B3019" s="4">
        <v>584632201</v>
      </c>
      <c r="C3019" s="4" t="s">
        <v>269</v>
      </c>
      <c r="D3019" s="4">
        <v>472</v>
      </c>
      <c r="E3019" s="4">
        <v>57</v>
      </c>
      <c r="G3019">
        <f t="shared" si="47"/>
        <v>512</v>
      </c>
    </row>
    <row r="3020" spans="2:7" ht="15" hidden="1" x14ac:dyDescent="0.25">
      <c r="B3020" s="4">
        <v>584632202</v>
      </c>
      <c r="C3020" s="4" t="s">
        <v>269</v>
      </c>
      <c r="D3020" s="4">
        <v>473</v>
      </c>
      <c r="E3020" s="4">
        <v>57</v>
      </c>
      <c r="G3020">
        <f t="shared" si="47"/>
        <v>512</v>
      </c>
    </row>
    <row r="3021" spans="2:7" ht="15" hidden="1" x14ac:dyDescent="0.25">
      <c r="B3021" s="4">
        <v>584632203</v>
      </c>
      <c r="C3021" s="4" t="s">
        <v>269</v>
      </c>
      <c r="D3021" s="4">
        <v>474</v>
      </c>
      <c r="E3021" s="4">
        <v>57</v>
      </c>
      <c r="G3021">
        <f t="shared" si="47"/>
        <v>512</v>
      </c>
    </row>
    <row r="3022" spans="2:7" ht="15" hidden="1" x14ac:dyDescent="0.25">
      <c r="B3022" s="4">
        <v>584632204</v>
      </c>
      <c r="C3022" s="4" t="s">
        <v>269</v>
      </c>
      <c r="D3022" s="4">
        <v>475</v>
      </c>
      <c r="E3022" s="4">
        <v>57</v>
      </c>
      <c r="G3022">
        <f t="shared" si="47"/>
        <v>512</v>
      </c>
    </row>
    <row r="3023" spans="2:7" ht="15" hidden="1" x14ac:dyDescent="0.25">
      <c r="B3023" s="4">
        <v>584632205</v>
      </c>
      <c r="C3023" s="4" t="s">
        <v>269</v>
      </c>
      <c r="D3023" s="4">
        <v>476</v>
      </c>
      <c r="E3023" s="4">
        <v>57</v>
      </c>
      <c r="G3023">
        <f t="shared" si="47"/>
        <v>512</v>
      </c>
    </row>
    <row r="3024" spans="2:7" ht="15" hidden="1" x14ac:dyDescent="0.25">
      <c r="B3024" s="4">
        <v>584632206</v>
      </c>
      <c r="C3024" s="4" t="s">
        <v>269</v>
      </c>
      <c r="D3024" s="4">
        <v>477</v>
      </c>
      <c r="E3024" s="4">
        <v>57</v>
      </c>
      <c r="G3024">
        <f t="shared" si="47"/>
        <v>512</v>
      </c>
    </row>
    <row r="3025" spans="2:7" ht="15" hidden="1" x14ac:dyDescent="0.25">
      <c r="B3025" s="4">
        <v>584632207</v>
      </c>
      <c r="C3025" s="4" t="s">
        <v>269</v>
      </c>
      <c r="D3025" s="4">
        <v>478</v>
      </c>
      <c r="E3025" s="4">
        <v>57</v>
      </c>
      <c r="G3025">
        <f t="shared" si="47"/>
        <v>512</v>
      </c>
    </row>
    <row r="3026" spans="2:7" ht="15" hidden="1" x14ac:dyDescent="0.25">
      <c r="B3026" s="4">
        <v>584632208</v>
      </c>
      <c r="C3026" s="4" t="s">
        <v>269</v>
      </c>
      <c r="D3026" s="4">
        <v>479</v>
      </c>
      <c r="E3026" s="4">
        <v>57</v>
      </c>
      <c r="G3026">
        <f t="shared" si="47"/>
        <v>512</v>
      </c>
    </row>
    <row r="3027" spans="2:7" ht="15" hidden="1" x14ac:dyDescent="0.25">
      <c r="B3027" s="4">
        <v>584632208</v>
      </c>
      <c r="C3027" s="4" t="s">
        <v>272</v>
      </c>
      <c r="D3027" s="4">
        <v>36</v>
      </c>
      <c r="E3027" s="4">
        <v>223</v>
      </c>
      <c r="G3027">
        <f t="shared" si="47"/>
        <v>1840</v>
      </c>
    </row>
    <row r="3028" spans="2:7" ht="15" hidden="1" x14ac:dyDescent="0.25">
      <c r="B3028" s="4">
        <v>584632209</v>
      </c>
      <c r="C3028" s="4" t="s">
        <v>269</v>
      </c>
      <c r="D3028" s="4">
        <v>480</v>
      </c>
      <c r="E3028" s="4">
        <v>57</v>
      </c>
      <c r="G3028">
        <f t="shared" si="47"/>
        <v>512</v>
      </c>
    </row>
    <row r="3029" spans="2:7" ht="15" hidden="1" x14ac:dyDescent="0.25">
      <c r="B3029" s="4">
        <v>584632210</v>
      </c>
      <c r="C3029" s="4" t="s">
        <v>269</v>
      </c>
      <c r="D3029" s="4">
        <v>481</v>
      </c>
      <c r="E3029" s="4">
        <v>57</v>
      </c>
      <c r="G3029">
        <f t="shared" si="47"/>
        <v>512</v>
      </c>
    </row>
    <row r="3030" spans="2:7" ht="15" hidden="1" x14ac:dyDescent="0.25">
      <c r="B3030" s="4">
        <v>584632211</v>
      </c>
      <c r="C3030" s="4" t="s">
        <v>269</v>
      </c>
      <c r="D3030" s="4">
        <v>482</v>
      </c>
      <c r="E3030" s="4">
        <v>57</v>
      </c>
      <c r="G3030">
        <f t="shared" si="47"/>
        <v>512</v>
      </c>
    </row>
    <row r="3031" spans="2:7" ht="15" hidden="1" x14ac:dyDescent="0.25">
      <c r="B3031" s="4">
        <v>584632212</v>
      </c>
      <c r="C3031" s="4" t="s">
        <v>269</v>
      </c>
      <c r="D3031" s="4">
        <v>483</v>
      </c>
      <c r="E3031" s="4">
        <v>57</v>
      </c>
      <c r="G3031">
        <f t="shared" si="47"/>
        <v>512</v>
      </c>
    </row>
    <row r="3032" spans="2:7" ht="15" hidden="1" x14ac:dyDescent="0.25">
      <c r="B3032" s="4">
        <v>584632213</v>
      </c>
      <c r="C3032" s="4" t="s">
        <v>269</v>
      </c>
      <c r="D3032" s="4">
        <v>484</v>
      </c>
      <c r="E3032" s="4">
        <v>57</v>
      </c>
      <c r="G3032">
        <f t="shared" si="47"/>
        <v>512</v>
      </c>
    </row>
    <row r="3033" spans="2:7" ht="15" hidden="1" x14ac:dyDescent="0.25">
      <c r="B3033" s="4">
        <v>584632214</v>
      </c>
      <c r="C3033" s="4" t="s">
        <v>269</v>
      </c>
      <c r="D3033" s="4">
        <v>485</v>
      </c>
      <c r="E3033" s="4">
        <v>57</v>
      </c>
      <c r="G3033">
        <f t="shared" si="47"/>
        <v>512</v>
      </c>
    </row>
    <row r="3034" spans="2:7" ht="15" hidden="1" x14ac:dyDescent="0.25">
      <c r="B3034" s="4">
        <v>584632215</v>
      </c>
      <c r="C3034" s="4" t="s">
        <v>269</v>
      </c>
      <c r="D3034" s="4">
        <v>486</v>
      </c>
      <c r="E3034" s="4">
        <v>57</v>
      </c>
      <c r="G3034">
        <f t="shared" si="47"/>
        <v>512</v>
      </c>
    </row>
    <row r="3035" spans="2:7" ht="15" hidden="1" x14ac:dyDescent="0.25">
      <c r="B3035" s="4">
        <v>584632216</v>
      </c>
      <c r="C3035" s="4" t="s">
        <v>269</v>
      </c>
      <c r="D3035" s="4">
        <v>487</v>
      </c>
      <c r="E3035" s="4">
        <v>57</v>
      </c>
      <c r="G3035">
        <f t="shared" si="47"/>
        <v>512</v>
      </c>
    </row>
    <row r="3036" spans="2:7" ht="15" hidden="1" x14ac:dyDescent="0.25">
      <c r="B3036" s="4">
        <v>584632217</v>
      </c>
      <c r="C3036" s="4" t="s">
        <v>269</v>
      </c>
      <c r="D3036" s="4">
        <v>488</v>
      </c>
      <c r="E3036" s="4">
        <v>57</v>
      </c>
      <c r="G3036">
        <f t="shared" si="47"/>
        <v>512</v>
      </c>
    </row>
    <row r="3037" spans="2:7" ht="15" hidden="1" x14ac:dyDescent="0.25">
      <c r="B3037" s="4">
        <v>584632218</v>
      </c>
      <c r="C3037" s="4" t="s">
        <v>269</v>
      </c>
      <c r="D3037" s="4">
        <v>489</v>
      </c>
      <c r="E3037" s="4">
        <v>57</v>
      </c>
      <c r="G3037">
        <f t="shared" si="47"/>
        <v>512</v>
      </c>
    </row>
    <row r="3038" spans="2:7" ht="15" hidden="1" x14ac:dyDescent="0.25">
      <c r="B3038" s="4">
        <v>584632218</v>
      </c>
      <c r="C3038" s="4" t="s">
        <v>272</v>
      </c>
      <c r="D3038" s="4">
        <v>37</v>
      </c>
      <c r="E3038" s="4">
        <v>223</v>
      </c>
      <c r="G3038">
        <f t="shared" si="47"/>
        <v>1840</v>
      </c>
    </row>
    <row r="3039" spans="2:7" ht="15" hidden="1" x14ac:dyDescent="0.25">
      <c r="B3039" s="4">
        <v>584632219</v>
      </c>
      <c r="C3039" s="4" t="s">
        <v>269</v>
      </c>
      <c r="D3039" s="4">
        <v>490</v>
      </c>
      <c r="E3039" s="4">
        <v>57</v>
      </c>
      <c r="G3039">
        <f t="shared" si="47"/>
        <v>512</v>
      </c>
    </row>
    <row r="3040" spans="2:7" ht="15" hidden="1" x14ac:dyDescent="0.25">
      <c r="B3040" s="4">
        <v>584632220</v>
      </c>
      <c r="C3040" s="4" t="s">
        <v>269</v>
      </c>
      <c r="D3040" s="4">
        <v>491</v>
      </c>
      <c r="E3040" s="4">
        <v>57</v>
      </c>
      <c r="G3040">
        <f t="shared" si="47"/>
        <v>512</v>
      </c>
    </row>
    <row r="3041" spans="2:7" ht="15" hidden="1" x14ac:dyDescent="0.25">
      <c r="B3041" s="4">
        <v>584632221</v>
      </c>
      <c r="C3041" s="4" t="s">
        <v>269</v>
      </c>
      <c r="D3041" s="4">
        <v>492</v>
      </c>
      <c r="E3041" s="4">
        <v>57</v>
      </c>
      <c r="G3041">
        <f t="shared" si="47"/>
        <v>512</v>
      </c>
    </row>
    <row r="3042" spans="2:7" ht="15" hidden="1" x14ac:dyDescent="0.25">
      <c r="B3042" s="4">
        <v>584632222</v>
      </c>
      <c r="C3042" s="4" t="s">
        <v>269</v>
      </c>
      <c r="D3042" s="4">
        <v>493</v>
      </c>
      <c r="E3042" s="4">
        <v>57</v>
      </c>
      <c r="G3042">
        <f t="shared" si="47"/>
        <v>512</v>
      </c>
    </row>
    <row r="3043" spans="2:7" ht="15" hidden="1" x14ac:dyDescent="0.25">
      <c r="B3043" s="4">
        <v>584632223</v>
      </c>
      <c r="C3043" s="4" t="s">
        <v>269</v>
      </c>
      <c r="D3043" s="4">
        <v>494</v>
      </c>
      <c r="E3043" s="4">
        <v>57</v>
      </c>
      <c r="G3043">
        <f t="shared" si="47"/>
        <v>512</v>
      </c>
    </row>
    <row r="3044" spans="2:7" ht="15" hidden="1" x14ac:dyDescent="0.25">
      <c r="B3044" s="4">
        <v>584632224</v>
      </c>
      <c r="C3044" s="4" t="s">
        <v>269</v>
      </c>
      <c r="D3044" s="4">
        <v>495</v>
      </c>
      <c r="E3044" s="4">
        <v>57</v>
      </c>
      <c r="G3044">
        <f t="shared" si="47"/>
        <v>512</v>
      </c>
    </row>
    <row r="3045" spans="2:7" ht="15" hidden="1" x14ac:dyDescent="0.25">
      <c r="B3045" s="4">
        <v>584632225</v>
      </c>
      <c r="C3045" s="4" t="s">
        <v>269</v>
      </c>
      <c r="D3045" s="4">
        <v>496</v>
      </c>
      <c r="E3045" s="4">
        <v>57</v>
      </c>
      <c r="G3045">
        <f t="shared" si="47"/>
        <v>512</v>
      </c>
    </row>
    <row r="3046" spans="2:7" ht="15" hidden="1" x14ac:dyDescent="0.25">
      <c r="B3046" s="4">
        <v>584632226</v>
      </c>
      <c r="C3046" s="4" t="s">
        <v>269</v>
      </c>
      <c r="D3046" s="4">
        <v>497</v>
      </c>
      <c r="E3046" s="4">
        <v>57</v>
      </c>
      <c r="G3046">
        <f t="shared" si="47"/>
        <v>512</v>
      </c>
    </row>
    <row r="3047" spans="2:7" ht="15" hidden="1" x14ac:dyDescent="0.25">
      <c r="B3047" s="4">
        <v>584632227</v>
      </c>
      <c r="C3047" s="4" t="s">
        <v>269</v>
      </c>
      <c r="D3047" s="4">
        <v>498</v>
      </c>
      <c r="E3047" s="4">
        <v>57</v>
      </c>
      <c r="G3047">
        <f t="shared" si="47"/>
        <v>512</v>
      </c>
    </row>
    <row r="3048" spans="2:7" ht="15" hidden="1" x14ac:dyDescent="0.25">
      <c r="B3048" s="4">
        <v>584632228</v>
      </c>
      <c r="C3048" s="4" t="s">
        <v>269</v>
      </c>
      <c r="D3048" s="4">
        <v>499</v>
      </c>
      <c r="E3048" s="4">
        <v>57</v>
      </c>
      <c r="G3048">
        <f t="shared" si="47"/>
        <v>512</v>
      </c>
    </row>
    <row r="3049" spans="2:7" ht="15" hidden="1" x14ac:dyDescent="0.25">
      <c r="B3049" s="4">
        <v>584632228</v>
      </c>
      <c r="C3049" s="4" t="s">
        <v>272</v>
      </c>
      <c r="D3049" s="4">
        <v>38</v>
      </c>
      <c r="E3049" s="4">
        <v>223</v>
      </c>
      <c r="G3049">
        <f t="shared" si="47"/>
        <v>1840</v>
      </c>
    </row>
    <row r="3050" spans="2:7" ht="15" hidden="1" x14ac:dyDescent="0.25">
      <c r="B3050" s="4">
        <v>584632229</v>
      </c>
      <c r="C3050" s="4" t="s">
        <v>269</v>
      </c>
      <c r="D3050" s="4">
        <v>500</v>
      </c>
      <c r="E3050" s="4">
        <v>57</v>
      </c>
      <c r="G3050">
        <f t="shared" si="47"/>
        <v>512</v>
      </c>
    </row>
    <row r="3051" spans="2:7" ht="15" hidden="1" x14ac:dyDescent="0.25">
      <c r="B3051" s="4">
        <v>584632230</v>
      </c>
      <c r="C3051" s="4" t="s">
        <v>269</v>
      </c>
      <c r="D3051" s="4">
        <v>501</v>
      </c>
      <c r="E3051" s="4">
        <v>57</v>
      </c>
      <c r="G3051">
        <f t="shared" si="47"/>
        <v>512</v>
      </c>
    </row>
    <row r="3052" spans="2:7" ht="15" hidden="1" x14ac:dyDescent="0.25">
      <c r="B3052" s="4">
        <v>584632231</v>
      </c>
      <c r="C3052" s="4" t="s">
        <v>269</v>
      </c>
      <c r="D3052" s="4">
        <v>502</v>
      </c>
      <c r="E3052" s="4">
        <v>57</v>
      </c>
      <c r="G3052">
        <f t="shared" si="47"/>
        <v>512</v>
      </c>
    </row>
    <row r="3053" spans="2:7" ht="15" hidden="1" x14ac:dyDescent="0.25">
      <c r="B3053" s="4">
        <v>584632232</v>
      </c>
      <c r="C3053" s="4" t="s">
        <v>269</v>
      </c>
      <c r="D3053" s="4">
        <v>503</v>
      </c>
      <c r="E3053" s="4">
        <v>57</v>
      </c>
      <c r="G3053">
        <f t="shared" si="47"/>
        <v>512</v>
      </c>
    </row>
    <row r="3054" spans="2:7" ht="15" hidden="1" x14ac:dyDescent="0.25">
      <c r="B3054" s="4">
        <v>584632233</v>
      </c>
      <c r="C3054" s="4" t="s">
        <v>269</v>
      </c>
      <c r="D3054" s="4">
        <v>504</v>
      </c>
      <c r="E3054" s="4">
        <v>57</v>
      </c>
      <c r="G3054">
        <f t="shared" si="47"/>
        <v>512</v>
      </c>
    </row>
    <row r="3055" spans="2:7" ht="15" hidden="1" x14ac:dyDescent="0.25">
      <c r="B3055" s="4">
        <v>584632234</v>
      </c>
      <c r="C3055" s="4" t="s">
        <v>269</v>
      </c>
      <c r="D3055" s="4">
        <v>505</v>
      </c>
      <c r="E3055" s="4">
        <v>57</v>
      </c>
      <c r="G3055">
        <f t="shared" si="47"/>
        <v>512</v>
      </c>
    </row>
    <row r="3056" spans="2:7" ht="15" hidden="1" x14ac:dyDescent="0.25">
      <c r="B3056" s="4">
        <v>584632235</v>
      </c>
      <c r="C3056" s="4" t="s">
        <v>269</v>
      </c>
      <c r="D3056" s="4">
        <v>506</v>
      </c>
      <c r="E3056" s="4">
        <v>57</v>
      </c>
      <c r="G3056">
        <f t="shared" si="47"/>
        <v>512</v>
      </c>
    </row>
    <row r="3057" spans="2:7" ht="15" hidden="1" x14ac:dyDescent="0.25">
      <c r="B3057" s="4">
        <v>584632236</v>
      </c>
      <c r="C3057" s="4" t="s">
        <v>269</v>
      </c>
      <c r="D3057" s="4">
        <v>507</v>
      </c>
      <c r="E3057" s="4">
        <v>57</v>
      </c>
      <c r="G3057">
        <f t="shared" si="47"/>
        <v>512</v>
      </c>
    </row>
    <row r="3058" spans="2:7" ht="15" hidden="1" x14ac:dyDescent="0.25">
      <c r="B3058" s="4">
        <v>584632237</v>
      </c>
      <c r="C3058" s="4" t="s">
        <v>269</v>
      </c>
      <c r="D3058" s="4">
        <v>508</v>
      </c>
      <c r="E3058" s="4">
        <v>57</v>
      </c>
      <c r="G3058">
        <f t="shared" si="47"/>
        <v>512</v>
      </c>
    </row>
    <row r="3059" spans="2:7" ht="15" hidden="1" x14ac:dyDescent="0.25">
      <c r="B3059" s="4">
        <v>584632238</v>
      </c>
      <c r="C3059" s="4" t="s">
        <v>268</v>
      </c>
      <c r="D3059" s="4">
        <v>194</v>
      </c>
      <c r="E3059" s="4">
        <v>6</v>
      </c>
      <c r="G3059">
        <f t="shared" si="47"/>
        <v>104</v>
      </c>
    </row>
    <row r="3060" spans="2:7" ht="15" hidden="1" x14ac:dyDescent="0.25">
      <c r="B3060" s="4">
        <v>584632238</v>
      </c>
      <c r="C3060" s="4" t="s">
        <v>268</v>
      </c>
      <c r="D3060" s="4">
        <v>194</v>
      </c>
      <c r="E3060" s="4">
        <v>6</v>
      </c>
      <c r="G3060">
        <f t="shared" si="47"/>
        <v>104</v>
      </c>
    </row>
    <row r="3061" spans="2:7" ht="15" hidden="1" x14ac:dyDescent="0.25">
      <c r="B3061" s="4">
        <v>584632238</v>
      </c>
      <c r="C3061" s="4" t="s">
        <v>268</v>
      </c>
      <c r="D3061" s="4">
        <v>195</v>
      </c>
      <c r="E3061" s="4">
        <v>9</v>
      </c>
      <c r="G3061">
        <f t="shared" si="47"/>
        <v>128</v>
      </c>
    </row>
    <row r="3062" spans="2:7" ht="15" hidden="1" x14ac:dyDescent="0.25">
      <c r="B3062" s="4">
        <v>584632238</v>
      </c>
      <c r="C3062" s="4" t="s">
        <v>268</v>
      </c>
      <c r="D3062" s="4">
        <v>195</v>
      </c>
      <c r="E3062" s="4">
        <v>9</v>
      </c>
      <c r="G3062">
        <f t="shared" si="47"/>
        <v>128</v>
      </c>
    </row>
    <row r="3063" spans="2:7" ht="15" hidden="1" x14ac:dyDescent="0.25">
      <c r="B3063" s="4">
        <v>584632238</v>
      </c>
      <c r="C3063" s="4" t="s">
        <v>268</v>
      </c>
      <c r="D3063" s="4">
        <v>196</v>
      </c>
      <c r="E3063" s="4">
        <v>7</v>
      </c>
      <c r="G3063">
        <f t="shared" si="47"/>
        <v>112</v>
      </c>
    </row>
    <row r="3064" spans="2:7" ht="15" hidden="1" x14ac:dyDescent="0.25">
      <c r="B3064" s="4">
        <v>584632238</v>
      </c>
      <c r="C3064" s="4" t="s">
        <v>268</v>
      </c>
      <c r="D3064" s="4">
        <v>196</v>
      </c>
      <c r="E3064" s="4">
        <v>7</v>
      </c>
      <c r="G3064">
        <f t="shared" si="47"/>
        <v>112</v>
      </c>
    </row>
    <row r="3065" spans="2:7" ht="15" hidden="1" x14ac:dyDescent="0.25">
      <c r="B3065" s="4">
        <v>584632238</v>
      </c>
      <c r="C3065" s="4" t="s">
        <v>268</v>
      </c>
      <c r="D3065" s="4">
        <v>197</v>
      </c>
      <c r="E3065" s="4">
        <v>7</v>
      </c>
      <c r="G3065">
        <f t="shared" si="47"/>
        <v>112</v>
      </c>
    </row>
    <row r="3066" spans="2:7" ht="15" hidden="1" x14ac:dyDescent="0.25">
      <c r="B3066" s="4">
        <v>584632238</v>
      </c>
      <c r="C3066" s="4" t="s">
        <v>268</v>
      </c>
      <c r="D3066" s="4">
        <v>197</v>
      </c>
      <c r="E3066" s="4">
        <v>7</v>
      </c>
      <c r="G3066">
        <f t="shared" si="47"/>
        <v>112</v>
      </c>
    </row>
    <row r="3067" spans="2:7" ht="15" hidden="1" x14ac:dyDescent="0.25">
      <c r="B3067" s="4">
        <v>584632238</v>
      </c>
      <c r="C3067" s="4" t="s">
        <v>268</v>
      </c>
      <c r="D3067" s="4">
        <v>198</v>
      </c>
      <c r="E3067" s="4">
        <v>7</v>
      </c>
      <c r="G3067">
        <f t="shared" si="47"/>
        <v>112</v>
      </c>
    </row>
    <row r="3068" spans="2:7" ht="15" hidden="1" x14ac:dyDescent="0.25">
      <c r="B3068" s="4">
        <v>584632238</v>
      </c>
      <c r="C3068" s="4" t="s">
        <v>268</v>
      </c>
      <c r="D3068" s="4">
        <v>198</v>
      </c>
      <c r="E3068" s="4">
        <v>7</v>
      </c>
      <c r="G3068">
        <f t="shared" si="47"/>
        <v>112</v>
      </c>
    </row>
    <row r="3069" spans="2:7" ht="15" hidden="1" x14ac:dyDescent="0.25">
      <c r="B3069" s="4">
        <v>584632238</v>
      </c>
      <c r="C3069" s="4" t="s">
        <v>269</v>
      </c>
      <c r="D3069" s="4">
        <v>509</v>
      </c>
      <c r="E3069" s="4">
        <v>57</v>
      </c>
      <c r="G3069">
        <f t="shared" si="47"/>
        <v>512</v>
      </c>
    </row>
    <row r="3070" spans="2:7" ht="15" hidden="1" x14ac:dyDescent="0.25">
      <c r="B3070" s="4">
        <v>584632238</v>
      </c>
      <c r="C3070" s="4" t="s">
        <v>272</v>
      </c>
      <c r="D3070" s="4">
        <v>39</v>
      </c>
      <c r="E3070" s="4">
        <v>225</v>
      </c>
      <c r="G3070">
        <f t="shared" si="47"/>
        <v>1856</v>
      </c>
    </row>
    <row r="3071" spans="2:7" ht="15" hidden="1" x14ac:dyDescent="0.25">
      <c r="B3071" s="4">
        <v>584632239</v>
      </c>
      <c r="C3071" s="4" t="s">
        <v>269</v>
      </c>
      <c r="D3071" s="4">
        <v>510</v>
      </c>
      <c r="E3071" s="4">
        <v>57</v>
      </c>
      <c r="G3071">
        <f t="shared" si="47"/>
        <v>512</v>
      </c>
    </row>
    <row r="3072" spans="2:7" ht="15" hidden="1" x14ac:dyDescent="0.25">
      <c r="B3072" s="4">
        <v>584632240</v>
      </c>
      <c r="C3072" s="4" t="s">
        <v>268</v>
      </c>
      <c r="D3072" s="4">
        <v>199</v>
      </c>
      <c r="E3072" s="4">
        <v>7</v>
      </c>
      <c r="G3072">
        <f t="shared" si="47"/>
        <v>112</v>
      </c>
    </row>
    <row r="3073" spans="2:7" ht="15" hidden="1" x14ac:dyDescent="0.25">
      <c r="B3073" s="4">
        <v>584632240</v>
      </c>
      <c r="C3073" s="4" t="s">
        <v>268</v>
      </c>
      <c r="D3073" s="4">
        <v>199</v>
      </c>
      <c r="E3073" s="4">
        <v>7</v>
      </c>
      <c r="G3073">
        <f t="shared" si="47"/>
        <v>112</v>
      </c>
    </row>
    <row r="3074" spans="2:7" ht="15" hidden="1" x14ac:dyDescent="0.25">
      <c r="B3074" s="4">
        <v>584632240</v>
      </c>
      <c r="C3074" s="4" t="s">
        <v>268</v>
      </c>
      <c r="D3074" s="4">
        <v>200</v>
      </c>
      <c r="E3074" s="4">
        <v>5</v>
      </c>
      <c r="G3074">
        <f t="shared" si="47"/>
        <v>96</v>
      </c>
    </row>
    <row r="3075" spans="2:7" ht="15" hidden="1" x14ac:dyDescent="0.25">
      <c r="B3075" s="4">
        <v>584632240</v>
      </c>
      <c r="C3075" s="4" t="s">
        <v>268</v>
      </c>
      <c r="D3075" s="4">
        <v>200</v>
      </c>
      <c r="E3075" s="4">
        <v>5</v>
      </c>
      <c r="G3075">
        <f t="shared" si="47"/>
        <v>96</v>
      </c>
    </row>
    <row r="3076" spans="2:7" ht="15" hidden="1" x14ac:dyDescent="0.25">
      <c r="B3076" s="4">
        <v>584632240</v>
      </c>
      <c r="C3076" s="4" t="s">
        <v>268</v>
      </c>
      <c r="D3076" s="4">
        <v>201</v>
      </c>
      <c r="E3076" s="4">
        <v>7</v>
      </c>
      <c r="G3076">
        <f t="shared" ref="G3076:G3139" si="48">(E3076+7)*8</f>
        <v>112</v>
      </c>
    </row>
    <row r="3077" spans="2:7" ht="15" hidden="1" x14ac:dyDescent="0.25">
      <c r="B3077" s="4">
        <v>584632240</v>
      </c>
      <c r="C3077" s="4" t="s">
        <v>268</v>
      </c>
      <c r="D3077" s="4">
        <v>201</v>
      </c>
      <c r="E3077" s="4">
        <v>7</v>
      </c>
      <c r="G3077">
        <f t="shared" si="48"/>
        <v>112</v>
      </c>
    </row>
    <row r="3078" spans="2:7" ht="15" hidden="1" x14ac:dyDescent="0.25">
      <c r="B3078" s="4">
        <v>584632240</v>
      </c>
      <c r="C3078" s="4" t="s">
        <v>269</v>
      </c>
      <c r="D3078" s="4">
        <v>511</v>
      </c>
      <c r="E3078" s="4">
        <v>57</v>
      </c>
      <c r="G3078">
        <f t="shared" si="48"/>
        <v>512</v>
      </c>
    </row>
    <row r="3079" spans="2:7" ht="15" hidden="1" x14ac:dyDescent="0.25">
      <c r="B3079" s="4">
        <v>584632241</v>
      </c>
      <c r="C3079" s="4" t="s">
        <v>269</v>
      </c>
      <c r="D3079" s="4">
        <v>512</v>
      </c>
      <c r="E3079" s="4">
        <v>57</v>
      </c>
      <c r="G3079">
        <f t="shared" si="48"/>
        <v>512</v>
      </c>
    </row>
    <row r="3080" spans="2:7" ht="15" hidden="1" x14ac:dyDescent="0.25">
      <c r="B3080" s="4">
        <v>584632242</v>
      </c>
      <c r="C3080" s="4" t="s">
        <v>269</v>
      </c>
      <c r="D3080" s="4">
        <v>513</v>
      </c>
      <c r="E3080" s="4">
        <v>57</v>
      </c>
      <c r="G3080">
        <f t="shared" si="48"/>
        <v>512</v>
      </c>
    </row>
    <row r="3081" spans="2:7" ht="15" hidden="1" x14ac:dyDescent="0.25">
      <c r="B3081" s="4">
        <v>584632243</v>
      </c>
      <c r="C3081" s="4" t="s">
        <v>269</v>
      </c>
      <c r="D3081" s="4">
        <v>514</v>
      </c>
      <c r="E3081" s="4">
        <v>57</v>
      </c>
      <c r="G3081">
        <f t="shared" si="48"/>
        <v>512</v>
      </c>
    </row>
    <row r="3082" spans="2:7" ht="15" hidden="1" x14ac:dyDescent="0.25">
      <c r="B3082" s="4">
        <v>584632244</v>
      </c>
      <c r="C3082" s="4" t="s">
        <v>269</v>
      </c>
      <c r="D3082" s="4">
        <v>515</v>
      </c>
      <c r="E3082" s="4">
        <v>57</v>
      </c>
      <c r="G3082">
        <f t="shared" si="48"/>
        <v>512</v>
      </c>
    </row>
    <row r="3083" spans="2:7" ht="15" hidden="1" x14ac:dyDescent="0.25">
      <c r="B3083" s="4">
        <v>584632245</v>
      </c>
      <c r="C3083" s="4" t="s">
        <v>269</v>
      </c>
      <c r="D3083" s="4">
        <v>516</v>
      </c>
      <c r="E3083" s="4">
        <v>57</v>
      </c>
      <c r="G3083">
        <f t="shared" si="48"/>
        <v>512</v>
      </c>
    </row>
    <row r="3084" spans="2:7" ht="15" hidden="1" x14ac:dyDescent="0.25">
      <c r="B3084" s="4">
        <v>584632246</v>
      </c>
      <c r="C3084" s="4" t="s">
        <v>269</v>
      </c>
      <c r="D3084" s="4">
        <v>517</v>
      </c>
      <c r="E3084" s="4">
        <v>57</v>
      </c>
      <c r="G3084">
        <f t="shared" si="48"/>
        <v>512</v>
      </c>
    </row>
    <row r="3085" spans="2:7" ht="15" hidden="1" x14ac:dyDescent="0.25">
      <c r="B3085" s="4">
        <v>584632247</v>
      </c>
      <c r="C3085" s="4" t="s">
        <v>269</v>
      </c>
      <c r="D3085" s="4">
        <v>518</v>
      </c>
      <c r="E3085" s="4">
        <v>57</v>
      </c>
      <c r="G3085">
        <f t="shared" si="48"/>
        <v>512</v>
      </c>
    </row>
    <row r="3086" spans="2:7" ht="15" hidden="1" x14ac:dyDescent="0.25">
      <c r="B3086" s="4">
        <v>584632248</v>
      </c>
      <c r="C3086" s="4" t="s">
        <v>269</v>
      </c>
      <c r="D3086" s="4">
        <v>519</v>
      </c>
      <c r="E3086" s="4">
        <v>57</v>
      </c>
      <c r="G3086">
        <f t="shared" si="48"/>
        <v>512</v>
      </c>
    </row>
    <row r="3087" spans="2:7" ht="15" hidden="1" x14ac:dyDescent="0.25">
      <c r="B3087" s="4">
        <v>584632248</v>
      </c>
      <c r="C3087" s="4" t="s">
        <v>272</v>
      </c>
      <c r="D3087" s="4">
        <v>40</v>
      </c>
      <c r="E3087" s="4">
        <v>219</v>
      </c>
      <c r="G3087">
        <f t="shared" si="48"/>
        <v>1808</v>
      </c>
    </row>
    <row r="3088" spans="2:7" ht="15" hidden="1" x14ac:dyDescent="0.25">
      <c r="B3088" s="4">
        <v>584632249</v>
      </c>
      <c r="C3088" s="4" t="s">
        <v>269</v>
      </c>
      <c r="D3088" s="4">
        <v>520</v>
      </c>
      <c r="E3088" s="4">
        <v>57</v>
      </c>
      <c r="G3088">
        <f t="shared" si="48"/>
        <v>512</v>
      </c>
    </row>
    <row r="3089" spans="2:7" ht="15" hidden="1" x14ac:dyDescent="0.25">
      <c r="B3089" s="4">
        <v>584632250</v>
      </c>
      <c r="C3089" s="4" t="s">
        <v>269</v>
      </c>
      <c r="D3089" s="4">
        <v>521</v>
      </c>
      <c r="E3089" s="4">
        <v>57</v>
      </c>
      <c r="G3089">
        <f t="shared" si="48"/>
        <v>512</v>
      </c>
    </row>
    <row r="3090" spans="2:7" ht="15" hidden="1" x14ac:dyDescent="0.25">
      <c r="B3090" s="4">
        <v>584632251</v>
      </c>
      <c r="C3090" s="4" t="s">
        <v>269</v>
      </c>
      <c r="D3090" s="4">
        <v>522</v>
      </c>
      <c r="E3090" s="4">
        <v>57</v>
      </c>
      <c r="G3090">
        <f t="shared" si="48"/>
        <v>512</v>
      </c>
    </row>
    <row r="3091" spans="2:7" ht="15" hidden="1" x14ac:dyDescent="0.25">
      <c r="B3091" s="4">
        <v>584632252</v>
      </c>
      <c r="C3091" s="4" t="s">
        <v>269</v>
      </c>
      <c r="D3091" s="4">
        <v>523</v>
      </c>
      <c r="E3091" s="4">
        <v>57</v>
      </c>
      <c r="G3091">
        <f t="shared" si="48"/>
        <v>512</v>
      </c>
    </row>
    <row r="3092" spans="2:7" ht="15" hidden="1" x14ac:dyDescent="0.25">
      <c r="B3092" s="4">
        <v>584632253</v>
      </c>
      <c r="C3092" s="4" t="s">
        <v>269</v>
      </c>
      <c r="D3092" s="4">
        <v>524</v>
      </c>
      <c r="E3092" s="4">
        <v>57</v>
      </c>
      <c r="G3092">
        <f t="shared" si="48"/>
        <v>512</v>
      </c>
    </row>
    <row r="3093" spans="2:7" ht="15" hidden="1" x14ac:dyDescent="0.25">
      <c r="B3093" s="4">
        <v>584632254</v>
      </c>
      <c r="C3093" s="4" t="s">
        <v>269</v>
      </c>
      <c r="D3093" s="4">
        <v>525</v>
      </c>
      <c r="E3093" s="4">
        <v>57</v>
      </c>
      <c r="G3093">
        <f t="shared" si="48"/>
        <v>512</v>
      </c>
    </row>
    <row r="3094" spans="2:7" ht="15" hidden="1" x14ac:dyDescent="0.25">
      <c r="B3094" s="4">
        <v>584632255</v>
      </c>
      <c r="C3094" s="4" t="s">
        <v>269</v>
      </c>
      <c r="D3094" s="4">
        <v>526</v>
      </c>
      <c r="E3094" s="4">
        <v>57</v>
      </c>
      <c r="G3094">
        <f t="shared" si="48"/>
        <v>512</v>
      </c>
    </row>
    <row r="3095" spans="2:7" ht="15" hidden="1" x14ac:dyDescent="0.25">
      <c r="B3095" s="4">
        <v>584632256</v>
      </c>
      <c r="C3095" s="4" t="s">
        <v>269</v>
      </c>
      <c r="D3095" s="4">
        <v>527</v>
      </c>
      <c r="E3095" s="4">
        <v>57</v>
      </c>
      <c r="G3095">
        <f t="shared" si="48"/>
        <v>512</v>
      </c>
    </row>
    <row r="3096" spans="2:7" ht="15" hidden="1" x14ac:dyDescent="0.25">
      <c r="B3096" s="4">
        <v>584632257</v>
      </c>
      <c r="C3096" s="4" t="s">
        <v>269</v>
      </c>
      <c r="D3096" s="4">
        <v>528</v>
      </c>
      <c r="E3096" s="4">
        <v>57</v>
      </c>
      <c r="G3096">
        <f t="shared" si="48"/>
        <v>512</v>
      </c>
    </row>
    <row r="3097" spans="2:7" ht="15" hidden="1" x14ac:dyDescent="0.25">
      <c r="B3097" s="4">
        <v>584632258</v>
      </c>
      <c r="C3097" s="4" t="s">
        <v>269</v>
      </c>
      <c r="D3097" s="4">
        <v>529</v>
      </c>
      <c r="E3097" s="4">
        <v>57</v>
      </c>
      <c r="G3097">
        <f t="shared" si="48"/>
        <v>512</v>
      </c>
    </row>
    <row r="3098" spans="2:7" ht="15" hidden="1" x14ac:dyDescent="0.25">
      <c r="B3098" s="4">
        <v>584632258</v>
      </c>
      <c r="C3098" s="4" t="s">
        <v>272</v>
      </c>
      <c r="D3098" s="4">
        <v>41</v>
      </c>
      <c r="E3098" s="4">
        <v>219</v>
      </c>
      <c r="G3098">
        <f t="shared" si="48"/>
        <v>1808</v>
      </c>
    </row>
    <row r="3099" spans="2:7" ht="15" hidden="1" x14ac:dyDescent="0.25">
      <c r="B3099" s="4">
        <v>584632259</v>
      </c>
      <c r="C3099" s="4" t="s">
        <v>269</v>
      </c>
      <c r="D3099" s="4">
        <v>530</v>
      </c>
      <c r="E3099" s="4">
        <v>57</v>
      </c>
      <c r="G3099">
        <f t="shared" si="48"/>
        <v>512</v>
      </c>
    </row>
    <row r="3100" spans="2:7" ht="15" hidden="1" x14ac:dyDescent="0.25">
      <c r="B3100" s="4">
        <v>584632260</v>
      </c>
      <c r="C3100" s="4" t="s">
        <v>269</v>
      </c>
      <c r="D3100" s="4">
        <v>531</v>
      </c>
      <c r="E3100" s="4">
        <v>57</v>
      </c>
      <c r="G3100">
        <f t="shared" si="48"/>
        <v>512</v>
      </c>
    </row>
    <row r="3101" spans="2:7" ht="15" hidden="1" x14ac:dyDescent="0.25">
      <c r="B3101" s="4">
        <v>584632261</v>
      </c>
      <c r="C3101" s="4" t="s">
        <v>269</v>
      </c>
      <c r="D3101" s="4">
        <v>532</v>
      </c>
      <c r="E3101" s="4">
        <v>57</v>
      </c>
      <c r="G3101">
        <f t="shared" si="48"/>
        <v>512</v>
      </c>
    </row>
    <row r="3102" spans="2:7" ht="15" hidden="1" x14ac:dyDescent="0.25">
      <c r="B3102" s="4">
        <v>584632262</v>
      </c>
      <c r="C3102" s="4" t="s">
        <v>269</v>
      </c>
      <c r="D3102" s="4">
        <v>533</v>
      </c>
      <c r="E3102" s="4">
        <v>57</v>
      </c>
      <c r="G3102">
        <f t="shared" si="48"/>
        <v>512</v>
      </c>
    </row>
    <row r="3103" spans="2:7" ht="15" hidden="1" x14ac:dyDescent="0.25">
      <c r="B3103" s="4">
        <v>584632263</v>
      </c>
      <c r="C3103" s="4" t="s">
        <v>269</v>
      </c>
      <c r="D3103" s="4">
        <v>534</v>
      </c>
      <c r="E3103" s="4">
        <v>57</v>
      </c>
      <c r="G3103">
        <f t="shared" si="48"/>
        <v>512</v>
      </c>
    </row>
    <row r="3104" spans="2:7" ht="15" hidden="1" x14ac:dyDescent="0.25">
      <c r="B3104" s="4">
        <v>584632264</v>
      </c>
      <c r="C3104" s="4" t="s">
        <v>269</v>
      </c>
      <c r="D3104" s="4">
        <v>535</v>
      </c>
      <c r="E3104" s="4">
        <v>57</v>
      </c>
      <c r="G3104">
        <f t="shared" si="48"/>
        <v>512</v>
      </c>
    </row>
    <row r="3105" spans="2:7" ht="15" hidden="1" x14ac:dyDescent="0.25">
      <c r="B3105" s="4">
        <v>584632265</v>
      </c>
      <c r="C3105" s="4" t="s">
        <v>269</v>
      </c>
      <c r="D3105" s="4">
        <v>536</v>
      </c>
      <c r="E3105" s="4">
        <v>57</v>
      </c>
      <c r="G3105">
        <f t="shared" si="48"/>
        <v>512</v>
      </c>
    </row>
    <row r="3106" spans="2:7" ht="15" hidden="1" x14ac:dyDescent="0.25">
      <c r="B3106" s="4">
        <v>584632266</v>
      </c>
      <c r="C3106" s="4" t="s">
        <v>269</v>
      </c>
      <c r="D3106" s="4">
        <v>537</v>
      </c>
      <c r="E3106" s="4">
        <v>57</v>
      </c>
      <c r="G3106">
        <f t="shared" si="48"/>
        <v>512</v>
      </c>
    </row>
    <row r="3107" spans="2:7" ht="15" hidden="1" x14ac:dyDescent="0.25">
      <c r="B3107" s="4">
        <v>584632267</v>
      </c>
      <c r="C3107" s="4" t="s">
        <v>269</v>
      </c>
      <c r="D3107" s="4">
        <v>538</v>
      </c>
      <c r="E3107" s="4">
        <v>57</v>
      </c>
      <c r="G3107">
        <f t="shared" si="48"/>
        <v>512</v>
      </c>
    </row>
    <row r="3108" spans="2:7" ht="15" hidden="1" x14ac:dyDescent="0.25">
      <c r="B3108" s="4">
        <v>584632268</v>
      </c>
      <c r="C3108" s="4" t="s">
        <v>269</v>
      </c>
      <c r="D3108" s="4">
        <v>539</v>
      </c>
      <c r="E3108" s="4">
        <v>57</v>
      </c>
      <c r="G3108">
        <f t="shared" si="48"/>
        <v>512</v>
      </c>
    </row>
    <row r="3109" spans="2:7" ht="15" hidden="1" x14ac:dyDescent="0.25">
      <c r="B3109" s="4">
        <v>584632268</v>
      </c>
      <c r="C3109" s="4" t="s">
        <v>272</v>
      </c>
      <c r="D3109" s="4">
        <v>42</v>
      </c>
      <c r="E3109" s="4">
        <v>219</v>
      </c>
      <c r="G3109">
        <f t="shared" si="48"/>
        <v>1808</v>
      </c>
    </row>
    <row r="3110" spans="2:7" ht="15" hidden="1" x14ac:dyDescent="0.25">
      <c r="B3110" s="4">
        <v>584632269</v>
      </c>
      <c r="C3110" s="4" t="s">
        <v>269</v>
      </c>
      <c r="D3110" s="4">
        <v>540</v>
      </c>
      <c r="E3110" s="4">
        <v>57</v>
      </c>
      <c r="G3110">
        <f t="shared" si="48"/>
        <v>512</v>
      </c>
    </row>
    <row r="3111" spans="2:7" ht="15" hidden="1" x14ac:dyDescent="0.25">
      <c r="B3111" s="4">
        <v>584632270</v>
      </c>
      <c r="C3111" s="4" t="s">
        <v>269</v>
      </c>
      <c r="D3111" s="4">
        <v>541</v>
      </c>
      <c r="E3111" s="4">
        <v>57</v>
      </c>
      <c r="G3111">
        <f t="shared" si="48"/>
        <v>512</v>
      </c>
    </row>
    <row r="3112" spans="2:7" ht="15" hidden="1" x14ac:dyDescent="0.25">
      <c r="B3112" s="4">
        <v>584632271</v>
      </c>
      <c r="C3112" s="4" t="s">
        <v>269</v>
      </c>
      <c r="D3112" s="4">
        <v>542</v>
      </c>
      <c r="E3112" s="4">
        <v>57</v>
      </c>
      <c r="G3112">
        <f t="shared" si="48"/>
        <v>512</v>
      </c>
    </row>
    <row r="3113" spans="2:7" ht="15" hidden="1" x14ac:dyDescent="0.25">
      <c r="B3113" s="4">
        <v>584632272</v>
      </c>
      <c r="C3113" s="4" t="s">
        <v>269</v>
      </c>
      <c r="D3113" s="4">
        <v>543</v>
      </c>
      <c r="E3113" s="4">
        <v>57</v>
      </c>
      <c r="G3113">
        <f t="shared" si="48"/>
        <v>512</v>
      </c>
    </row>
    <row r="3114" spans="2:7" ht="15" hidden="1" x14ac:dyDescent="0.25">
      <c r="B3114" s="4">
        <v>584632273</v>
      </c>
      <c r="C3114" s="4" t="s">
        <v>269</v>
      </c>
      <c r="D3114" s="4">
        <v>544</v>
      </c>
      <c r="E3114" s="4">
        <v>57</v>
      </c>
      <c r="G3114">
        <f t="shared" si="48"/>
        <v>512</v>
      </c>
    </row>
    <row r="3115" spans="2:7" ht="15" hidden="1" x14ac:dyDescent="0.25">
      <c r="B3115" s="4">
        <v>584632274</v>
      </c>
      <c r="C3115" s="4" t="s">
        <v>269</v>
      </c>
      <c r="D3115" s="4">
        <v>545</v>
      </c>
      <c r="E3115" s="4">
        <v>57</v>
      </c>
      <c r="G3115">
        <f t="shared" si="48"/>
        <v>512</v>
      </c>
    </row>
    <row r="3116" spans="2:7" ht="15" hidden="1" x14ac:dyDescent="0.25">
      <c r="B3116" s="4">
        <v>584632275</v>
      </c>
      <c r="C3116" s="4" t="s">
        <v>269</v>
      </c>
      <c r="D3116" s="4">
        <v>546</v>
      </c>
      <c r="E3116" s="4">
        <v>57</v>
      </c>
      <c r="G3116">
        <f t="shared" si="48"/>
        <v>512</v>
      </c>
    </row>
    <row r="3117" spans="2:7" ht="15" hidden="1" x14ac:dyDescent="0.25">
      <c r="B3117" s="4">
        <v>584632276</v>
      </c>
      <c r="C3117" s="4" t="s">
        <v>269</v>
      </c>
      <c r="D3117" s="4">
        <v>547</v>
      </c>
      <c r="E3117" s="4">
        <v>57</v>
      </c>
      <c r="G3117">
        <f t="shared" si="48"/>
        <v>512</v>
      </c>
    </row>
    <row r="3118" spans="2:7" ht="15" hidden="1" x14ac:dyDescent="0.25">
      <c r="B3118" s="4">
        <v>584632277</v>
      </c>
      <c r="C3118" s="4" t="s">
        <v>269</v>
      </c>
      <c r="D3118" s="4">
        <v>548</v>
      </c>
      <c r="E3118" s="4">
        <v>57</v>
      </c>
      <c r="G3118">
        <f t="shared" si="48"/>
        <v>512</v>
      </c>
    </row>
    <row r="3119" spans="2:7" ht="15" hidden="1" x14ac:dyDescent="0.25">
      <c r="B3119" s="4">
        <v>584632278</v>
      </c>
      <c r="C3119" s="4" t="s">
        <v>269</v>
      </c>
      <c r="D3119" s="4">
        <v>549</v>
      </c>
      <c r="E3119" s="4">
        <v>57</v>
      </c>
      <c r="G3119">
        <f t="shared" si="48"/>
        <v>512</v>
      </c>
    </row>
    <row r="3120" spans="2:7" ht="15" hidden="1" x14ac:dyDescent="0.25">
      <c r="B3120" s="4">
        <v>584632278</v>
      </c>
      <c r="C3120" s="4" t="s">
        <v>272</v>
      </c>
      <c r="D3120" s="4">
        <v>43</v>
      </c>
      <c r="E3120" s="4">
        <v>219</v>
      </c>
      <c r="G3120">
        <f t="shared" si="48"/>
        <v>1808</v>
      </c>
    </row>
    <row r="3121" spans="2:7" ht="15" hidden="1" x14ac:dyDescent="0.25">
      <c r="B3121" s="4">
        <v>584632279</v>
      </c>
      <c r="C3121" s="4" t="s">
        <v>269</v>
      </c>
      <c r="D3121" s="4">
        <v>550</v>
      </c>
      <c r="E3121" s="4">
        <v>57</v>
      </c>
      <c r="G3121">
        <f t="shared" si="48"/>
        <v>512</v>
      </c>
    </row>
    <row r="3122" spans="2:7" ht="15" hidden="1" x14ac:dyDescent="0.25">
      <c r="B3122" s="4">
        <v>584632280</v>
      </c>
      <c r="C3122" s="4" t="s">
        <v>269</v>
      </c>
      <c r="D3122" s="4">
        <v>551</v>
      </c>
      <c r="E3122" s="4">
        <v>57</v>
      </c>
      <c r="G3122">
        <f t="shared" si="48"/>
        <v>512</v>
      </c>
    </row>
    <row r="3123" spans="2:7" ht="15" hidden="1" x14ac:dyDescent="0.25">
      <c r="B3123" s="4">
        <v>584632281</v>
      </c>
      <c r="C3123" s="4" t="s">
        <v>269</v>
      </c>
      <c r="D3123" s="4">
        <v>552</v>
      </c>
      <c r="E3123" s="4">
        <v>57</v>
      </c>
      <c r="G3123">
        <f t="shared" si="48"/>
        <v>512</v>
      </c>
    </row>
    <row r="3124" spans="2:7" ht="15" hidden="1" x14ac:dyDescent="0.25">
      <c r="B3124" s="4">
        <v>584632282</v>
      </c>
      <c r="C3124" s="4" t="s">
        <v>269</v>
      </c>
      <c r="D3124" s="4">
        <v>553</v>
      </c>
      <c r="E3124" s="4">
        <v>57</v>
      </c>
      <c r="G3124">
        <f t="shared" si="48"/>
        <v>512</v>
      </c>
    </row>
    <row r="3125" spans="2:7" ht="15" hidden="1" x14ac:dyDescent="0.25">
      <c r="B3125" s="4">
        <v>584632283</v>
      </c>
      <c r="C3125" s="4" t="s">
        <v>269</v>
      </c>
      <c r="D3125" s="4">
        <v>554</v>
      </c>
      <c r="E3125" s="4">
        <v>57</v>
      </c>
      <c r="G3125">
        <f t="shared" si="48"/>
        <v>512</v>
      </c>
    </row>
    <row r="3126" spans="2:7" ht="15" hidden="1" x14ac:dyDescent="0.25">
      <c r="B3126" s="4">
        <v>584632284</v>
      </c>
      <c r="C3126" s="4" t="s">
        <v>269</v>
      </c>
      <c r="D3126" s="4">
        <v>555</v>
      </c>
      <c r="E3126" s="4">
        <v>57</v>
      </c>
      <c r="G3126">
        <f t="shared" si="48"/>
        <v>512</v>
      </c>
    </row>
    <row r="3127" spans="2:7" ht="15" hidden="1" x14ac:dyDescent="0.25">
      <c r="B3127" s="4">
        <v>584632285</v>
      </c>
      <c r="C3127" s="4" t="s">
        <v>269</v>
      </c>
      <c r="D3127" s="4">
        <v>556</v>
      </c>
      <c r="E3127" s="4">
        <v>57</v>
      </c>
      <c r="G3127">
        <f t="shared" si="48"/>
        <v>512</v>
      </c>
    </row>
    <row r="3128" spans="2:7" ht="15" hidden="1" x14ac:dyDescent="0.25">
      <c r="B3128" s="4">
        <v>584632286</v>
      </c>
      <c r="C3128" s="4" t="s">
        <v>269</v>
      </c>
      <c r="D3128" s="4">
        <v>557</v>
      </c>
      <c r="E3128" s="4">
        <v>57</v>
      </c>
      <c r="G3128">
        <f t="shared" si="48"/>
        <v>512</v>
      </c>
    </row>
    <row r="3129" spans="2:7" ht="15" hidden="1" x14ac:dyDescent="0.25">
      <c r="B3129" s="4">
        <v>584632287</v>
      </c>
      <c r="C3129" s="4" t="s">
        <v>269</v>
      </c>
      <c r="D3129" s="4">
        <v>558</v>
      </c>
      <c r="E3129" s="4">
        <v>57</v>
      </c>
      <c r="G3129">
        <f t="shared" si="48"/>
        <v>512</v>
      </c>
    </row>
    <row r="3130" spans="2:7" ht="15" hidden="1" x14ac:dyDescent="0.25">
      <c r="B3130" s="4">
        <v>584632288</v>
      </c>
      <c r="C3130" s="4" t="s">
        <v>269</v>
      </c>
      <c r="D3130" s="4">
        <v>559</v>
      </c>
      <c r="E3130" s="4">
        <v>57</v>
      </c>
      <c r="G3130">
        <f t="shared" si="48"/>
        <v>512</v>
      </c>
    </row>
    <row r="3131" spans="2:7" ht="15" hidden="1" x14ac:dyDescent="0.25">
      <c r="B3131" s="4">
        <v>584632288</v>
      </c>
      <c r="C3131" s="4" t="s">
        <v>272</v>
      </c>
      <c r="D3131" s="4">
        <v>44</v>
      </c>
      <c r="E3131" s="4">
        <v>219</v>
      </c>
      <c r="G3131">
        <f t="shared" si="48"/>
        <v>1808</v>
      </c>
    </row>
    <row r="3132" spans="2:7" ht="15" hidden="1" x14ac:dyDescent="0.25">
      <c r="B3132" s="4">
        <v>584632289</v>
      </c>
      <c r="C3132" s="4" t="s">
        <v>269</v>
      </c>
      <c r="D3132" s="4">
        <v>560</v>
      </c>
      <c r="E3132" s="4">
        <v>57</v>
      </c>
      <c r="G3132">
        <f t="shared" si="48"/>
        <v>512</v>
      </c>
    </row>
    <row r="3133" spans="2:7" ht="15" hidden="1" x14ac:dyDescent="0.25">
      <c r="B3133" s="4">
        <v>584632290</v>
      </c>
      <c r="C3133" s="4" t="s">
        <v>269</v>
      </c>
      <c r="D3133" s="4">
        <v>561</v>
      </c>
      <c r="E3133" s="4">
        <v>57</v>
      </c>
      <c r="G3133">
        <f t="shared" si="48"/>
        <v>512</v>
      </c>
    </row>
    <row r="3134" spans="2:7" ht="15" hidden="1" x14ac:dyDescent="0.25">
      <c r="B3134" s="4">
        <v>584632291</v>
      </c>
      <c r="C3134" s="4" t="s">
        <v>269</v>
      </c>
      <c r="D3134" s="4">
        <v>562</v>
      </c>
      <c r="E3134" s="4">
        <v>57</v>
      </c>
      <c r="G3134">
        <f t="shared" si="48"/>
        <v>512</v>
      </c>
    </row>
    <row r="3135" spans="2:7" ht="15" hidden="1" x14ac:dyDescent="0.25">
      <c r="B3135" s="4">
        <v>584632292</v>
      </c>
      <c r="C3135" s="4" t="s">
        <v>269</v>
      </c>
      <c r="D3135" s="4">
        <v>563</v>
      </c>
      <c r="E3135" s="4">
        <v>57</v>
      </c>
      <c r="G3135">
        <f t="shared" si="48"/>
        <v>512</v>
      </c>
    </row>
    <row r="3136" spans="2:7" ht="15" hidden="1" x14ac:dyDescent="0.25">
      <c r="B3136" s="4">
        <v>584632293</v>
      </c>
      <c r="C3136" s="4" t="s">
        <v>269</v>
      </c>
      <c r="D3136" s="4">
        <v>564</v>
      </c>
      <c r="E3136" s="4">
        <v>57</v>
      </c>
      <c r="G3136">
        <f t="shared" si="48"/>
        <v>512</v>
      </c>
    </row>
    <row r="3137" spans="2:7" ht="15" hidden="1" x14ac:dyDescent="0.25">
      <c r="B3137" s="4">
        <v>584632294</v>
      </c>
      <c r="C3137" s="4" t="s">
        <v>269</v>
      </c>
      <c r="D3137" s="4">
        <v>565</v>
      </c>
      <c r="E3137" s="4">
        <v>57</v>
      </c>
      <c r="G3137">
        <f t="shared" si="48"/>
        <v>512</v>
      </c>
    </row>
    <row r="3138" spans="2:7" ht="15" hidden="1" x14ac:dyDescent="0.25">
      <c r="B3138" s="4">
        <v>584632295</v>
      </c>
      <c r="C3138" s="4" t="s">
        <v>269</v>
      </c>
      <c r="D3138" s="4">
        <v>566</v>
      </c>
      <c r="E3138" s="4">
        <v>57</v>
      </c>
      <c r="G3138">
        <f t="shared" si="48"/>
        <v>512</v>
      </c>
    </row>
    <row r="3139" spans="2:7" ht="15" hidden="1" x14ac:dyDescent="0.25">
      <c r="B3139" s="4">
        <v>584632296</v>
      </c>
      <c r="C3139" s="4" t="s">
        <v>269</v>
      </c>
      <c r="D3139" s="4">
        <v>567</v>
      </c>
      <c r="E3139" s="4">
        <v>57</v>
      </c>
      <c r="G3139">
        <f t="shared" si="48"/>
        <v>512</v>
      </c>
    </row>
    <row r="3140" spans="2:7" ht="15" hidden="1" x14ac:dyDescent="0.25">
      <c r="B3140" s="4">
        <v>584632297</v>
      </c>
      <c r="C3140" s="4" t="s">
        <v>269</v>
      </c>
      <c r="D3140" s="4">
        <v>568</v>
      </c>
      <c r="E3140" s="4">
        <v>57</v>
      </c>
      <c r="G3140">
        <f t="shared" ref="G3140:G3203" si="49">(E3140+7)*8</f>
        <v>512</v>
      </c>
    </row>
    <row r="3141" spans="2:7" ht="15" hidden="1" x14ac:dyDescent="0.25">
      <c r="B3141" s="4">
        <v>584632298</v>
      </c>
      <c r="C3141" s="4" t="s">
        <v>269</v>
      </c>
      <c r="D3141" s="4">
        <v>569</v>
      </c>
      <c r="E3141" s="4">
        <v>57</v>
      </c>
      <c r="G3141">
        <f t="shared" si="49"/>
        <v>512</v>
      </c>
    </row>
    <row r="3142" spans="2:7" ht="15" hidden="1" x14ac:dyDescent="0.25">
      <c r="B3142" s="4">
        <v>584632298</v>
      </c>
      <c r="C3142" s="4" t="s">
        <v>272</v>
      </c>
      <c r="D3142" s="4">
        <v>45</v>
      </c>
      <c r="E3142" s="4">
        <v>219</v>
      </c>
      <c r="G3142">
        <f t="shared" si="49"/>
        <v>1808</v>
      </c>
    </row>
    <row r="3143" spans="2:7" ht="15" hidden="1" x14ac:dyDescent="0.25">
      <c r="B3143" s="4">
        <v>584632299</v>
      </c>
      <c r="C3143" s="4" t="s">
        <v>269</v>
      </c>
      <c r="D3143" s="4">
        <v>570</v>
      </c>
      <c r="E3143" s="4">
        <v>57</v>
      </c>
      <c r="G3143">
        <f t="shared" si="49"/>
        <v>512</v>
      </c>
    </row>
    <row r="3144" spans="2:7" ht="15" hidden="1" x14ac:dyDescent="0.25">
      <c r="B3144" s="4">
        <v>584632300</v>
      </c>
      <c r="C3144" s="4" t="s">
        <v>268</v>
      </c>
      <c r="D3144" s="4">
        <v>202</v>
      </c>
      <c r="E3144" s="4">
        <v>6</v>
      </c>
      <c r="G3144">
        <f t="shared" si="49"/>
        <v>104</v>
      </c>
    </row>
    <row r="3145" spans="2:7" ht="15" hidden="1" x14ac:dyDescent="0.25">
      <c r="B3145" s="4">
        <v>584632300</v>
      </c>
      <c r="C3145" s="4" t="s">
        <v>268</v>
      </c>
      <c r="D3145" s="4">
        <v>202</v>
      </c>
      <c r="E3145" s="4">
        <v>6</v>
      </c>
      <c r="G3145">
        <f t="shared" si="49"/>
        <v>104</v>
      </c>
    </row>
    <row r="3146" spans="2:7" ht="15" hidden="1" x14ac:dyDescent="0.25">
      <c r="B3146" s="4">
        <v>584632300</v>
      </c>
      <c r="C3146" s="4" t="s">
        <v>268</v>
      </c>
      <c r="D3146" s="4">
        <v>203</v>
      </c>
      <c r="E3146" s="4">
        <v>9</v>
      </c>
      <c r="G3146">
        <f t="shared" si="49"/>
        <v>128</v>
      </c>
    </row>
    <row r="3147" spans="2:7" ht="15" hidden="1" x14ac:dyDescent="0.25">
      <c r="B3147" s="4">
        <v>584632300</v>
      </c>
      <c r="C3147" s="4" t="s">
        <v>268</v>
      </c>
      <c r="D3147" s="4">
        <v>203</v>
      </c>
      <c r="E3147" s="4">
        <v>9</v>
      </c>
      <c r="G3147">
        <f t="shared" si="49"/>
        <v>128</v>
      </c>
    </row>
    <row r="3148" spans="2:7" ht="15" hidden="1" x14ac:dyDescent="0.25">
      <c r="B3148" s="4">
        <v>584632300</v>
      </c>
      <c r="C3148" s="4" t="s">
        <v>268</v>
      </c>
      <c r="D3148" s="4">
        <v>204</v>
      </c>
      <c r="E3148" s="4">
        <v>7</v>
      </c>
      <c r="G3148">
        <f t="shared" si="49"/>
        <v>112</v>
      </c>
    </row>
    <row r="3149" spans="2:7" ht="15" hidden="1" x14ac:dyDescent="0.25">
      <c r="B3149" s="4">
        <v>584632300</v>
      </c>
      <c r="C3149" s="4" t="s">
        <v>268</v>
      </c>
      <c r="D3149" s="4">
        <v>204</v>
      </c>
      <c r="E3149" s="4">
        <v>7</v>
      </c>
      <c r="G3149">
        <f t="shared" si="49"/>
        <v>112</v>
      </c>
    </row>
    <row r="3150" spans="2:7" ht="15" hidden="1" x14ac:dyDescent="0.25">
      <c r="B3150" s="4">
        <v>584632300</v>
      </c>
      <c r="C3150" s="4" t="s">
        <v>268</v>
      </c>
      <c r="D3150" s="4">
        <v>205</v>
      </c>
      <c r="E3150" s="4">
        <v>7</v>
      </c>
      <c r="G3150">
        <f t="shared" si="49"/>
        <v>112</v>
      </c>
    </row>
    <row r="3151" spans="2:7" ht="15" hidden="1" x14ac:dyDescent="0.25">
      <c r="B3151" s="4">
        <v>584632300</v>
      </c>
      <c r="C3151" s="4" t="s">
        <v>268</v>
      </c>
      <c r="D3151" s="4">
        <v>205</v>
      </c>
      <c r="E3151" s="4">
        <v>7</v>
      </c>
      <c r="G3151">
        <f t="shared" si="49"/>
        <v>112</v>
      </c>
    </row>
    <row r="3152" spans="2:7" ht="15" hidden="1" x14ac:dyDescent="0.25">
      <c r="B3152" s="4">
        <v>584632300</v>
      </c>
      <c r="C3152" s="4" t="s">
        <v>268</v>
      </c>
      <c r="D3152" s="4">
        <v>206</v>
      </c>
      <c r="E3152" s="4">
        <v>7</v>
      </c>
      <c r="G3152">
        <f t="shared" si="49"/>
        <v>112</v>
      </c>
    </row>
    <row r="3153" spans="2:7" ht="15" hidden="1" x14ac:dyDescent="0.25">
      <c r="B3153" s="4">
        <v>584632300</v>
      </c>
      <c r="C3153" s="4" t="s">
        <v>268</v>
      </c>
      <c r="D3153" s="4">
        <v>206</v>
      </c>
      <c r="E3153" s="4">
        <v>7</v>
      </c>
      <c r="G3153">
        <f t="shared" si="49"/>
        <v>112</v>
      </c>
    </row>
    <row r="3154" spans="2:7" ht="15" hidden="1" x14ac:dyDescent="0.25">
      <c r="B3154" s="4">
        <v>584632300</v>
      </c>
      <c r="C3154" s="4" t="s">
        <v>269</v>
      </c>
      <c r="D3154" s="4">
        <v>571</v>
      </c>
      <c r="E3154" s="4">
        <v>57</v>
      </c>
      <c r="G3154">
        <f t="shared" si="49"/>
        <v>512</v>
      </c>
    </row>
    <row r="3155" spans="2:7" ht="15" hidden="1" x14ac:dyDescent="0.25">
      <c r="B3155" s="4">
        <v>584632301</v>
      </c>
      <c r="C3155" s="4" t="s">
        <v>269</v>
      </c>
      <c r="D3155" s="4">
        <v>572</v>
      </c>
      <c r="E3155" s="4">
        <v>57</v>
      </c>
      <c r="G3155">
        <f t="shared" si="49"/>
        <v>512</v>
      </c>
    </row>
    <row r="3156" spans="2:7" ht="15" hidden="1" x14ac:dyDescent="0.25">
      <c r="B3156" s="4">
        <v>584632302</v>
      </c>
      <c r="C3156" s="4" t="s">
        <v>268</v>
      </c>
      <c r="D3156" s="4">
        <v>207</v>
      </c>
      <c r="E3156" s="4">
        <v>7</v>
      </c>
      <c r="G3156">
        <f t="shared" si="49"/>
        <v>112</v>
      </c>
    </row>
    <row r="3157" spans="2:7" ht="15" hidden="1" x14ac:dyDescent="0.25">
      <c r="B3157" s="4">
        <v>584632302</v>
      </c>
      <c r="C3157" s="4" t="s">
        <v>268</v>
      </c>
      <c r="D3157" s="4">
        <v>207</v>
      </c>
      <c r="E3157" s="4">
        <v>7</v>
      </c>
      <c r="G3157">
        <f t="shared" si="49"/>
        <v>112</v>
      </c>
    </row>
    <row r="3158" spans="2:7" ht="15" hidden="1" x14ac:dyDescent="0.25">
      <c r="B3158" s="4">
        <v>584632302</v>
      </c>
      <c r="C3158" s="4" t="s">
        <v>268</v>
      </c>
      <c r="D3158" s="4">
        <v>208</v>
      </c>
      <c r="E3158" s="4">
        <v>5</v>
      </c>
      <c r="G3158">
        <f t="shared" si="49"/>
        <v>96</v>
      </c>
    </row>
    <row r="3159" spans="2:7" ht="15" hidden="1" x14ac:dyDescent="0.25">
      <c r="B3159" s="4">
        <v>584632302</v>
      </c>
      <c r="C3159" s="4" t="s">
        <v>268</v>
      </c>
      <c r="D3159" s="4">
        <v>208</v>
      </c>
      <c r="E3159" s="4">
        <v>5</v>
      </c>
      <c r="G3159">
        <f t="shared" si="49"/>
        <v>96</v>
      </c>
    </row>
    <row r="3160" spans="2:7" ht="15" hidden="1" x14ac:dyDescent="0.25">
      <c r="B3160" s="4">
        <v>584632302</v>
      </c>
      <c r="C3160" s="4" t="s">
        <v>268</v>
      </c>
      <c r="D3160" s="4">
        <v>209</v>
      </c>
      <c r="E3160" s="4">
        <v>7</v>
      </c>
      <c r="G3160">
        <f t="shared" si="49"/>
        <v>112</v>
      </c>
    </row>
    <row r="3161" spans="2:7" ht="15" hidden="1" x14ac:dyDescent="0.25">
      <c r="B3161" s="4">
        <v>584632302</v>
      </c>
      <c r="C3161" s="4" t="s">
        <v>268</v>
      </c>
      <c r="D3161" s="4">
        <v>209</v>
      </c>
      <c r="E3161" s="4">
        <v>7</v>
      </c>
      <c r="G3161">
        <f t="shared" si="49"/>
        <v>112</v>
      </c>
    </row>
    <row r="3162" spans="2:7" ht="15" hidden="1" x14ac:dyDescent="0.25">
      <c r="B3162" s="4">
        <v>584632302</v>
      </c>
      <c r="C3162" s="4" t="s">
        <v>269</v>
      </c>
      <c r="D3162" s="4">
        <v>573</v>
      </c>
      <c r="E3162" s="4">
        <v>57</v>
      </c>
      <c r="G3162">
        <f t="shared" si="49"/>
        <v>512</v>
      </c>
    </row>
    <row r="3163" spans="2:7" ht="15" hidden="1" x14ac:dyDescent="0.25">
      <c r="B3163" s="4">
        <v>584632303</v>
      </c>
      <c r="C3163" s="4" t="s">
        <v>269</v>
      </c>
      <c r="D3163" s="4">
        <v>574</v>
      </c>
      <c r="E3163" s="4">
        <v>57</v>
      </c>
      <c r="G3163">
        <f t="shared" si="49"/>
        <v>512</v>
      </c>
    </row>
    <row r="3164" spans="2:7" ht="15" hidden="1" x14ac:dyDescent="0.25">
      <c r="B3164" s="4">
        <v>584632304</v>
      </c>
      <c r="C3164" s="4" t="s">
        <v>269</v>
      </c>
      <c r="D3164" s="4">
        <v>575</v>
      </c>
      <c r="E3164" s="4">
        <v>57</v>
      </c>
      <c r="G3164">
        <f t="shared" si="49"/>
        <v>512</v>
      </c>
    </row>
    <row r="3165" spans="2:7" ht="15" hidden="1" x14ac:dyDescent="0.25">
      <c r="B3165" s="4">
        <v>584632305</v>
      </c>
      <c r="C3165" s="4" t="s">
        <v>269</v>
      </c>
      <c r="D3165" s="4">
        <v>576</v>
      </c>
      <c r="E3165" s="4">
        <v>57</v>
      </c>
      <c r="G3165">
        <f t="shared" si="49"/>
        <v>512</v>
      </c>
    </row>
    <row r="3166" spans="2:7" ht="15" hidden="1" x14ac:dyDescent="0.25">
      <c r="B3166" s="4">
        <v>584632306</v>
      </c>
      <c r="C3166" s="4" t="s">
        <v>269</v>
      </c>
      <c r="D3166" s="4">
        <v>577</v>
      </c>
      <c r="E3166" s="4">
        <v>57</v>
      </c>
      <c r="G3166">
        <f t="shared" si="49"/>
        <v>512</v>
      </c>
    </row>
    <row r="3167" spans="2:7" ht="15" hidden="1" x14ac:dyDescent="0.25">
      <c r="B3167" s="4">
        <v>584632307</v>
      </c>
      <c r="C3167" s="4" t="s">
        <v>269</v>
      </c>
      <c r="D3167" s="4">
        <v>578</v>
      </c>
      <c r="E3167" s="4">
        <v>57</v>
      </c>
      <c r="G3167">
        <f t="shared" si="49"/>
        <v>512</v>
      </c>
    </row>
    <row r="3168" spans="2:7" ht="15" hidden="1" x14ac:dyDescent="0.25">
      <c r="B3168" s="4">
        <v>584632308</v>
      </c>
      <c r="C3168" s="4" t="s">
        <v>269</v>
      </c>
      <c r="D3168" s="4">
        <v>579</v>
      </c>
      <c r="E3168" s="4">
        <v>57</v>
      </c>
      <c r="G3168">
        <f t="shared" si="49"/>
        <v>512</v>
      </c>
    </row>
    <row r="3169" spans="2:7" ht="15" hidden="1" x14ac:dyDescent="0.25">
      <c r="B3169" s="4">
        <v>584632308</v>
      </c>
      <c r="C3169" s="4" t="s">
        <v>272</v>
      </c>
      <c r="D3169" s="4">
        <v>46</v>
      </c>
      <c r="E3169" s="4">
        <v>219</v>
      </c>
      <c r="G3169">
        <f t="shared" si="49"/>
        <v>1808</v>
      </c>
    </row>
    <row r="3170" spans="2:7" ht="15" hidden="1" x14ac:dyDescent="0.25">
      <c r="B3170" s="4">
        <v>584632309</v>
      </c>
      <c r="C3170" s="4" t="s">
        <v>269</v>
      </c>
      <c r="D3170" s="4">
        <v>580</v>
      </c>
      <c r="E3170" s="4">
        <v>57</v>
      </c>
      <c r="G3170">
        <f t="shared" si="49"/>
        <v>512</v>
      </c>
    </row>
    <row r="3171" spans="2:7" ht="15" hidden="1" x14ac:dyDescent="0.25">
      <c r="B3171" s="4">
        <v>584632310</v>
      </c>
      <c r="C3171" s="4" t="s">
        <v>269</v>
      </c>
      <c r="D3171" s="4">
        <v>581</v>
      </c>
      <c r="E3171" s="4">
        <v>57</v>
      </c>
      <c r="G3171">
        <f t="shared" si="49"/>
        <v>512</v>
      </c>
    </row>
    <row r="3172" spans="2:7" ht="15" hidden="1" x14ac:dyDescent="0.25">
      <c r="B3172" s="4">
        <v>584632311</v>
      </c>
      <c r="C3172" s="4" t="s">
        <v>269</v>
      </c>
      <c r="D3172" s="4">
        <v>582</v>
      </c>
      <c r="E3172" s="4">
        <v>57</v>
      </c>
      <c r="G3172">
        <f t="shared" si="49"/>
        <v>512</v>
      </c>
    </row>
    <row r="3173" spans="2:7" ht="15" hidden="1" x14ac:dyDescent="0.25">
      <c r="B3173" s="4">
        <v>584632312</v>
      </c>
      <c r="C3173" s="4" t="s">
        <v>269</v>
      </c>
      <c r="D3173" s="4">
        <v>583</v>
      </c>
      <c r="E3173" s="4">
        <v>57</v>
      </c>
      <c r="G3173">
        <f t="shared" si="49"/>
        <v>512</v>
      </c>
    </row>
    <row r="3174" spans="2:7" ht="15" hidden="1" x14ac:dyDescent="0.25">
      <c r="B3174" s="4">
        <v>584632313</v>
      </c>
      <c r="C3174" s="4" t="s">
        <v>269</v>
      </c>
      <c r="D3174" s="4">
        <v>584</v>
      </c>
      <c r="E3174" s="4">
        <v>57</v>
      </c>
      <c r="G3174">
        <f t="shared" si="49"/>
        <v>512</v>
      </c>
    </row>
    <row r="3175" spans="2:7" ht="15" hidden="1" x14ac:dyDescent="0.25">
      <c r="B3175" s="4">
        <v>584632314</v>
      </c>
      <c r="C3175" s="4" t="s">
        <v>269</v>
      </c>
      <c r="D3175" s="4">
        <v>585</v>
      </c>
      <c r="E3175" s="4">
        <v>57</v>
      </c>
      <c r="G3175">
        <f t="shared" si="49"/>
        <v>512</v>
      </c>
    </row>
    <row r="3176" spans="2:7" ht="15" hidden="1" x14ac:dyDescent="0.25">
      <c r="B3176" s="4">
        <v>584632315</v>
      </c>
      <c r="C3176" s="4" t="s">
        <v>269</v>
      </c>
      <c r="D3176" s="4">
        <v>586</v>
      </c>
      <c r="E3176" s="4">
        <v>57</v>
      </c>
      <c r="G3176">
        <f t="shared" si="49"/>
        <v>512</v>
      </c>
    </row>
    <row r="3177" spans="2:7" ht="15" hidden="1" x14ac:dyDescent="0.25">
      <c r="B3177" s="4">
        <v>584632316</v>
      </c>
      <c r="C3177" s="4" t="s">
        <v>269</v>
      </c>
      <c r="D3177" s="4">
        <v>587</v>
      </c>
      <c r="E3177" s="4">
        <v>57</v>
      </c>
      <c r="G3177">
        <f t="shared" si="49"/>
        <v>512</v>
      </c>
    </row>
    <row r="3178" spans="2:7" ht="15" hidden="1" x14ac:dyDescent="0.25">
      <c r="B3178" s="4">
        <v>584632317</v>
      </c>
      <c r="C3178" s="4" t="s">
        <v>269</v>
      </c>
      <c r="D3178" s="4">
        <v>588</v>
      </c>
      <c r="E3178" s="4">
        <v>57</v>
      </c>
      <c r="G3178">
        <f t="shared" si="49"/>
        <v>512</v>
      </c>
    </row>
    <row r="3179" spans="2:7" ht="15" hidden="1" x14ac:dyDescent="0.25">
      <c r="B3179" s="4">
        <v>584632318</v>
      </c>
      <c r="C3179" s="4" t="s">
        <v>269</v>
      </c>
      <c r="D3179" s="4">
        <v>589</v>
      </c>
      <c r="E3179" s="4">
        <v>57</v>
      </c>
      <c r="G3179">
        <f t="shared" si="49"/>
        <v>512</v>
      </c>
    </row>
    <row r="3180" spans="2:7" ht="15" hidden="1" x14ac:dyDescent="0.25">
      <c r="B3180" s="4">
        <v>584632318</v>
      </c>
      <c r="C3180" s="4" t="s">
        <v>272</v>
      </c>
      <c r="D3180" s="4">
        <v>47</v>
      </c>
      <c r="E3180" s="4">
        <v>217</v>
      </c>
      <c r="G3180">
        <f t="shared" si="49"/>
        <v>1792</v>
      </c>
    </row>
    <row r="3181" spans="2:7" ht="15" hidden="1" x14ac:dyDescent="0.25">
      <c r="B3181" s="4">
        <v>584632319</v>
      </c>
      <c r="C3181" s="4" t="s">
        <v>269</v>
      </c>
      <c r="D3181" s="4">
        <v>590</v>
      </c>
      <c r="E3181" s="4">
        <v>57</v>
      </c>
      <c r="G3181">
        <f t="shared" si="49"/>
        <v>512</v>
      </c>
    </row>
    <row r="3182" spans="2:7" ht="15" hidden="1" x14ac:dyDescent="0.25">
      <c r="B3182" s="4">
        <v>584632320</v>
      </c>
      <c r="C3182" s="4" t="s">
        <v>269</v>
      </c>
      <c r="D3182" s="4">
        <v>591</v>
      </c>
      <c r="E3182" s="4">
        <v>57</v>
      </c>
      <c r="G3182">
        <f t="shared" si="49"/>
        <v>512</v>
      </c>
    </row>
    <row r="3183" spans="2:7" ht="15" hidden="1" x14ac:dyDescent="0.25">
      <c r="B3183" s="4">
        <v>584632321</v>
      </c>
      <c r="C3183" s="4" t="s">
        <v>269</v>
      </c>
      <c r="D3183" s="4">
        <v>592</v>
      </c>
      <c r="E3183" s="4">
        <v>57</v>
      </c>
      <c r="G3183">
        <f t="shared" si="49"/>
        <v>512</v>
      </c>
    </row>
    <row r="3184" spans="2:7" ht="15" hidden="1" x14ac:dyDescent="0.25">
      <c r="B3184" s="4">
        <v>584632322</v>
      </c>
      <c r="C3184" s="4" t="s">
        <v>269</v>
      </c>
      <c r="D3184" s="4">
        <v>593</v>
      </c>
      <c r="E3184" s="4">
        <v>57</v>
      </c>
      <c r="G3184">
        <f t="shared" si="49"/>
        <v>512</v>
      </c>
    </row>
    <row r="3185" spans="2:7" ht="15" hidden="1" x14ac:dyDescent="0.25">
      <c r="B3185" s="4">
        <v>584632323</v>
      </c>
      <c r="C3185" s="4" t="s">
        <v>269</v>
      </c>
      <c r="D3185" s="4">
        <v>594</v>
      </c>
      <c r="E3185" s="4">
        <v>57</v>
      </c>
      <c r="G3185">
        <f t="shared" si="49"/>
        <v>512</v>
      </c>
    </row>
    <row r="3186" spans="2:7" ht="15" hidden="1" x14ac:dyDescent="0.25">
      <c r="B3186" s="4">
        <v>584632324</v>
      </c>
      <c r="C3186" s="4" t="s">
        <v>269</v>
      </c>
      <c r="D3186" s="4">
        <v>595</v>
      </c>
      <c r="E3186" s="4">
        <v>57</v>
      </c>
      <c r="G3186">
        <f t="shared" si="49"/>
        <v>512</v>
      </c>
    </row>
    <row r="3187" spans="2:7" ht="15" hidden="1" x14ac:dyDescent="0.25">
      <c r="B3187" s="4">
        <v>584632325</v>
      </c>
      <c r="C3187" s="4" t="s">
        <v>269</v>
      </c>
      <c r="D3187" s="4">
        <v>596</v>
      </c>
      <c r="E3187" s="4">
        <v>57</v>
      </c>
      <c r="G3187">
        <f t="shared" si="49"/>
        <v>512</v>
      </c>
    </row>
    <row r="3188" spans="2:7" ht="15" hidden="1" x14ac:dyDescent="0.25">
      <c r="B3188" s="4">
        <v>584632326</v>
      </c>
      <c r="C3188" s="4" t="s">
        <v>269</v>
      </c>
      <c r="D3188" s="4">
        <v>597</v>
      </c>
      <c r="E3188" s="4">
        <v>57</v>
      </c>
      <c r="G3188">
        <f t="shared" si="49"/>
        <v>512</v>
      </c>
    </row>
    <row r="3189" spans="2:7" ht="15" hidden="1" x14ac:dyDescent="0.25">
      <c r="B3189" s="4">
        <v>584632327</v>
      </c>
      <c r="C3189" s="4" t="s">
        <v>269</v>
      </c>
      <c r="D3189" s="4">
        <v>598</v>
      </c>
      <c r="E3189" s="4">
        <v>57</v>
      </c>
      <c r="G3189">
        <f t="shared" si="49"/>
        <v>512</v>
      </c>
    </row>
    <row r="3190" spans="2:7" ht="15" hidden="1" x14ac:dyDescent="0.25">
      <c r="B3190" s="4">
        <v>584632328</v>
      </c>
      <c r="C3190" s="4" t="s">
        <v>269</v>
      </c>
      <c r="D3190" s="4">
        <v>599</v>
      </c>
      <c r="E3190" s="4">
        <v>57</v>
      </c>
      <c r="G3190">
        <f t="shared" si="49"/>
        <v>512</v>
      </c>
    </row>
    <row r="3191" spans="2:7" ht="15" hidden="1" x14ac:dyDescent="0.25">
      <c r="B3191" s="4">
        <v>584632328</v>
      </c>
      <c r="C3191" s="4" t="s">
        <v>272</v>
      </c>
      <c r="D3191" s="4">
        <v>48</v>
      </c>
      <c r="E3191" s="4">
        <v>217</v>
      </c>
      <c r="G3191">
        <f t="shared" si="49"/>
        <v>1792</v>
      </c>
    </row>
    <row r="3192" spans="2:7" ht="15" hidden="1" x14ac:dyDescent="0.25">
      <c r="B3192" s="4">
        <v>584632329</v>
      </c>
      <c r="C3192" s="4" t="s">
        <v>269</v>
      </c>
      <c r="D3192" s="4">
        <v>600</v>
      </c>
      <c r="E3192" s="4">
        <v>57</v>
      </c>
      <c r="G3192">
        <f t="shared" si="49"/>
        <v>512</v>
      </c>
    </row>
    <row r="3193" spans="2:7" ht="15" hidden="1" x14ac:dyDescent="0.25">
      <c r="B3193" s="4">
        <v>584632330</v>
      </c>
      <c r="C3193" s="4" t="s">
        <v>269</v>
      </c>
      <c r="D3193" s="4">
        <v>601</v>
      </c>
      <c r="E3193" s="4">
        <v>57</v>
      </c>
      <c r="G3193">
        <f t="shared" si="49"/>
        <v>512</v>
      </c>
    </row>
    <row r="3194" spans="2:7" ht="15" hidden="1" x14ac:dyDescent="0.25">
      <c r="B3194" s="4">
        <v>584632331</v>
      </c>
      <c r="C3194" s="4" t="s">
        <v>269</v>
      </c>
      <c r="D3194" s="4">
        <v>602</v>
      </c>
      <c r="E3194" s="4">
        <v>57</v>
      </c>
      <c r="G3194">
        <f t="shared" si="49"/>
        <v>512</v>
      </c>
    </row>
    <row r="3195" spans="2:7" ht="15" hidden="1" x14ac:dyDescent="0.25">
      <c r="B3195" s="4">
        <v>584632332</v>
      </c>
      <c r="C3195" s="4" t="s">
        <v>269</v>
      </c>
      <c r="D3195" s="4">
        <v>603</v>
      </c>
      <c r="E3195" s="4">
        <v>57</v>
      </c>
      <c r="G3195">
        <f t="shared" si="49"/>
        <v>512</v>
      </c>
    </row>
    <row r="3196" spans="2:7" ht="15" hidden="1" x14ac:dyDescent="0.25">
      <c r="B3196" s="4">
        <v>584632333</v>
      </c>
      <c r="C3196" s="4" t="s">
        <v>269</v>
      </c>
      <c r="D3196" s="4">
        <v>604</v>
      </c>
      <c r="E3196" s="4">
        <v>57</v>
      </c>
      <c r="G3196">
        <f t="shared" si="49"/>
        <v>512</v>
      </c>
    </row>
    <row r="3197" spans="2:7" ht="15" hidden="1" x14ac:dyDescent="0.25">
      <c r="B3197" s="4">
        <v>584632334</v>
      </c>
      <c r="C3197" s="4" t="s">
        <v>269</v>
      </c>
      <c r="D3197" s="4">
        <v>605</v>
      </c>
      <c r="E3197" s="4">
        <v>57</v>
      </c>
      <c r="G3197">
        <f t="shared" si="49"/>
        <v>512</v>
      </c>
    </row>
    <row r="3198" spans="2:7" ht="15" hidden="1" x14ac:dyDescent="0.25">
      <c r="B3198" s="4">
        <v>584632335</v>
      </c>
      <c r="C3198" s="4" t="s">
        <v>269</v>
      </c>
      <c r="D3198" s="4">
        <v>606</v>
      </c>
      <c r="E3198" s="4">
        <v>57</v>
      </c>
      <c r="G3198">
        <f t="shared" si="49"/>
        <v>512</v>
      </c>
    </row>
    <row r="3199" spans="2:7" ht="15" hidden="1" x14ac:dyDescent="0.25">
      <c r="B3199" s="4">
        <v>584632336</v>
      </c>
      <c r="C3199" s="4" t="s">
        <v>269</v>
      </c>
      <c r="D3199" s="4">
        <v>607</v>
      </c>
      <c r="E3199" s="4">
        <v>57</v>
      </c>
      <c r="G3199">
        <f t="shared" si="49"/>
        <v>512</v>
      </c>
    </row>
    <row r="3200" spans="2:7" ht="15" hidden="1" x14ac:dyDescent="0.25">
      <c r="B3200" s="4">
        <v>584632337</v>
      </c>
      <c r="C3200" s="4" t="s">
        <v>269</v>
      </c>
      <c r="D3200" s="4">
        <v>608</v>
      </c>
      <c r="E3200" s="4">
        <v>57</v>
      </c>
      <c r="G3200">
        <f t="shared" si="49"/>
        <v>512</v>
      </c>
    </row>
    <row r="3201" spans="2:7" ht="15" hidden="1" x14ac:dyDescent="0.25">
      <c r="B3201" s="4">
        <v>584632338</v>
      </c>
      <c r="C3201" s="4" t="s">
        <v>269</v>
      </c>
      <c r="D3201" s="4">
        <v>609</v>
      </c>
      <c r="E3201" s="4">
        <v>57</v>
      </c>
      <c r="G3201">
        <f t="shared" si="49"/>
        <v>512</v>
      </c>
    </row>
    <row r="3202" spans="2:7" ht="15" hidden="1" x14ac:dyDescent="0.25">
      <c r="B3202" s="4">
        <v>584632338</v>
      </c>
      <c r="C3202" s="4" t="s">
        <v>272</v>
      </c>
      <c r="D3202" s="4">
        <v>49</v>
      </c>
      <c r="E3202" s="4">
        <v>217</v>
      </c>
      <c r="G3202">
        <f t="shared" si="49"/>
        <v>1792</v>
      </c>
    </row>
    <row r="3203" spans="2:7" ht="15" hidden="1" x14ac:dyDescent="0.25">
      <c r="B3203" s="4">
        <v>584632339</v>
      </c>
      <c r="C3203" s="4" t="s">
        <v>269</v>
      </c>
      <c r="D3203" s="4">
        <v>610</v>
      </c>
      <c r="E3203" s="4">
        <v>57</v>
      </c>
      <c r="G3203">
        <f t="shared" si="49"/>
        <v>512</v>
      </c>
    </row>
    <row r="3204" spans="2:7" ht="15" hidden="1" x14ac:dyDescent="0.25">
      <c r="B3204" s="4">
        <v>584632340</v>
      </c>
      <c r="C3204" s="4" t="s">
        <v>269</v>
      </c>
      <c r="D3204" s="4">
        <v>611</v>
      </c>
      <c r="E3204" s="4">
        <v>57</v>
      </c>
      <c r="G3204">
        <f t="shared" ref="G3204:G3267" si="50">(E3204+7)*8</f>
        <v>512</v>
      </c>
    </row>
    <row r="3205" spans="2:7" ht="15" hidden="1" x14ac:dyDescent="0.25">
      <c r="B3205" s="4">
        <v>584632341</v>
      </c>
      <c r="C3205" s="4" t="s">
        <v>269</v>
      </c>
      <c r="D3205" s="4">
        <v>612</v>
      </c>
      <c r="E3205" s="4">
        <v>57</v>
      </c>
      <c r="G3205">
        <f t="shared" si="50"/>
        <v>512</v>
      </c>
    </row>
    <row r="3206" spans="2:7" ht="15" hidden="1" x14ac:dyDescent="0.25">
      <c r="B3206" s="4">
        <v>584632342</v>
      </c>
      <c r="C3206" s="4" t="s">
        <v>269</v>
      </c>
      <c r="D3206" s="4">
        <v>613</v>
      </c>
      <c r="E3206" s="4">
        <v>57</v>
      </c>
      <c r="G3206">
        <f t="shared" si="50"/>
        <v>512</v>
      </c>
    </row>
    <row r="3207" spans="2:7" ht="15" hidden="1" x14ac:dyDescent="0.25">
      <c r="B3207" s="4">
        <v>584632343</v>
      </c>
      <c r="C3207" s="4" t="s">
        <v>269</v>
      </c>
      <c r="D3207" s="4">
        <v>614</v>
      </c>
      <c r="E3207" s="4">
        <v>57</v>
      </c>
      <c r="G3207">
        <f t="shared" si="50"/>
        <v>512</v>
      </c>
    </row>
    <row r="3208" spans="2:7" ht="15" hidden="1" x14ac:dyDescent="0.25">
      <c r="B3208" s="4">
        <v>584632344</v>
      </c>
      <c r="C3208" s="4" t="s">
        <v>269</v>
      </c>
      <c r="D3208" s="4">
        <v>615</v>
      </c>
      <c r="E3208" s="4">
        <v>57</v>
      </c>
      <c r="G3208">
        <f t="shared" si="50"/>
        <v>512</v>
      </c>
    </row>
    <row r="3209" spans="2:7" ht="15" hidden="1" x14ac:dyDescent="0.25">
      <c r="B3209" s="4">
        <v>584632345</v>
      </c>
      <c r="C3209" s="4" t="s">
        <v>269</v>
      </c>
      <c r="D3209" s="4">
        <v>616</v>
      </c>
      <c r="E3209" s="4">
        <v>57</v>
      </c>
      <c r="G3209">
        <f t="shared" si="50"/>
        <v>512</v>
      </c>
    </row>
    <row r="3210" spans="2:7" ht="15" hidden="1" x14ac:dyDescent="0.25">
      <c r="B3210" s="4">
        <v>584632346</v>
      </c>
      <c r="C3210" s="4" t="s">
        <v>269</v>
      </c>
      <c r="D3210" s="4">
        <v>617</v>
      </c>
      <c r="E3210" s="4">
        <v>57</v>
      </c>
      <c r="G3210">
        <f t="shared" si="50"/>
        <v>512</v>
      </c>
    </row>
    <row r="3211" spans="2:7" ht="15" hidden="1" x14ac:dyDescent="0.25">
      <c r="B3211" s="4">
        <v>584632347</v>
      </c>
      <c r="C3211" s="4" t="s">
        <v>269</v>
      </c>
      <c r="D3211" s="4">
        <v>618</v>
      </c>
      <c r="E3211" s="4">
        <v>57</v>
      </c>
      <c r="G3211">
        <f t="shared" si="50"/>
        <v>512</v>
      </c>
    </row>
    <row r="3212" spans="2:7" ht="15" hidden="1" x14ac:dyDescent="0.25">
      <c r="B3212" s="4">
        <v>584632348</v>
      </c>
      <c r="C3212" s="4" t="s">
        <v>269</v>
      </c>
      <c r="D3212" s="4">
        <v>619</v>
      </c>
      <c r="E3212" s="4">
        <v>57</v>
      </c>
      <c r="G3212">
        <f t="shared" si="50"/>
        <v>512</v>
      </c>
    </row>
    <row r="3213" spans="2:7" ht="15" hidden="1" x14ac:dyDescent="0.25">
      <c r="B3213" s="4">
        <v>584632348</v>
      </c>
      <c r="C3213" s="4" t="s">
        <v>272</v>
      </c>
      <c r="D3213" s="4">
        <v>50</v>
      </c>
      <c r="E3213" s="4">
        <v>217</v>
      </c>
      <c r="G3213">
        <f t="shared" si="50"/>
        <v>1792</v>
      </c>
    </row>
    <row r="3214" spans="2:7" ht="15" hidden="1" x14ac:dyDescent="0.25">
      <c r="B3214" s="4">
        <v>584632349</v>
      </c>
      <c r="C3214" s="4" t="s">
        <v>269</v>
      </c>
      <c r="D3214" s="4">
        <v>620</v>
      </c>
      <c r="E3214" s="4">
        <v>57</v>
      </c>
      <c r="G3214">
        <f t="shared" si="50"/>
        <v>512</v>
      </c>
    </row>
    <row r="3215" spans="2:7" ht="15" hidden="1" x14ac:dyDescent="0.25">
      <c r="B3215" s="4">
        <v>584632350</v>
      </c>
      <c r="C3215" s="4" t="s">
        <v>269</v>
      </c>
      <c r="D3215" s="4">
        <v>621</v>
      </c>
      <c r="E3215" s="4">
        <v>57</v>
      </c>
      <c r="G3215">
        <f t="shared" si="50"/>
        <v>512</v>
      </c>
    </row>
    <row r="3216" spans="2:7" ht="15" hidden="1" x14ac:dyDescent="0.25">
      <c r="B3216" s="4">
        <v>584632351</v>
      </c>
      <c r="C3216" s="4" t="s">
        <v>269</v>
      </c>
      <c r="D3216" s="4">
        <v>622</v>
      </c>
      <c r="E3216" s="4">
        <v>57</v>
      </c>
      <c r="G3216">
        <f t="shared" si="50"/>
        <v>512</v>
      </c>
    </row>
    <row r="3217" spans="2:7" ht="15" hidden="1" x14ac:dyDescent="0.25">
      <c r="B3217" s="4">
        <v>584632352</v>
      </c>
      <c r="C3217" s="4" t="s">
        <v>269</v>
      </c>
      <c r="D3217" s="4">
        <v>623</v>
      </c>
      <c r="E3217" s="4">
        <v>57</v>
      </c>
      <c r="G3217">
        <f t="shared" si="50"/>
        <v>512</v>
      </c>
    </row>
    <row r="3218" spans="2:7" ht="15" hidden="1" x14ac:dyDescent="0.25">
      <c r="B3218" s="4">
        <v>584632353</v>
      </c>
      <c r="C3218" s="4" t="s">
        <v>269</v>
      </c>
      <c r="D3218" s="4">
        <v>624</v>
      </c>
      <c r="E3218" s="4">
        <v>57</v>
      </c>
      <c r="G3218">
        <f t="shared" si="50"/>
        <v>512</v>
      </c>
    </row>
    <row r="3219" spans="2:7" ht="15" hidden="1" x14ac:dyDescent="0.25">
      <c r="B3219" s="4">
        <v>584632354</v>
      </c>
      <c r="C3219" s="4" t="s">
        <v>269</v>
      </c>
      <c r="D3219" s="4">
        <v>625</v>
      </c>
      <c r="E3219" s="4">
        <v>57</v>
      </c>
      <c r="G3219">
        <f t="shared" si="50"/>
        <v>512</v>
      </c>
    </row>
    <row r="3220" spans="2:7" ht="15" hidden="1" x14ac:dyDescent="0.25">
      <c r="B3220" s="4">
        <v>584632355</v>
      </c>
      <c r="C3220" s="4" t="s">
        <v>269</v>
      </c>
      <c r="D3220" s="4">
        <v>626</v>
      </c>
      <c r="E3220" s="4">
        <v>57</v>
      </c>
      <c r="G3220">
        <f t="shared" si="50"/>
        <v>512</v>
      </c>
    </row>
    <row r="3221" spans="2:7" ht="15" hidden="1" x14ac:dyDescent="0.25">
      <c r="B3221" s="4">
        <v>584632356</v>
      </c>
      <c r="C3221" s="4" t="s">
        <v>269</v>
      </c>
      <c r="D3221" s="4">
        <v>627</v>
      </c>
      <c r="E3221" s="4">
        <v>57</v>
      </c>
      <c r="G3221">
        <f t="shared" si="50"/>
        <v>512</v>
      </c>
    </row>
    <row r="3222" spans="2:7" ht="15" hidden="1" x14ac:dyDescent="0.25">
      <c r="B3222" s="4">
        <v>584632357</v>
      </c>
      <c r="C3222" s="4" t="s">
        <v>269</v>
      </c>
      <c r="D3222" s="4">
        <v>628</v>
      </c>
      <c r="E3222" s="4">
        <v>57</v>
      </c>
      <c r="G3222">
        <f t="shared" si="50"/>
        <v>512</v>
      </c>
    </row>
    <row r="3223" spans="2:7" ht="15" hidden="1" x14ac:dyDescent="0.25">
      <c r="B3223" s="4">
        <v>584632358</v>
      </c>
      <c r="C3223" s="4" t="s">
        <v>269</v>
      </c>
      <c r="D3223" s="4">
        <v>629</v>
      </c>
      <c r="E3223" s="4">
        <v>57</v>
      </c>
      <c r="G3223">
        <f t="shared" si="50"/>
        <v>512</v>
      </c>
    </row>
    <row r="3224" spans="2:7" ht="15" hidden="1" x14ac:dyDescent="0.25">
      <c r="B3224" s="4">
        <v>584632358</v>
      </c>
      <c r="C3224" s="4" t="s">
        <v>272</v>
      </c>
      <c r="D3224" s="4">
        <v>51</v>
      </c>
      <c r="E3224" s="4">
        <v>217</v>
      </c>
      <c r="G3224">
        <f t="shared" si="50"/>
        <v>1792</v>
      </c>
    </row>
    <row r="3225" spans="2:7" ht="15" hidden="1" x14ac:dyDescent="0.25">
      <c r="B3225" s="4">
        <v>584632359</v>
      </c>
      <c r="C3225" s="4" t="s">
        <v>269</v>
      </c>
      <c r="D3225" s="4">
        <v>630</v>
      </c>
      <c r="E3225" s="4">
        <v>57</v>
      </c>
      <c r="G3225">
        <f t="shared" si="50"/>
        <v>512</v>
      </c>
    </row>
    <row r="3226" spans="2:7" ht="15" hidden="1" x14ac:dyDescent="0.25">
      <c r="B3226" s="4">
        <v>584632360</v>
      </c>
      <c r="C3226" s="4" t="s">
        <v>269</v>
      </c>
      <c r="D3226" s="4">
        <v>631</v>
      </c>
      <c r="E3226" s="4">
        <v>57</v>
      </c>
      <c r="G3226">
        <f t="shared" si="50"/>
        <v>512</v>
      </c>
    </row>
    <row r="3227" spans="2:7" ht="15" hidden="1" x14ac:dyDescent="0.25">
      <c r="B3227" s="4">
        <v>584632361</v>
      </c>
      <c r="C3227" s="4" t="s">
        <v>269</v>
      </c>
      <c r="D3227" s="4">
        <v>632</v>
      </c>
      <c r="E3227" s="4">
        <v>57</v>
      </c>
      <c r="G3227">
        <f t="shared" si="50"/>
        <v>512</v>
      </c>
    </row>
    <row r="3228" spans="2:7" ht="15" hidden="1" x14ac:dyDescent="0.25">
      <c r="B3228" s="4">
        <v>584632362</v>
      </c>
      <c r="C3228" s="4" t="s">
        <v>268</v>
      </c>
      <c r="D3228" s="4">
        <v>210</v>
      </c>
      <c r="E3228" s="4">
        <v>6</v>
      </c>
      <c r="G3228">
        <f t="shared" si="50"/>
        <v>104</v>
      </c>
    </row>
    <row r="3229" spans="2:7" ht="15" hidden="1" x14ac:dyDescent="0.25">
      <c r="B3229" s="4">
        <v>584632362</v>
      </c>
      <c r="C3229" s="4" t="s">
        <v>268</v>
      </c>
      <c r="D3229" s="4">
        <v>210</v>
      </c>
      <c r="E3229" s="4">
        <v>6</v>
      </c>
      <c r="G3229">
        <f t="shared" si="50"/>
        <v>104</v>
      </c>
    </row>
    <row r="3230" spans="2:7" ht="15" hidden="1" x14ac:dyDescent="0.25">
      <c r="B3230" s="4">
        <v>584632362</v>
      </c>
      <c r="C3230" s="4" t="s">
        <v>268</v>
      </c>
      <c r="D3230" s="4">
        <v>211</v>
      </c>
      <c r="E3230" s="4">
        <v>9</v>
      </c>
      <c r="G3230">
        <f t="shared" si="50"/>
        <v>128</v>
      </c>
    </row>
    <row r="3231" spans="2:7" ht="15" hidden="1" x14ac:dyDescent="0.25">
      <c r="B3231" s="4">
        <v>584632362</v>
      </c>
      <c r="C3231" s="4" t="s">
        <v>268</v>
      </c>
      <c r="D3231" s="4">
        <v>211</v>
      </c>
      <c r="E3231" s="4">
        <v>9</v>
      </c>
      <c r="G3231">
        <f t="shared" si="50"/>
        <v>128</v>
      </c>
    </row>
    <row r="3232" spans="2:7" ht="15" hidden="1" x14ac:dyDescent="0.25">
      <c r="B3232" s="4">
        <v>584632362</v>
      </c>
      <c r="C3232" s="4" t="s">
        <v>268</v>
      </c>
      <c r="D3232" s="4">
        <v>212</v>
      </c>
      <c r="E3232" s="4">
        <v>7</v>
      </c>
      <c r="G3232">
        <f t="shared" si="50"/>
        <v>112</v>
      </c>
    </row>
    <row r="3233" spans="2:7" ht="15" hidden="1" x14ac:dyDescent="0.25">
      <c r="B3233" s="4">
        <v>584632362</v>
      </c>
      <c r="C3233" s="4" t="s">
        <v>268</v>
      </c>
      <c r="D3233" s="4">
        <v>212</v>
      </c>
      <c r="E3233" s="4">
        <v>7</v>
      </c>
      <c r="G3233">
        <f t="shared" si="50"/>
        <v>112</v>
      </c>
    </row>
    <row r="3234" spans="2:7" ht="15" hidden="1" x14ac:dyDescent="0.25">
      <c r="B3234" s="4">
        <v>584632362</v>
      </c>
      <c r="C3234" s="4" t="s">
        <v>268</v>
      </c>
      <c r="D3234" s="4">
        <v>213</v>
      </c>
      <c r="E3234" s="4">
        <v>7</v>
      </c>
      <c r="G3234">
        <f t="shared" si="50"/>
        <v>112</v>
      </c>
    </row>
    <row r="3235" spans="2:7" ht="15" hidden="1" x14ac:dyDescent="0.25">
      <c r="B3235" s="4">
        <v>584632362</v>
      </c>
      <c r="C3235" s="4" t="s">
        <v>268</v>
      </c>
      <c r="D3235" s="4">
        <v>213</v>
      </c>
      <c r="E3235" s="4">
        <v>7</v>
      </c>
      <c r="G3235">
        <f t="shared" si="50"/>
        <v>112</v>
      </c>
    </row>
    <row r="3236" spans="2:7" ht="15" hidden="1" x14ac:dyDescent="0.25">
      <c r="B3236" s="4">
        <v>584632362</v>
      </c>
      <c r="C3236" s="4" t="s">
        <v>268</v>
      </c>
      <c r="D3236" s="4">
        <v>214</v>
      </c>
      <c r="E3236" s="4">
        <v>7</v>
      </c>
      <c r="G3236">
        <f t="shared" si="50"/>
        <v>112</v>
      </c>
    </row>
    <row r="3237" spans="2:7" ht="15" hidden="1" x14ac:dyDescent="0.25">
      <c r="B3237" s="4">
        <v>584632362</v>
      </c>
      <c r="C3237" s="4" t="s">
        <v>268</v>
      </c>
      <c r="D3237" s="4">
        <v>214</v>
      </c>
      <c r="E3237" s="4">
        <v>7</v>
      </c>
      <c r="G3237">
        <f t="shared" si="50"/>
        <v>112</v>
      </c>
    </row>
    <row r="3238" spans="2:7" ht="15" hidden="1" x14ac:dyDescent="0.25">
      <c r="B3238" s="4">
        <v>584632362</v>
      </c>
      <c r="C3238" s="4" t="s">
        <v>269</v>
      </c>
      <c r="D3238" s="4">
        <v>633</v>
      </c>
      <c r="E3238" s="4">
        <v>57</v>
      </c>
      <c r="G3238">
        <f t="shared" si="50"/>
        <v>512</v>
      </c>
    </row>
    <row r="3239" spans="2:7" ht="15" hidden="1" x14ac:dyDescent="0.25">
      <c r="B3239" s="4">
        <v>584632363</v>
      </c>
      <c r="C3239" s="4" t="s">
        <v>269</v>
      </c>
      <c r="D3239" s="4">
        <v>634</v>
      </c>
      <c r="E3239" s="4">
        <v>57</v>
      </c>
      <c r="G3239">
        <f t="shared" si="50"/>
        <v>512</v>
      </c>
    </row>
    <row r="3240" spans="2:7" ht="15" hidden="1" x14ac:dyDescent="0.25">
      <c r="B3240" s="4">
        <v>584632364</v>
      </c>
      <c r="C3240" s="4" t="s">
        <v>268</v>
      </c>
      <c r="D3240" s="4">
        <v>215</v>
      </c>
      <c r="E3240" s="4">
        <v>7</v>
      </c>
      <c r="G3240">
        <f t="shared" si="50"/>
        <v>112</v>
      </c>
    </row>
    <row r="3241" spans="2:7" ht="15" hidden="1" x14ac:dyDescent="0.25">
      <c r="B3241" s="4">
        <v>584632364</v>
      </c>
      <c r="C3241" s="4" t="s">
        <v>268</v>
      </c>
      <c r="D3241" s="4">
        <v>215</v>
      </c>
      <c r="E3241" s="4">
        <v>7</v>
      </c>
      <c r="G3241">
        <f t="shared" si="50"/>
        <v>112</v>
      </c>
    </row>
    <row r="3242" spans="2:7" ht="15" hidden="1" x14ac:dyDescent="0.25">
      <c r="B3242" s="4">
        <v>584632364</v>
      </c>
      <c r="C3242" s="4" t="s">
        <v>268</v>
      </c>
      <c r="D3242" s="4">
        <v>216</v>
      </c>
      <c r="E3242" s="4">
        <v>5</v>
      </c>
      <c r="G3242">
        <f t="shared" si="50"/>
        <v>96</v>
      </c>
    </row>
    <row r="3243" spans="2:7" ht="15" hidden="1" x14ac:dyDescent="0.25">
      <c r="B3243" s="4">
        <v>584632364</v>
      </c>
      <c r="C3243" s="4" t="s">
        <v>268</v>
      </c>
      <c r="D3243" s="4">
        <v>216</v>
      </c>
      <c r="E3243" s="4">
        <v>5</v>
      </c>
      <c r="G3243">
        <f t="shared" si="50"/>
        <v>96</v>
      </c>
    </row>
    <row r="3244" spans="2:7" ht="15" hidden="1" x14ac:dyDescent="0.25">
      <c r="B3244" s="4">
        <v>584632364</v>
      </c>
      <c r="C3244" s="4" t="s">
        <v>268</v>
      </c>
      <c r="D3244" s="4">
        <v>217</v>
      </c>
      <c r="E3244" s="4">
        <v>7</v>
      </c>
      <c r="G3244">
        <f t="shared" si="50"/>
        <v>112</v>
      </c>
    </row>
    <row r="3245" spans="2:7" ht="15" hidden="1" x14ac:dyDescent="0.25">
      <c r="B3245" s="4">
        <v>584632364</v>
      </c>
      <c r="C3245" s="4" t="s">
        <v>268</v>
      </c>
      <c r="D3245" s="4">
        <v>217</v>
      </c>
      <c r="E3245" s="4">
        <v>7</v>
      </c>
      <c r="G3245">
        <f t="shared" si="50"/>
        <v>112</v>
      </c>
    </row>
    <row r="3246" spans="2:7" ht="15" hidden="1" x14ac:dyDescent="0.25">
      <c r="B3246" s="4">
        <v>584632364</v>
      </c>
      <c r="C3246" s="4" t="s">
        <v>269</v>
      </c>
      <c r="D3246" s="4">
        <v>635</v>
      </c>
      <c r="E3246" s="4">
        <v>57</v>
      </c>
      <c r="G3246">
        <f t="shared" si="50"/>
        <v>512</v>
      </c>
    </row>
    <row r="3247" spans="2:7" ht="15" hidden="1" x14ac:dyDescent="0.25">
      <c r="B3247" s="4">
        <v>584632365</v>
      </c>
      <c r="C3247" s="4" t="s">
        <v>269</v>
      </c>
      <c r="D3247" s="4">
        <v>636</v>
      </c>
      <c r="E3247" s="4">
        <v>57</v>
      </c>
      <c r="G3247">
        <f t="shared" si="50"/>
        <v>512</v>
      </c>
    </row>
    <row r="3248" spans="2:7" ht="15" hidden="1" x14ac:dyDescent="0.25">
      <c r="B3248" s="4">
        <v>584632366</v>
      </c>
      <c r="C3248" s="4" t="s">
        <v>269</v>
      </c>
      <c r="D3248" s="4">
        <v>637</v>
      </c>
      <c r="E3248" s="4">
        <v>57</v>
      </c>
      <c r="G3248">
        <f t="shared" si="50"/>
        <v>512</v>
      </c>
    </row>
    <row r="3249" spans="2:7" ht="15" hidden="1" x14ac:dyDescent="0.25">
      <c r="B3249" s="4">
        <v>584632367</v>
      </c>
      <c r="C3249" s="4" t="s">
        <v>269</v>
      </c>
      <c r="D3249" s="4">
        <v>638</v>
      </c>
      <c r="E3249" s="4">
        <v>57</v>
      </c>
      <c r="G3249">
        <f t="shared" si="50"/>
        <v>512</v>
      </c>
    </row>
    <row r="3250" spans="2:7" ht="15" hidden="1" x14ac:dyDescent="0.25">
      <c r="B3250" s="4">
        <v>584632368</v>
      </c>
      <c r="C3250" s="4" t="s">
        <v>269</v>
      </c>
      <c r="D3250" s="4">
        <v>639</v>
      </c>
      <c r="E3250" s="4">
        <v>57</v>
      </c>
      <c r="G3250">
        <f t="shared" si="50"/>
        <v>512</v>
      </c>
    </row>
    <row r="3251" spans="2:7" ht="15" hidden="1" x14ac:dyDescent="0.25">
      <c r="B3251" s="4">
        <v>584632368</v>
      </c>
      <c r="C3251" s="4" t="s">
        <v>272</v>
      </c>
      <c r="D3251" s="4">
        <v>52</v>
      </c>
      <c r="E3251" s="4">
        <v>217</v>
      </c>
      <c r="G3251">
        <f t="shared" si="50"/>
        <v>1792</v>
      </c>
    </row>
    <row r="3252" spans="2:7" ht="15" hidden="1" x14ac:dyDescent="0.25">
      <c r="B3252" s="4">
        <v>584632369</v>
      </c>
      <c r="C3252" s="4" t="s">
        <v>269</v>
      </c>
      <c r="D3252" s="4">
        <v>640</v>
      </c>
      <c r="E3252" s="4">
        <v>57</v>
      </c>
      <c r="G3252">
        <f t="shared" si="50"/>
        <v>512</v>
      </c>
    </row>
    <row r="3253" spans="2:7" ht="15" hidden="1" x14ac:dyDescent="0.25">
      <c r="B3253" s="4">
        <v>584632370</v>
      </c>
      <c r="C3253" s="4" t="s">
        <v>269</v>
      </c>
      <c r="D3253" s="4">
        <v>641</v>
      </c>
      <c r="E3253" s="4">
        <v>57</v>
      </c>
      <c r="G3253">
        <f t="shared" si="50"/>
        <v>512</v>
      </c>
    </row>
    <row r="3254" spans="2:7" ht="15" hidden="1" x14ac:dyDescent="0.25">
      <c r="B3254" s="4">
        <v>584632371</v>
      </c>
      <c r="C3254" s="4" t="s">
        <v>269</v>
      </c>
      <c r="D3254" s="4">
        <v>642</v>
      </c>
      <c r="E3254" s="4">
        <v>57</v>
      </c>
      <c r="G3254">
        <f t="shared" si="50"/>
        <v>512</v>
      </c>
    </row>
    <row r="3255" spans="2:7" ht="15" hidden="1" x14ac:dyDescent="0.25">
      <c r="B3255" s="4">
        <v>584632372</v>
      </c>
      <c r="C3255" s="4" t="s">
        <v>269</v>
      </c>
      <c r="D3255" s="4">
        <v>643</v>
      </c>
      <c r="E3255" s="4">
        <v>57</v>
      </c>
      <c r="G3255">
        <f t="shared" si="50"/>
        <v>512</v>
      </c>
    </row>
    <row r="3256" spans="2:7" ht="15" hidden="1" x14ac:dyDescent="0.25">
      <c r="B3256" s="4">
        <v>584632373</v>
      </c>
      <c r="C3256" s="4" t="s">
        <v>269</v>
      </c>
      <c r="D3256" s="4">
        <v>644</v>
      </c>
      <c r="E3256" s="4">
        <v>57</v>
      </c>
      <c r="G3256">
        <f t="shared" si="50"/>
        <v>512</v>
      </c>
    </row>
    <row r="3257" spans="2:7" ht="15" hidden="1" x14ac:dyDescent="0.25">
      <c r="B3257" s="4">
        <v>584632374</v>
      </c>
      <c r="C3257" s="4" t="s">
        <v>269</v>
      </c>
      <c r="D3257" s="4">
        <v>645</v>
      </c>
      <c r="E3257" s="4">
        <v>57</v>
      </c>
      <c r="G3257">
        <f t="shared" si="50"/>
        <v>512</v>
      </c>
    </row>
    <row r="3258" spans="2:7" ht="15" hidden="1" x14ac:dyDescent="0.25">
      <c r="B3258" s="4">
        <v>584632375</v>
      </c>
      <c r="C3258" s="4" t="s">
        <v>269</v>
      </c>
      <c r="D3258" s="4">
        <v>646</v>
      </c>
      <c r="E3258" s="4">
        <v>57</v>
      </c>
      <c r="G3258">
        <f t="shared" si="50"/>
        <v>512</v>
      </c>
    </row>
    <row r="3259" spans="2:7" ht="15" hidden="1" x14ac:dyDescent="0.25">
      <c r="B3259" s="4">
        <v>584632376</v>
      </c>
      <c r="C3259" s="4" t="s">
        <v>269</v>
      </c>
      <c r="D3259" s="4">
        <v>647</v>
      </c>
      <c r="E3259" s="4">
        <v>57</v>
      </c>
      <c r="G3259">
        <f t="shared" si="50"/>
        <v>512</v>
      </c>
    </row>
    <row r="3260" spans="2:7" ht="15" hidden="1" x14ac:dyDescent="0.25">
      <c r="B3260" s="4">
        <v>584632377</v>
      </c>
      <c r="C3260" s="4" t="s">
        <v>269</v>
      </c>
      <c r="D3260" s="4">
        <v>648</v>
      </c>
      <c r="E3260" s="4">
        <v>57</v>
      </c>
      <c r="G3260">
        <f t="shared" si="50"/>
        <v>512</v>
      </c>
    </row>
    <row r="3261" spans="2:7" ht="15" hidden="1" x14ac:dyDescent="0.25">
      <c r="B3261" s="4">
        <v>584632378</v>
      </c>
      <c r="C3261" s="4" t="s">
        <v>269</v>
      </c>
      <c r="D3261" s="4">
        <v>649</v>
      </c>
      <c r="E3261" s="4">
        <v>57</v>
      </c>
      <c r="G3261">
        <f t="shared" si="50"/>
        <v>512</v>
      </c>
    </row>
    <row r="3262" spans="2:7" ht="15" hidden="1" x14ac:dyDescent="0.25">
      <c r="B3262" s="4">
        <v>584632378</v>
      </c>
      <c r="C3262" s="4" t="s">
        <v>272</v>
      </c>
      <c r="D3262" s="4">
        <v>53</v>
      </c>
      <c r="E3262" s="4">
        <v>215</v>
      </c>
      <c r="G3262">
        <f t="shared" si="50"/>
        <v>1776</v>
      </c>
    </row>
    <row r="3263" spans="2:7" ht="15" hidden="1" x14ac:dyDescent="0.25">
      <c r="B3263" s="4">
        <v>584632379</v>
      </c>
      <c r="C3263" s="4" t="s">
        <v>269</v>
      </c>
      <c r="D3263" s="4">
        <v>650</v>
      </c>
      <c r="E3263" s="4">
        <v>57</v>
      </c>
      <c r="G3263">
        <f t="shared" si="50"/>
        <v>512</v>
      </c>
    </row>
    <row r="3264" spans="2:7" ht="15" hidden="1" x14ac:dyDescent="0.25">
      <c r="B3264" s="4">
        <v>584632380</v>
      </c>
      <c r="C3264" s="4" t="s">
        <v>269</v>
      </c>
      <c r="D3264" s="4">
        <v>651</v>
      </c>
      <c r="E3264" s="4">
        <v>57</v>
      </c>
      <c r="G3264">
        <f t="shared" si="50"/>
        <v>512</v>
      </c>
    </row>
    <row r="3265" spans="2:7" ht="15" hidden="1" x14ac:dyDescent="0.25">
      <c r="B3265" s="4">
        <v>584632381</v>
      </c>
      <c r="C3265" s="4" t="s">
        <v>269</v>
      </c>
      <c r="D3265" s="4">
        <v>652</v>
      </c>
      <c r="E3265" s="4">
        <v>57</v>
      </c>
      <c r="G3265">
        <f t="shared" si="50"/>
        <v>512</v>
      </c>
    </row>
    <row r="3266" spans="2:7" ht="15" hidden="1" x14ac:dyDescent="0.25">
      <c r="B3266" s="4">
        <v>584632382</v>
      </c>
      <c r="C3266" s="4" t="s">
        <v>269</v>
      </c>
      <c r="D3266" s="4">
        <v>653</v>
      </c>
      <c r="E3266" s="4">
        <v>57</v>
      </c>
      <c r="G3266">
        <f t="shared" si="50"/>
        <v>512</v>
      </c>
    </row>
    <row r="3267" spans="2:7" ht="15" hidden="1" x14ac:dyDescent="0.25">
      <c r="B3267" s="4">
        <v>584632383</v>
      </c>
      <c r="C3267" s="4" t="s">
        <v>269</v>
      </c>
      <c r="D3267" s="4">
        <v>654</v>
      </c>
      <c r="E3267" s="4">
        <v>57</v>
      </c>
      <c r="G3267">
        <f t="shared" si="50"/>
        <v>512</v>
      </c>
    </row>
    <row r="3268" spans="2:7" ht="15" hidden="1" x14ac:dyDescent="0.25">
      <c r="B3268" s="4">
        <v>584632384</v>
      </c>
      <c r="C3268" s="4" t="s">
        <v>269</v>
      </c>
      <c r="D3268" s="4">
        <v>655</v>
      </c>
      <c r="E3268" s="4">
        <v>57</v>
      </c>
      <c r="G3268">
        <f t="shared" ref="G3268:G3331" si="51">(E3268+7)*8</f>
        <v>512</v>
      </c>
    </row>
    <row r="3269" spans="2:7" ht="15" hidden="1" x14ac:dyDescent="0.25">
      <c r="B3269" s="4">
        <v>584632385</v>
      </c>
      <c r="C3269" s="4" t="s">
        <v>269</v>
      </c>
      <c r="D3269" s="4">
        <v>656</v>
      </c>
      <c r="E3269" s="4">
        <v>57</v>
      </c>
      <c r="G3269">
        <f t="shared" si="51"/>
        <v>512</v>
      </c>
    </row>
    <row r="3270" spans="2:7" ht="15" hidden="1" x14ac:dyDescent="0.25">
      <c r="B3270" s="4">
        <v>584632386</v>
      </c>
      <c r="C3270" s="4" t="s">
        <v>269</v>
      </c>
      <c r="D3270" s="4">
        <v>657</v>
      </c>
      <c r="E3270" s="4">
        <v>57</v>
      </c>
      <c r="G3270">
        <f t="shared" si="51"/>
        <v>512</v>
      </c>
    </row>
    <row r="3271" spans="2:7" ht="15" hidden="1" x14ac:dyDescent="0.25">
      <c r="B3271" s="4">
        <v>584632387</v>
      </c>
      <c r="C3271" s="4" t="s">
        <v>269</v>
      </c>
      <c r="D3271" s="4">
        <v>658</v>
      </c>
      <c r="E3271" s="4">
        <v>57</v>
      </c>
      <c r="G3271">
        <f t="shared" si="51"/>
        <v>512</v>
      </c>
    </row>
    <row r="3272" spans="2:7" ht="15" hidden="1" x14ac:dyDescent="0.25">
      <c r="B3272" s="4">
        <v>584632388</v>
      </c>
      <c r="C3272" s="4" t="s">
        <v>269</v>
      </c>
      <c r="D3272" s="4">
        <v>659</v>
      </c>
      <c r="E3272" s="4">
        <v>57</v>
      </c>
      <c r="G3272">
        <f t="shared" si="51"/>
        <v>512</v>
      </c>
    </row>
    <row r="3273" spans="2:7" ht="15" hidden="1" x14ac:dyDescent="0.25">
      <c r="B3273" s="4">
        <v>584632388</v>
      </c>
      <c r="C3273" s="4" t="s">
        <v>272</v>
      </c>
      <c r="D3273" s="4">
        <v>54</v>
      </c>
      <c r="E3273" s="4">
        <v>215</v>
      </c>
      <c r="G3273">
        <f t="shared" si="51"/>
        <v>1776</v>
      </c>
    </row>
    <row r="3274" spans="2:7" ht="15" hidden="1" x14ac:dyDescent="0.25">
      <c r="B3274" s="4">
        <v>584632389</v>
      </c>
      <c r="C3274" s="4" t="s">
        <v>269</v>
      </c>
      <c r="D3274" s="4">
        <v>660</v>
      </c>
      <c r="E3274" s="4">
        <v>57</v>
      </c>
      <c r="G3274">
        <f t="shared" si="51"/>
        <v>512</v>
      </c>
    </row>
    <row r="3275" spans="2:7" ht="15" hidden="1" x14ac:dyDescent="0.25">
      <c r="B3275" s="4">
        <v>584632390</v>
      </c>
      <c r="C3275" s="4" t="s">
        <v>269</v>
      </c>
      <c r="D3275" s="4">
        <v>661</v>
      </c>
      <c r="E3275" s="4">
        <v>57</v>
      </c>
      <c r="G3275">
        <f t="shared" si="51"/>
        <v>512</v>
      </c>
    </row>
    <row r="3276" spans="2:7" ht="15" hidden="1" x14ac:dyDescent="0.25">
      <c r="B3276" s="4">
        <v>584632391</v>
      </c>
      <c r="C3276" s="4" t="s">
        <v>269</v>
      </c>
      <c r="D3276" s="4">
        <v>662</v>
      </c>
      <c r="E3276" s="4">
        <v>57</v>
      </c>
      <c r="G3276">
        <f t="shared" si="51"/>
        <v>512</v>
      </c>
    </row>
    <row r="3277" spans="2:7" ht="15" hidden="1" x14ac:dyDescent="0.25">
      <c r="B3277" s="4">
        <v>584632392</v>
      </c>
      <c r="C3277" s="4" t="s">
        <v>269</v>
      </c>
      <c r="D3277" s="4">
        <v>663</v>
      </c>
      <c r="E3277" s="4">
        <v>57</v>
      </c>
      <c r="G3277">
        <f t="shared" si="51"/>
        <v>512</v>
      </c>
    </row>
    <row r="3278" spans="2:7" ht="15" hidden="1" x14ac:dyDescent="0.25">
      <c r="B3278" s="4">
        <v>584632393</v>
      </c>
      <c r="C3278" s="4" t="s">
        <v>269</v>
      </c>
      <c r="D3278" s="4">
        <v>664</v>
      </c>
      <c r="E3278" s="4">
        <v>57</v>
      </c>
      <c r="G3278">
        <f t="shared" si="51"/>
        <v>512</v>
      </c>
    </row>
    <row r="3279" spans="2:7" ht="15" hidden="1" x14ac:dyDescent="0.25">
      <c r="B3279" s="4">
        <v>584632394</v>
      </c>
      <c r="C3279" s="4" t="s">
        <v>269</v>
      </c>
      <c r="D3279" s="4">
        <v>665</v>
      </c>
      <c r="E3279" s="4">
        <v>57</v>
      </c>
      <c r="G3279">
        <f t="shared" si="51"/>
        <v>512</v>
      </c>
    </row>
    <row r="3280" spans="2:7" ht="15" hidden="1" x14ac:dyDescent="0.25">
      <c r="B3280" s="4">
        <v>584632395</v>
      </c>
      <c r="C3280" s="4" t="s">
        <v>269</v>
      </c>
      <c r="D3280" s="4">
        <v>666</v>
      </c>
      <c r="E3280" s="4">
        <v>57</v>
      </c>
      <c r="G3280">
        <f t="shared" si="51"/>
        <v>512</v>
      </c>
    </row>
    <row r="3281" spans="2:7" ht="15" hidden="1" x14ac:dyDescent="0.25">
      <c r="B3281" s="4">
        <v>584632396</v>
      </c>
      <c r="C3281" s="4" t="s">
        <v>269</v>
      </c>
      <c r="D3281" s="4">
        <v>667</v>
      </c>
      <c r="E3281" s="4">
        <v>57</v>
      </c>
      <c r="G3281">
        <f t="shared" si="51"/>
        <v>512</v>
      </c>
    </row>
    <row r="3282" spans="2:7" ht="15" hidden="1" x14ac:dyDescent="0.25">
      <c r="B3282" s="4">
        <v>584632397</v>
      </c>
      <c r="C3282" s="4" t="s">
        <v>269</v>
      </c>
      <c r="D3282" s="4">
        <v>668</v>
      </c>
      <c r="E3282" s="4">
        <v>57</v>
      </c>
      <c r="G3282">
        <f t="shared" si="51"/>
        <v>512</v>
      </c>
    </row>
    <row r="3283" spans="2:7" ht="15" hidden="1" x14ac:dyDescent="0.25">
      <c r="B3283" s="4">
        <v>584632398</v>
      </c>
      <c r="C3283" s="4" t="s">
        <v>269</v>
      </c>
      <c r="D3283" s="4">
        <v>669</v>
      </c>
      <c r="E3283" s="4">
        <v>57</v>
      </c>
      <c r="G3283">
        <f t="shared" si="51"/>
        <v>512</v>
      </c>
    </row>
    <row r="3284" spans="2:7" ht="15" hidden="1" x14ac:dyDescent="0.25">
      <c r="B3284" s="4">
        <v>584632398</v>
      </c>
      <c r="C3284" s="4" t="s">
        <v>272</v>
      </c>
      <c r="D3284" s="4">
        <v>55</v>
      </c>
      <c r="E3284" s="4">
        <v>215</v>
      </c>
      <c r="G3284">
        <f t="shared" si="51"/>
        <v>1776</v>
      </c>
    </row>
    <row r="3285" spans="2:7" ht="15" hidden="1" x14ac:dyDescent="0.25">
      <c r="B3285" s="4">
        <v>584632399</v>
      </c>
      <c r="C3285" s="4" t="s">
        <v>269</v>
      </c>
      <c r="D3285" s="4">
        <v>670</v>
      </c>
      <c r="E3285" s="4">
        <v>57</v>
      </c>
      <c r="G3285">
        <f t="shared" si="51"/>
        <v>512</v>
      </c>
    </row>
    <row r="3286" spans="2:7" ht="15" hidden="1" x14ac:dyDescent="0.25">
      <c r="B3286" s="4">
        <v>584632400</v>
      </c>
      <c r="C3286" s="4" t="s">
        <v>269</v>
      </c>
      <c r="D3286" s="4">
        <v>671</v>
      </c>
      <c r="E3286" s="4">
        <v>57</v>
      </c>
      <c r="G3286">
        <f t="shared" si="51"/>
        <v>512</v>
      </c>
    </row>
    <row r="3287" spans="2:7" ht="15" hidden="1" x14ac:dyDescent="0.25">
      <c r="B3287" s="4">
        <v>584632401</v>
      </c>
      <c r="C3287" s="4" t="s">
        <v>269</v>
      </c>
      <c r="D3287" s="4">
        <v>672</v>
      </c>
      <c r="E3287" s="4">
        <v>57</v>
      </c>
      <c r="G3287">
        <f t="shared" si="51"/>
        <v>512</v>
      </c>
    </row>
    <row r="3288" spans="2:7" ht="15" hidden="1" x14ac:dyDescent="0.25">
      <c r="B3288" s="4">
        <v>584632402</v>
      </c>
      <c r="C3288" s="4" t="s">
        <v>269</v>
      </c>
      <c r="D3288" s="4">
        <v>673</v>
      </c>
      <c r="E3288" s="4">
        <v>57</v>
      </c>
      <c r="G3288">
        <f t="shared" si="51"/>
        <v>512</v>
      </c>
    </row>
    <row r="3289" spans="2:7" ht="15" hidden="1" x14ac:dyDescent="0.25">
      <c r="B3289" s="4">
        <v>584632403</v>
      </c>
      <c r="C3289" s="4" t="s">
        <v>269</v>
      </c>
      <c r="D3289" s="4">
        <v>674</v>
      </c>
      <c r="E3289" s="4">
        <v>57</v>
      </c>
      <c r="G3289">
        <f t="shared" si="51"/>
        <v>512</v>
      </c>
    </row>
    <row r="3290" spans="2:7" ht="15" hidden="1" x14ac:dyDescent="0.25">
      <c r="B3290" s="4">
        <v>584632404</v>
      </c>
      <c r="C3290" s="4" t="s">
        <v>269</v>
      </c>
      <c r="D3290" s="4">
        <v>675</v>
      </c>
      <c r="E3290" s="4">
        <v>57</v>
      </c>
      <c r="G3290">
        <f t="shared" si="51"/>
        <v>512</v>
      </c>
    </row>
    <row r="3291" spans="2:7" ht="15" hidden="1" x14ac:dyDescent="0.25">
      <c r="B3291" s="4">
        <v>584632405</v>
      </c>
      <c r="C3291" s="4" t="s">
        <v>269</v>
      </c>
      <c r="D3291" s="4">
        <v>676</v>
      </c>
      <c r="E3291" s="4">
        <v>57</v>
      </c>
      <c r="G3291">
        <f t="shared" si="51"/>
        <v>512</v>
      </c>
    </row>
    <row r="3292" spans="2:7" ht="15" hidden="1" x14ac:dyDescent="0.25">
      <c r="B3292" s="4">
        <v>584632406</v>
      </c>
      <c r="C3292" s="4" t="s">
        <v>269</v>
      </c>
      <c r="D3292" s="4">
        <v>677</v>
      </c>
      <c r="E3292" s="4">
        <v>57</v>
      </c>
      <c r="G3292">
        <f t="shared" si="51"/>
        <v>512</v>
      </c>
    </row>
    <row r="3293" spans="2:7" ht="15" hidden="1" x14ac:dyDescent="0.25">
      <c r="B3293" s="4">
        <v>584632407</v>
      </c>
      <c r="C3293" s="4" t="s">
        <v>269</v>
      </c>
      <c r="D3293" s="4">
        <v>678</v>
      </c>
      <c r="E3293" s="4">
        <v>57</v>
      </c>
      <c r="G3293">
        <f t="shared" si="51"/>
        <v>512</v>
      </c>
    </row>
    <row r="3294" spans="2:7" ht="15" hidden="1" x14ac:dyDescent="0.25">
      <c r="B3294" s="4">
        <v>584632408</v>
      </c>
      <c r="C3294" s="4" t="s">
        <v>269</v>
      </c>
      <c r="D3294" s="4">
        <v>679</v>
      </c>
      <c r="E3294" s="4">
        <v>57</v>
      </c>
      <c r="G3294">
        <f t="shared" si="51"/>
        <v>512</v>
      </c>
    </row>
    <row r="3295" spans="2:7" ht="15" hidden="1" x14ac:dyDescent="0.25">
      <c r="B3295" s="4">
        <v>584632408</v>
      </c>
      <c r="C3295" s="4" t="s">
        <v>272</v>
      </c>
      <c r="D3295" s="4">
        <v>56</v>
      </c>
      <c r="E3295" s="4">
        <v>215</v>
      </c>
      <c r="G3295">
        <f t="shared" si="51"/>
        <v>1776</v>
      </c>
    </row>
    <row r="3296" spans="2:7" ht="15" hidden="1" x14ac:dyDescent="0.25">
      <c r="B3296" s="4">
        <v>584632409</v>
      </c>
      <c r="C3296" s="4" t="s">
        <v>269</v>
      </c>
      <c r="D3296" s="4">
        <v>680</v>
      </c>
      <c r="E3296" s="4">
        <v>57</v>
      </c>
      <c r="G3296">
        <f t="shared" si="51"/>
        <v>512</v>
      </c>
    </row>
    <row r="3297" spans="2:7" ht="15" hidden="1" x14ac:dyDescent="0.25">
      <c r="B3297" s="4">
        <v>584632410</v>
      </c>
      <c r="C3297" s="4" t="s">
        <v>269</v>
      </c>
      <c r="D3297" s="4">
        <v>681</v>
      </c>
      <c r="E3297" s="4">
        <v>57</v>
      </c>
      <c r="G3297">
        <f t="shared" si="51"/>
        <v>512</v>
      </c>
    </row>
    <row r="3298" spans="2:7" ht="15" hidden="1" x14ac:dyDescent="0.25">
      <c r="B3298" s="4">
        <v>584632411</v>
      </c>
      <c r="C3298" s="4" t="s">
        <v>269</v>
      </c>
      <c r="D3298" s="4">
        <v>682</v>
      </c>
      <c r="E3298" s="4">
        <v>57</v>
      </c>
      <c r="G3298">
        <f t="shared" si="51"/>
        <v>512</v>
      </c>
    </row>
    <row r="3299" spans="2:7" ht="15" hidden="1" x14ac:dyDescent="0.25">
      <c r="B3299" s="4">
        <v>584632412</v>
      </c>
      <c r="C3299" s="4" t="s">
        <v>269</v>
      </c>
      <c r="D3299" s="4">
        <v>683</v>
      </c>
      <c r="E3299" s="4">
        <v>57</v>
      </c>
      <c r="G3299">
        <f t="shared" si="51"/>
        <v>512</v>
      </c>
    </row>
    <row r="3300" spans="2:7" ht="15" hidden="1" x14ac:dyDescent="0.25">
      <c r="B3300" s="4">
        <v>584632413</v>
      </c>
      <c r="C3300" s="4" t="s">
        <v>269</v>
      </c>
      <c r="D3300" s="4">
        <v>684</v>
      </c>
      <c r="E3300" s="4">
        <v>57</v>
      </c>
      <c r="G3300">
        <f t="shared" si="51"/>
        <v>512</v>
      </c>
    </row>
    <row r="3301" spans="2:7" ht="15" hidden="1" x14ac:dyDescent="0.25">
      <c r="B3301" s="4">
        <v>584632414</v>
      </c>
      <c r="C3301" s="4" t="s">
        <v>269</v>
      </c>
      <c r="D3301" s="4">
        <v>685</v>
      </c>
      <c r="E3301" s="4">
        <v>57</v>
      </c>
      <c r="G3301">
        <f t="shared" si="51"/>
        <v>512</v>
      </c>
    </row>
    <row r="3302" spans="2:7" ht="15" hidden="1" x14ac:dyDescent="0.25">
      <c r="B3302" s="4">
        <v>584632415</v>
      </c>
      <c r="C3302" s="4" t="s">
        <v>269</v>
      </c>
      <c r="D3302" s="4">
        <v>686</v>
      </c>
      <c r="E3302" s="4">
        <v>57</v>
      </c>
      <c r="G3302">
        <f t="shared" si="51"/>
        <v>512</v>
      </c>
    </row>
    <row r="3303" spans="2:7" ht="15" hidden="1" x14ac:dyDescent="0.25">
      <c r="B3303" s="4">
        <v>584632416</v>
      </c>
      <c r="C3303" s="4" t="s">
        <v>269</v>
      </c>
      <c r="D3303" s="4">
        <v>687</v>
      </c>
      <c r="E3303" s="4">
        <v>57</v>
      </c>
      <c r="G3303">
        <f t="shared" si="51"/>
        <v>512</v>
      </c>
    </row>
    <row r="3304" spans="2:7" ht="15" hidden="1" x14ac:dyDescent="0.25">
      <c r="B3304" s="4">
        <v>584632417</v>
      </c>
      <c r="C3304" s="4" t="s">
        <v>269</v>
      </c>
      <c r="D3304" s="4">
        <v>688</v>
      </c>
      <c r="E3304" s="4">
        <v>57</v>
      </c>
      <c r="G3304">
        <f t="shared" si="51"/>
        <v>512</v>
      </c>
    </row>
    <row r="3305" spans="2:7" ht="15" hidden="1" x14ac:dyDescent="0.25">
      <c r="B3305" s="4">
        <v>584632418</v>
      </c>
      <c r="C3305" s="4" t="s">
        <v>269</v>
      </c>
      <c r="D3305" s="4">
        <v>689</v>
      </c>
      <c r="E3305" s="4">
        <v>57</v>
      </c>
      <c r="G3305">
        <f t="shared" si="51"/>
        <v>512</v>
      </c>
    </row>
    <row r="3306" spans="2:7" ht="15" hidden="1" x14ac:dyDescent="0.25">
      <c r="B3306" s="4">
        <v>584632418</v>
      </c>
      <c r="C3306" s="4" t="s">
        <v>272</v>
      </c>
      <c r="D3306" s="4">
        <v>57</v>
      </c>
      <c r="E3306" s="4">
        <v>215</v>
      </c>
      <c r="G3306">
        <f t="shared" si="51"/>
        <v>1776</v>
      </c>
    </row>
    <row r="3307" spans="2:7" ht="15" hidden="1" x14ac:dyDescent="0.25">
      <c r="B3307" s="4">
        <v>584632419</v>
      </c>
      <c r="C3307" s="4" t="s">
        <v>269</v>
      </c>
      <c r="D3307" s="4">
        <v>690</v>
      </c>
      <c r="E3307" s="4">
        <v>57</v>
      </c>
      <c r="G3307">
        <f t="shared" si="51"/>
        <v>512</v>
      </c>
    </row>
    <row r="3308" spans="2:7" ht="15" hidden="1" x14ac:dyDescent="0.25">
      <c r="B3308" s="4">
        <v>584632420</v>
      </c>
      <c r="C3308" s="4" t="s">
        <v>269</v>
      </c>
      <c r="D3308" s="4">
        <v>691</v>
      </c>
      <c r="E3308" s="4">
        <v>57</v>
      </c>
      <c r="G3308">
        <f t="shared" si="51"/>
        <v>512</v>
      </c>
    </row>
    <row r="3309" spans="2:7" ht="15" hidden="1" x14ac:dyDescent="0.25">
      <c r="B3309" s="4">
        <v>584632421</v>
      </c>
      <c r="C3309" s="4" t="s">
        <v>269</v>
      </c>
      <c r="D3309" s="4">
        <v>692</v>
      </c>
      <c r="E3309" s="4">
        <v>57</v>
      </c>
      <c r="G3309">
        <f t="shared" si="51"/>
        <v>512</v>
      </c>
    </row>
    <row r="3310" spans="2:7" ht="15" hidden="1" x14ac:dyDescent="0.25">
      <c r="B3310" s="4">
        <v>584632422</v>
      </c>
      <c r="C3310" s="4" t="s">
        <v>269</v>
      </c>
      <c r="D3310" s="4">
        <v>693</v>
      </c>
      <c r="E3310" s="4">
        <v>57</v>
      </c>
      <c r="G3310">
        <f t="shared" si="51"/>
        <v>512</v>
      </c>
    </row>
    <row r="3311" spans="2:7" ht="15" hidden="1" x14ac:dyDescent="0.25">
      <c r="B3311" s="4">
        <v>584632423</v>
      </c>
      <c r="C3311" s="4" t="s">
        <v>269</v>
      </c>
      <c r="D3311" s="4">
        <v>694</v>
      </c>
      <c r="E3311" s="4">
        <v>57</v>
      </c>
      <c r="G3311">
        <f t="shared" si="51"/>
        <v>512</v>
      </c>
    </row>
    <row r="3312" spans="2:7" ht="15" hidden="1" x14ac:dyDescent="0.25">
      <c r="B3312" s="4">
        <v>584632424</v>
      </c>
      <c r="C3312" s="4" t="s">
        <v>268</v>
      </c>
      <c r="D3312" s="4">
        <v>218</v>
      </c>
      <c r="E3312" s="4">
        <v>6</v>
      </c>
      <c r="G3312">
        <f t="shared" si="51"/>
        <v>104</v>
      </c>
    </row>
    <row r="3313" spans="2:7" ht="15" hidden="1" x14ac:dyDescent="0.25">
      <c r="B3313" s="4">
        <v>584632424</v>
      </c>
      <c r="C3313" s="4" t="s">
        <v>268</v>
      </c>
      <c r="D3313" s="4">
        <v>218</v>
      </c>
      <c r="E3313" s="4">
        <v>6</v>
      </c>
      <c r="G3313">
        <f t="shared" si="51"/>
        <v>104</v>
      </c>
    </row>
    <row r="3314" spans="2:7" ht="15" hidden="1" x14ac:dyDescent="0.25">
      <c r="B3314" s="4">
        <v>584632424</v>
      </c>
      <c r="C3314" s="4" t="s">
        <v>268</v>
      </c>
      <c r="D3314" s="4">
        <v>219</v>
      </c>
      <c r="E3314" s="4">
        <v>9</v>
      </c>
      <c r="G3314">
        <f t="shared" si="51"/>
        <v>128</v>
      </c>
    </row>
    <row r="3315" spans="2:7" ht="15" hidden="1" x14ac:dyDescent="0.25">
      <c r="B3315" s="4">
        <v>584632424</v>
      </c>
      <c r="C3315" s="4" t="s">
        <v>268</v>
      </c>
      <c r="D3315" s="4">
        <v>219</v>
      </c>
      <c r="E3315" s="4">
        <v>9</v>
      </c>
      <c r="G3315">
        <f t="shared" si="51"/>
        <v>128</v>
      </c>
    </row>
    <row r="3316" spans="2:7" ht="15" hidden="1" x14ac:dyDescent="0.25">
      <c r="B3316" s="4">
        <v>584632424</v>
      </c>
      <c r="C3316" s="4" t="s">
        <v>268</v>
      </c>
      <c r="D3316" s="4">
        <v>220</v>
      </c>
      <c r="E3316" s="4">
        <v>7</v>
      </c>
      <c r="G3316">
        <f t="shared" si="51"/>
        <v>112</v>
      </c>
    </row>
    <row r="3317" spans="2:7" ht="15" hidden="1" x14ac:dyDescent="0.25">
      <c r="B3317" s="4">
        <v>584632424</v>
      </c>
      <c r="C3317" s="4" t="s">
        <v>268</v>
      </c>
      <c r="D3317" s="4">
        <v>220</v>
      </c>
      <c r="E3317" s="4">
        <v>7</v>
      </c>
      <c r="G3317">
        <f t="shared" si="51"/>
        <v>112</v>
      </c>
    </row>
    <row r="3318" spans="2:7" ht="15" hidden="1" x14ac:dyDescent="0.25">
      <c r="B3318" s="4">
        <v>584632424</v>
      </c>
      <c r="C3318" s="4" t="s">
        <v>268</v>
      </c>
      <c r="D3318" s="4">
        <v>221</v>
      </c>
      <c r="E3318" s="4">
        <v>7</v>
      </c>
      <c r="G3318">
        <f t="shared" si="51"/>
        <v>112</v>
      </c>
    </row>
    <row r="3319" spans="2:7" ht="15" hidden="1" x14ac:dyDescent="0.25">
      <c r="B3319" s="4">
        <v>584632424</v>
      </c>
      <c r="C3319" s="4" t="s">
        <v>268</v>
      </c>
      <c r="D3319" s="4">
        <v>221</v>
      </c>
      <c r="E3319" s="4">
        <v>7</v>
      </c>
      <c r="G3319">
        <f t="shared" si="51"/>
        <v>112</v>
      </c>
    </row>
    <row r="3320" spans="2:7" ht="15" hidden="1" x14ac:dyDescent="0.25">
      <c r="B3320" s="4">
        <v>584632424</v>
      </c>
      <c r="C3320" s="4" t="s">
        <v>268</v>
      </c>
      <c r="D3320" s="4">
        <v>222</v>
      </c>
      <c r="E3320" s="4">
        <v>7</v>
      </c>
      <c r="G3320">
        <f t="shared" si="51"/>
        <v>112</v>
      </c>
    </row>
    <row r="3321" spans="2:7" ht="15" hidden="1" x14ac:dyDescent="0.25">
      <c r="B3321" s="4">
        <v>584632424</v>
      </c>
      <c r="C3321" s="4" t="s">
        <v>268</v>
      </c>
      <c r="D3321" s="4">
        <v>222</v>
      </c>
      <c r="E3321" s="4">
        <v>7</v>
      </c>
      <c r="G3321">
        <f t="shared" si="51"/>
        <v>112</v>
      </c>
    </row>
    <row r="3322" spans="2:7" ht="15" hidden="1" x14ac:dyDescent="0.25">
      <c r="B3322" s="4">
        <v>584632424</v>
      </c>
      <c r="C3322" s="4" t="s">
        <v>269</v>
      </c>
      <c r="D3322" s="4">
        <v>695</v>
      </c>
      <c r="E3322" s="4">
        <v>57</v>
      </c>
      <c r="G3322">
        <f t="shared" si="51"/>
        <v>512</v>
      </c>
    </row>
    <row r="3323" spans="2:7" ht="15" hidden="1" x14ac:dyDescent="0.25">
      <c r="B3323" s="4">
        <v>584632425</v>
      </c>
      <c r="C3323" s="4" t="s">
        <v>269</v>
      </c>
      <c r="D3323" s="4">
        <v>696</v>
      </c>
      <c r="E3323" s="4">
        <v>57</v>
      </c>
      <c r="G3323">
        <f t="shared" si="51"/>
        <v>512</v>
      </c>
    </row>
    <row r="3324" spans="2:7" ht="15" hidden="1" x14ac:dyDescent="0.25">
      <c r="B3324" s="4">
        <v>584632426</v>
      </c>
      <c r="C3324" s="4" t="s">
        <v>268</v>
      </c>
      <c r="D3324" s="4">
        <v>223</v>
      </c>
      <c r="E3324" s="4">
        <v>7</v>
      </c>
      <c r="G3324">
        <f t="shared" si="51"/>
        <v>112</v>
      </c>
    </row>
    <row r="3325" spans="2:7" ht="15" hidden="1" x14ac:dyDescent="0.25">
      <c r="B3325" s="4">
        <v>584632426</v>
      </c>
      <c r="C3325" s="4" t="s">
        <v>268</v>
      </c>
      <c r="D3325" s="4">
        <v>223</v>
      </c>
      <c r="E3325" s="4">
        <v>7</v>
      </c>
      <c r="G3325">
        <f t="shared" si="51"/>
        <v>112</v>
      </c>
    </row>
    <row r="3326" spans="2:7" ht="15" hidden="1" x14ac:dyDescent="0.25">
      <c r="B3326" s="4">
        <v>584632426</v>
      </c>
      <c r="C3326" s="4" t="s">
        <v>268</v>
      </c>
      <c r="D3326" s="4">
        <v>224</v>
      </c>
      <c r="E3326" s="4">
        <v>5</v>
      </c>
      <c r="G3326">
        <f t="shared" si="51"/>
        <v>96</v>
      </c>
    </row>
    <row r="3327" spans="2:7" ht="15" hidden="1" x14ac:dyDescent="0.25">
      <c r="B3327" s="4">
        <v>584632426</v>
      </c>
      <c r="C3327" s="4" t="s">
        <v>268</v>
      </c>
      <c r="D3327" s="4">
        <v>224</v>
      </c>
      <c r="E3327" s="4">
        <v>5</v>
      </c>
      <c r="G3327">
        <f t="shared" si="51"/>
        <v>96</v>
      </c>
    </row>
    <row r="3328" spans="2:7" ht="15" hidden="1" x14ac:dyDescent="0.25">
      <c r="B3328" s="4">
        <v>584632426</v>
      </c>
      <c r="C3328" s="4" t="s">
        <v>268</v>
      </c>
      <c r="D3328" s="4">
        <v>225</v>
      </c>
      <c r="E3328" s="4">
        <v>7</v>
      </c>
      <c r="G3328">
        <f t="shared" si="51"/>
        <v>112</v>
      </c>
    </row>
    <row r="3329" spans="2:7" ht="15" hidden="1" x14ac:dyDescent="0.25">
      <c r="B3329" s="4">
        <v>584632426</v>
      </c>
      <c r="C3329" s="4" t="s">
        <v>268</v>
      </c>
      <c r="D3329" s="4">
        <v>225</v>
      </c>
      <c r="E3329" s="4">
        <v>7</v>
      </c>
      <c r="G3329">
        <f t="shared" si="51"/>
        <v>112</v>
      </c>
    </row>
    <row r="3330" spans="2:7" ht="15" hidden="1" x14ac:dyDescent="0.25">
      <c r="B3330" s="4">
        <v>584632426</v>
      </c>
      <c r="C3330" s="4" t="s">
        <v>269</v>
      </c>
      <c r="D3330" s="4">
        <v>697</v>
      </c>
      <c r="E3330" s="4">
        <v>57</v>
      </c>
      <c r="G3330">
        <f t="shared" si="51"/>
        <v>512</v>
      </c>
    </row>
    <row r="3331" spans="2:7" ht="15" hidden="1" x14ac:dyDescent="0.25">
      <c r="B3331" s="4">
        <v>584632427</v>
      </c>
      <c r="C3331" s="4" t="s">
        <v>269</v>
      </c>
      <c r="D3331" s="4">
        <v>698</v>
      </c>
      <c r="E3331" s="4">
        <v>57</v>
      </c>
      <c r="G3331">
        <f t="shared" si="51"/>
        <v>512</v>
      </c>
    </row>
    <row r="3332" spans="2:7" ht="15" hidden="1" x14ac:dyDescent="0.25">
      <c r="B3332" s="4">
        <v>584632428</v>
      </c>
      <c r="C3332" s="4" t="s">
        <v>269</v>
      </c>
      <c r="D3332" s="4">
        <v>699</v>
      </c>
      <c r="E3332" s="4">
        <v>57</v>
      </c>
      <c r="G3332">
        <f t="shared" ref="G3332:G3395" si="52">(E3332+7)*8</f>
        <v>512</v>
      </c>
    </row>
    <row r="3333" spans="2:7" ht="15" hidden="1" x14ac:dyDescent="0.25">
      <c r="B3333" s="4">
        <v>584632428</v>
      </c>
      <c r="C3333" s="4" t="s">
        <v>272</v>
      </c>
      <c r="D3333" s="4">
        <v>58</v>
      </c>
      <c r="E3333" s="4">
        <v>215</v>
      </c>
      <c r="G3333">
        <f t="shared" si="52"/>
        <v>1776</v>
      </c>
    </row>
    <row r="3334" spans="2:7" ht="15" hidden="1" x14ac:dyDescent="0.25">
      <c r="B3334" s="4">
        <v>584632429</v>
      </c>
      <c r="C3334" s="4" t="s">
        <v>269</v>
      </c>
      <c r="D3334" s="4">
        <v>700</v>
      </c>
      <c r="E3334" s="4">
        <v>57</v>
      </c>
      <c r="G3334">
        <f t="shared" si="52"/>
        <v>512</v>
      </c>
    </row>
    <row r="3335" spans="2:7" ht="15" hidden="1" x14ac:dyDescent="0.25">
      <c r="B3335" s="4">
        <v>584632430</v>
      </c>
      <c r="C3335" s="4" t="s">
        <v>269</v>
      </c>
      <c r="D3335" s="4">
        <v>701</v>
      </c>
      <c r="E3335" s="4">
        <v>57</v>
      </c>
      <c r="G3335">
        <f t="shared" si="52"/>
        <v>512</v>
      </c>
    </row>
    <row r="3336" spans="2:7" ht="15" hidden="1" x14ac:dyDescent="0.25">
      <c r="B3336" s="4">
        <v>584632431</v>
      </c>
      <c r="C3336" s="4" t="s">
        <v>269</v>
      </c>
      <c r="D3336" s="4">
        <v>702</v>
      </c>
      <c r="E3336" s="4">
        <v>57</v>
      </c>
      <c r="G3336">
        <f t="shared" si="52"/>
        <v>512</v>
      </c>
    </row>
    <row r="3337" spans="2:7" ht="15" hidden="1" x14ac:dyDescent="0.25">
      <c r="B3337" s="4">
        <v>584632432</v>
      </c>
      <c r="C3337" s="4" t="s">
        <v>269</v>
      </c>
      <c r="D3337" s="4">
        <v>703</v>
      </c>
      <c r="E3337" s="4">
        <v>57</v>
      </c>
      <c r="G3337">
        <f t="shared" si="52"/>
        <v>512</v>
      </c>
    </row>
    <row r="3338" spans="2:7" ht="15" hidden="1" x14ac:dyDescent="0.25">
      <c r="B3338" s="4">
        <v>584632433</v>
      </c>
      <c r="C3338" s="4" t="s">
        <v>269</v>
      </c>
      <c r="D3338" s="4">
        <v>704</v>
      </c>
      <c r="E3338" s="4">
        <v>57</v>
      </c>
      <c r="G3338">
        <f t="shared" si="52"/>
        <v>512</v>
      </c>
    </row>
    <row r="3339" spans="2:7" ht="15" hidden="1" x14ac:dyDescent="0.25">
      <c r="B3339" s="4">
        <v>584632434</v>
      </c>
      <c r="C3339" s="4" t="s">
        <v>269</v>
      </c>
      <c r="D3339" s="4">
        <v>705</v>
      </c>
      <c r="E3339" s="4">
        <v>57</v>
      </c>
      <c r="G3339">
        <f t="shared" si="52"/>
        <v>512</v>
      </c>
    </row>
    <row r="3340" spans="2:7" ht="15" hidden="1" x14ac:dyDescent="0.25">
      <c r="B3340" s="4">
        <v>584632435</v>
      </c>
      <c r="C3340" s="4" t="s">
        <v>269</v>
      </c>
      <c r="D3340" s="4">
        <v>706</v>
      </c>
      <c r="E3340" s="4">
        <v>57</v>
      </c>
      <c r="G3340">
        <f t="shared" si="52"/>
        <v>512</v>
      </c>
    </row>
    <row r="3341" spans="2:7" ht="15" hidden="1" x14ac:dyDescent="0.25">
      <c r="B3341" s="4">
        <v>584632436</v>
      </c>
      <c r="C3341" s="4" t="s">
        <v>269</v>
      </c>
      <c r="D3341" s="4">
        <v>707</v>
      </c>
      <c r="E3341" s="4">
        <v>57</v>
      </c>
      <c r="G3341">
        <f t="shared" si="52"/>
        <v>512</v>
      </c>
    </row>
    <row r="3342" spans="2:7" ht="15" hidden="1" x14ac:dyDescent="0.25">
      <c r="B3342" s="4">
        <v>584632437</v>
      </c>
      <c r="C3342" s="4" t="s">
        <v>269</v>
      </c>
      <c r="D3342" s="4">
        <v>708</v>
      </c>
      <c r="E3342" s="4">
        <v>57</v>
      </c>
      <c r="G3342">
        <f t="shared" si="52"/>
        <v>512</v>
      </c>
    </row>
    <row r="3343" spans="2:7" ht="15" hidden="1" x14ac:dyDescent="0.25">
      <c r="B3343" s="4">
        <v>584632438</v>
      </c>
      <c r="C3343" s="4" t="s">
        <v>269</v>
      </c>
      <c r="D3343" s="4">
        <v>709</v>
      </c>
      <c r="E3343" s="4">
        <v>57</v>
      </c>
      <c r="G3343">
        <f t="shared" si="52"/>
        <v>512</v>
      </c>
    </row>
    <row r="3344" spans="2:7" ht="15" hidden="1" x14ac:dyDescent="0.25">
      <c r="B3344" s="4">
        <v>584632438</v>
      </c>
      <c r="C3344" s="4" t="s">
        <v>272</v>
      </c>
      <c r="D3344" s="4">
        <v>59</v>
      </c>
      <c r="E3344" s="4">
        <v>209</v>
      </c>
      <c r="G3344">
        <f t="shared" si="52"/>
        <v>1728</v>
      </c>
    </row>
    <row r="3345" spans="1:7" ht="15" hidden="1" x14ac:dyDescent="0.25">
      <c r="B3345" s="4">
        <v>584632439</v>
      </c>
      <c r="C3345" s="4" t="s">
        <v>269</v>
      </c>
      <c r="D3345" s="4">
        <v>710</v>
      </c>
      <c r="E3345" s="4">
        <v>57</v>
      </c>
      <c r="G3345">
        <f t="shared" si="52"/>
        <v>512</v>
      </c>
    </row>
    <row r="3346" spans="1:7" ht="15" hidden="1" x14ac:dyDescent="0.25">
      <c r="B3346" s="4">
        <v>584632440</v>
      </c>
      <c r="C3346" s="4" t="s">
        <v>269</v>
      </c>
      <c r="D3346" s="4">
        <v>711</v>
      </c>
      <c r="E3346" s="4">
        <v>57</v>
      </c>
      <c r="G3346">
        <f t="shared" si="52"/>
        <v>512</v>
      </c>
    </row>
    <row r="3347" spans="1:7" ht="15" hidden="1" x14ac:dyDescent="0.25">
      <c r="B3347" s="4">
        <v>584632441</v>
      </c>
      <c r="C3347" s="4" t="s">
        <v>269</v>
      </c>
      <c r="D3347" s="4">
        <v>712</v>
      </c>
      <c r="E3347" s="4">
        <v>57</v>
      </c>
      <c r="G3347">
        <f t="shared" si="52"/>
        <v>512</v>
      </c>
    </row>
    <row r="3348" spans="1:7" ht="15" hidden="1" x14ac:dyDescent="0.25">
      <c r="B3348" s="4">
        <v>584632442</v>
      </c>
      <c r="C3348" s="4" t="s">
        <v>269</v>
      </c>
      <c r="D3348" s="4">
        <v>713</v>
      </c>
      <c r="E3348" s="4">
        <v>57</v>
      </c>
      <c r="G3348">
        <f t="shared" si="52"/>
        <v>512</v>
      </c>
    </row>
    <row r="3349" spans="1:7" ht="15" hidden="1" x14ac:dyDescent="0.25">
      <c r="B3349" s="4">
        <v>584632443</v>
      </c>
      <c r="C3349" s="4" t="s">
        <v>269</v>
      </c>
      <c r="D3349" s="4">
        <v>714</v>
      </c>
      <c r="E3349" s="4">
        <v>57</v>
      </c>
      <c r="G3349">
        <f t="shared" si="52"/>
        <v>512</v>
      </c>
    </row>
    <row r="3350" spans="1:7" ht="15" hidden="1" x14ac:dyDescent="0.25">
      <c r="B3350" s="4">
        <v>584632444</v>
      </c>
      <c r="C3350" s="4" t="s">
        <v>269</v>
      </c>
      <c r="D3350" s="4">
        <v>715</v>
      </c>
      <c r="E3350" s="4">
        <v>57</v>
      </c>
      <c r="G3350">
        <f t="shared" si="52"/>
        <v>512</v>
      </c>
    </row>
    <row r="3351" spans="1:7" ht="15" hidden="1" x14ac:dyDescent="0.25">
      <c r="B3351" s="4">
        <v>584632445</v>
      </c>
      <c r="C3351" s="4" t="s">
        <v>269</v>
      </c>
      <c r="D3351" s="4">
        <v>716</v>
      </c>
      <c r="E3351" s="4">
        <v>57</v>
      </c>
      <c r="G3351">
        <f t="shared" si="52"/>
        <v>512</v>
      </c>
    </row>
    <row r="3352" spans="1:7" ht="15" hidden="1" x14ac:dyDescent="0.25">
      <c r="B3352" s="4">
        <v>584632446</v>
      </c>
      <c r="C3352" s="4" t="s">
        <v>269</v>
      </c>
      <c r="D3352" s="4">
        <v>717</v>
      </c>
      <c r="E3352" s="4">
        <v>57</v>
      </c>
      <c r="G3352">
        <f t="shared" si="52"/>
        <v>512</v>
      </c>
    </row>
    <row r="3353" spans="1:7" ht="15" hidden="1" x14ac:dyDescent="0.25">
      <c r="B3353" s="4">
        <v>584632447</v>
      </c>
      <c r="C3353" s="4" t="s">
        <v>269</v>
      </c>
      <c r="D3353" s="4">
        <v>718</v>
      </c>
      <c r="E3353" s="4">
        <v>57</v>
      </c>
      <c r="G3353">
        <f t="shared" si="52"/>
        <v>512</v>
      </c>
    </row>
    <row r="3354" spans="1:7" ht="15" hidden="1" x14ac:dyDescent="0.25">
      <c r="B3354" s="4">
        <v>584632448</v>
      </c>
      <c r="C3354" s="4" t="s">
        <v>269</v>
      </c>
      <c r="D3354" s="4">
        <v>719</v>
      </c>
      <c r="E3354" s="4">
        <v>57</v>
      </c>
      <c r="G3354">
        <f t="shared" si="52"/>
        <v>512</v>
      </c>
    </row>
    <row r="3355" spans="1:7" ht="15" x14ac:dyDescent="0.25">
      <c r="A3355">
        <f>B3355-B3145</f>
        <v>148</v>
      </c>
      <c r="B3355" s="4">
        <v>584632448</v>
      </c>
      <c r="C3355" s="4" t="s">
        <v>270</v>
      </c>
      <c r="D3355" s="4">
        <v>2</v>
      </c>
      <c r="E3355" s="4">
        <v>1100</v>
      </c>
      <c r="G3355">
        <f t="shared" si="52"/>
        <v>8856</v>
      </c>
    </row>
    <row r="3356" spans="1:7" ht="15" x14ac:dyDescent="0.25">
      <c r="A3356">
        <f>B3356-B3146</f>
        <v>148</v>
      </c>
      <c r="B3356" s="4">
        <v>584632448</v>
      </c>
      <c r="C3356" s="4" t="s">
        <v>271</v>
      </c>
      <c r="D3356" s="4">
        <v>2</v>
      </c>
      <c r="E3356" s="4">
        <v>1100</v>
      </c>
      <c r="G3356">
        <f t="shared" si="52"/>
        <v>8856</v>
      </c>
    </row>
    <row r="3357" spans="1:7" ht="15" hidden="1" x14ac:dyDescent="0.25">
      <c r="B3357" s="4">
        <v>584632449</v>
      </c>
      <c r="C3357" s="4" t="s">
        <v>269</v>
      </c>
      <c r="D3357" s="4">
        <v>720</v>
      </c>
      <c r="E3357" s="4">
        <v>57</v>
      </c>
      <c r="G3357">
        <f t="shared" si="52"/>
        <v>512</v>
      </c>
    </row>
    <row r="3358" spans="1:7" ht="15" hidden="1" x14ac:dyDescent="0.25">
      <c r="B3358" s="4">
        <v>584632449</v>
      </c>
      <c r="C3358" s="4" t="s">
        <v>272</v>
      </c>
      <c r="D3358" s="4">
        <v>60</v>
      </c>
      <c r="E3358" s="4">
        <v>209</v>
      </c>
      <c r="G3358">
        <f t="shared" si="52"/>
        <v>1728</v>
      </c>
    </row>
    <row r="3359" spans="1:7" ht="15" hidden="1" x14ac:dyDescent="0.25">
      <c r="B3359" s="4">
        <v>584632450</v>
      </c>
      <c r="C3359" s="4" t="s">
        <v>269</v>
      </c>
      <c r="D3359" s="4">
        <v>721</v>
      </c>
      <c r="E3359" s="4">
        <v>57</v>
      </c>
      <c r="G3359">
        <f t="shared" si="52"/>
        <v>512</v>
      </c>
    </row>
    <row r="3360" spans="1:7" ht="15" hidden="1" x14ac:dyDescent="0.25">
      <c r="B3360" s="4">
        <v>584632451</v>
      </c>
      <c r="C3360" s="4" t="s">
        <v>269</v>
      </c>
      <c r="D3360" s="4">
        <v>722</v>
      </c>
      <c r="E3360" s="4">
        <v>57</v>
      </c>
      <c r="G3360">
        <f t="shared" si="52"/>
        <v>512</v>
      </c>
    </row>
    <row r="3361" spans="2:7" ht="15" hidden="1" x14ac:dyDescent="0.25">
      <c r="B3361" s="4">
        <v>584632452</v>
      </c>
      <c r="C3361" s="4" t="s">
        <v>269</v>
      </c>
      <c r="D3361" s="4">
        <v>723</v>
      </c>
      <c r="E3361" s="4">
        <v>57</v>
      </c>
      <c r="G3361">
        <f t="shared" si="52"/>
        <v>512</v>
      </c>
    </row>
    <row r="3362" spans="2:7" ht="15" hidden="1" x14ac:dyDescent="0.25">
      <c r="B3362" s="4">
        <v>584632453</v>
      </c>
      <c r="C3362" s="4" t="s">
        <v>269</v>
      </c>
      <c r="D3362" s="4">
        <v>724</v>
      </c>
      <c r="E3362" s="4">
        <v>57</v>
      </c>
      <c r="G3362">
        <f t="shared" si="52"/>
        <v>512</v>
      </c>
    </row>
    <row r="3363" spans="2:7" ht="15" hidden="1" x14ac:dyDescent="0.25">
      <c r="B3363" s="4">
        <v>584632454</v>
      </c>
      <c r="C3363" s="4" t="s">
        <v>269</v>
      </c>
      <c r="D3363" s="4">
        <v>725</v>
      </c>
      <c r="E3363" s="4">
        <v>57</v>
      </c>
      <c r="G3363">
        <f t="shared" si="52"/>
        <v>512</v>
      </c>
    </row>
    <row r="3364" spans="2:7" ht="15" hidden="1" x14ac:dyDescent="0.25">
      <c r="B3364" s="4">
        <v>584632455</v>
      </c>
      <c r="C3364" s="4" t="s">
        <v>269</v>
      </c>
      <c r="D3364" s="4">
        <v>726</v>
      </c>
      <c r="E3364" s="4">
        <v>57</v>
      </c>
      <c r="G3364">
        <f t="shared" si="52"/>
        <v>512</v>
      </c>
    </row>
    <row r="3365" spans="2:7" ht="15" hidden="1" x14ac:dyDescent="0.25">
      <c r="B3365" s="4">
        <v>584632456</v>
      </c>
      <c r="C3365" s="4" t="s">
        <v>269</v>
      </c>
      <c r="D3365" s="4">
        <v>727</v>
      </c>
      <c r="E3365" s="4">
        <v>57</v>
      </c>
      <c r="G3365">
        <f t="shared" si="52"/>
        <v>512</v>
      </c>
    </row>
    <row r="3366" spans="2:7" ht="15" hidden="1" x14ac:dyDescent="0.25">
      <c r="B3366" s="4">
        <v>584632457</v>
      </c>
      <c r="C3366" s="4" t="s">
        <v>269</v>
      </c>
      <c r="D3366" s="4">
        <v>728</v>
      </c>
      <c r="E3366" s="4">
        <v>57</v>
      </c>
      <c r="G3366">
        <f t="shared" si="52"/>
        <v>512</v>
      </c>
    </row>
    <row r="3367" spans="2:7" ht="15" hidden="1" x14ac:dyDescent="0.25">
      <c r="B3367" s="4">
        <v>584632458</v>
      </c>
      <c r="C3367" s="4" t="s">
        <v>269</v>
      </c>
      <c r="D3367" s="4">
        <v>729</v>
      </c>
      <c r="E3367" s="4">
        <v>57</v>
      </c>
      <c r="G3367">
        <f t="shared" si="52"/>
        <v>512</v>
      </c>
    </row>
    <row r="3368" spans="2:7" ht="15" hidden="1" x14ac:dyDescent="0.25">
      <c r="B3368" s="4">
        <v>584632458</v>
      </c>
      <c r="C3368" s="4" t="s">
        <v>272</v>
      </c>
      <c r="D3368" s="4">
        <v>61</v>
      </c>
      <c r="E3368" s="4">
        <v>211</v>
      </c>
      <c r="G3368">
        <f t="shared" si="52"/>
        <v>1744</v>
      </c>
    </row>
    <row r="3369" spans="2:7" ht="15" hidden="1" x14ac:dyDescent="0.25">
      <c r="B3369" s="4">
        <v>584632459</v>
      </c>
      <c r="C3369" s="4" t="s">
        <v>269</v>
      </c>
      <c r="D3369" s="4">
        <v>730</v>
      </c>
      <c r="E3369" s="4">
        <v>57</v>
      </c>
      <c r="G3369">
        <f t="shared" si="52"/>
        <v>512</v>
      </c>
    </row>
    <row r="3370" spans="2:7" ht="15" hidden="1" x14ac:dyDescent="0.25">
      <c r="B3370" s="4">
        <v>584632460</v>
      </c>
      <c r="C3370" s="4" t="s">
        <v>269</v>
      </c>
      <c r="D3370" s="4">
        <v>731</v>
      </c>
      <c r="E3370" s="4">
        <v>57</v>
      </c>
      <c r="G3370">
        <f t="shared" si="52"/>
        <v>512</v>
      </c>
    </row>
    <row r="3371" spans="2:7" ht="15" hidden="1" x14ac:dyDescent="0.25">
      <c r="B3371" s="4">
        <v>584632461</v>
      </c>
      <c r="C3371" s="4" t="s">
        <v>269</v>
      </c>
      <c r="D3371" s="4">
        <v>732</v>
      </c>
      <c r="E3371" s="4">
        <v>57</v>
      </c>
      <c r="G3371">
        <f t="shared" si="52"/>
        <v>512</v>
      </c>
    </row>
    <row r="3372" spans="2:7" ht="15" hidden="1" x14ac:dyDescent="0.25">
      <c r="B3372" s="4">
        <v>584632462</v>
      </c>
      <c r="C3372" s="4" t="s">
        <v>269</v>
      </c>
      <c r="D3372" s="4">
        <v>733</v>
      </c>
      <c r="E3372" s="4">
        <v>57</v>
      </c>
      <c r="G3372">
        <f t="shared" si="52"/>
        <v>512</v>
      </c>
    </row>
    <row r="3373" spans="2:7" ht="15" hidden="1" x14ac:dyDescent="0.25">
      <c r="B3373" s="4">
        <v>584632463</v>
      </c>
      <c r="C3373" s="4" t="s">
        <v>269</v>
      </c>
      <c r="D3373" s="4">
        <v>734</v>
      </c>
      <c r="E3373" s="4">
        <v>57</v>
      </c>
      <c r="G3373">
        <f t="shared" si="52"/>
        <v>512</v>
      </c>
    </row>
    <row r="3374" spans="2:7" ht="15" hidden="1" x14ac:dyDescent="0.25">
      <c r="B3374" s="4">
        <v>584632464</v>
      </c>
      <c r="C3374" s="4" t="s">
        <v>269</v>
      </c>
      <c r="D3374" s="4">
        <v>735</v>
      </c>
      <c r="E3374" s="4">
        <v>57</v>
      </c>
      <c r="G3374">
        <f t="shared" si="52"/>
        <v>512</v>
      </c>
    </row>
    <row r="3375" spans="2:7" ht="15" hidden="1" x14ac:dyDescent="0.25">
      <c r="B3375" s="4">
        <v>584632465</v>
      </c>
      <c r="C3375" s="4" t="s">
        <v>269</v>
      </c>
      <c r="D3375" s="4">
        <v>736</v>
      </c>
      <c r="E3375" s="4">
        <v>57</v>
      </c>
      <c r="G3375">
        <f t="shared" si="52"/>
        <v>512</v>
      </c>
    </row>
    <row r="3376" spans="2:7" ht="15" hidden="1" x14ac:dyDescent="0.25">
      <c r="B3376" s="4">
        <v>584632466</v>
      </c>
      <c r="C3376" s="4" t="s">
        <v>269</v>
      </c>
      <c r="D3376" s="4">
        <v>737</v>
      </c>
      <c r="E3376" s="4">
        <v>57</v>
      </c>
      <c r="G3376">
        <f t="shared" si="52"/>
        <v>512</v>
      </c>
    </row>
    <row r="3377" spans="2:7" ht="15" hidden="1" x14ac:dyDescent="0.25">
      <c r="B3377" s="4">
        <v>584632467</v>
      </c>
      <c r="C3377" s="4" t="s">
        <v>269</v>
      </c>
      <c r="D3377" s="4">
        <v>738</v>
      </c>
      <c r="E3377" s="4">
        <v>57</v>
      </c>
      <c r="G3377">
        <f t="shared" si="52"/>
        <v>512</v>
      </c>
    </row>
    <row r="3378" spans="2:7" ht="15" hidden="1" x14ac:dyDescent="0.25">
      <c r="B3378" s="4">
        <v>584632468</v>
      </c>
      <c r="C3378" s="4" t="s">
        <v>269</v>
      </c>
      <c r="D3378" s="4">
        <v>739</v>
      </c>
      <c r="E3378" s="4">
        <v>57</v>
      </c>
      <c r="G3378">
        <f t="shared" si="52"/>
        <v>512</v>
      </c>
    </row>
    <row r="3379" spans="2:7" ht="15" hidden="1" x14ac:dyDescent="0.25">
      <c r="B3379" s="4">
        <v>584632468</v>
      </c>
      <c r="C3379" s="4" t="s">
        <v>272</v>
      </c>
      <c r="D3379" s="4">
        <v>62</v>
      </c>
      <c r="E3379" s="4">
        <v>209</v>
      </c>
      <c r="G3379">
        <f t="shared" si="52"/>
        <v>1728</v>
      </c>
    </row>
    <row r="3380" spans="2:7" ht="15" hidden="1" x14ac:dyDescent="0.25">
      <c r="B3380" s="4">
        <v>584632469</v>
      </c>
      <c r="C3380" s="4" t="s">
        <v>269</v>
      </c>
      <c r="D3380" s="4">
        <v>740</v>
      </c>
      <c r="E3380" s="4">
        <v>57</v>
      </c>
      <c r="G3380">
        <f t="shared" si="52"/>
        <v>512</v>
      </c>
    </row>
    <row r="3381" spans="2:7" ht="15" hidden="1" x14ac:dyDescent="0.25">
      <c r="B3381" s="4">
        <v>584632470</v>
      </c>
      <c r="C3381" s="4" t="s">
        <v>269</v>
      </c>
      <c r="D3381" s="4">
        <v>741</v>
      </c>
      <c r="E3381" s="4">
        <v>57</v>
      </c>
      <c r="G3381">
        <f t="shared" si="52"/>
        <v>512</v>
      </c>
    </row>
    <row r="3382" spans="2:7" ht="15" hidden="1" x14ac:dyDescent="0.25">
      <c r="B3382" s="4">
        <v>584632471</v>
      </c>
      <c r="C3382" s="4" t="s">
        <v>269</v>
      </c>
      <c r="D3382" s="4">
        <v>742</v>
      </c>
      <c r="E3382" s="4">
        <v>57</v>
      </c>
      <c r="G3382">
        <f t="shared" si="52"/>
        <v>512</v>
      </c>
    </row>
    <row r="3383" spans="2:7" ht="15" hidden="1" x14ac:dyDescent="0.25">
      <c r="B3383" s="4">
        <v>584632472</v>
      </c>
      <c r="C3383" s="4" t="s">
        <v>269</v>
      </c>
      <c r="D3383" s="4">
        <v>743</v>
      </c>
      <c r="E3383" s="4">
        <v>57</v>
      </c>
      <c r="G3383">
        <f t="shared" si="52"/>
        <v>512</v>
      </c>
    </row>
    <row r="3384" spans="2:7" ht="15" hidden="1" x14ac:dyDescent="0.25">
      <c r="B3384" s="4">
        <v>584632473</v>
      </c>
      <c r="C3384" s="4" t="s">
        <v>269</v>
      </c>
      <c r="D3384" s="4">
        <v>744</v>
      </c>
      <c r="E3384" s="4">
        <v>57</v>
      </c>
      <c r="G3384">
        <f t="shared" si="52"/>
        <v>512</v>
      </c>
    </row>
    <row r="3385" spans="2:7" ht="15" hidden="1" x14ac:dyDescent="0.25">
      <c r="B3385" s="4">
        <v>584632474</v>
      </c>
      <c r="C3385" s="4" t="s">
        <v>269</v>
      </c>
      <c r="D3385" s="4">
        <v>745</v>
      </c>
      <c r="E3385" s="4">
        <v>57</v>
      </c>
      <c r="G3385">
        <f t="shared" si="52"/>
        <v>512</v>
      </c>
    </row>
    <row r="3386" spans="2:7" ht="15" hidden="1" x14ac:dyDescent="0.25">
      <c r="B3386" s="4">
        <v>584632475</v>
      </c>
      <c r="C3386" s="4" t="s">
        <v>269</v>
      </c>
      <c r="D3386" s="4">
        <v>746</v>
      </c>
      <c r="E3386" s="4">
        <v>57</v>
      </c>
      <c r="G3386">
        <f t="shared" si="52"/>
        <v>512</v>
      </c>
    </row>
    <row r="3387" spans="2:7" ht="15" hidden="1" x14ac:dyDescent="0.25">
      <c r="B3387" s="4">
        <v>584632476</v>
      </c>
      <c r="C3387" s="4" t="s">
        <v>269</v>
      </c>
      <c r="D3387" s="4">
        <v>747</v>
      </c>
      <c r="E3387" s="4">
        <v>57</v>
      </c>
      <c r="G3387">
        <f t="shared" si="52"/>
        <v>512</v>
      </c>
    </row>
    <row r="3388" spans="2:7" ht="15" hidden="1" x14ac:dyDescent="0.25">
      <c r="B3388" s="4">
        <v>584632477</v>
      </c>
      <c r="C3388" s="4" t="s">
        <v>269</v>
      </c>
      <c r="D3388" s="4">
        <v>748</v>
      </c>
      <c r="E3388" s="4">
        <v>57</v>
      </c>
      <c r="G3388">
        <f t="shared" si="52"/>
        <v>512</v>
      </c>
    </row>
    <row r="3389" spans="2:7" ht="15" hidden="1" x14ac:dyDescent="0.25">
      <c r="B3389" s="4">
        <v>584632478</v>
      </c>
      <c r="C3389" s="4" t="s">
        <v>269</v>
      </c>
      <c r="D3389" s="4">
        <v>749</v>
      </c>
      <c r="E3389" s="4">
        <v>57</v>
      </c>
      <c r="G3389">
        <f t="shared" si="52"/>
        <v>512</v>
      </c>
    </row>
    <row r="3390" spans="2:7" ht="15" hidden="1" x14ac:dyDescent="0.25">
      <c r="B3390" s="4">
        <v>584632478</v>
      </c>
      <c r="C3390" s="4" t="s">
        <v>272</v>
      </c>
      <c r="D3390" s="4">
        <v>63</v>
      </c>
      <c r="E3390" s="4">
        <v>211</v>
      </c>
      <c r="G3390">
        <f t="shared" si="52"/>
        <v>1744</v>
      </c>
    </row>
    <row r="3391" spans="2:7" ht="15" hidden="1" x14ac:dyDescent="0.25">
      <c r="B3391" s="4">
        <v>584632479</v>
      </c>
      <c r="C3391" s="4" t="s">
        <v>269</v>
      </c>
      <c r="D3391" s="4">
        <v>750</v>
      </c>
      <c r="E3391" s="4">
        <v>57</v>
      </c>
      <c r="G3391">
        <f t="shared" si="52"/>
        <v>512</v>
      </c>
    </row>
    <row r="3392" spans="2:7" ht="15" hidden="1" x14ac:dyDescent="0.25">
      <c r="B3392" s="4">
        <v>584632480</v>
      </c>
      <c r="C3392" s="4" t="s">
        <v>269</v>
      </c>
      <c r="D3392" s="4">
        <v>751</v>
      </c>
      <c r="E3392" s="4">
        <v>57</v>
      </c>
      <c r="G3392">
        <f t="shared" si="52"/>
        <v>512</v>
      </c>
    </row>
    <row r="3393" spans="2:7" ht="15" hidden="1" x14ac:dyDescent="0.25">
      <c r="B3393" s="4">
        <v>584632481</v>
      </c>
      <c r="C3393" s="4" t="s">
        <v>269</v>
      </c>
      <c r="D3393" s="4">
        <v>752</v>
      </c>
      <c r="E3393" s="4">
        <v>57</v>
      </c>
      <c r="G3393">
        <f t="shared" si="52"/>
        <v>512</v>
      </c>
    </row>
    <row r="3394" spans="2:7" ht="15" hidden="1" x14ac:dyDescent="0.25">
      <c r="B3394" s="4">
        <v>584632482</v>
      </c>
      <c r="C3394" s="4" t="s">
        <v>269</v>
      </c>
      <c r="D3394" s="4">
        <v>753</v>
      </c>
      <c r="E3394" s="4">
        <v>57</v>
      </c>
      <c r="G3394">
        <f t="shared" si="52"/>
        <v>512</v>
      </c>
    </row>
    <row r="3395" spans="2:7" ht="15" hidden="1" x14ac:dyDescent="0.25">
      <c r="B3395" s="4">
        <v>584632483</v>
      </c>
      <c r="C3395" s="4" t="s">
        <v>269</v>
      </c>
      <c r="D3395" s="4">
        <v>754</v>
      </c>
      <c r="E3395" s="4">
        <v>57</v>
      </c>
      <c r="G3395">
        <f t="shared" si="52"/>
        <v>512</v>
      </c>
    </row>
    <row r="3396" spans="2:7" ht="15" hidden="1" x14ac:dyDescent="0.25">
      <c r="B3396" s="4">
        <v>584632484</v>
      </c>
      <c r="C3396" s="4" t="s">
        <v>269</v>
      </c>
      <c r="D3396" s="4">
        <v>755</v>
      </c>
      <c r="E3396" s="4">
        <v>57</v>
      </c>
      <c r="G3396">
        <f t="shared" ref="G3396:G3459" si="53">(E3396+7)*8</f>
        <v>512</v>
      </c>
    </row>
    <row r="3397" spans="2:7" ht="15" hidden="1" x14ac:dyDescent="0.25">
      <c r="B3397" s="4">
        <v>584632485</v>
      </c>
      <c r="C3397" s="4" t="s">
        <v>269</v>
      </c>
      <c r="D3397" s="4">
        <v>756</v>
      </c>
      <c r="E3397" s="4">
        <v>57</v>
      </c>
      <c r="G3397">
        <f t="shared" si="53"/>
        <v>512</v>
      </c>
    </row>
    <row r="3398" spans="2:7" ht="15" hidden="1" x14ac:dyDescent="0.25">
      <c r="B3398" s="4">
        <v>584632486</v>
      </c>
      <c r="C3398" s="4" t="s">
        <v>269</v>
      </c>
      <c r="D3398" s="4">
        <v>757</v>
      </c>
      <c r="E3398" s="4">
        <v>57</v>
      </c>
      <c r="G3398">
        <f t="shared" si="53"/>
        <v>512</v>
      </c>
    </row>
    <row r="3399" spans="2:7" ht="15" hidden="1" x14ac:dyDescent="0.25">
      <c r="B3399" s="4">
        <v>584632487</v>
      </c>
      <c r="C3399" s="4" t="s">
        <v>269</v>
      </c>
      <c r="D3399" s="4">
        <v>758</v>
      </c>
      <c r="E3399" s="4">
        <v>57</v>
      </c>
      <c r="G3399">
        <f t="shared" si="53"/>
        <v>512</v>
      </c>
    </row>
    <row r="3400" spans="2:7" ht="15" hidden="1" x14ac:dyDescent="0.25">
      <c r="B3400" s="4">
        <v>584632488</v>
      </c>
      <c r="C3400" s="4" t="s">
        <v>269</v>
      </c>
      <c r="D3400" s="4">
        <v>759</v>
      </c>
      <c r="E3400" s="4">
        <v>57</v>
      </c>
      <c r="G3400">
        <f t="shared" si="53"/>
        <v>512</v>
      </c>
    </row>
    <row r="3401" spans="2:7" ht="15" hidden="1" x14ac:dyDescent="0.25">
      <c r="B3401" s="4">
        <v>584632488</v>
      </c>
      <c r="C3401" s="4" t="s">
        <v>272</v>
      </c>
      <c r="D3401" s="4">
        <v>64</v>
      </c>
      <c r="E3401" s="4">
        <v>211</v>
      </c>
      <c r="G3401">
        <f t="shared" si="53"/>
        <v>1744</v>
      </c>
    </row>
    <row r="3402" spans="2:7" ht="15" hidden="1" x14ac:dyDescent="0.25">
      <c r="B3402" s="4">
        <v>584632489</v>
      </c>
      <c r="C3402" s="4" t="s">
        <v>269</v>
      </c>
      <c r="D3402" s="4">
        <v>760</v>
      </c>
      <c r="E3402" s="4">
        <v>57</v>
      </c>
      <c r="G3402">
        <f t="shared" si="53"/>
        <v>512</v>
      </c>
    </row>
    <row r="3403" spans="2:7" ht="15" hidden="1" x14ac:dyDescent="0.25">
      <c r="B3403" s="4">
        <v>584632490</v>
      </c>
      <c r="C3403" s="4" t="s">
        <v>269</v>
      </c>
      <c r="D3403" s="4">
        <v>761</v>
      </c>
      <c r="E3403" s="4">
        <v>57</v>
      </c>
      <c r="G3403">
        <f t="shared" si="53"/>
        <v>512</v>
      </c>
    </row>
    <row r="3404" spans="2:7" ht="15" hidden="1" x14ac:dyDescent="0.25">
      <c r="B3404" s="4">
        <v>584632491</v>
      </c>
      <c r="C3404" s="4" t="s">
        <v>269</v>
      </c>
      <c r="D3404" s="4">
        <v>762</v>
      </c>
      <c r="E3404" s="4">
        <v>57</v>
      </c>
      <c r="G3404">
        <f t="shared" si="53"/>
        <v>512</v>
      </c>
    </row>
    <row r="3405" spans="2:7" ht="15" hidden="1" x14ac:dyDescent="0.25">
      <c r="B3405" s="4">
        <v>584632492</v>
      </c>
      <c r="C3405" s="4" t="s">
        <v>269</v>
      </c>
      <c r="D3405" s="4">
        <v>763</v>
      </c>
      <c r="E3405" s="4">
        <v>57</v>
      </c>
      <c r="G3405">
        <f t="shared" si="53"/>
        <v>512</v>
      </c>
    </row>
    <row r="3406" spans="2:7" ht="15" hidden="1" x14ac:dyDescent="0.25">
      <c r="B3406" s="4">
        <v>584632493</v>
      </c>
      <c r="C3406" s="4" t="s">
        <v>269</v>
      </c>
      <c r="D3406" s="4">
        <v>764</v>
      </c>
      <c r="E3406" s="4">
        <v>57</v>
      </c>
      <c r="G3406">
        <f t="shared" si="53"/>
        <v>512</v>
      </c>
    </row>
    <row r="3407" spans="2:7" ht="15" hidden="1" x14ac:dyDescent="0.25">
      <c r="B3407" s="4">
        <v>584632494</v>
      </c>
      <c r="C3407" s="4" t="s">
        <v>269</v>
      </c>
      <c r="D3407" s="4">
        <v>765</v>
      </c>
      <c r="E3407" s="4">
        <v>57</v>
      </c>
      <c r="G3407">
        <f t="shared" si="53"/>
        <v>512</v>
      </c>
    </row>
    <row r="3408" spans="2:7" ht="15" hidden="1" x14ac:dyDescent="0.25">
      <c r="B3408" s="4">
        <v>584632495</v>
      </c>
      <c r="C3408" s="4" t="s">
        <v>269</v>
      </c>
      <c r="D3408" s="4">
        <v>766</v>
      </c>
      <c r="E3408" s="4">
        <v>57</v>
      </c>
      <c r="G3408">
        <f t="shared" si="53"/>
        <v>512</v>
      </c>
    </row>
    <row r="3409" spans="2:7" ht="15" hidden="1" x14ac:dyDescent="0.25">
      <c r="B3409" s="4">
        <v>584632496</v>
      </c>
      <c r="C3409" s="4" t="s">
        <v>269</v>
      </c>
      <c r="D3409" s="4">
        <v>767</v>
      </c>
      <c r="E3409" s="4">
        <v>57</v>
      </c>
      <c r="G3409">
        <f t="shared" si="53"/>
        <v>512</v>
      </c>
    </row>
    <row r="3410" spans="2:7" ht="15" hidden="1" x14ac:dyDescent="0.25">
      <c r="B3410" s="4">
        <v>584632497</v>
      </c>
      <c r="C3410" s="4" t="s">
        <v>269</v>
      </c>
      <c r="D3410" s="4">
        <v>768</v>
      </c>
      <c r="E3410" s="4">
        <v>57</v>
      </c>
      <c r="G3410">
        <f t="shared" si="53"/>
        <v>512</v>
      </c>
    </row>
    <row r="3411" spans="2:7" ht="15" hidden="1" x14ac:dyDescent="0.25">
      <c r="B3411" s="4">
        <v>584632498</v>
      </c>
      <c r="C3411" s="4" t="s">
        <v>269</v>
      </c>
      <c r="D3411" s="4">
        <v>769</v>
      </c>
      <c r="E3411" s="4">
        <v>57</v>
      </c>
      <c r="G3411">
        <f t="shared" si="53"/>
        <v>512</v>
      </c>
    </row>
    <row r="3412" spans="2:7" ht="15" hidden="1" x14ac:dyDescent="0.25">
      <c r="B3412" s="4">
        <v>584632498</v>
      </c>
      <c r="C3412" s="4" t="s">
        <v>272</v>
      </c>
      <c r="D3412" s="4">
        <v>65</v>
      </c>
      <c r="E3412" s="4">
        <v>213</v>
      </c>
      <c r="G3412">
        <f t="shared" si="53"/>
        <v>1760</v>
      </c>
    </row>
    <row r="3413" spans="2:7" ht="15" hidden="1" x14ac:dyDescent="0.25">
      <c r="B3413" s="4">
        <v>584632499</v>
      </c>
      <c r="C3413" s="4" t="s">
        <v>269</v>
      </c>
      <c r="D3413" s="4">
        <v>770</v>
      </c>
      <c r="E3413" s="4">
        <v>57</v>
      </c>
      <c r="G3413">
        <f t="shared" si="53"/>
        <v>512</v>
      </c>
    </row>
    <row r="3414" spans="2:7" ht="15" hidden="1" x14ac:dyDescent="0.25">
      <c r="B3414" s="4">
        <v>584632500</v>
      </c>
      <c r="C3414" s="4" t="s">
        <v>269</v>
      </c>
      <c r="D3414" s="4">
        <v>771</v>
      </c>
      <c r="E3414" s="4">
        <v>57</v>
      </c>
      <c r="G3414">
        <f t="shared" si="53"/>
        <v>512</v>
      </c>
    </row>
    <row r="3415" spans="2:7" ht="15" hidden="1" x14ac:dyDescent="0.25">
      <c r="B3415" s="4">
        <v>584632501</v>
      </c>
      <c r="C3415" s="4" t="s">
        <v>269</v>
      </c>
      <c r="D3415" s="4">
        <v>772</v>
      </c>
      <c r="E3415" s="4">
        <v>57</v>
      </c>
      <c r="G3415">
        <f t="shared" si="53"/>
        <v>512</v>
      </c>
    </row>
    <row r="3416" spans="2:7" ht="15" hidden="1" x14ac:dyDescent="0.25">
      <c r="B3416" s="4">
        <v>584632502</v>
      </c>
      <c r="C3416" s="4" t="s">
        <v>269</v>
      </c>
      <c r="D3416" s="4">
        <v>773</v>
      </c>
      <c r="E3416" s="4">
        <v>57</v>
      </c>
      <c r="G3416">
        <f t="shared" si="53"/>
        <v>512</v>
      </c>
    </row>
    <row r="3417" spans="2:7" ht="15" hidden="1" x14ac:dyDescent="0.25">
      <c r="B3417" s="4">
        <v>584632503</v>
      </c>
      <c r="C3417" s="4" t="s">
        <v>269</v>
      </c>
      <c r="D3417" s="4">
        <v>774</v>
      </c>
      <c r="E3417" s="4">
        <v>57</v>
      </c>
      <c r="G3417">
        <f t="shared" si="53"/>
        <v>512</v>
      </c>
    </row>
    <row r="3418" spans="2:7" ht="15" hidden="1" x14ac:dyDescent="0.25">
      <c r="B3418" s="4">
        <v>584632504</v>
      </c>
      <c r="C3418" s="4" t="s">
        <v>269</v>
      </c>
      <c r="D3418" s="4">
        <v>775</v>
      </c>
      <c r="E3418" s="4">
        <v>57</v>
      </c>
      <c r="G3418">
        <f t="shared" si="53"/>
        <v>512</v>
      </c>
    </row>
    <row r="3419" spans="2:7" ht="15" hidden="1" x14ac:dyDescent="0.25">
      <c r="B3419" s="4">
        <v>584632505</v>
      </c>
      <c r="C3419" s="4" t="s">
        <v>269</v>
      </c>
      <c r="D3419" s="4">
        <v>776</v>
      </c>
      <c r="E3419" s="4">
        <v>57</v>
      </c>
      <c r="G3419">
        <f t="shared" si="53"/>
        <v>512</v>
      </c>
    </row>
    <row r="3420" spans="2:7" ht="15" hidden="1" x14ac:dyDescent="0.25">
      <c r="B3420" s="4">
        <v>584632506</v>
      </c>
      <c r="C3420" s="4" t="s">
        <v>269</v>
      </c>
      <c r="D3420" s="4">
        <v>777</v>
      </c>
      <c r="E3420" s="4">
        <v>57</v>
      </c>
      <c r="G3420">
        <f t="shared" si="53"/>
        <v>512</v>
      </c>
    </row>
    <row r="3421" spans="2:7" ht="15" hidden="1" x14ac:dyDescent="0.25">
      <c r="B3421" s="4">
        <v>584632507</v>
      </c>
      <c r="C3421" s="4" t="s">
        <v>269</v>
      </c>
      <c r="D3421" s="4">
        <v>778</v>
      </c>
      <c r="E3421" s="4">
        <v>57</v>
      </c>
      <c r="G3421">
        <f t="shared" si="53"/>
        <v>512</v>
      </c>
    </row>
    <row r="3422" spans="2:7" ht="15" hidden="1" x14ac:dyDescent="0.25">
      <c r="B3422" s="4">
        <v>584632508</v>
      </c>
      <c r="C3422" s="4" t="s">
        <v>269</v>
      </c>
      <c r="D3422" s="4">
        <v>779</v>
      </c>
      <c r="E3422" s="4">
        <v>57</v>
      </c>
      <c r="G3422">
        <f t="shared" si="53"/>
        <v>512</v>
      </c>
    </row>
    <row r="3423" spans="2:7" ht="15" hidden="1" x14ac:dyDescent="0.25">
      <c r="B3423" s="4">
        <v>584632508</v>
      </c>
      <c r="C3423" s="4" t="s">
        <v>272</v>
      </c>
      <c r="D3423" s="4">
        <v>66</v>
      </c>
      <c r="E3423" s="4">
        <v>211</v>
      </c>
      <c r="G3423">
        <f t="shared" si="53"/>
        <v>1744</v>
      </c>
    </row>
    <row r="3424" spans="2:7" ht="15" hidden="1" x14ac:dyDescent="0.25">
      <c r="B3424" s="4">
        <v>584632509</v>
      </c>
      <c r="C3424" s="4" t="s">
        <v>269</v>
      </c>
      <c r="D3424" s="4">
        <v>780</v>
      </c>
      <c r="E3424" s="4">
        <v>57</v>
      </c>
      <c r="G3424">
        <f t="shared" si="53"/>
        <v>512</v>
      </c>
    </row>
    <row r="3425" spans="2:7" ht="15" hidden="1" x14ac:dyDescent="0.25">
      <c r="B3425" s="4">
        <v>584632510</v>
      </c>
      <c r="C3425" s="4" t="s">
        <v>269</v>
      </c>
      <c r="D3425" s="4">
        <v>781</v>
      </c>
      <c r="E3425" s="4">
        <v>57</v>
      </c>
      <c r="G3425">
        <f t="shared" si="53"/>
        <v>512</v>
      </c>
    </row>
    <row r="3426" spans="2:7" ht="15" hidden="1" x14ac:dyDescent="0.25">
      <c r="B3426" s="4">
        <v>584632511</v>
      </c>
      <c r="C3426" s="4" t="s">
        <v>269</v>
      </c>
      <c r="D3426" s="4">
        <v>782</v>
      </c>
      <c r="E3426" s="4">
        <v>57</v>
      </c>
      <c r="G3426">
        <f t="shared" si="53"/>
        <v>512</v>
      </c>
    </row>
    <row r="3427" spans="2:7" ht="15" hidden="1" x14ac:dyDescent="0.25">
      <c r="B3427" s="4">
        <v>584632512</v>
      </c>
      <c r="C3427" s="4" t="s">
        <v>269</v>
      </c>
      <c r="D3427" s="4">
        <v>783</v>
      </c>
      <c r="E3427" s="4">
        <v>57</v>
      </c>
      <c r="G3427">
        <f t="shared" si="53"/>
        <v>512</v>
      </c>
    </row>
    <row r="3428" spans="2:7" ht="15" hidden="1" x14ac:dyDescent="0.25">
      <c r="B3428" s="4">
        <v>584632513</v>
      </c>
      <c r="C3428" s="4" t="s">
        <v>269</v>
      </c>
      <c r="D3428" s="4">
        <v>784</v>
      </c>
      <c r="E3428" s="4">
        <v>57</v>
      </c>
      <c r="G3428">
        <f t="shared" si="53"/>
        <v>512</v>
      </c>
    </row>
    <row r="3429" spans="2:7" ht="15" hidden="1" x14ac:dyDescent="0.25">
      <c r="B3429" s="4">
        <v>584632514</v>
      </c>
      <c r="C3429" s="4" t="s">
        <v>269</v>
      </c>
      <c r="D3429" s="4">
        <v>785</v>
      </c>
      <c r="E3429" s="4">
        <v>57</v>
      </c>
      <c r="G3429">
        <f t="shared" si="53"/>
        <v>512</v>
      </c>
    </row>
    <row r="3430" spans="2:7" ht="15" hidden="1" x14ac:dyDescent="0.25">
      <c r="B3430" s="4">
        <v>584632515</v>
      </c>
      <c r="C3430" s="4" t="s">
        <v>269</v>
      </c>
      <c r="D3430" s="4">
        <v>786</v>
      </c>
      <c r="E3430" s="4">
        <v>57</v>
      </c>
      <c r="G3430">
        <f t="shared" si="53"/>
        <v>512</v>
      </c>
    </row>
    <row r="3431" spans="2:7" ht="15" hidden="1" x14ac:dyDescent="0.25">
      <c r="B3431" s="4">
        <v>584632516</v>
      </c>
      <c r="C3431" s="4" t="s">
        <v>269</v>
      </c>
      <c r="D3431" s="4">
        <v>787</v>
      </c>
      <c r="E3431" s="4">
        <v>57</v>
      </c>
      <c r="G3431">
        <f t="shared" si="53"/>
        <v>512</v>
      </c>
    </row>
    <row r="3432" spans="2:7" ht="15" hidden="1" x14ac:dyDescent="0.25">
      <c r="B3432" s="4">
        <v>584632517</v>
      </c>
      <c r="C3432" s="4" t="s">
        <v>269</v>
      </c>
      <c r="D3432" s="4">
        <v>788</v>
      </c>
      <c r="E3432" s="4">
        <v>57</v>
      </c>
      <c r="G3432">
        <f t="shared" si="53"/>
        <v>512</v>
      </c>
    </row>
    <row r="3433" spans="2:7" ht="15" hidden="1" x14ac:dyDescent="0.25">
      <c r="B3433" s="4">
        <v>584632518</v>
      </c>
      <c r="C3433" s="4" t="s">
        <v>269</v>
      </c>
      <c r="D3433" s="4">
        <v>789</v>
      </c>
      <c r="E3433" s="4">
        <v>57</v>
      </c>
      <c r="G3433">
        <f t="shared" si="53"/>
        <v>512</v>
      </c>
    </row>
    <row r="3434" spans="2:7" ht="15" hidden="1" x14ac:dyDescent="0.25">
      <c r="B3434" s="4">
        <v>584632518</v>
      </c>
      <c r="C3434" s="4" t="s">
        <v>272</v>
      </c>
      <c r="D3434" s="4">
        <v>67</v>
      </c>
      <c r="E3434" s="4">
        <v>207</v>
      </c>
      <c r="G3434">
        <f t="shared" si="53"/>
        <v>1712</v>
      </c>
    </row>
    <row r="3435" spans="2:7" ht="15" hidden="1" x14ac:dyDescent="0.25">
      <c r="B3435" s="4">
        <v>584632519</v>
      </c>
      <c r="C3435" s="4" t="s">
        <v>269</v>
      </c>
      <c r="D3435" s="4">
        <v>790</v>
      </c>
      <c r="E3435" s="4">
        <v>57</v>
      </c>
      <c r="G3435">
        <f t="shared" si="53"/>
        <v>512</v>
      </c>
    </row>
    <row r="3436" spans="2:7" ht="15" hidden="1" x14ac:dyDescent="0.25">
      <c r="B3436" s="4">
        <v>584632520</v>
      </c>
      <c r="C3436" s="4" t="s">
        <v>269</v>
      </c>
      <c r="D3436" s="4">
        <v>791</v>
      </c>
      <c r="E3436" s="4">
        <v>57</v>
      </c>
      <c r="G3436">
        <f t="shared" si="53"/>
        <v>512</v>
      </c>
    </row>
    <row r="3437" spans="2:7" ht="15" hidden="1" x14ac:dyDescent="0.25">
      <c r="B3437" s="4">
        <v>584632521</v>
      </c>
      <c r="C3437" s="4" t="s">
        <v>269</v>
      </c>
      <c r="D3437" s="4">
        <v>792</v>
      </c>
      <c r="E3437" s="4">
        <v>57</v>
      </c>
      <c r="G3437">
        <f t="shared" si="53"/>
        <v>512</v>
      </c>
    </row>
    <row r="3438" spans="2:7" ht="15" hidden="1" x14ac:dyDescent="0.25">
      <c r="B3438" s="4">
        <v>584632522</v>
      </c>
      <c r="C3438" s="4" t="s">
        <v>269</v>
      </c>
      <c r="D3438" s="4">
        <v>793</v>
      </c>
      <c r="E3438" s="4">
        <v>57</v>
      </c>
      <c r="G3438">
        <f t="shared" si="53"/>
        <v>512</v>
      </c>
    </row>
    <row r="3439" spans="2:7" ht="15" hidden="1" x14ac:dyDescent="0.25">
      <c r="B3439" s="4">
        <v>584632523</v>
      </c>
      <c r="C3439" s="4" t="s">
        <v>269</v>
      </c>
      <c r="D3439" s="4">
        <v>794</v>
      </c>
      <c r="E3439" s="4">
        <v>57</v>
      </c>
      <c r="G3439">
        <f t="shared" si="53"/>
        <v>512</v>
      </c>
    </row>
    <row r="3440" spans="2:7" ht="15" hidden="1" x14ac:dyDescent="0.25">
      <c r="B3440" s="4">
        <v>584632524</v>
      </c>
      <c r="C3440" s="4" t="s">
        <v>269</v>
      </c>
      <c r="D3440" s="4">
        <v>795</v>
      </c>
      <c r="E3440" s="4">
        <v>57</v>
      </c>
      <c r="G3440">
        <f t="shared" si="53"/>
        <v>512</v>
      </c>
    </row>
    <row r="3441" spans="2:7" ht="15" hidden="1" x14ac:dyDescent="0.25">
      <c r="B3441" s="4">
        <v>584632525</v>
      </c>
      <c r="C3441" s="4" t="s">
        <v>269</v>
      </c>
      <c r="D3441" s="4">
        <v>796</v>
      </c>
      <c r="E3441" s="4">
        <v>57</v>
      </c>
      <c r="G3441">
        <f t="shared" si="53"/>
        <v>512</v>
      </c>
    </row>
    <row r="3442" spans="2:7" ht="15" hidden="1" x14ac:dyDescent="0.25">
      <c r="B3442" s="4">
        <v>584632526</v>
      </c>
      <c r="C3442" s="4" t="s">
        <v>268</v>
      </c>
      <c r="D3442" s="4">
        <v>226</v>
      </c>
      <c r="E3442" s="4">
        <v>6</v>
      </c>
      <c r="G3442">
        <f t="shared" si="53"/>
        <v>104</v>
      </c>
    </row>
    <row r="3443" spans="2:7" ht="15" hidden="1" x14ac:dyDescent="0.25">
      <c r="B3443" s="4">
        <v>584632526</v>
      </c>
      <c r="C3443" s="4" t="s">
        <v>268</v>
      </c>
      <c r="D3443" s="4">
        <v>226</v>
      </c>
      <c r="E3443" s="4">
        <v>6</v>
      </c>
      <c r="G3443">
        <f t="shared" si="53"/>
        <v>104</v>
      </c>
    </row>
    <row r="3444" spans="2:7" ht="15" hidden="1" x14ac:dyDescent="0.25">
      <c r="B3444" s="4">
        <v>584632526</v>
      </c>
      <c r="C3444" s="4" t="s">
        <v>268</v>
      </c>
      <c r="D3444" s="4">
        <v>227</v>
      </c>
      <c r="E3444" s="4">
        <v>9</v>
      </c>
      <c r="G3444">
        <f t="shared" si="53"/>
        <v>128</v>
      </c>
    </row>
    <row r="3445" spans="2:7" ht="15" hidden="1" x14ac:dyDescent="0.25">
      <c r="B3445" s="4">
        <v>584632526</v>
      </c>
      <c r="C3445" s="4" t="s">
        <v>268</v>
      </c>
      <c r="D3445" s="4">
        <v>227</v>
      </c>
      <c r="E3445" s="4">
        <v>9</v>
      </c>
      <c r="G3445">
        <f t="shared" si="53"/>
        <v>128</v>
      </c>
    </row>
    <row r="3446" spans="2:7" ht="15" hidden="1" x14ac:dyDescent="0.25">
      <c r="B3446" s="4">
        <v>584632526</v>
      </c>
      <c r="C3446" s="4" t="s">
        <v>268</v>
      </c>
      <c r="D3446" s="4">
        <v>228</v>
      </c>
      <c r="E3446" s="4">
        <v>7</v>
      </c>
      <c r="G3446">
        <f t="shared" si="53"/>
        <v>112</v>
      </c>
    </row>
    <row r="3447" spans="2:7" ht="15" hidden="1" x14ac:dyDescent="0.25">
      <c r="B3447" s="4">
        <v>584632526</v>
      </c>
      <c r="C3447" s="4" t="s">
        <v>268</v>
      </c>
      <c r="D3447" s="4">
        <v>228</v>
      </c>
      <c r="E3447" s="4">
        <v>7</v>
      </c>
      <c r="G3447">
        <f t="shared" si="53"/>
        <v>112</v>
      </c>
    </row>
    <row r="3448" spans="2:7" ht="15" hidden="1" x14ac:dyDescent="0.25">
      <c r="B3448" s="4">
        <v>584632526</v>
      </c>
      <c r="C3448" s="4" t="s">
        <v>268</v>
      </c>
      <c r="D3448" s="4">
        <v>229</v>
      </c>
      <c r="E3448" s="4">
        <v>7</v>
      </c>
      <c r="G3448">
        <f t="shared" si="53"/>
        <v>112</v>
      </c>
    </row>
    <row r="3449" spans="2:7" ht="15" hidden="1" x14ac:dyDescent="0.25">
      <c r="B3449" s="4">
        <v>584632526</v>
      </c>
      <c r="C3449" s="4" t="s">
        <v>268</v>
      </c>
      <c r="D3449" s="4">
        <v>229</v>
      </c>
      <c r="E3449" s="4">
        <v>7</v>
      </c>
      <c r="G3449">
        <f t="shared" si="53"/>
        <v>112</v>
      </c>
    </row>
    <row r="3450" spans="2:7" ht="15" hidden="1" x14ac:dyDescent="0.25">
      <c r="B3450" s="4">
        <v>584632526</v>
      </c>
      <c r="C3450" s="4" t="s">
        <v>268</v>
      </c>
      <c r="D3450" s="4">
        <v>230</v>
      </c>
      <c r="E3450" s="4">
        <v>7</v>
      </c>
      <c r="G3450">
        <f t="shared" si="53"/>
        <v>112</v>
      </c>
    </row>
    <row r="3451" spans="2:7" ht="15" hidden="1" x14ac:dyDescent="0.25">
      <c r="B3451" s="4">
        <v>584632526</v>
      </c>
      <c r="C3451" s="4" t="s">
        <v>268</v>
      </c>
      <c r="D3451" s="4">
        <v>230</v>
      </c>
      <c r="E3451" s="4">
        <v>7</v>
      </c>
      <c r="G3451">
        <f t="shared" si="53"/>
        <v>112</v>
      </c>
    </row>
    <row r="3452" spans="2:7" ht="15" hidden="1" x14ac:dyDescent="0.25">
      <c r="B3452" s="4">
        <v>584632526</v>
      </c>
      <c r="C3452" s="4" t="s">
        <v>269</v>
      </c>
      <c r="D3452" s="4">
        <v>797</v>
      </c>
      <c r="E3452" s="4">
        <v>57</v>
      </c>
      <c r="G3452">
        <f t="shared" si="53"/>
        <v>512</v>
      </c>
    </row>
    <row r="3453" spans="2:7" ht="15" hidden="1" x14ac:dyDescent="0.25">
      <c r="B3453" s="4">
        <v>584632527</v>
      </c>
      <c r="C3453" s="4" t="s">
        <v>269</v>
      </c>
      <c r="D3453" s="4">
        <v>798</v>
      </c>
      <c r="E3453" s="4">
        <v>57</v>
      </c>
      <c r="G3453">
        <f t="shared" si="53"/>
        <v>512</v>
      </c>
    </row>
    <row r="3454" spans="2:7" ht="15" hidden="1" x14ac:dyDescent="0.25">
      <c r="B3454" s="4">
        <v>584632528</v>
      </c>
      <c r="C3454" s="4" t="s">
        <v>268</v>
      </c>
      <c r="D3454" s="4">
        <v>231</v>
      </c>
      <c r="E3454" s="4">
        <v>7</v>
      </c>
      <c r="G3454">
        <f t="shared" si="53"/>
        <v>112</v>
      </c>
    </row>
    <row r="3455" spans="2:7" ht="15" hidden="1" x14ac:dyDescent="0.25">
      <c r="B3455" s="4">
        <v>584632528</v>
      </c>
      <c r="C3455" s="4" t="s">
        <v>268</v>
      </c>
      <c r="D3455" s="4">
        <v>231</v>
      </c>
      <c r="E3455" s="4">
        <v>7</v>
      </c>
      <c r="G3455">
        <f t="shared" si="53"/>
        <v>112</v>
      </c>
    </row>
    <row r="3456" spans="2:7" ht="15" hidden="1" x14ac:dyDescent="0.25">
      <c r="B3456" s="4">
        <v>584632528</v>
      </c>
      <c r="C3456" s="4" t="s">
        <v>268</v>
      </c>
      <c r="D3456" s="4">
        <v>232</v>
      </c>
      <c r="E3456" s="4">
        <v>5</v>
      </c>
      <c r="G3456">
        <f t="shared" si="53"/>
        <v>96</v>
      </c>
    </row>
    <row r="3457" spans="2:7" ht="15" hidden="1" x14ac:dyDescent="0.25">
      <c r="B3457" s="4">
        <v>584632528</v>
      </c>
      <c r="C3457" s="4" t="s">
        <v>268</v>
      </c>
      <c r="D3457" s="4">
        <v>232</v>
      </c>
      <c r="E3457" s="4">
        <v>5</v>
      </c>
      <c r="G3457">
        <f t="shared" si="53"/>
        <v>96</v>
      </c>
    </row>
    <row r="3458" spans="2:7" ht="15" hidden="1" x14ac:dyDescent="0.25">
      <c r="B3458" s="4">
        <v>584632528</v>
      </c>
      <c r="C3458" s="4" t="s">
        <v>268</v>
      </c>
      <c r="D3458" s="4">
        <v>233</v>
      </c>
      <c r="E3458" s="4">
        <v>7</v>
      </c>
      <c r="G3458">
        <f t="shared" si="53"/>
        <v>112</v>
      </c>
    </row>
    <row r="3459" spans="2:7" ht="15" hidden="1" x14ac:dyDescent="0.25">
      <c r="B3459" s="4">
        <v>584632528</v>
      </c>
      <c r="C3459" s="4" t="s">
        <v>268</v>
      </c>
      <c r="D3459" s="4">
        <v>233</v>
      </c>
      <c r="E3459" s="4">
        <v>7</v>
      </c>
      <c r="G3459">
        <f t="shared" si="53"/>
        <v>112</v>
      </c>
    </row>
    <row r="3460" spans="2:7" ht="15" hidden="1" x14ac:dyDescent="0.25">
      <c r="B3460" s="4">
        <v>584632528</v>
      </c>
      <c r="C3460" s="4" t="s">
        <v>269</v>
      </c>
      <c r="D3460" s="4">
        <v>799</v>
      </c>
      <c r="E3460" s="4">
        <v>57</v>
      </c>
      <c r="G3460">
        <f t="shared" ref="G3460:G3523" si="54">(E3460+7)*8</f>
        <v>512</v>
      </c>
    </row>
    <row r="3461" spans="2:7" ht="15" hidden="1" x14ac:dyDescent="0.25">
      <c r="B3461" s="4">
        <v>584632528</v>
      </c>
      <c r="C3461" s="4" t="s">
        <v>272</v>
      </c>
      <c r="D3461" s="4">
        <v>68</v>
      </c>
      <c r="E3461" s="4">
        <v>211</v>
      </c>
      <c r="G3461">
        <f t="shared" si="54"/>
        <v>1744</v>
      </c>
    </row>
    <row r="3462" spans="2:7" ht="15" hidden="1" x14ac:dyDescent="0.25">
      <c r="B3462" s="4">
        <v>584632529</v>
      </c>
      <c r="C3462" s="4" t="s">
        <v>269</v>
      </c>
      <c r="D3462" s="4">
        <v>800</v>
      </c>
      <c r="E3462" s="4">
        <v>57</v>
      </c>
      <c r="G3462">
        <f t="shared" si="54"/>
        <v>512</v>
      </c>
    </row>
    <row r="3463" spans="2:7" ht="15" hidden="1" x14ac:dyDescent="0.25">
      <c r="B3463" s="4">
        <v>584632530</v>
      </c>
      <c r="C3463" s="4" t="s">
        <v>269</v>
      </c>
      <c r="D3463" s="4">
        <v>801</v>
      </c>
      <c r="E3463" s="4">
        <v>57</v>
      </c>
      <c r="G3463">
        <f t="shared" si="54"/>
        <v>512</v>
      </c>
    </row>
    <row r="3464" spans="2:7" ht="15" hidden="1" x14ac:dyDescent="0.25">
      <c r="B3464" s="4">
        <v>584632531</v>
      </c>
      <c r="C3464" s="4" t="s">
        <v>269</v>
      </c>
      <c r="D3464" s="4">
        <v>802</v>
      </c>
      <c r="E3464" s="4">
        <v>57</v>
      </c>
      <c r="G3464">
        <f t="shared" si="54"/>
        <v>512</v>
      </c>
    </row>
    <row r="3465" spans="2:7" ht="15" hidden="1" x14ac:dyDescent="0.25">
      <c r="B3465" s="4">
        <v>584632532</v>
      </c>
      <c r="C3465" s="4" t="s">
        <v>269</v>
      </c>
      <c r="D3465" s="4">
        <v>803</v>
      </c>
      <c r="E3465" s="4">
        <v>57</v>
      </c>
      <c r="G3465">
        <f t="shared" si="54"/>
        <v>512</v>
      </c>
    </row>
    <row r="3466" spans="2:7" ht="15" hidden="1" x14ac:dyDescent="0.25">
      <c r="B3466" s="4">
        <v>584632533</v>
      </c>
      <c r="C3466" s="4" t="s">
        <v>269</v>
      </c>
      <c r="D3466" s="4">
        <v>804</v>
      </c>
      <c r="E3466" s="4">
        <v>57</v>
      </c>
      <c r="G3466">
        <f t="shared" si="54"/>
        <v>512</v>
      </c>
    </row>
    <row r="3467" spans="2:7" ht="15" hidden="1" x14ac:dyDescent="0.25">
      <c r="B3467" s="4">
        <v>584632534</v>
      </c>
      <c r="C3467" s="4" t="s">
        <v>269</v>
      </c>
      <c r="D3467" s="4">
        <v>805</v>
      </c>
      <c r="E3467" s="4">
        <v>57</v>
      </c>
      <c r="G3467">
        <f t="shared" si="54"/>
        <v>512</v>
      </c>
    </row>
    <row r="3468" spans="2:7" ht="15" hidden="1" x14ac:dyDescent="0.25">
      <c r="B3468" s="4">
        <v>584632535</v>
      </c>
      <c r="C3468" s="4" t="s">
        <v>269</v>
      </c>
      <c r="D3468" s="4">
        <v>806</v>
      </c>
      <c r="E3468" s="4">
        <v>57</v>
      </c>
      <c r="G3468">
        <f t="shared" si="54"/>
        <v>512</v>
      </c>
    </row>
    <row r="3469" spans="2:7" ht="15" hidden="1" x14ac:dyDescent="0.25">
      <c r="B3469" s="4">
        <v>584632536</v>
      </c>
      <c r="C3469" s="4" t="s">
        <v>269</v>
      </c>
      <c r="D3469" s="4">
        <v>807</v>
      </c>
      <c r="E3469" s="4">
        <v>57</v>
      </c>
      <c r="G3469">
        <f t="shared" si="54"/>
        <v>512</v>
      </c>
    </row>
    <row r="3470" spans="2:7" ht="15" hidden="1" x14ac:dyDescent="0.25">
      <c r="B3470" s="4">
        <v>584632537</v>
      </c>
      <c r="C3470" s="4" t="s">
        <v>269</v>
      </c>
      <c r="D3470" s="4">
        <v>808</v>
      </c>
      <c r="E3470" s="4">
        <v>57</v>
      </c>
      <c r="G3470">
        <f t="shared" si="54"/>
        <v>512</v>
      </c>
    </row>
    <row r="3471" spans="2:7" ht="15" hidden="1" x14ac:dyDescent="0.25">
      <c r="B3471" s="4">
        <v>584632538</v>
      </c>
      <c r="C3471" s="4" t="s">
        <v>269</v>
      </c>
      <c r="D3471" s="4">
        <v>809</v>
      </c>
      <c r="E3471" s="4">
        <v>57</v>
      </c>
      <c r="G3471">
        <f t="shared" si="54"/>
        <v>512</v>
      </c>
    </row>
    <row r="3472" spans="2:7" ht="15" hidden="1" x14ac:dyDescent="0.25">
      <c r="B3472" s="4">
        <v>584632538</v>
      </c>
      <c r="C3472" s="4" t="s">
        <v>272</v>
      </c>
      <c r="D3472" s="4">
        <v>69</v>
      </c>
      <c r="E3472" s="4">
        <v>207</v>
      </c>
      <c r="G3472">
        <f t="shared" si="54"/>
        <v>1712</v>
      </c>
    </row>
    <row r="3473" spans="2:7" ht="15" hidden="1" x14ac:dyDescent="0.25">
      <c r="B3473" s="4">
        <v>584632539</v>
      </c>
      <c r="C3473" s="4" t="s">
        <v>269</v>
      </c>
      <c r="D3473" s="4">
        <v>810</v>
      </c>
      <c r="E3473" s="4">
        <v>57</v>
      </c>
      <c r="G3473">
        <f t="shared" si="54"/>
        <v>512</v>
      </c>
    </row>
    <row r="3474" spans="2:7" ht="15" hidden="1" x14ac:dyDescent="0.25">
      <c r="B3474" s="4">
        <v>584632540</v>
      </c>
      <c r="C3474" s="4" t="s">
        <v>269</v>
      </c>
      <c r="D3474" s="4">
        <v>811</v>
      </c>
      <c r="E3474" s="4">
        <v>57</v>
      </c>
      <c r="G3474">
        <f t="shared" si="54"/>
        <v>512</v>
      </c>
    </row>
    <row r="3475" spans="2:7" ht="15" hidden="1" x14ac:dyDescent="0.25">
      <c r="B3475" s="4">
        <v>584632541</v>
      </c>
      <c r="C3475" s="4" t="s">
        <v>269</v>
      </c>
      <c r="D3475" s="4">
        <v>812</v>
      </c>
      <c r="E3475" s="4">
        <v>57</v>
      </c>
      <c r="G3475">
        <f t="shared" si="54"/>
        <v>512</v>
      </c>
    </row>
    <row r="3476" spans="2:7" ht="15" hidden="1" x14ac:dyDescent="0.25">
      <c r="B3476" s="4">
        <v>584632542</v>
      </c>
      <c r="C3476" s="4" t="s">
        <v>269</v>
      </c>
      <c r="D3476" s="4">
        <v>813</v>
      </c>
      <c r="E3476" s="4">
        <v>57</v>
      </c>
      <c r="G3476">
        <f t="shared" si="54"/>
        <v>512</v>
      </c>
    </row>
    <row r="3477" spans="2:7" ht="15" hidden="1" x14ac:dyDescent="0.25">
      <c r="B3477" s="4">
        <v>584632543</v>
      </c>
      <c r="C3477" s="4" t="s">
        <v>269</v>
      </c>
      <c r="D3477" s="4">
        <v>814</v>
      </c>
      <c r="E3477" s="4">
        <v>57</v>
      </c>
      <c r="G3477">
        <f t="shared" si="54"/>
        <v>512</v>
      </c>
    </row>
    <row r="3478" spans="2:7" ht="15" hidden="1" x14ac:dyDescent="0.25">
      <c r="B3478" s="4">
        <v>584632544</v>
      </c>
      <c r="C3478" s="4" t="s">
        <v>269</v>
      </c>
      <c r="D3478" s="4">
        <v>815</v>
      </c>
      <c r="E3478" s="4">
        <v>57</v>
      </c>
      <c r="G3478">
        <f t="shared" si="54"/>
        <v>512</v>
      </c>
    </row>
    <row r="3479" spans="2:7" ht="15" hidden="1" x14ac:dyDescent="0.25">
      <c r="B3479" s="4">
        <v>584632545</v>
      </c>
      <c r="C3479" s="4" t="s">
        <v>269</v>
      </c>
      <c r="D3479" s="4">
        <v>816</v>
      </c>
      <c r="E3479" s="4">
        <v>57</v>
      </c>
      <c r="G3479">
        <f t="shared" si="54"/>
        <v>512</v>
      </c>
    </row>
    <row r="3480" spans="2:7" ht="15" hidden="1" x14ac:dyDescent="0.25">
      <c r="B3480" s="4">
        <v>584632546</v>
      </c>
      <c r="C3480" s="4" t="s">
        <v>269</v>
      </c>
      <c r="D3480" s="4">
        <v>817</v>
      </c>
      <c r="E3480" s="4">
        <v>57</v>
      </c>
      <c r="G3480">
        <f t="shared" si="54"/>
        <v>512</v>
      </c>
    </row>
    <row r="3481" spans="2:7" ht="15" hidden="1" x14ac:dyDescent="0.25">
      <c r="B3481" s="4">
        <v>584632547</v>
      </c>
      <c r="C3481" s="4" t="s">
        <v>269</v>
      </c>
      <c r="D3481" s="4">
        <v>818</v>
      </c>
      <c r="E3481" s="4">
        <v>57</v>
      </c>
      <c r="G3481">
        <f t="shared" si="54"/>
        <v>512</v>
      </c>
    </row>
    <row r="3482" spans="2:7" ht="15" hidden="1" x14ac:dyDescent="0.25">
      <c r="B3482" s="4">
        <v>584632548</v>
      </c>
      <c r="C3482" s="4" t="s">
        <v>269</v>
      </c>
      <c r="D3482" s="4">
        <v>819</v>
      </c>
      <c r="E3482" s="4">
        <v>57</v>
      </c>
      <c r="G3482">
        <f t="shared" si="54"/>
        <v>512</v>
      </c>
    </row>
    <row r="3483" spans="2:7" ht="15" hidden="1" x14ac:dyDescent="0.25">
      <c r="B3483" s="4">
        <v>584632548</v>
      </c>
      <c r="C3483" s="4" t="s">
        <v>272</v>
      </c>
      <c r="D3483" s="4">
        <v>70</v>
      </c>
      <c r="E3483" s="4">
        <v>211</v>
      </c>
      <c r="G3483">
        <f t="shared" si="54"/>
        <v>1744</v>
      </c>
    </row>
    <row r="3484" spans="2:7" ht="15" hidden="1" x14ac:dyDescent="0.25">
      <c r="B3484" s="4">
        <v>584632549</v>
      </c>
      <c r="C3484" s="4" t="s">
        <v>269</v>
      </c>
      <c r="D3484" s="4">
        <v>820</v>
      </c>
      <c r="E3484" s="4">
        <v>57</v>
      </c>
      <c r="G3484">
        <f t="shared" si="54"/>
        <v>512</v>
      </c>
    </row>
    <row r="3485" spans="2:7" ht="15" hidden="1" x14ac:dyDescent="0.25">
      <c r="B3485" s="4">
        <v>584632550</v>
      </c>
      <c r="C3485" s="4" t="s">
        <v>269</v>
      </c>
      <c r="D3485" s="4">
        <v>821</v>
      </c>
      <c r="E3485" s="4">
        <v>57</v>
      </c>
      <c r="G3485">
        <f t="shared" si="54"/>
        <v>512</v>
      </c>
    </row>
    <row r="3486" spans="2:7" ht="15" hidden="1" x14ac:dyDescent="0.25">
      <c r="B3486" s="4">
        <v>584632551</v>
      </c>
      <c r="C3486" s="4" t="s">
        <v>269</v>
      </c>
      <c r="D3486" s="4">
        <v>822</v>
      </c>
      <c r="E3486" s="4">
        <v>57</v>
      </c>
      <c r="G3486">
        <f t="shared" si="54"/>
        <v>512</v>
      </c>
    </row>
    <row r="3487" spans="2:7" ht="15" hidden="1" x14ac:dyDescent="0.25">
      <c r="B3487" s="4">
        <v>584632552</v>
      </c>
      <c r="C3487" s="4" t="s">
        <v>269</v>
      </c>
      <c r="D3487" s="4">
        <v>823</v>
      </c>
      <c r="E3487" s="4">
        <v>57</v>
      </c>
      <c r="G3487">
        <f t="shared" si="54"/>
        <v>512</v>
      </c>
    </row>
    <row r="3488" spans="2:7" ht="15" hidden="1" x14ac:dyDescent="0.25">
      <c r="B3488" s="4">
        <v>584632553</v>
      </c>
      <c r="C3488" s="4" t="s">
        <v>269</v>
      </c>
      <c r="D3488" s="4">
        <v>824</v>
      </c>
      <c r="E3488" s="4">
        <v>57</v>
      </c>
      <c r="G3488">
        <f t="shared" si="54"/>
        <v>512</v>
      </c>
    </row>
    <row r="3489" spans="2:7" ht="15" hidden="1" x14ac:dyDescent="0.25">
      <c r="B3489" s="4">
        <v>584632554</v>
      </c>
      <c r="C3489" s="4" t="s">
        <v>269</v>
      </c>
      <c r="D3489" s="4">
        <v>825</v>
      </c>
      <c r="E3489" s="4">
        <v>57</v>
      </c>
      <c r="G3489">
        <f t="shared" si="54"/>
        <v>512</v>
      </c>
    </row>
    <row r="3490" spans="2:7" ht="15" hidden="1" x14ac:dyDescent="0.25">
      <c r="B3490" s="4">
        <v>584632555</v>
      </c>
      <c r="C3490" s="4" t="s">
        <v>269</v>
      </c>
      <c r="D3490" s="4">
        <v>826</v>
      </c>
      <c r="E3490" s="4">
        <v>57</v>
      </c>
      <c r="G3490">
        <f t="shared" si="54"/>
        <v>512</v>
      </c>
    </row>
    <row r="3491" spans="2:7" ht="15" hidden="1" x14ac:dyDescent="0.25">
      <c r="B3491" s="4">
        <v>584632556</v>
      </c>
      <c r="C3491" s="4" t="s">
        <v>269</v>
      </c>
      <c r="D3491" s="4">
        <v>827</v>
      </c>
      <c r="E3491" s="4">
        <v>57</v>
      </c>
      <c r="G3491">
        <f t="shared" si="54"/>
        <v>512</v>
      </c>
    </row>
    <row r="3492" spans="2:7" ht="15" hidden="1" x14ac:dyDescent="0.25">
      <c r="B3492" s="4">
        <v>584632557</v>
      </c>
      <c r="C3492" s="4" t="s">
        <v>269</v>
      </c>
      <c r="D3492" s="4">
        <v>828</v>
      </c>
      <c r="E3492" s="4">
        <v>57</v>
      </c>
      <c r="G3492">
        <f t="shared" si="54"/>
        <v>512</v>
      </c>
    </row>
    <row r="3493" spans="2:7" ht="15" hidden="1" x14ac:dyDescent="0.25">
      <c r="B3493" s="4">
        <v>584632558</v>
      </c>
      <c r="C3493" s="4" t="s">
        <v>269</v>
      </c>
      <c r="D3493" s="4">
        <v>829</v>
      </c>
      <c r="E3493" s="4">
        <v>57</v>
      </c>
      <c r="G3493">
        <f t="shared" si="54"/>
        <v>512</v>
      </c>
    </row>
    <row r="3494" spans="2:7" ht="15" hidden="1" x14ac:dyDescent="0.25">
      <c r="B3494" s="4">
        <v>584632558</v>
      </c>
      <c r="C3494" s="4" t="s">
        <v>272</v>
      </c>
      <c r="D3494" s="4">
        <v>71</v>
      </c>
      <c r="E3494" s="4">
        <v>211</v>
      </c>
      <c r="G3494">
        <f t="shared" si="54"/>
        <v>1744</v>
      </c>
    </row>
    <row r="3495" spans="2:7" ht="15" hidden="1" x14ac:dyDescent="0.25">
      <c r="B3495" s="4">
        <v>584632559</v>
      </c>
      <c r="C3495" s="4" t="s">
        <v>269</v>
      </c>
      <c r="D3495" s="4">
        <v>830</v>
      </c>
      <c r="E3495" s="4">
        <v>57</v>
      </c>
      <c r="G3495">
        <f t="shared" si="54"/>
        <v>512</v>
      </c>
    </row>
    <row r="3496" spans="2:7" ht="15" hidden="1" x14ac:dyDescent="0.25">
      <c r="B3496" s="4">
        <v>584632560</v>
      </c>
      <c r="C3496" s="4" t="s">
        <v>269</v>
      </c>
      <c r="D3496" s="4">
        <v>831</v>
      </c>
      <c r="E3496" s="4">
        <v>57</v>
      </c>
      <c r="G3496">
        <f t="shared" si="54"/>
        <v>512</v>
      </c>
    </row>
    <row r="3497" spans="2:7" ht="15" hidden="1" x14ac:dyDescent="0.25">
      <c r="B3497" s="4">
        <v>584632561</v>
      </c>
      <c r="C3497" s="4" t="s">
        <v>269</v>
      </c>
      <c r="D3497" s="4">
        <v>832</v>
      </c>
      <c r="E3497" s="4">
        <v>57</v>
      </c>
      <c r="G3497">
        <f t="shared" si="54"/>
        <v>512</v>
      </c>
    </row>
    <row r="3498" spans="2:7" ht="15" hidden="1" x14ac:dyDescent="0.25">
      <c r="B3498" s="4">
        <v>584632562</v>
      </c>
      <c r="C3498" s="4" t="s">
        <v>269</v>
      </c>
      <c r="D3498" s="4">
        <v>833</v>
      </c>
      <c r="E3498" s="4">
        <v>57</v>
      </c>
      <c r="G3498">
        <f t="shared" si="54"/>
        <v>512</v>
      </c>
    </row>
    <row r="3499" spans="2:7" ht="15" hidden="1" x14ac:dyDescent="0.25">
      <c r="B3499" s="4">
        <v>584632563</v>
      </c>
      <c r="C3499" s="4" t="s">
        <v>269</v>
      </c>
      <c r="D3499" s="4">
        <v>834</v>
      </c>
      <c r="E3499" s="4">
        <v>57</v>
      </c>
      <c r="G3499">
        <f t="shared" si="54"/>
        <v>512</v>
      </c>
    </row>
    <row r="3500" spans="2:7" ht="15" hidden="1" x14ac:dyDescent="0.25">
      <c r="B3500" s="4">
        <v>584632564</v>
      </c>
      <c r="C3500" s="4" t="s">
        <v>269</v>
      </c>
      <c r="D3500" s="4">
        <v>835</v>
      </c>
      <c r="E3500" s="4">
        <v>57</v>
      </c>
      <c r="G3500">
        <f t="shared" si="54"/>
        <v>512</v>
      </c>
    </row>
    <row r="3501" spans="2:7" ht="15" hidden="1" x14ac:dyDescent="0.25">
      <c r="B3501" s="4">
        <v>584632565</v>
      </c>
      <c r="C3501" s="4" t="s">
        <v>269</v>
      </c>
      <c r="D3501" s="4">
        <v>836</v>
      </c>
      <c r="E3501" s="4">
        <v>57</v>
      </c>
      <c r="G3501">
        <f t="shared" si="54"/>
        <v>512</v>
      </c>
    </row>
    <row r="3502" spans="2:7" ht="15" hidden="1" x14ac:dyDescent="0.25">
      <c r="B3502" s="4">
        <v>584632566</v>
      </c>
      <c r="C3502" s="4" t="s">
        <v>269</v>
      </c>
      <c r="D3502" s="4">
        <v>837</v>
      </c>
      <c r="E3502" s="4">
        <v>57</v>
      </c>
      <c r="G3502">
        <f t="shared" si="54"/>
        <v>512</v>
      </c>
    </row>
    <row r="3503" spans="2:7" ht="15" hidden="1" x14ac:dyDescent="0.25">
      <c r="B3503" s="4">
        <v>584632567</v>
      </c>
      <c r="C3503" s="4" t="s">
        <v>269</v>
      </c>
      <c r="D3503" s="4">
        <v>838</v>
      </c>
      <c r="E3503" s="4">
        <v>57</v>
      </c>
      <c r="G3503">
        <f t="shared" si="54"/>
        <v>512</v>
      </c>
    </row>
    <row r="3504" spans="2:7" ht="15" hidden="1" x14ac:dyDescent="0.25">
      <c r="B3504" s="4">
        <v>584632568</v>
      </c>
      <c r="C3504" s="4" t="s">
        <v>269</v>
      </c>
      <c r="D3504" s="4">
        <v>839</v>
      </c>
      <c r="E3504" s="4">
        <v>57</v>
      </c>
      <c r="G3504">
        <f t="shared" si="54"/>
        <v>512</v>
      </c>
    </row>
    <row r="3505" spans="2:7" ht="15" hidden="1" x14ac:dyDescent="0.25">
      <c r="B3505" s="4">
        <v>584632568</v>
      </c>
      <c r="C3505" s="4" t="s">
        <v>272</v>
      </c>
      <c r="D3505" s="4">
        <v>72</v>
      </c>
      <c r="E3505" s="4">
        <v>209</v>
      </c>
      <c r="G3505">
        <f t="shared" si="54"/>
        <v>1728</v>
      </c>
    </row>
    <row r="3506" spans="2:7" ht="15" hidden="1" x14ac:dyDescent="0.25">
      <c r="B3506" s="4">
        <v>584632569</v>
      </c>
      <c r="C3506" s="4" t="s">
        <v>269</v>
      </c>
      <c r="D3506" s="4">
        <v>840</v>
      </c>
      <c r="E3506" s="4">
        <v>57</v>
      </c>
      <c r="G3506">
        <f t="shared" si="54"/>
        <v>512</v>
      </c>
    </row>
    <row r="3507" spans="2:7" ht="15" hidden="1" x14ac:dyDescent="0.25">
      <c r="B3507" s="4">
        <v>584632570</v>
      </c>
      <c r="C3507" s="4" t="s">
        <v>269</v>
      </c>
      <c r="D3507" s="4">
        <v>841</v>
      </c>
      <c r="E3507" s="4">
        <v>57</v>
      </c>
      <c r="G3507">
        <f t="shared" si="54"/>
        <v>512</v>
      </c>
    </row>
    <row r="3508" spans="2:7" ht="15" hidden="1" x14ac:dyDescent="0.25">
      <c r="B3508" s="4">
        <v>584632571</v>
      </c>
      <c r="C3508" s="4" t="s">
        <v>269</v>
      </c>
      <c r="D3508" s="4">
        <v>842</v>
      </c>
      <c r="E3508" s="4">
        <v>57</v>
      </c>
      <c r="G3508">
        <f t="shared" si="54"/>
        <v>512</v>
      </c>
    </row>
    <row r="3509" spans="2:7" ht="15" hidden="1" x14ac:dyDescent="0.25">
      <c r="B3509" s="4">
        <v>584632572</v>
      </c>
      <c r="C3509" s="4" t="s">
        <v>269</v>
      </c>
      <c r="D3509" s="4">
        <v>843</v>
      </c>
      <c r="E3509" s="4">
        <v>57</v>
      </c>
      <c r="G3509">
        <f t="shared" si="54"/>
        <v>512</v>
      </c>
    </row>
    <row r="3510" spans="2:7" ht="15" hidden="1" x14ac:dyDescent="0.25">
      <c r="B3510" s="4">
        <v>584632573</v>
      </c>
      <c r="C3510" s="4" t="s">
        <v>269</v>
      </c>
      <c r="D3510" s="4">
        <v>844</v>
      </c>
      <c r="E3510" s="4">
        <v>57</v>
      </c>
      <c r="G3510">
        <f t="shared" si="54"/>
        <v>512</v>
      </c>
    </row>
    <row r="3511" spans="2:7" ht="15" hidden="1" x14ac:dyDescent="0.25">
      <c r="B3511" s="4">
        <v>584632574</v>
      </c>
      <c r="C3511" s="4" t="s">
        <v>269</v>
      </c>
      <c r="D3511" s="4">
        <v>845</v>
      </c>
      <c r="E3511" s="4">
        <v>57</v>
      </c>
      <c r="G3511">
        <f t="shared" si="54"/>
        <v>512</v>
      </c>
    </row>
    <row r="3512" spans="2:7" ht="15" hidden="1" x14ac:dyDescent="0.25">
      <c r="B3512" s="4">
        <v>584632575</v>
      </c>
      <c r="C3512" s="4" t="s">
        <v>269</v>
      </c>
      <c r="D3512" s="4">
        <v>846</v>
      </c>
      <c r="E3512" s="4">
        <v>57</v>
      </c>
      <c r="G3512">
        <f t="shared" si="54"/>
        <v>512</v>
      </c>
    </row>
    <row r="3513" spans="2:7" ht="15" hidden="1" x14ac:dyDescent="0.25">
      <c r="B3513" s="4">
        <v>584632576</v>
      </c>
      <c r="C3513" s="4" t="s">
        <v>269</v>
      </c>
      <c r="D3513" s="4">
        <v>847</v>
      </c>
      <c r="E3513" s="4">
        <v>57</v>
      </c>
      <c r="G3513">
        <f t="shared" si="54"/>
        <v>512</v>
      </c>
    </row>
    <row r="3514" spans="2:7" ht="15" hidden="1" x14ac:dyDescent="0.25">
      <c r="B3514" s="4">
        <v>584632577</v>
      </c>
      <c r="C3514" s="4" t="s">
        <v>269</v>
      </c>
      <c r="D3514" s="4">
        <v>848</v>
      </c>
      <c r="E3514" s="4">
        <v>57</v>
      </c>
      <c r="G3514">
        <f t="shared" si="54"/>
        <v>512</v>
      </c>
    </row>
    <row r="3515" spans="2:7" ht="15" hidden="1" x14ac:dyDescent="0.25">
      <c r="B3515" s="4">
        <v>584632578</v>
      </c>
      <c r="C3515" s="4" t="s">
        <v>269</v>
      </c>
      <c r="D3515" s="4">
        <v>849</v>
      </c>
      <c r="E3515" s="4">
        <v>57</v>
      </c>
      <c r="G3515">
        <f t="shared" si="54"/>
        <v>512</v>
      </c>
    </row>
    <row r="3516" spans="2:7" ht="15" hidden="1" x14ac:dyDescent="0.25">
      <c r="B3516" s="4">
        <v>584632578</v>
      </c>
      <c r="C3516" s="4" t="s">
        <v>272</v>
      </c>
      <c r="D3516" s="4">
        <v>73</v>
      </c>
      <c r="E3516" s="4">
        <v>209</v>
      </c>
      <c r="G3516">
        <f t="shared" si="54"/>
        <v>1728</v>
      </c>
    </row>
    <row r="3517" spans="2:7" ht="15" hidden="1" x14ac:dyDescent="0.25">
      <c r="B3517" s="4">
        <v>584632579</v>
      </c>
      <c r="C3517" s="4" t="s">
        <v>269</v>
      </c>
      <c r="D3517" s="4">
        <v>850</v>
      </c>
      <c r="E3517" s="4">
        <v>57</v>
      </c>
      <c r="G3517">
        <f t="shared" si="54"/>
        <v>512</v>
      </c>
    </row>
    <row r="3518" spans="2:7" ht="15" hidden="1" x14ac:dyDescent="0.25">
      <c r="B3518" s="4">
        <v>584632580</v>
      </c>
      <c r="C3518" s="4" t="s">
        <v>269</v>
      </c>
      <c r="D3518" s="4">
        <v>851</v>
      </c>
      <c r="E3518" s="4">
        <v>57</v>
      </c>
      <c r="G3518">
        <f t="shared" si="54"/>
        <v>512</v>
      </c>
    </row>
    <row r="3519" spans="2:7" ht="15" hidden="1" x14ac:dyDescent="0.25">
      <c r="B3519" s="4">
        <v>584632581</v>
      </c>
      <c r="C3519" s="4" t="s">
        <v>269</v>
      </c>
      <c r="D3519" s="4">
        <v>852</v>
      </c>
      <c r="E3519" s="4">
        <v>57</v>
      </c>
      <c r="G3519">
        <f t="shared" si="54"/>
        <v>512</v>
      </c>
    </row>
    <row r="3520" spans="2:7" ht="15" hidden="1" x14ac:dyDescent="0.25">
      <c r="B3520" s="4">
        <v>584632582</v>
      </c>
      <c r="C3520" s="4" t="s">
        <v>269</v>
      </c>
      <c r="D3520" s="4">
        <v>853</v>
      </c>
      <c r="E3520" s="4">
        <v>57</v>
      </c>
      <c r="G3520">
        <f t="shared" si="54"/>
        <v>512</v>
      </c>
    </row>
    <row r="3521" spans="2:7" ht="15" hidden="1" x14ac:dyDescent="0.25">
      <c r="B3521" s="4">
        <v>584632583</v>
      </c>
      <c r="C3521" s="4" t="s">
        <v>269</v>
      </c>
      <c r="D3521" s="4">
        <v>854</v>
      </c>
      <c r="E3521" s="4">
        <v>57</v>
      </c>
      <c r="G3521">
        <f t="shared" si="54"/>
        <v>512</v>
      </c>
    </row>
    <row r="3522" spans="2:7" ht="15" hidden="1" x14ac:dyDescent="0.25">
      <c r="B3522" s="4">
        <v>584632584</v>
      </c>
      <c r="C3522" s="4" t="s">
        <v>269</v>
      </c>
      <c r="D3522" s="4">
        <v>855</v>
      </c>
      <c r="E3522" s="4">
        <v>57</v>
      </c>
      <c r="G3522">
        <f t="shared" si="54"/>
        <v>512</v>
      </c>
    </row>
    <row r="3523" spans="2:7" ht="15" hidden="1" x14ac:dyDescent="0.25">
      <c r="B3523" s="4">
        <v>584632585</v>
      </c>
      <c r="C3523" s="4" t="s">
        <v>269</v>
      </c>
      <c r="D3523" s="4">
        <v>856</v>
      </c>
      <c r="E3523" s="4">
        <v>57</v>
      </c>
      <c r="G3523">
        <f t="shared" si="54"/>
        <v>512</v>
      </c>
    </row>
    <row r="3524" spans="2:7" ht="15" hidden="1" x14ac:dyDescent="0.25">
      <c r="B3524" s="4">
        <v>584632586</v>
      </c>
      <c r="C3524" s="4" t="s">
        <v>269</v>
      </c>
      <c r="D3524" s="4">
        <v>857</v>
      </c>
      <c r="E3524" s="4">
        <v>57</v>
      </c>
      <c r="G3524">
        <f t="shared" ref="G3524:G3587" si="55">(E3524+7)*8</f>
        <v>512</v>
      </c>
    </row>
    <row r="3525" spans="2:7" ht="15" hidden="1" x14ac:dyDescent="0.25">
      <c r="B3525" s="4">
        <v>584632587</v>
      </c>
      <c r="C3525" s="4" t="s">
        <v>269</v>
      </c>
      <c r="D3525" s="4">
        <v>858</v>
      </c>
      <c r="E3525" s="4">
        <v>57</v>
      </c>
      <c r="G3525">
        <f t="shared" si="55"/>
        <v>512</v>
      </c>
    </row>
    <row r="3526" spans="2:7" ht="15" hidden="1" x14ac:dyDescent="0.25">
      <c r="B3526" s="4">
        <v>584632588</v>
      </c>
      <c r="C3526" s="4" t="s">
        <v>269</v>
      </c>
      <c r="D3526" s="4">
        <v>859</v>
      </c>
      <c r="E3526" s="4">
        <v>57</v>
      </c>
      <c r="G3526">
        <f t="shared" si="55"/>
        <v>512</v>
      </c>
    </row>
    <row r="3527" spans="2:7" ht="15" hidden="1" x14ac:dyDescent="0.25">
      <c r="B3527" s="4">
        <v>584632588</v>
      </c>
      <c r="C3527" s="4" t="s">
        <v>272</v>
      </c>
      <c r="D3527" s="4">
        <v>74</v>
      </c>
      <c r="E3527" s="4">
        <v>209</v>
      </c>
      <c r="G3527">
        <f t="shared" si="55"/>
        <v>1728</v>
      </c>
    </row>
    <row r="3528" spans="2:7" ht="15" hidden="1" x14ac:dyDescent="0.25">
      <c r="B3528" s="4">
        <v>584632589</v>
      </c>
      <c r="C3528" s="4" t="s">
        <v>269</v>
      </c>
      <c r="D3528" s="4">
        <v>860</v>
      </c>
      <c r="E3528" s="4">
        <v>57</v>
      </c>
      <c r="G3528">
        <f t="shared" si="55"/>
        <v>512</v>
      </c>
    </row>
    <row r="3529" spans="2:7" ht="15" hidden="1" x14ac:dyDescent="0.25">
      <c r="B3529" s="4">
        <v>584632590</v>
      </c>
      <c r="C3529" s="4" t="s">
        <v>269</v>
      </c>
      <c r="D3529" s="4">
        <v>861</v>
      </c>
      <c r="E3529" s="4">
        <v>57</v>
      </c>
      <c r="G3529">
        <f t="shared" si="55"/>
        <v>512</v>
      </c>
    </row>
    <row r="3530" spans="2:7" ht="15" hidden="1" x14ac:dyDescent="0.25">
      <c r="B3530" s="4">
        <v>584632591</v>
      </c>
      <c r="C3530" s="4" t="s">
        <v>269</v>
      </c>
      <c r="D3530" s="4">
        <v>862</v>
      </c>
      <c r="E3530" s="4">
        <v>57</v>
      </c>
      <c r="G3530">
        <f t="shared" si="55"/>
        <v>512</v>
      </c>
    </row>
    <row r="3531" spans="2:7" ht="15" hidden="1" x14ac:dyDescent="0.25">
      <c r="B3531" s="4">
        <v>584632592</v>
      </c>
      <c r="C3531" s="4" t="s">
        <v>269</v>
      </c>
      <c r="D3531" s="4">
        <v>863</v>
      </c>
      <c r="E3531" s="4">
        <v>57</v>
      </c>
      <c r="G3531">
        <f t="shared" si="55"/>
        <v>512</v>
      </c>
    </row>
    <row r="3532" spans="2:7" ht="15" hidden="1" x14ac:dyDescent="0.25">
      <c r="B3532" s="4">
        <v>584632593</v>
      </c>
      <c r="C3532" s="4" t="s">
        <v>269</v>
      </c>
      <c r="D3532" s="4">
        <v>864</v>
      </c>
      <c r="E3532" s="4">
        <v>57</v>
      </c>
      <c r="G3532">
        <f t="shared" si="55"/>
        <v>512</v>
      </c>
    </row>
    <row r="3533" spans="2:7" ht="15" hidden="1" x14ac:dyDescent="0.25">
      <c r="B3533" s="4">
        <v>584632594</v>
      </c>
      <c r="C3533" s="4" t="s">
        <v>273</v>
      </c>
      <c r="D3533" s="4">
        <v>5425</v>
      </c>
      <c r="E3533" s="4">
        <v>317</v>
      </c>
      <c r="G3533">
        <f t="shared" si="55"/>
        <v>2592</v>
      </c>
    </row>
    <row r="3534" spans="2:7" ht="15" hidden="1" x14ac:dyDescent="0.25">
      <c r="B3534" s="4">
        <v>584632594</v>
      </c>
      <c r="C3534" s="4" t="s">
        <v>269</v>
      </c>
      <c r="D3534" s="4">
        <v>865</v>
      </c>
      <c r="E3534" s="4">
        <v>57</v>
      </c>
      <c r="G3534">
        <f t="shared" si="55"/>
        <v>512</v>
      </c>
    </row>
    <row r="3535" spans="2:7" ht="15" hidden="1" x14ac:dyDescent="0.25">
      <c r="B3535" s="4">
        <v>584632595</v>
      </c>
      <c r="C3535" s="4" t="s">
        <v>269</v>
      </c>
      <c r="D3535" s="4">
        <v>866</v>
      </c>
      <c r="E3535" s="4">
        <v>57</v>
      </c>
      <c r="G3535">
        <f t="shared" si="55"/>
        <v>512</v>
      </c>
    </row>
    <row r="3536" spans="2:7" ht="15" hidden="1" x14ac:dyDescent="0.25">
      <c r="B3536" s="4">
        <v>584632596</v>
      </c>
      <c r="C3536" s="4" t="s">
        <v>269</v>
      </c>
      <c r="D3536" s="4">
        <v>867</v>
      </c>
      <c r="E3536" s="4">
        <v>57</v>
      </c>
      <c r="G3536">
        <f t="shared" si="55"/>
        <v>512</v>
      </c>
    </row>
    <row r="3537" spans="2:7" ht="15" hidden="1" x14ac:dyDescent="0.25">
      <c r="B3537" s="4">
        <v>584632597</v>
      </c>
      <c r="C3537" s="4" t="s">
        <v>269</v>
      </c>
      <c r="D3537" s="4">
        <v>868</v>
      </c>
      <c r="E3537" s="4">
        <v>57</v>
      </c>
      <c r="G3537">
        <f t="shared" si="55"/>
        <v>512</v>
      </c>
    </row>
    <row r="3538" spans="2:7" ht="15" hidden="1" x14ac:dyDescent="0.25">
      <c r="B3538" s="4">
        <v>584632598</v>
      </c>
      <c r="C3538" s="4" t="s">
        <v>269</v>
      </c>
      <c r="D3538" s="4">
        <v>869</v>
      </c>
      <c r="E3538" s="4">
        <v>57</v>
      </c>
      <c r="G3538">
        <f t="shared" si="55"/>
        <v>512</v>
      </c>
    </row>
    <row r="3539" spans="2:7" ht="15" hidden="1" x14ac:dyDescent="0.25">
      <c r="B3539" s="4">
        <v>584632598</v>
      </c>
      <c r="C3539" s="4" t="s">
        <v>272</v>
      </c>
      <c r="D3539" s="4">
        <v>75</v>
      </c>
      <c r="E3539" s="4">
        <v>211</v>
      </c>
      <c r="G3539">
        <f t="shared" si="55"/>
        <v>1744</v>
      </c>
    </row>
    <row r="3540" spans="2:7" ht="15" hidden="1" x14ac:dyDescent="0.25">
      <c r="B3540" s="4">
        <v>584632599</v>
      </c>
      <c r="C3540" s="4" t="s">
        <v>269</v>
      </c>
      <c r="D3540" s="4">
        <v>870</v>
      </c>
      <c r="E3540" s="4">
        <v>57</v>
      </c>
      <c r="G3540">
        <f t="shared" si="55"/>
        <v>512</v>
      </c>
    </row>
    <row r="3541" spans="2:7" ht="15" hidden="1" x14ac:dyDescent="0.25">
      <c r="B3541" s="4">
        <v>584632600</v>
      </c>
      <c r="C3541" s="4" t="s">
        <v>269</v>
      </c>
      <c r="D3541" s="4">
        <v>871</v>
      </c>
      <c r="E3541" s="4">
        <v>57</v>
      </c>
      <c r="G3541">
        <f t="shared" si="55"/>
        <v>512</v>
      </c>
    </row>
    <row r="3542" spans="2:7" ht="15" hidden="1" x14ac:dyDescent="0.25">
      <c r="B3542" s="4">
        <v>584632601</v>
      </c>
      <c r="C3542" s="4" t="s">
        <v>269</v>
      </c>
      <c r="D3542" s="4">
        <v>872</v>
      </c>
      <c r="E3542" s="4">
        <v>57</v>
      </c>
      <c r="G3542">
        <f t="shared" si="55"/>
        <v>512</v>
      </c>
    </row>
    <row r="3543" spans="2:7" ht="15" hidden="1" x14ac:dyDescent="0.25">
      <c r="B3543" s="4">
        <v>584632602</v>
      </c>
      <c r="C3543" s="4" t="s">
        <v>269</v>
      </c>
      <c r="D3543" s="4">
        <v>873</v>
      </c>
      <c r="E3543" s="4">
        <v>57</v>
      </c>
      <c r="G3543">
        <f t="shared" si="55"/>
        <v>512</v>
      </c>
    </row>
    <row r="3544" spans="2:7" ht="15" hidden="1" x14ac:dyDescent="0.25">
      <c r="B3544" s="4">
        <v>584632603</v>
      </c>
      <c r="C3544" s="4" t="s">
        <v>269</v>
      </c>
      <c r="D3544" s="4">
        <v>874</v>
      </c>
      <c r="E3544" s="4">
        <v>57</v>
      </c>
      <c r="G3544">
        <f t="shared" si="55"/>
        <v>512</v>
      </c>
    </row>
    <row r="3545" spans="2:7" ht="15" hidden="1" x14ac:dyDescent="0.25">
      <c r="B3545" s="4">
        <v>584632604</v>
      </c>
      <c r="C3545" s="4" t="s">
        <v>269</v>
      </c>
      <c r="D3545" s="4">
        <v>875</v>
      </c>
      <c r="E3545" s="4">
        <v>57</v>
      </c>
      <c r="G3545">
        <f t="shared" si="55"/>
        <v>512</v>
      </c>
    </row>
    <row r="3546" spans="2:7" ht="15" hidden="1" x14ac:dyDescent="0.25">
      <c r="B3546" s="4">
        <v>584632605</v>
      </c>
      <c r="C3546" s="4" t="s">
        <v>269</v>
      </c>
      <c r="D3546" s="4">
        <v>876</v>
      </c>
      <c r="E3546" s="4">
        <v>57</v>
      </c>
      <c r="G3546">
        <f t="shared" si="55"/>
        <v>512</v>
      </c>
    </row>
    <row r="3547" spans="2:7" ht="15" hidden="1" x14ac:dyDescent="0.25">
      <c r="B3547" s="4">
        <v>584632606</v>
      </c>
      <c r="C3547" s="4" t="s">
        <v>269</v>
      </c>
      <c r="D3547" s="4">
        <v>877</v>
      </c>
      <c r="E3547" s="4">
        <v>57</v>
      </c>
      <c r="G3547">
        <f t="shared" si="55"/>
        <v>512</v>
      </c>
    </row>
    <row r="3548" spans="2:7" ht="15" hidden="1" x14ac:dyDescent="0.25">
      <c r="B3548" s="4">
        <v>584632607</v>
      </c>
      <c r="C3548" s="4" t="s">
        <v>269</v>
      </c>
      <c r="D3548" s="4">
        <v>878</v>
      </c>
      <c r="E3548" s="4">
        <v>57</v>
      </c>
      <c r="G3548">
        <f t="shared" si="55"/>
        <v>512</v>
      </c>
    </row>
    <row r="3549" spans="2:7" ht="15" hidden="1" x14ac:dyDescent="0.25">
      <c r="B3549" s="4">
        <v>584632608</v>
      </c>
      <c r="C3549" s="4" t="s">
        <v>269</v>
      </c>
      <c r="D3549" s="4">
        <v>879</v>
      </c>
      <c r="E3549" s="4">
        <v>57</v>
      </c>
      <c r="G3549">
        <f t="shared" si="55"/>
        <v>512</v>
      </c>
    </row>
    <row r="3550" spans="2:7" ht="15" hidden="1" x14ac:dyDescent="0.25">
      <c r="B3550" s="4">
        <v>584632608</v>
      </c>
      <c r="C3550" s="4" t="s">
        <v>272</v>
      </c>
      <c r="D3550" s="4">
        <v>76</v>
      </c>
      <c r="E3550" s="4">
        <v>211</v>
      </c>
      <c r="G3550">
        <f t="shared" si="55"/>
        <v>1744</v>
      </c>
    </row>
    <row r="3551" spans="2:7" ht="15" hidden="1" x14ac:dyDescent="0.25">
      <c r="B3551" s="4">
        <v>584632609</v>
      </c>
      <c r="C3551" s="4" t="s">
        <v>269</v>
      </c>
      <c r="D3551" s="4">
        <v>880</v>
      </c>
      <c r="E3551" s="4">
        <v>57</v>
      </c>
      <c r="G3551">
        <f t="shared" si="55"/>
        <v>512</v>
      </c>
    </row>
    <row r="3552" spans="2:7" ht="15" hidden="1" x14ac:dyDescent="0.25">
      <c r="B3552" s="4">
        <v>584632610</v>
      </c>
      <c r="C3552" s="4" t="s">
        <v>269</v>
      </c>
      <c r="D3552" s="4">
        <v>881</v>
      </c>
      <c r="E3552" s="4">
        <v>57</v>
      </c>
      <c r="G3552">
        <f t="shared" si="55"/>
        <v>512</v>
      </c>
    </row>
    <row r="3553" spans="2:7" ht="15" hidden="1" x14ac:dyDescent="0.25">
      <c r="B3553" s="4">
        <v>584632611</v>
      </c>
      <c r="C3553" s="4" t="s">
        <v>269</v>
      </c>
      <c r="D3553" s="4">
        <v>882</v>
      </c>
      <c r="E3553" s="4">
        <v>57</v>
      </c>
      <c r="G3553">
        <f t="shared" si="55"/>
        <v>512</v>
      </c>
    </row>
    <row r="3554" spans="2:7" ht="15" hidden="1" x14ac:dyDescent="0.25">
      <c r="B3554" s="4">
        <v>584632612</v>
      </c>
      <c r="C3554" s="4" t="s">
        <v>269</v>
      </c>
      <c r="D3554" s="4">
        <v>883</v>
      </c>
      <c r="E3554" s="4">
        <v>57</v>
      </c>
      <c r="G3554">
        <f t="shared" si="55"/>
        <v>512</v>
      </c>
    </row>
    <row r="3555" spans="2:7" ht="15" hidden="1" x14ac:dyDescent="0.25">
      <c r="B3555" s="4">
        <v>584632613</v>
      </c>
      <c r="C3555" s="4" t="s">
        <v>269</v>
      </c>
      <c r="D3555" s="4">
        <v>884</v>
      </c>
      <c r="E3555" s="4">
        <v>57</v>
      </c>
      <c r="G3555">
        <f t="shared" si="55"/>
        <v>512</v>
      </c>
    </row>
    <row r="3556" spans="2:7" ht="15" hidden="1" x14ac:dyDescent="0.25">
      <c r="B3556" s="4">
        <v>584632614</v>
      </c>
      <c r="C3556" s="4" t="s">
        <v>269</v>
      </c>
      <c r="D3556" s="4">
        <v>885</v>
      </c>
      <c r="E3556" s="4">
        <v>57</v>
      </c>
      <c r="G3556">
        <f t="shared" si="55"/>
        <v>512</v>
      </c>
    </row>
    <row r="3557" spans="2:7" ht="15" hidden="1" x14ac:dyDescent="0.25">
      <c r="B3557" s="4">
        <v>584632615</v>
      </c>
      <c r="C3557" s="4" t="s">
        <v>269</v>
      </c>
      <c r="D3557" s="4">
        <v>886</v>
      </c>
      <c r="E3557" s="4">
        <v>57</v>
      </c>
      <c r="G3557">
        <f t="shared" si="55"/>
        <v>512</v>
      </c>
    </row>
    <row r="3558" spans="2:7" ht="15" hidden="1" x14ac:dyDescent="0.25">
      <c r="B3558" s="4">
        <v>584632616</v>
      </c>
      <c r="C3558" s="4" t="s">
        <v>269</v>
      </c>
      <c r="D3558" s="4">
        <v>887</v>
      </c>
      <c r="E3558" s="4">
        <v>57</v>
      </c>
      <c r="G3558">
        <f t="shared" si="55"/>
        <v>512</v>
      </c>
    </row>
    <row r="3559" spans="2:7" ht="15" hidden="1" x14ac:dyDescent="0.25">
      <c r="B3559" s="4">
        <v>584632617</v>
      </c>
      <c r="C3559" s="4" t="s">
        <v>269</v>
      </c>
      <c r="D3559" s="4">
        <v>888</v>
      </c>
      <c r="E3559" s="4">
        <v>57</v>
      </c>
      <c r="G3559">
        <f t="shared" si="55"/>
        <v>512</v>
      </c>
    </row>
    <row r="3560" spans="2:7" ht="15" hidden="1" x14ac:dyDescent="0.25">
      <c r="B3560" s="4">
        <v>584632618</v>
      </c>
      <c r="C3560" s="4" t="s">
        <v>269</v>
      </c>
      <c r="D3560" s="4">
        <v>889</v>
      </c>
      <c r="E3560" s="4">
        <v>57</v>
      </c>
      <c r="G3560">
        <f t="shared" si="55"/>
        <v>512</v>
      </c>
    </row>
    <row r="3561" spans="2:7" ht="15" hidden="1" x14ac:dyDescent="0.25">
      <c r="B3561" s="4">
        <v>584632618</v>
      </c>
      <c r="C3561" s="4" t="s">
        <v>272</v>
      </c>
      <c r="D3561" s="4">
        <v>77</v>
      </c>
      <c r="E3561" s="4">
        <v>209</v>
      </c>
      <c r="G3561">
        <f t="shared" si="55"/>
        <v>1728</v>
      </c>
    </row>
    <row r="3562" spans="2:7" ht="15" hidden="1" x14ac:dyDescent="0.25">
      <c r="B3562" s="4">
        <v>584632619</v>
      </c>
      <c r="C3562" s="4" t="s">
        <v>269</v>
      </c>
      <c r="D3562" s="4">
        <v>890</v>
      </c>
      <c r="E3562" s="4">
        <v>57</v>
      </c>
      <c r="G3562">
        <f t="shared" si="55"/>
        <v>512</v>
      </c>
    </row>
    <row r="3563" spans="2:7" ht="15" hidden="1" x14ac:dyDescent="0.25">
      <c r="B3563" s="4">
        <v>584632620</v>
      </c>
      <c r="C3563" s="4" t="s">
        <v>269</v>
      </c>
      <c r="D3563" s="4">
        <v>891</v>
      </c>
      <c r="E3563" s="4">
        <v>57</v>
      </c>
      <c r="G3563">
        <f t="shared" si="55"/>
        <v>512</v>
      </c>
    </row>
    <row r="3564" spans="2:7" ht="15" hidden="1" x14ac:dyDescent="0.25">
      <c r="B3564" s="4">
        <v>584632621</v>
      </c>
      <c r="C3564" s="4" t="s">
        <v>269</v>
      </c>
      <c r="D3564" s="4">
        <v>892</v>
      </c>
      <c r="E3564" s="4">
        <v>57</v>
      </c>
      <c r="G3564">
        <f t="shared" si="55"/>
        <v>512</v>
      </c>
    </row>
    <row r="3565" spans="2:7" ht="15" hidden="1" x14ac:dyDescent="0.25">
      <c r="B3565" s="4">
        <v>584632622</v>
      </c>
      <c r="C3565" s="4" t="s">
        <v>269</v>
      </c>
      <c r="D3565" s="4">
        <v>893</v>
      </c>
      <c r="E3565" s="4">
        <v>57</v>
      </c>
      <c r="G3565">
        <f t="shared" si="55"/>
        <v>512</v>
      </c>
    </row>
    <row r="3566" spans="2:7" ht="15" hidden="1" x14ac:dyDescent="0.25">
      <c r="B3566" s="4">
        <v>584632623</v>
      </c>
      <c r="C3566" s="4" t="s">
        <v>269</v>
      </c>
      <c r="D3566" s="4">
        <v>894</v>
      </c>
      <c r="E3566" s="4">
        <v>57</v>
      </c>
      <c r="G3566">
        <f t="shared" si="55"/>
        <v>512</v>
      </c>
    </row>
    <row r="3567" spans="2:7" ht="15" hidden="1" x14ac:dyDescent="0.25">
      <c r="B3567" s="4">
        <v>584632624</v>
      </c>
      <c r="C3567" s="4" t="s">
        <v>269</v>
      </c>
      <c r="D3567" s="4">
        <v>895</v>
      </c>
      <c r="E3567" s="4">
        <v>57</v>
      </c>
      <c r="G3567">
        <f t="shared" si="55"/>
        <v>512</v>
      </c>
    </row>
    <row r="3568" spans="2:7" ht="15" hidden="1" x14ac:dyDescent="0.25">
      <c r="B3568" s="4">
        <v>584632625</v>
      </c>
      <c r="C3568" s="4" t="s">
        <v>269</v>
      </c>
      <c r="D3568" s="4">
        <v>896</v>
      </c>
      <c r="E3568" s="4">
        <v>57</v>
      </c>
      <c r="G3568">
        <f t="shared" si="55"/>
        <v>512</v>
      </c>
    </row>
    <row r="3569" spans="2:7" ht="15" hidden="1" x14ac:dyDescent="0.25">
      <c r="B3569" s="4">
        <v>584632626</v>
      </c>
      <c r="C3569" s="4" t="s">
        <v>269</v>
      </c>
      <c r="D3569" s="4">
        <v>897</v>
      </c>
      <c r="E3569" s="4">
        <v>57</v>
      </c>
      <c r="G3569">
        <f t="shared" si="55"/>
        <v>512</v>
      </c>
    </row>
    <row r="3570" spans="2:7" ht="15" hidden="1" x14ac:dyDescent="0.25">
      <c r="B3570" s="4">
        <v>584632627</v>
      </c>
      <c r="C3570" s="4" t="s">
        <v>269</v>
      </c>
      <c r="D3570" s="4">
        <v>898</v>
      </c>
      <c r="E3570" s="4">
        <v>57</v>
      </c>
      <c r="G3570">
        <f t="shared" si="55"/>
        <v>512</v>
      </c>
    </row>
    <row r="3571" spans="2:7" ht="15" hidden="1" x14ac:dyDescent="0.25">
      <c r="B3571" s="4">
        <v>584632628</v>
      </c>
      <c r="C3571" s="4" t="s">
        <v>268</v>
      </c>
      <c r="D3571" s="4">
        <v>234</v>
      </c>
      <c r="E3571" s="4">
        <v>6</v>
      </c>
      <c r="G3571">
        <f t="shared" si="55"/>
        <v>104</v>
      </c>
    </row>
    <row r="3572" spans="2:7" ht="15" hidden="1" x14ac:dyDescent="0.25">
      <c r="B3572" s="4">
        <v>584632628</v>
      </c>
      <c r="C3572" s="4" t="s">
        <v>268</v>
      </c>
      <c r="D3572" s="4">
        <v>234</v>
      </c>
      <c r="E3572" s="4">
        <v>6</v>
      </c>
      <c r="G3572">
        <f t="shared" si="55"/>
        <v>104</v>
      </c>
    </row>
    <row r="3573" spans="2:7" ht="15" hidden="1" x14ac:dyDescent="0.25">
      <c r="B3573" s="4">
        <v>584632628</v>
      </c>
      <c r="C3573" s="4" t="s">
        <v>268</v>
      </c>
      <c r="D3573" s="4">
        <v>235</v>
      </c>
      <c r="E3573" s="4">
        <v>9</v>
      </c>
      <c r="G3573">
        <f t="shared" si="55"/>
        <v>128</v>
      </c>
    </row>
    <row r="3574" spans="2:7" ht="15" hidden="1" x14ac:dyDescent="0.25">
      <c r="B3574" s="4">
        <v>584632628</v>
      </c>
      <c r="C3574" s="4" t="s">
        <v>268</v>
      </c>
      <c r="D3574" s="4">
        <v>235</v>
      </c>
      <c r="E3574" s="4">
        <v>9</v>
      </c>
      <c r="G3574">
        <f t="shared" si="55"/>
        <v>128</v>
      </c>
    </row>
    <row r="3575" spans="2:7" ht="15" hidden="1" x14ac:dyDescent="0.25">
      <c r="B3575" s="4">
        <v>584632628</v>
      </c>
      <c r="C3575" s="4" t="s">
        <v>268</v>
      </c>
      <c r="D3575" s="4">
        <v>236</v>
      </c>
      <c r="E3575" s="4">
        <v>7</v>
      </c>
      <c r="G3575">
        <f t="shared" si="55"/>
        <v>112</v>
      </c>
    </row>
    <row r="3576" spans="2:7" ht="15" hidden="1" x14ac:dyDescent="0.25">
      <c r="B3576" s="4">
        <v>584632628</v>
      </c>
      <c r="C3576" s="4" t="s">
        <v>268</v>
      </c>
      <c r="D3576" s="4">
        <v>236</v>
      </c>
      <c r="E3576" s="4">
        <v>7</v>
      </c>
      <c r="G3576">
        <f t="shared" si="55"/>
        <v>112</v>
      </c>
    </row>
    <row r="3577" spans="2:7" ht="15" hidden="1" x14ac:dyDescent="0.25">
      <c r="B3577" s="4">
        <v>584632628</v>
      </c>
      <c r="C3577" s="4" t="s">
        <v>268</v>
      </c>
      <c r="D3577" s="4">
        <v>237</v>
      </c>
      <c r="E3577" s="4">
        <v>7</v>
      </c>
      <c r="G3577">
        <f t="shared" si="55"/>
        <v>112</v>
      </c>
    </row>
    <row r="3578" spans="2:7" ht="15" hidden="1" x14ac:dyDescent="0.25">
      <c r="B3578" s="4">
        <v>584632628</v>
      </c>
      <c r="C3578" s="4" t="s">
        <v>268</v>
      </c>
      <c r="D3578" s="4">
        <v>237</v>
      </c>
      <c r="E3578" s="4">
        <v>7</v>
      </c>
      <c r="G3578">
        <f t="shared" si="55"/>
        <v>112</v>
      </c>
    </row>
    <row r="3579" spans="2:7" ht="15" hidden="1" x14ac:dyDescent="0.25">
      <c r="B3579" s="4">
        <v>584632628</v>
      </c>
      <c r="C3579" s="4" t="s">
        <v>268</v>
      </c>
      <c r="D3579" s="4">
        <v>238</v>
      </c>
      <c r="E3579" s="4">
        <v>7</v>
      </c>
      <c r="G3579">
        <f t="shared" si="55"/>
        <v>112</v>
      </c>
    </row>
    <row r="3580" spans="2:7" ht="15" hidden="1" x14ac:dyDescent="0.25">
      <c r="B3580" s="4">
        <v>584632628</v>
      </c>
      <c r="C3580" s="4" t="s">
        <v>268</v>
      </c>
      <c r="D3580" s="4">
        <v>238</v>
      </c>
      <c r="E3580" s="4">
        <v>7</v>
      </c>
      <c r="G3580">
        <f t="shared" si="55"/>
        <v>112</v>
      </c>
    </row>
    <row r="3581" spans="2:7" ht="15" hidden="1" x14ac:dyDescent="0.25">
      <c r="B3581" s="4">
        <v>584632628</v>
      </c>
      <c r="C3581" s="4" t="s">
        <v>269</v>
      </c>
      <c r="D3581" s="4">
        <v>899</v>
      </c>
      <c r="E3581" s="4">
        <v>57</v>
      </c>
      <c r="G3581">
        <f t="shared" si="55"/>
        <v>512</v>
      </c>
    </row>
    <row r="3582" spans="2:7" ht="15" hidden="1" x14ac:dyDescent="0.25">
      <c r="B3582" s="4">
        <v>584632628</v>
      </c>
      <c r="C3582" s="4" t="s">
        <v>272</v>
      </c>
      <c r="D3582" s="4">
        <v>78</v>
      </c>
      <c r="E3582" s="4">
        <v>209</v>
      </c>
      <c r="G3582">
        <f t="shared" si="55"/>
        <v>1728</v>
      </c>
    </row>
    <row r="3583" spans="2:7" ht="15" hidden="1" x14ac:dyDescent="0.25">
      <c r="B3583" s="4">
        <v>584632629</v>
      </c>
      <c r="C3583" s="4" t="s">
        <v>269</v>
      </c>
      <c r="D3583" s="4">
        <v>900</v>
      </c>
      <c r="E3583" s="4">
        <v>57</v>
      </c>
      <c r="G3583">
        <f t="shared" si="55"/>
        <v>512</v>
      </c>
    </row>
    <row r="3584" spans="2:7" ht="15" hidden="1" x14ac:dyDescent="0.25">
      <c r="B3584" s="4">
        <v>584632630</v>
      </c>
      <c r="C3584" s="4" t="s">
        <v>268</v>
      </c>
      <c r="D3584" s="4">
        <v>239</v>
      </c>
      <c r="E3584" s="4">
        <v>7</v>
      </c>
      <c r="G3584">
        <f t="shared" si="55"/>
        <v>112</v>
      </c>
    </row>
    <row r="3585" spans="2:7" ht="15" hidden="1" x14ac:dyDescent="0.25">
      <c r="B3585" s="4">
        <v>584632630</v>
      </c>
      <c r="C3585" s="4" t="s">
        <v>268</v>
      </c>
      <c r="D3585" s="4">
        <v>239</v>
      </c>
      <c r="E3585" s="4">
        <v>7</v>
      </c>
      <c r="G3585">
        <f t="shared" si="55"/>
        <v>112</v>
      </c>
    </row>
    <row r="3586" spans="2:7" ht="15" hidden="1" x14ac:dyDescent="0.25">
      <c r="B3586" s="4">
        <v>584632630</v>
      </c>
      <c r="C3586" s="4" t="s">
        <v>268</v>
      </c>
      <c r="D3586" s="4">
        <v>240</v>
      </c>
      <c r="E3586" s="4">
        <v>5</v>
      </c>
      <c r="G3586">
        <f t="shared" si="55"/>
        <v>96</v>
      </c>
    </row>
    <row r="3587" spans="2:7" ht="15" hidden="1" x14ac:dyDescent="0.25">
      <c r="B3587" s="4">
        <v>584632630</v>
      </c>
      <c r="C3587" s="4" t="s">
        <v>268</v>
      </c>
      <c r="D3587" s="4">
        <v>240</v>
      </c>
      <c r="E3587" s="4">
        <v>5</v>
      </c>
      <c r="G3587">
        <f t="shared" si="55"/>
        <v>96</v>
      </c>
    </row>
    <row r="3588" spans="2:7" ht="15" hidden="1" x14ac:dyDescent="0.25">
      <c r="B3588" s="4">
        <v>584632630</v>
      </c>
      <c r="C3588" s="4" t="s">
        <v>268</v>
      </c>
      <c r="D3588" s="4">
        <v>241</v>
      </c>
      <c r="E3588" s="4">
        <v>7</v>
      </c>
      <c r="G3588">
        <f t="shared" ref="G3588:G3651" si="56">(E3588+7)*8</f>
        <v>112</v>
      </c>
    </row>
    <row r="3589" spans="2:7" ht="15" hidden="1" x14ac:dyDescent="0.25">
      <c r="B3589" s="4">
        <v>584632630</v>
      </c>
      <c r="C3589" s="4" t="s">
        <v>268</v>
      </c>
      <c r="D3589" s="4">
        <v>241</v>
      </c>
      <c r="E3589" s="4">
        <v>7</v>
      </c>
      <c r="G3589">
        <f t="shared" si="56"/>
        <v>112</v>
      </c>
    </row>
    <row r="3590" spans="2:7" ht="15" hidden="1" x14ac:dyDescent="0.25">
      <c r="B3590" s="4">
        <v>584632630</v>
      </c>
      <c r="C3590" s="4" t="s">
        <v>269</v>
      </c>
      <c r="D3590" s="4">
        <v>901</v>
      </c>
      <c r="E3590" s="4">
        <v>57</v>
      </c>
      <c r="G3590">
        <f t="shared" si="56"/>
        <v>512</v>
      </c>
    </row>
    <row r="3591" spans="2:7" ht="15" hidden="1" x14ac:dyDescent="0.25">
      <c r="B3591" s="4">
        <v>584632631</v>
      </c>
      <c r="C3591" s="4" t="s">
        <v>269</v>
      </c>
      <c r="D3591" s="4">
        <v>902</v>
      </c>
      <c r="E3591" s="4">
        <v>57</v>
      </c>
      <c r="G3591">
        <f t="shared" si="56"/>
        <v>512</v>
      </c>
    </row>
    <row r="3592" spans="2:7" ht="15" hidden="1" x14ac:dyDescent="0.25">
      <c r="B3592" s="4">
        <v>584632632</v>
      </c>
      <c r="C3592" s="4" t="s">
        <v>269</v>
      </c>
      <c r="D3592" s="4">
        <v>903</v>
      </c>
      <c r="E3592" s="4">
        <v>57</v>
      </c>
      <c r="G3592">
        <f t="shared" si="56"/>
        <v>512</v>
      </c>
    </row>
    <row r="3593" spans="2:7" ht="15" hidden="1" x14ac:dyDescent="0.25">
      <c r="B3593" s="4">
        <v>584632633</v>
      </c>
      <c r="C3593" s="4" t="s">
        <v>269</v>
      </c>
      <c r="D3593" s="4">
        <v>904</v>
      </c>
      <c r="E3593" s="4">
        <v>57</v>
      </c>
      <c r="G3593">
        <f t="shared" si="56"/>
        <v>512</v>
      </c>
    </row>
    <row r="3594" spans="2:7" ht="15" hidden="1" x14ac:dyDescent="0.25">
      <c r="B3594" s="4">
        <v>584632634</v>
      </c>
      <c r="C3594" s="4" t="s">
        <v>269</v>
      </c>
      <c r="D3594" s="4">
        <v>905</v>
      </c>
      <c r="E3594" s="4">
        <v>57</v>
      </c>
      <c r="G3594">
        <f t="shared" si="56"/>
        <v>512</v>
      </c>
    </row>
    <row r="3595" spans="2:7" ht="15" hidden="1" x14ac:dyDescent="0.25">
      <c r="B3595" s="4">
        <v>584632635</v>
      </c>
      <c r="C3595" s="4" t="s">
        <v>269</v>
      </c>
      <c r="D3595" s="4">
        <v>906</v>
      </c>
      <c r="E3595" s="4">
        <v>57</v>
      </c>
      <c r="G3595">
        <f t="shared" si="56"/>
        <v>512</v>
      </c>
    </row>
    <row r="3596" spans="2:7" ht="15" hidden="1" x14ac:dyDescent="0.25">
      <c r="B3596" s="4">
        <v>584632636</v>
      </c>
      <c r="C3596" s="4" t="s">
        <v>269</v>
      </c>
      <c r="D3596" s="4">
        <v>907</v>
      </c>
      <c r="E3596" s="4">
        <v>57</v>
      </c>
      <c r="G3596">
        <f t="shared" si="56"/>
        <v>512</v>
      </c>
    </row>
    <row r="3597" spans="2:7" ht="15" hidden="1" x14ac:dyDescent="0.25">
      <c r="B3597" s="4">
        <v>584632637</v>
      </c>
      <c r="C3597" s="4" t="s">
        <v>269</v>
      </c>
      <c r="D3597" s="4">
        <v>908</v>
      </c>
      <c r="E3597" s="4">
        <v>57</v>
      </c>
      <c r="G3597">
        <f t="shared" si="56"/>
        <v>512</v>
      </c>
    </row>
    <row r="3598" spans="2:7" ht="15" hidden="1" x14ac:dyDescent="0.25">
      <c r="B3598" s="4">
        <v>584632638</v>
      </c>
      <c r="C3598" s="4" t="s">
        <v>269</v>
      </c>
      <c r="D3598" s="4">
        <v>909</v>
      </c>
      <c r="E3598" s="4">
        <v>57</v>
      </c>
      <c r="G3598">
        <f t="shared" si="56"/>
        <v>512</v>
      </c>
    </row>
    <row r="3599" spans="2:7" ht="15" hidden="1" x14ac:dyDescent="0.25">
      <c r="B3599" s="4">
        <v>584632638</v>
      </c>
      <c r="C3599" s="4" t="s">
        <v>272</v>
      </c>
      <c r="D3599" s="4">
        <v>79</v>
      </c>
      <c r="E3599" s="4">
        <v>211</v>
      </c>
      <c r="G3599">
        <f t="shared" si="56"/>
        <v>1744</v>
      </c>
    </row>
    <row r="3600" spans="2:7" ht="15" hidden="1" x14ac:dyDescent="0.25">
      <c r="B3600" s="4">
        <v>584632639</v>
      </c>
      <c r="C3600" s="4" t="s">
        <v>269</v>
      </c>
      <c r="D3600" s="4">
        <v>910</v>
      </c>
      <c r="E3600" s="4">
        <v>57</v>
      </c>
      <c r="G3600">
        <f t="shared" si="56"/>
        <v>512</v>
      </c>
    </row>
    <row r="3601" spans="2:7" ht="15" hidden="1" x14ac:dyDescent="0.25">
      <c r="B3601" s="4">
        <v>584632640</v>
      </c>
      <c r="C3601" s="4" t="s">
        <v>269</v>
      </c>
      <c r="D3601" s="4">
        <v>911</v>
      </c>
      <c r="E3601" s="4">
        <v>57</v>
      </c>
      <c r="G3601">
        <f t="shared" si="56"/>
        <v>512</v>
      </c>
    </row>
    <row r="3602" spans="2:7" ht="15" hidden="1" x14ac:dyDescent="0.25">
      <c r="B3602" s="4">
        <v>584632641</v>
      </c>
      <c r="C3602" s="4" t="s">
        <v>269</v>
      </c>
      <c r="D3602" s="4">
        <v>912</v>
      </c>
      <c r="E3602" s="4">
        <v>57</v>
      </c>
      <c r="G3602">
        <f t="shared" si="56"/>
        <v>512</v>
      </c>
    </row>
    <row r="3603" spans="2:7" ht="15" hidden="1" x14ac:dyDescent="0.25">
      <c r="B3603" s="4">
        <v>584632642</v>
      </c>
      <c r="C3603" s="4" t="s">
        <v>269</v>
      </c>
      <c r="D3603" s="4">
        <v>913</v>
      </c>
      <c r="E3603" s="4">
        <v>57</v>
      </c>
      <c r="G3603">
        <f t="shared" si="56"/>
        <v>512</v>
      </c>
    </row>
    <row r="3604" spans="2:7" ht="15" hidden="1" x14ac:dyDescent="0.25">
      <c r="B3604" s="4">
        <v>584632643</v>
      </c>
      <c r="C3604" s="4" t="s">
        <v>269</v>
      </c>
      <c r="D3604" s="4">
        <v>914</v>
      </c>
      <c r="E3604" s="4">
        <v>57</v>
      </c>
      <c r="G3604">
        <f t="shared" si="56"/>
        <v>512</v>
      </c>
    </row>
    <row r="3605" spans="2:7" ht="15" hidden="1" x14ac:dyDescent="0.25">
      <c r="B3605" s="4">
        <v>584632644</v>
      </c>
      <c r="C3605" s="4" t="s">
        <v>269</v>
      </c>
      <c r="D3605" s="4">
        <v>915</v>
      </c>
      <c r="E3605" s="4">
        <v>57</v>
      </c>
      <c r="G3605">
        <f t="shared" si="56"/>
        <v>512</v>
      </c>
    </row>
    <row r="3606" spans="2:7" ht="15" hidden="1" x14ac:dyDescent="0.25">
      <c r="B3606" s="4">
        <v>584632645</v>
      </c>
      <c r="C3606" s="4" t="s">
        <v>269</v>
      </c>
      <c r="D3606" s="4">
        <v>916</v>
      </c>
      <c r="E3606" s="4">
        <v>57</v>
      </c>
      <c r="G3606">
        <f t="shared" si="56"/>
        <v>512</v>
      </c>
    </row>
    <row r="3607" spans="2:7" ht="15" hidden="1" x14ac:dyDescent="0.25">
      <c r="B3607" s="4">
        <v>584632646</v>
      </c>
      <c r="C3607" s="4" t="s">
        <v>269</v>
      </c>
      <c r="D3607" s="4">
        <v>917</v>
      </c>
      <c r="E3607" s="4">
        <v>57</v>
      </c>
      <c r="G3607">
        <f t="shared" si="56"/>
        <v>512</v>
      </c>
    </row>
    <row r="3608" spans="2:7" ht="15" hidden="1" x14ac:dyDescent="0.25">
      <c r="B3608" s="4">
        <v>584632647</v>
      </c>
      <c r="C3608" s="4" t="s">
        <v>269</v>
      </c>
      <c r="D3608" s="4">
        <v>918</v>
      </c>
      <c r="E3608" s="4">
        <v>57</v>
      </c>
      <c r="G3608">
        <f t="shared" si="56"/>
        <v>512</v>
      </c>
    </row>
    <row r="3609" spans="2:7" ht="15" hidden="1" x14ac:dyDescent="0.25">
      <c r="B3609" s="4">
        <v>584632648</v>
      </c>
      <c r="C3609" s="4" t="s">
        <v>269</v>
      </c>
      <c r="D3609" s="4">
        <v>919</v>
      </c>
      <c r="E3609" s="4">
        <v>57</v>
      </c>
      <c r="G3609">
        <f t="shared" si="56"/>
        <v>512</v>
      </c>
    </row>
    <row r="3610" spans="2:7" ht="15" hidden="1" x14ac:dyDescent="0.25">
      <c r="B3610" s="4">
        <v>584632648</v>
      </c>
      <c r="C3610" s="4" t="s">
        <v>272</v>
      </c>
      <c r="D3610" s="4">
        <v>80</v>
      </c>
      <c r="E3610" s="4">
        <v>209</v>
      </c>
      <c r="G3610">
        <f t="shared" si="56"/>
        <v>1728</v>
      </c>
    </row>
    <row r="3611" spans="2:7" ht="15" hidden="1" x14ac:dyDescent="0.25">
      <c r="B3611" s="4">
        <v>584632649</v>
      </c>
      <c r="C3611" s="4" t="s">
        <v>269</v>
      </c>
      <c r="D3611" s="4">
        <v>920</v>
      </c>
      <c r="E3611" s="4">
        <v>57</v>
      </c>
      <c r="G3611">
        <f t="shared" si="56"/>
        <v>512</v>
      </c>
    </row>
    <row r="3612" spans="2:7" ht="15" hidden="1" x14ac:dyDescent="0.25">
      <c r="B3612" s="4">
        <v>584632650</v>
      </c>
      <c r="C3612" s="4" t="s">
        <v>269</v>
      </c>
      <c r="D3612" s="4">
        <v>921</v>
      </c>
      <c r="E3612" s="4">
        <v>57</v>
      </c>
      <c r="G3612">
        <f t="shared" si="56"/>
        <v>512</v>
      </c>
    </row>
    <row r="3613" spans="2:7" ht="15" hidden="1" x14ac:dyDescent="0.25">
      <c r="B3613" s="4">
        <v>584632651</v>
      </c>
      <c r="C3613" s="4" t="s">
        <v>269</v>
      </c>
      <c r="D3613" s="4">
        <v>922</v>
      </c>
      <c r="E3613" s="4">
        <v>57</v>
      </c>
      <c r="G3613">
        <f t="shared" si="56"/>
        <v>512</v>
      </c>
    </row>
    <row r="3614" spans="2:7" ht="15" hidden="1" x14ac:dyDescent="0.25">
      <c r="B3614" s="4">
        <v>584632652</v>
      </c>
      <c r="C3614" s="4" t="s">
        <v>269</v>
      </c>
      <c r="D3614" s="4">
        <v>923</v>
      </c>
      <c r="E3614" s="4">
        <v>57</v>
      </c>
      <c r="G3614">
        <f t="shared" si="56"/>
        <v>512</v>
      </c>
    </row>
    <row r="3615" spans="2:7" ht="15" hidden="1" x14ac:dyDescent="0.25">
      <c r="B3615" s="4">
        <v>584632653</v>
      </c>
      <c r="C3615" s="4" t="s">
        <v>269</v>
      </c>
      <c r="D3615" s="4">
        <v>924</v>
      </c>
      <c r="E3615" s="4">
        <v>57</v>
      </c>
      <c r="G3615">
        <f t="shared" si="56"/>
        <v>512</v>
      </c>
    </row>
    <row r="3616" spans="2:7" ht="15" hidden="1" x14ac:dyDescent="0.25">
      <c r="B3616" s="4">
        <v>584632654</v>
      </c>
      <c r="C3616" s="4" t="s">
        <v>269</v>
      </c>
      <c r="D3616" s="4">
        <v>925</v>
      </c>
      <c r="E3616" s="4">
        <v>57</v>
      </c>
      <c r="G3616">
        <f t="shared" si="56"/>
        <v>512</v>
      </c>
    </row>
    <row r="3617" spans="2:7" ht="15" hidden="1" x14ac:dyDescent="0.25">
      <c r="B3617" s="4">
        <v>584632655</v>
      </c>
      <c r="C3617" s="4" t="s">
        <v>269</v>
      </c>
      <c r="D3617" s="4">
        <v>926</v>
      </c>
      <c r="E3617" s="4">
        <v>57</v>
      </c>
      <c r="G3617">
        <f t="shared" si="56"/>
        <v>512</v>
      </c>
    </row>
    <row r="3618" spans="2:7" ht="15" hidden="1" x14ac:dyDescent="0.25">
      <c r="B3618" s="4">
        <v>584632656</v>
      </c>
      <c r="C3618" s="4" t="s">
        <v>269</v>
      </c>
      <c r="D3618" s="4">
        <v>927</v>
      </c>
      <c r="E3618" s="4">
        <v>57</v>
      </c>
      <c r="G3618">
        <f t="shared" si="56"/>
        <v>512</v>
      </c>
    </row>
    <row r="3619" spans="2:7" ht="15" hidden="1" x14ac:dyDescent="0.25">
      <c r="B3619" s="4">
        <v>584632657</v>
      </c>
      <c r="C3619" s="4" t="s">
        <v>269</v>
      </c>
      <c r="D3619" s="4">
        <v>928</v>
      </c>
      <c r="E3619" s="4">
        <v>57</v>
      </c>
      <c r="G3619">
        <f t="shared" si="56"/>
        <v>512</v>
      </c>
    </row>
    <row r="3620" spans="2:7" ht="15" hidden="1" x14ac:dyDescent="0.25">
      <c r="B3620" s="4">
        <v>584632658</v>
      </c>
      <c r="C3620" s="4" t="s">
        <v>269</v>
      </c>
      <c r="D3620" s="4">
        <v>929</v>
      </c>
      <c r="E3620" s="4">
        <v>57</v>
      </c>
      <c r="G3620">
        <f t="shared" si="56"/>
        <v>512</v>
      </c>
    </row>
    <row r="3621" spans="2:7" ht="15" hidden="1" x14ac:dyDescent="0.25">
      <c r="B3621" s="4">
        <v>584632658</v>
      </c>
      <c r="C3621" s="4" t="s">
        <v>272</v>
      </c>
      <c r="D3621" s="4">
        <v>81</v>
      </c>
      <c r="E3621" s="4">
        <v>209</v>
      </c>
      <c r="G3621">
        <f t="shared" si="56"/>
        <v>1728</v>
      </c>
    </row>
    <row r="3622" spans="2:7" ht="15" hidden="1" x14ac:dyDescent="0.25">
      <c r="B3622" s="4">
        <v>584632659</v>
      </c>
      <c r="C3622" s="4" t="s">
        <v>269</v>
      </c>
      <c r="D3622" s="4">
        <v>930</v>
      </c>
      <c r="E3622" s="4">
        <v>57</v>
      </c>
      <c r="G3622">
        <f t="shared" si="56"/>
        <v>512</v>
      </c>
    </row>
    <row r="3623" spans="2:7" ht="15" hidden="1" x14ac:dyDescent="0.25">
      <c r="B3623" s="4">
        <v>584632660</v>
      </c>
      <c r="C3623" s="4" t="s">
        <v>269</v>
      </c>
      <c r="D3623" s="4">
        <v>931</v>
      </c>
      <c r="E3623" s="4">
        <v>57</v>
      </c>
      <c r="G3623">
        <f t="shared" si="56"/>
        <v>512</v>
      </c>
    </row>
    <row r="3624" spans="2:7" ht="15" hidden="1" x14ac:dyDescent="0.25">
      <c r="B3624" s="4">
        <v>584632661</v>
      </c>
      <c r="C3624" s="4" t="s">
        <v>269</v>
      </c>
      <c r="D3624" s="4">
        <v>932</v>
      </c>
      <c r="E3624" s="4">
        <v>57</v>
      </c>
      <c r="G3624">
        <f t="shared" si="56"/>
        <v>512</v>
      </c>
    </row>
    <row r="3625" spans="2:7" ht="15" hidden="1" x14ac:dyDescent="0.25">
      <c r="B3625" s="4">
        <v>584632662</v>
      </c>
      <c r="C3625" s="4" t="s">
        <v>269</v>
      </c>
      <c r="D3625" s="4">
        <v>933</v>
      </c>
      <c r="E3625" s="4">
        <v>57</v>
      </c>
      <c r="G3625">
        <f t="shared" si="56"/>
        <v>512</v>
      </c>
    </row>
    <row r="3626" spans="2:7" ht="15" hidden="1" x14ac:dyDescent="0.25">
      <c r="B3626" s="4">
        <v>584632663</v>
      </c>
      <c r="C3626" s="4" t="s">
        <v>269</v>
      </c>
      <c r="D3626" s="4">
        <v>934</v>
      </c>
      <c r="E3626" s="4">
        <v>57</v>
      </c>
      <c r="G3626">
        <f t="shared" si="56"/>
        <v>512</v>
      </c>
    </row>
    <row r="3627" spans="2:7" ht="15" hidden="1" x14ac:dyDescent="0.25">
      <c r="B3627" s="4">
        <v>584632664</v>
      </c>
      <c r="C3627" s="4" t="s">
        <v>269</v>
      </c>
      <c r="D3627" s="4">
        <v>935</v>
      </c>
      <c r="E3627" s="4">
        <v>57</v>
      </c>
      <c r="G3627">
        <f t="shared" si="56"/>
        <v>512</v>
      </c>
    </row>
    <row r="3628" spans="2:7" ht="15" hidden="1" x14ac:dyDescent="0.25">
      <c r="B3628" s="4">
        <v>584632665</v>
      </c>
      <c r="C3628" s="4" t="s">
        <v>269</v>
      </c>
      <c r="D3628" s="4">
        <v>936</v>
      </c>
      <c r="E3628" s="4">
        <v>57</v>
      </c>
      <c r="G3628">
        <f t="shared" si="56"/>
        <v>512</v>
      </c>
    </row>
    <row r="3629" spans="2:7" ht="15" hidden="1" x14ac:dyDescent="0.25">
      <c r="B3629" s="4">
        <v>584632666</v>
      </c>
      <c r="C3629" s="4" t="s">
        <v>269</v>
      </c>
      <c r="D3629" s="4">
        <v>937</v>
      </c>
      <c r="E3629" s="4">
        <v>57</v>
      </c>
      <c r="G3629">
        <f t="shared" si="56"/>
        <v>512</v>
      </c>
    </row>
    <row r="3630" spans="2:7" ht="15" hidden="1" x14ac:dyDescent="0.25">
      <c r="B3630" s="4">
        <v>584632667</v>
      </c>
      <c r="C3630" s="4" t="s">
        <v>269</v>
      </c>
      <c r="D3630" s="4">
        <v>938</v>
      </c>
      <c r="E3630" s="4">
        <v>57</v>
      </c>
      <c r="G3630">
        <f t="shared" si="56"/>
        <v>512</v>
      </c>
    </row>
    <row r="3631" spans="2:7" ht="15" hidden="1" x14ac:dyDescent="0.25">
      <c r="B3631" s="4">
        <v>584632668</v>
      </c>
      <c r="C3631" s="4" t="s">
        <v>269</v>
      </c>
      <c r="D3631" s="4">
        <v>939</v>
      </c>
      <c r="E3631" s="4">
        <v>57</v>
      </c>
      <c r="G3631">
        <f t="shared" si="56"/>
        <v>512</v>
      </c>
    </row>
    <row r="3632" spans="2:7" ht="15" hidden="1" x14ac:dyDescent="0.25">
      <c r="B3632" s="4">
        <v>584632668</v>
      </c>
      <c r="C3632" s="4" t="s">
        <v>272</v>
      </c>
      <c r="D3632" s="4">
        <v>82</v>
      </c>
      <c r="E3632" s="4">
        <v>209</v>
      </c>
      <c r="G3632">
        <f t="shared" si="56"/>
        <v>1728</v>
      </c>
    </row>
    <row r="3633" spans="2:7" ht="15" hidden="1" x14ac:dyDescent="0.25">
      <c r="B3633" s="4">
        <v>584632669</v>
      </c>
      <c r="C3633" s="4" t="s">
        <v>269</v>
      </c>
      <c r="D3633" s="4">
        <v>940</v>
      </c>
      <c r="E3633" s="4">
        <v>57</v>
      </c>
      <c r="G3633">
        <f t="shared" si="56"/>
        <v>512</v>
      </c>
    </row>
    <row r="3634" spans="2:7" ht="15" hidden="1" x14ac:dyDescent="0.25">
      <c r="B3634" s="4">
        <v>584632670</v>
      </c>
      <c r="C3634" s="4" t="s">
        <v>269</v>
      </c>
      <c r="D3634" s="4">
        <v>941</v>
      </c>
      <c r="E3634" s="4">
        <v>57</v>
      </c>
      <c r="G3634">
        <f t="shared" si="56"/>
        <v>512</v>
      </c>
    </row>
    <row r="3635" spans="2:7" ht="15" hidden="1" x14ac:dyDescent="0.25">
      <c r="B3635" s="4">
        <v>584632671</v>
      </c>
      <c r="C3635" s="4" t="s">
        <v>269</v>
      </c>
      <c r="D3635" s="4">
        <v>942</v>
      </c>
      <c r="E3635" s="4">
        <v>57</v>
      </c>
      <c r="G3635">
        <f t="shared" si="56"/>
        <v>512</v>
      </c>
    </row>
    <row r="3636" spans="2:7" ht="15" hidden="1" x14ac:dyDescent="0.25">
      <c r="B3636" s="4">
        <v>584632672</v>
      </c>
      <c r="C3636" s="4" t="s">
        <v>269</v>
      </c>
      <c r="D3636" s="4">
        <v>943</v>
      </c>
      <c r="E3636" s="4">
        <v>57</v>
      </c>
      <c r="G3636">
        <f t="shared" si="56"/>
        <v>512</v>
      </c>
    </row>
    <row r="3637" spans="2:7" ht="15" hidden="1" x14ac:dyDescent="0.25">
      <c r="B3637" s="4">
        <v>584632673</v>
      </c>
      <c r="C3637" s="4" t="s">
        <v>269</v>
      </c>
      <c r="D3637" s="4">
        <v>944</v>
      </c>
      <c r="E3637" s="4">
        <v>57</v>
      </c>
      <c r="G3637">
        <f t="shared" si="56"/>
        <v>512</v>
      </c>
    </row>
    <row r="3638" spans="2:7" ht="15" hidden="1" x14ac:dyDescent="0.25">
      <c r="B3638" s="4">
        <v>584632674</v>
      </c>
      <c r="C3638" s="4" t="s">
        <v>269</v>
      </c>
      <c r="D3638" s="4">
        <v>945</v>
      </c>
      <c r="E3638" s="4">
        <v>57</v>
      </c>
      <c r="G3638">
        <f t="shared" si="56"/>
        <v>512</v>
      </c>
    </row>
    <row r="3639" spans="2:7" ht="15" hidden="1" x14ac:dyDescent="0.25">
      <c r="B3639" s="4">
        <v>584632675</v>
      </c>
      <c r="C3639" s="4" t="s">
        <v>269</v>
      </c>
      <c r="D3639" s="4">
        <v>946</v>
      </c>
      <c r="E3639" s="4">
        <v>57</v>
      </c>
      <c r="G3639">
        <f t="shared" si="56"/>
        <v>512</v>
      </c>
    </row>
    <row r="3640" spans="2:7" ht="15" hidden="1" x14ac:dyDescent="0.25">
      <c r="B3640" s="4">
        <v>584632676</v>
      </c>
      <c r="C3640" s="4" t="s">
        <v>269</v>
      </c>
      <c r="D3640" s="4">
        <v>947</v>
      </c>
      <c r="E3640" s="4">
        <v>57</v>
      </c>
      <c r="G3640">
        <f t="shared" si="56"/>
        <v>512</v>
      </c>
    </row>
    <row r="3641" spans="2:7" ht="15" hidden="1" x14ac:dyDescent="0.25">
      <c r="B3641" s="4">
        <v>584632677</v>
      </c>
      <c r="C3641" s="4" t="s">
        <v>269</v>
      </c>
      <c r="D3641" s="4">
        <v>948</v>
      </c>
      <c r="E3641" s="4">
        <v>57</v>
      </c>
      <c r="G3641">
        <f t="shared" si="56"/>
        <v>512</v>
      </c>
    </row>
    <row r="3642" spans="2:7" ht="15" hidden="1" x14ac:dyDescent="0.25">
      <c r="B3642" s="4">
        <v>584632678</v>
      </c>
      <c r="C3642" s="4" t="s">
        <v>269</v>
      </c>
      <c r="D3642" s="4">
        <v>949</v>
      </c>
      <c r="E3642" s="4">
        <v>57</v>
      </c>
      <c r="G3642">
        <f t="shared" si="56"/>
        <v>512</v>
      </c>
    </row>
    <row r="3643" spans="2:7" ht="15" hidden="1" x14ac:dyDescent="0.25">
      <c r="B3643" s="4">
        <v>584632678</v>
      </c>
      <c r="C3643" s="4" t="s">
        <v>272</v>
      </c>
      <c r="D3643" s="4">
        <v>83</v>
      </c>
      <c r="E3643" s="4">
        <v>211</v>
      </c>
      <c r="G3643">
        <f t="shared" si="56"/>
        <v>1744</v>
      </c>
    </row>
    <row r="3644" spans="2:7" ht="15" hidden="1" x14ac:dyDescent="0.25">
      <c r="B3644" s="4">
        <v>584632679</v>
      </c>
      <c r="C3644" s="4" t="s">
        <v>269</v>
      </c>
      <c r="D3644" s="4">
        <v>950</v>
      </c>
      <c r="E3644" s="4">
        <v>57</v>
      </c>
      <c r="G3644">
        <f t="shared" si="56"/>
        <v>512</v>
      </c>
    </row>
    <row r="3645" spans="2:7" ht="15" hidden="1" x14ac:dyDescent="0.25">
      <c r="B3645" s="4">
        <v>584632680</v>
      </c>
      <c r="C3645" s="4" t="s">
        <v>269</v>
      </c>
      <c r="D3645" s="4">
        <v>951</v>
      </c>
      <c r="E3645" s="4">
        <v>57</v>
      </c>
      <c r="G3645">
        <f t="shared" si="56"/>
        <v>512</v>
      </c>
    </row>
    <row r="3646" spans="2:7" ht="15" hidden="1" x14ac:dyDescent="0.25">
      <c r="B3646" s="4">
        <v>584632681</v>
      </c>
      <c r="C3646" s="4" t="s">
        <v>269</v>
      </c>
      <c r="D3646" s="4">
        <v>952</v>
      </c>
      <c r="E3646" s="4">
        <v>57</v>
      </c>
      <c r="G3646">
        <f t="shared" si="56"/>
        <v>512</v>
      </c>
    </row>
    <row r="3647" spans="2:7" ht="15" hidden="1" x14ac:dyDescent="0.25">
      <c r="B3647" s="4">
        <v>584632682</v>
      </c>
      <c r="C3647" s="4" t="s">
        <v>269</v>
      </c>
      <c r="D3647" s="4">
        <v>953</v>
      </c>
      <c r="E3647" s="4">
        <v>57</v>
      </c>
      <c r="G3647">
        <f t="shared" si="56"/>
        <v>512</v>
      </c>
    </row>
    <row r="3648" spans="2:7" ht="15" hidden="1" x14ac:dyDescent="0.25">
      <c r="B3648" s="4">
        <v>584632683</v>
      </c>
      <c r="C3648" s="4" t="s">
        <v>269</v>
      </c>
      <c r="D3648" s="4">
        <v>954</v>
      </c>
      <c r="E3648" s="4">
        <v>57</v>
      </c>
      <c r="G3648">
        <f t="shared" si="56"/>
        <v>512</v>
      </c>
    </row>
    <row r="3649" spans="2:7" ht="15" hidden="1" x14ac:dyDescent="0.25">
      <c r="B3649" s="4">
        <v>584632684</v>
      </c>
      <c r="C3649" s="4" t="s">
        <v>269</v>
      </c>
      <c r="D3649" s="4">
        <v>955</v>
      </c>
      <c r="E3649" s="4">
        <v>57</v>
      </c>
      <c r="G3649">
        <f t="shared" si="56"/>
        <v>512</v>
      </c>
    </row>
    <row r="3650" spans="2:7" ht="15" hidden="1" x14ac:dyDescent="0.25">
      <c r="B3650" s="4">
        <v>584632685</v>
      </c>
      <c r="C3650" s="4" t="s">
        <v>269</v>
      </c>
      <c r="D3650" s="4">
        <v>956</v>
      </c>
      <c r="E3650" s="4">
        <v>57</v>
      </c>
      <c r="G3650">
        <f t="shared" si="56"/>
        <v>512</v>
      </c>
    </row>
    <row r="3651" spans="2:7" ht="15" hidden="1" x14ac:dyDescent="0.25">
      <c r="B3651" s="4">
        <v>584632686</v>
      </c>
      <c r="C3651" s="4" t="s">
        <v>269</v>
      </c>
      <c r="D3651" s="4">
        <v>957</v>
      </c>
      <c r="E3651" s="4">
        <v>57</v>
      </c>
      <c r="G3651">
        <f t="shared" si="56"/>
        <v>512</v>
      </c>
    </row>
    <row r="3652" spans="2:7" ht="15" hidden="1" x14ac:dyDescent="0.25">
      <c r="B3652" s="4">
        <v>584632687</v>
      </c>
      <c r="C3652" s="4" t="s">
        <v>269</v>
      </c>
      <c r="D3652" s="4">
        <v>958</v>
      </c>
      <c r="E3652" s="4">
        <v>57</v>
      </c>
      <c r="G3652">
        <f t="shared" ref="G3652:G3715" si="57">(E3652+7)*8</f>
        <v>512</v>
      </c>
    </row>
    <row r="3653" spans="2:7" ht="15" hidden="1" x14ac:dyDescent="0.25">
      <c r="B3653" s="4">
        <v>584632688</v>
      </c>
      <c r="C3653" s="4" t="s">
        <v>269</v>
      </c>
      <c r="D3653" s="4">
        <v>959</v>
      </c>
      <c r="E3653" s="4">
        <v>57</v>
      </c>
      <c r="G3653">
        <f t="shared" si="57"/>
        <v>512</v>
      </c>
    </row>
    <row r="3654" spans="2:7" ht="15" hidden="1" x14ac:dyDescent="0.25">
      <c r="B3654" s="4">
        <v>584632688</v>
      </c>
      <c r="C3654" s="4" t="s">
        <v>272</v>
      </c>
      <c r="D3654" s="4">
        <v>84</v>
      </c>
      <c r="E3654" s="4">
        <v>209</v>
      </c>
      <c r="G3654">
        <f t="shared" si="57"/>
        <v>1728</v>
      </c>
    </row>
    <row r="3655" spans="2:7" ht="15" hidden="1" x14ac:dyDescent="0.25">
      <c r="B3655" s="4">
        <v>584632689</v>
      </c>
      <c r="C3655" s="4" t="s">
        <v>269</v>
      </c>
      <c r="D3655" s="4">
        <v>960</v>
      </c>
      <c r="E3655" s="4">
        <v>57</v>
      </c>
      <c r="G3655">
        <f t="shared" si="57"/>
        <v>512</v>
      </c>
    </row>
    <row r="3656" spans="2:7" ht="15" hidden="1" x14ac:dyDescent="0.25">
      <c r="B3656" s="4">
        <v>584632690</v>
      </c>
      <c r="C3656" s="4" t="s">
        <v>269</v>
      </c>
      <c r="D3656" s="4">
        <v>961</v>
      </c>
      <c r="E3656" s="4">
        <v>57</v>
      </c>
      <c r="G3656">
        <f t="shared" si="57"/>
        <v>512</v>
      </c>
    </row>
    <row r="3657" spans="2:7" ht="15" hidden="1" x14ac:dyDescent="0.25">
      <c r="B3657" s="4">
        <v>584632691</v>
      </c>
      <c r="C3657" s="4" t="s">
        <v>269</v>
      </c>
      <c r="D3657" s="4">
        <v>962</v>
      </c>
      <c r="E3657" s="4">
        <v>57</v>
      </c>
      <c r="G3657">
        <f t="shared" si="57"/>
        <v>512</v>
      </c>
    </row>
    <row r="3658" spans="2:7" ht="15" hidden="1" x14ac:dyDescent="0.25">
      <c r="B3658" s="4">
        <v>584632692</v>
      </c>
      <c r="C3658" s="4" t="s">
        <v>269</v>
      </c>
      <c r="D3658" s="4">
        <v>963</v>
      </c>
      <c r="E3658" s="4">
        <v>57</v>
      </c>
      <c r="G3658">
        <f t="shared" si="57"/>
        <v>512</v>
      </c>
    </row>
    <row r="3659" spans="2:7" ht="15" hidden="1" x14ac:dyDescent="0.25">
      <c r="B3659" s="4">
        <v>584632693</v>
      </c>
      <c r="C3659" s="4" t="s">
        <v>269</v>
      </c>
      <c r="D3659" s="4">
        <v>964</v>
      </c>
      <c r="E3659" s="4">
        <v>57</v>
      </c>
      <c r="G3659">
        <f t="shared" si="57"/>
        <v>512</v>
      </c>
    </row>
    <row r="3660" spans="2:7" ht="15" hidden="1" x14ac:dyDescent="0.25">
      <c r="B3660" s="4">
        <v>584632694</v>
      </c>
      <c r="C3660" s="4" t="s">
        <v>269</v>
      </c>
      <c r="D3660" s="4">
        <v>965</v>
      </c>
      <c r="E3660" s="4">
        <v>57</v>
      </c>
      <c r="G3660">
        <f t="shared" si="57"/>
        <v>512</v>
      </c>
    </row>
    <row r="3661" spans="2:7" ht="15" hidden="1" x14ac:dyDescent="0.25">
      <c r="B3661" s="4">
        <v>584632695</v>
      </c>
      <c r="C3661" s="4" t="s">
        <v>269</v>
      </c>
      <c r="D3661" s="4">
        <v>966</v>
      </c>
      <c r="E3661" s="4">
        <v>57</v>
      </c>
      <c r="G3661">
        <f t="shared" si="57"/>
        <v>512</v>
      </c>
    </row>
    <row r="3662" spans="2:7" ht="15" hidden="1" x14ac:dyDescent="0.25">
      <c r="B3662" s="4">
        <v>584632696</v>
      </c>
      <c r="C3662" s="4" t="s">
        <v>269</v>
      </c>
      <c r="D3662" s="4">
        <v>967</v>
      </c>
      <c r="E3662" s="4">
        <v>57</v>
      </c>
      <c r="G3662">
        <f t="shared" si="57"/>
        <v>512</v>
      </c>
    </row>
    <row r="3663" spans="2:7" ht="15" hidden="1" x14ac:dyDescent="0.25">
      <c r="B3663" s="4">
        <v>584632697</v>
      </c>
      <c r="C3663" s="4" t="s">
        <v>269</v>
      </c>
      <c r="D3663" s="4">
        <v>968</v>
      </c>
      <c r="E3663" s="4">
        <v>57</v>
      </c>
      <c r="G3663">
        <f t="shared" si="57"/>
        <v>512</v>
      </c>
    </row>
    <row r="3664" spans="2:7" ht="15" hidden="1" x14ac:dyDescent="0.25">
      <c r="B3664" s="4">
        <v>584632698</v>
      </c>
      <c r="C3664" s="4" t="s">
        <v>269</v>
      </c>
      <c r="D3664" s="4">
        <v>969</v>
      </c>
      <c r="E3664" s="4">
        <v>57</v>
      </c>
      <c r="G3664">
        <f t="shared" si="57"/>
        <v>512</v>
      </c>
    </row>
    <row r="3665" spans="2:7" ht="15" hidden="1" x14ac:dyDescent="0.25">
      <c r="B3665" s="4">
        <v>584632698</v>
      </c>
      <c r="C3665" s="4" t="s">
        <v>272</v>
      </c>
      <c r="D3665" s="4">
        <v>85</v>
      </c>
      <c r="E3665" s="4">
        <v>209</v>
      </c>
      <c r="G3665">
        <f t="shared" si="57"/>
        <v>1728</v>
      </c>
    </row>
    <row r="3666" spans="2:7" ht="15" hidden="1" x14ac:dyDescent="0.25">
      <c r="B3666" s="4">
        <v>584632699</v>
      </c>
      <c r="C3666" s="4" t="s">
        <v>269</v>
      </c>
      <c r="D3666" s="4">
        <v>970</v>
      </c>
      <c r="E3666" s="4">
        <v>57</v>
      </c>
      <c r="G3666">
        <f t="shared" si="57"/>
        <v>512</v>
      </c>
    </row>
    <row r="3667" spans="2:7" ht="15" hidden="1" x14ac:dyDescent="0.25">
      <c r="B3667" s="4">
        <v>584632700</v>
      </c>
      <c r="C3667" s="4" t="s">
        <v>269</v>
      </c>
      <c r="D3667" s="4">
        <v>971</v>
      </c>
      <c r="E3667" s="4">
        <v>57</v>
      </c>
      <c r="G3667">
        <f t="shared" si="57"/>
        <v>512</v>
      </c>
    </row>
    <row r="3668" spans="2:7" ht="15" hidden="1" x14ac:dyDescent="0.25">
      <c r="B3668" s="4">
        <v>584632701</v>
      </c>
      <c r="C3668" s="4" t="s">
        <v>269</v>
      </c>
      <c r="D3668" s="4">
        <v>972</v>
      </c>
      <c r="E3668" s="4">
        <v>57</v>
      </c>
      <c r="G3668">
        <f t="shared" si="57"/>
        <v>512</v>
      </c>
    </row>
    <row r="3669" spans="2:7" ht="15" hidden="1" x14ac:dyDescent="0.25">
      <c r="B3669" s="4">
        <v>584632702</v>
      </c>
      <c r="C3669" s="4" t="s">
        <v>269</v>
      </c>
      <c r="D3669" s="4">
        <v>973</v>
      </c>
      <c r="E3669" s="4">
        <v>57</v>
      </c>
      <c r="G3669">
        <f t="shared" si="57"/>
        <v>512</v>
      </c>
    </row>
    <row r="3670" spans="2:7" ht="15" hidden="1" x14ac:dyDescent="0.25">
      <c r="B3670" s="4">
        <v>584632703</v>
      </c>
      <c r="C3670" s="4" t="s">
        <v>269</v>
      </c>
      <c r="D3670" s="4">
        <v>974</v>
      </c>
      <c r="E3670" s="4">
        <v>57</v>
      </c>
      <c r="G3670">
        <f t="shared" si="57"/>
        <v>512</v>
      </c>
    </row>
    <row r="3671" spans="2:7" ht="15" hidden="1" x14ac:dyDescent="0.25">
      <c r="B3671" s="4">
        <v>584632704</v>
      </c>
      <c r="C3671" s="4" t="s">
        <v>269</v>
      </c>
      <c r="D3671" s="4">
        <v>975</v>
      </c>
      <c r="E3671" s="4">
        <v>57</v>
      </c>
      <c r="G3671">
        <f t="shared" si="57"/>
        <v>512</v>
      </c>
    </row>
    <row r="3672" spans="2:7" ht="15" hidden="1" x14ac:dyDescent="0.25">
      <c r="B3672" s="4">
        <v>584632705</v>
      </c>
      <c r="C3672" s="4" t="s">
        <v>269</v>
      </c>
      <c r="D3672" s="4">
        <v>976</v>
      </c>
      <c r="E3672" s="4">
        <v>57</v>
      </c>
      <c r="G3672">
        <f t="shared" si="57"/>
        <v>512</v>
      </c>
    </row>
    <row r="3673" spans="2:7" ht="15" hidden="1" x14ac:dyDescent="0.25">
      <c r="B3673" s="4">
        <v>584632706</v>
      </c>
      <c r="C3673" s="4" t="s">
        <v>269</v>
      </c>
      <c r="D3673" s="4">
        <v>977</v>
      </c>
      <c r="E3673" s="4">
        <v>57</v>
      </c>
      <c r="G3673">
        <f t="shared" si="57"/>
        <v>512</v>
      </c>
    </row>
    <row r="3674" spans="2:7" ht="15" hidden="1" x14ac:dyDescent="0.25">
      <c r="B3674" s="4">
        <v>584632707</v>
      </c>
      <c r="C3674" s="4" t="s">
        <v>269</v>
      </c>
      <c r="D3674" s="4">
        <v>978</v>
      </c>
      <c r="E3674" s="4">
        <v>57</v>
      </c>
      <c r="G3674">
        <f t="shared" si="57"/>
        <v>512</v>
      </c>
    </row>
    <row r="3675" spans="2:7" ht="15" hidden="1" x14ac:dyDescent="0.25">
      <c r="B3675" s="4">
        <v>584632708</v>
      </c>
      <c r="C3675" s="4" t="s">
        <v>269</v>
      </c>
      <c r="D3675" s="4">
        <v>979</v>
      </c>
      <c r="E3675" s="4">
        <v>57</v>
      </c>
      <c r="G3675">
        <f t="shared" si="57"/>
        <v>512</v>
      </c>
    </row>
    <row r="3676" spans="2:7" ht="15" hidden="1" x14ac:dyDescent="0.25">
      <c r="B3676" s="4">
        <v>584632708</v>
      </c>
      <c r="C3676" s="4" t="s">
        <v>272</v>
      </c>
      <c r="D3676" s="4">
        <v>86</v>
      </c>
      <c r="E3676" s="4">
        <v>211</v>
      </c>
      <c r="G3676">
        <f t="shared" si="57"/>
        <v>1744</v>
      </c>
    </row>
    <row r="3677" spans="2:7" ht="15" hidden="1" x14ac:dyDescent="0.25">
      <c r="B3677" s="4">
        <v>584632709</v>
      </c>
      <c r="C3677" s="4" t="s">
        <v>269</v>
      </c>
      <c r="D3677" s="4">
        <v>980</v>
      </c>
      <c r="E3677" s="4">
        <v>57</v>
      </c>
      <c r="G3677">
        <f t="shared" si="57"/>
        <v>512</v>
      </c>
    </row>
    <row r="3678" spans="2:7" ht="15" hidden="1" x14ac:dyDescent="0.25">
      <c r="B3678" s="4">
        <v>584632710</v>
      </c>
      <c r="C3678" s="4" t="s">
        <v>269</v>
      </c>
      <c r="D3678" s="4">
        <v>981</v>
      </c>
      <c r="E3678" s="4">
        <v>57</v>
      </c>
      <c r="G3678">
        <f t="shared" si="57"/>
        <v>512</v>
      </c>
    </row>
    <row r="3679" spans="2:7" ht="15" hidden="1" x14ac:dyDescent="0.25">
      <c r="B3679" s="4">
        <v>584632711</v>
      </c>
      <c r="C3679" s="4" t="s">
        <v>269</v>
      </c>
      <c r="D3679" s="4">
        <v>982</v>
      </c>
      <c r="E3679" s="4">
        <v>57</v>
      </c>
      <c r="G3679">
        <f t="shared" si="57"/>
        <v>512</v>
      </c>
    </row>
    <row r="3680" spans="2:7" ht="15" hidden="1" x14ac:dyDescent="0.25">
      <c r="B3680" s="4">
        <v>584632712</v>
      </c>
      <c r="C3680" s="4" t="s">
        <v>269</v>
      </c>
      <c r="D3680" s="4">
        <v>983</v>
      </c>
      <c r="E3680" s="4">
        <v>57</v>
      </c>
      <c r="G3680">
        <f t="shared" si="57"/>
        <v>512</v>
      </c>
    </row>
    <row r="3681" spans="2:7" ht="15" hidden="1" x14ac:dyDescent="0.25">
      <c r="B3681" s="4">
        <v>584632713</v>
      </c>
      <c r="C3681" s="4" t="s">
        <v>269</v>
      </c>
      <c r="D3681" s="4">
        <v>984</v>
      </c>
      <c r="E3681" s="4">
        <v>57</v>
      </c>
      <c r="G3681">
        <f t="shared" si="57"/>
        <v>512</v>
      </c>
    </row>
    <row r="3682" spans="2:7" ht="15" hidden="1" x14ac:dyDescent="0.25">
      <c r="B3682" s="4">
        <v>584632714</v>
      </c>
      <c r="C3682" s="4" t="s">
        <v>269</v>
      </c>
      <c r="D3682" s="4">
        <v>985</v>
      </c>
      <c r="E3682" s="4">
        <v>57</v>
      </c>
      <c r="G3682">
        <f t="shared" si="57"/>
        <v>512</v>
      </c>
    </row>
    <row r="3683" spans="2:7" ht="15" hidden="1" x14ac:dyDescent="0.25">
      <c r="B3683" s="4">
        <v>584632715</v>
      </c>
      <c r="C3683" s="4" t="s">
        <v>269</v>
      </c>
      <c r="D3683" s="4">
        <v>986</v>
      </c>
      <c r="E3683" s="4">
        <v>57</v>
      </c>
      <c r="G3683">
        <f t="shared" si="57"/>
        <v>512</v>
      </c>
    </row>
    <row r="3684" spans="2:7" ht="15" hidden="1" x14ac:dyDescent="0.25">
      <c r="B3684" s="4">
        <v>584632716</v>
      </c>
      <c r="C3684" s="4" t="s">
        <v>269</v>
      </c>
      <c r="D3684" s="4">
        <v>987</v>
      </c>
      <c r="E3684" s="4">
        <v>57</v>
      </c>
      <c r="G3684">
        <f t="shared" si="57"/>
        <v>512</v>
      </c>
    </row>
    <row r="3685" spans="2:7" ht="15" hidden="1" x14ac:dyDescent="0.25">
      <c r="B3685" s="4">
        <v>584632717</v>
      </c>
      <c r="C3685" s="4" t="s">
        <v>269</v>
      </c>
      <c r="D3685" s="4">
        <v>988</v>
      </c>
      <c r="E3685" s="4">
        <v>57</v>
      </c>
      <c r="G3685">
        <f t="shared" si="57"/>
        <v>512</v>
      </c>
    </row>
    <row r="3686" spans="2:7" ht="15" hidden="1" x14ac:dyDescent="0.25">
      <c r="B3686" s="4">
        <v>584632718</v>
      </c>
      <c r="C3686" s="4" t="s">
        <v>269</v>
      </c>
      <c r="D3686" s="4">
        <v>989</v>
      </c>
      <c r="E3686" s="4">
        <v>57</v>
      </c>
      <c r="G3686">
        <f t="shared" si="57"/>
        <v>512</v>
      </c>
    </row>
    <row r="3687" spans="2:7" ht="15" hidden="1" x14ac:dyDescent="0.25">
      <c r="B3687" s="4">
        <v>584632718</v>
      </c>
      <c r="C3687" s="4" t="s">
        <v>272</v>
      </c>
      <c r="D3687" s="4">
        <v>87</v>
      </c>
      <c r="E3687" s="4">
        <v>211</v>
      </c>
      <c r="G3687">
        <f t="shared" si="57"/>
        <v>1744</v>
      </c>
    </row>
    <row r="3688" spans="2:7" ht="15" hidden="1" x14ac:dyDescent="0.25">
      <c r="B3688" s="4">
        <v>584632719</v>
      </c>
      <c r="C3688" s="4" t="s">
        <v>269</v>
      </c>
      <c r="D3688" s="4">
        <v>990</v>
      </c>
      <c r="E3688" s="4">
        <v>57</v>
      </c>
      <c r="G3688">
        <f t="shared" si="57"/>
        <v>512</v>
      </c>
    </row>
    <row r="3689" spans="2:7" ht="15" hidden="1" x14ac:dyDescent="0.25">
      <c r="B3689" s="4">
        <v>584632720</v>
      </c>
      <c r="C3689" s="4" t="s">
        <v>269</v>
      </c>
      <c r="D3689" s="4">
        <v>991</v>
      </c>
      <c r="E3689" s="4">
        <v>57</v>
      </c>
      <c r="G3689">
        <f t="shared" si="57"/>
        <v>512</v>
      </c>
    </row>
    <row r="3690" spans="2:7" ht="15" hidden="1" x14ac:dyDescent="0.25">
      <c r="B3690" s="4">
        <v>584632721</v>
      </c>
      <c r="C3690" s="4" t="s">
        <v>269</v>
      </c>
      <c r="D3690" s="4">
        <v>992</v>
      </c>
      <c r="E3690" s="4">
        <v>57</v>
      </c>
      <c r="G3690">
        <f t="shared" si="57"/>
        <v>512</v>
      </c>
    </row>
    <row r="3691" spans="2:7" ht="15" hidden="1" x14ac:dyDescent="0.25">
      <c r="B3691" s="4">
        <v>584632722</v>
      </c>
      <c r="C3691" s="4" t="s">
        <v>269</v>
      </c>
      <c r="D3691" s="4">
        <v>993</v>
      </c>
      <c r="E3691" s="4">
        <v>57</v>
      </c>
      <c r="G3691">
        <f t="shared" si="57"/>
        <v>512</v>
      </c>
    </row>
    <row r="3692" spans="2:7" ht="15" hidden="1" x14ac:dyDescent="0.25">
      <c r="B3692" s="4">
        <v>584632723</v>
      </c>
      <c r="C3692" s="4" t="s">
        <v>269</v>
      </c>
      <c r="D3692" s="4">
        <v>994</v>
      </c>
      <c r="E3692" s="4">
        <v>57</v>
      </c>
      <c r="G3692">
        <f t="shared" si="57"/>
        <v>512</v>
      </c>
    </row>
    <row r="3693" spans="2:7" ht="15" hidden="1" x14ac:dyDescent="0.25">
      <c r="B3693" s="4">
        <v>584632724</v>
      </c>
      <c r="C3693" s="4" t="s">
        <v>269</v>
      </c>
      <c r="D3693" s="4">
        <v>995</v>
      </c>
      <c r="E3693" s="4">
        <v>57</v>
      </c>
      <c r="G3693">
        <f t="shared" si="57"/>
        <v>512</v>
      </c>
    </row>
    <row r="3694" spans="2:7" ht="15" hidden="1" x14ac:dyDescent="0.25">
      <c r="B3694" s="4">
        <v>584632725</v>
      </c>
      <c r="C3694" s="4" t="s">
        <v>269</v>
      </c>
      <c r="D3694" s="4">
        <v>996</v>
      </c>
      <c r="E3694" s="4">
        <v>57</v>
      </c>
      <c r="G3694">
        <f t="shared" si="57"/>
        <v>512</v>
      </c>
    </row>
    <row r="3695" spans="2:7" ht="15" hidden="1" x14ac:dyDescent="0.25">
      <c r="B3695" s="4">
        <v>584632726</v>
      </c>
      <c r="C3695" s="4" t="s">
        <v>269</v>
      </c>
      <c r="D3695" s="4">
        <v>997</v>
      </c>
      <c r="E3695" s="4">
        <v>57</v>
      </c>
      <c r="G3695">
        <f t="shared" si="57"/>
        <v>512</v>
      </c>
    </row>
    <row r="3696" spans="2:7" ht="15" hidden="1" x14ac:dyDescent="0.25">
      <c r="B3696" s="4">
        <v>584632727</v>
      </c>
      <c r="C3696" s="4" t="s">
        <v>269</v>
      </c>
      <c r="D3696" s="4">
        <v>998</v>
      </c>
      <c r="E3696" s="4">
        <v>57</v>
      </c>
      <c r="G3696">
        <f t="shared" si="57"/>
        <v>512</v>
      </c>
    </row>
    <row r="3697" spans="2:7" ht="15" hidden="1" x14ac:dyDescent="0.25">
      <c r="B3697" s="4">
        <v>584632728</v>
      </c>
      <c r="C3697" s="4" t="s">
        <v>269</v>
      </c>
      <c r="D3697" s="4">
        <v>999</v>
      </c>
      <c r="E3697" s="4">
        <v>57</v>
      </c>
      <c r="G3697">
        <f t="shared" si="57"/>
        <v>512</v>
      </c>
    </row>
    <row r="3698" spans="2:7" ht="15" hidden="1" x14ac:dyDescent="0.25">
      <c r="B3698" s="4">
        <v>584632728</v>
      </c>
      <c r="C3698" s="4" t="s">
        <v>272</v>
      </c>
      <c r="D3698" s="4">
        <v>88</v>
      </c>
      <c r="E3698" s="4">
        <v>209</v>
      </c>
      <c r="G3698">
        <f t="shared" si="57"/>
        <v>1728</v>
      </c>
    </row>
    <row r="3699" spans="2:7" ht="15" hidden="1" x14ac:dyDescent="0.25">
      <c r="B3699" s="4">
        <v>584632729</v>
      </c>
      <c r="C3699" s="4" t="s">
        <v>269</v>
      </c>
      <c r="D3699" s="4">
        <v>1000</v>
      </c>
      <c r="E3699" s="4">
        <v>57</v>
      </c>
      <c r="G3699">
        <f t="shared" si="57"/>
        <v>512</v>
      </c>
    </row>
    <row r="3700" spans="2:7" ht="15" hidden="1" x14ac:dyDescent="0.25">
      <c r="B3700" s="4">
        <v>584632730</v>
      </c>
      <c r="C3700" s="4" t="s">
        <v>268</v>
      </c>
      <c r="D3700" s="4">
        <v>242</v>
      </c>
      <c r="E3700" s="4">
        <v>6</v>
      </c>
      <c r="G3700">
        <f t="shared" si="57"/>
        <v>104</v>
      </c>
    </row>
    <row r="3701" spans="2:7" ht="15" hidden="1" x14ac:dyDescent="0.25">
      <c r="B3701" s="4">
        <v>584632730</v>
      </c>
      <c r="C3701" s="4" t="s">
        <v>268</v>
      </c>
      <c r="D3701" s="4">
        <v>242</v>
      </c>
      <c r="E3701" s="4">
        <v>6</v>
      </c>
      <c r="G3701">
        <f t="shared" si="57"/>
        <v>104</v>
      </c>
    </row>
    <row r="3702" spans="2:7" ht="15" hidden="1" x14ac:dyDescent="0.25">
      <c r="B3702" s="4">
        <v>584632730</v>
      </c>
      <c r="C3702" s="4" t="s">
        <v>268</v>
      </c>
      <c r="D3702" s="4">
        <v>243</v>
      </c>
      <c r="E3702" s="4">
        <v>9</v>
      </c>
      <c r="G3702">
        <f t="shared" si="57"/>
        <v>128</v>
      </c>
    </row>
    <row r="3703" spans="2:7" ht="15" hidden="1" x14ac:dyDescent="0.25">
      <c r="B3703" s="4">
        <v>584632730</v>
      </c>
      <c r="C3703" s="4" t="s">
        <v>268</v>
      </c>
      <c r="D3703" s="4">
        <v>243</v>
      </c>
      <c r="E3703" s="4">
        <v>9</v>
      </c>
      <c r="G3703">
        <f t="shared" si="57"/>
        <v>128</v>
      </c>
    </row>
    <row r="3704" spans="2:7" ht="15" hidden="1" x14ac:dyDescent="0.25">
      <c r="B3704" s="4">
        <v>584632730</v>
      </c>
      <c r="C3704" s="4" t="s">
        <v>268</v>
      </c>
      <c r="D3704" s="4">
        <v>244</v>
      </c>
      <c r="E3704" s="4">
        <v>7</v>
      </c>
      <c r="G3704">
        <f t="shared" si="57"/>
        <v>112</v>
      </c>
    </row>
    <row r="3705" spans="2:7" ht="15" hidden="1" x14ac:dyDescent="0.25">
      <c r="B3705" s="4">
        <v>584632730</v>
      </c>
      <c r="C3705" s="4" t="s">
        <v>268</v>
      </c>
      <c r="D3705" s="4">
        <v>244</v>
      </c>
      <c r="E3705" s="4">
        <v>7</v>
      </c>
      <c r="G3705">
        <f t="shared" si="57"/>
        <v>112</v>
      </c>
    </row>
    <row r="3706" spans="2:7" ht="15" hidden="1" x14ac:dyDescent="0.25">
      <c r="B3706" s="4">
        <v>584632730</v>
      </c>
      <c r="C3706" s="4" t="s">
        <v>268</v>
      </c>
      <c r="D3706" s="4">
        <v>245</v>
      </c>
      <c r="E3706" s="4">
        <v>7</v>
      </c>
      <c r="G3706">
        <f t="shared" si="57"/>
        <v>112</v>
      </c>
    </row>
    <row r="3707" spans="2:7" ht="15" hidden="1" x14ac:dyDescent="0.25">
      <c r="B3707" s="4">
        <v>584632730</v>
      </c>
      <c r="C3707" s="4" t="s">
        <v>268</v>
      </c>
      <c r="D3707" s="4">
        <v>245</v>
      </c>
      <c r="E3707" s="4">
        <v>7</v>
      </c>
      <c r="G3707">
        <f t="shared" si="57"/>
        <v>112</v>
      </c>
    </row>
    <row r="3708" spans="2:7" ht="15" hidden="1" x14ac:dyDescent="0.25">
      <c r="B3708" s="4">
        <v>584632730</v>
      </c>
      <c r="C3708" s="4" t="s">
        <v>268</v>
      </c>
      <c r="D3708" s="4">
        <v>246</v>
      </c>
      <c r="E3708" s="4">
        <v>7</v>
      </c>
      <c r="G3708">
        <f t="shared" si="57"/>
        <v>112</v>
      </c>
    </row>
    <row r="3709" spans="2:7" ht="15" hidden="1" x14ac:dyDescent="0.25">
      <c r="B3709" s="4">
        <v>584632730</v>
      </c>
      <c r="C3709" s="4" t="s">
        <v>268</v>
      </c>
      <c r="D3709" s="4">
        <v>246</v>
      </c>
      <c r="E3709" s="4">
        <v>7</v>
      </c>
      <c r="G3709">
        <f t="shared" si="57"/>
        <v>112</v>
      </c>
    </row>
    <row r="3710" spans="2:7" ht="15" hidden="1" x14ac:dyDescent="0.25">
      <c r="B3710" s="4">
        <v>584632730</v>
      </c>
      <c r="C3710" s="4" t="s">
        <v>269</v>
      </c>
      <c r="D3710" s="4">
        <v>1001</v>
      </c>
      <c r="E3710" s="4">
        <v>57</v>
      </c>
      <c r="G3710">
        <f t="shared" si="57"/>
        <v>512</v>
      </c>
    </row>
    <row r="3711" spans="2:7" ht="15" hidden="1" x14ac:dyDescent="0.25">
      <c r="B3711" s="4">
        <v>584632731</v>
      </c>
      <c r="C3711" s="4" t="s">
        <v>269</v>
      </c>
      <c r="D3711" s="4">
        <v>1002</v>
      </c>
      <c r="E3711" s="4">
        <v>57</v>
      </c>
      <c r="G3711">
        <f t="shared" si="57"/>
        <v>512</v>
      </c>
    </row>
    <row r="3712" spans="2:7" ht="15" hidden="1" x14ac:dyDescent="0.25">
      <c r="B3712" s="4">
        <v>584632732</v>
      </c>
      <c r="C3712" s="4" t="s">
        <v>268</v>
      </c>
      <c r="D3712" s="4">
        <v>247</v>
      </c>
      <c r="E3712" s="4">
        <v>7</v>
      </c>
      <c r="G3712">
        <f t="shared" si="57"/>
        <v>112</v>
      </c>
    </row>
    <row r="3713" spans="2:7" ht="15" hidden="1" x14ac:dyDescent="0.25">
      <c r="B3713" s="4">
        <v>584632732</v>
      </c>
      <c r="C3713" s="4" t="s">
        <v>268</v>
      </c>
      <c r="D3713" s="4">
        <v>247</v>
      </c>
      <c r="E3713" s="4">
        <v>7</v>
      </c>
      <c r="G3713">
        <f t="shared" si="57"/>
        <v>112</v>
      </c>
    </row>
    <row r="3714" spans="2:7" ht="15" hidden="1" x14ac:dyDescent="0.25">
      <c r="B3714" s="4">
        <v>584632732</v>
      </c>
      <c r="C3714" s="4" t="s">
        <v>268</v>
      </c>
      <c r="D3714" s="4">
        <v>248</v>
      </c>
      <c r="E3714" s="4">
        <v>5</v>
      </c>
      <c r="G3714">
        <f t="shared" si="57"/>
        <v>96</v>
      </c>
    </row>
    <row r="3715" spans="2:7" ht="15" hidden="1" x14ac:dyDescent="0.25">
      <c r="B3715" s="4">
        <v>584632732</v>
      </c>
      <c r="C3715" s="4" t="s">
        <v>268</v>
      </c>
      <c r="D3715" s="4">
        <v>248</v>
      </c>
      <c r="E3715" s="4">
        <v>5</v>
      </c>
      <c r="G3715">
        <f t="shared" si="57"/>
        <v>96</v>
      </c>
    </row>
    <row r="3716" spans="2:7" ht="15" hidden="1" x14ac:dyDescent="0.25">
      <c r="B3716" s="4">
        <v>584632732</v>
      </c>
      <c r="C3716" s="4" t="s">
        <v>268</v>
      </c>
      <c r="D3716" s="4">
        <v>249</v>
      </c>
      <c r="E3716" s="4">
        <v>7</v>
      </c>
      <c r="G3716">
        <f t="shared" ref="G3716:G3779" si="58">(E3716+7)*8</f>
        <v>112</v>
      </c>
    </row>
    <row r="3717" spans="2:7" ht="15" hidden="1" x14ac:dyDescent="0.25">
      <c r="B3717" s="4">
        <v>584632732</v>
      </c>
      <c r="C3717" s="4" t="s">
        <v>268</v>
      </c>
      <c r="D3717" s="4">
        <v>249</v>
      </c>
      <c r="E3717" s="4">
        <v>7</v>
      </c>
      <c r="G3717">
        <f t="shared" si="58"/>
        <v>112</v>
      </c>
    </row>
    <row r="3718" spans="2:7" ht="15" hidden="1" x14ac:dyDescent="0.25">
      <c r="B3718" s="4">
        <v>584632732</v>
      </c>
      <c r="C3718" s="4" t="s">
        <v>269</v>
      </c>
      <c r="D3718" s="4">
        <v>1003</v>
      </c>
      <c r="E3718" s="4">
        <v>57</v>
      </c>
      <c r="G3718">
        <f t="shared" si="58"/>
        <v>512</v>
      </c>
    </row>
    <row r="3719" spans="2:7" ht="15" hidden="1" x14ac:dyDescent="0.25">
      <c r="B3719" s="4">
        <v>584632733</v>
      </c>
      <c r="C3719" s="4" t="s">
        <v>269</v>
      </c>
      <c r="D3719" s="4">
        <v>1004</v>
      </c>
      <c r="E3719" s="4">
        <v>57</v>
      </c>
      <c r="G3719">
        <f t="shared" si="58"/>
        <v>512</v>
      </c>
    </row>
    <row r="3720" spans="2:7" ht="15" hidden="1" x14ac:dyDescent="0.25">
      <c r="B3720" s="4">
        <v>584632734</v>
      </c>
      <c r="C3720" s="4" t="s">
        <v>269</v>
      </c>
      <c r="D3720" s="4">
        <v>1005</v>
      </c>
      <c r="E3720" s="4">
        <v>57</v>
      </c>
      <c r="G3720">
        <f t="shared" si="58"/>
        <v>512</v>
      </c>
    </row>
    <row r="3721" spans="2:7" ht="15" hidden="1" x14ac:dyDescent="0.25">
      <c r="B3721" s="4">
        <v>584632735</v>
      </c>
      <c r="C3721" s="4" t="s">
        <v>269</v>
      </c>
      <c r="D3721" s="4">
        <v>1006</v>
      </c>
      <c r="E3721" s="4">
        <v>57</v>
      </c>
      <c r="G3721">
        <f t="shared" si="58"/>
        <v>512</v>
      </c>
    </row>
    <row r="3722" spans="2:7" ht="15" hidden="1" x14ac:dyDescent="0.25">
      <c r="B3722" s="4">
        <v>584632736</v>
      </c>
      <c r="C3722" s="4" t="s">
        <v>269</v>
      </c>
      <c r="D3722" s="4">
        <v>1007</v>
      </c>
      <c r="E3722" s="4">
        <v>57</v>
      </c>
      <c r="G3722">
        <f t="shared" si="58"/>
        <v>512</v>
      </c>
    </row>
    <row r="3723" spans="2:7" ht="15" hidden="1" x14ac:dyDescent="0.25">
      <c r="B3723" s="4">
        <v>584632737</v>
      </c>
      <c r="C3723" s="4" t="s">
        <v>269</v>
      </c>
      <c r="D3723" s="4">
        <v>1008</v>
      </c>
      <c r="E3723" s="4">
        <v>57</v>
      </c>
      <c r="G3723">
        <f t="shared" si="58"/>
        <v>512</v>
      </c>
    </row>
    <row r="3724" spans="2:7" ht="15" hidden="1" x14ac:dyDescent="0.25">
      <c r="B3724" s="4">
        <v>584632738</v>
      </c>
      <c r="C3724" s="4" t="s">
        <v>269</v>
      </c>
      <c r="D3724" s="4">
        <v>1009</v>
      </c>
      <c r="E3724" s="4">
        <v>57</v>
      </c>
      <c r="G3724">
        <f t="shared" si="58"/>
        <v>512</v>
      </c>
    </row>
    <row r="3725" spans="2:7" ht="15" hidden="1" x14ac:dyDescent="0.25">
      <c r="B3725" s="4">
        <v>584632738</v>
      </c>
      <c r="C3725" s="4" t="s">
        <v>272</v>
      </c>
      <c r="D3725" s="4">
        <v>89</v>
      </c>
      <c r="E3725" s="4">
        <v>207</v>
      </c>
      <c r="G3725">
        <f t="shared" si="58"/>
        <v>1712</v>
      </c>
    </row>
    <row r="3726" spans="2:7" ht="15" hidden="1" x14ac:dyDescent="0.25">
      <c r="B3726" s="4">
        <v>584632739</v>
      </c>
      <c r="C3726" s="4" t="s">
        <v>269</v>
      </c>
      <c r="D3726" s="4">
        <v>1010</v>
      </c>
      <c r="E3726" s="4">
        <v>57</v>
      </c>
      <c r="G3726">
        <f t="shared" si="58"/>
        <v>512</v>
      </c>
    </row>
    <row r="3727" spans="2:7" ht="15" hidden="1" x14ac:dyDescent="0.25">
      <c r="B3727" s="4">
        <v>584632740</v>
      </c>
      <c r="C3727" s="4" t="s">
        <v>269</v>
      </c>
      <c r="D3727" s="4">
        <v>1011</v>
      </c>
      <c r="E3727" s="4">
        <v>57</v>
      </c>
      <c r="G3727">
        <f t="shared" si="58"/>
        <v>512</v>
      </c>
    </row>
    <row r="3728" spans="2:7" ht="15" hidden="1" x14ac:dyDescent="0.25">
      <c r="B3728" s="4">
        <v>584632741</v>
      </c>
      <c r="C3728" s="4" t="s">
        <v>269</v>
      </c>
      <c r="D3728" s="4">
        <v>1012</v>
      </c>
      <c r="E3728" s="4">
        <v>57</v>
      </c>
      <c r="G3728">
        <f t="shared" si="58"/>
        <v>512</v>
      </c>
    </row>
    <row r="3729" spans="1:7" ht="15" hidden="1" x14ac:dyDescent="0.25">
      <c r="B3729" s="4">
        <v>584632742</v>
      </c>
      <c r="C3729" s="4" t="s">
        <v>269</v>
      </c>
      <c r="D3729" s="4">
        <v>1013</v>
      </c>
      <c r="E3729" s="4">
        <v>57</v>
      </c>
      <c r="G3729">
        <f t="shared" si="58"/>
        <v>512</v>
      </c>
    </row>
    <row r="3730" spans="1:7" ht="15" hidden="1" x14ac:dyDescent="0.25">
      <c r="B3730" s="4">
        <v>584632743</v>
      </c>
      <c r="C3730" s="4" t="s">
        <v>269</v>
      </c>
      <c r="D3730" s="4">
        <v>1014</v>
      </c>
      <c r="E3730" s="4">
        <v>57</v>
      </c>
      <c r="G3730">
        <f t="shared" si="58"/>
        <v>512</v>
      </c>
    </row>
    <row r="3731" spans="1:7" ht="15" hidden="1" x14ac:dyDescent="0.25">
      <c r="B3731" s="4">
        <v>584632744</v>
      </c>
      <c r="C3731" s="4" t="s">
        <v>269</v>
      </c>
      <c r="D3731" s="4">
        <v>1015</v>
      </c>
      <c r="E3731" s="4">
        <v>57</v>
      </c>
      <c r="G3731">
        <f t="shared" si="58"/>
        <v>512</v>
      </c>
    </row>
    <row r="3732" spans="1:7" ht="15" hidden="1" x14ac:dyDescent="0.25">
      <c r="B3732" s="4">
        <v>584632745</v>
      </c>
      <c r="C3732" s="4" t="s">
        <v>269</v>
      </c>
      <c r="D3732" s="4">
        <v>1016</v>
      </c>
      <c r="E3732" s="4">
        <v>57</v>
      </c>
      <c r="G3732">
        <f t="shared" si="58"/>
        <v>512</v>
      </c>
    </row>
    <row r="3733" spans="1:7" ht="15" hidden="1" x14ac:dyDescent="0.25">
      <c r="B3733" s="4">
        <v>584632746</v>
      </c>
      <c r="C3733" s="4" t="s">
        <v>269</v>
      </c>
      <c r="D3733" s="4">
        <v>1017</v>
      </c>
      <c r="E3733" s="4">
        <v>57</v>
      </c>
      <c r="G3733">
        <f t="shared" si="58"/>
        <v>512</v>
      </c>
    </row>
    <row r="3734" spans="1:7" ht="15" hidden="1" x14ac:dyDescent="0.25">
      <c r="B3734" s="4">
        <v>584632747</v>
      </c>
      <c r="C3734" s="4" t="s">
        <v>269</v>
      </c>
      <c r="D3734" s="4">
        <v>1018</v>
      </c>
      <c r="E3734" s="4">
        <v>57</v>
      </c>
      <c r="G3734">
        <f t="shared" si="58"/>
        <v>512</v>
      </c>
    </row>
    <row r="3735" spans="1:7" ht="15" hidden="1" x14ac:dyDescent="0.25">
      <c r="B3735" s="4">
        <v>584632748</v>
      </c>
      <c r="C3735" s="4" t="s">
        <v>269</v>
      </c>
      <c r="D3735" s="4">
        <v>1019</v>
      </c>
      <c r="E3735" s="4">
        <v>57</v>
      </c>
      <c r="G3735">
        <f t="shared" si="58"/>
        <v>512</v>
      </c>
    </row>
    <row r="3736" spans="1:7" ht="15" x14ac:dyDescent="0.25">
      <c r="A3736">
        <f>B3736-B3526</f>
        <v>160</v>
      </c>
      <c r="B3736" s="4">
        <v>584632748</v>
      </c>
      <c r="C3736" s="4" t="s">
        <v>270</v>
      </c>
      <c r="D3736" s="4">
        <v>3</v>
      </c>
      <c r="E3736" s="4">
        <v>1100</v>
      </c>
      <c r="G3736">
        <f t="shared" si="58"/>
        <v>8856</v>
      </c>
    </row>
    <row r="3737" spans="1:7" ht="15" x14ac:dyDescent="0.25">
      <c r="A3737">
        <f>B3737-B3527</f>
        <v>160</v>
      </c>
      <c r="B3737" s="4">
        <v>584632748</v>
      </c>
      <c r="C3737" s="4" t="s">
        <v>271</v>
      </c>
      <c r="D3737" s="4">
        <v>3</v>
      </c>
      <c r="E3737" s="4">
        <v>1100</v>
      </c>
      <c r="G3737">
        <f t="shared" si="58"/>
        <v>8856</v>
      </c>
    </row>
    <row r="3738" spans="1:7" ht="15" hidden="1" x14ac:dyDescent="0.25">
      <c r="B3738" s="4">
        <v>584632749</v>
      </c>
      <c r="C3738" s="4" t="s">
        <v>269</v>
      </c>
      <c r="D3738" s="4">
        <v>1020</v>
      </c>
      <c r="E3738" s="4">
        <v>57</v>
      </c>
      <c r="G3738">
        <f t="shared" si="58"/>
        <v>512</v>
      </c>
    </row>
    <row r="3739" spans="1:7" ht="15" hidden="1" x14ac:dyDescent="0.25">
      <c r="B3739" s="4">
        <v>584632749</v>
      </c>
      <c r="C3739" s="4" t="s">
        <v>272</v>
      </c>
      <c r="D3739" s="4">
        <v>90</v>
      </c>
      <c r="E3739" s="4">
        <v>211</v>
      </c>
      <c r="G3739">
        <f t="shared" si="58"/>
        <v>1744</v>
      </c>
    </row>
    <row r="3740" spans="1:7" ht="15" hidden="1" x14ac:dyDescent="0.25">
      <c r="B3740" s="4">
        <v>584632750</v>
      </c>
      <c r="C3740" s="4" t="s">
        <v>269</v>
      </c>
      <c r="D3740" s="4">
        <v>1021</v>
      </c>
      <c r="E3740" s="4">
        <v>57</v>
      </c>
      <c r="G3740">
        <f t="shared" si="58"/>
        <v>512</v>
      </c>
    </row>
    <row r="3741" spans="1:7" ht="15" hidden="1" x14ac:dyDescent="0.25">
      <c r="B3741" s="4">
        <v>584632751</v>
      </c>
      <c r="C3741" s="4" t="s">
        <v>269</v>
      </c>
      <c r="D3741" s="4">
        <v>1022</v>
      </c>
      <c r="E3741" s="4">
        <v>57</v>
      </c>
      <c r="G3741">
        <f t="shared" si="58"/>
        <v>512</v>
      </c>
    </row>
    <row r="3742" spans="1:7" ht="15" hidden="1" x14ac:dyDescent="0.25">
      <c r="B3742" s="4">
        <v>584632752</v>
      </c>
      <c r="C3742" s="4" t="s">
        <v>269</v>
      </c>
      <c r="D3742" s="4">
        <v>1023</v>
      </c>
      <c r="E3742" s="4">
        <v>57</v>
      </c>
      <c r="G3742">
        <f t="shared" si="58"/>
        <v>512</v>
      </c>
    </row>
    <row r="3743" spans="1:7" ht="15" hidden="1" x14ac:dyDescent="0.25">
      <c r="B3743" s="4">
        <v>584632753</v>
      </c>
      <c r="C3743" s="4" t="s">
        <v>269</v>
      </c>
      <c r="D3743" s="4">
        <v>1024</v>
      </c>
      <c r="E3743" s="4">
        <v>57</v>
      </c>
      <c r="G3743">
        <f t="shared" si="58"/>
        <v>512</v>
      </c>
    </row>
    <row r="3744" spans="1:7" ht="15" hidden="1" x14ac:dyDescent="0.25">
      <c r="B3744" s="4">
        <v>584632754</v>
      </c>
      <c r="C3744" s="4" t="s">
        <v>269</v>
      </c>
      <c r="D3744" s="4">
        <v>1025</v>
      </c>
      <c r="E3744" s="4">
        <v>57</v>
      </c>
      <c r="G3744">
        <f t="shared" si="58"/>
        <v>512</v>
      </c>
    </row>
    <row r="3745" spans="2:7" ht="15" hidden="1" x14ac:dyDescent="0.25">
      <c r="B3745" s="4">
        <v>584632755</v>
      </c>
      <c r="C3745" s="4" t="s">
        <v>269</v>
      </c>
      <c r="D3745" s="4">
        <v>1026</v>
      </c>
      <c r="E3745" s="4">
        <v>57</v>
      </c>
      <c r="G3745">
        <f t="shared" si="58"/>
        <v>512</v>
      </c>
    </row>
    <row r="3746" spans="2:7" ht="15" hidden="1" x14ac:dyDescent="0.25">
      <c r="B3746" s="4">
        <v>584632756</v>
      </c>
      <c r="C3746" s="4" t="s">
        <v>269</v>
      </c>
      <c r="D3746" s="4">
        <v>1027</v>
      </c>
      <c r="E3746" s="4">
        <v>57</v>
      </c>
      <c r="G3746">
        <f t="shared" si="58"/>
        <v>512</v>
      </c>
    </row>
    <row r="3747" spans="2:7" ht="15" hidden="1" x14ac:dyDescent="0.25">
      <c r="B3747" s="4">
        <v>584632757</v>
      </c>
      <c r="C3747" s="4" t="s">
        <v>269</v>
      </c>
      <c r="D3747" s="4">
        <v>1028</v>
      </c>
      <c r="E3747" s="4">
        <v>57</v>
      </c>
      <c r="G3747">
        <f t="shared" si="58"/>
        <v>512</v>
      </c>
    </row>
    <row r="3748" spans="2:7" ht="15" hidden="1" x14ac:dyDescent="0.25">
      <c r="B3748" s="4">
        <v>584632758</v>
      </c>
      <c r="C3748" s="4" t="s">
        <v>269</v>
      </c>
      <c r="D3748" s="4">
        <v>1029</v>
      </c>
      <c r="E3748" s="4">
        <v>57</v>
      </c>
      <c r="G3748">
        <f t="shared" si="58"/>
        <v>512</v>
      </c>
    </row>
    <row r="3749" spans="2:7" ht="15" hidden="1" x14ac:dyDescent="0.25">
      <c r="B3749" s="4">
        <v>584632758</v>
      </c>
      <c r="C3749" s="4" t="s">
        <v>272</v>
      </c>
      <c r="D3749" s="4">
        <v>91</v>
      </c>
      <c r="E3749" s="4">
        <v>209</v>
      </c>
      <c r="G3749">
        <f t="shared" si="58"/>
        <v>1728</v>
      </c>
    </row>
    <row r="3750" spans="2:7" ht="15" hidden="1" x14ac:dyDescent="0.25">
      <c r="B3750" s="4">
        <v>584632759</v>
      </c>
      <c r="C3750" s="4" t="s">
        <v>269</v>
      </c>
      <c r="D3750" s="4">
        <v>1030</v>
      </c>
      <c r="E3750" s="4">
        <v>57</v>
      </c>
      <c r="G3750">
        <f t="shared" si="58"/>
        <v>512</v>
      </c>
    </row>
    <row r="3751" spans="2:7" ht="15" hidden="1" x14ac:dyDescent="0.25">
      <c r="B3751" s="4">
        <v>584632760</v>
      </c>
      <c r="C3751" s="4" t="s">
        <v>269</v>
      </c>
      <c r="D3751" s="4">
        <v>1031</v>
      </c>
      <c r="E3751" s="4">
        <v>57</v>
      </c>
      <c r="G3751">
        <f t="shared" si="58"/>
        <v>512</v>
      </c>
    </row>
    <row r="3752" spans="2:7" ht="15" hidden="1" x14ac:dyDescent="0.25">
      <c r="B3752" s="4">
        <v>584632761</v>
      </c>
      <c r="C3752" s="4" t="s">
        <v>269</v>
      </c>
      <c r="D3752" s="4">
        <v>1032</v>
      </c>
      <c r="E3752" s="4">
        <v>57</v>
      </c>
      <c r="G3752">
        <f t="shared" si="58"/>
        <v>512</v>
      </c>
    </row>
    <row r="3753" spans="2:7" ht="15" hidden="1" x14ac:dyDescent="0.25">
      <c r="B3753" s="4">
        <v>584632762</v>
      </c>
      <c r="C3753" s="4" t="s">
        <v>269</v>
      </c>
      <c r="D3753" s="4">
        <v>1033</v>
      </c>
      <c r="E3753" s="4">
        <v>57</v>
      </c>
      <c r="G3753">
        <f t="shared" si="58"/>
        <v>512</v>
      </c>
    </row>
    <row r="3754" spans="2:7" ht="15" hidden="1" x14ac:dyDescent="0.25">
      <c r="B3754" s="4">
        <v>584632763</v>
      </c>
      <c r="C3754" s="4" t="s">
        <v>269</v>
      </c>
      <c r="D3754" s="4">
        <v>1034</v>
      </c>
      <c r="E3754" s="4">
        <v>57</v>
      </c>
      <c r="G3754">
        <f t="shared" si="58"/>
        <v>512</v>
      </c>
    </row>
    <row r="3755" spans="2:7" ht="15" hidden="1" x14ac:dyDescent="0.25">
      <c r="B3755" s="4">
        <v>584632764</v>
      </c>
      <c r="C3755" s="4" t="s">
        <v>269</v>
      </c>
      <c r="D3755" s="4">
        <v>1035</v>
      </c>
      <c r="E3755" s="4">
        <v>57</v>
      </c>
      <c r="G3755">
        <f t="shared" si="58"/>
        <v>512</v>
      </c>
    </row>
    <row r="3756" spans="2:7" ht="15" hidden="1" x14ac:dyDescent="0.25">
      <c r="B3756" s="4">
        <v>584632765</v>
      </c>
      <c r="C3756" s="4" t="s">
        <v>269</v>
      </c>
      <c r="D3756" s="4">
        <v>1036</v>
      </c>
      <c r="E3756" s="4">
        <v>57</v>
      </c>
      <c r="G3756">
        <f t="shared" si="58"/>
        <v>512</v>
      </c>
    </row>
    <row r="3757" spans="2:7" ht="15" hidden="1" x14ac:dyDescent="0.25">
      <c r="B3757" s="4">
        <v>584632766</v>
      </c>
      <c r="C3757" s="4" t="s">
        <v>269</v>
      </c>
      <c r="D3757" s="4">
        <v>1037</v>
      </c>
      <c r="E3757" s="4">
        <v>57</v>
      </c>
      <c r="G3757">
        <f t="shared" si="58"/>
        <v>512</v>
      </c>
    </row>
    <row r="3758" spans="2:7" ht="15" hidden="1" x14ac:dyDescent="0.25">
      <c r="B3758" s="4">
        <v>584632767</v>
      </c>
      <c r="C3758" s="4" t="s">
        <v>269</v>
      </c>
      <c r="D3758" s="4">
        <v>1038</v>
      </c>
      <c r="E3758" s="4">
        <v>57</v>
      </c>
      <c r="G3758">
        <f t="shared" si="58"/>
        <v>512</v>
      </c>
    </row>
    <row r="3759" spans="2:7" ht="15" hidden="1" x14ac:dyDescent="0.25">
      <c r="B3759" s="4">
        <v>584632768</v>
      </c>
      <c r="C3759" s="4" t="s">
        <v>269</v>
      </c>
      <c r="D3759" s="4">
        <v>1039</v>
      </c>
      <c r="E3759" s="4">
        <v>57</v>
      </c>
      <c r="G3759">
        <f t="shared" si="58"/>
        <v>512</v>
      </c>
    </row>
    <row r="3760" spans="2:7" ht="15" hidden="1" x14ac:dyDescent="0.25">
      <c r="B3760" s="4">
        <v>584632768</v>
      </c>
      <c r="C3760" s="4" t="s">
        <v>272</v>
      </c>
      <c r="D3760" s="4">
        <v>92</v>
      </c>
      <c r="E3760" s="4">
        <v>211</v>
      </c>
      <c r="G3760">
        <f t="shared" si="58"/>
        <v>1744</v>
      </c>
    </row>
    <row r="3761" spans="2:7" ht="15" hidden="1" x14ac:dyDescent="0.25">
      <c r="B3761" s="4">
        <v>584632769</v>
      </c>
      <c r="C3761" s="4" t="s">
        <v>269</v>
      </c>
      <c r="D3761" s="4">
        <v>1040</v>
      </c>
      <c r="E3761" s="4">
        <v>57</v>
      </c>
      <c r="G3761">
        <f t="shared" si="58"/>
        <v>512</v>
      </c>
    </row>
    <row r="3762" spans="2:7" ht="15" hidden="1" x14ac:dyDescent="0.25">
      <c r="B3762" s="4">
        <v>584632770</v>
      </c>
      <c r="C3762" s="4" t="s">
        <v>269</v>
      </c>
      <c r="D3762" s="4">
        <v>1041</v>
      </c>
      <c r="E3762" s="4">
        <v>57</v>
      </c>
      <c r="G3762">
        <f t="shared" si="58"/>
        <v>512</v>
      </c>
    </row>
    <row r="3763" spans="2:7" ht="15" hidden="1" x14ac:dyDescent="0.25">
      <c r="B3763" s="4">
        <v>584632771</v>
      </c>
      <c r="C3763" s="4" t="s">
        <v>269</v>
      </c>
      <c r="D3763" s="4">
        <v>1042</v>
      </c>
      <c r="E3763" s="4">
        <v>57</v>
      </c>
      <c r="G3763">
        <f t="shared" si="58"/>
        <v>512</v>
      </c>
    </row>
    <row r="3764" spans="2:7" ht="15" hidden="1" x14ac:dyDescent="0.25">
      <c r="B3764" s="4">
        <v>584632772</v>
      </c>
      <c r="C3764" s="4" t="s">
        <v>269</v>
      </c>
      <c r="D3764" s="4">
        <v>1043</v>
      </c>
      <c r="E3764" s="4">
        <v>57</v>
      </c>
      <c r="G3764">
        <f t="shared" si="58"/>
        <v>512</v>
      </c>
    </row>
    <row r="3765" spans="2:7" ht="15" hidden="1" x14ac:dyDescent="0.25">
      <c r="B3765" s="4">
        <v>584632773</v>
      </c>
      <c r="C3765" s="4" t="s">
        <v>269</v>
      </c>
      <c r="D3765" s="4">
        <v>1044</v>
      </c>
      <c r="E3765" s="4">
        <v>57</v>
      </c>
      <c r="G3765">
        <f t="shared" si="58"/>
        <v>512</v>
      </c>
    </row>
    <row r="3766" spans="2:7" ht="15" hidden="1" x14ac:dyDescent="0.25">
      <c r="B3766" s="4">
        <v>584632774</v>
      </c>
      <c r="C3766" s="4" t="s">
        <v>269</v>
      </c>
      <c r="D3766" s="4">
        <v>1045</v>
      </c>
      <c r="E3766" s="4">
        <v>57</v>
      </c>
      <c r="G3766">
        <f t="shared" si="58"/>
        <v>512</v>
      </c>
    </row>
    <row r="3767" spans="2:7" ht="15" hidden="1" x14ac:dyDescent="0.25">
      <c r="B3767" s="4">
        <v>584632775</v>
      </c>
      <c r="C3767" s="4" t="s">
        <v>269</v>
      </c>
      <c r="D3767" s="4">
        <v>1046</v>
      </c>
      <c r="E3767" s="4">
        <v>57</v>
      </c>
      <c r="G3767">
        <f t="shared" si="58"/>
        <v>512</v>
      </c>
    </row>
    <row r="3768" spans="2:7" ht="15" hidden="1" x14ac:dyDescent="0.25">
      <c r="B3768" s="4">
        <v>584632776</v>
      </c>
      <c r="C3768" s="4" t="s">
        <v>269</v>
      </c>
      <c r="D3768" s="4">
        <v>1047</v>
      </c>
      <c r="E3768" s="4">
        <v>57</v>
      </c>
      <c r="G3768">
        <f t="shared" si="58"/>
        <v>512</v>
      </c>
    </row>
    <row r="3769" spans="2:7" ht="15" hidden="1" x14ac:dyDescent="0.25">
      <c r="B3769" s="4">
        <v>584632777</v>
      </c>
      <c r="C3769" s="4" t="s">
        <v>269</v>
      </c>
      <c r="D3769" s="4">
        <v>1048</v>
      </c>
      <c r="E3769" s="4">
        <v>57</v>
      </c>
      <c r="G3769">
        <f t="shared" si="58"/>
        <v>512</v>
      </c>
    </row>
    <row r="3770" spans="2:7" ht="15" hidden="1" x14ac:dyDescent="0.25">
      <c r="B3770" s="4">
        <v>584632778</v>
      </c>
      <c r="C3770" s="4" t="s">
        <v>269</v>
      </c>
      <c r="D3770" s="4">
        <v>1049</v>
      </c>
      <c r="E3770" s="4">
        <v>57</v>
      </c>
      <c r="G3770">
        <f t="shared" si="58"/>
        <v>512</v>
      </c>
    </row>
    <row r="3771" spans="2:7" ht="15" hidden="1" x14ac:dyDescent="0.25">
      <c r="B3771" s="4">
        <v>584632778</v>
      </c>
      <c r="C3771" s="4" t="s">
        <v>272</v>
      </c>
      <c r="D3771" s="4">
        <v>93</v>
      </c>
      <c r="E3771" s="4">
        <v>211</v>
      </c>
      <c r="G3771">
        <f t="shared" si="58"/>
        <v>1744</v>
      </c>
    </row>
    <row r="3772" spans="2:7" ht="15" hidden="1" x14ac:dyDescent="0.25">
      <c r="B3772" s="4">
        <v>584632779</v>
      </c>
      <c r="C3772" s="4" t="s">
        <v>269</v>
      </c>
      <c r="D3772" s="4">
        <v>1050</v>
      </c>
      <c r="E3772" s="4">
        <v>57</v>
      </c>
      <c r="G3772">
        <f t="shared" si="58"/>
        <v>512</v>
      </c>
    </row>
    <row r="3773" spans="2:7" ht="15" hidden="1" x14ac:dyDescent="0.25">
      <c r="B3773" s="4">
        <v>584632780</v>
      </c>
      <c r="C3773" s="4" t="s">
        <v>269</v>
      </c>
      <c r="D3773" s="4">
        <v>1051</v>
      </c>
      <c r="E3773" s="4">
        <v>57</v>
      </c>
      <c r="G3773">
        <f t="shared" si="58"/>
        <v>512</v>
      </c>
    </row>
    <row r="3774" spans="2:7" ht="15" hidden="1" x14ac:dyDescent="0.25">
      <c r="B3774" s="4">
        <v>584632781</v>
      </c>
      <c r="C3774" s="4" t="s">
        <v>269</v>
      </c>
      <c r="D3774" s="4">
        <v>1052</v>
      </c>
      <c r="E3774" s="4">
        <v>57</v>
      </c>
      <c r="G3774">
        <f t="shared" si="58"/>
        <v>512</v>
      </c>
    </row>
    <row r="3775" spans="2:7" ht="15" hidden="1" x14ac:dyDescent="0.25">
      <c r="B3775" s="4">
        <v>584632782</v>
      </c>
      <c r="C3775" s="4" t="s">
        <v>269</v>
      </c>
      <c r="D3775" s="4">
        <v>1053</v>
      </c>
      <c r="E3775" s="4">
        <v>57</v>
      </c>
      <c r="G3775">
        <f t="shared" si="58"/>
        <v>512</v>
      </c>
    </row>
    <row r="3776" spans="2:7" ht="15" hidden="1" x14ac:dyDescent="0.25">
      <c r="B3776" s="4">
        <v>584632783</v>
      </c>
      <c r="C3776" s="4" t="s">
        <v>269</v>
      </c>
      <c r="D3776" s="4">
        <v>1054</v>
      </c>
      <c r="E3776" s="4">
        <v>57</v>
      </c>
      <c r="G3776">
        <f t="shared" si="58"/>
        <v>512</v>
      </c>
    </row>
    <row r="3777" spans="2:7" ht="15" hidden="1" x14ac:dyDescent="0.25">
      <c r="B3777" s="4">
        <v>584632784</v>
      </c>
      <c r="C3777" s="4" t="s">
        <v>269</v>
      </c>
      <c r="D3777" s="4">
        <v>1055</v>
      </c>
      <c r="E3777" s="4">
        <v>57</v>
      </c>
      <c r="G3777">
        <f t="shared" si="58"/>
        <v>512</v>
      </c>
    </row>
    <row r="3778" spans="2:7" ht="15" hidden="1" x14ac:dyDescent="0.25">
      <c r="B3778" s="4">
        <v>584632785</v>
      </c>
      <c r="C3778" s="4" t="s">
        <v>269</v>
      </c>
      <c r="D3778" s="4">
        <v>1056</v>
      </c>
      <c r="E3778" s="4">
        <v>57</v>
      </c>
      <c r="G3778">
        <f t="shared" si="58"/>
        <v>512</v>
      </c>
    </row>
    <row r="3779" spans="2:7" ht="15" hidden="1" x14ac:dyDescent="0.25">
      <c r="B3779" s="4">
        <v>584632786</v>
      </c>
      <c r="C3779" s="4" t="s">
        <v>269</v>
      </c>
      <c r="D3779" s="4">
        <v>1057</v>
      </c>
      <c r="E3779" s="4">
        <v>57</v>
      </c>
      <c r="G3779">
        <f t="shared" si="58"/>
        <v>512</v>
      </c>
    </row>
    <row r="3780" spans="2:7" ht="15" hidden="1" x14ac:dyDescent="0.25">
      <c r="B3780" s="4">
        <v>584632787</v>
      </c>
      <c r="C3780" s="4" t="s">
        <v>269</v>
      </c>
      <c r="D3780" s="4">
        <v>1058</v>
      </c>
      <c r="E3780" s="4">
        <v>57</v>
      </c>
      <c r="G3780">
        <f t="shared" ref="G3780:G3843" si="59">(E3780+7)*8</f>
        <v>512</v>
      </c>
    </row>
    <row r="3781" spans="2:7" ht="15" hidden="1" x14ac:dyDescent="0.25">
      <c r="B3781" s="4">
        <v>584632788</v>
      </c>
      <c r="C3781" s="4" t="s">
        <v>269</v>
      </c>
      <c r="D3781" s="4">
        <v>1059</v>
      </c>
      <c r="E3781" s="4">
        <v>57</v>
      </c>
      <c r="G3781">
        <f t="shared" si="59"/>
        <v>512</v>
      </c>
    </row>
    <row r="3782" spans="2:7" ht="15" hidden="1" x14ac:dyDescent="0.25">
      <c r="B3782" s="4">
        <v>584632788</v>
      </c>
      <c r="C3782" s="4" t="s">
        <v>272</v>
      </c>
      <c r="D3782" s="4">
        <v>94</v>
      </c>
      <c r="E3782" s="4">
        <v>211</v>
      </c>
      <c r="G3782">
        <f t="shared" si="59"/>
        <v>1744</v>
      </c>
    </row>
    <row r="3783" spans="2:7" ht="15" hidden="1" x14ac:dyDescent="0.25">
      <c r="B3783" s="4">
        <v>584632789</v>
      </c>
      <c r="C3783" s="4" t="s">
        <v>269</v>
      </c>
      <c r="D3783" s="4">
        <v>1060</v>
      </c>
      <c r="E3783" s="4">
        <v>57</v>
      </c>
      <c r="G3783">
        <f t="shared" si="59"/>
        <v>512</v>
      </c>
    </row>
    <row r="3784" spans="2:7" ht="15" hidden="1" x14ac:dyDescent="0.25">
      <c r="B3784" s="4">
        <v>584632790</v>
      </c>
      <c r="C3784" s="4" t="s">
        <v>269</v>
      </c>
      <c r="D3784" s="4">
        <v>1061</v>
      </c>
      <c r="E3784" s="4">
        <v>57</v>
      </c>
      <c r="G3784">
        <f t="shared" si="59"/>
        <v>512</v>
      </c>
    </row>
    <row r="3785" spans="2:7" ht="15" hidden="1" x14ac:dyDescent="0.25">
      <c r="B3785" s="4">
        <v>584632791</v>
      </c>
      <c r="C3785" s="4" t="s">
        <v>269</v>
      </c>
      <c r="D3785" s="4">
        <v>1062</v>
      </c>
      <c r="E3785" s="4">
        <v>57</v>
      </c>
      <c r="G3785">
        <f t="shared" si="59"/>
        <v>512</v>
      </c>
    </row>
    <row r="3786" spans="2:7" ht="15" hidden="1" x14ac:dyDescent="0.25">
      <c r="B3786" s="4">
        <v>584632792</v>
      </c>
      <c r="C3786" s="4" t="s">
        <v>269</v>
      </c>
      <c r="D3786" s="4">
        <v>1063</v>
      </c>
      <c r="E3786" s="4">
        <v>57</v>
      </c>
      <c r="G3786">
        <f t="shared" si="59"/>
        <v>512</v>
      </c>
    </row>
    <row r="3787" spans="2:7" ht="15" hidden="1" x14ac:dyDescent="0.25">
      <c r="B3787" s="4">
        <v>584632793</v>
      </c>
      <c r="C3787" s="4" t="s">
        <v>269</v>
      </c>
      <c r="D3787" s="4">
        <v>1064</v>
      </c>
      <c r="E3787" s="4">
        <v>57</v>
      </c>
      <c r="G3787">
        <f t="shared" si="59"/>
        <v>512</v>
      </c>
    </row>
    <row r="3788" spans="2:7" ht="15" hidden="1" x14ac:dyDescent="0.25">
      <c r="B3788" s="4">
        <v>584632794</v>
      </c>
      <c r="C3788" s="4" t="s">
        <v>269</v>
      </c>
      <c r="D3788" s="4">
        <v>1065</v>
      </c>
      <c r="E3788" s="4">
        <v>57</v>
      </c>
      <c r="G3788">
        <f t="shared" si="59"/>
        <v>512</v>
      </c>
    </row>
    <row r="3789" spans="2:7" ht="15" hidden="1" x14ac:dyDescent="0.25">
      <c r="B3789" s="4">
        <v>584632795</v>
      </c>
      <c r="C3789" s="4" t="s">
        <v>269</v>
      </c>
      <c r="D3789" s="4">
        <v>1066</v>
      </c>
      <c r="E3789" s="4">
        <v>57</v>
      </c>
      <c r="G3789">
        <f t="shared" si="59"/>
        <v>512</v>
      </c>
    </row>
    <row r="3790" spans="2:7" ht="15" hidden="1" x14ac:dyDescent="0.25">
      <c r="B3790" s="4">
        <v>584632796</v>
      </c>
      <c r="C3790" s="4" t="s">
        <v>269</v>
      </c>
      <c r="D3790" s="4">
        <v>1067</v>
      </c>
      <c r="E3790" s="4">
        <v>57</v>
      </c>
      <c r="G3790">
        <f t="shared" si="59"/>
        <v>512</v>
      </c>
    </row>
    <row r="3791" spans="2:7" ht="15" hidden="1" x14ac:dyDescent="0.25">
      <c r="B3791" s="4">
        <v>584632797</v>
      </c>
      <c r="C3791" s="4" t="s">
        <v>269</v>
      </c>
      <c r="D3791" s="4">
        <v>1068</v>
      </c>
      <c r="E3791" s="4">
        <v>57</v>
      </c>
      <c r="G3791">
        <f t="shared" si="59"/>
        <v>512</v>
      </c>
    </row>
    <row r="3792" spans="2:7" ht="15" hidden="1" x14ac:dyDescent="0.25">
      <c r="B3792" s="4">
        <v>584632798</v>
      </c>
      <c r="C3792" s="4" t="s">
        <v>269</v>
      </c>
      <c r="D3792" s="4">
        <v>1069</v>
      </c>
      <c r="E3792" s="4">
        <v>57</v>
      </c>
      <c r="G3792">
        <f t="shared" si="59"/>
        <v>512</v>
      </c>
    </row>
    <row r="3793" spans="2:7" ht="15" hidden="1" x14ac:dyDescent="0.25">
      <c r="B3793" s="4">
        <v>584632798</v>
      </c>
      <c r="C3793" s="4" t="s">
        <v>272</v>
      </c>
      <c r="D3793" s="4">
        <v>95</v>
      </c>
      <c r="E3793" s="4">
        <v>207</v>
      </c>
      <c r="G3793">
        <f t="shared" si="59"/>
        <v>1712</v>
      </c>
    </row>
    <row r="3794" spans="2:7" ht="15" hidden="1" x14ac:dyDescent="0.25">
      <c r="B3794" s="4">
        <v>584632799</v>
      </c>
      <c r="C3794" s="4" t="s">
        <v>269</v>
      </c>
      <c r="D3794" s="4">
        <v>1070</v>
      </c>
      <c r="E3794" s="4">
        <v>57</v>
      </c>
      <c r="G3794">
        <f t="shared" si="59"/>
        <v>512</v>
      </c>
    </row>
    <row r="3795" spans="2:7" ht="15" hidden="1" x14ac:dyDescent="0.25">
      <c r="B3795" s="4">
        <v>584632800</v>
      </c>
      <c r="C3795" s="4" t="s">
        <v>269</v>
      </c>
      <c r="D3795" s="4">
        <v>1071</v>
      </c>
      <c r="E3795" s="4">
        <v>57</v>
      </c>
      <c r="G3795">
        <f t="shared" si="59"/>
        <v>512</v>
      </c>
    </row>
    <row r="3796" spans="2:7" ht="15" hidden="1" x14ac:dyDescent="0.25">
      <c r="B3796" s="4">
        <v>584632801</v>
      </c>
      <c r="C3796" s="4" t="s">
        <v>269</v>
      </c>
      <c r="D3796" s="4">
        <v>1072</v>
      </c>
      <c r="E3796" s="4">
        <v>57</v>
      </c>
      <c r="G3796">
        <f t="shared" si="59"/>
        <v>512</v>
      </c>
    </row>
    <row r="3797" spans="2:7" ht="15" hidden="1" x14ac:dyDescent="0.25">
      <c r="B3797" s="4">
        <v>584632802</v>
      </c>
      <c r="C3797" s="4" t="s">
        <v>269</v>
      </c>
      <c r="D3797" s="4">
        <v>1073</v>
      </c>
      <c r="E3797" s="4">
        <v>57</v>
      </c>
      <c r="G3797">
        <f t="shared" si="59"/>
        <v>512</v>
      </c>
    </row>
    <row r="3798" spans="2:7" ht="15" hidden="1" x14ac:dyDescent="0.25">
      <c r="B3798" s="4">
        <v>584632803</v>
      </c>
      <c r="C3798" s="4" t="s">
        <v>269</v>
      </c>
      <c r="D3798" s="4">
        <v>1074</v>
      </c>
      <c r="E3798" s="4">
        <v>57</v>
      </c>
      <c r="G3798">
        <f t="shared" si="59"/>
        <v>512</v>
      </c>
    </row>
    <row r="3799" spans="2:7" ht="15" hidden="1" x14ac:dyDescent="0.25">
      <c r="B3799" s="4">
        <v>584632804</v>
      </c>
      <c r="C3799" s="4" t="s">
        <v>269</v>
      </c>
      <c r="D3799" s="4">
        <v>1075</v>
      </c>
      <c r="E3799" s="4">
        <v>57</v>
      </c>
      <c r="G3799">
        <f t="shared" si="59"/>
        <v>512</v>
      </c>
    </row>
    <row r="3800" spans="2:7" ht="15" hidden="1" x14ac:dyDescent="0.25">
      <c r="B3800" s="4">
        <v>584632805</v>
      </c>
      <c r="C3800" s="4" t="s">
        <v>269</v>
      </c>
      <c r="D3800" s="4">
        <v>1076</v>
      </c>
      <c r="E3800" s="4">
        <v>57</v>
      </c>
      <c r="G3800">
        <f t="shared" si="59"/>
        <v>512</v>
      </c>
    </row>
    <row r="3801" spans="2:7" ht="15" hidden="1" x14ac:dyDescent="0.25">
      <c r="B3801" s="4">
        <v>584632806</v>
      </c>
      <c r="C3801" s="4" t="s">
        <v>269</v>
      </c>
      <c r="D3801" s="4">
        <v>1077</v>
      </c>
      <c r="E3801" s="4">
        <v>57</v>
      </c>
      <c r="G3801">
        <f t="shared" si="59"/>
        <v>512</v>
      </c>
    </row>
    <row r="3802" spans="2:7" ht="15" hidden="1" x14ac:dyDescent="0.25">
      <c r="B3802" s="4">
        <v>584632807</v>
      </c>
      <c r="C3802" s="4" t="s">
        <v>269</v>
      </c>
      <c r="D3802" s="4">
        <v>1078</v>
      </c>
      <c r="E3802" s="4">
        <v>57</v>
      </c>
      <c r="G3802">
        <f t="shared" si="59"/>
        <v>512</v>
      </c>
    </row>
    <row r="3803" spans="2:7" ht="15" hidden="1" x14ac:dyDescent="0.25">
      <c r="B3803" s="4">
        <v>584632808</v>
      </c>
      <c r="C3803" s="4" t="s">
        <v>269</v>
      </c>
      <c r="D3803" s="4">
        <v>1079</v>
      </c>
      <c r="E3803" s="4">
        <v>57</v>
      </c>
      <c r="G3803">
        <f t="shared" si="59"/>
        <v>512</v>
      </c>
    </row>
    <row r="3804" spans="2:7" ht="15" hidden="1" x14ac:dyDescent="0.25">
      <c r="B3804" s="4">
        <v>584632808</v>
      </c>
      <c r="C3804" s="4" t="s">
        <v>272</v>
      </c>
      <c r="D3804" s="4">
        <v>96</v>
      </c>
      <c r="E3804" s="4">
        <v>209</v>
      </c>
      <c r="G3804">
        <f t="shared" si="59"/>
        <v>1728</v>
      </c>
    </row>
    <row r="3805" spans="2:7" ht="15" hidden="1" x14ac:dyDescent="0.25">
      <c r="B3805" s="4">
        <v>584632809</v>
      </c>
      <c r="C3805" s="4" t="s">
        <v>269</v>
      </c>
      <c r="D3805" s="4">
        <v>1080</v>
      </c>
      <c r="E3805" s="4">
        <v>57</v>
      </c>
      <c r="G3805">
        <f t="shared" si="59"/>
        <v>512</v>
      </c>
    </row>
    <row r="3806" spans="2:7" ht="15" hidden="1" x14ac:dyDescent="0.25">
      <c r="B3806" s="4">
        <v>584632810</v>
      </c>
      <c r="C3806" s="4" t="s">
        <v>269</v>
      </c>
      <c r="D3806" s="4">
        <v>1081</v>
      </c>
      <c r="E3806" s="4">
        <v>57</v>
      </c>
      <c r="G3806">
        <f t="shared" si="59"/>
        <v>512</v>
      </c>
    </row>
    <row r="3807" spans="2:7" ht="15" hidden="1" x14ac:dyDescent="0.25">
      <c r="B3807" s="4">
        <v>584632811</v>
      </c>
      <c r="C3807" s="4" t="s">
        <v>269</v>
      </c>
      <c r="D3807" s="4">
        <v>1082</v>
      </c>
      <c r="E3807" s="4">
        <v>57</v>
      </c>
      <c r="G3807">
        <f t="shared" si="59"/>
        <v>512</v>
      </c>
    </row>
    <row r="3808" spans="2:7" ht="15" hidden="1" x14ac:dyDescent="0.25">
      <c r="B3808" s="4">
        <v>584632812</v>
      </c>
      <c r="C3808" s="4" t="s">
        <v>269</v>
      </c>
      <c r="D3808" s="4">
        <v>1083</v>
      </c>
      <c r="E3808" s="4">
        <v>57</v>
      </c>
      <c r="G3808">
        <f t="shared" si="59"/>
        <v>512</v>
      </c>
    </row>
    <row r="3809" spans="2:7" ht="15" hidden="1" x14ac:dyDescent="0.25">
      <c r="B3809" s="4">
        <v>584632813</v>
      </c>
      <c r="C3809" s="4" t="s">
        <v>269</v>
      </c>
      <c r="D3809" s="4">
        <v>1084</v>
      </c>
      <c r="E3809" s="4">
        <v>57</v>
      </c>
      <c r="G3809">
        <f t="shared" si="59"/>
        <v>512</v>
      </c>
    </row>
    <row r="3810" spans="2:7" ht="15" hidden="1" x14ac:dyDescent="0.25">
      <c r="B3810" s="4">
        <v>584632814</v>
      </c>
      <c r="C3810" s="4" t="s">
        <v>269</v>
      </c>
      <c r="D3810" s="4">
        <v>1085</v>
      </c>
      <c r="E3810" s="4">
        <v>57</v>
      </c>
      <c r="G3810">
        <f t="shared" si="59"/>
        <v>512</v>
      </c>
    </row>
    <row r="3811" spans="2:7" ht="15" hidden="1" x14ac:dyDescent="0.25">
      <c r="B3811" s="4">
        <v>584632815</v>
      </c>
      <c r="C3811" s="4" t="s">
        <v>269</v>
      </c>
      <c r="D3811" s="4">
        <v>1086</v>
      </c>
      <c r="E3811" s="4">
        <v>57</v>
      </c>
      <c r="G3811">
        <f t="shared" si="59"/>
        <v>512</v>
      </c>
    </row>
    <row r="3812" spans="2:7" ht="15" hidden="1" x14ac:dyDescent="0.25">
      <c r="B3812" s="4">
        <v>584632816</v>
      </c>
      <c r="C3812" s="4" t="s">
        <v>269</v>
      </c>
      <c r="D3812" s="4">
        <v>1087</v>
      </c>
      <c r="E3812" s="4">
        <v>57</v>
      </c>
      <c r="G3812">
        <f t="shared" si="59"/>
        <v>512</v>
      </c>
    </row>
    <row r="3813" spans="2:7" ht="15" hidden="1" x14ac:dyDescent="0.25">
      <c r="B3813" s="4">
        <v>584632817</v>
      </c>
      <c r="C3813" s="4" t="s">
        <v>269</v>
      </c>
      <c r="D3813" s="4">
        <v>1088</v>
      </c>
      <c r="E3813" s="4">
        <v>57</v>
      </c>
      <c r="G3813">
        <f t="shared" si="59"/>
        <v>512</v>
      </c>
    </row>
    <row r="3814" spans="2:7" ht="15" hidden="1" x14ac:dyDescent="0.25">
      <c r="B3814" s="4">
        <v>584632818</v>
      </c>
      <c r="C3814" s="4" t="s">
        <v>269</v>
      </c>
      <c r="D3814" s="4">
        <v>1089</v>
      </c>
      <c r="E3814" s="4">
        <v>57</v>
      </c>
      <c r="G3814">
        <f t="shared" si="59"/>
        <v>512</v>
      </c>
    </row>
    <row r="3815" spans="2:7" ht="15" hidden="1" x14ac:dyDescent="0.25">
      <c r="B3815" s="4">
        <v>584632818</v>
      </c>
      <c r="C3815" s="4" t="s">
        <v>272</v>
      </c>
      <c r="D3815" s="4">
        <v>97</v>
      </c>
      <c r="E3815" s="4">
        <v>211</v>
      </c>
      <c r="G3815">
        <f t="shared" si="59"/>
        <v>1744</v>
      </c>
    </row>
    <row r="3816" spans="2:7" ht="15" hidden="1" x14ac:dyDescent="0.25">
      <c r="B3816" s="4">
        <v>584632819</v>
      </c>
      <c r="C3816" s="4" t="s">
        <v>269</v>
      </c>
      <c r="D3816" s="4">
        <v>1090</v>
      </c>
      <c r="E3816" s="4">
        <v>57</v>
      </c>
      <c r="G3816">
        <f t="shared" si="59"/>
        <v>512</v>
      </c>
    </row>
    <row r="3817" spans="2:7" ht="15" hidden="1" x14ac:dyDescent="0.25">
      <c r="B3817" s="4">
        <v>584632820</v>
      </c>
      <c r="C3817" s="4" t="s">
        <v>269</v>
      </c>
      <c r="D3817" s="4">
        <v>1091</v>
      </c>
      <c r="E3817" s="4">
        <v>57</v>
      </c>
      <c r="G3817">
        <f t="shared" si="59"/>
        <v>512</v>
      </c>
    </row>
    <row r="3818" spans="2:7" ht="15" hidden="1" x14ac:dyDescent="0.25">
      <c r="B3818" s="4">
        <v>584632821</v>
      </c>
      <c r="C3818" s="4" t="s">
        <v>269</v>
      </c>
      <c r="D3818" s="4">
        <v>1092</v>
      </c>
      <c r="E3818" s="4">
        <v>57</v>
      </c>
      <c r="G3818">
        <f t="shared" si="59"/>
        <v>512</v>
      </c>
    </row>
    <row r="3819" spans="2:7" ht="15" hidden="1" x14ac:dyDescent="0.25">
      <c r="B3819" s="4">
        <v>584632822</v>
      </c>
      <c r="C3819" s="4" t="s">
        <v>269</v>
      </c>
      <c r="D3819" s="4">
        <v>1093</v>
      </c>
      <c r="E3819" s="4">
        <v>57</v>
      </c>
      <c r="G3819">
        <f t="shared" si="59"/>
        <v>512</v>
      </c>
    </row>
    <row r="3820" spans="2:7" ht="15" hidden="1" x14ac:dyDescent="0.25">
      <c r="B3820" s="4">
        <v>584632823</v>
      </c>
      <c r="C3820" s="4" t="s">
        <v>269</v>
      </c>
      <c r="D3820" s="4">
        <v>1094</v>
      </c>
      <c r="E3820" s="4">
        <v>57</v>
      </c>
      <c r="G3820">
        <f t="shared" si="59"/>
        <v>512</v>
      </c>
    </row>
    <row r="3821" spans="2:7" ht="15" hidden="1" x14ac:dyDescent="0.25">
      <c r="B3821" s="4">
        <v>584632824</v>
      </c>
      <c r="C3821" s="4" t="s">
        <v>269</v>
      </c>
      <c r="D3821" s="4">
        <v>1095</v>
      </c>
      <c r="E3821" s="4">
        <v>57</v>
      </c>
      <c r="G3821">
        <f t="shared" si="59"/>
        <v>512</v>
      </c>
    </row>
    <row r="3822" spans="2:7" ht="15" hidden="1" x14ac:dyDescent="0.25">
      <c r="B3822" s="4">
        <v>584632825</v>
      </c>
      <c r="C3822" s="4" t="s">
        <v>269</v>
      </c>
      <c r="D3822" s="4">
        <v>1096</v>
      </c>
      <c r="E3822" s="4">
        <v>57</v>
      </c>
      <c r="G3822">
        <f t="shared" si="59"/>
        <v>512</v>
      </c>
    </row>
    <row r="3823" spans="2:7" ht="15" hidden="1" x14ac:dyDescent="0.25">
      <c r="B3823" s="4">
        <v>584632826</v>
      </c>
      <c r="C3823" s="4" t="s">
        <v>269</v>
      </c>
      <c r="D3823" s="4">
        <v>1097</v>
      </c>
      <c r="E3823" s="4">
        <v>57</v>
      </c>
      <c r="G3823">
        <f t="shared" si="59"/>
        <v>512</v>
      </c>
    </row>
    <row r="3824" spans="2:7" ht="15" hidden="1" x14ac:dyDescent="0.25">
      <c r="B3824" s="4">
        <v>584632827</v>
      </c>
      <c r="C3824" s="4" t="s">
        <v>269</v>
      </c>
      <c r="D3824" s="4">
        <v>1098</v>
      </c>
      <c r="E3824" s="4">
        <v>57</v>
      </c>
      <c r="G3824">
        <f t="shared" si="59"/>
        <v>512</v>
      </c>
    </row>
    <row r="3825" spans="2:7" ht="15" hidden="1" x14ac:dyDescent="0.25">
      <c r="B3825" s="4">
        <v>584632828</v>
      </c>
      <c r="C3825" s="4" t="s">
        <v>269</v>
      </c>
      <c r="D3825" s="4">
        <v>1099</v>
      </c>
      <c r="E3825" s="4">
        <v>57</v>
      </c>
      <c r="G3825">
        <f t="shared" si="59"/>
        <v>512</v>
      </c>
    </row>
    <row r="3826" spans="2:7" ht="15" hidden="1" x14ac:dyDescent="0.25">
      <c r="B3826" s="4">
        <v>584632828</v>
      </c>
      <c r="C3826" s="4" t="s">
        <v>272</v>
      </c>
      <c r="D3826" s="4">
        <v>98</v>
      </c>
      <c r="E3826" s="4">
        <v>209</v>
      </c>
      <c r="G3826">
        <f t="shared" si="59"/>
        <v>1728</v>
      </c>
    </row>
    <row r="3827" spans="2:7" ht="15" hidden="1" x14ac:dyDescent="0.25">
      <c r="B3827" s="4">
        <v>584632829</v>
      </c>
      <c r="C3827" s="4" t="s">
        <v>269</v>
      </c>
      <c r="D3827" s="4">
        <v>1100</v>
      </c>
      <c r="E3827" s="4">
        <v>57</v>
      </c>
      <c r="G3827">
        <f t="shared" si="59"/>
        <v>512</v>
      </c>
    </row>
    <row r="3828" spans="2:7" ht="15" hidden="1" x14ac:dyDescent="0.25">
      <c r="B3828" s="4">
        <v>584632830</v>
      </c>
      <c r="C3828" s="4" t="s">
        <v>269</v>
      </c>
      <c r="D3828" s="4">
        <v>1101</v>
      </c>
      <c r="E3828" s="4">
        <v>57</v>
      </c>
      <c r="G3828">
        <f t="shared" si="59"/>
        <v>512</v>
      </c>
    </row>
    <row r="3829" spans="2:7" ht="15" hidden="1" x14ac:dyDescent="0.25">
      <c r="B3829" s="4">
        <v>584632831</v>
      </c>
      <c r="C3829" s="4" t="s">
        <v>269</v>
      </c>
      <c r="D3829" s="4">
        <v>1102</v>
      </c>
      <c r="E3829" s="4">
        <v>57</v>
      </c>
      <c r="G3829">
        <f t="shared" si="59"/>
        <v>512</v>
      </c>
    </row>
    <row r="3830" spans="2:7" ht="15" hidden="1" x14ac:dyDescent="0.25">
      <c r="B3830" s="4">
        <v>584632832</v>
      </c>
      <c r="C3830" s="4" t="s">
        <v>268</v>
      </c>
      <c r="D3830" s="4">
        <v>250</v>
      </c>
      <c r="E3830" s="4">
        <v>6</v>
      </c>
      <c r="G3830">
        <f t="shared" si="59"/>
        <v>104</v>
      </c>
    </row>
    <row r="3831" spans="2:7" ht="15" hidden="1" x14ac:dyDescent="0.25">
      <c r="B3831" s="4">
        <v>584632832</v>
      </c>
      <c r="C3831" s="4" t="s">
        <v>268</v>
      </c>
      <c r="D3831" s="4">
        <v>250</v>
      </c>
      <c r="E3831" s="4">
        <v>6</v>
      </c>
      <c r="G3831">
        <f t="shared" si="59"/>
        <v>104</v>
      </c>
    </row>
    <row r="3832" spans="2:7" ht="15" hidden="1" x14ac:dyDescent="0.25">
      <c r="B3832" s="4">
        <v>584632832</v>
      </c>
      <c r="C3832" s="4" t="s">
        <v>268</v>
      </c>
      <c r="D3832" s="4">
        <v>251</v>
      </c>
      <c r="E3832" s="4">
        <v>9</v>
      </c>
      <c r="G3832">
        <f t="shared" si="59"/>
        <v>128</v>
      </c>
    </row>
    <row r="3833" spans="2:7" ht="15" hidden="1" x14ac:dyDescent="0.25">
      <c r="B3833" s="4">
        <v>584632832</v>
      </c>
      <c r="C3833" s="4" t="s">
        <v>268</v>
      </c>
      <c r="D3833" s="4">
        <v>251</v>
      </c>
      <c r="E3833" s="4">
        <v>9</v>
      </c>
      <c r="G3833">
        <f t="shared" si="59"/>
        <v>128</v>
      </c>
    </row>
    <row r="3834" spans="2:7" ht="15" hidden="1" x14ac:dyDescent="0.25">
      <c r="B3834" s="4">
        <v>584632832</v>
      </c>
      <c r="C3834" s="4" t="s">
        <v>268</v>
      </c>
      <c r="D3834" s="4">
        <v>252</v>
      </c>
      <c r="E3834" s="4">
        <v>7</v>
      </c>
      <c r="G3834">
        <f t="shared" si="59"/>
        <v>112</v>
      </c>
    </row>
    <row r="3835" spans="2:7" ht="15" hidden="1" x14ac:dyDescent="0.25">
      <c r="B3835" s="4">
        <v>584632832</v>
      </c>
      <c r="C3835" s="4" t="s">
        <v>268</v>
      </c>
      <c r="D3835" s="4">
        <v>252</v>
      </c>
      <c r="E3835" s="4">
        <v>7</v>
      </c>
      <c r="G3835">
        <f t="shared" si="59"/>
        <v>112</v>
      </c>
    </row>
    <row r="3836" spans="2:7" ht="15" hidden="1" x14ac:dyDescent="0.25">
      <c r="B3836" s="4">
        <v>584632832</v>
      </c>
      <c r="C3836" s="4" t="s">
        <v>268</v>
      </c>
      <c r="D3836" s="4">
        <v>253</v>
      </c>
      <c r="E3836" s="4">
        <v>7</v>
      </c>
      <c r="G3836">
        <f t="shared" si="59"/>
        <v>112</v>
      </c>
    </row>
    <row r="3837" spans="2:7" ht="15" hidden="1" x14ac:dyDescent="0.25">
      <c r="B3837" s="4">
        <v>584632832</v>
      </c>
      <c r="C3837" s="4" t="s">
        <v>268</v>
      </c>
      <c r="D3837" s="4">
        <v>253</v>
      </c>
      <c r="E3837" s="4">
        <v>7</v>
      </c>
      <c r="G3837">
        <f t="shared" si="59"/>
        <v>112</v>
      </c>
    </row>
    <row r="3838" spans="2:7" ht="15" hidden="1" x14ac:dyDescent="0.25">
      <c r="B3838" s="4">
        <v>584632832</v>
      </c>
      <c r="C3838" s="4" t="s">
        <v>268</v>
      </c>
      <c r="D3838" s="4">
        <v>254</v>
      </c>
      <c r="E3838" s="4">
        <v>7</v>
      </c>
      <c r="G3838">
        <f t="shared" si="59"/>
        <v>112</v>
      </c>
    </row>
    <row r="3839" spans="2:7" ht="15" hidden="1" x14ac:dyDescent="0.25">
      <c r="B3839" s="4">
        <v>584632832</v>
      </c>
      <c r="C3839" s="4" t="s">
        <v>268</v>
      </c>
      <c r="D3839" s="4">
        <v>254</v>
      </c>
      <c r="E3839" s="4">
        <v>7</v>
      </c>
      <c r="G3839">
        <f t="shared" si="59"/>
        <v>112</v>
      </c>
    </row>
    <row r="3840" spans="2:7" ht="15" hidden="1" x14ac:dyDescent="0.25">
      <c r="B3840" s="4">
        <v>584632832</v>
      </c>
      <c r="C3840" s="4" t="s">
        <v>269</v>
      </c>
      <c r="D3840" s="4">
        <v>1103</v>
      </c>
      <c r="E3840" s="4">
        <v>57</v>
      </c>
      <c r="G3840">
        <f t="shared" si="59"/>
        <v>512</v>
      </c>
    </row>
    <row r="3841" spans="2:7" ht="15" hidden="1" x14ac:dyDescent="0.25">
      <c r="B3841" s="4">
        <v>584632833</v>
      </c>
      <c r="C3841" s="4" t="s">
        <v>269</v>
      </c>
      <c r="D3841" s="4">
        <v>1104</v>
      </c>
      <c r="E3841" s="4">
        <v>57</v>
      </c>
      <c r="G3841">
        <f t="shared" si="59"/>
        <v>512</v>
      </c>
    </row>
    <row r="3842" spans="2:7" ht="15" hidden="1" x14ac:dyDescent="0.25">
      <c r="B3842" s="4">
        <v>584632834</v>
      </c>
      <c r="C3842" s="4" t="s">
        <v>268</v>
      </c>
      <c r="D3842" s="4">
        <v>255</v>
      </c>
      <c r="E3842" s="4">
        <v>7</v>
      </c>
      <c r="G3842">
        <f t="shared" si="59"/>
        <v>112</v>
      </c>
    </row>
    <row r="3843" spans="2:7" ht="15" hidden="1" x14ac:dyDescent="0.25">
      <c r="B3843" s="4">
        <v>584632834</v>
      </c>
      <c r="C3843" s="4" t="s">
        <v>268</v>
      </c>
      <c r="D3843" s="4">
        <v>255</v>
      </c>
      <c r="E3843" s="4">
        <v>7</v>
      </c>
      <c r="G3843">
        <f t="shared" si="59"/>
        <v>112</v>
      </c>
    </row>
    <row r="3844" spans="2:7" ht="15" hidden="1" x14ac:dyDescent="0.25">
      <c r="B3844" s="4">
        <v>584632834</v>
      </c>
      <c r="C3844" s="4" t="s">
        <v>268</v>
      </c>
      <c r="D3844" s="4">
        <v>256</v>
      </c>
      <c r="E3844" s="4">
        <v>5</v>
      </c>
      <c r="G3844">
        <f t="shared" ref="G3844:G3907" si="60">(E3844+7)*8</f>
        <v>96</v>
      </c>
    </row>
    <row r="3845" spans="2:7" ht="15" hidden="1" x14ac:dyDescent="0.25">
      <c r="B3845" s="4">
        <v>584632834</v>
      </c>
      <c r="C3845" s="4" t="s">
        <v>268</v>
      </c>
      <c r="D3845" s="4">
        <v>256</v>
      </c>
      <c r="E3845" s="4">
        <v>5</v>
      </c>
      <c r="G3845">
        <f t="shared" si="60"/>
        <v>96</v>
      </c>
    </row>
    <row r="3846" spans="2:7" ht="15" hidden="1" x14ac:dyDescent="0.25">
      <c r="B3846" s="4">
        <v>584632834</v>
      </c>
      <c r="C3846" s="4" t="s">
        <v>268</v>
      </c>
      <c r="D3846" s="4">
        <v>257</v>
      </c>
      <c r="E3846" s="4">
        <v>7</v>
      </c>
      <c r="G3846">
        <f t="shared" si="60"/>
        <v>112</v>
      </c>
    </row>
    <row r="3847" spans="2:7" ht="15" hidden="1" x14ac:dyDescent="0.25">
      <c r="B3847" s="4">
        <v>584632834</v>
      </c>
      <c r="C3847" s="4" t="s">
        <v>268</v>
      </c>
      <c r="D3847" s="4">
        <v>257</v>
      </c>
      <c r="E3847" s="4">
        <v>7</v>
      </c>
      <c r="G3847">
        <f t="shared" si="60"/>
        <v>112</v>
      </c>
    </row>
    <row r="3848" spans="2:7" ht="15" hidden="1" x14ac:dyDescent="0.25">
      <c r="B3848" s="4">
        <v>584632834</v>
      </c>
      <c r="C3848" s="4" t="s">
        <v>269</v>
      </c>
      <c r="D3848" s="4">
        <v>1105</v>
      </c>
      <c r="E3848" s="4">
        <v>57</v>
      </c>
      <c r="G3848">
        <f t="shared" si="60"/>
        <v>512</v>
      </c>
    </row>
    <row r="3849" spans="2:7" ht="15" hidden="1" x14ac:dyDescent="0.25">
      <c r="B3849" s="4">
        <v>584632835</v>
      </c>
      <c r="C3849" s="4" t="s">
        <v>269</v>
      </c>
      <c r="D3849" s="4">
        <v>1106</v>
      </c>
      <c r="E3849" s="4">
        <v>57</v>
      </c>
      <c r="G3849">
        <f t="shared" si="60"/>
        <v>512</v>
      </c>
    </row>
    <row r="3850" spans="2:7" ht="15" hidden="1" x14ac:dyDescent="0.25">
      <c r="B3850" s="4">
        <v>584632836</v>
      </c>
      <c r="C3850" s="4" t="s">
        <v>269</v>
      </c>
      <c r="D3850" s="4">
        <v>1107</v>
      </c>
      <c r="E3850" s="4">
        <v>57</v>
      </c>
      <c r="G3850">
        <f t="shared" si="60"/>
        <v>512</v>
      </c>
    </row>
    <row r="3851" spans="2:7" ht="15" hidden="1" x14ac:dyDescent="0.25">
      <c r="B3851" s="4">
        <v>584632837</v>
      </c>
      <c r="C3851" s="4" t="s">
        <v>269</v>
      </c>
      <c r="D3851" s="4">
        <v>1108</v>
      </c>
      <c r="E3851" s="4">
        <v>57</v>
      </c>
      <c r="G3851">
        <f t="shared" si="60"/>
        <v>512</v>
      </c>
    </row>
    <row r="3852" spans="2:7" ht="15" hidden="1" x14ac:dyDescent="0.25">
      <c r="B3852" s="4">
        <v>584632838</v>
      </c>
      <c r="C3852" s="4" t="s">
        <v>269</v>
      </c>
      <c r="D3852" s="4">
        <v>1109</v>
      </c>
      <c r="E3852" s="4">
        <v>57</v>
      </c>
      <c r="G3852">
        <f t="shared" si="60"/>
        <v>512</v>
      </c>
    </row>
    <row r="3853" spans="2:7" ht="15" hidden="1" x14ac:dyDescent="0.25">
      <c r="B3853" s="4">
        <v>584632838</v>
      </c>
      <c r="C3853" s="4" t="s">
        <v>272</v>
      </c>
      <c r="D3853" s="4">
        <v>99</v>
      </c>
      <c r="E3853" s="4">
        <v>211</v>
      </c>
      <c r="G3853">
        <f t="shared" si="60"/>
        <v>1744</v>
      </c>
    </row>
    <row r="3854" spans="2:7" ht="15" hidden="1" x14ac:dyDescent="0.25">
      <c r="B3854" s="4">
        <v>584632839</v>
      </c>
      <c r="C3854" s="4" t="s">
        <v>269</v>
      </c>
      <c r="D3854" s="4">
        <v>1110</v>
      </c>
      <c r="E3854" s="4">
        <v>57</v>
      </c>
      <c r="G3854">
        <f t="shared" si="60"/>
        <v>512</v>
      </c>
    </row>
    <row r="3855" spans="2:7" ht="15" hidden="1" x14ac:dyDescent="0.25">
      <c r="B3855" s="4">
        <v>584632840</v>
      </c>
      <c r="C3855" s="4" t="s">
        <v>269</v>
      </c>
      <c r="D3855" s="4">
        <v>1111</v>
      </c>
      <c r="E3855" s="4">
        <v>57</v>
      </c>
      <c r="G3855">
        <f t="shared" si="60"/>
        <v>512</v>
      </c>
    </row>
    <row r="3856" spans="2:7" ht="15" hidden="1" x14ac:dyDescent="0.25">
      <c r="B3856" s="4">
        <v>584632841</v>
      </c>
      <c r="C3856" s="4" t="s">
        <v>269</v>
      </c>
      <c r="D3856" s="4">
        <v>1112</v>
      </c>
      <c r="E3856" s="4">
        <v>57</v>
      </c>
      <c r="G3856">
        <f t="shared" si="60"/>
        <v>512</v>
      </c>
    </row>
    <row r="3857" spans="2:7" ht="15" hidden="1" x14ac:dyDescent="0.25">
      <c r="B3857" s="4">
        <v>584632842</v>
      </c>
      <c r="C3857" s="4" t="s">
        <v>269</v>
      </c>
      <c r="D3857" s="4">
        <v>1113</v>
      </c>
      <c r="E3857" s="4">
        <v>57</v>
      </c>
      <c r="G3857">
        <f t="shared" si="60"/>
        <v>512</v>
      </c>
    </row>
    <row r="3858" spans="2:7" ht="15" hidden="1" x14ac:dyDescent="0.25">
      <c r="B3858" s="4">
        <v>584632843</v>
      </c>
      <c r="C3858" s="4" t="s">
        <v>269</v>
      </c>
      <c r="D3858" s="4">
        <v>1114</v>
      </c>
      <c r="E3858" s="4">
        <v>57</v>
      </c>
      <c r="G3858">
        <f t="shared" si="60"/>
        <v>512</v>
      </c>
    </row>
    <row r="3859" spans="2:7" ht="15" hidden="1" x14ac:dyDescent="0.25">
      <c r="B3859" s="4">
        <v>584632844</v>
      </c>
      <c r="C3859" s="4" t="s">
        <v>269</v>
      </c>
      <c r="D3859" s="4">
        <v>1115</v>
      </c>
      <c r="E3859" s="4">
        <v>57</v>
      </c>
      <c r="G3859">
        <f t="shared" si="60"/>
        <v>512</v>
      </c>
    </row>
    <row r="3860" spans="2:7" ht="15" hidden="1" x14ac:dyDescent="0.25">
      <c r="B3860" s="4">
        <v>584632845</v>
      </c>
      <c r="C3860" s="4" t="s">
        <v>269</v>
      </c>
      <c r="D3860" s="4">
        <v>1116</v>
      </c>
      <c r="E3860" s="4">
        <v>57</v>
      </c>
      <c r="G3860">
        <f t="shared" si="60"/>
        <v>512</v>
      </c>
    </row>
    <row r="3861" spans="2:7" ht="15" hidden="1" x14ac:dyDescent="0.25">
      <c r="B3861" s="4">
        <v>584632846</v>
      </c>
      <c r="C3861" s="4" t="s">
        <v>269</v>
      </c>
      <c r="D3861" s="4">
        <v>1117</v>
      </c>
      <c r="E3861" s="4">
        <v>57</v>
      </c>
      <c r="G3861">
        <f t="shared" si="60"/>
        <v>512</v>
      </c>
    </row>
    <row r="3862" spans="2:7" ht="15" hidden="1" x14ac:dyDescent="0.25">
      <c r="B3862" s="4">
        <v>584632847</v>
      </c>
      <c r="C3862" s="4" t="s">
        <v>269</v>
      </c>
      <c r="D3862" s="4">
        <v>1118</v>
      </c>
      <c r="E3862" s="4">
        <v>57</v>
      </c>
      <c r="G3862">
        <f t="shared" si="60"/>
        <v>512</v>
      </c>
    </row>
    <row r="3863" spans="2:7" ht="15" hidden="1" x14ac:dyDescent="0.25">
      <c r="B3863" s="4">
        <v>584632848</v>
      </c>
      <c r="C3863" s="4" t="s">
        <v>269</v>
      </c>
      <c r="D3863" s="4">
        <v>1119</v>
      </c>
      <c r="E3863" s="4">
        <v>57</v>
      </c>
      <c r="G3863">
        <f t="shared" si="60"/>
        <v>512</v>
      </c>
    </row>
    <row r="3864" spans="2:7" ht="15" hidden="1" x14ac:dyDescent="0.25">
      <c r="B3864" s="4">
        <v>584632848</v>
      </c>
      <c r="C3864" s="4" t="s">
        <v>272</v>
      </c>
      <c r="D3864" s="4">
        <v>100</v>
      </c>
      <c r="E3864" s="4">
        <v>209</v>
      </c>
      <c r="G3864">
        <f t="shared" si="60"/>
        <v>1728</v>
      </c>
    </row>
    <row r="3865" spans="2:7" ht="15" hidden="1" x14ac:dyDescent="0.25">
      <c r="B3865" s="4">
        <v>584632849</v>
      </c>
      <c r="C3865" s="4" t="s">
        <v>269</v>
      </c>
      <c r="D3865" s="4">
        <v>1120</v>
      </c>
      <c r="E3865" s="4">
        <v>57</v>
      </c>
      <c r="G3865">
        <f t="shared" si="60"/>
        <v>512</v>
      </c>
    </row>
    <row r="3866" spans="2:7" ht="15" hidden="1" x14ac:dyDescent="0.25">
      <c r="B3866" s="4">
        <v>584632850</v>
      </c>
      <c r="C3866" s="4" t="s">
        <v>269</v>
      </c>
      <c r="D3866" s="4">
        <v>1121</v>
      </c>
      <c r="E3866" s="4">
        <v>57</v>
      </c>
      <c r="G3866">
        <f t="shared" si="60"/>
        <v>512</v>
      </c>
    </row>
    <row r="3867" spans="2:7" ht="15" hidden="1" x14ac:dyDescent="0.25">
      <c r="B3867" s="4">
        <v>584632851</v>
      </c>
      <c r="C3867" s="4" t="s">
        <v>269</v>
      </c>
      <c r="D3867" s="4">
        <v>1122</v>
      </c>
      <c r="E3867" s="4">
        <v>57</v>
      </c>
      <c r="G3867">
        <f t="shared" si="60"/>
        <v>512</v>
      </c>
    </row>
    <row r="3868" spans="2:7" ht="15" hidden="1" x14ac:dyDescent="0.25">
      <c r="B3868" s="4">
        <v>584632852</v>
      </c>
      <c r="C3868" s="4" t="s">
        <v>269</v>
      </c>
      <c r="D3868" s="4">
        <v>1123</v>
      </c>
      <c r="E3868" s="4">
        <v>57</v>
      </c>
      <c r="G3868">
        <f t="shared" si="60"/>
        <v>512</v>
      </c>
    </row>
    <row r="3869" spans="2:7" ht="15" hidden="1" x14ac:dyDescent="0.25">
      <c r="B3869" s="4">
        <v>584632853</v>
      </c>
      <c r="C3869" s="4" t="s">
        <v>269</v>
      </c>
      <c r="D3869" s="4">
        <v>1124</v>
      </c>
      <c r="E3869" s="4">
        <v>57</v>
      </c>
      <c r="G3869">
        <f t="shared" si="60"/>
        <v>512</v>
      </c>
    </row>
    <row r="3870" spans="2:7" ht="15" hidden="1" x14ac:dyDescent="0.25">
      <c r="B3870" s="4">
        <v>584632854</v>
      </c>
      <c r="C3870" s="4" t="s">
        <v>269</v>
      </c>
      <c r="D3870" s="4">
        <v>1125</v>
      </c>
      <c r="E3870" s="4">
        <v>57</v>
      </c>
      <c r="G3870">
        <f t="shared" si="60"/>
        <v>512</v>
      </c>
    </row>
    <row r="3871" spans="2:7" ht="15" hidden="1" x14ac:dyDescent="0.25">
      <c r="B3871" s="4">
        <v>584632855</v>
      </c>
      <c r="C3871" s="4" t="s">
        <v>269</v>
      </c>
      <c r="D3871" s="4">
        <v>1126</v>
      </c>
      <c r="E3871" s="4">
        <v>57</v>
      </c>
      <c r="G3871">
        <f t="shared" si="60"/>
        <v>512</v>
      </c>
    </row>
    <row r="3872" spans="2:7" ht="15" hidden="1" x14ac:dyDescent="0.25">
      <c r="B3872" s="4">
        <v>584632856</v>
      </c>
      <c r="C3872" s="4" t="s">
        <v>269</v>
      </c>
      <c r="D3872" s="4">
        <v>1127</v>
      </c>
      <c r="E3872" s="4">
        <v>57</v>
      </c>
      <c r="G3872">
        <f t="shared" si="60"/>
        <v>512</v>
      </c>
    </row>
    <row r="3873" spans="2:7" ht="15" hidden="1" x14ac:dyDescent="0.25">
      <c r="B3873" s="4">
        <v>584632857</v>
      </c>
      <c r="C3873" s="4" t="s">
        <v>269</v>
      </c>
      <c r="D3873" s="4">
        <v>1128</v>
      </c>
      <c r="E3873" s="4">
        <v>57</v>
      </c>
      <c r="G3873">
        <f t="shared" si="60"/>
        <v>512</v>
      </c>
    </row>
    <row r="3874" spans="2:7" ht="15" hidden="1" x14ac:dyDescent="0.25">
      <c r="B3874" s="4">
        <v>584632858</v>
      </c>
      <c r="C3874" s="4" t="s">
        <v>269</v>
      </c>
      <c r="D3874" s="4">
        <v>1129</v>
      </c>
      <c r="E3874" s="4">
        <v>57</v>
      </c>
      <c r="G3874">
        <f t="shared" si="60"/>
        <v>512</v>
      </c>
    </row>
    <row r="3875" spans="2:7" ht="15" hidden="1" x14ac:dyDescent="0.25">
      <c r="B3875" s="4">
        <v>584632858</v>
      </c>
      <c r="C3875" s="4" t="s">
        <v>272</v>
      </c>
      <c r="D3875" s="4">
        <v>101</v>
      </c>
      <c r="E3875" s="4">
        <v>211</v>
      </c>
      <c r="G3875">
        <f t="shared" si="60"/>
        <v>1744</v>
      </c>
    </row>
    <row r="3876" spans="2:7" ht="15" hidden="1" x14ac:dyDescent="0.25">
      <c r="B3876" s="4">
        <v>584632859</v>
      </c>
      <c r="C3876" s="4" t="s">
        <v>269</v>
      </c>
      <c r="D3876" s="4">
        <v>1130</v>
      </c>
      <c r="E3876" s="4">
        <v>57</v>
      </c>
      <c r="G3876">
        <f t="shared" si="60"/>
        <v>512</v>
      </c>
    </row>
    <row r="3877" spans="2:7" ht="15" hidden="1" x14ac:dyDescent="0.25">
      <c r="B3877" s="4">
        <v>584632860</v>
      </c>
      <c r="C3877" s="4" t="s">
        <v>269</v>
      </c>
      <c r="D3877" s="4">
        <v>1131</v>
      </c>
      <c r="E3877" s="4">
        <v>57</v>
      </c>
      <c r="G3877">
        <f t="shared" si="60"/>
        <v>512</v>
      </c>
    </row>
    <row r="3878" spans="2:7" ht="15" hidden="1" x14ac:dyDescent="0.25">
      <c r="B3878" s="4">
        <v>584632861</v>
      </c>
      <c r="C3878" s="4" t="s">
        <v>269</v>
      </c>
      <c r="D3878" s="4">
        <v>1132</v>
      </c>
      <c r="E3878" s="4">
        <v>57</v>
      </c>
      <c r="G3878">
        <f t="shared" si="60"/>
        <v>512</v>
      </c>
    </row>
    <row r="3879" spans="2:7" ht="15" hidden="1" x14ac:dyDescent="0.25">
      <c r="B3879" s="4">
        <v>584632862</v>
      </c>
      <c r="C3879" s="4" t="s">
        <v>269</v>
      </c>
      <c r="D3879" s="4">
        <v>1133</v>
      </c>
      <c r="E3879" s="4">
        <v>57</v>
      </c>
      <c r="G3879">
        <f t="shared" si="60"/>
        <v>512</v>
      </c>
    </row>
    <row r="3880" spans="2:7" ht="15" hidden="1" x14ac:dyDescent="0.25">
      <c r="B3880" s="4">
        <v>584632863</v>
      </c>
      <c r="C3880" s="4" t="s">
        <v>269</v>
      </c>
      <c r="D3880" s="4">
        <v>1134</v>
      </c>
      <c r="E3880" s="4">
        <v>57</v>
      </c>
      <c r="G3880">
        <f t="shared" si="60"/>
        <v>512</v>
      </c>
    </row>
    <row r="3881" spans="2:7" ht="15" hidden="1" x14ac:dyDescent="0.25">
      <c r="B3881" s="4">
        <v>584632864</v>
      </c>
      <c r="C3881" s="4" t="s">
        <v>269</v>
      </c>
      <c r="D3881" s="4">
        <v>1135</v>
      </c>
      <c r="E3881" s="4">
        <v>57</v>
      </c>
      <c r="G3881">
        <f t="shared" si="60"/>
        <v>512</v>
      </c>
    </row>
    <row r="3882" spans="2:7" ht="15" hidden="1" x14ac:dyDescent="0.25">
      <c r="B3882" s="4">
        <v>584632865</v>
      </c>
      <c r="C3882" s="4" t="s">
        <v>269</v>
      </c>
      <c r="D3882" s="4">
        <v>1136</v>
      </c>
      <c r="E3882" s="4">
        <v>57</v>
      </c>
      <c r="G3882">
        <f t="shared" si="60"/>
        <v>512</v>
      </c>
    </row>
    <row r="3883" spans="2:7" ht="15" hidden="1" x14ac:dyDescent="0.25">
      <c r="B3883" s="4">
        <v>584632866</v>
      </c>
      <c r="C3883" s="4" t="s">
        <v>269</v>
      </c>
      <c r="D3883" s="4">
        <v>1137</v>
      </c>
      <c r="E3883" s="4">
        <v>57</v>
      </c>
      <c r="G3883">
        <f t="shared" si="60"/>
        <v>512</v>
      </c>
    </row>
    <row r="3884" spans="2:7" ht="15" hidden="1" x14ac:dyDescent="0.25">
      <c r="B3884" s="4">
        <v>584632867</v>
      </c>
      <c r="C3884" s="4" t="s">
        <v>269</v>
      </c>
      <c r="D3884" s="4">
        <v>1138</v>
      </c>
      <c r="E3884" s="4">
        <v>57</v>
      </c>
      <c r="G3884">
        <f t="shared" si="60"/>
        <v>512</v>
      </c>
    </row>
    <row r="3885" spans="2:7" ht="15" hidden="1" x14ac:dyDescent="0.25">
      <c r="B3885" s="4">
        <v>584632868</v>
      </c>
      <c r="C3885" s="4" t="s">
        <v>269</v>
      </c>
      <c r="D3885" s="4">
        <v>1139</v>
      </c>
      <c r="E3885" s="4">
        <v>57</v>
      </c>
      <c r="G3885">
        <f t="shared" si="60"/>
        <v>512</v>
      </c>
    </row>
    <row r="3886" spans="2:7" ht="15" hidden="1" x14ac:dyDescent="0.25">
      <c r="B3886" s="4">
        <v>584632868</v>
      </c>
      <c r="C3886" s="4" t="s">
        <v>272</v>
      </c>
      <c r="D3886" s="4">
        <v>102</v>
      </c>
      <c r="E3886" s="4">
        <v>211</v>
      </c>
      <c r="G3886">
        <f t="shared" si="60"/>
        <v>1744</v>
      </c>
    </row>
    <row r="3887" spans="2:7" ht="15" hidden="1" x14ac:dyDescent="0.25">
      <c r="B3887" s="4">
        <v>584632869</v>
      </c>
      <c r="C3887" s="4" t="s">
        <v>269</v>
      </c>
      <c r="D3887" s="4">
        <v>1140</v>
      </c>
      <c r="E3887" s="4">
        <v>57</v>
      </c>
      <c r="G3887">
        <f t="shared" si="60"/>
        <v>512</v>
      </c>
    </row>
    <row r="3888" spans="2:7" ht="15" hidden="1" x14ac:dyDescent="0.25">
      <c r="B3888" s="4">
        <v>584632870</v>
      </c>
      <c r="C3888" s="4" t="s">
        <v>269</v>
      </c>
      <c r="D3888" s="4">
        <v>1141</v>
      </c>
      <c r="E3888" s="4">
        <v>57</v>
      </c>
      <c r="G3888">
        <f t="shared" si="60"/>
        <v>512</v>
      </c>
    </row>
    <row r="3889" spans="2:7" ht="15" hidden="1" x14ac:dyDescent="0.25">
      <c r="B3889" s="4">
        <v>584632871</v>
      </c>
      <c r="C3889" s="4" t="s">
        <v>269</v>
      </c>
      <c r="D3889" s="4">
        <v>1142</v>
      </c>
      <c r="E3889" s="4">
        <v>57</v>
      </c>
      <c r="G3889">
        <f t="shared" si="60"/>
        <v>512</v>
      </c>
    </row>
    <row r="3890" spans="2:7" ht="15" hidden="1" x14ac:dyDescent="0.25">
      <c r="B3890" s="4">
        <v>584632872</v>
      </c>
      <c r="C3890" s="4" t="s">
        <v>269</v>
      </c>
      <c r="D3890" s="4">
        <v>1143</v>
      </c>
      <c r="E3890" s="4">
        <v>57</v>
      </c>
      <c r="G3890">
        <f t="shared" si="60"/>
        <v>512</v>
      </c>
    </row>
    <row r="3891" spans="2:7" ht="15" hidden="1" x14ac:dyDescent="0.25">
      <c r="B3891" s="4">
        <v>584632873</v>
      </c>
      <c r="C3891" s="4" t="s">
        <v>269</v>
      </c>
      <c r="D3891" s="4">
        <v>1144</v>
      </c>
      <c r="E3891" s="4">
        <v>57</v>
      </c>
      <c r="G3891">
        <f t="shared" si="60"/>
        <v>512</v>
      </c>
    </row>
    <row r="3892" spans="2:7" ht="15" hidden="1" x14ac:dyDescent="0.25">
      <c r="B3892" s="4">
        <v>584632874</v>
      </c>
      <c r="C3892" s="4" t="s">
        <v>269</v>
      </c>
      <c r="D3892" s="4">
        <v>1145</v>
      </c>
      <c r="E3892" s="4">
        <v>57</v>
      </c>
      <c r="G3892">
        <f t="shared" si="60"/>
        <v>512</v>
      </c>
    </row>
    <row r="3893" spans="2:7" ht="15" hidden="1" x14ac:dyDescent="0.25">
      <c r="B3893" s="4">
        <v>584632875</v>
      </c>
      <c r="C3893" s="4" t="s">
        <v>269</v>
      </c>
      <c r="D3893" s="4">
        <v>1146</v>
      </c>
      <c r="E3893" s="4">
        <v>57</v>
      </c>
      <c r="G3893">
        <f t="shared" si="60"/>
        <v>512</v>
      </c>
    </row>
    <row r="3894" spans="2:7" ht="15" hidden="1" x14ac:dyDescent="0.25">
      <c r="B3894" s="4">
        <v>584632876</v>
      </c>
      <c r="C3894" s="4" t="s">
        <v>269</v>
      </c>
      <c r="D3894" s="4">
        <v>1147</v>
      </c>
      <c r="E3894" s="4">
        <v>57</v>
      </c>
      <c r="G3894">
        <f t="shared" si="60"/>
        <v>512</v>
      </c>
    </row>
    <row r="3895" spans="2:7" ht="15" hidden="1" x14ac:dyDescent="0.25">
      <c r="B3895" s="4">
        <v>584632877</v>
      </c>
      <c r="C3895" s="4" t="s">
        <v>269</v>
      </c>
      <c r="D3895" s="4">
        <v>1148</v>
      </c>
      <c r="E3895" s="4">
        <v>57</v>
      </c>
      <c r="G3895">
        <f t="shared" si="60"/>
        <v>512</v>
      </c>
    </row>
    <row r="3896" spans="2:7" ht="15" hidden="1" x14ac:dyDescent="0.25">
      <c r="B3896" s="4">
        <v>584632878</v>
      </c>
      <c r="C3896" s="4" t="s">
        <v>269</v>
      </c>
      <c r="D3896" s="4">
        <v>1149</v>
      </c>
      <c r="E3896" s="4">
        <v>57</v>
      </c>
      <c r="G3896">
        <f t="shared" si="60"/>
        <v>512</v>
      </c>
    </row>
    <row r="3897" spans="2:7" ht="15" hidden="1" x14ac:dyDescent="0.25">
      <c r="B3897" s="4">
        <v>584632878</v>
      </c>
      <c r="C3897" s="4" t="s">
        <v>272</v>
      </c>
      <c r="D3897" s="4">
        <v>103</v>
      </c>
      <c r="E3897" s="4">
        <v>209</v>
      </c>
      <c r="G3897">
        <f t="shared" si="60"/>
        <v>1728</v>
      </c>
    </row>
    <row r="3898" spans="2:7" ht="15" hidden="1" x14ac:dyDescent="0.25">
      <c r="B3898" s="4">
        <v>584632879</v>
      </c>
      <c r="C3898" s="4" t="s">
        <v>269</v>
      </c>
      <c r="D3898" s="4">
        <v>1150</v>
      </c>
      <c r="E3898" s="4">
        <v>57</v>
      </c>
      <c r="G3898">
        <f t="shared" si="60"/>
        <v>512</v>
      </c>
    </row>
    <row r="3899" spans="2:7" ht="15" hidden="1" x14ac:dyDescent="0.25">
      <c r="B3899" s="4">
        <v>584632880</v>
      </c>
      <c r="C3899" s="4" t="s">
        <v>269</v>
      </c>
      <c r="D3899" s="4">
        <v>1151</v>
      </c>
      <c r="E3899" s="4">
        <v>57</v>
      </c>
      <c r="G3899">
        <f t="shared" si="60"/>
        <v>512</v>
      </c>
    </row>
    <row r="3900" spans="2:7" ht="15" hidden="1" x14ac:dyDescent="0.25">
      <c r="B3900" s="4">
        <v>584632881</v>
      </c>
      <c r="C3900" s="4" t="s">
        <v>269</v>
      </c>
      <c r="D3900" s="4">
        <v>1152</v>
      </c>
      <c r="E3900" s="4">
        <v>57</v>
      </c>
      <c r="G3900">
        <f t="shared" si="60"/>
        <v>512</v>
      </c>
    </row>
    <row r="3901" spans="2:7" ht="15" hidden="1" x14ac:dyDescent="0.25">
      <c r="B3901" s="4">
        <v>584632882</v>
      </c>
      <c r="C3901" s="4" t="s">
        <v>269</v>
      </c>
      <c r="D3901" s="4">
        <v>1153</v>
      </c>
      <c r="E3901" s="4">
        <v>57</v>
      </c>
      <c r="G3901">
        <f t="shared" si="60"/>
        <v>512</v>
      </c>
    </row>
    <row r="3902" spans="2:7" ht="15" hidden="1" x14ac:dyDescent="0.25">
      <c r="B3902" s="4">
        <v>584632883</v>
      </c>
      <c r="C3902" s="4" t="s">
        <v>269</v>
      </c>
      <c r="D3902" s="4">
        <v>1154</v>
      </c>
      <c r="E3902" s="4">
        <v>57</v>
      </c>
      <c r="G3902">
        <f t="shared" si="60"/>
        <v>512</v>
      </c>
    </row>
    <row r="3903" spans="2:7" ht="15" hidden="1" x14ac:dyDescent="0.25">
      <c r="B3903" s="4">
        <v>584632884</v>
      </c>
      <c r="C3903" s="4" t="s">
        <v>269</v>
      </c>
      <c r="D3903" s="4">
        <v>1155</v>
      </c>
      <c r="E3903" s="4">
        <v>57</v>
      </c>
      <c r="G3903">
        <f t="shared" si="60"/>
        <v>512</v>
      </c>
    </row>
    <row r="3904" spans="2:7" ht="15" hidden="1" x14ac:dyDescent="0.25">
      <c r="B3904" s="4">
        <v>584632885</v>
      </c>
      <c r="C3904" s="4" t="s">
        <v>269</v>
      </c>
      <c r="D3904" s="4">
        <v>1156</v>
      </c>
      <c r="E3904" s="4">
        <v>57</v>
      </c>
      <c r="G3904">
        <f t="shared" si="60"/>
        <v>512</v>
      </c>
    </row>
    <row r="3905" spans="2:7" ht="15" hidden="1" x14ac:dyDescent="0.25">
      <c r="B3905" s="4">
        <v>584632886</v>
      </c>
      <c r="C3905" s="4" t="s">
        <v>269</v>
      </c>
      <c r="D3905" s="4">
        <v>1157</v>
      </c>
      <c r="E3905" s="4">
        <v>57</v>
      </c>
      <c r="G3905">
        <f t="shared" si="60"/>
        <v>512</v>
      </c>
    </row>
    <row r="3906" spans="2:7" ht="15" hidden="1" x14ac:dyDescent="0.25">
      <c r="B3906" s="4">
        <v>584632887</v>
      </c>
      <c r="C3906" s="4" t="s">
        <v>269</v>
      </c>
      <c r="D3906" s="4">
        <v>1158</v>
      </c>
      <c r="E3906" s="4">
        <v>57</v>
      </c>
      <c r="G3906">
        <f t="shared" si="60"/>
        <v>512</v>
      </c>
    </row>
    <row r="3907" spans="2:7" ht="15" hidden="1" x14ac:dyDescent="0.25">
      <c r="B3907" s="4">
        <v>584632888</v>
      </c>
      <c r="C3907" s="4" t="s">
        <v>269</v>
      </c>
      <c r="D3907" s="4">
        <v>1159</v>
      </c>
      <c r="E3907" s="4">
        <v>57</v>
      </c>
      <c r="G3907">
        <f t="shared" si="60"/>
        <v>512</v>
      </c>
    </row>
    <row r="3908" spans="2:7" ht="15" hidden="1" x14ac:dyDescent="0.25">
      <c r="B3908" s="4">
        <v>584632888</v>
      </c>
      <c r="C3908" s="4" t="s">
        <v>272</v>
      </c>
      <c r="D3908" s="4">
        <v>104</v>
      </c>
      <c r="E3908" s="4">
        <v>211</v>
      </c>
      <c r="G3908">
        <f t="shared" ref="G3908:G3971" si="61">(E3908+7)*8</f>
        <v>1744</v>
      </c>
    </row>
    <row r="3909" spans="2:7" ht="15" hidden="1" x14ac:dyDescent="0.25">
      <c r="B3909" s="4">
        <v>584632889</v>
      </c>
      <c r="C3909" s="4" t="s">
        <v>269</v>
      </c>
      <c r="D3909" s="4">
        <v>1160</v>
      </c>
      <c r="E3909" s="4">
        <v>57</v>
      </c>
      <c r="G3909">
        <f t="shared" si="61"/>
        <v>512</v>
      </c>
    </row>
    <row r="3910" spans="2:7" ht="15" hidden="1" x14ac:dyDescent="0.25">
      <c r="B3910" s="4">
        <v>584632890</v>
      </c>
      <c r="C3910" s="4" t="s">
        <v>269</v>
      </c>
      <c r="D3910" s="4">
        <v>1161</v>
      </c>
      <c r="E3910" s="4">
        <v>57</v>
      </c>
      <c r="G3910">
        <f t="shared" si="61"/>
        <v>512</v>
      </c>
    </row>
    <row r="3911" spans="2:7" ht="15" hidden="1" x14ac:dyDescent="0.25">
      <c r="B3911" s="4">
        <v>584632891</v>
      </c>
      <c r="C3911" s="4" t="s">
        <v>269</v>
      </c>
      <c r="D3911" s="4">
        <v>1162</v>
      </c>
      <c r="E3911" s="4">
        <v>57</v>
      </c>
      <c r="G3911">
        <f t="shared" si="61"/>
        <v>512</v>
      </c>
    </row>
    <row r="3912" spans="2:7" ht="15" hidden="1" x14ac:dyDescent="0.25">
      <c r="B3912" s="4">
        <v>584632892</v>
      </c>
      <c r="C3912" s="4" t="s">
        <v>269</v>
      </c>
      <c r="D3912" s="4">
        <v>1163</v>
      </c>
      <c r="E3912" s="4">
        <v>57</v>
      </c>
      <c r="G3912">
        <f t="shared" si="61"/>
        <v>512</v>
      </c>
    </row>
    <row r="3913" spans="2:7" ht="15" hidden="1" x14ac:dyDescent="0.25">
      <c r="B3913" s="4">
        <v>584632893</v>
      </c>
      <c r="C3913" s="4" t="s">
        <v>269</v>
      </c>
      <c r="D3913" s="4">
        <v>1164</v>
      </c>
      <c r="E3913" s="4">
        <v>57</v>
      </c>
      <c r="G3913">
        <f t="shared" si="61"/>
        <v>512</v>
      </c>
    </row>
    <row r="3914" spans="2:7" ht="15" hidden="1" x14ac:dyDescent="0.25">
      <c r="B3914" s="4">
        <v>584632894</v>
      </c>
      <c r="C3914" s="4" t="s">
        <v>269</v>
      </c>
      <c r="D3914" s="4">
        <v>1165</v>
      </c>
      <c r="E3914" s="4">
        <v>57</v>
      </c>
      <c r="G3914">
        <f t="shared" si="61"/>
        <v>512</v>
      </c>
    </row>
    <row r="3915" spans="2:7" ht="15" hidden="1" x14ac:dyDescent="0.25">
      <c r="B3915" s="4">
        <v>584632895</v>
      </c>
      <c r="C3915" s="4" t="s">
        <v>269</v>
      </c>
      <c r="D3915" s="4">
        <v>1166</v>
      </c>
      <c r="E3915" s="4">
        <v>57</v>
      </c>
      <c r="G3915">
        <f t="shared" si="61"/>
        <v>512</v>
      </c>
    </row>
    <row r="3916" spans="2:7" ht="15" hidden="1" x14ac:dyDescent="0.25">
      <c r="B3916" s="4">
        <v>584632896</v>
      </c>
      <c r="C3916" s="4" t="s">
        <v>269</v>
      </c>
      <c r="D3916" s="4">
        <v>1167</v>
      </c>
      <c r="E3916" s="4">
        <v>57</v>
      </c>
      <c r="G3916">
        <f t="shared" si="61"/>
        <v>512</v>
      </c>
    </row>
    <row r="3917" spans="2:7" ht="15" hidden="1" x14ac:dyDescent="0.25">
      <c r="B3917" s="4">
        <v>584632897</v>
      </c>
      <c r="C3917" s="4" t="s">
        <v>269</v>
      </c>
      <c r="D3917" s="4">
        <v>1168</v>
      </c>
      <c r="E3917" s="4">
        <v>57</v>
      </c>
      <c r="G3917">
        <f t="shared" si="61"/>
        <v>512</v>
      </c>
    </row>
    <row r="3918" spans="2:7" ht="15" hidden="1" x14ac:dyDescent="0.25">
      <c r="B3918" s="4">
        <v>584632898</v>
      </c>
      <c r="C3918" s="4" t="s">
        <v>269</v>
      </c>
      <c r="D3918" s="4">
        <v>1169</v>
      </c>
      <c r="E3918" s="4">
        <v>57</v>
      </c>
      <c r="G3918">
        <f t="shared" si="61"/>
        <v>512</v>
      </c>
    </row>
    <row r="3919" spans="2:7" ht="15" hidden="1" x14ac:dyDescent="0.25">
      <c r="B3919" s="4">
        <v>584632898</v>
      </c>
      <c r="C3919" s="4" t="s">
        <v>272</v>
      </c>
      <c r="D3919" s="4">
        <v>105</v>
      </c>
      <c r="E3919" s="4">
        <v>209</v>
      </c>
      <c r="G3919">
        <f t="shared" si="61"/>
        <v>1728</v>
      </c>
    </row>
    <row r="3920" spans="2:7" ht="15" hidden="1" x14ac:dyDescent="0.25">
      <c r="B3920" s="4">
        <v>584632899</v>
      </c>
      <c r="C3920" s="4" t="s">
        <v>269</v>
      </c>
      <c r="D3920" s="4">
        <v>1170</v>
      </c>
      <c r="E3920" s="4">
        <v>57</v>
      </c>
      <c r="G3920">
        <f t="shared" si="61"/>
        <v>512</v>
      </c>
    </row>
    <row r="3921" spans="2:7" ht="15" hidden="1" x14ac:dyDescent="0.25">
      <c r="B3921" s="4">
        <v>584632900</v>
      </c>
      <c r="C3921" s="4" t="s">
        <v>269</v>
      </c>
      <c r="D3921" s="4">
        <v>1171</v>
      </c>
      <c r="E3921" s="4">
        <v>57</v>
      </c>
      <c r="G3921">
        <f t="shared" si="61"/>
        <v>512</v>
      </c>
    </row>
    <row r="3922" spans="2:7" ht="15" hidden="1" x14ac:dyDescent="0.25">
      <c r="B3922" s="4">
        <v>584632901</v>
      </c>
      <c r="C3922" s="4" t="s">
        <v>269</v>
      </c>
      <c r="D3922" s="4">
        <v>1172</v>
      </c>
      <c r="E3922" s="4">
        <v>57</v>
      </c>
      <c r="G3922">
        <f t="shared" si="61"/>
        <v>512</v>
      </c>
    </row>
    <row r="3923" spans="2:7" ht="15" hidden="1" x14ac:dyDescent="0.25">
      <c r="B3923" s="4">
        <v>584632902</v>
      </c>
      <c r="C3923" s="4" t="s">
        <v>269</v>
      </c>
      <c r="D3923" s="4">
        <v>1173</v>
      </c>
      <c r="E3923" s="4">
        <v>57</v>
      </c>
      <c r="G3923">
        <f t="shared" si="61"/>
        <v>512</v>
      </c>
    </row>
    <row r="3924" spans="2:7" ht="15" hidden="1" x14ac:dyDescent="0.25">
      <c r="B3924" s="4">
        <v>584632903</v>
      </c>
      <c r="C3924" s="4" t="s">
        <v>269</v>
      </c>
      <c r="D3924" s="4">
        <v>1174</v>
      </c>
      <c r="E3924" s="4">
        <v>57</v>
      </c>
      <c r="G3924">
        <f t="shared" si="61"/>
        <v>512</v>
      </c>
    </row>
    <row r="3925" spans="2:7" ht="15" hidden="1" x14ac:dyDescent="0.25">
      <c r="B3925" s="4">
        <v>584632904</v>
      </c>
      <c r="C3925" s="4" t="s">
        <v>269</v>
      </c>
      <c r="D3925" s="4">
        <v>1175</v>
      </c>
      <c r="E3925" s="4">
        <v>57</v>
      </c>
      <c r="G3925">
        <f t="shared" si="61"/>
        <v>512</v>
      </c>
    </row>
    <row r="3926" spans="2:7" ht="15" hidden="1" x14ac:dyDescent="0.25">
      <c r="B3926" s="4">
        <v>584632905</v>
      </c>
      <c r="C3926" s="4" t="s">
        <v>269</v>
      </c>
      <c r="D3926" s="4">
        <v>1176</v>
      </c>
      <c r="E3926" s="4">
        <v>57</v>
      </c>
      <c r="G3926">
        <f t="shared" si="61"/>
        <v>512</v>
      </c>
    </row>
    <row r="3927" spans="2:7" ht="15" hidden="1" x14ac:dyDescent="0.25">
      <c r="B3927" s="4">
        <v>584632906</v>
      </c>
      <c r="C3927" s="4" t="s">
        <v>269</v>
      </c>
      <c r="D3927" s="4">
        <v>1177</v>
      </c>
      <c r="E3927" s="4">
        <v>57</v>
      </c>
      <c r="G3927">
        <f t="shared" si="61"/>
        <v>512</v>
      </c>
    </row>
    <row r="3928" spans="2:7" ht="15" hidden="1" x14ac:dyDescent="0.25">
      <c r="B3928" s="4">
        <v>584632907</v>
      </c>
      <c r="C3928" s="4" t="s">
        <v>269</v>
      </c>
      <c r="D3928" s="4">
        <v>1178</v>
      </c>
      <c r="E3928" s="4">
        <v>57</v>
      </c>
      <c r="G3928">
        <f t="shared" si="61"/>
        <v>512</v>
      </c>
    </row>
    <row r="3929" spans="2:7" ht="15" hidden="1" x14ac:dyDescent="0.25">
      <c r="B3929" s="4">
        <v>584632908</v>
      </c>
      <c r="C3929" s="4" t="s">
        <v>269</v>
      </c>
      <c r="D3929" s="4">
        <v>1179</v>
      </c>
      <c r="E3929" s="4">
        <v>57</v>
      </c>
      <c r="G3929">
        <f t="shared" si="61"/>
        <v>512</v>
      </c>
    </row>
    <row r="3930" spans="2:7" ht="15" hidden="1" x14ac:dyDescent="0.25">
      <c r="B3930" s="4">
        <v>584632908</v>
      </c>
      <c r="C3930" s="4" t="s">
        <v>272</v>
      </c>
      <c r="D3930" s="4">
        <v>106</v>
      </c>
      <c r="E3930" s="4">
        <v>209</v>
      </c>
      <c r="G3930">
        <f t="shared" si="61"/>
        <v>1728</v>
      </c>
    </row>
    <row r="3931" spans="2:7" ht="15" hidden="1" x14ac:dyDescent="0.25">
      <c r="B3931" s="4">
        <v>584632909</v>
      </c>
      <c r="C3931" s="4" t="s">
        <v>269</v>
      </c>
      <c r="D3931" s="4">
        <v>1180</v>
      </c>
      <c r="E3931" s="4">
        <v>57</v>
      </c>
      <c r="G3931">
        <f t="shared" si="61"/>
        <v>512</v>
      </c>
    </row>
    <row r="3932" spans="2:7" ht="15" hidden="1" x14ac:dyDescent="0.25">
      <c r="B3932" s="4">
        <v>584632910</v>
      </c>
      <c r="C3932" s="4" t="s">
        <v>269</v>
      </c>
      <c r="D3932" s="4">
        <v>1181</v>
      </c>
      <c r="E3932" s="4">
        <v>57</v>
      </c>
      <c r="G3932">
        <f t="shared" si="61"/>
        <v>512</v>
      </c>
    </row>
    <row r="3933" spans="2:7" ht="15" hidden="1" x14ac:dyDescent="0.25">
      <c r="B3933" s="4">
        <v>584632911</v>
      </c>
      <c r="C3933" s="4" t="s">
        <v>269</v>
      </c>
      <c r="D3933" s="4">
        <v>1182</v>
      </c>
      <c r="E3933" s="4">
        <v>57</v>
      </c>
      <c r="G3933">
        <f t="shared" si="61"/>
        <v>512</v>
      </c>
    </row>
    <row r="3934" spans="2:7" ht="15" hidden="1" x14ac:dyDescent="0.25">
      <c r="B3934" s="4">
        <v>584632912</v>
      </c>
      <c r="C3934" s="4" t="s">
        <v>269</v>
      </c>
      <c r="D3934" s="4">
        <v>1183</v>
      </c>
      <c r="E3934" s="4">
        <v>57</v>
      </c>
      <c r="G3934">
        <f t="shared" si="61"/>
        <v>512</v>
      </c>
    </row>
    <row r="3935" spans="2:7" ht="15" hidden="1" x14ac:dyDescent="0.25">
      <c r="B3935" s="4">
        <v>584632913</v>
      </c>
      <c r="C3935" s="4" t="s">
        <v>269</v>
      </c>
      <c r="D3935" s="4">
        <v>1184</v>
      </c>
      <c r="E3935" s="4">
        <v>57</v>
      </c>
      <c r="G3935">
        <f t="shared" si="61"/>
        <v>512</v>
      </c>
    </row>
    <row r="3936" spans="2:7" ht="15" hidden="1" x14ac:dyDescent="0.25">
      <c r="B3936" s="4">
        <v>584632914</v>
      </c>
      <c r="C3936" s="4" t="s">
        <v>269</v>
      </c>
      <c r="D3936" s="4">
        <v>1185</v>
      </c>
      <c r="E3936" s="4">
        <v>57</v>
      </c>
      <c r="G3936">
        <f t="shared" si="61"/>
        <v>512</v>
      </c>
    </row>
    <row r="3937" spans="2:7" ht="15" hidden="1" x14ac:dyDescent="0.25">
      <c r="B3937" s="4">
        <v>584632915</v>
      </c>
      <c r="C3937" s="4" t="s">
        <v>269</v>
      </c>
      <c r="D3937" s="4">
        <v>1186</v>
      </c>
      <c r="E3937" s="4">
        <v>57</v>
      </c>
      <c r="G3937">
        <f t="shared" si="61"/>
        <v>512</v>
      </c>
    </row>
    <row r="3938" spans="2:7" ht="15" hidden="1" x14ac:dyDescent="0.25">
      <c r="B3938" s="4">
        <v>584632916</v>
      </c>
      <c r="C3938" s="4" t="s">
        <v>269</v>
      </c>
      <c r="D3938" s="4">
        <v>1187</v>
      </c>
      <c r="E3938" s="4">
        <v>57</v>
      </c>
      <c r="G3938">
        <f t="shared" si="61"/>
        <v>512</v>
      </c>
    </row>
    <row r="3939" spans="2:7" ht="15" hidden="1" x14ac:dyDescent="0.25">
      <c r="B3939" s="4">
        <v>584632917</v>
      </c>
      <c r="C3939" s="4" t="s">
        <v>269</v>
      </c>
      <c r="D3939" s="4">
        <v>1188</v>
      </c>
      <c r="E3939" s="4">
        <v>57</v>
      </c>
      <c r="G3939">
        <f t="shared" si="61"/>
        <v>512</v>
      </c>
    </row>
    <row r="3940" spans="2:7" ht="15" hidden="1" x14ac:dyDescent="0.25">
      <c r="B3940" s="4">
        <v>584632918</v>
      </c>
      <c r="C3940" s="4" t="s">
        <v>269</v>
      </c>
      <c r="D3940" s="4">
        <v>1189</v>
      </c>
      <c r="E3940" s="4">
        <v>57</v>
      </c>
      <c r="G3940">
        <f t="shared" si="61"/>
        <v>512</v>
      </c>
    </row>
    <row r="3941" spans="2:7" ht="15" hidden="1" x14ac:dyDescent="0.25">
      <c r="B3941" s="4">
        <v>584632918</v>
      </c>
      <c r="C3941" s="4" t="s">
        <v>272</v>
      </c>
      <c r="D3941" s="4">
        <v>107</v>
      </c>
      <c r="E3941" s="4">
        <v>209</v>
      </c>
      <c r="G3941">
        <f t="shared" si="61"/>
        <v>1728</v>
      </c>
    </row>
    <row r="3942" spans="2:7" ht="15" hidden="1" x14ac:dyDescent="0.25">
      <c r="B3942" s="4">
        <v>584632919</v>
      </c>
      <c r="C3942" s="4" t="s">
        <v>269</v>
      </c>
      <c r="D3942" s="4">
        <v>1190</v>
      </c>
      <c r="E3942" s="4">
        <v>57</v>
      </c>
      <c r="G3942">
        <f t="shared" si="61"/>
        <v>512</v>
      </c>
    </row>
    <row r="3943" spans="2:7" ht="15" hidden="1" x14ac:dyDescent="0.25">
      <c r="B3943" s="4">
        <v>584632920</v>
      </c>
      <c r="C3943" s="4" t="s">
        <v>269</v>
      </c>
      <c r="D3943" s="4">
        <v>1191</v>
      </c>
      <c r="E3943" s="4">
        <v>57</v>
      </c>
      <c r="G3943">
        <f t="shared" si="61"/>
        <v>512</v>
      </c>
    </row>
    <row r="3944" spans="2:7" ht="15" hidden="1" x14ac:dyDescent="0.25">
      <c r="B3944" s="4">
        <v>584632921</v>
      </c>
      <c r="C3944" s="4" t="s">
        <v>269</v>
      </c>
      <c r="D3944" s="4">
        <v>1192</v>
      </c>
      <c r="E3944" s="4">
        <v>57</v>
      </c>
      <c r="G3944">
        <f t="shared" si="61"/>
        <v>512</v>
      </c>
    </row>
    <row r="3945" spans="2:7" ht="15" hidden="1" x14ac:dyDescent="0.25">
      <c r="B3945" s="4">
        <v>584632922</v>
      </c>
      <c r="C3945" s="4" t="s">
        <v>269</v>
      </c>
      <c r="D3945" s="4">
        <v>1193</v>
      </c>
      <c r="E3945" s="4">
        <v>57</v>
      </c>
      <c r="G3945">
        <f t="shared" si="61"/>
        <v>512</v>
      </c>
    </row>
    <row r="3946" spans="2:7" ht="15" hidden="1" x14ac:dyDescent="0.25">
      <c r="B3946" s="4">
        <v>584632923</v>
      </c>
      <c r="C3946" s="4" t="s">
        <v>269</v>
      </c>
      <c r="D3946" s="4">
        <v>1194</v>
      </c>
      <c r="E3946" s="4">
        <v>57</v>
      </c>
      <c r="G3946">
        <f t="shared" si="61"/>
        <v>512</v>
      </c>
    </row>
    <row r="3947" spans="2:7" ht="15" hidden="1" x14ac:dyDescent="0.25">
      <c r="B3947" s="4">
        <v>584632924</v>
      </c>
      <c r="C3947" s="4" t="s">
        <v>269</v>
      </c>
      <c r="D3947" s="4">
        <v>1195</v>
      </c>
      <c r="E3947" s="4">
        <v>57</v>
      </c>
      <c r="G3947">
        <f t="shared" si="61"/>
        <v>512</v>
      </c>
    </row>
    <row r="3948" spans="2:7" ht="15" hidden="1" x14ac:dyDescent="0.25">
      <c r="B3948" s="4">
        <v>584632925</v>
      </c>
      <c r="C3948" s="4" t="s">
        <v>269</v>
      </c>
      <c r="D3948" s="4">
        <v>1196</v>
      </c>
      <c r="E3948" s="4">
        <v>57</v>
      </c>
      <c r="G3948">
        <f t="shared" si="61"/>
        <v>512</v>
      </c>
    </row>
    <row r="3949" spans="2:7" ht="15" hidden="1" x14ac:dyDescent="0.25">
      <c r="B3949" s="4">
        <v>584632926</v>
      </c>
      <c r="C3949" s="4" t="s">
        <v>269</v>
      </c>
      <c r="D3949" s="4">
        <v>1197</v>
      </c>
      <c r="E3949" s="4">
        <v>57</v>
      </c>
      <c r="G3949">
        <f t="shared" si="61"/>
        <v>512</v>
      </c>
    </row>
    <row r="3950" spans="2:7" ht="15" hidden="1" x14ac:dyDescent="0.25">
      <c r="B3950" s="4">
        <v>584632927</v>
      </c>
      <c r="C3950" s="4" t="s">
        <v>269</v>
      </c>
      <c r="D3950" s="4">
        <v>1198</v>
      </c>
      <c r="E3950" s="4">
        <v>57</v>
      </c>
      <c r="G3950">
        <f t="shared" si="61"/>
        <v>512</v>
      </c>
    </row>
    <row r="3951" spans="2:7" ht="15" hidden="1" x14ac:dyDescent="0.25">
      <c r="B3951" s="4">
        <v>584632928</v>
      </c>
      <c r="C3951" s="4" t="s">
        <v>269</v>
      </c>
      <c r="D3951" s="4">
        <v>1199</v>
      </c>
      <c r="E3951" s="4">
        <v>57</v>
      </c>
      <c r="G3951">
        <f t="shared" si="61"/>
        <v>512</v>
      </c>
    </row>
    <row r="3952" spans="2:7" ht="15" hidden="1" x14ac:dyDescent="0.25">
      <c r="B3952" s="4">
        <v>584632928</v>
      </c>
      <c r="C3952" s="4" t="s">
        <v>272</v>
      </c>
      <c r="D3952" s="4">
        <v>108</v>
      </c>
      <c r="E3952" s="4">
        <v>209</v>
      </c>
      <c r="G3952">
        <f t="shared" si="61"/>
        <v>1728</v>
      </c>
    </row>
    <row r="3953" spans="2:7" ht="15" hidden="1" x14ac:dyDescent="0.25">
      <c r="B3953" s="4">
        <v>584632929</v>
      </c>
      <c r="C3953" s="4" t="s">
        <v>269</v>
      </c>
      <c r="D3953" s="4">
        <v>1200</v>
      </c>
      <c r="E3953" s="4">
        <v>57</v>
      </c>
      <c r="G3953">
        <f t="shared" si="61"/>
        <v>512</v>
      </c>
    </row>
    <row r="3954" spans="2:7" ht="15" hidden="1" x14ac:dyDescent="0.25">
      <c r="B3954" s="4">
        <v>584632930</v>
      </c>
      <c r="C3954" s="4" t="s">
        <v>269</v>
      </c>
      <c r="D3954" s="4">
        <v>1201</v>
      </c>
      <c r="E3954" s="4">
        <v>57</v>
      </c>
      <c r="G3954">
        <f t="shared" si="61"/>
        <v>512</v>
      </c>
    </row>
    <row r="3955" spans="2:7" ht="15" hidden="1" x14ac:dyDescent="0.25">
      <c r="B3955" s="4">
        <v>584632931</v>
      </c>
      <c r="C3955" s="4" t="s">
        <v>269</v>
      </c>
      <c r="D3955" s="4">
        <v>1202</v>
      </c>
      <c r="E3955" s="4">
        <v>57</v>
      </c>
      <c r="G3955">
        <f t="shared" si="61"/>
        <v>512</v>
      </c>
    </row>
    <row r="3956" spans="2:7" ht="15" hidden="1" x14ac:dyDescent="0.25">
      <c r="B3956" s="4">
        <v>584632932</v>
      </c>
      <c r="C3956" s="4" t="s">
        <v>269</v>
      </c>
      <c r="D3956" s="4">
        <v>1203</v>
      </c>
      <c r="E3956" s="4">
        <v>57</v>
      </c>
      <c r="G3956">
        <f t="shared" si="61"/>
        <v>512</v>
      </c>
    </row>
    <row r="3957" spans="2:7" ht="15" hidden="1" x14ac:dyDescent="0.25">
      <c r="B3957" s="4">
        <v>584632933</v>
      </c>
      <c r="C3957" s="4" t="s">
        <v>269</v>
      </c>
      <c r="D3957" s="4">
        <v>1204</v>
      </c>
      <c r="E3957" s="4">
        <v>57</v>
      </c>
      <c r="G3957">
        <f t="shared" si="61"/>
        <v>512</v>
      </c>
    </row>
    <row r="3958" spans="2:7" ht="15" hidden="1" x14ac:dyDescent="0.25">
      <c r="B3958" s="4">
        <v>584632934</v>
      </c>
      <c r="C3958" s="4" t="s">
        <v>268</v>
      </c>
      <c r="D3958" s="4">
        <v>258</v>
      </c>
      <c r="E3958" s="4">
        <v>6</v>
      </c>
      <c r="G3958">
        <f t="shared" si="61"/>
        <v>104</v>
      </c>
    </row>
    <row r="3959" spans="2:7" ht="15" hidden="1" x14ac:dyDescent="0.25">
      <c r="B3959" s="4">
        <v>584632934</v>
      </c>
      <c r="C3959" s="4" t="s">
        <v>268</v>
      </c>
      <c r="D3959" s="4">
        <v>258</v>
      </c>
      <c r="E3959" s="4">
        <v>6</v>
      </c>
      <c r="G3959">
        <f t="shared" si="61"/>
        <v>104</v>
      </c>
    </row>
    <row r="3960" spans="2:7" ht="15" hidden="1" x14ac:dyDescent="0.25">
      <c r="B3960" s="4">
        <v>584632934</v>
      </c>
      <c r="C3960" s="4" t="s">
        <v>268</v>
      </c>
      <c r="D3960" s="4">
        <v>259</v>
      </c>
      <c r="E3960" s="4">
        <v>9</v>
      </c>
      <c r="G3960">
        <f t="shared" si="61"/>
        <v>128</v>
      </c>
    </row>
    <row r="3961" spans="2:7" ht="15" hidden="1" x14ac:dyDescent="0.25">
      <c r="B3961" s="4">
        <v>584632934</v>
      </c>
      <c r="C3961" s="4" t="s">
        <v>268</v>
      </c>
      <c r="D3961" s="4">
        <v>259</v>
      </c>
      <c r="E3961" s="4">
        <v>9</v>
      </c>
      <c r="G3961">
        <f t="shared" si="61"/>
        <v>128</v>
      </c>
    </row>
    <row r="3962" spans="2:7" ht="15" hidden="1" x14ac:dyDescent="0.25">
      <c r="B3962" s="4">
        <v>584632934</v>
      </c>
      <c r="C3962" s="4" t="s">
        <v>268</v>
      </c>
      <c r="D3962" s="4">
        <v>260</v>
      </c>
      <c r="E3962" s="4">
        <v>7</v>
      </c>
      <c r="G3962">
        <f t="shared" si="61"/>
        <v>112</v>
      </c>
    </row>
    <row r="3963" spans="2:7" ht="15" hidden="1" x14ac:dyDescent="0.25">
      <c r="B3963" s="4">
        <v>584632934</v>
      </c>
      <c r="C3963" s="4" t="s">
        <v>268</v>
      </c>
      <c r="D3963" s="4">
        <v>260</v>
      </c>
      <c r="E3963" s="4">
        <v>7</v>
      </c>
      <c r="G3963">
        <f t="shared" si="61"/>
        <v>112</v>
      </c>
    </row>
    <row r="3964" spans="2:7" ht="15" hidden="1" x14ac:dyDescent="0.25">
      <c r="B3964" s="4">
        <v>584632934</v>
      </c>
      <c r="C3964" s="4" t="s">
        <v>268</v>
      </c>
      <c r="D3964" s="4">
        <v>261</v>
      </c>
      <c r="E3964" s="4">
        <v>7</v>
      </c>
      <c r="G3964">
        <f t="shared" si="61"/>
        <v>112</v>
      </c>
    </row>
    <row r="3965" spans="2:7" ht="15" hidden="1" x14ac:dyDescent="0.25">
      <c r="B3965" s="4">
        <v>584632934</v>
      </c>
      <c r="C3965" s="4" t="s">
        <v>268</v>
      </c>
      <c r="D3965" s="4">
        <v>261</v>
      </c>
      <c r="E3965" s="4">
        <v>7</v>
      </c>
      <c r="G3965">
        <f t="shared" si="61"/>
        <v>112</v>
      </c>
    </row>
    <row r="3966" spans="2:7" ht="15" hidden="1" x14ac:dyDescent="0.25">
      <c r="B3966" s="4">
        <v>584632934</v>
      </c>
      <c r="C3966" s="4" t="s">
        <v>268</v>
      </c>
      <c r="D3966" s="4">
        <v>262</v>
      </c>
      <c r="E3966" s="4">
        <v>7</v>
      </c>
      <c r="G3966">
        <f t="shared" si="61"/>
        <v>112</v>
      </c>
    </row>
    <row r="3967" spans="2:7" ht="15" hidden="1" x14ac:dyDescent="0.25">
      <c r="B3967" s="4">
        <v>584632934</v>
      </c>
      <c r="C3967" s="4" t="s">
        <v>268</v>
      </c>
      <c r="D3967" s="4">
        <v>262</v>
      </c>
      <c r="E3967" s="4">
        <v>7</v>
      </c>
      <c r="G3967">
        <f t="shared" si="61"/>
        <v>112</v>
      </c>
    </row>
    <row r="3968" spans="2:7" ht="15" hidden="1" x14ac:dyDescent="0.25">
      <c r="B3968" s="4">
        <v>584632934</v>
      </c>
      <c r="C3968" s="4" t="s">
        <v>269</v>
      </c>
      <c r="D3968" s="4">
        <v>1205</v>
      </c>
      <c r="E3968" s="4">
        <v>57</v>
      </c>
      <c r="G3968">
        <f t="shared" si="61"/>
        <v>512</v>
      </c>
    </row>
    <row r="3969" spans="2:7" ht="15" hidden="1" x14ac:dyDescent="0.25">
      <c r="B3969" s="4">
        <v>584632935</v>
      </c>
      <c r="C3969" s="4" t="s">
        <v>269</v>
      </c>
      <c r="D3969" s="4">
        <v>1206</v>
      </c>
      <c r="E3969" s="4">
        <v>57</v>
      </c>
      <c r="G3969">
        <f t="shared" si="61"/>
        <v>512</v>
      </c>
    </row>
    <row r="3970" spans="2:7" ht="15" hidden="1" x14ac:dyDescent="0.25">
      <c r="B3970" s="4">
        <v>584632936</v>
      </c>
      <c r="C3970" s="4" t="s">
        <v>268</v>
      </c>
      <c r="D3970" s="4">
        <v>263</v>
      </c>
      <c r="E3970" s="4">
        <v>7</v>
      </c>
      <c r="G3970">
        <f t="shared" si="61"/>
        <v>112</v>
      </c>
    </row>
    <row r="3971" spans="2:7" ht="15" hidden="1" x14ac:dyDescent="0.25">
      <c r="B3971" s="4">
        <v>584632936</v>
      </c>
      <c r="C3971" s="4" t="s">
        <v>268</v>
      </c>
      <c r="D3971" s="4">
        <v>263</v>
      </c>
      <c r="E3971" s="4">
        <v>7</v>
      </c>
      <c r="G3971">
        <f t="shared" si="61"/>
        <v>112</v>
      </c>
    </row>
    <row r="3972" spans="2:7" ht="15" hidden="1" x14ac:dyDescent="0.25">
      <c r="B3972" s="4">
        <v>584632936</v>
      </c>
      <c r="C3972" s="4" t="s">
        <v>268</v>
      </c>
      <c r="D3972" s="4">
        <v>264</v>
      </c>
      <c r="E3972" s="4">
        <v>5</v>
      </c>
      <c r="G3972">
        <f t="shared" ref="G3972:G4035" si="62">(E3972+7)*8</f>
        <v>96</v>
      </c>
    </row>
    <row r="3973" spans="2:7" ht="15" hidden="1" x14ac:dyDescent="0.25">
      <c r="B3973" s="4">
        <v>584632936</v>
      </c>
      <c r="C3973" s="4" t="s">
        <v>268</v>
      </c>
      <c r="D3973" s="4">
        <v>264</v>
      </c>
      <c r="E3973" s="4">
        <v>5</v>
      </c>
      <c r="G3973">
        <f t="shared" si="62"/>
        <v>96</v>
      </c>
    </row>
    <row r="3974" spans="2:7" ht="15" hidden="1" x14ac:dyDescent="0.25">
      <c r="B3974" s="4">
        <v>584632936</v>
      </c>
      <c r="C3974" s="4" t="s">
        <v>268</v>
      </c>
      <c r="D3974" s="4">
        <v>265</v>
      </c>
      <c r="E3974" s="4">
        <v>7</v>
      </c>
      <c r="G3974">
        <f t="shared" si="62"/>
        <v>112</v>
      </c>
    </row>
    <row r="3975" spans="2:7" ht="15" hidden="1" x14ac:dyDescent="0.25">
      <c r="B3975" s="4">
        <v>584632936</v>
      </c>
      <c r="C3975" s="4" t="s">
        <v>268</v>
      </c>
      <c r="D3975" s="4">
        <v>265</v>
      </c>
      <c r="E3975" s="4">
        <v>7</v>
      </c>
      <c r="G3975">
        <f t="shared" si="62"/>
        <v>112</v>
      </c>
    </row>
    <row r="3976" spans="2:7" ht="15" hidden="1" x14ac:dyDescent="0.25">
      <c r="B3976" s="4">
        <v>584632936</v>
      </c>
      <c r="C3976" s="4" t="s">
        <v>269</v>
      </c>
      <c r="D3976" s="4">
        <v>1207</v>
      </c>
      <c r="E3976" s="4">
        <v>57</v>
      </c>
      <c r="G3976">
        <f t="shared" si="62"/>
        <v>512</v>
      </c>
    </row>
    <row r="3977" spans="2:7" ht="15" hidden="1" x14ac:dyDescent="0.25">
      <c r="B3977" s="4">
        <v>584632937</v>
      </c>
      <c r="C3977" s="4" t="s">
        <v>269</v>
      </c>
      <c r="D3977" s="4">
        <v>1208</v>
      </c>
      <c r="E3977" s="4">
        <v>57</v>
      </c>
      <c r="G3977">
        <f t="shared" si="62"/>
        <v>512</v>
      </c>
    </row>
    <row r="3978" spans="2:7" ht="15" hidden="1" x14ac:dyDescent="0.25">
      <c r="B3978" s="4">
        <v>584632938</v>
      </c>
      <c r="C3978" s="4" t="s">
        <v>269</v>
      </c>
      <c r="D3978" s="4">
        <v>1209</v>
      </c>
      <c r="E3978" s="4">
        <v>57</v>
      </c>
      <c r="G3978">
        <f t="shared" si="62"/>
        <v>512</v>
      </c>
    </row>
    <row r="3979" spans="2:7" ht="15" hidden="1" x14ac:dyDescent="0.25">
      <c r="B3979" s="4">
        <v>584632938</v>
      </c>
      <c r="C3979" s="4" t="s">
        <v>272</v>
      </c>
      <c r="D3979" s="4">
        <v>109</v>
      </c>
      <c r="E3979" s="4">
        <v>211</v>
      </c>
      <c r="G3979">
        <f t="shared" si="62"/>
        <v>1744</v>
      </c>
    </row>
    <row r="3980" spans="2:7" ht="15" hidden="1" x14ac:dyDescent="0.25">
      <c r="B3980" s="4">
        <v>584632939</v>
      </c>
      <c r="C3980" s="4" t="s">
        <v>269</v>
      </c>
      <c r="D3980" s="4">
        <v>1210</v>
      </c>
      <c r="E3980" s="4">
        <v>57</v>
      </c>
      <c r="G3980">
        <f t="shared" si="62"/>
        <v>512</v>
      </c>
    </row>
    <row r="3981" spans="2:7" ht="15" hidden="1" x14ac:dyDescent="0.25">
      <c r="B3981" s="4">
        <v>584632940</v>
      </c>
      <c r="C3981" s="4" t="s">
        <v>269</v>
      </c>
      <c r="D3981" s="4">
        <v>1211</v>
      </c>
      <c r="E3981" s="4">
        <v>57</v>
      </c>
      <c r="G3981">
        <f t="shared" si="62"/>
        <v>512</v>
      </c>
    </row>
    <row r="3982" spans="2:7" ht="15" hidden="1" x14ac:dyDescent="0.25">
      <c r="B3982" s="4">
        <v>584632941</v>
      </c>
      <c r="C3982" s="4" t="s">
        <v>269</v>
      </c>
      <c r="D3982" s="4">
        <v>1212</v>
      </c>
      <c r="E3982" s="4">
        <v>57</v>
      </c>
      <c r="G3982">
        <f t="shared" si="62"/>
        <v>512</v>
      </c>
    </row>
    <row r="3983" spans="2:7" ht="15" hidden="1" x14ac:dyDescent="0.25">
      <c r="B3983" s="4">
        <v>584632942</v>
      </c>
      <c r="C3983" s="4" t="s">
        <v>269</v>
      </c>
      <c r="D3983" s="4">
        <v>1213</v>
      </c>
      <c r="E3983" s="4">
        <v>57</v>
      </c>
      <c r="G3983">
        <f t="shared" si="62"/>
        <v>512</v>
      </c>
    </row>
    <row r="3984" spans="2:7" ht="15" hidden="1" x14ac:dyDescent="0.25">
      <c r="B3984" s="4">
        <v>584632943</v>
      </c>
      <c r="C3984" s="4" t="s">
        <v>269</v>
      </c>
      <c r="D3984" s="4">
        <v>1214</v>
      </c>
      <c r="E3984" s="4">
        <v>57</v>
      </c>
      <c r="G3984">
        <f t="shared" si="62"/>
        <v>512</v>
      </c>
    </row>
    <row r="3985" spans="2:7" ht="15" hidden="1" x14ac:dyDescent="0.25">
      <c r="B3985" s="4">
        <v>584632944</v>
      </c>
      <c r="C3985" s="4" t="s">
        <v>269</v>
      </c>
      <c r="D3985" s="4">
        <v>1215</v>
      </c>
      <c r="E3985" s="4">
        <v>57</v>
      </c>
      <c r="G3985">
        <f t="shared" si="62"/>
        <v>512</v>
      </c>
    </row>
    <row r="3986" spans="2:7" ht="15" hidden="1" x14ac:dyDescent="0.25">
      <c r="B3986" s="4">
        <v>584632945</v>
      </c>
      <c r="C3986" s="4" t="s">
        <v>269</v>
      </c>
      <c r="D3986" s="4">
        <v>1216</v>
      </c>
      <c r="E3986" s="4">
        <v>57</v>
      </c>
      <c r="G3986">
        <f t="shared" si="62"/>
        <v>512</v>
      </c>
    </row>
    <row r="3987" spans="2:7" ht="15" hidden="1" x14ac:dyDescent="0.25">
      <c r="B3987" s="4">
        <v>584632946</v>
      </c>
      <c r="C3987" s="4" t="s">
        <v>269</v>
      </c>
      <c r="D3987" s="4">
        <v>1217</v>
      </c>
      <c r="E3987" s="4">
        <v>57</v>
      </c>
      <c r="G3987">
        <f t="shared" si="62"/>
        <v>512</v>
      </c>
    </row>
    <row r="3988" spans="2:7" ht="15" hidden="1" x14ac:dyDescent="0.25">
      <c r="B3988" s="4">
        <v>584632947</v>
      </c>
      <c r="C3988" s="4" t="s">
        <v>269</v>
      </c>
      <c r="D3988" s="4">
        <v>1218</v>
      </c>
      <c r="E3988" s="4">
        <v>57</v>
      </c>
      <c r="G3988">
        <f t="shared" si="62"/>
        <v>512</v>
      </c>
    </row>
    <row r="3989" spans="2:7" ht="15" hidden="1" x14ac:dyDescent="0.25">
      <c r="B3989" s="4">
        <v>584632948</v>
      </c>
      <c r="C3989" s="4" t="s">
        <v>269</v>
      </c>
      <c r="D3989" s="4">
        <v>1219</v>
      </c>
      <c r="E3989" s="4">
        <v>57</v>
      </c>
      <c r="G3989">
        <f t="shared" si="62"/>
        <v>512</v>
      </c>
    </row>
    <row r="3990" spans="2:7" ht="15" hidden="1" x14ac:dyDescent="0.25">
      <c r="B3990" s="4">
        <v>584632948</v>
      </c>
      <c r="C3990" s="4" t="s">
        <v>272</v>
      </c>
      <c r="D3990" s="4">
        <v>110</v>
      </c>
      <c r="E3990" s="4">
        <v>211</v>
      </c>
      <c r="G3990">
        <f t="shared" si="62"/>
        <v>1744</v>
      </c>
    </row>
    <row r="3991" spans="2:7" ht="15" hidden="1" x14ac:dyDescent="0.25">
      <c r="B3991" s="4">
        <v>584632949</v>
      </c>
      <c r="C3991" s="4" t="s">
        <v>269</v>
      </c>
      <c r="D3991" s="4">
        <v>1220</v>
      </c>
      <c r="E3991" s="4">
        <v>57</v>
      </c>
      <c r="G3991">
        <f t="shared" si="62"/>
        <v>512</v>
      </c>
    </row>
    <row r="3992" spans="2:7" ht="15" hidden="1" x14ac:dyDescent="0.25">
      <c r="B3992" s="4">
        <v>584632950</v>
      </c>
      <c r="C3992" s="4" t="s">
        <v>269</v>
      </c>
      <c r="D3992" s="4">
        <v>1221</v>
      </c>
      <c r="E3992" s="4">
        <v>57</v>
      </c>
      <c r="G3992">
        <f t="shared" si="62"/>
        <v>512</v>
      </c>
    </row>
    <row r="3993" spans="2:7" ht="15" hidden="1" x14ac:dyDescent="0.25">
      <c r="B3993" s="4">
        <v>584632951</v>
      </c>
      <c r="C3993" s="4" t="s">
        <v>269</v>
      </c>
      <c r="D3993" s="4">
        <v>1222</v>
      </c>
      <c r="E3993" s="4">
        <v>57</v>
      </c>
      <c r="G3993">
        <f t="shared" si="62"/>
        <v>512</v>
      </c>
    </row>
    <row r="3994" spans="2:7" ht="15" hidden="1" x14ac:dyDescent="0.25">
      <c r="B3994" s="4">
        <v>584632952</v>
      </c>
      <c r="C3994" s="4" t="s">
        <v>269</v>
      </c>
      <c r="D3994" s="4">
        <v>1223</v>
      </c>
      <c r="E3994" s="4">
        <v>57</v>
      </c>
      <c r="G3994">
        <f t="shared" si="62"/>
        <v>512</v>
      </c>
    </row>
    <row r="3995" spans="2:7" ht="15" hidden="1" x14ac:dyDescent="0.25">
      <c r="B3995" s="4">
        <v>584632953</v>
      </c>
      <c r="C3995" s="4" t="s">
        <v>269</v>
      </c>
      <c r="D3995" s="4">
        <v>1224</v>
      </c>
      <c r="E3995" s="4">
        <v>57</v>
      </c>
      <c r="G3995">
        <f t="shared" si="62"/>
        <v>512</v>
      </c>
    </row>
    <row r="3996" spans="2:7" ht="15" hidden="1" x14ac:dyDescent="0.25">
      <c r="B3996" s="4">
        <v>584632954</v>
      </c>
      <c r="C3996" s="4" t="s">
        <v>269</v>
      </c>
      <c r="D3996" s="4">
        <v>1225</v>
      </c>
      <c r="E3996" s="4">
        <v>57</v>
      </c>
      <c r="G3996">
        <f t="shared" si="62"/>
        <v>512</v>
      </c>
    </row>
    <row r="3997" spans="2:7" ht="15" hidden="1" x14ac:dyDescent="0.25">
      <c r="B3997" s="4">
        <v>584632955</v>
      </c>
      <c r="C3997" s="4" t="s">
        <v>269</v>
      </c>
      <c r="D3997" s="4">
        <v>1226</v>
      </c>
      <c r="E3997" s="4">
        <v>57</v>
      </c>
      <c r="G3997">
        <f t="shared" si="62"/>
        <v>512</v>
      </c>
    </row>
    <row r="3998" spans="2:7" ht="15" hidden="1" x14ac:dyDescent="0.25">
      <c r="B3998" s="4">
        <v>584632956</v>
      </c>
      <c r="C3998" s="4" t="s">
        <v>269</v>
      </c>
      <c r="D3998" s="4">
        <v>1227</v>
      </c>
      <c r="E3998" s="4">
        <v>57</v>
      </c>
      <c r="G3998">
        <f t="shared" si="62"/>
        <v>512</v>
      </c>
    </row>
    <row r="3999" spans="2:7" ht="15" hidden="1" x14ac:dyDescent="0.25">
      <c r="B3999" s="4">
        <v>584632957</v>
      </c>
      <c r="C3999" s="4" t="s">
        <v>269</v>
      </c>
      <c r="D3999" s="4">
        <v>1228</v>
      </c>
      <c r="E3999" s="4">
        <v>57</v>
      </c>
      <c r="G3999">
        <f t="shared" si="62"/>
        <v>512</v>
      </c>
    </row>
    <row r="4000" spans="2:7" ht="15" hidden="1" x14ac:dyDescent="0.25">
      <c r="B4000" s="4">
        <v>584632958</v>
      </c>
      <c r="C4000" s="4" t="s">
        <v>269</v>
      </c>
      <c r="D4000" s="4">
        <v>1229</v>
      </c>
      <c r="E4000" s="4">
        <v>57</v>
      </c>
      <c r="G4000">
        <f t="shared" si="62"/>
        <v>512</v>
      </c>
    </row>
    <row r="4001" spans="2:7" ht="15" hidden="1" x14ac:dyDescent="0.25">
      <c r="B4001" s="4">
        <v>584632958</v>
      </c>
      <c r="C4001" s="4" t="s">
        <v>272</v>
      </c>
      <c r="D4001" s="4">
        <v>111</v>
      </c>
      <c r="E4001" s="4">
        <v>209</v>
      </c>
      <c r="G4001">
        <f t="shared" si="62"/>
        <v>1728</v>
      </c>
    </row>
    <row r="4002" spans="2:7" ht="15" hidden="1" x14ac:dyDescent="0.25">
      <c r="B4002" s="4">
        <v>584632959</v>
      </c>
      <c r="C4002" s="4" t="s">
        <v>269</v>
      </c>
      <c r="D4002" s="4">
        <v>1230</v>
      </c>
      <c r="E4002" s="4">
        <v>57</v>
      </c>
      <c r="G4002">
        <f t="shared" si="62"/>
        <v>512</v>
      </c>
    </row>
    <row r="4003" spans="2:7" ht="15" hidden="1" x14ac:dyDescent="0.25">
      <c r="B4003" s="4">
        <v>584632960</v>
      </c>
      <c r="C4003" s="4" t="s">
        <v>269</v>
      </c>
      <c r="D4003" s="4">
        <v>1231</v>
      </c>
      <c r="E4003" s="4">
        <v>57</v>
      </c>
      <c r="G4003">
        <f t="shared" si="62"/>
        <v>512</v>
      </c>
    </row>
    <row r="4004" spans="2:7" ht="15" hidden="1" x14ac:dyDescent="0.25">
      <c r="B4004" s="4">
        <v>584632961</v>
      </c>
      <c r="C4004" s="4" t="s">
        <v>269</v>
      </c>
      <c r="D4004" s="4">
        <v>1232</v>
      </c>
      <c r="E4004" s="4">
        <v>57</v>
      </c>
      <c r="G4004">
        <f t="shared" si="62"/>
        <v>512</v>
      </c>
    </row>
    <row r="4005" spans="2:7" ht="15" hidden="1" x14ac:dyDescent="0.25">
      <c r="B4005" s="4">
        <v>584632962</v>
      </c>
      <c r="C4005" s="4" t="s">
        <v>269</v>
      </c>
      <c r="D4005" s="4">
        <v>1233</v>
      </c>
      <c r="E4005" s="4">
        <v>57</v>
      </c>
      <c r="G4005">
        <f t="shared" si="62"/>
        <v>512</v>
      </c>
    </row>
    <row r="4006" spans="2:7" ht="15" hidden="1" x14ac:dyDescent="0.25">
      <c r="B4006" s="4">
        <v>584632963</v>
      </c>
      <c r="C4006" s="4" t="s">
        <v>269</v>
      </c>
      <c r="D4006" s="4">
        <v>1234</v>
      </c>
      <c r="E4006" s="4">
        <v>57</v>
      </c>
      <c r="G4006">
        <f t="shared" si="62"/>
        <v>512</v>
      </c>
    </row>
    <row r="4007" spans="2:7" ht="15" hidden="1" x14ac:dyDescent="0.25">
      <c r="B4007" s="4">
        <v>584632964</v>
      </c>
      <c r="C4007" s="4" t="s">
        <v>269</v>
      </c>
      <c r="D4007" s="4">
        <v>1235</v>
      </c>
      <c r="E4007" s="4">
        <v>57</v>
      </c>
      <c r="G4007">
        <f t="shared" si="62"/>
        <v>512</v>
      </c>
    </row>
    <row r="4008" spans="2:7" ht="15" hidden="1" x14ac:dyDescent="0.25">
      <c r="B4008" s="4">
        <v>584632965</v>
      </c>
      <c r="C4008" s="4" t="s">
        <v>269</v>
      </c>
      <c r="D4008" s="4">
        <v>1236</v>
      </c>
      <c r="E4008" s="4">
        <v>57</v>
      </c>
      <c r="G4008">
        <f t="shared" si="62"/>
        <v>512</v>
      </c>
    </row>
    <row r="4009" spans="2:7" ht="15" hidden="1" x14ac:dyDescent="0.25">
      <c r="B4009" s="4">
        <v>584632966</v>
      </c>
      <c r="C4009" s="4" t="s">
        <v>269</v>
      </c>
      <c r="D4009" s="4">
        <v>1237</v>
      </c>
      <c r="E4009" s="4">
        <v>57</v>
      </c>
      <c r="G4009">
        <f t="shared" si="62"/>
        <v>512</v>
      </c>
    </row>
    <row r="4010" spans="2:7" ht="15" hidden="1" x14ac:dyDescent="0.25">
      <c r="B4010" s="4">
        <v>584632967</v>
      </c>
      <c r="C4010" s="4" t="s">
        <v>269</v>
      </c>
      <c r="D4010" s="4">
        <v>1238</v>
      </c>
      <c r="E4010" s="4">
        <v>57</v>
      </c>
      <c r="G4010">
        <f t="shared" si="62"/>
        <v>512</v>
      </c>
    </row>
    <row r="4011" spans="2:7" ht="15" hidden="1" x14ac:dyDescent="0.25">
      <c r="B4011" s="4">
        <v>584632968</v>
      </c>
      <c r="C4011" s="4" t="s">
        <v>269</v>
      </c>
      <c r="D4011" s="4">
        <v>1239</v>
      </c>
      <c r="E4011" s="4">
        <v>57</v>
      </c>
      <c r="G4011">
        <f t="shared" si="62"/>
        <v>512</v>
      </c>
    </row>
    <row r="4012" spans="2:7" ht="15" hidden="1" x14ac:dyDescent="0.25">
      <c r="B4012" s="4">
        <v>584632968</v>
      </c>
      <c r="C4012" s="4" t="s">
        <v>272</v>
      </c>
      <c r="D4012" s="4">
        <v>112</v>
      </c>
      <c r="E4012" s="4">
        <v>209</v>
      </c>
      <c r="G4012">
        <f t="shared" si="62"/>
        <v>1728</v>
      </c>
    </row>
    <row r="4013" spans="2:7" ht="15" hidden="1" x14ac:dyDescent="0.25">
      <c r="B4013" s="4">
        <v>584632969</v>
      </c>
      <c r="C4013" s="4" t="s">
        <v>269</v>
      </c>
      <c r="D4013" s="4">
        <v>1240</v>
      </c>
      <c r="E4013" s="4">
        <v>57</v>
      </c>
      <c r="G4013">
        <f t="shared" si="62"/>
        <v>512</v>
      </c>
    </row>
    <row r="4014" spans="2:7" ht="15" hidden="1" x14ac:dyDescent="0.25">
      <c r="B4014" s="4">
        <v>584632970</v>
      </c>
      <c r="C4014" s="4" t="s">
        <v>269</v>
      </c>
      <c r="D4014" s="4">
        <v>1241</v>
      </c>
      <c r="E4014" s="4">
        <v>57</v>
      </c>
      <c r="G4014">
        <f t="shared" si="62"/>
        <v>512</v>
      </c>
    </row>
    <row r="4015" spans="2:7" ht="15" hidden="1" x14ac:dyDescent="0.25">
      <c r="B4015" s="4">
        <v>584632971</v>
      </c>
      <c r="C4015" s="4" t="s">
        <v>269</v>
      </c>
      <c r="D4015" s="4">
        <v>1242</v>
      </c>
      <c r="E4015" s="4">
        <v>57</v>
      </c>
      <c r="G4015">
        <f t="shared" si="62"/>
        <v>512</v>
      </c>
    </row>
    <row r="4016" spans="2:7" ht="15" hidden="1" x14ac:dyDescent="0.25">
      <c r="B4016" s="4">
        <v>584632972</v>
      </c>
      <c r="C4016" s="4" t="s">
        <v>269</v>
      </c>
      <c r="D4016" s="4">
        <v>1243</v>
      </c>
      <c r="E4016" s="4">
        <v>57</v>
      </c>
      <c r="G4016">
        <f t="shared" si="62"/>
        <v>512</v>
      </c>
    </row>
    <row r="4017" spans="2:7" ht="15" hidden="1" x14ac:dyDescent="0.25">
      <c r="B4017" s="4">
        <v>584632973</v>
      </c>
      <c r="C4017" s="4" t="s">
        <v>269</v>
      </c>
      <c r="D4017" s="4">
        <v>1244</v>
      </c>
      <c r="E4017" s="4">
        <v>57</v>
      </c>
      <c r="G4017">
        <f t="shared" si="62"/>
        <v>512</v>
      </c>
    </row>
    <row r="4018" spans="2:7" ht="15" hidden="1" x14ac:dyDescent="0.25">
      <c r="B4018" s="4">
        <v>584632974</v>
      </c>
      <c r="C4018" s="4" t="s">
        <v>269</v>
      </c>
      <c r="D4018" s="4">
        <v>1245</v>
      </c>
      <c r="E4018" s="4">
        <v>57</v>
      </c>
      <c r="G4018">
        <f t="shared" si="62"/>
        <v>512</v>
      </c>
    </row>
    <row r="4019" spans="2:7" ht="15" hidden="1" x14ac:dyDescent="0.25">
      <c r="B4019" s="4">
        <v>584632975</v>
      </c>
      <c r="C4019" s="4" t="s">
        <v>269</v>
      </c>
      <c r="D4019" s="4">
        <v>1246</v>
      </c>
      <c r="E4019" s="4">
        <v>57</v>
      </c>
      <c r="G4019">
        <f t="shared" si="62"/>
        <v>512</v>
      </c>
    </row>
    <row r="4020" spans="2:7" ht="15" hidden="1" x14ac:dyDescent="0.25">
      <c r="B4020" s="4">
        <v>584632976</v>
      </c>
      <c r="C4020" s="4" t="s">
        <v>269</v>
      </c>
      <c r="D4020" s="4">
        <v>1247</v>
      </c>
      <c r="E4020" s="4">
        <v>57</v>
      </c>
      <c r="G4020">
        <f t="shared" si="62"/>
        <v>512</v>
      </c>
    </row>
    <row r="4021" spans="2:7" ht="15" hidden="1" x14ac:dyDescent="0.25">
      <c r="B4021" s="4">
        <v>584632977</v>
      </c>
      <c r="C4021" s="4" t="s">
        <v>269</v>
      </c>
      <c r="D4021" s="4">
        <v>1248</v>
      </c>
      <c r="E4021" s="4">
        <v>57</v>
      </c>
      <c r="G4021">
        <f t="shared" si="62"/>
        <v>512</v>
      </c>
    </row>
    <row r="4022" spans="2:7" ht="15" hidden="1" x14ac:dyDescent="0.25">
      <c r="B4022" s="4">
        <v>584632978</v>
      </c>
      <c r="C4022" s="4" t="s">
        <v>269</v>
      </c>
      <c r="D4022" s="4">
        <v>1249</v>
      </c>
      <c r="E4022" s="4">
        <v>57</v>
      </c>
      <c r="G4022">
        <f t="shared" si="62"/>
        <v>512</v>
      </c>
    </row>
    <row r="4023" spans="2:7" ht="15" hidden="1" x14ac:dyDescent="0.25">
      <c r="B4023" s="4">
        <v>584632978</v>
      </c>
      <c r="C4023" s="4" t="s">
        <v>272</v>
      </c>
      <c r="D4023" s="4">
        <v>113</v>
      </c>
      <c r="E4023" s="4">
        <v>215</v>
      </c>
      <c r="G4023">
        <f t="shared" si="62"/>
        <v>1776</v>
      </c>
    </row>
    <row r="4024" spans="2:7" ht="15" hidden="1" x14ac:dyDescent="0.25">
      <c r="B4024" s="4">
        <v>584632979</v>
      </c>
      <c r="C4024" s="4" t="s">
        <v>269</v>
      </c>
      <c r="D4024" s="4">
        <v>1250</v>
      </c>
      <c r="E4024" s="4">
        <v>57</v>
      </c>
      <c r="G4024">
        <f t="shared" si="62"/>
        <v>512</v>
      </c>
    </row>
    <row r="4025" spans="2:7" ht="15" hidden="1" x14ac:dyDescent="0.25">
      <c r="B4025" s="4">
        <v>584632980</v>
      </c>
      <c r="C4025" s="4" t="s">
        <v>269</v>
      </c>
      <c r="D4025" s="4">
        <v>1251</v>
      </c>
      <c r="E4025" s="4">
        <v>57</v>
      </c>
      <c r="G4025">
        <f t="shared" si="62"/>
        <v>512</v>
      </c>
    </row>
    <row r="4026" spans="2:7" ht="15" hidden="1" x14ac:dyDescent="0.25">
      <c r="B4026" s="4">
        <v>584632981</v>
      </c>
      <c r="C4026" s="4" t="s">
        <v>269</v>
      </c>
      <c r="D4026" s="4">
        <v>1252</v>
      </c>
      <c r="E4026" s="4">
        <v>57</v>
      </c>
      <c r="G4026">
        <f t="shared" si="62"/>
        <v>512</v>
      </c>
    </row>
    <row r="4027" spans="2:7" ht="15" hidden="1" x14ac:dyDescent="0.25">
      <c r="B4027" s="4">
        <v>584632982</v>
      </c>
      <c r="C4027" s="4" t="s">
        <v>269</v>
      </c>
      <c r="D4027" s="4">
        <v>1253</v>
      </c>
      <c r="E4027" s="4">
        <v>57</v>
      </c>
      <c r="G4027">
        <f t="shared" si="62"/>
        <v>512</v>
      </c>
    </row>
    <row r="4028" spans="2:7" ht="15" hidden="1" x14ac:dyDescent="0.25">
      <c r="B4028" s="4">
        <v>584632983</v>
      </c>
      <c r="C4028" s="4" t="s">
        <v>269</v>
      </c>
      <c r="D4028" s="4">
        <v>1254</v>
      </c>
      <c r="E4028" s="4">
        <v>57</v>
      </c>
      <c r="G4028">
        <f t="shared" si="62"/>
        <v>512</v>
      </c>
    </row>
    <row r="4029" spans="2:7" ht="15" hidden="1" x14ac:dyDescent="0.25">
      <c r="B4029" s="4">
        <v>584632984</v>
      </c>
      <c r="C4029" s="4" t="s">
        <v>269</v>
      </c>
      <c r="D4029" s="4">
        <v>1255</v>
      </c>
      <c r="E4029" s="4">
        <v>57</v>
      </c>
      <c r="G4029">
        <f t="shared" si="62"/>
        <v>512</v>
      </c>
    </row>
    <row r="4030" spans="2:7" ht="15" hidden="1" x14ac:dyDescent="0.25">
      <c r="B4030" s="4">
        <v>584632985</v>
      </c>
      <c r="C4030" s="4" t="s">
        <v>269</v>
      </c>
      <c r="D4030" s="4">
        <v>1256</v>
      </c>
      <c r="E4030" s="4">
        <v>57</v>
      </c>
      <c r="G4030">
        <f t="shared" si="62"/>
        <v>512</v>
      </c>
    </row>
    <row r="4031" spans="2:7" ht="15" hidden="1" x14ac:dyDescent="0.25">
      <c r="B4031" s="4">
        <v>584632986</v>
      </c>
      <c r="C4031" s="4" t="s">
        <v>269</v>
      </c>
      <c r="D4031" s="4">
        <v>1257</v>
      </c>
      <c r="E4031" s="4">
        <v>57</v>
      </c>
      <c r="G4031">
        <f t="shared" si="62"/>
        <v>512</v>
      </c>
    </row>
    <row r="4032" spans="2:7" ht="15" hidden="1" x14ac:dyDescent="0.25">
      <c r="B4032" s="4">
        <v>584632987</v>
      </c>
      <c r="C4032" s="4" t="s">
        <v>269</v>
      </c>
      <c r="D4032" s="4">
        <v>1258</v>
      </c>
      <c r="E4032" s="4">
        <v>57</v>
      </c>
      <c r="G4032">
        <f t="shared" si="62"/>
        <v>512</v>
      </c>
    </row>
    <row r="4033" spans="2:7" ht="15" hidden="1" x14ac:dyDescent="0.25">
      <c r="B4033" s="4">
        <v>584632988</v>
      </c>
      <c r="C4033" s="4" t="s">
        <v>269</v>
      </c>
      <c r="D4033" s="4">
        <v>1259</v>
      </c>
      <c r="E4033" s="4">
        <v>57</v>
      </c>
      <c r="G4033">
        <f t="shared" si="62"/>
        <v>512</v>
      </c>
    </row>
    <row r="4034" spans="2:7" ht="15" hidden="1" x14ac:dyDescent="0.25">
      <c r="B4034" s="4">
        <v>584632988</v>
      </c>
      <c r="C4034" s="4" t="s">
        <v>272</v>
      </c>
      <c r="D4034" s="4">
        <v>114</v>
      </c>
      <c r="E4034" s="4">
        <v>211</v>
      </c>
      <c r="G4034">
        <f t="shared" si="62"/>
        <v>1744</v>
      </c>
    </row>
    <row r="4035" spans="2:7" ht="15" hidden="1" x14ac:dyDescent="0.25">
      <c r="B4035" s="4">
        <v>584632989</v>
      </c>
      <c r="C4035" s="4" t="s">
        <v>269</v>
      </c>
      <c r="D4035" s="4">
        <v>1260</v>
      </c>
      <c r="E4035" s="4">
        <v>57</v>
      </c>
      <c r="G4035">
        <f t="shared" si="62"/>
        <v>512</v>
      </c>
    </row>
    <row r="4036" spans="2:7" ht="15" hidden="1" x14ac:dyDescent="0.25">
      <c r="B4036" s="4">
        <v>584632990</v>
      </c>
      <c r="C4036" s="4" t="s">
        <v>269</v>
      </c>
      <c r="D4036" s="4">
        <v>1261</v>
      </c>
      <c r="E4036" s="4">
        <v>57</v>
      </c>
      <c r="G4036">
        <f t="shared" ref="G4036:G4099" si="63">(E4036+7)*8</f>
        <v>512</v>
      </c>
    </row>
    <row r="4037" spans="2:7" ht="15" hidden="1" x14ac:dyDescent="0.25">
      <c r="B4037" s="4">
        <v>584632991</v>
      </c>
      <c r="C4037" s="4" t="s">
        <v>269</v>
      </c>
      <c r="D4037" s="4">
        <v>1262</v>
      </c>
      <c r="E4037" s="4">
        <v>57</v>
      </c>
      <c r="G4037">
        <f t="shared" si="63"/>
        <v>512</v>
      </c>
    </row>
    <row r="4038" spans="2:7" ht="15" hidden="1" x14ac:dyDescent="0.25">
      <c r="B4038" s="4">
        <v>584632992</v>
      </c>
      <c r="C4038" s="4" t="s">
        <v>269</v>
      </c>
      <c r="D4038" s="4">
        <v>1263</v>
      </c>
      <c r="E4038" s="4">
        <v>57</v>
      </c>
      <c r="G4038">
        <f t="shared" si="63"/>
        <v>512</v>
      </c>
    </row>
    <row r="4039" spans="2:7" ht="15" hidden="1" x14ac:dyDescent="0.25">
      <c r="B4039" s="4">
        <v>584632993</v>
      </c>
      <c r="C4039" s="4" t="s">
        <v>269</v>
      </c>
      <c r="D4039" s="4">
        <v>1264</v>
      </c>
      <c r="E4039" s="4">
        <v>57</v>
      </c>
      <c r="G4039">
        <f t="shared" si="63"/>
        <v>512</v>
      </c>
    </row>
    <row r="4040" spans="2:7" ht="15" hidden="1" x14ac:dyDescent="0.25">
      <c r="B4040" s="4">
        <v>584632994</v>
      </c>
      <c r="C4040" s="4" t="s">
        <v>269</v>
      </c>
      <c r="D4040" s="4">
        <v>1265</v>
      </c>
      <c r="E4040" s="4">
        <v>57</v>
      </c>
      <c r="G4040">
        <f t="shared" si="63"/>
        <v>512</v>
      </c>
    </row>
    <row r="4041" spans="2:7" ht="15" hidden="1" x14ac:dyDescent="0.25">
      <c r="B4041" s="4">
        <v>584632995</v>
      </c>
      <c r="C4041" s="4" t="s">
        <v>269</v>
      </c>
      <c r="D4041" s="4">
        <v>1266</v>
      </c>
      <c r="E4041" s="4">
        <v>57</v>
      </c>
      <c r="G4041">
        <f t="shared" si="63"/>
        <v>512</v>
      </c>
    </row>
    <row r="4042" spans="2:7" ht="15" hidden="1" x14ac:dyDescent="0.25">
      <c r="B4042" s="4">
        <v>584632996</v>
      </c>
      <c r="C4042" s="4" t="s">
        <v>269</v>
      </c>
      <c r="D4042" s="4">
        <v>1267</v>
      </c>
      <c r="E4042" s="4">
        <v>57</v>
      </c>
      <c r="G4042">
        <f t="shared" si="63"/>
        <v>512</v>
      </c>
    </row>
    <row r="4043" spans="2:7" ht="15" hidden="1" x14ac:dyDescent="0.25">
      <c r="B4043" s="4">
        <v>584632997</v>
      </c>
      <c r="C4043" s="4" t="s">
        <v>269</v>
      </c>
      <c r="D4043" s="4">
        <v>1268</v>
      </c>
      <c r="E4043" s="4">
        <v>57</v>
      </c>
      <c r="G4043">
        <f t="shared" si="63"/>
        <v>512</v>
      </c>
    </row>
    <row r="4044" spans="2:7" ht="15" hidden="1" x14ac:dyDescent="0.25">
      <c r="B4044" s="4">
        <v>584632998</v>
      </c>
      <c r="C4044" s="4" t="s">
        <v>269</v>
      </c>
      <c r="D4044" s="4">
        <v>1269</v>
      </c>
      <c r="E4044" s="4">
        <v>57</v>
      </c>
      <c r="G4044">
        <f t="shared" si="63"/>
        <v>512</v>
      </c>
    </row>
    <row r="4045" spans="2:7" ht="15" hidden="1" x14ac:dyDescent="0.25">
      <c r="B4045" s="4">
        <v>584632998</v>
      </c>
      <c r="C4045" s="4" t="s">
        <v>272</v>
      </c>
      <c r="D4045" s="4">
        <v>115</v>
      </c>
      <c r="E4045" s="4">
        <v>211</v>
      </c>
      <c r="G4045">
        <f t="shared" si="63"/>
        <v>1744</v>
      </c>
    </row>
    <row r="4046" spans="2:7" ht="15" hidden="1" x14ac:dyDescent="0.25">
      <c r="B4046" s="4">
        <v>584632999</v>
      </c>
      <c r="C4046" s="4" t="s">
        <v>269</v>
      </c>
      <c r="D4046" s="4">
        <v>1270</v>
      </c>
      <c r="E4046" s="4">
        <v>57</v>
      </c>
      <c r="G4046">
        <f t="shared" si="63"/>
        <v>512</v>
      </c>
    </row>
    <row r="4047" spans="2:7" ht="15" hidden="1" x14ac:dyDescent="0.25">
      <c r="B4047" s="4">
        <v>584633000</v>
      </c>
      <c r="C4047" s="4" t="s">
        <v>269</v>
      </c>
      <c r="D4047" s="4">
        <v>1271</v>
      </c>
      <c r="E4047" s="4">
        <v>57</v>
      </c>
      <c r="G4047">
        <f t="shared" si="63"/>
        <v>512</v>
      </c>
    </row>
    <row r="4048" spans="2:7" ht="15" hidden="1" x14ac:dyDescent="0.25">
      <c r="B4048" s="4">
        <v>584633001</v>
      </c>
      <c r="C4048" s="4" t="s">
        <v>269</v>
      </c>
      <c r="D4048" s="4">
        <v>1272</v>
      </c>
      <c r="E4048" s="4">
        <v>57</v>
      </c>
      <c r="G4048">
        <f t="shared" si="63"/>
        <v>512</v>
      </c>
    </row>
    <row r="4049" spans="2:7" ht="15" hidden="1" x14ac:dyDescent="0.25">
      <c r="B4049" s="4">
        <v>584633002</v>
      </c>
      <c r="C4049" s="4" t="s">
        <v>269</v>
      </c>
      <c r="D4049" s="4">
        <v>1273</v>
      </c>
      <c r="E4049" s="4">
        <v>57</v>
      </c>
      <c r="G4049">
        <f t="shared" si="63"/>
        <v>512</v>
      </c>
    </row>
    <row r="4050" spans="2:7" ht="15" hidden="1" x14ac:dyDescent="0.25">
      <c r="B4050" s="4">
        <v>584633003</v>
      </c>
      <c r="C4050" s="4" t="s">
        <v>269</v>
      </c>
      <c r="D4050" s="4">
        <v>1274</v>
      </c>
      <c r="E4050" s="4">
        <v>57</v>
      </c>
      <c r="G4050">
        <f t="shared" si="63"/>
        <v>512</v>
      </c>
    </row>
    <row r="4051" spans="2:7" ht="15" hidden="1" x14ac:dyDescent="0.25">
      <c r="B4051" s="4">
        <v>584633004</v>
      </c>
      <c r="C4051" s="4" t="s">
        <v>269</v>
      </c>
      <c r="D4051" s="4">
        <v>1275</v>
      </c>
      <c r="E4051" s="4">
        <v>57</v>
      </c>
      <c r="G4051">
        <f t="shared" si="63"/>
        <v>512</v>
      </c>
    </row>
    <row r="4052" spans="2:7" ht="15" hidden="1" x14ac:dyDescent="0.25">
      <c r="B4052" s="4">
        <v>584633005</v>
      </c>
      <c r="C4052" s="4" t="s">
        <v>269</v>
      </c>
      <c r="D4052" s="4">
        <v>1276</v>
      </c>
      <c r="E4052" s="4">
        <v>57</v>
      </c>
      <c r="G4052">
        <f t="shared" si="63"/>
        <v>512</v>
      </c>
    </row>
    <row r="4053" spans="2:7" ht="15" hidden="1" x14ac:dyDescent="0.25">
      <c r="B4053" s="4">
        <v>584633006</v>
      </c>
      <c r="C4053" s="4" t="s">
        <v>269</v>
      </c>
      <c r="D4053" s="4">
        <v>1277</v>
      </c>
      <c r="E4053" s="4">
        <v>57</v>
      </c>
      <c r="G4053">
        <f t="shared" si="63"/>
        <v>512</v>
      </c>
    </row>
    <row r="4054" spans="2:7" ht="15" hidden="1" x14ac:dyDescent="0.25">
      <c r="B4054" s="4">
        <v>584633007</v>
      </c>
      <c r="C4054" s="4" t="s">
        <v>269</v>
      </c>
      <c r="D4054" s="4">
        <v>1278</v>
      </c>
      <c r="E4054" s="4">
        <v>57</v>
      </c>
      <c r="G4054">
        <f t="shared" si="63"/>
        <v>512</v>
      </c>
    </row>
    <row r="4055" spans="2:7" ht="15" hidden="1" x14ac:dyDescent="0.25">
      <c r="B4055" s="4">
        <v>584633008</v>
      </c>
      <c r="C4055" s="4" t="s">
        <v>269</v>
      </c>
      <c r="D4055" s="4">
        <v>1279</v>
      </c>
      <c r="E4055" s="4">
        <v>57</v>
      </c>
      <c r="G4055">
        <f t="shared" si="63"/>
        <v>512</v>
      </c>
    </row>
    <row r="4056" spans="2:7" ht="15" hidden="1" x14ac:dyDescent="0.25">
      <c r="B4056" s="4">
        <v>584633008</v>
      </c>
      <c r="C4056" s="4" t="s">
        <v>272</v>
      </c>
      <c r="D4056" s="4">
        <v>116</v>
      </c>
      <c r="E4056" s="4">
        <v>209</v>
      </c>
      <c r="G4056">
        <f t="shared" si="63"/>
        <v>1728</v>
      </c>
    </row>
    <row r="4057" spans="2:7" ht="15" hidden="1" x14ac:dyDescent="0.25">
      <c r="B4057" s="4">
        <v>584633009</v>
      </c>
      <c r="C4057" s="4" t="s">
        <v>269</v>
      </c>
      <c r="D4057" s="4">
        <v>1280</v>
      </c>
      <c r="E4057" s="4">
        <v>57</v>
      </c>
      <c r="G4057">
        <f t="shared" si="63"/>
        <v>512</v>
      </c>
    </row>
    <row r="4058" spans="2:7" ht="15" hidden="1" x14ac:dyDescent="0.25">
      <c r="B4058" s="4">
        <v>584633010</v>
      </c>
      <c r="C4058" s="4" t="s">
        <v>269</v>
      </c>
      <c r="D4058" s="4">
        <v>1281</v>
      </c>
      <c r="E4058" s="4">
        <v>57</v>
      </c>
      <c r="G4058">
        <f t="shared" si="63"/>
        <v>512</v>
      </c>
    </row>
    <row r="4059" spans="2:7" ht="15" hidden="1" x14ac:dyDescent="0.25">
      <c r="B4059" s="4">
        <v>584633011</v>
      </c>
      <c r="C4059" s="4" t="s">
        <v>269</v>
      </c>
      <c r="D4059" s="4">
        <v>1282</v>
      </c>
      <c r="E4059" s="4">
        <v>57</v>
      </c>
      <c r="G4059">
        <f t="shared" si="63"/>
        <v>512</v>
      </c>
    </row>
    <row r="4060" spans="2:7" ht="15" hidden="1" x14ac:dyDescent="0.25">
      <c r="B4060" s="4">
        <v>584633012</v>
      </c>
      <c r="C4060" s="4" t="s">
        <v>269</v>
      </c>
      <c r="D4060" s="4">
        <v>1283</v>
      </c>
      <c r="E4060" s="4">
        <v>57</v>
      </c>
      <c r="G4060">
        <f t="shared" si="63"/>
        <v>512</v>
      </c>
    </row>
    <row r="4061" spans="2:7" ht="15" hidden="1" x14ac:dyDescent="0.25">
      <c r="B4061" s="4">
        <v>584633013</v>
      </c>
      <c r="C4061" s="4" t="s">
        <v>269</v>
      </c>
      <c r="D4061" s="4">
        <v>1284</v>
      </c>
      <c r="E4061" s="4">
        <v>57</v>
      </c>
      <c r="G4061">
        <f t="shared" si="63"/>
        <v>512</v>
      </c>
    </row>
    <row r="4062" spans="2:7" ht="15" hidden="1" x14ac:dyDescent="0.25">
      <c r="B4062" s="4">
        <v>584633014</v>
      </c>
      <c r="C4062" s="4" t="s">
        <v>269</v>
      </c>
      <c r="D4062" s="4">
        <v>1285</v>
      </c>
      <c r="E4062" s="4">
        <v>57</v>
      </c>
      <c r="G4062">
        <f t="shared" si="63"/>
        <v>512</v>
      </c>
    </row>
    <row r="4063" spans="2:7" ht="15" hidden="1" x14ac:dyDescent="0.25">
      <c r="B4063" s="4">
        <v>584633015</v>
      </c>
      <c r="C4063" s="4" t="s">
        <v>269</v>
      </c>
      <c r="D4063" s="4">
        <v>1286</v>
      </c>
      <c r="E4063" s="4">
        <v>57</v>
      </c>
      <c r="G4063">
        <f t="shared" si="63"/>
        <v>512</v>
      </c>
    </row>
    <row r="4064" spans="2:7" ht="15" hidden="1" x14ac:dyDescent="0.25">
      <c r="B4064" s="4">
        <v>584633016</v>
      </c>
      <c r="C4064" s="4" t="s">
        <v>269</v>
      </c>
      <c r="D4064" s="4">
        <v>1287</v>
      </c>
      <c r="E4064" s="4">
        <v>57</v>
      </c>
      <c r="G4064">
        <f t="shared" si="63"/>
        <v>512</v>
      </c>
    </row>
    <row r="4065" spans="2:7" ht="15" hidden="1" x14ac:dyDescent="0.25">
      <c r="B4065" s="4">
        <v>584633017</v>
      </c>
      <c r="C4065" s="4" t="s">
        <v>269</v>
      </c>
      <c r="D4065" s="4">
        <v>1288</v>
      </c>
      <c r="E4065" s="4">
        <v>57</v>
      </c>
      <c r="G4065">
        <f t="shared" si="63"/>
        <v>512</v>
      </c>
    </row>
    <row r="4066" spans="2:7" ht="15" hidden="1" x14ac:dyDescent="0.25">
      <c r="B4066" s="4">
        <v>584633018</v>
      </c>
      <c r="C4066" s="4" t="s">
        <v>269</v>
      </c>
      <c r="D4066" s="4">
        <v>1289</v>
      </c>
      <c r="E4066" s="4">
        <v>57</v>
      </c>
      <c r="G4066">
        <f t="shared" si="63"/>
        <v>512</v>
      </c>
    </row>
    <row r="4067" spans="2:7" ht="15" hidden="1" x14ac:dyDescent="0.25">
      <c r="B4067" s="4">
        <v>584633018</v>
      </c>
      <c r="C4067" s="4" t="s">
        <v>272</v>
      </c>
      <c r="D4067" s="4">
        <v>117</v>
      </c>
      <c r="E4067" s="4">
        <v>209</v>
      </c>
      <c r="G4067">
        <f t="shared" si="63"/>
        <v>1728</v>
      </c>
    </row>
    <row r="4068" spans="2:7" ht="15" hidden="1" x14ac:dyDescent="0.25">
      <c r="B4068" s="4">
        <v>584633019</v>
      </c>
      <c r="C4068" s="4" t="s">
        <v>269</v>
      </c>
      <c r="D4068" s="4">
        <v>1290</v>
      </c>
      <c r="E4068" s="4">
        <v>57</v>
      </c>
      <c r="G4068">
        <f t="shared" si="63"/>
        <v>512</v>
      </c>
    </row>
    <row r="4069" spans="2:7" ht="15" hidden="1" x14ac:dyDescent="0.25">
      <c r="B4069" s="4">
        <v>584633020</v>
      </c>
      <c r="C4069" s="4" t="s">
        <v>269</v>
      </c>
      <c r="D4069" s="4">
        <v>1291</v>
      </c>
      <c r="E4069" s="4">
        <v>57</v>
      </c>
      <c r="G4069">
        <f t="shared" si="63"/>
        <v>512</v>
      </c>
    </row>
    <row r="4070" spans="2:7" ht="15" hidden="1" x14ac:dyDescent="0.25">
      <c r="B4070" s="4">
        <v>584633021</v>
      </c>
      <c r="C4070" s="4" t="s">
        <v>269</v>
      </c>
      <c r="D4070" s="4">
        <v>1292</v>
      </c>
      <c r="E4070" s="4">
        <v>57</v>
      </c>
      <c r="G4070">
        <f t="shared" si="63"/>
        <v>512</v>
      </c>
    </row>
    <row r="4071" spans="2:7" ht="15" hidden="1" x14ac:dyDescent="0.25">
      <c r="B4071" s="4">
        <v>584633022</v>
      </c>
      <c r="C4071" s="4" t="s">
        <v>269</v>
      </c>
      <c r="D4071" s="4">
        <v>1293</v>
      </c>
      <c r="E4071" s="4">
        <v>57</v>
      </c>
      <c r="G4071">
        <f t="shared" si="63"/>
        <v>512</v>
      </c>
    </row>
    <row r="4072" spans="2:7" ht="15" hidden="1" x14ac:dyDescent="0.25">
      <c r="B4072" s="4">
        <v>584633023</v>
      </c>
      <c r="C4072" s="4" t="s">
        <v>269</v>
      </c>
      <c r="D4072" s="4">
        <v>1294</v>
      </c>
      <c r="E4072" s="4">
        <v>57</v>
      </c>
      <c r="G4072">
        <f t="shared" si="63"/>
        <v>512</v>
      </c>
    </row>
    <row r="4073" spans="2:7" ht="15" hidden="1" x14ac:dyDescent="0.25">
      <c r="B4073" s="4">
        <v>584633024</v>
      </c>
      <c r="C4073" s="4" t="s">
        <v>269</v>
      </c>
      <c r="D4073" s="4">
        <v>1295</v>
      </c>
      <c r="E4073" s="4">
        <v>57</v>
      </c>
      <c r="G4073">
        <f t="shared" si="63"/>
        <v>512</v>
      </c>
    </row>
    <row r="4074" spans="2:7" ht="15" hidden="1" x14ac:dyDescent="0.25">
      <c r="B4074" s="4">
        <v>584633025</v>
      </c>
      <c r="C4074" s="4" t="s">
        <v>269</v>
      </c>
      <c r="D4074" s="4">
        <v>1296</v>
      </c>
      <c r="E4074" s="4">
        <v>57</v>
      </c>
      <c r="G4074">
        <f t="shared" si="63"/>
        <v>512</v>
      </c>
    </row>
    <row r="4075" spans="2:7" ht="15" hidden="1" x14ac:dyDescent="0.25">
      <c r="B4075" s="4">
        <v>584633026</v>
      </c>
      <c r="C4075" s="4" t="s">
        <v>269</v>
      </c>
      <c r="D4075" s="4">
        <v>1297</v>
      </c>
      <c r="E4075" s="4">
        <v>57</v>
      </c>
      <c r="G4075">
        <f t="shared" si="63"/>
        <v>512</v>
      </c>
    </row>
    <row r="4076" spans="2:7" ht="15" hidden="1" x14ac:dyDescent="0.25">
      <c r="B4076" s="4">
        <v>584633027</v>
      </c>
      <c r="C4076" s="4" t="s">
        <v>269</v>
      </c>
      <c r="D4076" s="4">
        <v>1298</v>
      </c>
      <c r="E4076" s="4">
        <v>57</v>
      </c>
      <c r="G4076">
        <f t="shared" si="63"/>
        <v>512</v>
      </c>
    </row>
    <row r="4077" spans="2:7" ht="15" hidden="1" x14ac:dyDescent="0.25">
      <c r="B4077" s="4">
        <v>584633028</v>
      </c>
      <c r="C4077" s="4" t="s">
        <v>269</v>
      </c>
      <c r="D4077" s="4">
        <v>1299</v>
      </c>
      <c r="E4077" s="4">
        <v>57</v>
      </c>
      <c r="G4077">
        <f t="shared" si="63"/>
        <v>512</v>
      </c>
    </row>
    <row r="4078" spans="2:7" ht="15" hidden="1" x14ac:dyDescent="0.25">
      <c r="B4078" s="4">
        <v>584633028</v>
      </c>
      <c r="C4078" s="4" t="s">
        <v>272</v>
      </c>
      <c r="D4078" s="4">
        <v>118</v>
      </c>
      <c r="E4078" s="4">
        <v>211</v>
      </c>
      <c r="G4078">
        <f t="shared" si="63"/>
        <v>1744</v>
      </c>
    </row>
    <row r="4079" spans="2:7" ht="15" hidden="1" x14ac:dyDescent="0.25">
      <c r="B4079" s="4">
        <v>584633029</v>
      </c>
      <c r="C4079" s="4" t="s">
        <v>269</v>
      </c>
      <c r="D4079" s="4">
        <v>1300</v>
      </c>
      <c r="E4079" s="4">
        <v>57</v>
      </c>
      <c r="G4079">
        <f t="shared" si="63"/>
        <v>512</v>
      </c>
    </row>
    <row r="4080" spans="2:7" ht="15" hidden="1" x14ac:dyDescent="0.25">
      <c r="B4080" s="4">
        <v>584633030</v>
      </c>
      <c r="C4080" s="4" t="s">
        <v>269</v>
      </c>
      <c r="D4080" s="4">
        <v>1301</v>
      </c>
      <c r="E4080" s="4">
        <v>57</v>
      </c>
      <c r="G4080">
        <f t="shared" si="63"/>
        <v>512</v>
      </c>
    </row>
    <row r="4081" spans="2:7" ht="15" hidden="1" x14ac:dyDescent="0.25">
      <c r="B4081" s="4">
        <v>584633031</v>
      </c>
      <c r="C4081" s="4" t="s">
        <v>269</v>
      </c>
      <c r="D4081" s="4">
        <v>1302</v>
      </c>
      <c r="E4081" s="4">
        <v>57</v>
      </c>
      <c r="G4081">
        <f t="shared" si="63"/>
        <v>512</v>
      </c>
    </row>
    <row r="4082" spans="2:7" ht="15" hidden="1" x14ac:dyDescent="0.25">
      <c r="B4082" s="4">
        <v>584633032</v>
      </c>
      <c r="C4082" s="4" t="s">
        <v>269</v>
      </c>
      <c r="D4082" s="4">
        <v>1303</v>
      </c>
      <c r="E4082" s="4">
        <v>57</v>
      </c>
      <c r="G4082">
        <f t="shared" si="63"/>
        <v>512</v>
      </c>
    </row>
    <row r="4083" spans="2:7" ht="15" hidden="1" x14ac:dyDescent="0.25">
      <c r="B4083" s="4">
        <v>584633033</v>
      </c>
      <c r="C4083" s="4" t="s">
        <v>269</v>
      </c>
      <c r="D4083" s="4">
        <v>1304</v>
      </c>
      <c r="E4083" s="4">
        <v>57</v>
      </c>
      <c r="G4083">
        <f t="shared" si="63"/>
        <v>512</v>
      </c>
    </row>
    <row r="4084" spans="2:7" ht="15" hidden="1" x14ac:dyDescent="0.25">
      <c r="B4084" s="4">
        <v>584633034</v>
      </c>
      <c r="C4084" s="4" t="s">
        <v>269</v>
      </c>
      <c r="D4084" s="4">
        <v>1305</v>
      </c>
      <c r="E4084" s="4">
        <v>57</v>
      </c>
      <c r="G4084">
        <f t="shared" si="63"/>
        <v>512</v>
      </c>
    </row>
    <row r="4085" spans="2:7" ht="15" hidden="1" x14ac:dyDescent="0.25">
      <c r="B4085" s="4">
        <v>584633035</v>
      </c>
      <c r="C4085" s="4" t="s">
        <v>269</v>
      </c>
      <c r="D4085" s="4">
        <v>1306</v>
      </c>
      <c r="E4085" s="4">
        <v>57</v>
      </c>
      <c r="G4085">
        <f t="shared" si="63"/>
        <v>512</v>
      </c>
    </row>
    <row r="4086" spans="2:7" ht="15" hidden="1" x14ac:dyDescent="0.25">
      <c r="B4086" s="4">
        <v>584633036</v>
      </c>
      <c r="C4086" s="4" t="s">
        <v>268</v>
      </c>
      <c r="D4086" s="4">
        <v>266</v>
      </c>
      <c r="E4086" s="4">
        <v>6</v>
      </c>
      <c r="G4086">
        <f t="shared" si="63"/>
        <v>104</v>
      </c>
    </row>
    <row r="4087" spans="2:7" ht="15" hidden="1" x14ac:dyDescent="0.25">
      <c r="B4087" s="4">
        <v>584633036</v>
      </c>
      <c r="C4087" s="4" t="s">
        <v>268</v>
      </c>
      <c r="D4087" s="4">
        <v>266</v>
      </c>
      <c r="E4087" s="4">
        <v>6</v>
      </c>
      <c r="G4087">
        <f t="shared" si="63"/>
        <v>104</v>
      </c>
    </row>
    <row r="4088" spans="2:7" ht="15" hidden="1" x14ac:dyDescent="0.25">
      <c r="B4088" s="4">
        <v>584633036</v>
      </c>
      <c r="C4088" s="4" t="s">
        <v>268</v>
      </c>
      <c r="D4088" s="4">
        <v>267</v>
      </c>
      <c r="E4088" s="4">
        <v>9</v>
      </c>
      <c r="G4088">
        <f t="shared" si="63"/>
        <v>128</v>
      </c>
    </row>
    <row r="4089" spans="2:7" ht="15" hidden="1" x14ac:dyDescent="0.25">
      <c r="B4089" s="4">
        <v>584633036</v>
      </c>
      <c r="C4089" s="4" t="s">
        <v>268</v>
      </c>
      <c r="D4089" s="4">
        <v>267</v>
      </c>
      <c r="E4089" s="4">
        <v>9</v>
      </c>
      <c r="G4089">
        <f t="shared" si="63"/>
        <v>128</v>
      </c>
    </row>
    <row r="4090" spans="2:7" ht="15" hidden="1" x14ac:dyDescent="0.25">
      <c r="B4090" s="4">
        <v>584633036</v>
      </c>
      <c r="C4090" s="4" t="s">
        <v>268</v>
      </c>
      <c r="D4090" s="4">
        <v>268</v>
      </c>
      <c r="E4090" s="4">
        <v>7</v>
      </c>
      <c r="G4090">
        <f t="shared" si="63"/>
        <v>112</v>
      </c>
    </row>
    <row r="4091" spans="2:7" ht="15" hidden="1" x14ac:dyDescent="0.25">
      <c r="B4091" s="4">
        <v>584633036</v>
      </c>
      <c r="C4091" s="4" t="s">
        <v>268</v>
      </c>
      <c r="D4091" s="4">
        <v>268</v>
      </c>
      <c r="E4091" s="4">
        <v>7</v>
      </c>
      <c r="G4091">
        <f t="shared" si="63"/>
        <v>112</v>
      </c>
    </row>
    <row r="4092" spans="2:7" ht="15" hidden="1" x14ac:dyDescent="0.25">
      <c r="B4092" s="4">
        <v>584633036</v>
      </c>
      <c r="C4092" s="4" t="s">
        <v>268</v>
      </c>
      <c r="D4092" s="4">
        <v>269</v>
      </c>
      <c r="E4092" s="4">
        <v>7</v>
      </c>
      <c r="G4092">
        <f t="shared" si="63"/>
        <v>112</v>
      </c>
    </row>
    <row r="4093" spans="2:7" ht="15" hidden="1" x14ac:dyDescent="0.25">
      <c r="B4093" s="4">
        <v>584633036</v>
      </c>
      <c r="C4093" s="4" t="s">
        <v>268</v>
      </c>
      <c r="D4093" s="4">
        <v>269</v>
      </c>
      <c r="E4093" s="4">
        <v>7</v>
      </c>
      <c r="G4093">
        <f t="shared" si="63"/>
        <v>112</v>
      </c>
    </row>
    <row r="4094" spans="2:7" ht="15" hidden="1" x14ac:dyDescent="0.25">
      <c r="B4094" s="4">
        <v>584633036</v>
      </c>
      <c r="C4094" s="4" t="s">
        <v>268</v>
      </c>
      <c r="D4094" s="4">
        <v>270</v>
      </c>
      <c r="E4094" s="4">
        <v>7</v>
      </c>
      <c r="G4094">
        <f t="shared" si="63"/>
        <v>112</v>
      </c>
    </row>
    <row r="4095" spans="2:7" ht="15" hidden="1" x14ac:dyDescent="0.25">
      <c r="B4095" s="4">
        <v>584633036</v>
      </c>
      <c r="C4095" s="4" t="s">
        <v>268</v>
      </c>
      <c r="D4095" s="4">
        <v>270</v>
      </c>
      <c r="E4095" s="4">
        <v>7</v>
      </c>
      <c r="G4095">
        <f t="shared" si="63"/>
        <v>112</v>
      </c>
    </row>
    <row r="4096" spans="2:7" ht="15" hidden="1" x14ac:dyDescent="0.25">
      <c r="B4096" s="4">
        <v>584633036</v>
      </c>
      <c r="C4096" s="4" t="s">
        <v>269</v>
      </c>
      <c r="D4096" s="4">
        <v>1307</v>
      </c>
      <c r="E4096" s="4">
        <v>57</v>
      </c>
      <c r="G4096">
        <f t="shared" si="63"/>
        <v>512</v>
      </c>
    </row>
    <row r="4097" spans="2:7" ht="15" hidden="1" x14ac:dyDescent="0.25">
      <c r="B4097" s="4">
        <v>584633037</v>
      </c>
      <c r="C4097" s="4" t="s">
        <v>269</v>
      </c>
      <c r="D4097" s="4">
        <v>1308</v>
      </c>
      <c r="E4097" s="4">
        <v>57</v>
      </c>
      <c r="G4097">
        <f t="shared" si="63"/>
        <v>512</v>
      </c>
    </row>
    <row r="4098" spans="2:7" ht="15" hidden="1" x14ac:dyDescent="0.25">
      <c r="B4098" s="4">
        <v>584633038</v>
      </c>
      <c r="C4098" s="4" t="s">
        <v>268</v>
      </c>
      <c r="D4098" s="4">
        <v>271</v>
      </c>
      <c r="E4098" s="4">
        <v>7</v>
      </c>
      <c r="G4098">
        <f t="shared" si="63"/>
        <v>112</v>
      </c>
    </row>
    <row r="4099" spans="2:7" ht="15" hidden="1" x14ac:dyDescent="0.25">
      <c r="B4099" s="4">
        <v>584633038</v>
      </c>
      <c r="C4099" s="4" t="s">
        <v>268</v>
      </c>
      <c r="D4099" s="4">
        <v>271</v>
      </c>
      <c r="E4099" s="4">
        <v>7</v>
      </c>
      <c r="G4099">
        <f t="shared" si="63"/>
        <v>112</v>
      </c>
    </row>
    <row r="4100" spans="2:7" ht="15" hidden="1" x14ac:dyDescent="0.25">
      <c r="B4100" s="4">
        <v>584633038</v>
      </c>
      <c r="C4100" s="4" t="s">
        <v>268</v>
      </c>
      <c r="D4100" s="4">
        <v>272</v>
      </c>
      <c r="E4100" s="4">
        <v>5</v>
      </c>
      <c r="G4100">
        <f t="shared" ref="G4100:G4163" si="64">(E4100+7)*8</f>
        <v>96</v>
      </c>
    </row>
    <row r="4101" spans="2:7" ht="15" hidden="1" x14ac:dyDescent="0.25">
      <c r="B4101" s="4">
        <v>584633038</v>
      </c>
      <c r="C4101" s="4" t="s">
        <v>268</v>
      </c>
      <c r="D4101" s="4">
        <v>272</v>
      </c>
      <c r="E4101" s="4">
        <v>5</v>
      </c>
      <c r="G4101">
        <f t="shared" si="64"/>
        <v>96</v>
      </c>
    </row>
    <row r="4102" spans="2:7" ht="15" hidden="1" x14ac:dyDescent="0.25">
      <c r="B4102" s="4">
        <v>584633038</v>
      </c>
      <c r="C4102" s="4" t="s">
        <v>268</v>
      </c>
      <c r="D4102" s="4">
        <v>273</v>
      </c>
      <c r="E4102" s="4">
        <v>7</v>
      </c>
      <c r="G4102">
        <f t="shared" si="64"/>
        <v>112</v>
      </c>
    </row>
    <row r="4103" spans="2:7" ht="15" hidden="1" x14ac:dyDescent="0.25">
      <c r="B4103" s="4">
        <v>584633038</v>
      </c>
      <c r="C4103" s="4" t="s">
        <v>268</v>
      </c>
      <c r="D4103" s="4">
        <v>273</v>
      </c>
      <c r="E4103" s="4">
        <v>7</v>
      </c>
      <c r="G4103">
        <f t="shared" si="64"/>
        <v>112</v>
      </c>
    </row>
    <row r="4104" spans="2:7" ht="15" hidden="1" x14ac:dyDescent="0.25">
      <c r="B4104" s="4">
        <v>584633038</v>
      </c>
      <c r="C4104" s="4" t="s">
        <v>269</v>
      </c>
      <c r="D4104" s="4">
        <v>1309</v>
      </c>
      <c r="E4104" s="4">
        <v>57</v>
      </c>
      <c r="G4104">
        <f t="shared" si="64"/>
        <v>512</v>
      </c>
    </row>
    <row r="4105" spans="2:7" ht="15" hidden="1" x14ac:dyDescent="0.25">
      <c r="B4105" s="4">
        <v>584633038</v>
      </c>
      <c r="C4105" s="4" t="s">
        <v>272</v>
      </c>
      <c r="D4105" s="4">
        <v>119</v>
      </c>
      <c r="E4105" s="4">
        <v>211</v>
      </c>
      <c r="G4105">
        <f t="shared" si="64"/>
        <v>1744</v>
      </c>
    </row>
    <row r="4106" spans="2:7" ht="15" hidden="1" x14ac:dyDescent="0.25">
      <c r="B4106" s="4">
        <v>584633039</v>
      </c>
      <c r="C4106" s="4" t="s">
        <v>269</v>
      </c>
      <c r="D4106" s="4">
        <v>1310</v>
      </c>
      <c r="E4106" s="4">
        <v>57</v>
      </c>
      <c r="G4106">
        <f t="shared" si="64"/>
        <v>512</v>
      </c>
    </row>
    <row r="4107" spans="2:7" ht="15" hidden="1" x14ac:dyDescent="0.25">
      <c r="B4107" s="4">
        <v>584633040</v>
      </c>
      <c r="C4107" s="4" t="s">
        <v>269</v>
      </c>
      <c r="D4107" s="4">
        <v>1311</v>
      </c>
      <c r="E4107" s="4">
        <v>57</v>
      </c>
      <c r="G4107">
        <f t="shared" si="64"/>
        <v>512</v>
      </c>
    </row>
    <row r="4108" spans="2:7" ht="15" hidden="1" x14ac:dyDescent="0.25">
      <c r="B4108" s="4">
        <v>584633041</v>
      </c>
      <c r="C4108" s="4" t="s">
        <v>269</v>
      </c>
      <c r="D4108" s="4">
        <v>1312</v>
      </c>
      <c r="E4108" s="4">
        <v>57</v>
      </c>
      <c r="G4108">
        <f t="shared" si="64"/>
        <v>512</v>
      </c>
    </row>
    <row r="4109" spans="2:7" ht="15" hidden="1" x14ac:dyDescent="0.25">
      <c r="B4109" s="4">
        <v>584633042</v>
      </c>
      <c r="C4109" s="4" t="s">
        <v>269</v>
      </c>
      <c r="D4109" s="4">
        <v>1313</v>
      </c>
      <c r="E4109" s="4">
        <v>57</v>
      </c>
      <c r="G4109">
        <f t="shared" si="64"/>
        <v>512</v>
      </c>
    </row>
    <row r="4110" spans="2:7" ht="15" hidden="1" x14ac:dyDescent="0.25">
      <c r="B4110" s="4">
        <v>584633043</v>
      </c>
      <c r="C4110" s="4" t="s">
        <v>269</v>
      </c>
      <c r="D4110" s="4">
        <v>1314</v>
      </c>
      <c r="E4110" s="4">
        <v>57</v>
      </c>
      <c r="G4110">
        <f t="shared" si="64"/>
        <v>512</v>
      </c>
    </row>
    <row r="4111" spans="2:7" ht="15" hidden="1" x14ac:dyDescent="0.25">
      <c r="B4111" s="4">
        <v>584633044</v>
      </c>
      <c r="C4111" s="4" t="s">
        <v>269</v>
      </c>
      <c r="D4111" s="4">
        <v>1315</v>
      </c>
      <c r="E4111" s="4">
        <v>57</v>
      </c>
      <c r="G4111">
        <f t="shared" si="64"/>
        <v>512</v>
      </c>
    </row>
    <row r="4112" spans="2:7" ht="15" hidden="1" x14ac:dyDescent="0.25">
      <c r="B4112" s="4">
        <v>584633045</v>
      </c>
      <c r="C4112" s="4" t="s">
        <v>269</v>
      </c>
      <c r="D4112" s="4">
        <v>1316</v>
      </c>
      <c r="E4112" s="4">
        <v>57</v>
      </c>
      <c r="G4112">
        <f t="shared" si="64"/>
        <v>512</v>
      </c>
    </row>
    <row r="4113" spans="1:7" ht="15" hidden="1" x14ac:dyDescent="0.25">
      <c r="B4113" s="4">
        <v>584633046</v>
      </c>
      <c r="C4113" s="4" t="s">
        <v>269</v>
      </c>
      <c r="D4113" s="4">
        <v>1317</v>
      </c>
      <c r="E4113" s="4">
        <v>57</v>
      </c>
      <c r="G4113">
        <f t="shared" si="64"/>
        <v>512</v>
      </c>
    </row>
    <row r="4114" spans="1:7" ht="15" hidden="1" x14ac:dyDescent="0.25">
      <c r="B4114" s="4">
        <v>584633047</v>
      </c>
      <c r="C4114" s="4" t="s">
        <v>269</v>
      </c>
      <c r="D4114" s="4">
        <v>1318</v>
      </c>
      <c r="E4114" s="4">
        <v>57</v>
      </c>
      <c r="G4114">
        <f t="shared" si="64"/>
        <v>512</v>
      </c>
    </row>
    <row r="4115" spans="1:7" ht="15" hidden="1" x14ac:dyDescent="0.25">
      <c r="B4115" s="4">
        <v>584633048</v>
      </c>
      <c r="C4115" s="4" t="s">
        <v>269</v>
      </c>
      <c r="D4115" s="4">
        <v>1319</v>
      </c>
      <c r="E4115" s="4">
        <v>57</v>
      </c>
      <c r="G4115">
        <f t="shared" si="64"/>
        <v>512</v>
      </c>
    </row>
    <row r="4116" spans="1:7" ht="15" x14ac:dyDescent="0.25">
      <c r="A4116">
        <f>B4116-B3906</f>
        <v>161</v>
      </c>
      <c r="B4116" s="4">
        <v>584633048</v>
      </c>
      <c r="C4116" s="4" t="s">
        <v>270</v>
      </c>
      <c r="D4116" s="4">
        <v>4</v>
      </c>
      <c r="E4116" s="4">
        <v>1100</v>
      </c>
      <c r="G4116">
        <f t="shared" si="64"/>
        <v>8856</v>
      </c>
    </row>
    <row r="4117" spans="1:7" ht="15" x14ac:dyDescent="0.25">
      <c r="A4117">
        <f>B4117-B3907</f>
        <v>160</v>
      </c>
      <c r="B4117" s="4">
        <v>584633048</v>
      </c>
      <c r="C4117" s="4" t="s">
        <v>271</v>
      </c>
      <c r="D4117" s="4">
        <v>4</v>
      </c>
      <c r="E4117" s="4">
        <v>1100</v>
      </c>
      <c r="G4117">
        <f t="shared" si="64"/>
        <v>8856</v>
      </c>
    </row>
    <row r="4118" spans="1:7" ht="15" hidden="1" x14ac:dyDescent="0.25">
      <c r="B4118" s="4">
        <v>584633049</v>
      </c>
      <c r="C4118" s="4" t="s">
        <v>269</v>
      </c>
      <c r="D4118" s="4">
        <v>1320</v>
      </c>
      <c r="E4118" s="4">
        <v>57</v>
      </c>
      <c r="G4118">
        <f t="shared" si="64"/>
        <v>512</v>
      </c>
    </row>
    <row r="4119" spans="1:7" ht="15" hidden="1" x14ac:dyDescent="0.25">
      <c r="B4119" s="4">
        <v>584633049</v>
      </c>
      <c r="C4119" s="4" t="s">
        <v>272</v>
      </c>
      <c r="D4119" s="4">
        <v>120</v>
      </c>
      <c r="E4119" s="4">
        <v>215</v>
      </c>
      <c r="G4119">
        <f t="shared" si="64"/>
        <v>1776</v>
      </c>
    </row>
    <row r="4120" spans="1:7" ht="15" hidden="1" x14ac:dyDescent="0.25">
      <c r="B4120" s="4">
        <v>584633050</v>
      </c>
      <c r="C4120" s="4" t="s">
        <v>269</v>
      </c>
      <c r="D4120" s="4">
        <v>1321</v>
      </c>
      <c r="E4120" s="4">
        <v>57</v>
      </c>
      <c r="G4120">
        <f t="shared" si="64"/>
        <v>512</v>
      </c>
    </row>
    <row r="4121" spans="1:7" ht="15" hidden="1" x14ac:dyDescent="0.25">
      <c r="B4121" s="4">
        <v>584633051</v>
      </c>
      <c r="C4121" s="4" t="s">
        <v>269</v>
      </c>
      <c r="D4121" s="4">
        <v>1322</v>
      </c>
      <c r="E4121" s="4">
        <v>57</v>
      </c>
      <c r="G4121">
        <f t="shared" si="64"/>
        <v>512</v>
      </c>
    </row>
    <row r="4122" spans="1:7" ht="15" hidden="1" x14ac:dyDescent="0.25">
      <c r="B4122" s="4">
        <v>584633052</v>
      </c>
      <c r="C4122" s="4" t="s">
        <v>269</v>
      </c>
      <c r="D4122" s="4">
        <v>1323</v>
      </c>
      <c r="E4122" s="4">
        <v>57</v>
      </c>
      <c r="G4122">
        <f t="shared" si="64"/>
        <v>512</v>
      </c>
    </row>
    <row r="4123" spans="1:7" ht="15" hidden="1" x14ac:dyDescent="0.25">
      <c r="B4123" s="4">
        <v>584633053</v>
      </c>
      <c r="C4123" s="4" t="s">
        <v>269</v>
      </c>
      <c r="D4123" s="4">
        <v>1324</v>
      </c>
      <c r="E4123" s="4">
        <v>57</v>
      </c>
      <c r="G4123">
        <f t="shared" si="64"/>
        <v>512</v>
      </c>
    </row>
    <row r="4124" spans="1:7" ht="15" hidden="1" x14ac:dyDescent="0.25">
      <c r="B4124" s="4">
        <v>584633054</v>
      </c>
      <c r="C4124" s="4" t="s">
        <v>269</v>
      </c>
      <c r="D4124" s="4">
        <v>1325</v>
      </c>
      <c r="E4124" s="4">
        <v>57</v>
      </c>
      <c r="G4124">
        <f t="shared" si="64"/>
        <v>512</v>
      </c>
    </row>
    <row r="4125" spans="1:7" ht="15" hidden="1" x14ac:dyDescent="0.25">
      <c r="B4125" s="4">
        <v>584633055</v>
      </c>
      <c r="C4125" s="4" t="s">
        <v>269</v>
      </c>
      <c r="D4125" s="4">
        <v>1326</v>
      </c>
      <c r="E4125" s="4">
        <v>57</v>
      </c>
      <c r="G4125">
        <f t="shared" si="64"/>
        <v>512</v>
      </c>
    </row>
    <row r="4126" spans="1:7" ht="15" hidden="1" x14ac:dyDescent="0.25">
      <c r="B4126" s="4">
        <v>584633056</v>
      </c>
      <c r="C4126" s="4" t="s">
        <v>269</v>
      </c>
      <c r="D4126" s="4">
        <v>1327</v>
      </c>
      <c r="E4126" s="4">
        <v>57</v>
      </c>
      <c r="G4126">
        <f t="shared" si="64"/>
        <v>512</v>
      </c>
    </row>
    <row r="4127" spans="1:7" ht="15" hidden="1" x14ac:dyDescent="0.25">
      <c r="B4127" s="4">
        <v>584633057</v>
      </c>
      <c r="C4127" s="4" t="s">
        <v>269</v>
      </c>
      <c r="D4127" s="4">
        <v>1328</v>
      </c>
      <c r="E4127" s="4">
        <v>57</v>
      </c>
      <c r="G4127">
        <f t="shared" si="64"/>
        <v>512</v>
      </c>
    </row>
    <row r="4128" spans="1:7" ht="15" hidden="1" x14ac:dyDescent="0.25">
      <c r="B4128" s="4">
        <v>584633058</v>
      </c>
      <c r="C4128" s="4" t="s">
        <v>269</v>
      </c>
      <c r="D4128" s="4">
        <v>1329</v>
      </c>
      <c r="E4128" s="4">
        <v>57</v>
      </c>
      <c r="G4128">
        <f t="shared" si="64"/>
        <v>512</v>
      </c>
    </row>
    <row r="4129" spans="2:7" ht="15" hidden="1" x14ac:dyDescent="0.25">
      <c r="B4129" s="4">
        <v>584633058</v>
      </c>
      <c r="C4129" s="4" t="s">
        <v>272</v>
      </c>
      <c r="D4129" s="4">
        <v>121</v>
      </c>
      <c r="E4129" s="4">
        <v>209</v>
      </c>
      <c r="G4129">
        <f t="shared" si="64"/>
        <v>1728</v>
      </c>
    </row>
    <row r="4130" spans="2:7" ht="15" hidden="1" x14ac:dyDescent="0.25">
      <c r="B4130" s="4">
        <v>584633059</v>
      </c>
      <c r="C4130" s="4" t="s">
        <v>269</v>
      </c>
      <c r="D4130" s="4">
        <v>1330</v>
      </c>
      <c r="E4130" s="4">
        <v>57</v>
      </c>
      <c r="G4130">
        <f t="shared" si="64"/>
        <v>512</v>
      </c>
    </row>
    <row r="4131" spans="2:7" ht="15" hidden="1" x14ac:dyDescent="0.25">
      <c r="B4131" s="4">
        <v>584633060</v>
      </c>
      <c r="C4131" s="4" t="s">
        <v>269</v>
      </c>
      <c r="D4131" s="4">
        <v>1331</v>
      </c>
      <c r="E4131" s="4">
        <v>57</v>
      </c>
      <c r="G4131">
        <f t="shared" si="64"/>
        <v>512</v>
      </c>
    </row>
    <row r="4132" spans="2:7" ht="15" hidden="1" x14ac:dyDescent="0.25">
      <c r="B4132" s="4">
        <v>584633061</v>
      </c>
      <c r="C4132" s="4" t="s">
        <v>269</v>
      </c>
      <c r="D4132" s="4">
        <v>1332</v>
      </c>
      <c r="E4132" s="4">
        <v>57</v>
      </c>
      <c r="G4132">
        <f t="shared" si="64"/>
        <v>512</v>
      </c>
    </row>
    <row r="4133" spans="2:7" ht="15" hidden="1" x14ac:dyDescent="0.25">
      <c r="B4133" s="4">
        <v>584633062</v>
      </c>
      <c r="C4133" s="4" t="s">
        <v>269</v>
      </c>
      <c r="D4133" s="4">
        <v>1333</v>
      </c>
      <c r="E4133" s="4">
        <v>57</v>
      </c>
      <c r="G4133">
        <f t="shared" si="64"/>
        <v>512</v>
      </c>
    </row>
    <row r="4134" spans="2:7" ht="15" hidden="1" x14ac:dyDescent="0.25">
      <c r="B4134" s="4">
        <v>584633063</v>
      </c>
      <c r="C4134" s="4" t="s">
        <v>269</v>
      </c>
      <c r="D4134" s="4">
        <v>1334</v>
      </c>
      <c r="E4134" s="4">
        <v>57</v>
      </c>
      <c r="G4134">
        <f t="shared" si="64"/>
        <v>512</v>
      </c>
    </row>
    <row r="4135" spans="2:7" ht="15" hidden="1" x14ac:dyDescent="0.25">
      <c r="B4135" s="4">
        <v>584633064</v>
      </c>
      <c r="C4135" s="4" t="s">
        <v>269</v>
      </c>
      <c r="D4135" s="4">
        <v>1335</v>
      </c>
      <c r="E4135" s="4">
        <v>57</v>
      </c>
      <c r="G4135">
        <f t="shared" si="64"/>
        <v>512</v>
      </c>
    </row>
    <row r="4136" spans="2:7" ht="15" hidden="1" x14ac:dyDescent="0.25">
      <c r="B4136" s="4">
        <v>584633065</v>
      </c>
      <c r="C4136" s="4" t="s">
        <v>269</v>
      </c>
      <c r="D4136" s="4">
        <v>1336</v>
      </c>
      <c r="E4136" s="4">
        <v>57</v>
      </c>
      <c r="G4136">
        <f t="shared" si="64"/>
        <v>512</v>
      </c>
    </row>
    <row r="4137" spans="2:7" ht="15" hidden="1" x14ac:dyDescent="0.25">
      <c r="B4137" s="4">
        <v>584633066</v>
      </c>
      <c r="C4137" s="4" t="s">
        <v>269</v>
      </c>
      <c r="D4137" s="4">
        <v>1337</v>
      </c>
      <c r="E4137" s="4">
        <v>57</v>
      </c>
      <c r="G4137">
        <f t="shared" si="64"/>
        <v>512</v>
      </c>
    </row>
    <row r="4138" spans="2:7" ht="15" hidden="1" x14ac:dyDescent="0.25">
      <c r="B4138" s="4">
        <v>584633067</v>
      </c>
      <c r="C4138" s="4" t="s">
        <v>269</v>
      </c>
      <c r="D4138" s="4">
        <v>1338</v>
      </c>
      <c r="E4138" s="4">
        <v>57</v>
      </c>
      <c r="G4138">
        <f t="shared" si="64"/>
        <v>512</v>
      </c>
    </row>
    <row r="4139" spans="2:7" ht="15" hidden="1" x14ac:dyDescent="0.25">
      <c r="B4139" s="4">
        <v>584633068</v>
      </c>
      <c r="C4139" s="4" t="s">
        <v>269</v>
      </c>
      <c r="D4139" s="4">
        <v>1339</v>
      </c>
      <c r="E4139" s="4">
        <v>57</v>
      </c>
      <c r="G4139">
        <f t="shared" si="64"/>
        <v>512</v>
      </c>
    </row>
    <row r="4140" spans="2:7" ht="15" hidden="1" x14ac:dyDescent="0.25">
      <c r="B4140" s="4">
        <v>584633068</v>
      </c>
      <c r="C4140" s="4" t="s">
        <v>272</v>
      </c>
      <c r="D4140" s="4">
        <v>122</v>
      </c>
      <c r="E4140" s="4">
        <v>209</v>
      </c>
      <c r="G4140">
        <f t="shared" si="64"/>
        <v>1728</v>
      </c>
    </row>
    <row r="4141" spans="2:7" ht="15" hidden="1" x14ac:dyDescent="0.25">
      <c r="B4141" s="4">
        <v>584633069</v>
      </c>
      <c r="C4141" s="4" t="s">
        <v>269</v>
      </c>
      <c r="D4141" s="4">
        <v>1340</v>
      </c>
      <c r="E4141" s="4">
        <v>57</v>
      </c>
      <c r="G4141">
        <f t="shared" si="64"/>
        <v>512</v>
      </c>
    </row>
    <row r="4142" spans="2:7" ht="15" hidden="1" x14ac:dyDescent="0.25">
      <c r="B4142" s="4">
        <v>584633070</v>
      </c>
      <c r="C4142" s="4" t="s">
        <v>269</v>
      </c>
      <c r="D4142" s="4">
        <v>1341</v>
      </c>
      <c r="E4142" s="4">
        <v>57</v>
      </c>
      <c r="G4142">
        <f t="shared" si="64"/>
        <v>512</v>
      </c>
    </row>
    <row r="4143" spans="2:7" ht="15" hidden="1" x14ac:dyDescent="0.25">
      <c r="B4143" s="4">
        <v>584633071</v>
      </c>
      <c r="C4143" s="4" t="s">
        <v>269</v>
      </c>
      <c r="D4143" s="4">
        <v>1342</v>
      </c>
      <c r="E4143" s="4">
        <v>57</v>
      </c>
      <c r="G4143">
        <f t="shared" si="64"/>
        <v>512</v>
      </c>
    </row>
    <row r="4144" spans="2:7" ht="15" hidden="1" x14ac:dyDescent="0.25">
      <c r="B4144" s="4">
        <v>584633072</v>
      </c>
      <c r="C4144" s="4" t="s">
        <v>269</v>
      </c>
      <c r="D4144" s="4">
        <v>1343</v>
      </c>
      <c r="E4144" s="4">
        <v>57</v>
      </c>
      <c r="G4144">
        <f t="shared" si="64"/>
        <v>512</v>
      </c>
    </row>
    <row r="4145" spans="2:7" ht="15" hidden="1" x14ac:dyDescent="0.25">
      <c r="B4145" s="4">
        <v>584633073</v>
      </c>
      <c r="C4145" s="4" t="s">
        <v>269</v>
      </c>
      <c r="D4145" s="4">
        <v>1344</v>
      </c>
      <c r="E4145" s="4">
        <v>57</v>
      </c>
      <c r="G4145">
        <f t="shared" si="64"/>
        <v>512</v>
      </c>
    </row>
    <row r="4146" spans="2:7" ht="15" hidden="1" x14ac:dyDescent="0.25">
      <c r="B4146" s="4">
        <v>584633074</v>
      </c>
      <c r="C4146" s="4" t="s">
        <v>269</v>
      </c>
      <c r="D4146" s="4">
        <v>1345</v>
      </c>
      <c r="E4146" s="4">
        <v>57</v>
      </c>
      <c r="G4146">
        <f t="shared" si="64"/>
        <v>512</v>
      </c>
    </row>
    <row r="4147" spans="2:7" ht="15" hidden="1" x14ac:dyDescent="0.25">
      <c r="B4147" s="4">
        <v>584633075</v>
      </c>
      <c r="C4147" s="4" t="s">
        <v>269</v>
      </c>
      <c r="D4147" s="4">
        <v>1346</v>
      </c>
      <c r="E4147" s="4">
        <v>57</v>
      </c>
      <c r="G4147">
        <f t="shared" si="64"/>
        <v>512</v>
      </c>
    </row>
    <row r="4148" spans="2:7" ht="15" hidden="1" x14ac:dyDescent="0.25">
      <c r="B4148" s="4">
        <v>584633076</v>
      </c>
      <c r="C4148" s="4" t="s">
        <v>269</v>
      </c>
      <c r="D4148" s="4">
        <v>1347</v>
      </c>
      <c r="E4148" s="4">
        <v>57</v>
      </c>
      <c r="G4148">
        <f t="shared" si="64"/>
        <v>512</v>
      </c>
    </row>
    <row r="4149" spans="2:7" ht="15" hidden="1" x14ac:dyDescent="0.25">
      <c r="B4149" s="4">
        <v>584633077</v>
      </c>
      <c r="C4149" s="4" t="s">
        <v>269</v>
      </c>
      <c r="D4149" s="4">
        <v>1348</v>
      </c>
      <c r="E4149" s="4">
        <v>57</v>
      </c>
      <c r="G4149">
        <f t="shared" si="64"/>
        <v>512</v>
      </c>
    </row>
    <row r="4150" spans="2:7" ht="15" hidden="1" x14ac:dyDescent="0.25">
      <c r="B4150" s="4">
        <v>584633078</v>
      </c>
      <c r="C4150" s="4" t="s">
        <v>269</v>
      </c>
      <c r="D4150" s="4">
        <v>1349</v>
      </c>
      <c r="E4150" s="4">
        <v>57</v>
      </c>
      <c r="G4150">
        <f t="shared" si="64"/>
        <v>512</v>
      </c>
    </row>
    <row r="4151" spans="2:7" ht="15" hidden="1" x14ac:dyDescent="0.25">
      <c r="B4151" s="4">
        <v>584633078</v>
      </c>
      <c r="C4151" s="4" t="s">
        <v>272</v>
      </c>
      <c r="D4151" s="4">
        <v>123</v>
      </c>
      <c r="E4151" s="4">
        <v>209</v>
      </c>
      <c r="G4151">
        <f t="shared" si="64"/>
        <v>1728</v>
      </c>
    </row>
    <row r="4152" spans="2:7" ht="15" hidden="1" x14ac:dyDescent="0.25">
      <c r="B4152" s="4">
        <v>584633079</v>
      </c>
      <c r="C4152" s="4" t="s">
        <v>269</v>
      </c>
      <c r="D4152" s="4">
        <v>1350</v>
      </c>
      <c r="E4152" s="4">
        <v>57</v>
      </c>
      <c r="G4152">
        <f t="shared" si="64"/>
        <v>512</v>
      </c>
    </row>
    <row r="4153" spans="2:7" ht="15" hidden="1" x14ac:dyDescent="0.25">
      <c r="B4153" s="4">
        <v>584633080</v>
      </c>
      <c r="C4153" s="4" t="s">
        <v>269</v>
      </c>
      <c r="D4153" s="4">
        <v>1351</v>
      </c>
      <c r="E4153" s="4">
        <v>57</v>
      </c>
      <c r="G4153">
        <f t="shared" si="64"/>
        <v>512</v>
      </c>
    </row>
    <row r="4154" spans="2:7" ht="15" hidden="1" x14ac:dyDescent="0.25">
      <c r="B4154" s="4">
        <v>584633081</v>
      </c>
      <c r="C4154" s="4" t="s">
        <v>269</v>
      </c>
      <c r="D4154" s="4">
        <v>1352</v>
      </c>
      <c r="E4154" s="4">
        <v>57</v>
      </c>
      <c r="G4154">
        <f t="shared" si="64"/>
        <v>512</v>
      </c>
    </row>
    <row r="4155" spans="2:7" ht="15" hidden="1" x14ac:dyDescent="0.25">
      <c r="B4155" s="4">
        <v>584633082</v>
      </c>
      <c r="C4155" s="4" t="s">
        <v>269</v>
      </c>
      <c r="D4155" s="4">
        <v>1353</v>
      </c>
      <c r="E4155" s="4">
        <v>57</v>
      </c>
      <c r="G4155">
        <f t="shared" si="64"/>
        <v>512</v>
      </c>
    </row>
    <row r="4156" spans="2:7" ht="15" hidden="1" x14ac:dyDescent="0.25">
      <c r="B4156" s="4">
        <v>584633083</v>
      </c>
      <c r="C4156" s="4" t="s">
        <v>269</v>
      </c>
      <c r="D4156" s="4">
        <v>1354</v>
      </c>
      <c r="E4156" s="4">
        <v>57</v>
      </c>
      <c r="G4156">
        <f t="shared" si="64"/>
        <v>512</v>
      </c>
    </row>
    <row r="4157" spans="2:7" ht="15" hidden="1" x14ac:dyDescent="0.25">
      <c r="B4157" s="4">
        <v>584633084</v>
      </c>
      <c r="C4157" s="4" t="s">
        <v>269</v>
      </c>
      <c r="D4157" s="4">
        <v>1355</v>
      </c>
      <c r="E4157" s="4">
        <v>57</v>
      </c>
      <c r="G4157">
        <f t="shared" si="64"/>
        <v>512</v>
      </c>
    </row>
    <row r="4158" spans="2:7" ht="15" hidden="1" x14ac:dyDescent="0.25">
      <c r="B4158" s="4">
        <v>584633085</v>
      </c>
      <c r="C4158" s="4" t="s">
        <v>269</v>
      </c>
      <c r="D4158" s="4">
        <v>1356</v>
      </c>
      <c r="E4158" s="4">
        <v>57</v>
      </c>
      <c r="G4158">
        <f t="shared" si="64"/>
        <v>512</v>
      </c>
    </row>
    <row r="4159" spans="2:7" ht="15" hidden="1" x14ac:dyDescent="0.25">
      <c r="B4159" s="4">
        <v>584633086</v>
      </c>
      <c r="C4159" s="4" t="s">
        <v>269</v>
      </c>
      <c r="D4159" s="4">
        <v>1357</v>
      </c>
      <c r="E4159" s="4">
        <v>57</v>
      </c>
      <c r="G4159">
        <f t="shared" si="64"/>
        <v>512</v>
      </c>
    </row>
    <row r="4160" spans="2:7" ht="15" hidden="1" x14ac:dyDescent="0.25">
      <c r="B4160" s="4">
        <v>584633087</v>
      </c>
      <c r="C4160" s="4" t="s">
        <v>269</v>
      </c>
      <c r="D4160" s="4">
        <v>1358</v>
      </c>
      <c r="E4160" s="4">
        <v>57</v>
      </c>
      <c r="G4160">
        <f t="shared" si="64"/>
        <v>512</v>
      </c>
    </row>
    <row r="4161" spans="2:7" ht="15" hidden="1" x14ac:dyDescent="0.25">
      <c r="B4161" s="4">
        <v>584633088</v>
      </c>
      <c r="C4161" s="4" t="s">
        <v>269</v>
      </c>
      <c r="D4161" s="4">
        <v>1359</v>
      </c>
      <c r="E4161" s="4">
        <v>57</v>
      </c>
      <c r="G4161">
        <f t="shared" si="64"/>
        <v>512</v>
      </c>
    </row>
    <row r="4162" spans="2:7" ht="15" hidden="1" x14ac:dyDescent="0.25">
      <c r="B4162" s="4">
        <v>584633088</v>
      </c>
      <c r="C4162" s="4" t="s">
        <v>272</v>
      </c>
      <c r="D4162" s="4">
        <v>124</v>
      </c>
      <c r="E4162" s="4">
        <v>211</v>
      </c>
      <c r="G4162">
        <f t="shared" si="64"/>
        <v>1744</v>
      </c>
    </row>
    <row r="4163" spans="2:7" ht="15" hidden="1" x14ac:dyDescent="0.25">
      <c r="B4163" s="4">
        <v>584633089</v>
      </c>
      <c r="C4163" s="4" t="s">
        <v>269</v>
      </c>
      <c r="D4163" s="4">
        <v>1360</v>
      </c>
      <c r="E4163" s="4">
        <v>57</v>
      </c>
      <c r="G4163">
        <f t="shared" si="64"/>
        <v>512</v>
      </c>
    </row>
    <row r="4164" spans="2:7" ht="15" hidden="1" x14ac:dyDescent="0.25">
      <c r="B4164" s="4">
        <v>584633090</v>
      </c>
      <c r="C4164" s="4" t="s">
        <v>269</v>
      </c>
      <c r="D4164" s="4">
        <v>1361</v>
      </c>
      <c r="E4164" s="4">
        <v>57</v>
      </c>
      <c r="G4164">
        <f t="shared" ref="G4164:G4227" si="65">(E4164+7)*8</f>
        <v>512</v>
      </c>
    </row>
    <row r="4165" spans="2:7" ht="15" hidden="1" x14ac:dyDescent="0.25">
      <c r="B4165" s="4">
        <v>584633091</v>
      </c>
      <c r="C4165" s="4" t="s">
        <v>269</v>
      </c>
      <c r="D4165" s="4">
        <v>1362</v>
      </c>
      <c r="E4165" s="4">
        <v>57</v>
      </c>
      <c r="G4165">
        <f t="shared" si="65"/>
        <v>512</v>
      </c>
    </row>
    <row r="4166" spans="2:7" ht="15" hidden="1" x14ac:dyDescent="0.25">
      <c r="B4166" s="4">
        <v>584633092</v>
      </c>
      <c r="C4166" s="4" t="s">
        <v>269</v>
      </c>
      <c r="D4166" s="4">
        <v>1363</v>
      </c>
      <c r="E4166" s="4">
        <v>57</v>
      </c>
      <c r="G4166">
        <f t="shared" si="65"/>
        <v>512</v>
      </c>
    </row>
    <row r="4167" spans="2:7" ht="15" hidden="1" x14ac:dyDescent="0.25">
      <c r="B4167" s="4">
        <v>584633093</v>
      </c>
      <c r="C4167" s="4" t="s">
        <v>269</v>
      </c>
      <c r="D4167" s="4">
        <v>1364</v>
      </c>
      <c r="E4167" s="4">
        <v>57</v>
      </c>
      <c r="G4167">
        <f t="shared" si="65"/>
        <v>512</v>
      </c>
    </row>
    <row r="4168" spans="2:7" ht="15" hidden="1" x14ac:dyDescent="0.25">
      <c r="B4168" s="4">
        <v>584633094</v>
      </c>
      <c r="C4168" s="4" t="s">
        <v>269</v>
      </c>
      <c r="D4168" s="4">
        <v>1365</v>
      </c>
      <c r="E4168" s="4">
        <v>57</v>
      </c>
      <c r="G4168">
        <f t="shared" si="65"/>
        <v>512</v>
      </c>
    </row>
    <row r="4169" spans="2:7" ht="15" hidden="1" x14ac:dyDescent="0.25">
      <c r="B4169" s="4">
        <v>584633095</v>
      </c>
      <c r="C4169" s="4" t="s">
        <v>269</v>
      </c>
      <c r="D4169" s="4">
        <v>1366</v>
      </c>
      <c r="E4169" s="4">
        <v>57</v>
      </c>
      <c r="G4169">
        <f t="shared" si="65"/>
        <v>512</v>
      </c>
    </row>
    <row r="4170" spans="2:7" ht="15" hidden="1" x14ac:dyDescent="0.25">
      <c r="B4170" s="4">
        <v>584633096</v>
      </c>
      <c r="C4170" s="4" t="s">
        <v>269</v>
      </c>
      <c r="D4170" s="4">
        <v>1367</v>
      </c>
      <c r="E4170" s="4">
        <v>57</v>
      </c>
      <c r="G4170">
        <f t="shared" si="65"/>
        <v>512</v>
      </c>
    </row>
    <row r="4171" spans="2:7" ht="15" hidden="1" x14ac:dyDescent="0.25">
      <c r="B4171" s="4">
        <v>584633097</v>
      </c>
      <c r="C4171" s="4" t="s">
        <v>269</v>
      </c>
      <c r="D4171" s="4">
        <v>1368</v>
      </c>
      <c r="E4171" s="4">
        <v>57</v>
      </c>
      <c r="G4171">
        <f t="shared" si="65"/>
        <v>512</v>
      </c>
    </row>
    <row r="4172" spans="2:7" ht="15" hidden="1" x14ac:dyDescent="0.25">
      <c r="B4172" s="4">
        <v>584633098</v>
      </c>
      <c r="C4172" s="4" t="s">
        <v>269</v>
      </c>
      <c r="D4172" s="4">
        <v>1369</v>
      </c>
      <c r="E4172" s="4">
        <v>57</v>
      </c>
      <c r="G4172">
        <f t="shared" si="65"/>
        <v>512</v>
      </c>
    </row>
    <row r="4173" spans="2:7" ht="15" hidden="1" x14ac:dyDescent="0.25">
      <c r="B4173" s="4">
        <v>584633098</v>
      </c>
      <c r="C4173" s="4" t="s">
        <v>272</v>
      </c>
      <c r="D4173" s="4">
        <v>125</v>
      </c>
      <c r="E4173" s="4">
        <v>209</v>
      </c>
      <c r="G4173">
        <f t="shared" si="65"/>
        <v>1728</v>
      </c>
    </row>
    <row r="4174" spans="2:7" ht="15" hidden="1" x14ac:dyDescent="0.25">
      <c r="B4174" s="4">
        <v>584633099</v>
      </c>
      <c r="C4174" s="4" t="s">
        <v>269</v>
      </c>
      <c r="D4174" s="4">
        <v>1370</v>
      </c>
      <c r="E4174" s="4">
        <v>57</v>
      </c>
      <c r="G4174">
        <f t="shared" si="65"/>
        <v>512</v>
      </c>
    </row>
    <row r="4175" spans="2:7" ht="15" hidden="1" x14ac:dyDescent="0.25">
      <c r="B4175" s="4">
        <v>584633100</v>
      </c>
      <c r="C4175" s="4" t="s">
        <v>269</v>
      </c>
      <c r="D4175" s="4">
        <v>1371</v>
      </c>
      <c r="E4175" s="4">
        <v>57</v>
      </c>
      <c r="G4175">
        <f t="shared" si="65"/>
        <v>512</v>
      </c>
    </row>
    <row r="4176" spans="2:7" ht="15" hidden="1" x14ac:dyDescent="0.25">
      <c r="B4176" s="4">
        <v>584633101</v>
      </c>
      <c r="C4176" s="4" t="s">
        <v>269</v>
      </c>
      <c r="D4176" s="4">
        <v>1372</v>
      </c>
      <c r="E4176" s="4">
        <v>57</v>
      </c>
      <c r="G4176">
        <f t="shared" si="65"/>
        <v>512</v>
      </c>
    </row>
    <row r="4177" spans="2:7" ht="15" hidden="1" x14ac:dyDescent="0.25">
      <c r="B4177" s="4">
        <v>584633102</v>
      </c>
      <c r="C4177" s="4" t="s">
        <v>269</v>
      </c>
      <c r="D4177" s="4">
        <v>1373</v>
      </c>
      <c r="E4177" s="4">
        <v>57</v>
      </c>
      <c r="G4177">
        <f t="shared" si="65"/>
        <v>512</v>
      </c>
    </row>
    <row r="4178" spans="2:7" ht="15" hidden="1" x14ac:dyDescent="0.25">
      <c r="B4178" s="4">
        <v>584633103</v>
      </c>
      <c r="C4178" s="4" t="s">
        <v>269</v>
      </c>
      <c r="D4178" s="4">
        <v>1374</v>
      </c>
      <c r="E4178" s="4">
        <v>57</v>
      </c>
      <c r="G4178">
        <f t="shared" si="65"/>
        <v>512</v>
      </c>
    </row>
    <row r="4179" spans="2:7" ht="15" hidden="1" x14ac:dyDescent="0.25">
      <c r="B4179" s="4">
        <v>584633104</v>
      </c>
      <c r="C4179" s="4" t="s">
        <v>269</v>
      </c>
      <c r="D4179" s="4">
        <v>1375</v>
      </c>
      <c r="E4179" s="4">
        <v>57</v>
      </c>
      <c r="G4179">
        <f t="shared" si="65"/>
        <v>512</v>
      </c>
    </row>
    <row r="4180" spans="2:7" ht="15" hidden="1" x14ac:dyDescent="0.25">
      <c r="B4180" s="4">
        <v>584633105</v>
      </c>
      <c r="C4180" s="4" t="s">
        <v>269</v>
      </c>
      <c r="D4180" s="4">
        <v>1376</v>
      </c>
      <c r="E4180" s="4">
        <v>57</v>
      </c>
      <c r="G4180">
        <f t="shared" si="65"/>
        <v>512</v>
      </c>
    </row>
    <row r="4181" spans="2:7" ht="15" hidden="1" x14ac:dyDescent="0.25">
      <c r="B4181" s="4">
        <v>584633106</v>
      </c>
      <c r="C4181" s="4" t="s">
        <v>269</v>
      </c>
      <c r="D4181" s="4">
        <v>1377</v>
      </c>
      <c r="E4181" s="4">
        <v>57</v>
      </c>
      <c r="G4181">
        <f t="shared" si="65"/>
        <v>512</v>
      </c>
    </row>
    <row r="4182" spans="2:7" ht="15" hidden="1" x14ac:dyDescent="0.25">
      <c r="B4182" s="4">
        <v>584633107</v>
      </c>
      <c r="C4182" s="4" t="s">
        <v>269</v>
      </c>
      <c r="D4182" s="4">
        <v>1378</v>
      </c>
      <c r="E4182" s="4">
        <v>57</v>
      </c>
      <c r="G4182">
        <f t="shared" si="65"/>
        <v>512</v>
      </c>
    </row>
    <row r="4183" spans="2:7" ht="15" hidden="1" x14ac:dyDescent="0.25">
      <c r="B4183" s="4">
        <v>584633108</v>
      </c>
      <c r="C4183" s="4" t="s">
        <v>269</v>
      </c>
      <c r="D4183" s="4">
        <v>1379</v>
      </c>
      <c r="E4183" s="4">
        <v>57</v>
      </c>
      <c r="G4183">
        <f t="shared" si="65"/>
        <v>512</v>
      </c>
    </row>
    <row r="4184" spans="2:7" ht="15" hidden="1" x14ac:dyDescent="0.25">
      <c r="B4184" s="4">
        <v>584633108</v>
      </c>
      <c r="C4184" s="4" t="s">
        <v>272</v>
      </c>
      <c r="D4184" s="4">
        <v>126</v>
      </c>
      <c r="E4184" s="4">
        <v>215</v>
      </c>
      <c r="G4184">
        <f t="shared" si="65"/>
        <v>1776</v>
      </c>
    </row>
    <row r="4185" spans="2:7" ht="15" hidden="1" x14ac:dyDescent="0.25">
      <c r="B4185" s="4">
        <v>584633109</v>
      </c>
      <c r="C4185" s="4" t="s">
        <v>269</v>
      </c>
      <c r="D4185" s="4">
        <v>1380</v>
      </c>
      <c r="E4185" s="4">
        <v>57</v>
      </c>
      <c r="G4185">
        <f t="shared" si="65"/>
        <v>512</v>
      </c>
    </row>
    <row r="4186" spans="2:7" ht="15" hidden="1" x14ac:dyDescent="0.25">
      <c r="B4186" s="4">
        <v>584633110</v>
      </c>
      <c r="C4186" s="4" t="s">
        <v>269</v>
      </c>
      <c r="D4186" s="4">
        <v>1381</v>
      </c>
      <c r="E4186" s="4">
        <v>57</v>
      </c>
      <c r="G4186">
        <f t="shared" si="65"/>
        <v>512</v>
      </c>
    </row>
    <row r="4187" spans="2:7" ht="15" hidden="1" x14ac:dyDescent="0.25">
      <c r="B4187" s="4">
        <v>584633111</v>
      </c>
      <c r="C4187" s="4" t="s">
        <v>269</v>
      </c>
      <c r="D4187" s="4">
        <v>1382</v>
      </c>
      <c r="E4187" s="4">
        <v>57</v>
      </c>
      <c r="G4187">
        <f t="shared" si="65"/>
        <v>512</v>
      </c>
    </row>
    <row r="4188" spans="2:7" ht="15" hidden="1" x14ac:dyDescent="0.25">
      <c r="B4188" s="4">
        <v>584633112</v>
      </c>
      <c r="C4188" s="4" t="s">
        <v>269</v>
      </c>
      <c r="D4188" s="4">
        <v>1383</v>
      </c>
      <c r="E4188" s="4">
        <v>57</v>
      </c>
      <c r="G4188">
        <f t="shared" si="65"/>
        <v>512</v>
      </c>
    </row>
    <row r="4189" spans="2:7" ht="15" hidden="1" x14ac:dyDescent="0.25">
      <c r="B4189" s="4">
        <v>584633113</v>
      </c>
      <c r="C4189" s="4" t="s">
        <v>269</v>
      </c>
      <c r="D4189" s="4">
        <v>1384</v>
      </c>
      <c r="E4189" s="4">
        <v>57</v>
      </c>
      <c r="G4189">
        <f t="shared" si="65"/>
        <v>512</v>
      </c>
    </row>
    <row r="4190" spans="2:7" ht="15" hidden="1" x14ac:dyDescent="0.25">
      <c r="B4190" s="4">
        <v>584633114</v>
      </c>
      <c r="C4190" s="4" t="s">
        <v>269</v>
      </c>
      <c r="D4190" s="4">
        <v>1385</v>
      </c>
      <c r="E4190" s="4">
        <v>57</v>
      </c>
      <c r="G4190">
        <f t="shared" si="65"/>
        <v>512</v>
      </c>
    </row>
    <row r="4191" spans="2:7" ht="15" hidden="1" x14ac:dyDescent="0.25">
      <c r="B4191" s="4">
        <v>584633115</v>
      </c>
      <c r="C4191" s="4" t="s">
        <v>269</v>
      </c>
      <c r="D4191" s="4">
        <v>1386</v>
      </c>
      <c r="E4191" s="4">
        <v>57</v>
      </c>
      <c r="G4191">
        <f t="shared" si="65"/>
        <v>512</v>
      </c>
    </row>
    <row r="4192" spans="2:7" ht="15" hidden="1" x14ac:dyDescent="0.25">
      <c r="B4192" s="4">
        <v>584633116</v>
      </c>
      <c r="C4192" s="4" t="s">
        <v>269</v>
      </c>
      <c r="D4192" s="4">
        <v>1387</v>
      </c>
      <c r="E4192" s="4">
        <v>57</v>
      </c>
      <c r="G4192">
        <f t="shared" si="65"/>
        <v>512</v>
      </c>
    </row>
    <row r="4193" spans="2:7" ht="15" hidden="1" x14ac:dyDescent="0.25">
      <c r="B4193" s="4">
        <v>584633117</v>
      </c>
      <c r="C4193" s="4" t="s">
        <v>269</v>
      </c>
      <c r="D4193" s="4">
        <v>1388</v>
      </c>
      <c r="E4193" s="4">
        <v>57</v>
      </c>
      <c r="G4193">
        <f t="shared" si="65"/>
        <v>512</v>
      </c>
    </row>
    <row r="4194" spans="2:7" ht="15" hidden="1" x14ac:dyDescent="0.25">
      <c r="B4194" s="4">
        <v>584633118</v>
      </c>
      <c r="C4194" s="4" t="s">
        <v>269</v>
      </c>
      <c r="D4194" s="4">
        <v>1389</v>
      </c>
      <c r="E4194" s="4">
        <v>57</v>
      </c>
      <c r="G4194">
        <f t="shared" si="65"/>
        <v>512</v>
      </c>
    </row>
    <row r="4195" spans="2:7" ht="15" hidden="1" x14ac:dyDescent="0.25">
      <c r="B4195" s="4">
        <v>584633118</v>
      </c>
      <c r="C4195" s="4" t="s">
        <v>272</v>
      </c>
      <c r="D4195" s="4">
        <v>127</v>
      </c>
      <c r="E4195" s="4">
        <v>209</v>
      </c>
      <c r="G4195">
        <f t="shared" si="65"/>
        <v>1728</v>
      </c>
    </row>
    <row r="4196" spans="2:7" ht="15" hidden="1" x14ac:dyDescent="0.25">
      <c r="B4196" s="4">
        <v>584633119</v>
      </c>
      <c r="C4196" s="4" t="s">
        <v>269</v>
      </c>
      <c r="D4196" s="4">
        <v>1390</v>
      </c>
      <c r="E4196" s="4">
        <v>57</v>
      </c>
      <c r="G4196">
        <f t="shared" si="65"/>
        <v>512</v>
      </c>
    </row>
    <row r="4197" spans="2:7" ht="15" hidden="1" x14ac:dyDescent="0.25">
      <c r="B4197" s="4">
        <v>584633120</v>
      </c>
      <c r="C4197" s="4" t="s">
        <v>269</v>
      </c>
      <c r="D4197" s="4">
        <v>1391</v>
      </c>
      <c r="E4197" s="4">
        <v>57</v>
      </c>
      <c r="G4197">
        <f t="shared" si="65"/>
        <v>512</v>
      </c>
    </row>
    <row r="4198" spans="2:7" ht="15" hidden="1" x14ac:dyDescent="0.25">
      <c r="B4198" s="4">
        <v>584633121</v>
      </c>
      <c r="C4198" s="4" t="s">
        <v>269</v>
      </c>
      <c r="D4198" s="4">
        <v>1392</v>
      </c>
      <c r="E4198" s="4">
        <v>57</v>
      </c>
      <c r="G4198">
        <f t="shared" si="65"/>
        <v>512</v>
      </c>
    </row>
    <row r="4199" spans="2:7" ht="15" hidden="1" x14ac:dyDescent="0.25">
      <c r="B4199" s="4">
        <v>584633122</v>
      </c>
      <c r="C4199" s="4" t="s">
        <v>269</v>
      </c>
      <c r="D4199" s="4">
        <v>1393</v>
      </c>
      <c r="E4199" s="4">
        <v>57</v>
      </c>
      <c r="G4199">
        <f t="shared" si="65"/>
        <v>512</v>
      </c>
    </row>
    <row r="4200" spans="2:7" ht="15" hidden="1" x14ac:dyDescent="0.25">
      <c r="B4200" s="4">
        <v>584633123</v>
      </c>
      <c r="C4200" s="4" t="s">
        <v>269</v>
      </c>
      <c r="D4200" s="4">
        <v>1394</v>
      </c>
      <c r="E4200" s="4">
        <v>57</v>
      </c>
      <c r="G4200">
        <f t="shared" si="65"/>
        <v>512</v>
      </c>
    </row>
    <row r="4201" spans="2:7" ht="15" hidden="1" x14ac:dyDescent="0.25">
      <c r="B4201" s="4">
        <v>584633124</v>
      </c>
      <c r="C4201" s="4" t="s">
        <v>269</v>
      </c>
      <c r="D4201" s="4">
        <v>1395</v>
      </c>
      <c r="E4201" s="4">
        <v>57</v>
      </c>
      <c r="G4201">
        <f t="shared" si="65"/>
        <v>512</v>
      </c>
    </row>
    <row r="4202" spans="2:7" ht="15" hidden="1" x14ac:dyDescent="0.25">
      <c r="B4202" s="4">
        <v>584633125</v>
      </c>
      <c r="C4202" s="4" t="s">
        <v>269</v>
      </c>
      <c r="D4202" s="4">
        <v>1396</v>
      </c>
      <c r="E4202" s="4">
        <v>57</v>
      </c>
      <c r="G4202">
        <f t="shared" si="65"/>
        <v>512</v>
      </c>
    </row>
    <row r="4203" spans="2:7" ht="15" hidden="1" x14ac:dyDescent="0.25">
      <c r="B4203" s="4">
        <v>584633126</v>
      </c>
      <c r="C4203" s="4" t="s">
        <v>269</v>
      </c>
      <c r="D4203" s="4">
        <v>1397</v>
      </c>
      <c r="E4203" s="4">
        <v>57</v>
      </c>
      <c r="G4203">
        <f t="shared" si="65"/>
        <v>512</v>
      </c>
    </row>
    <row r="4204" spans="2:7" ht="15" hidden="1" x14ac:dyDescent="0.25">
      <c r="B4204" s="4">
        <v>584633127</v>
      </c>
      <c r="C4204" s="4" t="s">
        <v>269</v>
      </c>
      <c r="D4204" s="4">
        <v>1398</v>
      </c>
      <c r="E4204" s="4">
        <v>57</v>
      </c>
      <c r="G4204">
        <f t="shared" si="65"/>
        <v>512</v>
      </c>
    </row>
    <row r="4205" spans="2:7" ht="15" hidden="1" x14ac:dyDescent="0.25">
      <c r="B4205" s="4">
        <v>584633128</v>
      </c>
      <c r="C4205" s="4" t="s">
        <v>269</v>
      </c>
      <c r="D4205" s="4">
        <v>1399</v>
      </c>
      <c r="E4205" s="4">
        <v>57</v>
      </c>
      <c r="G4205">
        <f t="shared" si="65"/>
        <v>512</v>
      </c>
    </row>
    <row r="4206" spans="2:7" ht="15" hidden="1" x14ac:dyDescent="0.25">
      <c r="B4206" s="4">
        <v>584633128</v>
      </c>
      <c r="C4206" s="4" t="s">
        <v>272</v>
      </c>
      <c r="D4206" s="4">
        <v>128</v>
      </c>
      <c r="E4206" s="4">
        <v>213</v>
      </c>
      <c r="G4206">
        <f t="shared" si="65"/>
        <v>1760</v>
      </c>
    </row>
    <row r="4207" spans="2:7" ht="15" hidden="1" x14ac:dyDescent="0.25">
      <c r="B4207" s="4">
        <v>584633129</v>
      </c>
      <c r="C4207" s="4" t="s">
        <v>269</v>
      </c>
      <c r="D4207" s="4">
        <v>1400</v>
      </c>
      <c r="E4207" s="4">
        <v>57</v>
      </c>
      <c r="G4207">
        <f t="shared" si="65"/>
        <v>512</v>
      </c>
    </row>
    <row r="4208" spans="2:7" ht="15" hidden="1" x14ac:dyDescent="0.25">
      <c r="B4208" s="4">
        <v>584633130</v>
      </c>
      <c r="C4208" s="4" t="s">
        <v>269</v>
      </c>
      <c r="D4208" s="4">
        <v>1401</v>
      </c>
      <c r="E4208" s="4">
        <v>57</v>
      </c>
      <c r="G4208">
        <f t="shared" si="65"/>
        <v>512</v>
      </c>
    </row>
    <row r="4209" spans="2:7" ht="15" hidden="1" x14ac:dyDescent="0.25">
      <c r="B4209" s="4">
        <v>584633131</v>
      </c>
      <c r="C4209" s="4" t="s">
        <v>269</v>
      </c>
      <c r="D4209" s="4">
        <v>1402</v>
      </c>
      <c r="E4209" s="4">
        <v>57</v>
      </c>
      <c r="G4209">
        <f t="shared" si="65"/>
        <v>512</v>
      </c>
    </row>
    <row r="4210" spans="2:7" ht="15" hidden="1" x14ac:dyDescent="0.25">
      <c r="B4210" s="4">
        <v>584633132</v>
      </c>
      <c r="C4210" s="4" t="s">
        <v>269</v>
      </c>
      <c r="D4210" s="4">
        <v>1403</v>
      </c>
      <c r="E4210" s="4">
        <v>57</v>
      </c>
      <c r="G4210">
        <f t="shared" si="65"/>
        <v>512</v>
      </c>
    </row>
    <row r="4211" spans="2:7" ht="15" hidden="1" x14ac:dyDescent="0.25">
      <c r="B4211" s="4">
        <v>584633133</v>
      </c>
      <c r="C4211" s="4" t="s">
        <v>269</v>
      </c>
      <c r="D4211" s="4">
        <v>1404</v>
      </c>
      <c r="E4211" s="4">
        <v>57</v>
      </c>
      <c r="G4211">
        <f t="shared" si="65"/>
        <v>512</v>
      </c>
    </row>
    <row r="4212" spans="2:7" ht="15" hidden="1" x14ac:dyDescent="0.25">
      <c r="B4212" s="4">
        <v>584633134</v>
      </c>
      <c r="C4212" s="4" t="s">
        <v>269</v>
      </c>
      <c r="D4212" s="4">
        <v>1405</v>
      </c>
      <c r="E4212" s="4">
        <v>57</v>
      </c>
      <c r="G4212">
        <f t="shared" si="65"/>
        <v>512</v>
      </c>
    </row>
    <row r="4213" spans="2:7" ht="15" hidden="1" x14ac:dyDescent="0.25">
      <c r="B4213" s="4">
        <v>584633135</v>
      </c>
      <c r="C4213" s="4" t="s">
        <v>269</v>
      </c>
      <c r="D4213" s="4">
        <v>1406</v>
      </c>
      <c r="E4213" s="4">
        <v>57</v>
      </c>
      <c r="G4213">
        <f t="shared" si="65"/>
        <v>512</v>
      </c>
    </row>
    <row r="4214" spans="2:7" ht="15" hidden="1" x14ac:dyDescent="0.25">
      <c r="B4214" s="4">
        <v>584633136</v>
      </c>
      <c r="C4214" s="4" t="s">
        <v>269</v>
      </c>
      <c r="D4214" s="4">
        <v>1407</v>
      </c>
      <c r="E4214" s="4">
        <v>57</v>
      </c>
      <c r="G4214">
        <f t="shared" si="65"/>
        <v>512</v>
      </c>
    </row>
    <row r="4215" spans="2:7" ht="15" hidden="1" x14ac:dyDescent="0.25">
      <c r="B4215" s="4">
        <v>584633137</v>
      </c>
      <c r="C4215" s="4" t="s">
        <v>269</v>
      </c>
      <c r="D4215" s="4">
        <v>1408</v>
      </c>
      <c r="E4215" s="4">
        <v>57</v>
      </c>
      <c r="G4215">
        <f t="shared" si="65"/>
        <v>512</v>
      </c>
    </row>
    <row r="4216" spans="2:7" ht="15" hidden="1" x14ac:dyDescent="0.25">
      <c r="B4216" s="4">
        <v>584633138</v>
      </c>
      <c r="C4216" s="4" t="s">
        <v>268</v>
      </c>
      <c r="D4216" s="4">
        <v>274</v>
      </c>
      <c r="E4216" s="4">
        <v>6</v>
      </c>
      <c r="G4216">
        <f t="shared" si="65"/>
        <v>104</v>
      </c>
    </row>
    <row r="4217" spans="2:7" ht="15" hidden="1" x14ac:dyDescent="0.25">
      <c r="B4217" s="4">
        <v>584633138</v>
      </c>
      <c r="C4217" s="4" t="s">
        <v>268</v>
      </c>
      <c r="D4217" s="4">
        <v>274</v>
      </c>
      <c r="E4217" s="4">
        <v>6</v>
      </c>
      <c r="G4217">
        <f t="shared" si="65"/>
        <v>104</v>
      </c>
    </row>
    <row r="4218" spans="2:7" ht="15" hidden="1" x14ac:dyDescent="0.25">
      <c r="B4218" s="4">
        <v>584633138</v>
      </c>
      <c r="C4218" s="4" t="s">
        <v>268</v>
      </c>
      <c r="D4218" s="4">
        <v>275</v>
      </c>
      <c r="E4218" s="4">
        <v>9</v>
      </c>
      <c r="G4218">
        <f t="shared" si="65"/>
        <v>128</v>
      </c>
    </row>
    <row r="4219" spans="2:7" ht="15" hidden="1" x14ac:dyDescent="0.25">
      <c r="B4219" s="4">
        <v>584633138</v>
      </c>
      <c r="C4219" s="4" t="s">
        <v>268</v>
      </c>
      <c r="D4219" s="4">
        <v>275</v>
      </c>
      <c r="E4219" s="4">
        <v>9</v>
      </c>
      <c r="G4219">
        <f t="shared" si="65"/>
        <v>128</v>
      </c>
    </row>
    <row r="4220" spans="2:7" ht="15" hidden="1" x14ac:dyDescent="0.25">
      <c r="B4220" s="4">
        <v>584633138</v>
      </c>
      <c r="C4220" s="4" t="s">
        <v>268</v>
      </c>
      <c r="D4220" s="4">
        <v>276</v>
      </c>
      <c r="E4220" s="4">
        <v>7</v>
      </c>
      <c r="G4220">
        <f t="shared" si="65"/>
        <v>112</v>
      </c>
    </row>
    <row r="4221" spans="2:7" ht="15" hidden="1" x14ac:dyDescent="0.25">
      <c r="B4221" s="4">
        <v>584633138</v>
      </c>
      <c r="C4221" s="4" t="s">
        <v>268</v>
      </c>
      <c r="D4221" s="4">
        <v>276</v>
      </c>
      <c r="E4221" s="4">
        <v>7</v>
      </c>
      <c r="G4221">
        <f t="shared" si="65"/>
        <v>112</v>
      </c>
    </row>
    <row r="4222" spans="2:7" ht="15" hidden="1" x14ac:dyDescent="0.25">
      <c r="B4222" s="4">
        <v>584633138</v>
      </c>
      <c r="C4222" s="4" t="s">
        <v>268</v>
      </c>
      <c r="D4222" s="4">
        <v>277</v>
      </c>
      <c r="E4222" s="4">
        <v>7</v>
      </c>
      <c r="G4222">
        <f t="shared" si="65"/>
        <v>112</v>
      </c>
    </row>
    <row r="4223" spans="2:7" ht="15" hidden="1" x14ac:dyDescent="0.25">
      <c r="B4223" s="4">
        <v>584633138</v>
      </c>
      <c r="C4223" s="4" t="s">
        <v>268</v>
      </c>
      <c r="D4223" s="4">
        <v>277</v>
      </c>
      <c r="E4223" s="4">
        <v>7</v>
      </c>
      <c r="G4223">
        <f t="shared" si="65"/>
        <v>112</v>
      </c>
    </row>
    <row r="4224" spans="2:7" ht="15" hidden="1" x14ac:dyDescent="0.25">
      <c r="B4224" s="4">
        <v>584633138</v>
      </c>
      <c r="C4224" s="4" t="s">
        <v>268</v>
      </c>
      <c r="D4224" s="4">
        <v>278</v>
      </c>
      <c r="E4224" s="4">
        <v>7</v>
      </c>
      <c r="G4224">
        <f t="shared" si="65"/>
        <v>112</v>
      </c>
    </row>
    <row r="4225" spans="2:7" ht="15" hidden="1" x14ac:dyDescent="0.25">
      <c r="B4225" s="4">
        <v>584633138</v>
      </c>
      <c r="C4225" s="4" t="s">
        <v>268</v>
      </c>
      <c r="D4225" s="4">
        <v>278</v>
      </c>
      <c r="E4225" s="4">
        <v>7</v>
      </c>
      <c r="G4225">
        <f t="shared" si="65"/>
        <v>112</v>
      </c>
    </row>
    <row r="4226" spans="2:7" ht="15" hidden="1" x14ac:dyDescent="0.25">
      <c r="B4226" s="4">
        <v>584633138</v>
      </c>
      <c r="C4226" s="4" t="s">
        <v>269</v>
      </c>
      <c r="D4226" s="4">
        <v>1409</v>
      </c>
      <c r="E4226" s="4">
        <v>57</v>
      </c>
      <c r="G4226">
        <f t="shared" si="65"/>
        <v>512</v>
      </c>
    </row>
    <row r="4227" spans="2:7" ht="15" hidden="1" x14ac:dyDescent="0.25">
      <c r="B4227" s="4">
        <v>584633138</v>
      </c>
      <c r="C4227" s="4" t="s">
        <v>272</v>
      </c>
      <c r="D4227" s="4">
        <v>129</v>
      </c>
      <c r="E4227" s="4">
        <v>209</v>
      </c>
      <c r="G4227">
        <f t="shared" si="65"/>
        <v>1728</v>
      </c>
    </row>
    <row r="4228" spans="2:7" ht="15" hidden="1" x14ac:dyDescent="0.25">
      <c r="B4228" s="4">
        <v>584633139</v>
      </c>
      <c r="C4228" s="4" t="s">
        <v>269</v>
      </c>
      <c r="D4228" s="4">
        <v>1410</v>
      </c>
      <c r="E4228" s="4">
        <v>57</v>
      </c>
      <c r="G4228">
        <f t="shared" ref="G4228:G4291" si="66">(E4228+7)*8</f>
        <v>512</v>
      </c>
    </row>
    <row r="4229" spans="2:7" ht="15" hidden="1" x14ac:dyDescent="0.25">
      <c r="B4229" s="4">
        <v>584633140</v>
      </c>
      <c r="C4229" s="4" t="s">
        <v>268</v>
      </c>
      <c r="D4229" s="4">
        <v>279</v>
      </c>
      <c r="E4229" s="4">
        <v>7</v>
      </c>
      <c r="G4229">
        <f t="shared" si="66"/>
        <v>112</v>
      </c>
    </row>
    <row r="4230" spans="2:7" ht="15" hidden="1" x14ac:dyDescent="0.25">
      <c r="B4230" s="4">
        <v>584633140</v>
      </c>
      <c r="C4230" s="4" t="s">
        <v>268</v>
      </c>
      <c r="D4230" s="4">
        <v>279</v>
      </c>
      <c r="E4230" s="4">
        <v>7</v>
      </c>
      <c r="G4230">
        <f t="shared" si="66"/>
        <v>112</v>
      </c>
    </row>
    <row r="4231" spans="2:7" ht="15" hidden="1" x14ac:dyDescent="0.25">
      <c r="B4231" s="4">
        <v>584633140</v>
      </c>
      <c r="C4231" s="4" t="s">
        <v>268</v>
      </c>
      <c r="D4231" s="4">
        <v>280</v>
      </c>
      <c r="E4231" s="4">
        <v>5</v>
      </c>
      <c r="G4231">
        <f t="shared" si="66"/>
        <v>96</v>
      </c>
    </row>
    <row r="4232" spans="2:7" ht="15" hidden="1" x14ac:dyDescent="0.25">
      <c r="B4232" s="4">
        <v>584633140</v>
      </c>
      <c r="C4232" s="4" t="s">
        <v>268</v>
      </c>
      <c r="D4232" s="4">
        <v>280</v>
      </c>
      <c r="E4232" s="4">
        <v>5</v>
      </c>
      <c r="G4232">
        <f t="shared" si="66"/>
        <v>96</v>
      </c>
    </row>
    <row r="4233" spans="2:7" ht="15" hidden="1" x14ac:dyDescent="0.25">
      <c r="B4233" s="4">
        <v>584633140</v>
      </c>
      <c r="C4233" s="4" t="s">
        <v>268</v>
      </c>
      <c r="D4233" s="4">
        <v>281</v>
      </c>
      <c r="E4233" s="4">
        <v>7</v>
      </c>
      <c r="G4233">
        <f t="shared" si="66"/>
        <v>112</v>
      </c>
    </row>
    <row r="4234" spans="2:7" ht="15" hidden="1" x14ac:dyDescent="0.25">
      <c r="B4234" s="4">
        <v>584633140</v>
      </c>
      <c r="C4234" s="4" t="s">
        <v>268</v>
      </c>
      <c r="D4234" s="4">
        <v>281</v>
      </c>
      <c r="E4234" s="4">
        <v>7</v>
      </c>
      <c r="G4234">
        <f t="shared" si="66"/>
        <v>112</v>
      </c>
    </row>
    <row r="4235" spans="2:7" ht="15" hidden="1" x14ac:dyDescent="0.25">
      <c r="B4235" s="4">
        <v>584633140</v>
      </c>
      <c r="C4235" s="4" t="s">
        <v>269</v>
      </c>
      <c r="D4235" s="4">
        <v>1411</v>
      </c>
      <c r="E4235" s="4">
        <v>57</v>
      </c>
      <c r="G4235">
        <f t="shared" si="66"/>
        <v>512</v>
      </c>
    </row>
    <row r="4236" spans="2:7" ht="15" hidden="1" x14ac:dyDescent="0.25">
      <c r="B4236" s="4">
        <v>584633141</v>
      </c>
      <c r="C4236" s="4" t="s">
        <v>269</v>
      </c>
      <c r="D4236" s="4">
        <v>1412</v>
      </c>
      <c r="E4236" s="4">
        <v>57</v>
      </c>
      <c r="G4236">
        <f t="shared" si="66"/>
        <v>512</v>
      </c>
    </row>
    <row r="4237" spans="2:7" ht="15" hidden="1" x14ac:dyDescent="0.25">
      <c r="B4237" s="4">
        <v>584633142</v>
      </c>
      <c r="C4237" s="4" t="s">
        <v>269</v>
      </c>
      <c r="D4237" s="4">
        <v>1413</v>
      </c>
      <c r="E4237" s="4">
        <v>57</v>
      </c>
      <c r="G4237">
        <f t="shared" si="66"/>
        <v>512</v>
      </c>
    </row>
    <row r="4238" spans="2:7" ht="15" hidden="1" x14ac:dyDescent="0.25">
      <c r="B4238" s="4">
        <v>584633143</v>
      </c>
      <c r="C4238" s="4" t="s">
        <v>269</v>
      </c>
      <c r="D4238" s="4">
        <v>1414</v>
      </c>
      <c r="E4238" s="4">
        <v>57</v>
      </c>
      <c r="G4238">
        <f t="shared" si="66"/>
        <v>512</v>
      </c>
    </row>
    <row r="4239" spans="2:7" ht="15" hidden="1" x14ac:dyDescent="0.25">
      <c r="B4239" s="4">
        <v>584633144</v>
      </c>
      <c r="C4239" s="4" t="s">
        <v>269</v>
      </c>
      <c r="D4239" s="4">
        <v>1415</v>
      </c>
      <c r="E4239" s="4">
        <v>57</v>
      </c>
      <c r="G4239">
        <f t="shared" si="66"/>
        <v>512</v>
      </c>
    </row>
    <row r="4240" spans="2:7" ht="15" hidden="1" x14ac:dyDescent="0.25">
      <c r="B4240" s="4">
        <v>584633145</v>
      </c>
      <c r="C4240" s="4" t="s">
        <v>269</v>
      </c>
      <c r="D4240" s="4">
        <v>1416</v>
      </c>
      <c r="E4240" s="4">
        <v>57</v>
      </c>
      <c r="G4240">
        <f t="shared" si="66"/>
        <v>512</v>
      </c>
    </row>
    <row r="4241" spans="2:7" ht="15" hidden="1" x14ac:dyDescent="0.25">
      <c r="B4241" s="4">
        <v>584633146</v>
      </c>
      <c r="C4241" s="4" t="s">
        <v>269</v>
      </c>
      <c r="D4241" s="4">
        <v>1417</v>
      </c>
      <c r="E4241" s="4">
        <v>57</v>
      </c>
      <c r="G4241">
        <f t="shared" si="66"/>
        <v>512</v>
      </c>
    </row>
    <row r="4242" spans="2:7" ht="15" hidden="1" x14ac:dyDescent="0.25">
      <c r="B4242" s="4">
        <v>584633147</v>
      </c>
      <c r="C4242" s="4" t="s">
        <v>269</v>
      </c>
      <c r="D4242" s="4">
        <v>1418</v>
      </c>
      <c r="E4242" s="4">
        <v>57</v>
      </c>
      <c r="G4242">
        <f t="shared" si="66"/>
        <v>512</v>
      </c>
    </row>
    <row r="4243" spans="2:7" ht="15" hidden="1" x14ac:dyDescent="0.25">
      <c r="B4243" s="4">
        <v>584633148</v>
      </c>
      <c r="C4243" s="4" t="s">
        <v>269</v>
      </c>
      <c r="D4243" s="4">
        <v>1419</v>
      </c>
      <c r="E4243" s="4">
        <v>57</v>
      </c>
      <c r="G4243">
        <f t="shared" si="66"/>
        <v>512</v>
      </c>
    </row>
    <row r="4244" spans="2:7" ht="15" hidden="1" x14ac:dyDescent="0.25">
      <c r="B4244" s="4">
        <v>584633148</v>
      </c>
      <c r="C4244" s="4" t="s">
        <v>272</v>
      </c>
      <c r="D4244" s="4">
        <v>130</v>
      </c>
      <c r="E4244" s="4">
        <v>213</v>
      </c>
      <c r="G4244">
        <f t="shared" si="66"/>
        <v>1760</v>
      </c>
    </row>
    <row r="4245" spans="2:7" ht="15" hidden="1" x14ac:dyDescent="0.25">
      <c r="B4245" s="4">
        <v>584633149</v>
      </c>
      <c r="C4245" s="4" t="s">
        <v>269</v>
      </c>
      <c r="D4245" s="4">
        <v>1420</v>
      </c>
      <c r="E4245" s="4">
        <v>57</v>
      </c>
      <c r="G4245">
        <f t="shared" si="66"/>
        <v>512</v>
      </c>
    </row>
    <row r="4246" spans="2:7" ht="15" hidden="1" x14ac:dyDescent="0.25">
      <c r="B4246" s="4">
        <v>584633150</v>
      </c>
      <c r="C4246" s="4" t="s">
        <v>269</v>
      </c>
      <c r="D4246" s="4">
        <v>1421</v>
      </c>
      <c r="E4246" s="4">
        <v>57</v>
      </c>
      <c r="G4246">
        <f t="shared" si="66"/>
        <v>512</v>
      </c>
    </row>
    <row r="4247" spans="2:7" ht="15" hidden="1" x14ac:dyDescent="0.25">
      <c r="B4247" s="4">
        <v>584633151</v>
      </c>
      <c r="C4247" s="4" t="s">
        <v>269</v>
      </c>
      <c r="D4247" s="4">
        <v>1422</v>
      </c>
      <c r="E4247" s="4">
        <v>57</v>
      </c>
      <c r="G4247">
        <f t="shared" si="66"/>
        <v>512</v>
      </c>
    </row>
    <row r="4248" spans="2:7" ht="15" hidden="1" x14ac:dyDescent="0.25">
      <c r="B4248" s="4">
        <v>584633152</v>
      </c>
      <c r="C4248" s="4" t="s">
        <v>269</v>
      </c>
      <c r="D4248" s="4">
        <v>1423</v>
      </c>
      <c r="E4248" s="4">
        <v>57</v>
      </c>
      <c r="G4248">
        <f t="shared" si="66"/>
        <v>512</v>
      </c>
    </row>
    <row r="4249" spans="2:7" ht="15" hidden="1" x14ac:dyDescent="0.25">
      <c r="B4249" s="4">
        <v>584633153</v>
      </c>
      <c r="C4249" s="4" t="s">
        <v>269</v>
      </c>
      <c r="D4249" s="4">
        <v>1424</v>
      </c>
      <c r="E4249" s="4">
        <v>57</v>
      </c>
      <c r="G4249">
        <f t="shared" si="66"/>
        <v>512</v>
      </c>
    </row>
    <row r="4250" spans="2:7" ht="15" hidden="1" x14ac:dyDescent="0.25">
      <c r="B4250" s="4">
        <v>584633154</v>
      </c>
      <c r="C4250" s="4" t="s">
        <v>269</v>
      </c>
      <c r="D4250" s="4">
        <v>1425</v>
      </c>
      <c r="E4250" s="4">
        <v>57</v>
      </c>
      <c r="G4250">
        <f t="shared" si="66"/>
        <v>512</v>
      </c>
    </row>
    <row r="4251" spans="2:7" ht="15" hidden="1" x14ac:dyDescent="0.25">
      <c r="B4251" s="4">
        <v>584633155</v>
      </c>
      <c r="C4251" s="4" t="s">
        <v>269</v>
      </c>
      <c r="D4251" s="4">
        <v>1426</v>
      </c>
      <c r="E4251" s="4">
        <v>57</v>
      </c>
      <c r="G4251">
        <f t="shared" si="66"/>
        <v>512</v>
      </c>
    </row>
    <row r="4252" spans="2:7" ht="15" hidden="1" x14ac:dyDescent="0.25">
      <c r="B4252" s="4">
        <v>584633156</v>
      </c>
      <c r="C4252" s="4" t="s">
        <v>269</v>
      </c>
      <c r="D4252" s="4">
        <v>1427</v>
      </c>
      <c r="E4252" s="4">
        <v>57</v>
      </c>
      <c r="G4252">
        <f t="shared" si="66"/>
        <v>512</v>
      </c>
    </row>
    <row r="4253" spans="2:7" ht="15" hidden="1" x14ac:dyDescent="0.25">
      <c r="B4253" s="4">
        <v>584633157</v>
      </c>
      <c r="C4253" s="4" t="s">
        <v>269</v>
      </c>
      <c r="D4253" s="4">
        <v>1428</v>
      </c>
      <c r="E4253" s="4">
        <v>57</v>
      </c>
      <c r="G4253">
        <f t="shared" si="66"/>
        <v>512</v>
      </c>
    </row>
    <row r="4254" spans="2:7" ht="15" hidden="1" x14ac:dyDescent="0.25">
      <c r="B4254" s="4">
        <v>584633158</v>
      </c>
      <c r="C4254" s="4" t="s">
        <v>269</v>
      </c>
      <c r="D4254" s="4">
        <v>1429</v>
      </c>
      <c r="E4254" s="4">
        <v>57</v>
      </c>
      <c r="G4254">
        <f t="shared" si="66"/>
        <v>512</v>
      </c>
    </row>
    <row r="4255" spans="2:7" ht="15" hidden="1" x14ac:dyDescent="0.25">
      <c r="B4255" s="4">
        <v>584633158</v>
      </c>
      <c r="C4255" s="4" t="s">
        <v>272</v>
      </c>
      <c r="D4255" s="4">
        <v>131</v>
      </c>
      <c r="E4255" s="4">
        <v>215</v>
      </c>
      <c r="G4255">
        <f t="shared" si="66"/>
        <v>1776</v>
      </c>
    </row>
    <row r="4256" spans="2:7" ht="15" hidden="1" x14ac:dyDescent="0.25">
      <c r="B4256" s="4">
        <v>584633159</v>
      </c>
      <c r="C4256" s="4" t="s">
        <v>269</v>
      </c>
      <c r="D4256" s="4">
        <v>1430</v>
      </c>
      <c r="E4256" s="4">
        <v>57</v>
      </c>
      <c r="G4256">
        <f t="shared" si="66"/>
        <v>512</v>
      </c>
    </row>
    <row r="4257" spans="2:7" ht="15" hidden="1" x14ac:dyDescent="0.25">
      <c r="B4257" s="4">
        <v>584633160</v>
      </c>
      <c r="C4257" s="4" t="s">
        <v>269</v>
      </c>
      <c r="D4257" s="4">
        <v>1431</v>
      </c>
      <c r="E4257" s="4">
        <v>57</v>
      </c>
      <c r="G4257">
        <f t="shared" si="66"/>
        <v>512</v>
      </c>
    </row>
    <row r="4258" spans="2:7" ht="15" hidden="1" x14ac:dyDescent="0.25">
      <c r="B4258" s="4">
        <v>584633161</v>
      </c>
      <c r="C4258" s="4" t="s">
        <v>269</v>
      </c>
      <c r="D4258" s="4">
        <v>1432</v>
      </c>
      <c r="E4258" s="4">
        <v>57</v>
      </c>
      <c r="G4258">
        <f t="shared" si="66"/>
        <v>512</v>
      </c>
    </row>
    <row r="4259" spans="2:7" ht="15" hidden="1" x14ac:dyDescent="0.25">
      <c r="B4259" s="4">
        <v>584633162</v>
      </c>
      <c r="C4259" s="4" t="s">
        <v>269</v>
      </c>
      <c r="D4259" s="4">
        <v>1433</v>
      </c>
      <c r="E4259" s="4">
        <v>57</v>
      </c>
      <c r="G4259">
        <f t="shared" si="66"/>
        <v>512</v>
      </c>
    </row>
    <row r="4260" spans="2:7" ht="15" hidden="1" x14ac:dyDescent="0.25">
      <c r="B4260" s="4">
        <v>584633163</v>
      </c>
      <c r="C4260" s="4" t="s">
        <v>269</v>
      </c>
      <c r="D4260" s="4">
        <v>1434</v>
      </c>
      <c r="E4260" s="4">
        <v>57</v>
      </c>
      <c r="G4260">
        <f t="shared" si="66"/>
        <v>512</v>
      </c>
    </row>
    <row r="4261" spans="2:7" ht="15" hidden="1" x14ac:dyDescent="0.25">
      <c r="B4261" s="4">
        <v>584633164</v>
      </c>
      <c r="C4261" s="4" t="s">
        <v>269</v>
      </c>
      <c r="D4261" s="4">
        <v>1435</v>
      </c>
      <c r="E4261" s="4">
        <v>57</v>
      </c>
      <c r="G4261">
        <f t="shared" si="66"/>
        <v>512</v>
      </c>
    </row>
    <row r="4262" spans="2:7" ht="15" hidden="1" x14ac:dyDescent="0.25">
      <c r="B4262" s="4">
        <v>584633165</v>
      </c>
      <c r="C4262" s="4" t="s">
        <v>269</v>
      </c>
      <c r="D4262" s="4">
        <v>1436</v>
      </c>
      <c r="E4262" s="4">
        <v>57</v>
      </c>
      <c r="G4262">
        <f t="shared" si="66"/>
        <v>512</v>
      </c>
    </row>
    <row r="4263" spans="2:7" ht="15" hidden="1" x14ac:dyDescent="0.25">
      <c r="B4263" s="4">
        <v>584633166</v>
      </c>
      <c r="C4263" s="4" t="s">
        <v>269</v>
      </c>
      <c r="D4263" s="4">
        <v>1437</v>
      </c>
      <c r="E4263" s="4">
        <v>57</v>
      </c>
      <c r="G4263">
        <f t="shared" si="66"/>
        <v>512</v>
      </c>
    </row>
    <row r="4264" spans="2:7" ht="15" hidden="1" x14ac:dyDescent="0.25">
      <c r="B4264" s="4">
        <v>584633167</v>
      </c>
      <c r="C4264" s="4" t="s">
        <v>269</v>
      </c>
      <c r="D4264" s="4">
        <v>1438</v>
      </c>
      <c r="E4264" s="4">
        <v>57</v>
      </c>
      <c r="G4264">
        <f t="shared" si="66"/>
        <v>512</v>
      </c>
    </row>
    <row r="4265" spans="2:7" ht="15" hidden="1" x14ac:dyDescent="0.25">
      <c r="B4265" s="4">
        <v>584633168</v>
      </c>
      <c r="C4265" s="4" t="s">
        <v>269</v>
      </c>
      <c r="D4265" s="4">
        <v>1439</v>
      </c>
      <c r="E4265" s="4">
        <v>57</v>
      </c>
      <c r="G4265">
        <f t="shared" si="66"/>
        <v>512</v>
      </c>
    </row>
    <row r="4266" spans="2:7" ht="15" hidden="1" x14ac:dyDescent="0.25">
      <c r="B4266" s="4">
        <v>584633168</v>
      </c>
      <c r="C4266" s="4" t="s">
        <v>272</v>
      </c>
      <c r="D4266" s="4">
        <v>132</v>
      </c>
      <c r="E4266" s="4">
        <v>211</v>
      </c>
      <c r="G4266">
        <f t="shared" si="66"/>
        <v>1744</v>
      </c>
    </row>
    <row r="4267" spans="2:7" ht="15" hidden="1" x14ac:dyDescent="0.25">
      <c r="B4267" s="4">
        <v>584633169</v>
      </c>
      <c r="C4267" s="4" t="s">
        <v>269</v>
      </c>
      <c r="D4267" s="4">
        <v>1440</v>
      </c>
      <c r="E4267" s="4">
        <v>57</v>
      </c>
      <c r="G4267">
        <f t="shared" si="66"/>
        <v>512</v>
      </c>
    </row>
    <row r="4268" spans="2:7" ht="15" hidden="1" x14ac:dyDescent="0.25">
      <c r="B4268" s="4">
        <v>584633170</v>
      </c>
      <c r="C4268" s="4" t="s">
        <v>269</v>
      </c>
      <c r="D4268" s="4">
        <v>1441</v>
      </c>
      <c r="E4268" s="4">
        <v>57</v>
      </c>
      <c r="G4268">
        <f t="shared" si="66"/>
        <v>512</v>
      </c>
    </row>
    <row r="4269" spans="2:7" ht="15" hidden="1" x14ac:dyDescent="0.25">
      <c r="B4269" s="4">
        <v>584633171</v>
      </c>
      <c r="C4269" s="4" t="s">
        <v>269</v>
      </c>
      <c r="D4269" s="4">
        <v>1442</v>
      </c>
      <c r="E4269" s="4">
        <v>57</v>
      </c>
      <c r="G4269">
        <f t="shared" si="66"/>
        <v>512</v>
      </c>
    </row>
    <row r="4270" spans="2:7" ht="15" hidden="1" x14ac:dyDescent="0.25">
      <c r="B4270" s="4">
        <v>584633172</v>
      </c>
      <c r="C4270" s="4" t="s">
        <v>269</v>
      </c>
      <c r="D4270" s="4">
        <v>1443</v>
      </c>
      <c r="E4270" s="4">
        <v>57</v>
      </c>
      <c r="G4270">
        <f t="shared" si="66"/>
        <v>512</v>
      </c>
    </row>
    <row r="4271" spans="2:7" ht="15" hidden="1" x14ac:dyDescent="0.25">
      <c r="B4271" s="4">
        <v>584633173</v>
      </c>
      <c r="C4271" s="4" t="s">
        <v>269</v>
      </c>
      <c r="D4271" s="4">
        <v>1444</v>
      </c>
      <c r="E4271" s="4">
        <v>57</v>
      </c>
      <c r="G4271">
        <f t="shared" si="66"/>
        <v>512</v>
      </c>
    </row>
    <row r="4272" spans="2:7" ht="15" hidden="1" x14ac:dyDescent="0.25">
      <c r="B4272" s="4">
        <v>584633174</v>
      </c>
      <c r="C4272" s="4" t="s">
        <v>269</v>
      </c>
      <c r="D4272" s="4">
        <v>1445</v>
      </c>
      <c r="E4272" s="4">
        <v>57</v>
      </c>
      <c r="G4272">
        <f t="shared" si="66"/>
        <v>512</v>
      </c>
    </row>
    <row r="4273" spans="2:7" ht="15" hidden="1" x14ac:dyDescent="0.25">
      <c r="B4273" s="4">
        <v>584633175</v>
      </c>
      <c r="C4273" s="4" t="s">
        <v>269</v>
      </c>
      <c r="D4273" s="4">
        <v>1446</v>
      </c>
      <c r="E4273" s="4">
        <v>57</v>
      </c>
      <c r="G4273">
        <f t="shared" si="66"/>
        <v>512</v>
      </c>
    </row>
    <row r="4274" spans="2:7" ht="15" hidden="1" x14ac:dyDescent="0.25">
      <c r="B4274" s="4">
        <v>584633176</v>
      </c>
      <c r="C4274" s="4" t="s">
        <v>269</v>
      </c>
      <c r="D4274" s="4">
        <v>1447</v>
      </c>
      <c r="E4274" s="4">
        <v>57</v>
      </c>
      <c r="G4274">
        <f t="shared" si="66"/>
        <v>512</v>
      </c>
    </row>
    <row r="4275" spans="2:7" ht="15" hidden="1" x14ac:dyDescent="0.25">
      <c r="B4275" s="4">
        <v>584633177</v>
      </c>
      <c r="C4275" s="4" t="s">
        <v>269</v>
      </c>
      <c r="D4275" s="4">
        <v>1448</v>
      </c>
      <c r="E4275" s="4">
        <v>57</v>
      </c>
      <c r="G4275">
        <f t="shared" si="66"/>
        <v>512</v>
      </c>
    </row>
    <row r="4276" spans="2:7" ht="15" hidden="1" x14ac:dyDescent="0.25">
      <c r="B4276" s="4">
        <v>584633178</v>
      </c>
      <c r="C4276" s="4" t="s">
        <v>269</v>
      </c>
      <c r="D4276" s="4">
        <v>1449</v>
      </c>
      <c r="E4276" s="4">
        <v>57</v>
      </c>
      <c r="G4276">
        <f t="shared" si="66"/>
        <v>512</v>
      </c>
    </row>
    <row r="4277" spans="2:7" ht="15" hidden="1" x14ac:dyDescent="0.25">
      <c r="B4277" s="4">
        <v>584633178</v>
      </c>
      <c r="C4277" s="4" t="s">
        <v>272</v>
      </c>
      <c r="D4277" s="4">
        <v>133</v>
      </c>
      <c r="E4277" s="4">
        <v>219</v>
      </c>
      <c r="G4277">
        <f t="shared" si="66"/>
        <v>1808</v>
      </c>
    </row>
    <row r="4278" spans="2:7" ht="15" hidden="1" x14ac:dyDescent="0.25">
      <c r="B4278" s="4">
        <v>584633179</v>
      </c>
      <c r="C4278" s="4" t="s">
        <v>269</v>
      </c>
      <c r="D4278" s="4">
        <v>1450</v>
      </c>
      <c r="E4278" s="4">
        <v>57</v>
      </c>
      <c r="G4278">
        <f t="shared" si="66"/>
        <v>512</v>
      </c>
    </row>
    <row r="4279" spans="2:7" ht="15" hidden="1" x14ac:dyDescent="0.25">
      <c r="B4279" s="4">
        <v>584633180</v>
      </c>
      <c r="C4279" s="4" t="s">
        <v>269</v>
      </c>
      <c r="D4279" s="4">
        <v>1451</v>
      </c>
      <c r="E4279" s="4">
        <v>57</v>
      </c>
      <c r="G4279">
        <f t="shared" si="66"/>
        <v>512</v>
      </c>
    </row>
    <row r="4280" spans="2:7" ht="15" hidden="1" x14ac:dyDescent="0.25">
      <c r="B4280" s="4">
        <v>584633181</v>
      </c>
      <c r="C4280" s="4" t="s">
        <v>269</v>
      </c>
      <c r="D4280" s="4">
        <v>1452</v>
      </c>
      <c r="E4280" s="4">
        <v>57</v>
      </c>
      <c r="G4280">
        <f t="shared" si="66"/>
        <v>512</v>
      </c>
    </row>
    <row r="4281" spans="2:7" ht="15" hidden="1" x14ac:dyDescent="0.25">
      <c r="B4281" s="4">
        <v>584633182</v>
      </c>
      <c r="C4281" s="4" t="s">
        <v>269</v>
      </c>
      <c r="D4281" s="4">
        <v>1453</v>
      </c>
      <c r="E4281" s="4">
        <v>57</v>
      </c>
      <c r="G4281">
        <f t="shared" si="66"/>
        <v>512</v>
      </c>
    </row>
    <row r="4282" spans="2:7" ht="15" hidden="1" x14ac:dyDescent="0.25">
      <c r="B4282" s="4">
        <v>584633183</v>
      </c>
      <c r="C4282" s="4" t="s">
        <v>269</v>
      </c>
      <c r="D4282" s="4">
        <v>1454</v>
      </c>
      <c r="E4282" s="4">
        <v>57</v>
      </c>
      <c r="G4282">
        <f t="shared" si="66"/>
        <v>512</v>
      </c>
    </row>
    <row r="4283" spans="2:7" ht="15" hidden="1" x14ac:dyDescent="0.25">
      <c r="B4283" s="4">
        <v>584633184</v>
      </c>
      <c r="C4283" s="4" t="s">
        <v>269</v>
      </c>
      <c r="D4283" s="4">
        <v>1455</v>
      </c>
      <c r="E4283" s="4">
        <v>57</v>
      </c>
      <c r="G4283">
        <f t="shared" si="66"/>
        <v>512</v>
      </c>
    </row>
    <row r="4284" spans="2:7" ht="15" hidden="1" x14ac:dyDescent="0.25">
      <c r="B4284" s="4">
        <v>584633185</v>
      </c>
      <c r="C4284" s="4" t="s">
        <v>269</v>
      </c>
      <c r="D4284" s="4">
        <v>1456</v>
      </c>
      <c r="E4284" s="4">
        <v>57</v>
      </c>
      <c r="G4284">
        <f t="shared" si="66"/>
        <v>512</v>
      </c>
    </row>
    <row r="4285" spans="2:7" ht="15" hidden="1" x14ac:dyDescent="0.25">
      <c r="B4285" s="4">
        <v>584633186</v>
      </c>
      <c r="C4285" s="4" t="s">
        <v>269</v>
      </c>
      <c r="D4285" s="4">
        <v>1457</v>
      </c>
      <c r="E4285" s="4">
        <v>57</v>
      </c>
      <c r="G4285">
        <f t="shared" si="66"/>
        <v>512</v>
      </c>
    </row>
    <row r="4286" spans="2:7" ht="15" hidden="1" x14ac:dyDescent="0.25">
      <c r="B4286" s="4">
        <v>584633187</v>
      </c>
      <c r="C4286" s="4" t="s">
        <v>269</v>
      </c>
      <c r="D4286" s="4">
        <v>1458</v>
      </c>
      <c r="E4286" s="4">
        <v>57</v>
      </c>
      <c r="G4286">
        <f t="shared" si="66"/>
        <v>512</v>
      </c>
    </row>
    <row r="4287" spans="2:7" ht="15" hidden="1" x14ac:dyDescent="0.25">
      <c r="B4287" s="4">
        <v>584633188</v>
      </c>
      <c r="C4287" s="4" t="s">
        <v>269</v>
      </c>
      <c r="D4287" s="4">
        <v>1459</v>
      </c>
      <c r="E4287" s="4">
        <v>57</v>
      </c>
      <c r="G4287">
        <f t="shared" si="66"/>
        <v>512</v>
      </c>
    </row>
    <row r="4288" spans="2:7" ht="15" hidden="1" x14ac:dyDescent="0.25">
      <c r="B4288" s="4">
        <v>584633188</v>
      </c>
      <c r="C4288" s="4" t="s">
        <v>272</v>
      </c>
      <c r="D4288" s="4">
        <v>134</v>
      </c>
      <c r="E4288" s="4">
        <v>217</v>
      </c>
      <c r="G4288">
        <f t="shared" si="66"/>
        <v>1792</v>
      </c>
    </row>
    <row r="4289" spans="2:7" ht="15" hidden="1" x14ac:dyDescent="0.25">
      <c r="B4289" s="4">
        <v>584633189</v>
      </c>
      <c r="C4289" s="4" t="s">
        <v>269</v>
      </c>
      <c r="D4289" s="4">
        <v>1460</v>
      </c>
      <c r="E4289" s="4">
        <v>57</v>
      </c>
      <c r="G4289">
        <f t="shared" si="66"/>
        <v>512</v>
      </c>
    </row>
    <row r="4290" spans="2:7" ht="15" hidden="1" x14ac:dyDescent="0.25">
      <c r="B4290" s="4">
        <v>584633190</v>
      </c>
      <c r="C4290" s="4" t="s">
        <v>269</v>
      </c>
      <c r="D4290" s="4">
        <v>1461</v>
      </c>
      <c r="E4290" s="4">
        <v>57</v>
      </c>
      <c r="G4290">
        <f t="shared" si="66"/>
        <v>512</v>
      </c>
    </row>
    <row r="4291" spans="2:7" ht="15" hidden="1" x14ac:dyDescent="0.25">
      <c r="B4291" s="4">
        <v>584633191</v>
      </c>
      <c r="C4291" s="4" t="s">
        <v>269</v>
      </c>
      <c r="D4291" s="4">
        <v>1462</v>
      </c>
      <c r="E4291" s="4">
        <v>57</v>
      </c>
      <c r="G4291">
        <f t="shared" si="66"/>
        <v>512</v>
      </c>
    </row>
    <row r="4292" spans="2:7" ht="15" hidden="1" x14ac:dyDescent="0.25">
      <c r="B4292" s="4">
        <v>584633192</v>
      </c>
      <c r="C4292" s="4" t="s">
        <v>269</v>
      </c>
      <c r="D4292" s="4">
        <v>1463</v>
      </c>
      <c r="E4292" s="4">
        <v>57</v>
      </c>
      <c r="G4292">
        <f t="shared" ref="G4292:G4355" si="67">(E4292+7)*8</f>
        <v>512</v>
      </c>
    </row>
    <row r="4293" spans="2:7" ht="15" hidden="1" x14ac:dyDescent="0.25">
      <c r="B4293" s="4">
        <v>584633193</v>
      </c>
      <c r="C4293" s="4" t="s">
        <v>269</v>
      </c>
      <c r="D4293" s="4">
        <v>1464</v>
      </c>
      <c r="E4293" s="4">
        <v>57</v>
      </c>
      <c r="G4293">
        <f t="shared" si="67"/>
        <v>512</v>
      </c>
    </row>
    <row r="4294" spans="2:7" ht="15" hidden="1" x14ac:dyDescent="0.25">
      <c r="B4294" s="4">
        <v>584633194</v>
      </c>
      <c r="C4294" s="4" t="s">
        <v>269</v>
      </c>
      <c r="D4294" s="4">
        <v>1465</v>
      </c>
      <c r="E4294" s="4">
        <v>57</v>
      </c>
      <c r="G4294">
        <f t="shared" si="67"/>
        <v>512</v>
      </c>
    </row>
    <row r="4295" spans="2:7" ht="15" hidden="1" x14ac:dyDescent="0.25">
      <c r="B4295" s="4">
        <v>584633195</v>
      </c>
      <c r="C4295" s="4" t="s">
        <v>269</v>
      </c>
      <c r="D4295" s="4">
        <v>1466</v>
      </c>
      <c r="E4295" s="4">
        <v>57</v>
      </c>
      <c r="G4295">
        <f t="shared" si="67"/>
        <v>512</v>
      </c>
    </row>
    <row r="4296" spans="2:7" ht="15" hidden="1" x14ac:dyDescent="0.25">
      <c r="B4296" s="4">
        <v>584633196</v>
      </c>
      <c r="C4296" s="4" t="s">
        <v>269</v>
      </c>
      <c r="D4296" s="4">
        <v>1467</v>
      </c>
      <c r="E4296" s="4">
        <v>57</v>
      </c>
      <c r="G4296">
        <f t="shared" si="67"/>
        <v>512</v>
      </c>
    </row>
    <row r="4297" spans="2:7" ht="15" hidden="1" x14ac:dyDescent="0.25">
      <c r="B4297" s="4">
        <v>584633197</v>
      </c>
      <c r="C4297" s="4" t="s">
        <v>269</v>
      </c>
      <c r="D4297" s="4">
        <v>1468</v>
      </c>
      <c r="E4297" s="4">
        <v>57</v>
      </c>
      <c r="G4297">
        <f t="shared" si="67"/>
        <v>512</v>
      </c>
    </row>
    <row r="4298" spans="2:7" ht="15" hidden="1" x14ac:dyDescent="0.25">
      <c r="B4298" s="4">
        <v>584633198</v>
      </c>
      <c r="C4298" s="4" t="s">
        <v>269</v>
      </c>
      <c r="D4298" s="4">
        <v>1469</v>
      </c>
      <c r="E4298" s="4">
        <v>57</v>
      </c>
      <c r="G4298">
        <f t="shared" si="67"/>
        <v>512</v>
      </c>
    </row>
    <row r="4299" spans="2:7" ht="15" hidden="1" x14ac:dyDescent="0.25">
      <c r="B4299" s="4">
        <v>584633198</v>
      </c>
      <c r="C4299" s="4" t="s">
        <v>272</v>
      </c>
      <c r="D4299" s="4">
        <v>135</v>
      </c>
      <c r="E4299" s="4">
        <v>215</v>
      </c>
      <c r="G4299">
        <f t="shared" si="67"/>
        <v>1776</v>
      </c>
    </row>
    <row r="4300" spans="2:7" ht="15" hidden="1" x14ac:dyDescent="0.25">
      <c r="B4300" s="4">
        <v>584633199</v>
      </c>
      <c r="C4300" s="4" t="s">
        <v>269</v>
      </c>
      <c r="D4300" s="4">
        <v>1470</v>
      </c>
      <c r="E4300" s="4">
        <v>57</v>
      </c>
      <c r="G4300">
        <f t="shared" si="67"/>
        <v>512</v>
      </c>
    </row>
    <row r="4301" spans="2:7" ht="15" hidden="1" x14ac:dyDescent="0.25">
      <c r="B4301" s="4">
        <v>584633200</v>
      </c>
      <c r="C4301" s="4" t="s">
        <v>269</v>
      </c>
      <c r="D4301" s="4">
        <v>1471</v>
      </c>
      <c r="E4301" s="4">
        <v>57</v>
      </c>
      <c r="G4301">
        <f t="shared" si="67"/>
        <v>512</v>
      </c>
    </row>
    <row r="4302" spans="2:7" ht="15" hidden="1" x14ac:dyDescent="0.25">
      <c r="B4302" s="4">
        <v>584633201</v>
      </c>
      <c r="C4302" s="4" t="s">
        <v>269</v>
      </c>
      <c r="D4302" s="4">
        <v>1472</v>
      </c>
      <c r="E4302" s="4">
        <v>57</v>
      </c>
      <c r="G4302">
        <f t="shared" si="67"/>
        <v>512</v>
      </c>
    </row>
    <row r="4303" spans="2:7" ht="15" hidden="1" x14ac:dyDescent="0.25">
      <c r="B4303" s="4">
        <v>584633202</v>
      </c>
      <c r="C4303" s="4" t="s">
        <v>269</v>
      </c>
      <c r="D4303" s="4">
        <v>1473</v>
      </c>
      <c r="E4303" s="4">
        <v>57</v>
      </c>
      <c r="G4303">
        <f t="shared" si="67"/>
        <v>512</v>
      </c>
    </row>
    <row r="4304" spans="2:7" ht="15" hidden="1" x14ac:dyDescent="0.25">
      <c r="B4304" s="4">
        <v>584633203</v>
      </c>
      <c r="C4304" s="4" t="s">
        <v>269</v>
      </c>
      <c r="D4304" s="4">
        <v>1474</v>
      </c>
      <c r="E4304" s="4">
        <v>57</v>
      </c>
      <c r="G4304">
        <f t="shared" si="67"/>
        <v>512</v>
      </c>
    </row>
    <row r="4305" spans="2:7" ht="15" hidden="1" x14ac:dyDescent="0.25">
      <c r="B4305" s="4">
        <v>584633204</v>
      </c>
      <c r="C4305" s="4" t="s">
        <v>269</v>
      </c>
      <c r="D4305" s="4">
        <v>1475</v>
      </c>
      <c r="E4305" s="4">
        <v>57</v>
      </c>
      <c r="G4305">
        <f t="shared" si="67"/>
        <v>512</v>
      </c>
    </row>
    <row r="4306" spans="2:7" ht="15" hidden="1" x14ac:dyDescent="0.25">
      <c r="B4306" s="4">
        <v>584633205</v>
      </c>
      <c r="C4306" s="4" t="s">
        <v>269</v>
      </c>
      <c r="D4306" s="4">
        <v>1476</v>
      </c>
      <c r="E4306" s="4">
        <v>57</v>
      </c>
      <c r="G4306">
        <f t="shared" si="67"/>
        <v>512</v>
      </c>
    </row>
    <row r="4307" spans="2:7" ht="15" hidden="1" x14ac:dyDescent="0.25">
      <c r="B4307" s="4">
        <v>584633206</v>
      </c>
      <c r="C4307" s="4" t="s">
        <v>269</v>
      </c>
      <c r="D4307" s="4">
        <v>1477</v>
      </c>
      <c r="E4307" s="4">
        <v>57</v>
      </c>
      <c r="G4307">
        <f t="shared" si="67"/>
        <v>512</v>
      </c>
    </row>
    <row r="4308" spans="2:7" ht="15" hidden="1" x14ac:dyDescent="0.25">
      <c r="B4308" s="4">
        <v>584633207</v>
      </c>
      <c r="C4308" s="4" t="s">
        <v>269</v>
      </c>
      <c r="D4308" s="4">
        <v>1478</v>
      </c>
      <c r="E4308" s="4">
        <v>57</v>
      </c>
      <c r="G4308">
        <f t="shared" si="67"/>
        <v>512</v>
      </c>
    </row>
    <row r="4309" spans="2:7" ht="15" hidden="1" x14ac:dyDescent="0.25">
      <c r="B4309" s="4">
        <v>584633208</v>
      </c>
      <c r="C4309" s="4" t="s">
        <v>269</v>
      </c>
      <c r="D4309" s="4">
        <v>1479</v>
      </c>
      <c r="E4309" s="4">
        <v>57</v>
      </c>
      <c r="G4309">
        <f t="shared" si="67"/>
        <v>512</v>
      </c>
    </row>
    <row r="4310" spans="2:7" ht="15" hidden="1" x14ac:dyDescent="0.25">
      <c r="B4310" s="4">
        <v>584633208</v>
      </c>
      <c r="C4310" s="4" t="s">
        <v>272</v>
      </c>
      <c r="D4310" s="4">
        <v>136</v>
      </c>
      <c r="E4310" s="4">
        <v>219</v>
      </c>
      <c r="G4310">
        <f t="shared" si="67"/>
        <v>1808</v>
      </c>
    </row>
    <row r="4311" spans="2:7" ht="15" hidden="1" x14ac:dyDescent="0.25">
      <c r="B4311" s="4">
        <v>584633209</v>
      </c>
      <c r="C4311" s="4" t="s">
        <v>269</v>
      </c>
      <c r="D4311" s="4">
        <v>1480</v>
      </c>
      <c r="E4311" s="4">
        <v>57</v>
      </c>
      <c r="G4311">
        <f t="shared" si="67"/>
        <v>512</v>
      </c>
    </row>
    <row r="4312" spans="2:7" ht="15" hidden="1" x14ac:dyDescent="0.25">
      <c r="B4312" s="4">
        <v>584633210</v>
      </c>
      <c r="C4312" s="4" t="s">
        <v>269</v>
      </c>
      <c r="D4312" s="4">
        <v>1481</v>
      </c>
      <c r="E4312" s="4">
        <v>57</v>
      </c>
      <c r="G4312">
        <f t="shared" si="67"/>
        <v>512</v>
      </c>
    </row>
    <row r="4313" spans="2:7" ht="15" hidden="1" x14ac:dyDescent="0.25">
      <c r="B4313" s="4">
        <v>584633211</v>
      </c>
      <c r="C4313" s="4" t="s">
        <v>269</v>
      </c>
      <c r="D4313" s="4">
        <v>1482</v>
      </c>
      <c r="E4313" s="4">
        <v>57</v>
      </c>
      <c r="G4313">
        <f t="shared" si="67"/>
        <v>512</v>
      </c>
    </row>
    <row r="4314" spans="2:7" ht="15" hidden="1" x14ac:dyDescent="0.25">
      <c r="B4314" s="4">
        <v>584633212</v>
      </c>
      <c r="C4314" s="4" t="s">
        <v>269</v>
      </c>
      <c r="D4314" s="4">
        <v>1483</v>
      </c>
      <c r="E4314" s="4">
        <v>57</v>
      </c>
      <c r="G4314">
        <f t="shared" si="67"/>
        <v>512</v>
      </c>
    </row>
    <row r="4315" spans="2:7" ht="15" hidden="1" x14ac:dyDescent="0.25">
      <c r="B4315" s="4">
        <v>584633213</v>
      </c>
      <c r="C4315" s="4" t="s">
        <v>269</v>
      </c>
      <c r="D4315" s="4">
        <v>1484</v>
      </c>
      <c r="E4315" s="4">
        <v>57</v>
      </c>
      <c r="G4315">
        <f t="shared" si="67"/>
        <v>512</v>
      </c>
    </row>
    <row r="4316" spans="2:7" ht="15" hidden="1" x14ac:dyDescent="0.25">
      <c r="B4316" s="4">
        <v>584633214</v>
      </c>
      <c r="C4316" s="4" t="s">
        <v>269</v>
      </c>
      <c r="D4316" s="4">
        <v>1485</v>
      </c>
      <c r="E4316" s="4">
        <v>57</v>
      </c>
      <c r="G4316">
        <f t="shared" si="67"/>
        <v>512</v>
      </c>
    </row>
    <row r="4317" spans="2:7" ht="15" hidden="1" x14ac:dyDescent="0.25">
      <c r="B4317" s="4">
        <v>584633215</v>
      </c>
      <c r="C4317" s="4" t="s">
        <v>269</v>
      </c>
      <c r="D4317" s="4">
        <v>1486</v>
      </c>
      <c r="E4317" s="4">
        <v>57</v>
      </c>
      <c r="G4317">
        <f t="shared" si="67"/>
        <v>512</v>
      </c>
    </row>
    <row r="4318" spans="2:7" ht="15" hidden="1" x14ac:dyDescent="0.25">
      <c r="B4318" s="4">
        <v>584633216</v>
      </c>
      <c r="C4318" s="4" t="s">
        <v>269</v>
      </c>
      <c r="D4318" s="4">
        <v>1487</v>
      </c>
      <c r="E4318" s="4">
        <v>57</v>
      </c>
      <c r="G4318">
        <f t="shared" si="67"/>
        <v>512</v>
      </c>
    </row>
    <row r="4319" spans="2:7" ht="15" hidden="1" x14ac:dyDescent="0.25">
      <c r="B4319" s="4">
        <v>584633217</v>
      </c>
      <c r="C4319" s="4" t="s">
        <v>269</v>
      </c>
      <c r="D4319" s="4">
        <v>1488</v>
      </c>
      <c r="E4319" s="4">
        <v>57</v>
      </c>
      <c r="G4319">
        <f t="shared" si="67"/>
        <v>512</v>
      </c>
    </row>
    <row r="4320" spans="2:7" ht="15" hidden="1" x14ac:dyDescent="0.25">
      <c r="B4320" s="4">
        <v>584633218</v>
      </c>
      <c r="C4320" s="4" t="s">
        <v>269</v>
      </c>
      <c r="D4320" s="4">
        <v>1489</v>
      </c>
      <c r="E4320" s="4">
        <v>57</v>
      </c>
      <c r="G4320">
        <f t="shared" si="67"/>
        <v>512</v>
      </c>
    </row>
    <row r="4321" spans="2:7" ht="15" hidden="1" x14ac:dyDescent="0.25">
      <c r="B4321" s="4">
        <v>584633218</v>
      </c>
      <c r="C4321" s="4" t="s">
        <v>272</v>
      </c>
      <c r="D4321" s="4">
        <v>137</v>
      </c>
      <c r="E4321" s="4">
        <v>209</v>
      </c>
      <c r="G4321">
        <f t="shared" si="67"/>
        <v>1728</v>
      </c>
    </row>
    <row r="4322" spans="2:7" ht="15" hidden="1" x14ac:dyDescent="0.25">
      <c r="B4322" s="4">
        <v>584633219</v>
      </c>
      <c r="C4322" s="4" t="s">
        <v>269</v>
      </c>
      <c r="D4322" s="4">
        <v>1490</v>
      </c>
      <c r="E4322" s="4">
        <v>57</v>
      </c>
      <c r="G4322">
        <f t="shared" si="67"/>
        <v>512</v>
      </c>
    </row>
    <row r="4323" spans="2:7" ht="15" hidden="1" x14ac:dyDescent="0.25">
      <c r="B4323" s="4">
        <v>584633220</v>
      </c>
      <c r="C4323" s="4" t="s">
        <v>269</v>
      </c>
      <c r="D4323" s="4">
        <v>1491</v>
      </c>
      <c r="E4323" s="4">
        <v>57</v>
      </c>
      <c r="G4323">
        <f t="shared" si="67"/>
        <v>512</v>
      </c>
    </row>
    <row r="4324" spans="2:7" ht="15" hidden="1" x14ac:dyDescent="0.25">
      <c r="B4324" s="4">
        <v>584633221</v>
      </c>
      <c r="C4324" s="4" t="s">
        <v>269</v>
      </c>
      <c r="D4324" s="4">
        <v>1492</v>
      </c>
      <c r="E4324" s="4">
        <v>57</v>
      </c>
      <c r="G4324">
        <f t="shared" si="67"/>
        <v>512</v>
      </c>
    </row>
    <row r="4325" spans="2:7" ht="15" hidden="1" x14ac:dyDescent="0.25">
      <c r="B4325" s="4">
        <v>584633222</v>
      </c>
      <c r="C4325" s="4" t="s">
        <v>269</v>
      </c>
      <c r="D4325" s="4">
        <v>1493</v>
      </c>
      <c r="E4325" s="4">
        <v>57</v>
      </c>
      <c r="G4325">
        <f t="shared" si="67"/>
        <v>512</v>
      </c>
    </row>
    <row r="4326" spans="2:7" ht="15" hidden="1" x14ac:dyDescent="0.25">
      <c r="B4326" s="4">
        <v>584633223</v>
      </c>
      <c r="C4326" s="4" t="s">
        <v>269</v>
      </c>
      <c r="D4326" s="4">
        <v>1494</v>
      </c>
      <c r="E4326" s="4">
        <v>57</v>
      </c>
      <c r="G4326">
        <f t="shared" si="67"/>
        <v>512</v>
      </c>
    </row>
    <row r="4327" spans="2:7" ht="15" hidden="1" x14ac:dyDescent="0.25">
      <c r="B4327" s="4">
        <v>584633224</v>
      </c>
      <c r="C4327" s="4" t="s">
        <v>269</v>
      </c>
      <c r="D4327" s="4">
        <v>1495</v>
      </c>
      <c r="E4327" s="4">
        <v>57</v>
      </c>
      <c r="G4327">
        <f t="shared" si="67"/>
        <v>512</v>
      </c>
    </row>
    <row r="4328" spans="2:7" ht="15" hidden="1" x14ac:dyDescent="0.25">
      <c r="B4328" s="4">
        <v>584633225</v>
      </c>
      <c r="C4328" s="4" t="s">
        <v>269</v>
      </c>
      <c r="D4328" s="4">
        <v>1496</v>
      </c>
      <c r="E4328" s="4">
        <v>57</v>
      </c>
      <c r="G4328">
        <f t="shared" si="67"/>
        <v>512</v>
      </c>
    </row>
    <row r="4329" spans="2:7" ht="15" hidden="1" x14ac:dyDescent="0.25">
      <c r="B4329" s="4">
        <v>584633226</v>
      </c>
      <c r="C4329" s="4" t="s">
        <v>269</v>
      </c>
      <c r="D4329" s="4">
        <v>1497</v>
      </c>
      <c r="E4329" s="4">
        <v>57</v>
      </c>
      <c r="G4329">
        <f t="shared" si="67"/>
        <v>512</v>
      </c>
    </row>
    <row r="4330" spans="2:7" ht="15" hidden="1" x14ac:dyDescent="0.25">
      <c r="B4330" s="4">
        <v>584633227</v>
      </c>
      <c r="C4330" s="4" t="s">
        <v>269</v>
      </c>
      <c r="D4330" s="4">
        <v>1498</v>
      </c>
      <c r="E4330" s="4">
        <v>57</v>
      </c>
      <c r="G4330">
        <f t="shared" si="67"/>
        <v>512</v>
      </c>
    </row>
    <row r="4331" spans="2:7" ht="15" hidden="1" x14ac:dyDescent="0.25">
      <c r="B4331" s="4">
        <v>584633228</v>
      </c>
      <c r="C4331" s="4" t="s">
        <v>269</v>
      </c>
      <c r="D4331" s="4">
        <v>1499</v>
      </c>
      <c r="E4331" s="4">
        <v>57</v>
      </c>
      <c r="G4331">
        <f t="shared" si="67"/>
        <v>512</v>
      </c>
    </row>
    <row r="4332" spans="2:7" ht="15" hidden="1" x14ac:dyDescent="0.25">
      <c r="B4332" s="4">
        <v>584633228</v>
      </c>
      <c r="C4332" s="4" t="s">
        <v>272</v>
      </c>
      <c r="D4332" s="4">
        <v>138</v>
      </c>
      <c r="E4332" s="4">
        <v>215</v>
      </c>
      <c r="G4332">
        <f t="shared" si="67"/>
        <v>1776</v>
      </c>
    </row>
    <row r="4333" spans="2:7" ht="15" hidden="1" x14ac:dyDescent="0.25">
      <c r="B4333" s="4">
        <v>584633229</v>
      </c>
      <c r="C4333" s="4" t="s">
        <v>269</v>
      </c>
      <c r="D4333" s="4">
        <v>1500</v>
      </c>
      <c r="E4333" s="4">
        <v>57</v>
      </c>
      <c r="G4333">
        <f t="shared" si="67"/>
        <v>512</v>
      </c>
    </row>
    <row r="4334" spans="2:7" ht="15" hidden="1" x14ac:dyDescent="0.25">
      <c r="B4334" s="4">
        <v>584633230</v>
      </c>
      <c r="C4334" s="4" t="s">
        <v>269</v>
      </c>
      <c r="D4334" s="4">
        <v>1501</v>
      </c>
      <c r="E4334" s="4">
        <v>57</v>
      </c>
      <c r="G4334">
        <f t="shared" si="67"/>
        <v>512</v>
      </c>
    </row>
    <row r="4335" spans="2:7" ht="15" hidden="1" x14ac:dyDescent="0.25">
      <c r="B4335" s="4">
        <v>584633231</v>
      </c>
      <c r="C4335" s="4" t="s">
        <v>269</v>
      </c>
      <c r="D4335" s="4">
        <v>1502</v>
      </c>
      <c r="E4335" s="4">
        <v>57</v>
      </c>
      <c r="G4335">
        <f t="shared" si="67"/>
        <v>512</v>
      </c>
    </row>
    <row r="4336" spans="2:7" ht="15" hidden="1" x14ac:dyDescent="0.25">
      <c r="B4336" s="4">
        <v>584633232</v>
      </c>
      <c r="C4336" s="4" t="s">
        <v>269</v>
      </c>
      <c r="D4336" s="4">
        <v>1503</v>
      </c>
      <c r="E4336" s="4">
        <v>57</v>
      </c>
      <c r="G4336">
        <f t="shared" si="67"/>
        <v>512</v>
      </c>
    </row>
    <row r="4337" spans="2:7" ht="15" hidden="1" x14ac:dyDescent="0.25">
      <c r="B4337" s="4">
        <v>584633233</v>
      </c>
      <c r="C4337" s="4" t="s">
        <v>269</v>
      </c>
      <c r="D4337" s="4">
        <v>1504</v>
      </c>
      <c r="E4337" s="4">
        <v>57</v>
      </c>
      <c r="G4337">
        <f t="shared" si="67"/>
        <v>512</v>
      </c>
    </row>
    <row r="4338" spans="2:7" ht="15" hidden="1" x14ac:dyDescent="0.25">
      <c r="B4338" s="4">
        <v>584633234</v>
      </c>
      <c r="C4338" s="4" t="s">
        <v>269</v>
      </c>
      <c r="D4338" s="4">
        <v>1505</v>
      </c>
      <c r="E4338" s="4">
        <v>57</v>
      </c>
      <c r="G4338">
        <f t="shared" si="67"/>
        <v>512</v>
      </c>
    </row>
    <row r="4339" spans="2:7" ht="15" hidden="1" x14ac:dyDescent="0.25">
      <c r="B4339" s="4">
        <v>584633235</v>
      </c>
      <c r="C4339" s="4" t="s">
        <v>269</v>
      </c>
      <c r="D4339" s="4">
        <v>1506</v>
      </c>
      <c r="E4339" s="4">
        <v>57</v>
      </c>
      <c r="G4339">
        <f t="shared" si="67"/>
        <v>512</v>
      </c>
    </row>
    <row r="4340" spans="2:7" ht="15" hidden="1" x14ac:dyDescent="0.25">
      <c r="B4340" s="4">
        <v>584633236</v>
      </c>
      <c r="C4340" s="4" t="s">
        <v>269</v>
      </c>
      <c r="D4340" s="4">
        <v>1507</v>
      </c>
      <c r="E4340" s="4">
        <v>57</v>
      </c>
      <c r="G4340">
        <f t="shared" si="67"/>
        <v>512</v>
      </c>
    </row>
    <row r="4341" spans="2:7" ht="15" hidden="1" x14ac:dyDescent="0.25">
      <c r="B4341" s="4">
        <v>584633237</v>
      </c>
      <c r="C4341" s="4" t="s">
        <v>269</v>
      </c>
      <c r="D4341" s="4">
        <v>1508</v>
      </c>
      <c r="E4341" s="4">
        <v>57</v>
      </c>
      <c r="G4341">
        <f t="shared" si="67"/>
        <v>512</v>
      </c>
    </row>
    <row r="4342" spans="2:7" ht="15" hidden="1" x14ac:dyDescent="0.25">
      <c r="B4342" s="4">
        <v>584633238</v>
      </c>
      <c r="C4342" s="4" t="s">
        <v>269</v>
      </c>
      <c r="D4342" s="4">
        <v>1509</v>
      </c>
      <c r="E4342" s="4">
        <v>57</v>
      </c>
      <c r="G4342">
        <f t="shared" si="67"/>
        <v>512</v>
      </c>
    </row>
    <row r="4343" spans="2:7" ht="15" hidden="1" x14ac:dyDescent="0.25">
      <c r="B4343" s="4">
        <v>584633238</v>
      </c>
      <c r="C4343" s="4" t="s">
        <v>272</v>
      </c>
      <c r="D4343" s="4">
        <v>139</v>
      </c>
      <c r="E4343" s="4">
        <v>209</v>
      </c>
      <c r="G4343">
        <f t="shared" si="67"/>
        <v>1728</v>
      </c>
    </row>
    <row r="4344" spans="2:7" ht="15" hidden="1" x14ac:dyDescent="0.25">
      <c r="B4344" s="4">
        <v>584633239</v>
      </c>
      <c r="C4344" s="4" t="s">
        <v>269</v>
      </c>
      <c r="D4344" s="4">
        <v>1510</v>
      </c>
      <c r="E4344" s="4">
        <v>57</v>
      </c>
      <c r="G4344">
        <f t="shared" si="67"/>
        <v>512</v>
      </c>
    </row>
    <row r="4345" spans="2:7" ht="15" hidden="1" x14ac:dyDescent="0.25">
      <c r="B4345" s="4">
        <v>584633240</v>
      </c>
      <c r="C4345" s="4" t="s">
        <v>268</v>
      </c>
      <c r="D4345" s="4">
        <v>282</v>
      </c>
      <c r="E4345" s="4">
        <v>6</v>
      </c>
      <c r="G4345">
        <f t="shared" si="67"/>
        <v>104</v>
      </c>
    </row>
    <row r="4346" spans="2:7" ht="15" hidden="1" x14ac:dyDescent="0.25">
      <c r="B4346" s="4">
        <v>584633240</v>
      </c>
      <c r="C4346" s="4" t="s">
        <v>268</v>
      </c>
      <c r="D4346" s="4">
        <v>282</v>
      </c>
      <c r="E4346" s="4">
        <v>6</v>
      </c>
      <c r="G4346">
        <f t="shared" si="67"/>
        <v>104</v>
      </c>
    </row>
    <row r="4347" spans="2:7" ht="15" hidden="1" x14ac:dyDescent="0.25">
      <c r="B4347" s="4">
        <v>584633240</v>
      </c>
      <c r="C4347" s="4" t="s">
        <v>268</v>
      </c>
      <c r="D4347" s="4">
        <v>283</v>
      </c>
      <c r="E4347" s="4">
        <v>9</v>
      </c>
      <c r="G4347">
        <f t="shared" si="67"/>
        <v>128</v>
      </c>
    </row>
    <row r="4348" spans="2:7" ht="15" hidden="1" x14ac:dyDescent="0.25">
      <c r="B4348" s="4">
        <v>584633240</v>
      </c>
      <c r="C4348" s="4" t="s">
        <v>268</v>
      </c>
      <c r="D4348" s="4">
        <v>283</v>
      </c>
      <c r="E4348" s="4">
        <v>9</v>
      </c>
      <c r="G4348">
        <f t="shared" si="67"/>
        <v>128</v>
      </c>
    </row>
    <row r="4349" spans="2:7" ht="15" hidden="1" x14ac:dyDescent="0.25">
      <c r="B4349" s="4">
        <v>584633240</v>
      </c>
      <c r="C4349" s="4" t="s">
        <v>268</v>
      </c>
      <c r="D4349" s="4">
        <v>284</v>
      </c>
      <c r="E4349" s="4">
        <v>7</v>
      </c>
      <c r="G4349">
        <f t="shared" si="67"/>
        <v>112</v>
      </c>
    </row>
    <row r="4350" spans="2:7" ht="15" hidden="1" x14ac:dyDescent="0.25">
      <c r="B4350" s="4">
        <v>584633240</v>
      </c>
      <c r="C4350" s="4" t="s">
        <v>268</v>
      </c>
      <c r="D4350" s="4">
        <v>284</v>
      </c>
      <c r="E4350" s="4">
        <v>7</v>
      </c>
      <c r="G4350">
        <f t="shared" si="67"/>
        <v>112</v>
      </c>
    </row>
    <row r="4351" spans="2:7" ht="15" hidden="1" x14ac:dyDescent="0.25">
      <c r="B4351" s="4">
        <v>584633240</v>
      </c>
      <c r="C4351" s="4" t="s">
        <v>268</v>
      </c>
      <c r="D4351" s="4">
        <v>285</v>
      </c>
      <c r="E4351" s="4">
        <v>7</v>
      </c>
      <c r="G4351">
        <f t="shared" si="67"/>
        <v>112</v>
      </c>
    </row>
    <row r="4352" spans="2:7" ht="15" hidden="1" x14ac:dyDescent="0.25">
      <c r="B4352" s="4">
        <v>584633240</v>
      </c>
      <c r="C4352" s="4" t="s">
        <v>268</v>
      </c>
      <c r="D4352" s="4">
        <v>285</v>
      </c>
      <c r="E4352" s="4">
        <v>7</v>
      </c>
      <c r="G4352">
        <f t="shared" si="67"/>
        <v>112</v>
      </c>
    </row>
    <row r="4353" spans="2:7" ht="15" hidden="1" x14ac:dyDescent="0.25">
      <c r="B4353" s="4">
        <v>584633240</v>
      </c>
      <c r="C4353" s="4" t="s">
        <v>268</v>
      </c>
      <c r="D4353" s="4">
        <v>286</v>
      </c>
      <c r="E4353" s="4">
        <v>7</v>
      </c>
      <c r="G4353">
        <f t="shared" si="67"/>
        <v>112</v>
      </c>
    </row>
    <row r="4354" spans="2:7" ht="15" hidden="1" x14ac:dyDescent="0.25">
      <c r="B4354" s="4">
        <v>584633240</v>
      </c>
      <c r="C4354" s="4" t="s">
        <v>268</v>
      </c>
      <c r="D4354" s="4">
        <v>286</v>
      </c>
      <c r="E4354" s="4">
        <v>7</v>
      </c>
      <c r="G4354">
        <f t="shared" si="67"/>
        <v>112</v>
      </c>
    </row>
    <row r="4355" spans="2:7" ht="15" hidden="1" x14ac:dyDescent="0.25">
      <c r="B4355" s="4">
        <v>584633240</v>
      </c>
      <c r="C4355" s="4" t="s">
        <v>269</v>
      </c>
      <c r="D4355" s="4">
        <v>1511</v>
      </c>
      <c r="E4355" s="4">
        <v>57</v>
      </c>
      <c r="G4355">
        <f t="shared" si="67"/>
        <v>512</v>
      </c>
    </row>
    <row r="4356" spans="2:7" ht="15" hidden="1" x14ac:dyDescent="0.25">
      <c r="B4356" s="4">
        <v>584633241</v>
      </c>
      <c r="C4356" s="4" t="s">
        <v>269</v>
      </c>
      <c r="D4356" s="4">
        <v>1512</v>
      </c>
      <c r="E4356" s="4">
        <v>57</v>
      </c>
      <c r="G4356">
        <f t="shared" ref="G4356:G4419" si="68">(E4356+7)*8</f>
        <v>512</v>
      </c>
    </row>
    <row r="4357" spans="2:7" ht="15" hidden="1" x14ac:dyDescent="0.25">
      <c r="B4357" s="4">
        <v>584633242</v>
      </c>
      <c r="C4357" s="4" t="s">
        <v>268</v>
      </c>
      <c r="D4357" s="4">
        <v>287</v>
      </c>
      <c r="E4357" s="4">
        <v>7</v>
      </c>
      <c r="G4357">
        <f t="shared" si="68"/>
        <v>112</v>
      </c>
    </row>
    <row r="4358" spans="2:7" ht="15" hidden="1" x14ac:dyDescent="0.25">
      <c r="B4358" s="4">
        <v>584633242</v>
      </c>
      <c r="C4358" s="4" t="s">
        <v>268</v>
      </c>
      <c r="D4358" s="4">
        <v>287</v>
      </c>
      <c r="E4358" s="4">
        <v>7</v>
      </c>
      <c r="G4358">
        <f t="shared" si="68"/>
        <v>112</v>
      </c>
    </row>
    <row r="4359" spans="2:7" ht="15" hidden="1" x14ac:dyDescent="0.25">
      <c r="B4359" s="4">
        <v>584633242</v>
      </c>
      <c r="C4359" s="4" t="s">
        <v>268</v>
      </c>
      <c r="D4359" s="4">
        <v>288</v>
      </c>
      <c r="E4359" s="4">
        <v>5</v>
      </c>
      <c r="G4359">
        <f t="shared" si="68"/>
        <v>96</v>
      </c>
    </row>
    <row r="4360" spans="2:7" ht="15" hidden="1" x14ac:dyDescent="0.25">
      <c r="B4360" s="4">
        <v>584633242</v>
      </c>
      <c r="C4360" s="4" t="s">
        <v>268</v>
      </c>
      <c r="D4360" s="4">
        <v>288</v>
      </c>
      <c r="E4360" s="4">
        <v>5</v>
      </c>
      <c r="G4360">
        <f t="shared" si="68"/>
        <v>96</v>
      </c>
    </row>
    <row r="4361" spans="2:7" ht="15" hidden="1" x14ac:dyDescent="0.25">
      <c r="B4361" s="4">
        <v>584633242</v>
      </c>
      <c r="C4361" s="4" t="s">
        <v>268</v>
      </c>
      <c r="D4361" s="4">
        <v>289</v>
      </c>
      <c r="E4361" s="4">
        <v>7</v>
      </c>
      <c r="G4361">
        <f t="shared" si="68"/>
        <v>112</v>
      </c>
    </row>
    <row r="4362" spans="2:7" ht="15" hidden="1" x14ac:dyDescent="0.25">
      <c r="B4362" s="4">
        <v>584633242</v>
      </c>
      <c r="C4362" s="4" t="s">
        <v>268</v>
      </c>
      <c r="D4362" s="4">
        <v>289</v>
      </c>
      <c r="E4362" s="4">
        <v>7</v>
      </c>
      <c r="G4362">
        <f t="shared" si="68"/>
        <v>112</v>
      </c>
    </row>
    <row r="4363" spans="2:7" ht="15" hidden="1" x14ac:dyDescent="0.25">
      <c r="B4363" s="4">
        <v>584633242</v>
      </c>
      <c r="C4363" s="4" t="s">
        <v>269</v>
      </c>
      <c r="D4363" s="4">
        <v>1513</v>
      </c>
      <c r="E4363" s="4">
        <v>57</v>
      </c>
      <c r="G4363">
        <f t="shared" si="68"/>
        <v>512</v>
      </c>
    </row>
    <row r="4364" spans="2:7" ht="15" hidden="1" x14ac:dyDescent="0.25">
      <c r="B4364" s="4">
        <v>584633243</v>
      </c>
      <c r="C4364" s="4" t="s">
        <v>269</v>
      </c>
      <c r="D4364" s="4">
        <v>1514</v>
      </c>
      <c r="E4364" s="4">
        <v>57</v>
      </c>
      <c r="G4364">
        <f t="shared" si="68"/>
        <v>512</v>
      </c>
    </row>
    <row r="4365" spans="2:7" ht="15" hidden="1" x14ac:dyDescent="0.25">
      <c r="B4365" s="4">
        <v>584633244</v>
      </c>
      <c r="C4365" s="4" t="s">
        <v>269</v>
      </c>
      <c r="D4365" s="4">
        <v>1515</v>
      </c>
      <c r="E4365" s="4">
        <v>57</v>
      </c>
      <c r="G4365">
        <f t="shared" si="68"/>
        <v>512</v>
      </c>
    </row>
    <row r="4366" spans="2:7" ht="15" hidden="1" x14ac:dyDescent="0.25">
      <c r="B4366" s="4">
        <v>584633245</v>
      </c>
      <c r="C4366" s="4" t="s">
        <v>269</v>
      </c>
      <c r="D4366" s="4">
        <v>1516</v>
      </c>
      <c r="E4366" s="4">
        <v>57</v>
      </c>
      <c r="G4366">
        <f t="shared" si="68"/>
        <v>512</v>
      </c>
    </row>
    <row r="4367" spans="2:7" ht="15" hidden="1" x14ac:dyDescent="0.25">
      <c r="B4367" s="4">
        <v>584633246</v>
      </c>
      <c r="C4367" s="4" t="s">
        <v>269</v>
      </c>
      <c r="D4367" s="4">
        <v>1517</v>
      </c>
      <c r="E4367" s="4">
        <v>57</v>
      </c>
      <c r="G4367">
        <f t="shared" si="68"/>
        <v>512</v>
      </c>
    </row>
    <row r="4368" spans="2:7" ht="15" hidden="1" x14ac:dyDescent="0.25">
      <c r="B4368" s="4">
        <v>584633247</v>
      </c>
      <c r="C4368" s="4" t="s">
        <v>269</v>
      </c>
      <c r="D4368" s="4">
        <v>1518</v>
      </c>
      <c r="E4368" s="4">
        <v>57</v>
      </c>
      <c r="G4368">
        <f t="shared" si="68"/>
        <v>512</v>
      </c>
    </row>
    <row r="4369" spans="2:7" ht="15" hidden="1" x14ac:dyDescent="0.25">
      <c r="B4369" s="4">
        <v>584633248</v>
      </c>
      <c r="C4369" s="4" t="s">
        <v>269</v>
      </c>
      <c r="D4369" s="4">
        <v>1519</v>
      </c>
      <c r="E4369" s="4">
        <v>57</v>
      </c>
      <c r="G4369">
        <f t="shared" si="68"/>
        <v>512</v>
      </c>
    </row>
    <row r="4370" spans="2:7" ht="15" hidden="1" x14ac:dyDescent="0.25">
      <c r="B4370" s="4">
        <v>584633248</v>
      </c>
      <c r="C4370" s="4" t="s">
        <v>272</v>
      </c>
      <c r="D4370" s="4">
        <v>140</v>
      </c>
      <c r="E4370" s="4">
        <v>217</v>
      </c>
      <c r="G4370">
        <f t="shared" si="68"/>
        <v>1792</v>
      </c>
    </row>
    <row r="4371" spans="2:7" ht="15" hidden="1" x14ac:dyDescent="0.25">
      <c r="B4371" s="4">
        <v>584633249</v>
      </c>
      <c r="C4371" s="4" t="s">
        <v>269</v>
      </c>
      <c r="D4371" s="4">
        <v>1520</v>
      </c>
      <c r="E4371" s="4">
        <v>57</v>
      </c>
      <c r="G4371">
        <f t="shared" si="68"/>
        <v>512</v>
      </c>
    </row>
    <row r="4372" spans="2:7" ht="15" hidden="1" x14ac:dyDescent="0.25">
      <c r="B4372" s="4">
        <v>584633250</v>
      </c>
      <c r="C4372" s="4" t="s">
        <v>269</v>
      </c>
      <c r="D4372" s="4">
        <v>1521</v>
      </c>
      <c r="E4372" s="4">
        <v>57</v>
      </c>
      <c r="G4372">
        <f t="shared" si="68"/>
        <v>512</v>
      </c>
    </row>
    <row r="4373" spans="2:7" ht="15" hidden="1" x14ac:dyDescent="0.25">
      <c r="B4373" s="4">
        <v>584633251</v>
      </c>
      <c r="C4373" s="4" t="s">
        <v>269</v>
      </c>
      <c r="D4373" s="4">
        <v>1522</v>
      </c>
      <c r="E4373" s="4">
        <v>57</v>
      </c>
      <c r="G4373">
        <f t="shared" si="68"/>
        <v>512</v>
      </c>
    </row>
    <row r="4374" spans="2:7" ht="15" hidden="1" x14ac:dyDescent="0.25">
      <c r="B4374" s="4">
        <v>584633252</v>
      </c>
      <c r="C4374" s="4" t="s">
        <v>269</v>
      </c>
      <c r="D4374" s="4">
        <v>1523</v>
      </c>
      <c r="E4374" s="4">
        <v>57</v>
      </c>
      <c r="G4374">
        <f t="shared" si="68"/>
        <v>512</v>
      </c>
    </row>
    <row r="4375" spans="2:7" ht="15" hidden="1" x14ac:dyDescent="0.25">
      <c r="B4375" s="4">
        <v>584633253</v>
      </c>
      <c r="C4375" s="4" t="s">
        <v>269</v>
      </c>
      <c r="D4375" s="4">
        <v>1524</v>
      </c>
      <c r="E4375" s="4">
        <v>57</v>
      </c>
      <c r="G4375">
        <f t="shared" si="68"/>
        <v>512</v>
      </c>
    </row>
    <row r="4376" spans="2:7" ht="15" hidden="1" x14ac:dyDescent="0.25">
      <c r="B4376" s="4">
        <v>584633254</v>
      </c>
      <c r="C4376" s="4" t="s">
        <v>269</v>
      </c>
      <c r="D4376" s="4">
        <v>1525</v>
      </c>
      <c r="E4376" s="4">
        <v>57</v>
      </c>
      <c r="G4376">
        <f t="shared" si="68"/>
        <v>512</v>
      </c>
    </row>
    <row r="4377" spans="2:7" ht="15" hidden="1" x14ac:dyDescent="0.25">
      <c r="B4377" s="4">
        <v>584633255</v>
      </c>
      <c r="C4377" s="4" t="s">
        <v>269</v>
      </c>
      <c r="D4377" s="4">
        <v>1526</v>
      </c>
      <c r="E4377" s="4">
        <v>57</v>
      </c>
      <c r="G4377">
        <f t="shared" si="68"/>
        <v>512</v>
      </c>
    </row>
    <row r="4378" spans="2:7" ht="15" hidden="1" x14ac:dyDescent="0.25">
      <c r="B4378" s="4">
        <v>584633256</v>
      </c>
      <c r="C4378" s="4" t="s">
        <v>269</v>
      </c>
      <c r="D4378" s="4">
        <v>1527</v>
      </c>
      <c r="E4378" s="4">
        <v>57</v>
      </c>
      <c r="G4378">
        <f t="shared" si="68"/>
        <v>512</v>
      </c>
    </row>
    <row r="4379" spans="2:7" ht="15" hidden="1" x14ac:dyDescent="0.25">
      <c r="B4379" s="4">
        <v>584633257</v>
      </c>
      <c r="C4379" s="4" t="s">
        <v>269</v>
      </c>
      <c r="D4379" s="4">
        <v>1528</v>
      </c>
      <c r="E4379" s="4">
        <v>57</v>
      </c>
      <c r="G4379">
        <f t="shared" si="68"/>
        <v>512</v>
      </c>
    </row>
    <row r="4380" spans="2:7" ht="15" hidden="1" x14ac:dyDescent="0.25">
      <c r="B4380" s="4">
        <v>584633258</v>
      </c>
      <c r="C4380" s="4" t="s">
        <v>269</v>
      </c>
      <c r="D4380" s="4">
        <v>1529</v>
      </c>
      <c r="E4380" s="4">
        <v>57</v>
      </c>
      <c r="G4380">
        <f t="shared" si="68"/>
        <v>512</v>
      </c>
    </row>
    <row r="4381" spans="2:7" ht="15" hidden="1" x14ac:dyDescent="0.25">
      <c r="B4381" s="4">
        <v>584633258</v>
      </c>
      <c r="C4381" s="4" t="s">
        <v>272</v>
      </c>
      <c r="D4381" s="4">
        <v>141</v>
      </c>
      <c r="E4381" s="4">
        <v>219</v>
      </c>
      <c r="G4381">
        <f t="shared" si="68"/>
        <v>1808</v>
      </c>
    </row>
    <row r="4382" spans="2:7" ht="15" hidden="1" x14ac:dyDescent="0.25">
      <c r="B4382" s="4">
        <v>584633259</v>
      </c>
      <c r="C4382" s="4" t="s">
        <v>269</v>
      </c>
      <c r="D4382" s="4">
        <v>1530</v>
      </c>
      <c r="E4382" s="4">
        <v>57</v>
      </c>
      <c r="G4382">
        <f t="shared" si="68"/>
        <v>512</v>
      </c>
    </row>
    <row r="4383" spans="2:7" ht="15" hidden="1" x14ac:dyDescent="0.25">
      <c r="B4383" s="4">
        <v>584633260</v>
      </c>
      <c r="C4383" s="4" t="s">
        <v>269</v>
      </c>
      <c r="D4383" s="4">
        <v>1531</v>
      </c>
      <c r="E4383" s="4">
        <v>57</v>
      </c>
      <c r="G4383">
        <f t="shared" si="68"/>
        <v>512</v>
      </c>
    </row>
    <row r="4384" spans="2:7" ht="15" hidden="1" x14ac:dyDescent="0.25">
      <c r="B4384" s="4">
        <v>584633261</v>
      </c>
      <c r="C4384" s="4" t="s">
        <v>269</v>
      </c>
      <c r="D4384" s="4">
        <v>1532</v>
      </c>
      <c r="E4384" s="4">
        <v>57</v>
      </c>
      <c r="G4384">
        <f t="shared" si="68"/>
        <v>512</v>
      </c>
    </row>
    <row r="4385" spans="2:7" ht="15" hidden="1" x14ac:dyDescent="0.25">
      <c r="B4385" s="4">
        <v>584633262</v>
      </c>
      <c r="C4385" s="4" t="s">
        <v>269</v>
      </c>
      <c r="D4385" s="4">
        <v>1533</v>
      </c>
      <c r="E4385" s="4">
        <v>57</v>
      </c>
      <c r="G4385">
        <f t="shared" si="68"/>
        <v>512</v>
      </c>
    </row>
    <row r="4386" spans="2:7" ht="15" hidden="1" x14ac:dyDescent="0.25">
      <c r="B4386" s="4">
        <v>584633263</v>
      </c>
      <c r="C4386" s="4" t="s">
        <v>269</v>
      </c>
      <c r="D4386" s="4">
        <v>1534</v>
      </c>
      <c r="E4386" s="4">
        <v>57</v>
      </c>
      <c r="G4386">
        <f t="shared" si="68"/>
        <v>512</v>
      </c>
    </row>
    <row r="4387" spans="2:7" ht="15" hidden="1" x14ac:dyDescent="0.25">
      <c r="B4387" s="4">
        <v>584633264</v>
      </c>
      <c r="C4387" s="4" t="s">
        <v>269</v>
      </c>
      <c r="D4387" s="4">
        <v>1535</v>
      </c>
      <c r="E4387" s="4">
        <v>57</v>
      </c>
      <c r="G4387">
        <f t="shared" si="68"/>
        <v>512</v>
      </c>
    </row>
    <row r="4388" spans="2:7" ht="15" hidden="1" x14ac:dyDescent="0.25">
      <c r="B4388" s="4">
        <v>584633265</v>
      </c>
      <c r="C4388" s="4" t="s">
        <v>269</v>
      </c>
      <c r="D4388" s="4">
        <v>1536</v>
      </c>
      <c r="E4388" s="4">
        <v>57</v>
      </c>
      <c r="G4388">
        <f t="shared" si="68"/>
        <v>512</v>
      </c>
    </row>
    <row r="4389" spans="2:7" ht="15" hidden="1" x14ac:dyDescent="0.25">
      <c r="B4389" s="4">
        <v>584633266</v>
      </c>
      <c r="C4389" s="4" t="s">
        <v>269</v>
      </c>
      <c r="D4389" s="4">
        <v>1537</v>
      </c>
      <c r="E4389" s="4">
        <v>57</v>
      </c>
      <c r="G4389">
        <f t="shared" si="68"/>
        <v>512</v>
      </c>
    </row>
    <row r="4390" spans="2:7" ht="15" hidden="1" x14ac:dyDescent="0.25">
      <c r="B4390" s="4">
        <v>584633267</v>
      </c>
      <c r="C4390" s="4" t="s">
        <v>269</v>
      </c>
      <c r="D4390" s="4">
        <v>1538</v>
      </c>
      <c r="E4390" s="4">
        <v>57</v>
      </c>
      <c r="G4390">
        <f t="shared" si="68"/>
        <v>512</v>
      </c>
    </row>
    <row r="4391" spans="2:7" ht="15" hidden="1" x14ac:dyDescent="0.25">
      <c r="B4391" s="4">
        <v>584633268</v>
      </c>
      <c r="C4391" s="4" t="s">
        <v>269</v>
      </c>
      <c r="D4391" s="4">
        <v>1539</v>
      </c>
      <c r="E4391" s="4">
        <v>57</v>
      </c>
      <c r="G4391">
        <f t="shared" si="68"/>
        <v>512</v>
      </c>
    </row>
    <row r="4392" spans="2:7" ht="15" hidden="1" x14ac:dyDescent="0.25">
      <c r="B4392" s="4">
        <v>584633268</v>
      </c>
      <c r="C4392" s="4" t="s">
        <v>272</v>
      </c>
      <c r="D4392" s="4">
        <v>142</v>
      </c>
      <c r="E4392" s="4">
        <v>213</v>
      </c>
      <c r="G4392">
        <f t="shared" si="68"/>
        <v>1760</v>
      </c>
    </row>
    <row r="4393" spans="2:7" ht="15" hidden="1" x14ac:dyDescent="0.25">
      <c r="B4393" s="4">
        <v>584633269</v>
      </c>
      <c r="C4393" s="4" t="s">
        <v>269</v>
      </c>
      <c r="D4393" s="4">
        <v>1540</v>
      </c>
      <c r="E4393" s="4">
        <v>57</v>
      </c>
      <c r="G4393">
        <f t="shared" si="68"/>
        <v>512</v>
      </c>
    </row>
    <row r="4394" spans="2:7" ht="15" hidden="1" x14ac:dyDescent="0.25">
      <c r="B4394" s="4">
        <v>584633270</v>
      </c>
      <c r="C4394" s="4" t="s">
        <v>269</v>
      </c>
      <c r="D4394" s="4">
        <v>1541</v>
      </c>
      <c r="E4394" s="4">
        <v>57</v>
      </c>
      <c r="G4394">
        <f t="shared" si="68"/>
        <v>512</v>
      </c>
    </row>
    <row r="4395" spans="2:7" ht="15" hidden="1" x14ac:dyDescent="0.25">
      <c r="B4395" s="4">
        <v>584633271</v>
      </c>
      <c r="C4395" s="4" t="s">
        <v>269</v>
      </c>
      <c r="D4395" s="4">
        <v>1542</v>
      </c>
      <c r="E4395" s="4">
        <v>57</v>
      </c>
      <c r="G4395">
        <f t="shared" si="68"/>
        <v>512</v>
      </c>
    </row>
    <row r="4396" spans="2:7" ht="15" hidden="1" x14ac:dyDescent="0.25">
      <c r="B4396" s="4">
        <v>584633272</v>
      </c>
      <c r="C4396" s="4" t="s">
        <v>269</v>
      </c>
      <c r="D4396" s="4">
        <v>1543</v>
      </c>
      <c r="E4396" s="4">
        <v>57</v>
      </c>
      <c r="G4396">
        <f t="shared" si="68"/>
        <v>512</v>
      </c>
    </row>
    <row r="4397" spans="2:7" ht="15" hidden="1" x14ac:dyDescent="0.25">
      <c r="B4397" s="4">
        <v>584633273</v>
      </c>
      <c r="C4397" s="4" t="s">
        <v>269</v>
      </c>
      <c r="D4397" s="4">
        <v>1544</v>
      </c>
      <c r="E4397" s="4">
        <v>57</v>
      </c>
      <c r="G4397">
        <f t="shared" si="68"/>
        <v>512</v>
      </c>
    </row>
    <row r="4398" spans="2:7" ht="15" hidden="1" x14ac:dyDescent="0.25">
      <c r="B4398" s="4">
        <v>584633274</v>
      </c>
      <c r="C4398" s="4" t="s">
        <v>269</v>
      </c>
      <c r="D4398" s="4">
        <v>1545</v>
      </c>
      <c r="E4398" s="4">
        <v>57</v>
      </c>
      <c r="G4398">
        <f t="shared" si="68"/>
        <v>512</v>
      </c>
    </row>
    <row r="4399" spans="2:7" ht="15" hidden="1" x14ac:dyDescent="0.25">
      <c r="B4399" s="4">
        <v>584633275</v>
      </c>
      <c r="C4399" s="4" t="s">
        <v>269</v>
      </c>
      <c r="D4399" s="4">
        <v>1546</v>
      </c>
      <c r="E4399" s="4">
        <v>57</v>
      </c>
      <c r="G4399">
        <f t="shared" si="68"/>
        <v>512</v>
      </c>
    </row>
    <row r="4400" spans="2:7" ht="15" hidden="1" x14ac:dyDescent="0.25">
      <c r="B4400" s="4">
        <v>584633276</v>
      </c>
      <c r="C4400" s="4" t="s">
        <v>269</v>
      </c>
      <c r="D4400" s="4">
        <v>1547</v>
      </c>
      <c r="E4400" s="4">
        <v>57</v>
      </c>
      <c r="G4400">
        <f t="shared" si="68"/>
        <v>512</v>
      </c>
    </row>
    <row r="4401" spans="2:7" ht="15" hidden="1" x14ac:dyDescent="0.25">
      <c r="B4401" s="4">
        <v>584633277</v>
      </c>
      <c r="C4401" s="4" t="s">
        <v>269</v>
      </c>
      <c r="D4401" s="4">
        <v>1548</v>
      </c>
      <c r="E4401" s="4">
        <v>57</v>
      </c>
      <c r="G4401">
        <f t="shared" si="68"/>
        <v>512</v>
      </c>
    </row>
    <row r="4402" spans="2:7" ht="15" hidden="1" x14ac:dyDescent="0.25">
      <c r="B4402" s="4">
        <v>584633278</v>
      </c>
      <c r="C4402" s="4" t="s">
        <v>269</v>
      </c>
      <c r="D4402" s="4">
        <v>1549</v>
      </c>
      <c r="E4402" s="4">
        <v>57</v>
      </c>
      <c r="G4402">
        <f t="shared" si="68"/>
        <v>512</v>
      </c>
    </row>
    <row r="4403" spans="2:7" ht="15" hidden="1" x14ac:dyDescent="0.25">
      <c r="B4403" s="4">
        <v>584633278</v>
      </c>
      <c r="C4403" s="4" t="s">
        <v>272</v>
      </c>
      <c r="D4403" s="4">
        <v>143</v>
      </c>
      <c r="E4403" s="4">
        <v>211</v>
      </c>
      <c r="G4403">
        <f t="shared" si="68"/>
        <v>1744</v>
      </c>
    </row>
    <row r="4404" spans="2:7" ht="15" hidden="1" x14ac:dyDescent="0.25">
      <c r="B4404" s="4">
        <v>584633279</v>
      </c>
      <c r="C4404" s="4" t="s">
        <v>269</v>
      </c>
      <c r="D4404" s="4">
        <v>1550</v>
      </c>
      <c r="E4404" s="4">
        <v>57</v>
      </c>
      <c r="G4404">
        <f t="shared" si="68"/>
        <v>512</v>
      </c>
    </row>
    <row r="4405" spans="2:7" ht="15" hidden="1" x14ac:dyDescent="0.25">
      <c r="B4405" s="4">
        <v>584633280</v>
      </c>
      <c r="C4405" s="4" t="s">
        <v>269</v>
      </c>
      <c r="D4405" s="4">
        <v>1551</v>
      </c>
      <c r="E4405" s="4">
        <v>57</v>
      </c>
      <c r="G4405">
        <f t="shared" si="68"/>
        <v>512</v>
      </c>
    </row>
    <row r="4406" spans="2:7" ht="15" hidden="1" x14ac:dyDescent="0.25">
      <c r="B4406" s="4">
        <v>584633281</v>
      </c>
      <c r="C4406" s="4" t="s">
        <v>269</v>
      </c>
      <c r="D4406" s="4">
        <v>1552</v>
      </c>
      <c r="E4406" s="4">
        <v>57</v>
      </c>
      <c r="G4406">
        <f t="shared" si="68"/>
        <v>512</v>
      </c>
    </row>
    <row r="4407" spans="2:7" ht="15" hidden="1" x14ac:dyDescent="0.25">
      <c r="B4407" s="4">
        <v>584633282</v>
      </c>
      <c r="C4407" s="4" t="s">
        <v>269</v>
      </c>
      <c r="D4407" s="4">
        <v>1553</v>
      </c>
      <c r="E4407" s="4">
        <v>57</v>
      </c>
      <c r="G4407">
        <f t="shared" si="68"/>
        <v>512</v>
      </c>
    </row>
    <row r="4408" spans="2:7" ht="15" hidden="1" x14ac:dyDescent="0.25">
      <c r="B4408" s="4">
        <v>584633283</v>
      </c>
      <c r="C4408" s="4" t="s">
        <v>269</v>
      </c>
      <c r="D4408" s="4">
        <v>1554</v>
      </c>
      <c r="E4408" s="4">
        <v>57</v>
      </c>
      <c r="G4408">
        <f t="shared" si="68"/>
        <v>512</v>
      </c>
    </row>
    <row r="4409" spans="2:7" ht="15" hidden="1" x14ac:dyDescent="0.25">
      <c r="B4409" s="4">
        <v>584633284</v>
      </c>
      <c r="C4409" s="4" t="s">
        <v>269</v>
      </c>
      <c r="D4409" s="4">
        <v>1555</v>
      </c>
      <c r="E4409" s="4">
        <v>57</v>
      </c>
      <c r="G4409">
        <f t="shared" si="68"/>
        <v>512</v>
      </c>
    </row>
    <row r="4410" spans="2:7" ht="15" hidden="1" x14ac:dyDescent="0.25">
      <c r="B4410" s="4">
        <v>584633285</v>
      </c>
      <c r="C4410" s="4" t="s">
        <v>269</v>
      </c>
      <c r="D4410" s="4">
        <v>1556</v>
      </c>
      <c r="E4410" s="4">
        <v>57</v>
      </c>
      <c r="G4410">
        <f t="shared" si="68"/>
        <v>512</v>
      </c>
    </row>
    <row r="4411" spans="2:7" ht="15" hidden="1" x14ac:dyDescent="0.25">
      <c r="B4411" s="4">
        <v>584633286</v>
      </c>
      <c r="C4411" s="4" t="s">
        <v>269</v>
      </c>
      <c r="D4411" s="4">
        <v>1557</v>
      </c>
      <c r="E4411" s="4">
        <v>57</v>
      </c>
      <c r="G4411">
        <f t="shared" si="68"/>
        <v>512</v>
      </c>
    </row>
    <row r="4412" spans="2:7" ht="15" hidden="1" x14ac:dyDescent="0.25">
      <c r="B4412" s="4">
        <v>584633287</v>
      </c>
      <c r="C4412" s="4" t="s">
        <v>269</v>
      </c>
      <c r="D4412" s="4">
        <v>1558</v>
      </c>
      <c r="E4412" s="4">
        <v>57</v>
      </c>
      <c r="G4412">
        <f t="shared" si="68"/>
        <v>512</v>
      </c>
    </row>
    <row r="4413" spans="2:7" ht="15" hidden="1" x14ac:dyDescent="0.25">
      <c r="B4413" s="4">
        <v>584633288</v>
      </c>
      <c r="C4413" s="4" t="s">
        <v>269</v>
      </c>
      <c r="D4413" s="4">
        <v>1559</v>
      </c>
      <c r="E4413" s="4">
        <v>57</v>
      </c>
      <c r="G4413">
        <f t="shared" si="68"/>
        <v>512</v>
      </c>
    </row>
    <row r="4414" spans="2:7" ht="15" hidden="1" x14ac:dyDescent="0.25">
      <c r="B4414" s="4">
        <v>584633288</v>
      </c>
      <c r="C4414" s="4" t="s">
        <v>272</v>
      </c>
      <c r="D4414" s="4">
        <v>144</v>
      </c>
      <c r="E4414" s="4">
        <v>227</v>
      </c>
      <c r="G4414">
        <f t="shared" si="68"/>
        <v>1872</v>
      </c>
    </row>
    <row r="4415" spans="2:7" ht="15" hidden="1" x14ac:dyDescent="0.25">
      <c r="B4415" s="4">
        <v>584633289</v>
      </c>
      <c r="C4415" s="4" t="s">
        <v>269</v>
      </c>
      <c r="D4415" s="4">
        <v>1560</v>
      </c>
      <c r="E4415" s="4">
        <v>57</v>
      </c>
      <c r="G4415">
        <f t="shared" si="68"/>
        <v>512</v>
      </c>
    </row>
    <row r="4416" spans="2:7" ht="15" hidden="1" x14ac:dyDescent="0.25">
      <c r="B4416" s="4">
        <v>584633290</v>
      </c>
      <c r="C4416" s="4" t="s">
        <v>269</v>
      </c>
      <c r="D4416" s="4">
        <v>1561</v>
      </c>
      <c r="E4416" s="4">
        <v>57</v>
      </c>
      <c r="G4416">
        <f t="shared" si="68"/>
        <v>512</v>
      </c>
    </row>
    <row r="4417" spans="2:7" ht="15" hidden="1" x14ac:dyDescent="0.25">
      <c r="B4417" s="4">
        <v>584633291</v>
      </c>
      <c r="C4417" s="4" t="s">
        <v>269</v>
      </c>
      <c r="D4417" s="4">
        <v>1562</v>
      </c>
      <c r="E4417" s="4">
        <v>57</v>
      </c>
      <c r="G4417">
        <f t="shared" si="68"/>
        <v>512</v>
      </c>
    </row>
    <row r="4418" spans="2:7" ht="15" hidden="1" x14ac:dyDescent="0.25">
      <c r="B4418" s="4">
        <v>584633292</v>
      </c>
      <c r="C4418" s="4" t="s">
        <v>269</v>
      </c>
      <c r="D4418" s="4">
        <v>1563</v>
      </c>
      <c r="E4418" s="4">
        <v>57</v>
      </c>
      <c r="G4418">
        <f t="shared" si="68"/>
        <v>512</v>
      </c>
    </row>
    <row r="4419" spans="2:7" ht="15" hidden="1" x14ac:dyDescent="0.25">
      <c r="B4419" s="4">
        <v>584633293</v>
      </c>
      <c r="C4419" s="4" t="s">
        <v>269</v>
      </c>
      <c r="D4419" s="4">
        <v>1564</v>
      </c>
      <c r="E4419" s="4">
        <v>57</v>
      </c>
      <c r="G4419">
        <f t="shared" si="68"/>
        <v>512</v>
      </c>
    </row>
    <row r="4420" spans="2:7" ht="15" hidden="1" x14ac:dyDescent="0.25">
      <c r="B4420" s="4">
        <v>584633294</v>
      </c>
      <c r="C4420" s="4" t="s">
        <v>269</v>
      </c>
      <c r="D4420" s="4">
        <v>1565</v>
      </c>
      <c r="E4420" s="4">
        <v>57</v>
      </c>
      <c r="G4420">
        <f t="shared" ref="G4420:G4483" si="69">(E4420+7)*8</f>
        <v>512</v>
      </c>
    </row>
    <row r="4421" spans="2:7" ht="15" hidden="1" x14ac:dyDescent="0.25">
      <c r="B4421" s="4">
        <v>584633295</v>
      </c>
      <c r="C4421" s="4" t="s">
        <v>269</v>
      </c>
      <c r="D4421" s="4">
        <v>1566</v>
      </c>
      <c r="E4421" s="4">
        <v>57</v>
      </c>
      <c r="G4421">
        <f t="shared" si="69"/>
        <v>512</v>
      </c>
    </row>
    <row r="4422" spans="2:7" ht="15" hidden="1" x14ac:dyDescent="0.25">
      <c r="B4422" s="4">
        <v>584633296</v>
      </c>
      <c r="C4422" s="4" t="s">
        <v>269</v>
      </c>
      <c r="D4422" s="4">
        <v>1567</v>
      </c>
      <c r="E4422" s="4">
        <v>57</v>
      </c>
      <c r="G4422">
        <f t="shared" si="69"/>
        <v>512</v>
      </c>
    </row>
    <row r="4423" spans="2:7" ht="15" hidden="1" x14ac:dyDescent="0.25">
      <c r="B4423" s="4">
        <v>584633297</v>
      </c>
      <c r="C4423" s="4" t="s">
        <v>269</v>
      </c>
      <c r="D4423" s="4">
        <v>1568</v>
      </c>
      <c r="E4423" s="4">
        <v>57</v>
      </c>
      <c r="G4423">
        <f t="shared" si="69"/>
        <v>512</v>
      </c>
    </row>
    <row r="4424" spans="2:7" ht="15" hidden="1" x14ac:dyDescent="0.25">
      <c r="B4424" s="4">
        <v>584633298</v>
      </c>
      <c r="C4424" s="4" t="s">
        <v>269</v>
      </c>
      <c r="D4424" s="4">
        <v>1569</v>
      </c>
      <c r="E4424" s="4">
        <v>57</v>
      </c>
      <c r="G4424">
        <f t="shared" si="69"/>
        <v>512</v>
      </c>
    </row>
    <row r="4425" spans="2:7" ht="15" hidden="1" x14ac:dyDescent="0.25">
      <c r="B4425" s="4">
        <v>584633298</v>
      </c>
      <c r="C4425" s="4" t="s">
        <v>272</v>
      </c>
      <c r="D4425" s="4">
        <v>145</v>
      </c>
      <c r="E4425" s="4">
        <v>217</v>
      </c>
      <c r="G4425">
        <f t="shared" si="69"/>
        <v>1792</v>
      </c>
    </row>
    <row r="4426" spans="2:7" ht="15" hidden="1" x14ac:dyDescent="0.25">
      <c r="B4426" s="4">
        <v>584633299</v>
      </c>
      <c r="C4426" s="4" t="s">
        <v>269</v>
      </c>
      <c r="D4426" s="4">
        <v>1570</v>
      </c>
      <c r="E4426" s="4">
        <v>57</v>
      </c>
      <c r="G4426">
        <f t="shared" si="69"/>
        <v>512</v>
      </c>
    </row>
    <row r="4427" spans="2:7" ht="15" hidden="1" x14ac:dyDescent="0.25">
      <c r="B4427" s="4">
        <v>584633300</v>
      </c>
      <c r="C4427" s="4" t="s">
        <v>269</v>
      </c>
      <c r="D4427" s="4">
        <v>1571</v>
      </c>
      <c r="E4427" s="4">
        <v>57</v>
      </c>
      <c r="G4427">
        <f t="shared" si="69"/>
        <v>512</v>
      </c>
    </row>
    <row r="4428" spans="2:7" ht="15" hidden="1" x14ac:dyDescent="0.25">
      <c r="B4428" s="4">
        <v>584633301</v>
      </c>
      <c r="C4428" s="4" t="s">
        <v>269</v>
      </c>
      <c r="D4428" s="4">
        <v>1572</v>
      </c>
      <c r="E4428" s="4">
        <v>57</v>
      </c>
      <c r="G4428">
        <f t="shared" si="69"/>
        <v>512</v>
      </c>
    </row>
    <row r="4429" spans="2:7" ht="15" hidden="1" x14ac:dyDescent="0.25">
      <c r="B4429" s="4">
        <v>584633302</v>
      </c>
      <c r="C4429" s="4" t="s">
        <v>269</v>
      </c>
      <c r="D4429" s="4">
        <v>1573</v>
      </c>
      <c r="E4429" s="4">
        <v>57</v>
      </c>
      <c r="G4429">
        <f t="shared" si="69"/>
        <v>512</v>
      </c>
    </row>
    <row r="4430" spans="2:7" ht="15" hidden="1" x14ac:dyDescent="0.25">
      <c r="B4430" s="4">
        <v>584633303</v>
      </c>
      <c r="C4430" s="4" t="s">
        <v>269</v>
      </c>
      <c r="D4430" s="4">
        <v>1574</v>
      </c>
      <c r="E4430" s="4">
        <v>57</v>
      </c>
      <c r="G4430">
        <f t="shared" si="69"/>
        <v>512</v>
      </c>
    </row>
    <row r="4431" spans="2:7" ht="15" hidden="1" x14ac:dyDescent="0.25">
      <c r="B4431" s="4">
        <v>584633304</v>
      </c>
      <c r="C4431" s="4" t="s">
        <v>269</v>
      </c>
      <c r="D4431" s="4">
        <v>1575</v>
      </c>
      <c r="E4431" s="4">
        <v>57</v>
      </c>
      <c r="G4431">
        <f t="shared" si="69"/>
        <v>512</v>
      </c>
    </row>
    <row r="4432" spans="2:7" ht="15" hidden="1" x14ac:dyDescent="0.25">
      <c r="B4432" s="4">
        <v>584633305</v>
      </c>
      <c r="C4432" s="4" t="s">
        <v>269</v>
      </c>
      <c r="D4432" s="4">
        <v>1576</v>
      </c>
      <c r="E4432" s="4">
        <v>57</v>
      </c>
      <c r="G4432">
        <f t="shared" si="69"/>
        <v>512</v>
      </c>
    </row>
    <row r="4433" spans="2:7" ht="15" hidden="1" x14ac:dyDescent="0.25">
      <c r="B4433" s="4">
        <v>584633306</v>
      </c>
      <c r="C4433" s="4" t="s">
        <v>269</v>
      </c>
      <c r="D4433" s="4">
        <v>1577</v>
      </c>
      <c r="E4433" s="4">
        <v>57</v>
      </c>
      <c r="G4433">
        <f t="shared" si="69"/>
        <v>512</v>
      </c>
    </row>
    <row r="4434" spans="2:7" ht="15" hidden="1" x14ac:dyDescent="0.25">
      <c r="B4434" s="4">
        <v>584633307</v>
      </c>
      <c r="C4434" s="4" t="s">
        <v>269</v>
      </c>
      <c r="D4434" s="4">
        <v>1578</v>
      </c>
      <c r="E4434" s="4">
        <v>57</v>
      </c>
      <c r="G4434">
        <f t="shared" si="69"/>
        <v>512</v>
      </c>
    </row>
    <row r="4435" spans="2:7" ht="15" hidden="1" x14ac:dyDescent="0.25">
      <c r="B4435" s="4">
        <v>584633308</v>
      </c>
      <c r="C4435" s="4" t="s">
        <v>269</v>
      </c>
      <c r="D4435" s="4">
        <v>1579</v>
      </c>
      <c r="E4435" s="4">
        <v>57</v>
      </c>
      <c r="G4435">
        <f t="shared" si="69"/>
        <v>512</v>
      </c>
    </row>
    <row r="4436" spans="2:7" ht="15" hidden="1" x14ac:dyDescent="0.25">
      <c r="B4436" s="4">
        <v>584633308</v>
      </c>
      <c r="C4436" s="4" t="s">
        <v>272</v>
      </c>
      <c r="D4436" s="4">
        <v>146</v>
      </c>
      <c r="E4436" s="4">
        <v>219</v>
      </c>
      <c r="G4436">
        <f t="shared" si="69"/>
        <v>1808</v>
      </c>
    </row>
    <row r="4437" spans="2:7" ht="15" hidden="1" x14ac:dyDescent="0.25">
      <c r="B4437" s="4">
        <v>584633309</v>
      </c>
      <c r="C4437" s="4" t="s">
        <v>269</v>
      </c>
      <c r="D4437" s="4">
        <v>1580</v>
      </c>
      <c r="E4437" s="4">
        <v>57</v>
      </c>
      <c r="G4437">
        <f t="shared" si="69"/>
        <v>512</v>
      </c>
    </row>
    <row r="4438" spans="2:7" ht="15" hidden="1" x14ac:dyDescent="0.25">
      <c r="B4438" s="4">
        <v>584633310</v>
      </c>
      <c r="C4438" s="4" t="s">
        <v>269</v>
      </c>
      <c r="D4438" s="4">
        <v>1581</v>
      </c>
      <c r="E4438" s="4">
        <v>57</v>
      </c>
      <c r="G4438">
        <f t="shared" si="69"/>
        <v>512</v>
      </c>
    </row>
    <row r="4439" spans="2:7" ht="15" hidden="1" x14ac:dyDescent="0.25">
      <c r="B4439" s="4">
        <v>584633311</v>
      </c>
      <c r="C4439" s="4" t="s">
        <v>269</v>
      </c>
      <c r="D4439" s="4">
        <v>1582</v>
      </c>
      <c r="E4439" s="4">
        <v>57</v>
      </c>
      <c r="G4439">
        <f t="shared" si="69"/>
        <v>512</v>
      </c>
    </row>
    <row r="4440" spans="2:7" ht="15" hidden="1" x14ac:dyDescent="0.25">
      <c r="B4440" s="4">
        <v>584633312</v>
      </c>
      <c r="C4440" s="4" t="s">
        <v>269</v>
      </c>
      <c r="D4440" s="4">
        <v>1583</v>
      </c>
      <c r="E4440" s="4">
        <v>57</v>
      </c>
      <c r="G4440">
        <f t="shared" si="69"/>
        <v>512</v>
      </c>
    </row>
    <row r="4441" spans="2:7" ht="15" hidden="1" x14ac:dyDescent="0.25">
      <c r="B4441" s="4">
        <v>584633313</v>
      </c>
      <c r="C4441" s="4" t="s">
        <v>269</v>
      </c>
      <c r="D4441" s="4">
        <v>1584</v>
      </c>
      <c r="E4441" s="4">
        <v>57</v>
      </c>
      <c r="G4441">
        <f t="shared" si="69"/>
        <v>512</v>
      </c>
    </row>
    <row r="4442" spans="2:7" ht="15" hidden="1" x14ac:dyDescent="0.25">
      <c r="B4442" s="4">
        <v>584633314</v>
      </c>
      <c r="C4442" s="4" t="s">
        <v>269</v>
      </c>
      <c r="D4442" s="4">
        <v>1585</v>
      </c>
      <c r="E4442" s="4">
        <v>57</v>
      </c>
      <c r="G4442">
        <f t="shared" si="69"/>
        <v>512</v>
      </c>
    </row>
    <row r="4443" spans="2:7" ht="15" hidden="1" x14ac:dyDescent="0.25">
      <c r="B4443" s="4">
        <v>584633315</v>
      </c>
      <c r="C4443" s="4" t="s">
        <v>269</v>
      </c>
      <c r="D4443" s="4">
        <v>1586</v>
      </c>
      <c r="E4443" s="4">
        <v>57</v>
      </c>
      <c r="G4443">
        <f t="shared" si="69"/>
        <v>512</v>
      </c>
    </row>
    <row r="4444" spans="2:7" ht="15" hidden="1" x14ac:dyDescent="0.25">
      <c r="B4444" s="4">
        <v>584633316</v>
      </c>
      <c r="C4444" s="4" t="s">
        <v>269</v>
      </c>
      <c r="D4444" s="4">
        <v>1587</v>
      </c>
      <c r="E4444" s="4">
        <v>57</v>
      </c>
      <c r="G4444">
        <f t="shared" si="69"/>
        <v>512</v>
      </c>
    </row>
    <row r="4445" spans="2:7" ht="15" hidden="1" x14ac:dyDescent="0.25">
      <c r="B4445" s="4">
        <v>584633317</v>
      </c>
      <c r="C4445" s="4" t="s">
        <v>269</v>
      </c>
      <c r="D4445" s="4">
        <v>1588</v>
      </c>
      <c r="E4445" s="4">
        <v>57</v>
      </c>
      <c r="G4445">
        <f t="shared" si="69"/>
        <v>512</v>
      </c>
    </row>
    <row r="4446" spans="2:7" ht="15" hidden="1" x14ac:dyDescent="0.25">
      <c r="B4446" s="4">
        <v>584633318</v>
      </c>
      <c r="C4446" s="4" t="s">
        <v>269</v>
      </c>
      <c r="D4446" s="4">
        <v>1589</v>
      </c>
      <c r="E4446" s="4">
        <v>57</v>
      </c>
      <c r="G4446">
        <f t="shared" si="69"/>
        <v>512</v>
      </c>
    </row>
    <row r="4447" spans="2:7" ht="15" hidden="1" x14ac:dyDescent="0.25">
      <c r="B4447" s="4">
        <v>584633318</v>
      </c>
      <c r="C4447" s="4" t="s">
        <v>272</v>
      </c>
      <c r="D4447" s="4">
        <v>147</v>
      </c>
      <c r="E4447" s="4">
        <v>209</v>
      </c>
      <c r="G4447">
        <f t="shared" si="69"/>
        <v>1728</v>
      </c>
    </row>
    <row r="4448" spans="2:7" ht="15" hidden="1" x14ac:dyDescent="0.25">
      <c r="B4448" s="4">
        <v>584633319</v>
      </c>
      <c r="C4448" s="4" t="s">
        <v>269</v>
      </c>
      <c r="D4448" s="4">
        <v>1590</v>
      </c>
      <c r="E4448" s="4">
        <v>57</v>
      </c>
      <c r="G4448">
        <f t="shared" si="69"/>
        <v>512</v>
      </c>
    </row>
    <row r="4449" spans="2:7" ht="15" hidden="1" x14ac:dyDescent="0.25">
      <c r="B4449" s="4">
        <v>584633320</v>
      </c>
      <c r="C4449" s="4" t="s">
        <v>269</v>
      </c>
      <c r="D4449" s="4">
        <v>1591</v>
      </c>
      <c r="E4449" s="4">
        <v>57</v>
      </c>
      <c r="G4449">
        <f t="shared" si="69"/>
        <v>512</v>
      </c>
    </row>
    <row r="4450" spans="2:7" ht="15" hidden="1" x14ac:dyDescent="0.25">
      <c r="B4450" s="4">
        <v>584633321</v>
      </c>
      <c r="C4450" s="4" t="s">
        <v>269</v>
      </c>
      <c r="D4450" s="4">
        <v>1592</v>
      </c>
      <c r="E4450" s="4">
        <v>57</v>
      </c>
      <c r="G4450">
        <f t="shared" si="69"/>
        <v>512</v>
      </c>
    </row>
    <row r="4451" spans="2:7" ht="15" hidden="1" x14ac:dyDescent="0.25">
      <c r="B4451" s="4">
        <v>584633322</v>
      </c>
      <c r="C4451" s="4" t="s">
        <v>269</v>
      </c>
      <c r="D4451" s="4">
        <v>1593</v>
      </c>
      <c r="E4451" s="4">
        <v>57</v>
      </c>
      <c r="G4451">
        <f t="shared" si="69"/>
        <v>512</v>
      </c>
    </row>
    <row r="4452" spans="2:7" ht="15" hidden="1" x14ac:dyDescent="0.25">
      <c r="B4452" s="4">
        <v>584633323</v>
      </c>
      <c r="C4452" s="4" t="s">
        <v>269</v>
      </c>
      <c r="D4452" s="4">
        <v>1594</v>
      </c>
      <c r="E4452" s="4">
        <v>57</v>
      </c>
      <c r="G4452">
        <f t="shared" si="69"/>
        <v>512</v>
      </c>
    </row>
    <row r="4453" spans="2:7" ht="15" hidden="1" x14ac:dyDescent="0.25">
      <c r="B4453" s="4">
        <v>584633324</v>
      </c>
      <c r="C4453" s="4" t="s">
        <v>269</v>
      </c>
      <c r="D4453" s="4">
        <v>1595</v>
      </c>
      <c r="E4453" s="4">
        <v>57</v>
      </c>
      <c r="G4453">
        <f t="shared" si="69"/>
        <v>512</v>
      </c>
    </row>
    <row r="4454" spans="2:7" ht="15" hidden="1" x14ac:dyDescent="0.25">
      <c r="B4454" s="4">
        <v>584633325</v>
      </c>
      <c r="C4454" s="4" t="s">
        <v>269</v>
      </c>
      <c r="D4454" s="4">
        <v>1596</v>
      </c>
      <c r="E4454" s="4">
        <v>57</v>
      </c>
      <c r="G4454">
        <f t="shared" si="69"/>
        <v>512</v>
      </c>
    </row>
    <row r="4455" spans="2:7" ht="15" hidden="1" x14ac:dyDescent="0.25">
      <c r="B4455" s="4">
        <v>584633326</v>
      </c>
      <c r="C4455" s="4" t="s">
        <v>269</v>
      </c>
      <c r="D4455" s="4">
        <v>1597</v>
      </c>
      <c r="E4455" s="4">
        <v>57</v>
      </c>
      <c r="G4455">
        <f t="shared" si="69"/>
        <v>512</v>
      </c>
    </row>
    <row r="4456" spans="2:7" ht="15" hidden="1" x14ac:dyDescent="0.25">
      <c r="B4456" s="4">
        <v>584633327</v>
      </c>
      <c r="C4456" s="4" t="s">
        <v>269</v>
      </c>
      <c r="D4456" s="4">
        <v>1598</v>
      </c>
      <c r="E4456" s="4">
        <v>57</v>
      </c>
      <c r="G4456">
        <f t="shared" si="69"/>
        <v>512</v>
      </c>
    </row>
    <row r="4457" spans="2:7" ht="15" hidden="1" x14ac:dyDescent="0.25">
      <c r="B4457" s="4">
        <v>584633328</v>
      </c>
      <c r="C4457" s="4" t="s">
        <v>269</v>
      </c>
      <c r="D4457" s="4">
        <v>1599</v>
      </c>
      <c r="E4457" s="4">
        <v>57</v>
      </c>
      <c r="G4457">
        <f t="shared" si="69"/>
        <v>512</v>
      </c>
    </row>
    <row r="4458" spans="2:7" ht="15" hidden="1" x14ac:dyDescent="0.25">
      <c r="B4458" s="4">
        <v>584633328</v>
      </c>
      <c r="C4458" s="4" t="s">
        <v>272</v>
      </c>
      <c r="D4458" s="4">
        <v>148</v>
      </c>
      <c r="E4458" s="4">
        <v>215</v>
      </c>
      <c r="G4458">
        <f t="shared" si="69"/>
        <v>1776</v>
      </c>
    </row>
    <row r="4459" spans="2:7" ht="15" hidden="1" x14ac:dyDescent="0.25">
      <c r="B4459" s="4">
        <v>584633329</v>
      </c>
      <c r="C4459" s="4" t="s">
        <v>269</v>
      </c>
      <c r="D4459" s="4">
        <v>1600</v>
      </c>
      <c r="E4459" s="4">
        <v>57</v>
      </c>
      <c r="G4459">
        <f t="shared" si="69"/>
        <v>512</v>
      </c>
    </row>
    <row r="4460" spans="2:7" ht="15" hidden="1" x14ac:dyDescent="0.25">
      <c r="B4460" s="4">
        <v>584633330</v>
      </c>
      <c r="C4460" s="4" t="s">
        <v>269</v>
      </c>
      <c r="D4460" s="4">
        <v>1601</v>
      </c>
      <c r="E4460" s="4">
        <v>57</v>
      </c>
      <c r="G4460">
        <f t="shared" si="69"/>
        <v>512</v>
      </c>
    </row>
    <row r="4461" spans="2:7" ht="15" hidden="1" x14ac:dyDescent="0.25">
      <c r="B4461" s="4">
        <v>584633331</v>
      </c>
      <c r="C4461" s="4" t="s">
        <v>269</v>
      </c>
      <c r="D4461" s="4">
        <v>1602</v>
      </c>
      <c r="E4461" s="4">
        <v>57</v>
      </c>
      <c r="G4461">
        <f t="shared" si="69"/>
        <v>512</v>
      </c>
    </row>
    <row r="4462" spans="2:7" ht="15" hidden="1" x14ac:dyDescent="0.25">
      <c r="B4462" s="4">
        <v>584633332</v>
      </c>
      <c r="C4462" s="4" t="s">
        <v>269</v>
      </c>
      <c r="D4462" s="4">
        <v>1603</v>
      </c>
      <c r="E4462" s="4">
        <v>57</v>
      </c>
      <c r="G4462">
        <f t="shared" si="69"/>
        <v>512</v>
      </c>
    </row>
    <row r="4463" spans="2:7" ht="15" hidden="1" x14ac:dyDescent="0.25">
      <c r="B4463" s="4">
        <v>584633333</v>
      </c>
      <c r="C4463" s="4" t="s">
        <v>269</v>
      </c>
      <c r="D4463" s="4">
        <v>1604</v>
      </c>
      <c r="E4463" s="4">
        <v>57</v>
      </c>
      <c r="G4463">
        <f t="shared" si="69"/>
        <v>512</v>
      </c>
    </row>
    <row r="4464" spans="2:7" ht="15" hidden="1" x14ac:dyDescent="0.25">
      <c r="B4464" s="4">
        <v>584633334</v>
      </c>
      <c r="C4464" s="4" t="s">
        <v>269</v>
      </c>
      <c r="D4464" s="4">
        <v>1605</v>
      </c>
      <c r="E4464" s="4">
        <v>57</v>
      </c>
      <c r="G4464">
        <f t="shared" si="69"/>
        <v>512</v>
      </c>
    </row>
    <row r="4465" spans="2:7" ht="15" hidden="1" x14ac:dyDescent="0.25">
      <c r="B4465" s="4">
        <v>584633335</v>
      </c>
      <c r="C4465" s="4" t="s">
        <v>269</v>
      </c>
      <c r="D4465" s="4">
        <v>1606</v>
      </c>
      <c r="E4465" s="4">
        <v>57</v>
      </c>
      <c r="G4465">
        <f t="shared" si="69"/>
        <v>512</v>
      </c>
    </row>
    <row r="4466" spans="2:7" ht="15" hidden="1" x14ac:dyDescent="0.25">
      <c r="B4466" s="4">
        <v>584633336</v>
      </c>
      <c r="C4466" s="4" t="s">
        <v>269</v>
      </c>
      <c r="D4466" s="4">
        <v>1607</v>
      </c>
      <c r="E4466" s="4">
        <v>57</v>
      </c>
      <c r="G4466">
        <f t="shared" si="69"/>
        <v>512</v>
      </c>
    </row>
    <row r="4467" spans="2:7" ht="15" hidden="1" x14ac:dyDescent="0.25">
      <c r="B4467" s="4">
        <v>584633337</v>
      </c>
      <c r="C4467" s="4" t="s">
        <v>269</v>
      </c>
      <c r="D4467" s="4">
        <v>1608</v>
      </c>
      <c r="E4467" s="4">
        <v>57</v>
      </c>
      <c r="G4467">
        <f t="shared" si="69"/>
        <v>512</v>
      </c>
    </row>
    <row r="4468" spans="2:7" ht="15" hidden="1" x14ac:dyDescent="0.25">
      <c r="B4468" s="4">
        <v>584633338</v>
      </c>
      <c r="C4468" s="4" t="s">
        <v>269</v>
      </c>
      <c r="D4468" s="4">
        <v>1609</v>
      </c>
      <c r="E4468" s="4">
        <v>57</v>
      </c>
      <c r="G4468">
        <f t="shared" si="69"/>
        <v>512</v>
      </c>
    </row>
    <row r="4469" spans="2:7" ht="15" hidden="1" x14ac:dyDescent="0.25">
      <c r="B4469" s="4">
        <v>584633338</v>
      </c>
      <c r="C4469" s="4" t="s">
        <v>272</v>
      </c>
      <c r="D4469" s="4">
        <v>149</v>
      </c>
      <c r="E4469" s="4">
        <v>211</v>
      </c>
      <c r="G4469">
        <f t="shared" si="69"/>
        <v>1744</v>
      </c>
    </row>
    <row r="4470" spans="2:7" ht="15" hidden="1" x14ac:dyDescent="0.25">
      <c r="B4470" s="4">
        <v>584633339</v>
      </c>
      <c r="C4470" s="4" t="s">
        <v>269</v>
      </c>
      <c r="D4470" s="4">
        <v>1610</v>
      </c>
      <c r="E4470" s="4">
        <v>57</v>
      </c>
      <c r="G4470">
        <f t="shared" si="69"/>
        <v>512</v>
      </c>
    </row>
    <row r="4471" spans="2:7" ht="15" hidden="1" x14ac:dyDescent="0.25">
      <c r="B4471" s="4">
        <v>584633340</v>
      </c>
      <c r="C4471" s="4" t="s">
        <v>269</v>
      </c>
      <c r="D4471" s="4">
        <v>1611</v>
      </c>
      <c r="E4471" s="4">
        <v>57</v>
      </c>
      <c r="G4471">
        <f t="shared" si="69"/>
        <v>512</v>
      </c>
    </row>
    <row r="4472" spans="2:7" ht="15" hidden="1" x14ac:dyDescent="0.25">
      <c r="B4472" s="4">
        <v>584633341</v>
      </c>
      <c r="C4472" s="4" t="s">
        <v>269</v>
      </c>
      <c r="D4472" s="4">
        <v>1612</v>
      </c>
      <c r="E4472" s="4">
        <v>57</v>
      </c>
      <c r="G4472">
        <f t="shared" si="69"/>
        <v>512</v>
      </c>
    </row>
    <row r="4473" spans="2:7" ht="15" hidden="1" x14ac:dyDescent="0.25">
      <c r="B4473" s="4">
        <v>584633342</v>
      </c>
      <c r="C4473" s="4" t="s">
        <v>268</v>
      </c>
      <c r="D4473" s="4">
        <v>290</v>
      </c>
      <c r="E4473" s="4">
        <v>9</v>
      </c>
      <c r="G4473">
        <f t="shared" si="69"/>
        <v>128</v>
      </c>
    </row>
    <row r="4474" spans="2:7" ht="15" hidden="1" x14ac:dyDescent="0.25">
      <c r="B4474" s="4">
        <v>584633342</v>
      </c>
      <c r="C4474" s="4" t="s">
        <v>268</v>
      </c>
      <c r="D4474" s="4">
        <v>290</v>
      </c>
      <c r="E4474" s="4">
        <v>9</v>
      </c>
      <c r="G4474">
        <f t="shared" si="69"/>
        <v>128</v>
      </c>
    </row>
    <row r="4475" spans="2:7" ht="15" hidden="1" x14ac:dyDescent="0.25">
      <c r="B4475" s="4">
        <v>584633342</v>
      </c>
      <c r="C4475" s="4" t="s">
        <v>268</v>
      </c>
      <c r="D4475" s="4">
        <v>291</v>
      </c>
      <c r="E4475" s="4">
        <v>7</v>
      </c>
      <c r="G4475">
        <f t="shared" si="69"/>
        <v>112</v>
      </c>
    </row>
    <row r="4476" spans="2:7" ht="15" hidden="1" x14ac:dyDescent="0.25">
      <c r="B4476" s="4">
        <v>584633342</v>
      </c>
      <c r="C4476" s="4" t="s">
        <v>268</v>
      </c>
      <c r="D4476" s="4">
        <v>291</v>
      </c>
      <c r="E4476" s="4">
        <v>7</v>
      </c>
      <c r="G4476">
        <f t="shared" si="69"/>
        <v>112</v>
      </c>
    </row>
    <row r="4477" spans="2:7" ht="15" hidden="1" x14ac:dyDescent="0.25">
      <c r="B4477" s="4">
        <v>584633342</v>
      </c>
      <c r="C4477" s="4" t="s">
        <v>269</v>
      </c>
      <c r="D4477" s="4">
        <v>1613</v>
      </c>
      <c r="E4477" s="4">
        <v>57</v>
      </c>
      <c r="G4477">
        <f t="shared" si="69"/>
        <v>512</v>
      </c>
    </row>
    <row r="4478" spans="2:7" ht="15" hidden="1" x14ac:dyDescent="0.25">
      <c r="B4478" s="4">
        <v>584633343</v>
      </c>
      <c r="C4478" s="4" t="s">
        <v>268</v>
      </c>
      <c r="D4478" s="4">
        <v>292</v>
      </c>
      <c r="E4478" s="4">
        <v>9</v>
      </c>
      <c r="G4478">
        <f t="shared" si="69"/>
        <v>128</v>
      </c>
    </row>
    <row r="4479" spans="2:7" ht="15" hidden="1" x14ac:dyDescent="0.25">
      <c r="B4479" s="4">
        <v>584633343</v>
      </c>
      <c r="C4479" s="4" t="s">
        <v>268</v>
      </c>
      <c r="D4479" s="4">
        <v>292</v>
      </c>
      <c r="E4479" s="4">
        <v>9</v>
      </c>
      <c r="G4479">
        <f t="shared" si="69"/>
        <v>128</v>
      </c>
    </row>
    <row r="4480" spans="2:7" ht="15" hidden="1" x14ac:dyDescent="0.25">
      <c r="B4480" s="4">
        <v>584633343</v>
      </c>
      <c r="C4480" s="4" t="s">
        <v>268</v>
      </c>
      <c r="D4480" s="4">
        <v>293</v>
      </c>
      <c r="E4480" s="4">
        <v>7</v>
      </c>
      <c r="G4480">
        <f t="shared" si="69"/>
        <v>112</v>
      </c>
    </row>
    <row r="4481" spans="2:7" ht="15" hidden="1" x14ac:dyDescent="0.25">
      <c r="B4481" s="4">
        <v>584633343</v>
      </c>
      <c r="C4481" s="4" t="s">
        <v>268</v>
      </c>
      <c r="D4481" s="4">
        <v>293</v>
      </c>
      <c r="E4481" s="4">
        <v>7</v>
      </c>
      <c r="G4481">
        <f t="shared" si="69"/>
        <v>112</v>
      </c>
    </row>
    <row r="4482" spans="2:7" ht="15" hidden="1" x14ac:dyDescent="0.25">
      <c r="B4482" s="4">
        <v>584633343</v>
      </c>
      <c r="C4482" s="4" t="s">
        <v>269</v>
      </c>
      <c r="D4482" s="4">
        <v>1614</v>
      </c>
      <c r="E4482" s="4">
        <v>57</v>
      </c>
      <c r="G4482">
        <f t="shared" si="69"/>
        <v>512</v>
      </c>
    </row>
    <row r="4483" spans="2:7" ht="15" hidden="1" x14ac:dyDescent="0.25">
      <c r="B4483" s="4">
        <v>584633344</v>
      </c>
      <c r="C4483" s="4" t="s">
        <v>268</v>
      </c>
      <c r="D4483" s="4">
        <v>294</v>
      </c>
      <c r="E4483" s="4">
        <v>9</v>
      </c>
      <c r="G4483">
        <f t="shared" si="69"/>
        <v>128</v>
      </c>
    </row>
    <row r="4484" spans="2:7" ht="15" hidden="1" x14ac:dyDescent="0.25">
      <c r="B4484" s="4">
        <v>584633344</v>
      </c>
      <c r="C4484" s="4" t="s">
        <v>268</v>
      </c>
      <c r="D4484" s="4">
        <v>294</v>
      </c>
      <c r="E4484" s="4">
        <v>9</v>
      </c>
      <c r="G4484">
        <f t="shared" ref="G4484:G4547" si="70">(E4484+7)*8</f>
        <v>128</v>
      </c>
    </row>
    <row r="4485" spans="2:7" ht="15" hidden="1" x14ac:dyDescent="0.25">
      <c r="B4485" s="4">
        <v>584633344</v>
      </c>
      <c r="C4485" s="4" t="s">
        <v>268</v>
      </c>
      <c r="D4485" s="4">
        <v>295</v>
      </c>
      <c r="E4485" s="4">
        <v>7</v>
      </c>
      <c r="G4485">
        <f t="shared" si="70"/>
        <v>112</v>
      </c>
    </row>
    <row r="4486" spans="2:7" ht="15" hidden="1" x14ac:dyDescent="0.25">
      <c r="B4486" s="4">
        <v>584633344</v>
      </c>
      <c r="C4486" s="4" t="s">
        <v>268</v>
      </c>
      <c r="D4486" s="4">
        <v>295</v>
      </c>
      <c r="E4486" s="4">
        <v>7</v>
      </c>
      <c r="G4486">
        <f t="shared" si="70"/>
        <v>112</v>
      </c>
    </row>
    <row r="4487" spans="2:7" ht="15" hidden="1" x14ac:dyDescent="0.25">
      <c r="B4487" s="4">
        <v>584633344</v>
      </c>
      <c r="C4487" s="4" t="s">
        <v>269</v>
      </c>
      <c r="D4487" s="4">
        <v>1615</v>
      </c>
      <c r="E4487" s="4">
        <v>57</v>
      </c>
      <c r="G4487">
        <f t="shared" si="70"/>
        <v>512</v>
      </c>
    </row>
    <row r="4488" spans="2:7" ht="15" hidden="1" x14ac:dyDescent="0.25">
      <c r="B4488" s="4">
        <v>584633345</v>
      </c>
      <c r="C4488" s="4" t="s">
        <v>268</v>
      </c>
      <c r="D4488" s="4">
        <v>296</v>
      </c>
      <c r="E4488" s="4">
        <v>7</v>
      </c>
      <c r="G4488">
        <f t="shared" si="70"/>
        <v>112</v>
      </c>
    </row>
    <row r="4489" spans="2:7" ht="15" hidden="1" x14ac:dyDescent="0.25">
      <c r="B4489" s="4">
        <v>584633345</v>
      </c>
      <c r="C4489" s="4" t="s">
        <v>268</v>
      </c>
      <c r="D4489" s="4">
        <v>296</v>
      </c>
      <c r="E4489" s="4">
        <v>7</v>
      </c>
      <c r="G4489">
        <f t="shared" si="70"/>
        <v>112</v>
      </c>
    </row>
    <row r="4490" spans="2:7" ht="15" hidden="1" x14ac:dyDescent="0.25">
      <c r="B4490" s="4">
        <v>584633345</v>
      </c>
      <c r="C4490" s="4" t="s">
        <v>268</v>
      </c>
      <c r="D4490" s="4">
        <v>297</v>
      </c>
      <c r="E4490" s="4">
        <v>5</v>
      </c>
      <c r="G4490">
        <f t="shared" si="70"/>
        <v>96</v>
      </c>
    </row>
    <row r="4491" spans="2:7" ht="15" hidden="1" x14ac:dyDescent="0.25">
      <c r="B4491" s="4">
        <v>584633345</v>
      </c>
      <c r="C4491" s="4" t="s">
        <v>268</v>
      </c>
      <c r="D4491" s="4">
        <v>297</v>
      </c>
      <c r="E4491" s="4">
        <v>5</v>
      </c>
      <c r="G4491">
        <f t="shared" si="70"/>
        <v>96</v>
      </c>
    </row>
    <row r="4492" spans="2:7" ht="15" x14ac:dyDescent="0.25">
      <c r="B4492" s="4">
        <v>584633348</v>
      </c>
      <c r="C4492" s="4" t="s">
        <v>270</v>
      </c>
      <c r="D4492" s="4">
        <v>5</v>
      </c>
      <c r="E4492" s="4">
        <v>1100</v>
      </c>
      <c r="G4492">
        <f t="shared" si="70"/>
        <v>8856</v>
      </c>
    </row>
    <row r="4493" spans="2:7" ht="15" x14ac:dyDescent="0.25">
      <c r="B4493" s="4">
        <v>584633348</v>
      </c>
      <c r="C4493" s="4" t="s">
        <v>271</v>
      </c>
      <c r="D4493" s="4">
        <v>5</v>
      </c>
      <c r="E4493" s="4">
        <v>1100</v>
      </c>
      <c r="G4493">
        <f t="shared" si="70"/>
        <v>8856</v>
      </c>
    </row>
    <row r="4494" spans="2:7" ht="15" hidden="1" x14ac:dyDescent="0.25">
      <c r="B4494" s="4">
        <v>584633349</v>
      </c>
      <c r="C4494" s="4" t="s">
        <v>272</v>
      </c>
      <c r="D4494" s="4">
        <v>150</v>
      </c>
      <c r="E4494" s="4">
        <v>213</v>
      </c>
      <c r="G4494">
        <f t="shared" si="70"/>
        <v>1760</v>
      </c>
    </row>
    <row r="4495" spans="2:7" ht="15" hidden="1" x14ac:dyDescent="0.25">
      <c r="B4495" s="4">
        <v>584633566</v>
      </c>
      <c r="C4495" s="4" t="s">
        <v>268</v>
      </c>
      <c r="D4495" s="4">
        <v>298</v>
      </c>
      <c r="E4495" s="4">
        <v>9</v>
      </c>
      <c r="G4495">
        <f t="shared" si="70"/>
        <v>128</v>
      </c>
    </row>
    <row r="4496" spans="2:7" ht="15" hidden="1" x14ac:dyDescent="0.25">
      <c r="B4496" s="4">
        <v>584633566</v>
      </c>
      <c r="C4496" s="4" t="s">
        <v>268</v>
      </c>
      <c r="D4496" s="4">
        <v>298</v>
      </c>
      <c r="E4496" s="4">
        <v>9</v>
      </c>
      <c r="G4496">
        <f t="shared" si="70"/>
        <v>128</v>
      </c>
    </row>
    <row r="4497" spans="2:7" ht="15" hidden="1" x14ac:dyDescent="0.25">
      <c r="B4497" s="4">
        <v>584633569</v>
      </c>
      <c r="C4497" s="4" t="s">
        <v>268</v>
      </c>
      <c r="D4497" s="4">
        <v>299</v>
      </c>
      <c r="E4497" s="4">
        <v>9</v>
      </c>
      <c r="G4497">
        <f t="shared" si="70"/>
        <v>128</v>
      </c>
    </row>
    <row r="4498" spans="2:7" ht="15" hidden="1" x14ac:dyDescent="0.25">
      <c r="B4498" s="4">
        <v>584633569</v>
      </c>
      <c r="C4498" s="4" t="s">
        <v>268</v>
      </c>
      <c r="D4498" s="4">
        <v>299</v>
      </c>
      <c r="E4498" s="4">
        <v>9</v>
      </c>
      <c r="G4498">
        <f t="shared" si="70"/>
        <v>128</v>
      </c>
    </row>
    <row r="4499" spans="2:7" ht="15" hidden="1" x14ac:dyDescent="0.25">
      <c r="B4499" s="4">
        <v>584633572</v>
      </c>
      <c r="C4499" s="4" t="s">
        <v>268</v>
      </c>
      <c r="D4499" s="4">
        <v>300</v>
      </c>
      <c r="E4499" s="4">
        <v>9</v>
      </c>
      <c r="G4499">
        <f t="shared" si="70"/>
        <v>128</v>
      </c>
    </row>
    <row r="4500" spans="2:7" ht="15" hidden="1" x14ac:dyDescent="0.25">
      <c r="B4500" s="4">
        <v>584633572</v>
      </c>
      <c r="C4500" s="4" t="s">
        <v>268</v>
      </c>
      <c r="D4500" s="4">
        <v>300</v>
      </c>
      <c r="E4500" s="4">
        <v>9</v>
      </c>
      <c r="G4500">
        <f t="shared" si="70"/>
        <v>128</v>
      </c>
    </row>
    <row r="4501" spans="2:7" ht="15" hidden="1" x14ac:dyDescent="0.25">
      <c r="B4501" s="4">
        <v>584633575</v>
      </c>
      <c r="C4501" s="4" t="s">
        <v>268</v>
      </c>
      <c r="D4501" s="4">
        <v>301</v>
      </c>
      <c r="E4501" s="4">
        <v>7</v>
      </c>
      <c r="G4501">
        <f t="shared" si="70"/>
        <v>112</v>
      </c>
    </row>
    <row r="4502" spans="2:7" ht="15" hidden="1" x14ac:dyDescent="0.25">
      <c r="B4502" s="4">
        <v>584633575</v>
      </c>
      <c r="C4502" s="4" t="s">
        <v>268</v>
      </c>
      <c r="D4502" s="4">
        <v>301</v>
      </c>
      <c r="E4502" s="4">
        <v>7</v>
      </c>
      <c r="G4502">
        <f t="shared" si="70"/>
        <v>112</v>
      </c>
    </row>
    <row r="4503" spans="2:7" ht="15" hidden="1" x14ac:dyDescent="0.25">
      <c r="B4503" s="4">
        <v>584634176</v>
      </c>
      <c r="C4503" s="4" t="s">
        <v>268</v>
      </c>
      <c r="D4503" s="4">
        <v>302</v>
      </c>
      <c r="E4503" s="4">
        <v>6</v>
      </c>
      <c r="G4503">
        <f t="shared" si="70"/>
        <v>104</v>
      </c>
    </row>
    <row r="4504" spans="2:7" ht="15" hidden="1" x14ac:dyDescent="0.25">
      <c r="B4504" s="4">
        <v>584634176</v>
      </c>
      <c r="C4504" s="4" t="s">
        <v>268</v>
      </c>
      <c r="D4504" s="4">
        <v>302</v>
      </c>
      <c r="E4504" s="4">
        <v>6</v>
      </c>
      <c r="G4504">
        <f t="shared" si="70"/>
        <v>104</v>
      </c>
    </row>
    <row r="4505" spans="2:7" ht="15" hidden="1" x14ac:dyDescent="0.25">
      <c r="B4505" s="4">
        <v>584634176</v>
      </c>
      <c r="C4505" s="4" t="s">
        <v>268</v>
      </c>
      <c r="D4505" s="4">
        <v>303</v>
      </c>
      <c r="E4505" s="4">
        <v>13</v>
      </c>
      <c r="G4505">
        <f t="shared" si="70"/>
        <v>160</v>
      </c>
    </row>
    <row r="4506" spans="2:7" ht="15" hidden="1" x14ac:dyDescent="0.25">
      <c r="B4506" s="4">
        <v>584634176</v>
      </c>
      <c r="C4506" s="4" t="s">
        <v>268</v>
      </c>
      <c r="D4506" s="4">
        <v>303</v>
      </c>
      <c r="E4506" s="4">
        <v>13</v>
      </c>
      <c r="G4506">
        <f t="shared" si="70"/>
        <v>160</v>
      </c>
    </row>
    <row r="4507" spans="2:7" ht="15" hidden="1" x14ac:dyDescent="0.25">
      <c r="B4507" s="4">
        <v>584634176</v>
      </c>
      <c r="C4507" s="4" t="s">
        <v>268</v>
      </c>
      <c r="D4507" s="4">
        <v>304</v>
      </c>
      <c r="E4507" s="4">
        <v>13</v>
      </c>
      <c r="G4507">
        <f t="shared" si="70"/>
        <v>160</v>
      </c>
    </row>
    <row r="4508" spans="2:7" ht="15" hidden="1" x14ac:dyDescent="0.25">
      <c r="B4508" s="4">
        <v>584634176</v>
      </c>
      <c r="C4508" s="4" t="s">
        <v>268</v>
      </c>
      <c r="D4508" s="4">
        <v>304</v>
      </c>
      <c r="E4508" s="4">
        <v>13</v>
      </c>
      <c r="G4508">
        <f t="shared" si="70"/>
        <v>160</v>
      </c>
    </row>
    <row r="4509" spans="2:7" ht="15" hidden="1" x14ac:dyDescent="0.25">
      <c r="B4509" s="4">
        <v>584634176</v>
      </c>
      <c r="C4509" s="4" t="s">
        <v>268</v>
      </c>
      <c r="D4509" s="4">
        <v>305</v>
      </c>
      <c r="E4509" s="4">
        <v>13</v>
      </c>
      <c r="G4509">
        <f t="shared" si="70"/>
        <v>160</v>
      </c>
    </row>
    <row r="4510" spans="2:7" ht="15" hidden="1" x14ac:dyDescent="0.25">
      <c r="B4510" s="4">
        <v>584634176</v>
      </c>
      <c r="C4510" s="4" t="s">
        <v>268</v>
      </c>
      <c r="D4510" s="4">
        <v>305</v>
      </c>
      <c r="E4510" s="4">
        <v>13</v>
      </c>
      <c r="G4510">
        <f t="shared" si="70"/>
        <v>160</v>
      </c>
    </row>
    <row r="4511" spans="2:7" ht="15" hidden="1" x14ac:dyDescent="0.25">
      <c r="B4511" s="4">
        <v>584634176</v>
      </c>
      <c r="C4511" s="4" t="s">
        <v>268</v>
      </c>
      <c r="D4511" s="4">
        <v>306</v>
      </c>
      <c r="E4511" s="4">
        <v>13</v>
      </c>
      <c r="G4511">
        <f t="shared" si="70"/>
        <v>160</v>
      </c>
    </row>
    <row r="4512" spans="2:7" ht="15" hidden="1" x14ac:dyDescent="0.25">
      <c r="B4512" s="4">
        <v>584634176</v>
      </c>
      <c r="C4512" s="4" t="s">
        <v>268</v>
      </c>
      <c r="D4512" s="4">
        <v>306</v>
      </c>
      <c r="E4512" s="4">
        <v>13</v>
      </c>
      <c r="G4512">
        <f t="shared" si="70"/>
        <v>160</v>
      </c>
    </row>
    <row r="4513" spans="2:7" ht="15" hidden="1" x14ac:dyDescent="0.25">
      <c r="B4513" s="4">
        <v>584634176</v>
      </c>
      <c r="C4513" s="4" t="s">
        <v>268</v>
      </c>
      <c r="D4513" s="4">
        <v>307</v>
      </c>
      <c r="E4513" s="4">
        <v>13</v>
      </c>
      <c r="G4513">
        <f t="shared" si="70"/>
        <v>160</v>
      </c>
    </row>
    <row r="4514" spans="2:7" ht="15" hidden="1" x14ac:dyDescent="0.25">
      <c r="B4514" s="4">
        <v>584634176</v>
      </c>
      <c r="C4514" s="4" t="s">
        <v>268</v>
      </c>
      <c r="D4514" s="4">
        <v>307</v>
      </c>
      <c r="E4514" s="4">
        <v>13</v>
      </c>
      <c r="G4514">
        <f t="shared" si="70"/>
        <v>160</v>
      </c>
    </row>
    <row r="4515" spans="2:7" ht="15" hidden="1" x14ac:dyDescent="0.25">
      <c r="B4515" s="4">
        <v>584634176</v>
      </c>
      <c r="C4515" s="4" t="s">
        <v>268</v>
      </c>
      <c r="D4515" s="4">
        <v>308</v>
      </c>
      <c r="E4515" s="4">
        <v>13</v>
      </c>
      <c r="G4515">
        <f t="shared" si="70"/>
        <v>160</v>
      </c>
    </row>
    <row r="4516" spans="2:7" ht="15" hidden="1" x14ac:dyDescent="0.25">
      <c r="B4516" s="4">
        <v>584634176</v>
      </c>
      <c r="C4516" s="4" t="s">
        <v>268</v>
      </c>
      <c r="D4516" s="4">
        <v>308</v>
      </c>
      <c r="E4516" s="4">
        <v>13</v>
      </c>
      <c r="G4516">
        <f t="shared" si="70"/>
        <v>160</v>
      </c>
    </row>
    <row r="4517" spans="2:7" ht="15" hidden="1" x14ac:dyDescent="0.25">
      <c r="B4517" s="4">
        <v>584634176</v>
      </c>
      <c r="C4517" s="4" t="s">
        <v>268</v>
      </c>
      <c r="D4517" s="4">
        <v>309</v>
      </c>
      <c r="E4517" s="4">
        <v>13</v>
      </c>
      <c r="G4517">
        <f t="shared" si="70"/>
        <v>160</v>
      </c>
    </row>
    <row r="4518" spans="2:7" ht="15" hidden="1" x14ac:dyDescent="0.25">
      <c r="B4518" s="4">
        <v>584634176</v>
      </c>
      <c r="C4518" s="4" t="s">
        <v>268</v>
      </c>
      <c r="D4518" s="4">
        <v>309</v>
      </c>
      <c r="E4518" s="4">
        <v>13</v>
      </c>
      <c r="G4518">
        <f t="shared" si="70"/>
        <v>160</v>
      </c>
    </row>
    <row r="4519" spans="2:7" ht="15" hidden="1" x14ac:dyDescent="0.25">
      <c r="B4519" s="4">
        <v>584634176</v>
      </c>
      <c r="C4519" s="4" t="s">
        <v>268</v>
      </c>
      <c r="D4519" s="4">
        <v>310</v>
      </c>
      <c r="E4519" s="4">
        <v>13</v>
      </c>
      <c r="G4519">
        <f t="shared" si="70"/>
        <v>160</v>
      </c>
    </row>
    <row r="4520" spans="2:7" ht="15" hidden="1" x14ac:dyDescent="0.25">
      <c r="B4520" s="4">
        <v>584634176</v>
      </c>
      <c r="C4520" s="4" t="s">
        <v>268</v>
      </c>
      <c r="D4520" s="4">
        <v>310</v>
      </c>
      <c r="E4520" s="4">
        <v>13</v>
      </c>
      <c r="G4520">
        <f t="shared" si="70"/>
        <v>160</v>
      </c>
    </row>
    <row r="4521" spans="2:7" ht="15" hidden="1" x14ac:dyDescent="0.25">
      <c r="B4521" s="4">
        <v>584634176</v>
      </c>
      <c r="C4521" s="4" t="s">
        <v>268</v>
      </c>
      <c r="D4521" s="4">
        <v>311</v>
      </c>
      <c r="E4521" s="4">
        <v>13</v>
      </c>
      <c r="G4521">
        <f t="shared" si="70"/>
        <v>160</v>
      </c>
    </row>
    <row r="4522" spans="2:7" ht="15" hidden="1" x14ac:dyDescent="0.25">
      <c r="B4522" s="4">
        <v>584634176</v>
      </c>
      <c r="C4522" s="4" t="s">
        <v>268</v>
      </c>
      <c r="D4522" s="4">
        <v>311</v>
      </c>
      <c r="E4522" s="4">
        <v>13</v>
      </c>
      <c r="G4522">
        <f t="shared" si="70"/>
        <v>160</v>
      </c>
    </row>
    <row r="4523" spans="2:7" ht="15" hidden="1" x14ac:dyDescent="0.25">
      <c r="B4523" s="4">
        <v>584634176</v>
      </c>
      <c r="C4523" s="4" t="s">
        <v>268</v>
      </c>
      <c r="D4523" s="4">
        <v>312</v>
      </c>
      <c r="E4523" s="4">
        <v>13</v>
      </c>
      <c r="G4523">
        <f t="shared" si="70"/>
        <v>160</v>
      </c>
    </row>
    <row r="4524" spans="2:7" ht="15" hidden="1" x14ac:dyDescent="0.25">
      <c r="B4524" s="4">
        <v>584634176</v>
      </c>
      <c r="C4524" s="4" t="s">
        <v>268</v>
      </c>
      <c r="D4524" s="4">
        <v>312</v>
      </c>
      <c r="E4524" s="4">
        <v>13</v>
      </c>
      <c r="G4524">
        <f t="shared" si="70"/>
        <v>160</v>
      </c>
    </row>
    <row r="4525" spans="2:7" ht="15" hidden="1" x14ac:dyDescent="0.25">
      <c r="B4525" s="4">
        <v>584634176</v>
      </c>
      <c r="C4525" s="4" t="s">
        <v>268</v>
      </c>
      <c r="D4525" s="4">
        <v>313</v>
      </c>
      <c r="E4525" s="4">
        <v>13</v>
      </c>
      <c r="G4525">
        <f t="shared" si="70"/>
        <v>160</v>
      </c>
    </row>
    <row r="4526" spans="2:7" ht="15" hidden="1" x14ac:dyDescent="0.25">
      <c r="B4526" s="4">
        <v>584634176</v>
      </c>
      <c r="C4526" s="4" t="s">
        <v>268</v>
      </c>
      <c r="D4526" s="4">
        <v>313</v>
      </c>
      <c r="E4526" s="4">
        <v>13</v>
      </c>
      <c r="G4526">
        <f t="shared" si="70"/>
        <v>160</v>
      </c>
    </row>
    <row r="4527" spans="2:7" ht="15" hidden="1" x14ac:dyDescent="0.25">
      <c r="B4527" s="4">
        <v>584634176</v>
      </c>
      <c r="C4527" s="4" t="s">
        <v>268</v>
      </c>
      <c r="D4527" s="4">
        <v>314</v>
      </c>
      <c r="E4527" s="4">
        <v>13</v>
      </c>
      <c r="G4527">
        <f t="shared" si="70"/>
        <v>160</v>
      </c>
    </row>
    <row r="4528" spans="2:7" ht="15" hidden="1" x14ac:dyDescent="0.25">
      <c r="B4528" s="4">
        <v>584634176</v>
      </c>
      <c r="C4528" s="4" t="s">
        <v>268</v>
      </c>
      <c r="D4528" s="4">
        <v>314</v>
      </c>
      <c r="E4528" s="4">
        <v>13</v>
      </c>
      <c r="G4528">
        <f t="shared" si="70"/>
        <v>160</v>
      </c>
    </row>
    <row r="4529" spans="2:7" ht="15" hidden="1" x14ac:dyDescent="0.25">
      <c r="B4529" s="4">
        <v>584634176</v>
      </c>
      <c r="C4529" s="4" t="s">
        <v>268</v>
      </c>
      <c r="D4529" s="4">
        <v>315</v>
      </c>
      <c r="E4529" s="4">
        <v>7</v>
      </c>
      <c r="G4529">
        <f t="shared" si="70"/>
        <v>112</v>
      </c>
    </row>
    <row r="4530" spans="2:7" ht="15" hidden="1" x14ac:dyDescent="0.25">
      <c r="B4530" s="4">
        <v>584634176</v>
      </c>
      <c r="C4530" s="4" t="s">
        <v>268</v>
      </c>
      <c r="D4530" s="4">
        <v>315</v>
      </c>
      <c r="E4530" s="4">
        <v>7</v>
      </c>
      <c r="G4530">
        <f t="shared" si="70"/>
        <v>112</v>
      </c>
    </row>
    <row r="4531" spans="2:7" ht="15" hidden="1" x14ac:dyDescent="0.25">
      <c r="B4531" s="4">
        <v>584634236</v>
      </c>
      <c r="C4531" s="4" t="s">
        <v>268</v>
      </c>
      <c r="D4531" s="4">
        <v>316</v>
      </c>
      <c r="E4531" s="4">
        <v>13</v>
      </c>
      <c r="G4531">
        <f t="shared" si="70"/>
        <v>160</v>
      </c>
    </row>
    <row r="4532" spans="2:7" ht="15" hidden="1" x14ac:dyDescent="0.25">
      <c r="B4532" s="4">
        <v>584634236</v>
      </c>
      <c r="C4532" s="4" t="s">
        <v>268</v>
      </c>
      <c r="D4532" s="4">
        <v>316</v>
      </c>
      <c r="E4532" s="4">
        <v>13</v>
      </c>
      <c r="G4532">
        <f t="shared" si="70"/>
        <v>160</v>
      </c>
    </row>
    <row r="4533" spans="2:7" ht="15" hidden="1" x14ac:dyDescent="0.25">
      <c r="B4533" s="4">
        <v>584634236</v>
      </c>
      <c r="C4533" s="4" t="s">
        <v>268</v>
      </c>
      <c r="D4533" s="4">
        <v>317</v>
      </c>
      <c r="E4533" s="4">
        <v>7</v>
      </c>
      <c r="G4533">
        <f t="shared" si="70"/>
        <v>112</v>
      </c>
    </row>
    <row r="4534" spans="2:7" ht="15" hidden="1" x14ac:dyDescent="0.25">
      <c r="B4534" s="4">
        <v>584634236</v>
      </c>
      <c r="C4534" s="4" t="s">
        <v>268</v>
      </c>
      <c r="D4534" s="4">
        <v>317</v>
      </c>
      <c r="E4534" s="4">
        <v>7</v>
      </c>
      <c r="G4534">
        <f t="shared" si="70"/>
        <v>112</v>
      </c>
    </row>
    <row r="4535" spans="2:7" ht="15" hidden="1" x14ac:dyDescent="0.25">
      <c r="B4535" s="4">
        <v>584634596</v>
      </c>
      <c r="C4535" s="4" t="s">
        <v>268</v>
      </c>
      <c r="D4535" s="4">
        <v>318</v>
      </c>
      <c r="E4535" s="4">
        <v>7</v>
      </c>
      <c r="G4535">
        <f t="shared" si="70"/>
        <v>112</v>
      </c>
    </row>
    <row r="4536" spans="2:7" ht="15" hidden="1" x14ac:dyDescent="0.25">
      <c r="B4536" s="4">
        <v>584634596</v>
      </c>
      <c r="C4536" s="4" t="s">
        <v>268</v>
      </c>
      <c r="D4536" s="4">
        <v>318</v>
      </c>
      <c r="E4536" s="4">
        <v>7</v>
      </c>
      <c r="G4536">
        <f t="shared" si="70"/>
        <v>112</v>
      </c>
    </row>
    <row r="4537" spans="2:7" ht="15" hidden="1" x14ac:dyDescent="0.25">
      <c r="B4537" s="4">
        <v>584634596</v>
      </c>
      <c r="C4537" s="4" t="s">
        <v>268</v>
      </c>
      <c r="D4537" s="4">
        <v>319</v>
      </c>
      <c r="E4537" s="4">
        <v>13</v>
      </c>
      <c r="G4537">
        <f t="shared" si="70"/>
        <v>160</v>
      </c>
    </row>
    <row r="4538" spans="2:7" ht="15" hidden="1" x14ac:dyDescent="0.25">
      <c r="B4538" s="4">
        <v>584634596</v>
      </c>
      <c r="C4538" s="4" t="s">
        <v>268</v>
      </c>
      <c r="D4538" s="4">
        <v>319</v>
      </c>
      <c r="E4538" s="4">
        <v>13</v>
      </c>
      <c r="G4538">
        <f t="shared" si="70"/>
        <v>160</v>
      </c>
    </row>
    <row r="4539" spans="2:7" ht="15" hidden="1" x14ac:dyDescent="0.25">
      <c r="B4539" s="4">
        <v>584634596</v>
      </c>
      <c r="C4539" s="4" t="s">
        <v>268</v>
      </c>
      <c r="D4539" s="4">
        <v>320</v>
      </c>
      <c r="E4539" s="4">
        <v>7</v>
      </c>
      <c r="G4539">
        <f t="shared" si="70"/>
        <v>112</v>
      </c>
    </row>
    <row r="4540" spans="2:7" ht="15" hidden="1" x14ac:dyDescent="0.25">
      <c r="B4540" s="4">
        <v>584634596</v>
      </c>
      <c r="C4540" s="4" t="s">
        <v>268</v>
      </c>
      <c r="D4540" s="4">
        <v>320</v>
      </c>
      <c r="E4540" s="4">
        <v>7</v>
      </c>
      <c r="G4540">
        <f t="shared" si="70"/>
        <v>112</v>
      </c>
    </row>
    <row r="4541" spans="2:7" ht="15" hidden="1" x14ac:dyDescent="0.25">
      <c r="B4541" s="4">
        <v>584603872</v>
      </c>
      <c r="C4541" s="4" t="s">
        <v>273</v>
      </c>
      <c r="D4541" s="4">
        <v>9471</v>
      </c>
      <c r="E4541" s="4">
        <v>317</v>
      </c>
      <c r="G4541">
        <f t="shared" si="70"/>
        <v>2592</v>
      </c>
    </row>
    <row r="4542" spans="2:7" ht="15" hidden="1" x14ac:dyDescent="0.25">
      <c r="B4542" s="4">
        <v>584605071</v>
      </c>
      <c r="C4542" s="4" t="s">
        <v>273</v>
      </c>
      <c r="D4542" s="4">
        <v>10670</v>
      </c>
      <c r="E4542" s="4">
        <v>317</v>
      </c>
      <c r="G4542">
        <f t="shared" si="70"/>
        <v>2592</v>
      </c>
    </row>
    <row r="4543" spans="2:7" ht="15" hidden="1" x14ac:dyDescent="0.25">
      <c r="B4543" s="4">
        <v>584606270</v>
      </c>
      <c r="C4543" s="4" t="s">
        <v>273</v>
      </c>
      <c r="D4543" s="4">
        <v>11869</v>
      </c>
      <c r="E4543" s="4">
        <v>317</v>
      </c>
      <c r="F4543">
        <v>5</v>
      </c>
      <c r="G4543">
        <f t="shared" si="70"/>
        <v>2592</v>
      </c>
    </row>
    <row r="4544" spans="2:7" ht="15" hidden="1" x14ac:dyDescent="0.25">
      <c r="B4544" s="4">
        <v>584607469</v>
      </c>
      <c r="C4544" s="4" t="s">
        <v>273</v>
      </c>
      <c r="D4544" s="4">
        <v>13068</v>
      </c>
      <c r="E4544" s="4">
        <v>317</v>
      </c>
      <c r="G4544">
        <f t="shared" si="70"/>
        <v>2592</v>
      </c>
    </row>
    <row r="4545" spans="2:7" ht="15" hidden="1" x14ac:dyDescent="0.25">
      <c r="B4545" s="4">
        <v>584608668</v>
      </c>
      <c r="C4545" s="4" t="s">
        <v>273</v>
      </c>
      <c r="D4545" s="4">
        <v>14267</v>
      </c>
      <c r="E4545" s="4">
        <v>317</v>
      </c>
      <c r="G4545">
        <f t="shared" si="70"/>
        <v>2592</v>
      </c>
    </row>
    <row r="4546" spans="2:7" ht="15" hidden="1" x14ac:dyDescent="0.25">
      <c r="B4546" s="4">
        <v>584609452</v>
      </c>
      <c r="C4546" s="4" t="s">
        <v>273</v>
      </c>
      <c r="D4546" s="4">
        <v>15051</v>
      </c>
      <c r="E4546" s="4">
        <v>317</v>
      </c>
      <c r="G4546">
        <f t="shared" si="70"/>
        <v>2592</v>
      </c>
    </row>
    <row r="4547" spans="2:7" ht="15" hidden="1" x14ac:dyDescent="0.25">
      <c r="B4547" s="4">
        <v>584609500</v>
      </c>
      <c r="C4547" s="4" t="s">
        <v>273</v>
      </c>
      <c r="D4547" s="4">
        <v>15099</v>
      </c>
      <c r="E4547" s="4">
        <v>317</v>
      </c>
      <c r="G4547">
        <f t="shared" si="70"/>
        <v>2592</v>
      </c>
    </row>
    <row r="4548" spans="2:7" ht="15" hidden="1" x14ac:dyDescent="0.25">
      <c r="B4548" s="4">
        <v>584609548</v>
      </c>
      <c r="C4548" s="4" t="s">
        <v>273</v>
      </c>
      <c r="D4548" s="4">
        <v>15147</v>
      </c>
      <c r="E4548" s="4">
        <v>317</v>
      </c>
      <c r="G4548">
        <f t="shared" ref="G4548:G4611" si="71">(E4548+7)*8</f>
        <v>2592</v>
      </c>
    </row>
    <row r="4549" spans="2:7" ht="15" hidden="1" x14ac:dyDescent="0.25">
      <c r="B4549" s="4">
        <v>584609595</v>
      </c>
      <c r="C4549" s="4" t="s">
        <v>273</v>
      </c>
      <c r="D4549" s="4">
        <v>15194</v>
      </c>
      <c r="E4549" s="4">
        <v>317</v>
      </c>
      <c r="G4549">
        <f t="shared" si="71"/>
        <v>2592</v>
      </c>
    </row>
    <row r="4550" spans="2:7" ht="15" hidden="1" x14ac:dyDescent="0.25">
      <c r="B4550" s="4">
        <v>584609643</v>
      </c>
      <c r="C4550" s="4" t="s">
        <v>273</v>
      </c>
      <c r="D4550" s="4">
        <v>15242</v>
      </c>
      <c r="E4550" s="4">
        <v>317</v>
      </c>
      <c r="G4550">
        <f t="shared" si="71"/>
        <v>2592</v>
      </c>
    </row>
    <row r="4551" spans="2:7" ht="15" hidden="1" x14ac:dyDescent="0.25">
      <c r="B4551" s="4">
        <v>584609691</v>
      </c>
      <c r="C4551" s="4" t="s">
        <v>273</v>
      </c>
      <c r="D4551" s="4">
        <v>15290</v>
      </c>
      <c r="E4551" s="4">
        <v>317</v>
      </c>
      <c r="G4551">
        <f t="shared" si="71"/>
        <v>2592</v>
      </c>
    </row>
    <row r="4552" spans="2:7" ht="15" hidden="1" x14ac:dyDescent="0.25">
      <c r="B4552" s="4">
        <v>584609739</v>
      </c>
      <c r="C4552" s="4" t="s">
        <v>273</v>
      </c>
      <c r="D4552" s="4">
        <v>15338</v>
      </c>
      <c r="E4552" s="4">
        <v>317</v>
      </c>
      <c r="F4552">
        <v>5</v>
      </c>
      <c r="G4552">
        <f t="shared" si="71"/>
        <v>2592</v>
      </c>
    </row>
    <row r="4553" spans="2:7" ht="15" hidden="1" x14ac:dyDescent="0.25">
      <c r="B4553" s="4">
        <v>584609771</v>
      </c>
      <c r="C4553" s="4" t="s">
        <v>273</v>
      </c>
      <c r="D4553" s="4">
        <v>15370</v>
      </c>
      <c r="E4553" s="4">
        <v>317</v>
      </c>
      <c r="G4553">
        <f t="shared" si="71"/>
        <v>2592</v>
      </c>
    </row>
    <row r="4554" spans="2:7" ht="15" hidden="1" x14ac:dyDescent="0.25">
      <c r="B4554" s="4">
        <v>584609818</v>
      </c>
      <c r="C4554" s="4" t="s">
        <v>273</v>
      </c>
      <c r="D4554" s="4">
        <v>15417</v>
      </c>
      <c r="E4554" s="4">
        <v>317</v>
      </c>
      <c r="G4554">
        <f t="shared" si="71"/>
        <v>2592</v>
      </c>
    </row>
    <row r="4555" spans="2:7" ht="15" hidden="1" x14ac:dyDescent="0.25">
      <c r="B4555" s="4">
        <v>584609866</v>
      </c>
      <c r="C4555" s="4" t="s">
        <v>273</v>
      </c>
      <c r="D4555" s="4">
        <v>15465</v>
      </c>
      <c r="E4555" s="4">
        <v>317</v>
      </c>
      <c r="G4555">
        <f t="shared" si="71"/>
        <v>2592</v>
      </c>
    </row>
    <row r="4556" spans="2:7" ht="15" hidden="1" x14ac:dyDescent="0.25">
      <c r="B4556" s="4">
        <v>584609867</v>
      </c>
      <c r="C4556" s="4" t="s">
        <v>273</v>
      </c>
      <c r="D4556" s="4">
        <v>15466</v>
      </c>
      <c r="E4556" s="4">
        <v>317</v>
      </c>
      <c r="G4556">
        <f t="shared" si="71"/>
        <v>2592</v>
      </c>
    </row>
    <row r="4557" spans="2:7" ht="15" hidden="1" x14ac:dyDescent="0.25">
      <c r="B4557" s="4">
        <v>584609914</v>
      </c>
      <c r="C4557" s="4" t="s">
        <v>273</v>
      </c>
      <c r="D4557" s="4">
        <v>15513</v>
      </c>
      <c r="E4557" s="4">
        <v>317</v>
      </c>
      <c r="G4557">
        <f t="shared" si="71"/>
        <v>2592</v>
      </c>
    </row>
    <row r="4558" spans="2:7" ht="15" hidden="1" x14ac:dyDescent="0.25">
      <c r="B4558" s="4">
        <v>584609962</v>
      </c>
      <c r="C4558" s="4" t="s">
        <v>273</v>
      </c>
      <c r="D4558" s="4">
        <v>15561</v>
      </c>
      <c r="E4558" s="4">
        <v>317</v>
      </c>
      <c r="G4558">
        <f t="shared" si="71"/>
        <v>2592</v>
      </c>
    </row>
    <row r="4559" spans="2:7" ht="15" hidden="1" x14ac:dyDescent="0.25">
      <c r="B4559" s="4">
        <v>584610010</v>
      </c>
      <c r="C4559" s="4" t="s">
        <v>273</v>
      </c>
      <c r="D4559" s="4">
        <v>15609</v>
      </c>
      <c r="E4559" s="4">
        <v>317</v>
      </c>
      <c r="G4559">
        <f t="shared" si="71"/>
        <v>2592</v>
      </c>
    </row>
    <row r="4560" spans="2:7" ht="15" hidden="1" x14ac:dyDescent="0.25">
      <c r="B4560" s="4">
        <v>584610057</v>
      </c>
      <c r="C4560" s="4" t="s">
        <v>273</v>
      </c>
      <c r="D4560" s="4">
        <v>15656</v>
      </c>
      <c r="E4560" s="4">
        <v>317</v>
      </c>
      <c r="F4560">
        <v>5</v>
      </c>
      <c r="G4560">
        <f t="shared" si="71"/>
        <v>2592</v>
      </c>
    </row>
    <row r="4561" spans="2:7" ht="15" hidden="1" x14ac:dyDescent="0.25">
      <c r="B4561" s="4">
        <v>584610105</v>
      </c>
      <c r="C4561" s="4" t="s">
        <v>273</v>
      </c>
      <c r="D4561" s="4">
        <v>15704</v>
      </c>
      <c r="E4561" s="4">
        <v>317</v>
      </c>
      <c r="G4561">
        <f t="shared" si="71"/>
        <v>2592</v>
      </c>
    </row>
    <row r="4562" spans="2:7" ht="15" hidden="1" x14ac:dyDescent="0.25">
      <c r="B4562" s="4">
        <v>584610153</v>
      </c>
      <c r="C4562" s="4" t="s">
        <v>273</v>
      </c>
      <c r="D4562" s="4">
        <v>15752</v>
      </c>
      <c r="E4562" s="4">
        <v>317</v>
      </c>
      <c r="G4562">
        <f t="shared" si="71"/>
        <v>2592</v>
      </c>
    </row>
    <row r="4563" spans="2:7" ht="15" hidden="1" x14ac:dyDescent="0.25">
      <c r="B4563" s="4">
        <v>584610185</v>
      </c>
      <c r="C4563" s="4" t="s">
        <v>273</v>
      </c>
      <c r="D4563" s="4">
        <v>15784</v>
      </c>
      <c r="E4563" s="4">
        <v>317</v>
      </c>
      <c r="G4563">
        <f t="shared" si="71"/>
        <v>2592</v>
      </c>
    </row>
    <row r="4564" spans="2:7" ht="15" hidden="1" x14ac:dyDescent="0.25">
      <c r="B4564" s="4">
        <v>584610233</v>
      </c>
      <c r="C4564" s="4" t="s">
        <v>273</v>
      </c>
      <c r="D4564" s="4">
        <v>15832</v>
      </c>
      <c r="E4564" s="4">
        <v>317</v>
      </c>
      <c r="G4564">
        <f t="shared" si="71"/>
        <v>2592</v>
      </c>
    </row>
    <row r="4565" spans="2:7" ht="15" hidden="1" x14ac:dyDescent="0.25">
      <c r="B4565" s="4">
        <v>584610280</v>
      </c>
      <c r="C4565" s="4" t="s">
        <v>273</v>
      </c>
      <c r="D4565" s="4">
        <v>15879</v>
      </c>
      <c r="E4565" s="4">
        <v>317</v>
      </c>
      <c r="G4565">
        <f t="shared" si="71"/>
        <v>2592</v>
      </c>
    </row>
    <row r="4566" spans="2:7" ht="15" hidden="1" x14ac:dyDescent="0.25">
      <c r="B4566" s="4">
        <v>584610328</v>
      </c>
      <c r="C4566" s="4" t="s">
        <v>273</v>
      </c>
      <c r="D4566" s="4">
        <v>15927</v>
      </c>
      <c r="E4566" s="4">
        <v>317</v>
      </c>
      <c r="G4566">
        <f t="shared" si="71"/>
        <v>2592</v>
      </c>
    </row>
    <row r="4567" spans="2:7" ht="15" hidden="1" x14ac:dyDescent="0.25">
      <c r="B4567" s="4">
        <v>584610376</v>
      </c>
      <c r="C4567" s="4" t="s">
        <v>273</v>
      </c>
      <c r="D4567" s="4">
        <v>15975</v>
      </c>
      <c r="E4567" s="4">
        <v>317</v>
      </c>
      <c r="G4567">
        <f t="shared" si="71"/>
        <v>2592</v>
      </c>
    </row>
    <row r="4568" spans="2:7" ht="15" hidden="1" x14ac:dyDescent="0.25">
      <c r="B4568" s="4">
        <v>584610424</v>
      </c>
      <c r="C4568" s="4" t="s">
        <v>273</v>
      </c>
      <c r="D4568" s="4">
        <v>16023</v>
      </c>
      <c r="E4568" s="4">
        <v>317</v>
      </c>
      <c r="G4568">
        <f t="shared" si="71"/>
        <v>2592</v>
      </c>
    </row>
    <row r="4569" spans="2:7" ht="15" hidden="1" x14ac:dyDescent="0.25">
      <c r="B4569" s="4">
        <v>584610471</v>
      </c>
      <c r="C4569" s="4" t="s">
        <v>273</v>
      </c>
      <c r="D4569" s="4">
        <v>16070</v>
      </c>
      <c r="E4569" s="4">
        <v>317</v>
      </c>
      <c r="G4569">
        <f t="shared" si="71"/>
        <v>2592</v>
      </c>
    </row>
    <row r="4570" spans="2:7" ht="15" hidden="1" x14ac:dyDescent="0.25">
      <c r="B4570" s="4">
        <v>584610519</v>
      </c>
      <c r="C4570" s="4" t="s">
        <v>273</v>
      </c>
      <c r="D4570" s="4">
        <v>16118</v>
      </c>
      <c r="E4570" s="4">
        <v>317</v>
      </c>
      <c r="G4570">
        <f t="shared" si="71"/>
        <v>2592</v>
      </c>
    </row>
    <row r="4571" spans="2:7" ht="15" hidden="1" x14ac:dyDescent="0.25">
      <c r="B4571" s="4">
        <v>584610567</v>
      </c>
      <c r="C4571" s="4" t="s">
        <v>273</v>
      </c>
      <c r="D4571" s="4">
        <v>16166</v>
      </c>
      <c r="E4571" s="4">
        <v>317</v>
      </c>
      <c r="G4571">
        <f t="shared" si="71"/>
        <v>2592</v>
      </c>
    </row>
    <row r="4572" spans="2:7" ht="15" hidden="1" x14ac:dyDescent="0.25">
      <c r="B4572" s="4">
        <v>584610615</v>
      </c>
      <c r="C4572" s="4" t="s">
        <v>273</v>
      </c>
      <c r="D4572" s="4">
        <v>16214</v>
      </c>
      <c r="E4572" s="4">
        <v>317</v>
      </c>
      <c r="G4572">
        <f t="shared" si="71"/>
        <v>2592</v>
      </c>
    </row>
    <row r="4573" spans="2:7" ht="15" hidden="1" x14ac:dyDescent="0.25">
      <c r="B4573" s="4">
        <v>584610647</v>
      </c>
      <c r="C4573" s="4" t="s">
        <v>273</v>
      </c>
      <c r="D4573" s="4">
        <v>16246</v>
      </c>
      <c r="E4573" s="4">
        <v>317</v>
      </c>
      <c r="G4573">
        <f t="shared" si="71"/>
        <v>2592</v>
      </c>
    </row>
    <row r="4574" spans="2:7" ht="15" hidden="1" x14ac:dyDescent="0.25">
      <c r="B4574" s="4">
        <v>584610694</v>
      </c>
      <c r="C4574" s="4" t="s">
        <v>273</v>
      </c>
      <c r="D4574" s="4">
        <v>16293</v>
      </c>
      <c r="E4574" s="4">
        <v>317</v>
      </c>
      <c r="G4574">
        <f t="shared" si="71"/>
        <v>2592</v>
      </c>
    </row>
    <row r="4575" spans="2:7" ht="15" hidden="1" x14ac:dyDescent="0.25">
      <c r="B4575" s="4">
        <v>584610742</v>
      </c>
      <c r="C4575" s="4" t="s">
        <v>273</v>
      </c>
      <c r="D4575" s="4">
        <v>16341</v>
      </c>
      <c r="E4575" s="4">
        <v>317</v>
      </c>
      <c r="G4575">
        <f t="shared" si="71"/>
        <v>2592</v>
      </c>
    </row>
    <row r="4576" spans="2:7" ht="15" hidden="1" x14ac:dyDescent="0.25">
      <c r="B4576" s="4">
        <v>584610790</v>
      </c>
      <c r="C4576" s="4" t="s">
        <v>273</v>
      </c>
      <c r="D4576" s="4">
        <v>5</v>
      </c>
      <c r="E4576" s="4">
        <v>317</v>
      </c>
      <c r="G4576">
        <f t="shared" si="71"/>
        <v>2592</v>
      </c>
    </row>
    <row r="4577" spans="2:7" ht="15" hidden="1" x14ac:dyDescent="0.25">
      <c r="B4577" s="4">
        <v>584610838</v>
      </c>
      <c r="C4577" s="4" t="s">
        <v>273</v>
      </c>
      <c r="D4577" s="4">
        <v>53</v>
      </c>
      <c r="E4577" s="4">
        <v>317</v>
      </c>
      <c r="G4577">
        <f t="shared" si="71"/>
        <v>2592</v>
      </c>
    </row>
    <row r="4578" spans="2:7" ht="15" hidden="1" x14ac:dyDescent="0.25">
      <c r="B4578" s="4">
        <v>584610886</v>
      </c>
      <c r="C4578" s="4" t="s">
        <v>273</v>
      </c>
      <c r="D4578" s="4">
        <v>101</v>
      </c>
      <c r="E4578" s="4">
        <v>317</v>
      </c>
      <c r="G4578">
        <f t="shared" si="71"/>
        <v>2592</v>
      </c>
    </row>
    <row r="4579" spans="2:7" ht="15" hidden="1" x14ac:dyDescent="0.25">
      <c r="B4579" s="4">
        <v>584610933</v>
      </c>
      <c r="C4579" s="4" t="s">
        <v>273</v>
      </c>
      <c r="D4579" s="4">
        <v>148</v>
      </c>
      <c r="E4579" s="4">
        <v>317</v>
      </c>
      <c r="G4579">
        <f t="shared" si="71"/>
        <v>2592</v>
      </c>
    </row>
    <row r="4580" spans="2:7" ht="15" hidden="1" x14ac:dyDescent="0.25">
      <c r="B4580" s="4">
        <v>584610981</v>
      </c>
      <c r="C4580" s="4" t="s">
        <v>273</v>
      </c>
      <c r="D4580" s="4">
        <v>196</v>
      </c>
      <c r="E4580" s="4">
        <v>317</v>
      </c>
      <c r="G4580">
        <f t="shared" si="71"/>
        <v>2592</v>
      </c>
    </row>
    <row r="4581" spans="2:7" ht="15" hidden="1" x14ac:dyDescent="0.25">
      <c r="B4581" s="4">
        <v>584611029</v>
      </c>
      <c r="C4581" s="4" t="s">
        <v>273</v>
      </c>
      <c r="D4581" s="4">
        <v>244</v>
      </c>
      <c r="E4581" s="4">
        <v>317</v>
      </c>
      <c r="G4581">
        <f t="shared" si="71"/>
        <v>2592</v>
      </c>
    </row>
    <row r="4582" spans="2:7" ht="15" hidden="1" x14ac:dyDescent="0.25">
      <c r="B4582" s="4">
        <v>584611061</v>
      </c>
      <c r="C4582" s="4" t="s">
        <v>273</v>
      </c>
      <c r="D4582" s="4">
        <v>276</v>
      </c>
      <c r="E4582" s="4">
        <v>317</v>
      </c>
      <c r="G4582">
        <f t="shared" si="71"/>
        <v>2592</v>
      </c>
    </row>
    <row r="4583" spans="2:7" ht="15" hidden="1" x14ac:dyDescent="0.25">
      <c r="B4583" s="4">
        <v>584611066</v>
      </c>
      <c r="C4583" s="4" t="s">
        <v>273</v>
      </c>
      <c r="D4583" s="4">
        <v>281</v>
      </c>
      <c r="E4583" s="4">
        <v>317</v>
      </c>
      <c r="G4583">
        <f t="shared" si="71"/>
        <v>2592</v>
      </c>
    </row>
    <row r="4584" spans="2:7" ht="15" hidden="1" x14ac:dyDescent="0.25">
      <c r="B4584" s="4">
        <v>584611109</v>
      </c>
      <c r="C4584" s="4" t="s">
        <v>273</v>
      </c>
      <c r="D4584" s="4">
        <v>324</v>
      </c>
      <c r="E4584" s="4">
        <v>317</v>
      </c>
      <c r="G4584">
        <f t="shared" si="71"/>
        <v>2592</v>
      </c>
    </row>
    <row r="4585" spans="2:7" ht="15" hidden="1" x14ac:dyDescent="0.25">
      <c r="B4585" s="4">
        <v>584611156</v>
      </c>
      <c r="C4585" s="4" t="s">
        <v>273</v>
      </c>
      <c r="D4585" s="4">
        <v>371</v>
      </c>
      <c r="E4585" s="4">
        <v>317</v>
      </c>
      <c r="G4585">
        <f t="shared" si="71"/>
        <v>2592</v>
      </c>
    </row>
    <row r="4586" spans="2:7" ht="15" hidden="1" x14ac:dyDescent="0.25">
      <c r="B4586" s="4">
        <v>584611204</v>
      </c>
      <c r="C4586" s="4" t="s">
        <v>273</v>
      </c>
      <c r="D4586" s="4">
        <v>419</v>
      </c>
      <c r="E4586" s="4">
        <v>317</v>
      </c>
      <c r="G4586">
        <f t="shared" si="71"/>
        <v>2592</v>
      </c>
    </row>
    <row r="4587" spans="2:7" ht="15" hidden="1" x14ac:dyDescent="0.25">
      <c r="B4587" s="4">
        <v>584611252</v>
      </c>
      <c r="C4587" s="4" t="s">
        <v>273</v>
      </c>
      <c r="D4587" s="4">
        <v>467</v>
      </c>
      <c r="E4587" s="4">
        <v>317</v>
      </c>
      <c r="G4587">
        <f t="shared" si="71"/>
        <v>2592</v>
      </c>
    </row>
    <row r="4588" spans="2:7" ht="15" hidden="1" x14ac:dyDescent="0.25">
      <c r="B4588" s="4">
        <v>584611300</v>
      </c>
      <c r="C4588" s="4" t="s">
        <v>273</v>
      </c>
      <c r="D4588" s="4">
        <v>515</v>
      </c>
      <c r="E4588" s="4">
        <v>317</v>
      </c>
      <c r="G4588">
        <f t="shared" si="71"/>
        <v>2592</v>
      </c>
    </row>
    <row r="4589" spans="2:7" ht="15" hidden="1" x14ac:dyDescent="0.25">
      <c r="B4589" s="4">
        <v>584611347</v>
      </c>
      <c r="C4589" s="4" t="s">
        <v>273</v>
      </c>
      <c r="D4589" s="4">
        <v>562</v>
      </c>
      <c r="E4589" s="4">
        <v>317</v>
      </c>
      <c r="G4589">
        <f t="shared" si="71"/>
        <v>2592</v>
      </c>
    </row>
    <row r="4590" spans="2:7" ht="15" hidden="1" x14ac:dyDescent="0.25">
      <c r="B4590" s="4">
        <v>584611395</v>
      </c>
      <c r="C4590" s="4" t="s">
        <v>273</v>
      </c>
      <c r="D4590" s="4">
        <v>610</v>
      </c>
      <c r="E4590" s="4">
        <v>317</v>
      </c>
      <c r="G4590">
        <f t="shared" si="71"/>
        <v>2592</v>
      </c>
    </row>
    <row r="4591" spans="2:7" ht="15" hidden="1" x14ac:dyDescent="0.25">
      <c r="B4591" s="4">
        <v>584611443</v>
      </c>
      <c r="C4591" s="4" t="s">
        <v>273</v>
      </c>
      <c r="D4591" s="4">
        <v>658</v>
      </c>
      <c r="E4591" s="4">
        <v>317</v>
      </c>
      <c r="G4591">
        <f t="shared" si="71"/>
        <v>2592</v>
      </c>
    </row>
    <row r="4592" spans="2:7" ht="15" hidden="1" x14ac:dyDescent="0.25">
      <c r="B4592" s="4">
        <v>584611475</v>
      </c>
      <c r="C4592" s="4" t="s">
        <v>273</v>
      </c>
      <c r="D4592" s="4">
        <v>690</v>
      </c>
      <c r="E4592" s="4">
        <v>317</v>
      </c>
      <c r="F4592">
        <v>5</v>
      </c>
      <c r="G4592">
        <f t="shared" si="71"/>
        <v>2592</v>
      </c>
    </row>
    <row r="4593" spans="2:7" ht="15" hidden="1" x14ac:dyDescent="0.25">
      <c r="B4593" s="4">
        <v>584611523</v>
      </c>
      <c r="C4593" s="4" t="s">
        <v>273</v>
      </c>
      <c r="D4593" s="4">
        <v>738</v>
      </c>
      <c r="E4593" s="4">
        <v>317</v>
      </c>
      <c r="G4593">
        <f t="shared" si="71"/>
        <v>2592</v>
      </c>
    </row>
    <row r="4594" spans="2:7" ht="15" hidden="1" x14ac:dyDescent="0.25">
      <c r="B4594" s="4">
        <v>584611570</v>
      </c>
      <c r="C4594" s="4" t="s">
        <v>273</v>
      </c>
      <c r="D4594" s="4">
        <v>785</v>
      </c>
      <c r="E4594" s="4">
        <v>317</v>
      </c>
      <c r="G4594">
        <f t="shared" si="71"/>
        <v>2592</v>
      </c>
    </row>
    <row r="4595" spans="2:7" ht="15" hidden="1" x14ac:dyDescent="0.25">
      <c r="B4595" s="4">
        <v>584611618</v>
      </c>
      <c r="C4595" s="4" t="s">
        <v>273</v>
      </c>
      <c r="D4595" s="4">
        <v>833</v>
      </c>
      <c r="E4595" s="4">
        <v>317</v>
      </c>
      <c r="G4595">
        <f t="shared" si="71"/>
        <v>2592</v>
      </c>
    </row>
    <row r="4596" spans="2:7" ht="15" hidden="1" x14ac:dyDescent="0.25">
      <c r="B4596" s="4">
        <v>584611666</v>
      </c>
      <c r="C4596" s="4" t="s">
        <v>273</v>
      </c>
      <c r="D4596" s="4">
        <v>881</v>
      </c>
      <c r="E4596" s="4">
        <v>317</v>
      </c>
      <c r="G4596">
        <f t="shared" si="71"/>
        <v>2592</v>
      </c>
    </row>
    <row r="4597" spans="2:7" ht="15" hidden="1" x14ac:dyDescent="0.25">
      <c r="B4597" s="4">
        <v>584611714</v>
      </c>
      <c r="C4597" s="4" t="s">
        <v>273</v>
      </c>
      <c r="D4597" s="4">
        <v>929</v>
      </c>
      <c r="E4597" s="4">
        <v>317</v>
      </c>
      <c r="G4597">
        <f t="shared" si="71"/>
        <v>2592</v>
      </c>
    </row>
    <row r="4598" spans="2:7" ht="15" hidden="1" x14ac:dyDescent="0.25">
      <c r="B4598" s="4">
        <v>584611762</v>
      </c>
      <c r="C4598" s="4" t="s">
        <v>273</v>
      </c>
      <c r="D4598" s="4">
        <v>977</v>
      </c>
      <c r="E4598" s="4">
        <v>317</v>
      </c>
      <c r="G4598">
        <f t="shared" si="71"/>
        <v>2592</v>
      </c>
    </row>
    <row r="4599" spans="2:7" ht="15" hidden="1" x14ac:dyDescent="0.25">
      <c r="B4599" s="4">
        <v>584611809</v>
      </c>
      <c r="C4599" s="4" t="s">
        <v>273</v>
      </c>
      <c r="D4599" s="4">
        <v>1024</v>
      </c>
      <c r="E4599" s="4">
        <v>317</v>
      </c>
      <c r="G4599">
        <f t="shared" si="71"/>
        <v>2592</v>
      </c>
    </row>
    <row r="4600" spans="2:7" ht="15" hidden="1" x14ac:dyDescent="0.25">
      <c r="B4600" s="4">
        <v>584611857</v>
      </c>
      <c r="C4600" s="4" t="s">
        <v>273</v>
      </c>
      <c r="D4600" s="4">
        <v>1072</v>
      </c>
      <c r="E4600" s="4">
        <v>317</v>
      </c>
      <c r="G4600">
        <f t="shared" si="71"/>
        <v>2592</v>
      </c>
    </row>
    <row r="4601" spans="2:7" ht="15" hidden="1" x14ac:dyDescent="0.25">
      <c r="B4601" s="4">
        <v>584611905</v>
      </c>
      <c r="C4601" s="4" t="s">
        <v>273</v>
      </c>
      <c r="D4601" s="4">
        <v>1120</v>
      </c>
      <c r="E4601" s="4">
        <v>317</v>
      </c>
      <c r="F4601">
        <v>5</v>
      </c>
      <c r="G4601">
        <f t="shared" si="71"/>
        <v>2592</v>
      </c>
    </row>
    <row r="4602" spans="2:7" ht="15" hidden="1" x14ac:dyDescent="0.25">
      <c r="B4602" s="4">
        <v>584611953</v>
      </c>
      <c r="C4602" s="4" t="s">
        <v>273</v>
      </c>
      <c r="D4602" s="4">
        <v>1168</v>
      </c>
      <c r="E4602" s="4">
        <v>317</v>
      </c>
      <c r="G4602">
        <f t="shared" si="71"/>
        <v>2592</v>
      </c>
    </row>
    <row r="4603" spans="2:7" ht="15" hidden="1" x14ac:dyDescent="0.25">
      <c r="B4603" s="4">
        <v>584611985</v>
      </c>
      <c r="C4603" s="4" t="s">
        <v>273</v>
      </c>
      <c r="D4603" s="4">
        <v>1200</v>
      </c>
      <c r="E4603" s="4">
        <v>317</v>
      </c>
      <c r="G4603">
        <f t="shared" si="71"/>
        <v>2592</v>
      </c>
    </row>
    <row r="4604" spans="2:7" ht="15" hidden="1" x14ac:dyDescent="0.25">
      <c r="B4604" s="4">
        <v>584612032</v>
      </c>
      <c r="C4604" s="4" t="s">
        <v>273</v>
      </c>
      <c r="D4604" s="4">
        <v>1247</v>
      </c>
      <c r="E4604" s="4">
        <v>317</v>
      </c>
      <c r="G4604">
        <f t="shared" si="71"/>
        <v>2592</v>
      </c>
    </row>
    <row r="4605" spans="2:7" ht="15" hidden="1" x14ac:dyDescent="0.25">
      <c r="B4605" s="4">
        <v>584612080</v>
      </c>
      <c r="C4605" s="4" t="s">
        <v>273</v>
      </c>
      <c r="D4605" s="4">
        <v>1295</v>
      </c>
      <c r="E4605" s="4">
        <v>317</v>
      </c>
      <c r="G4605">
        <f t="shared" si="71"/>
        <v>2592</v>
      </c>
    </row>
    <row r="4606" spans="2:7" ht="15" hidden="1" x14ac:dyDescent="0.25">
      <c r="B4606" s="4">
        <v>584612128</v>
      </c>
      <c r="C4606" s="4" t="s">
        <v>273</v>
      </c>
      <c r="D4606" s="4">
        <v>1343</v>
      </c>
      <c r="E4606" s="4">
        <v>317</v>
      </c>
      <c r="G4606">
        <f t="shared" si="71"/>
        <v>2592</v>
      </c>
    </row>
    <row r="4607" spans="2:7" ht="15" hidden="1" x14ac:dyDescent="0.25">
      <c r="B4607" s="4">
        <v>584612176</v>
      </c>
      <c r="C4607" s="4" t="s">
        <v>273</v>
      </c>
      <c r="D4607" s="4">
        <v>1391</v>
      </c>
      <c r="E4607" s="4">
        <v>317</v>
      </c>
      <c r="G4607">
        <f t="shared" si="71"/>
        <v>2592</v>
      </c>
    </row>
    <row r="4608" spans="2:7" ht="15" hidden="1" x14ac:dyDescent="0.25">
      <c r="B4608" s="4">
        <v>584612223</v>
      </c>
      <c r="C4608" s="4" t="s">
        <v>273</v>
      </c>
      <c r="D4608" s="4">
        <v>1438</v>
      </c>
      <c r="E4608" s="4">
        <v>317</v>
      </c>
      <c r="G4608">
        <f t="shared" si="71"/>
        <v>2592</v>
      </c>
    </row>
    <row r="4609" spans="2:7" ht="15" hidden="1" x14ac:dyDescent="0.25">
      <c r="B4609" s="4">
        <v>584612265</v>
      </c>
      <c r="C4609" s="4" t="s">
        <v>273</v>
      </c>
      <c r="D4609" s="4">
        <v>1480</v>
      </c>
      <c r="E4609" s="4">
        <v>317</v>
      </c>
      <c r="G4609">
        <f t="shared" si="71"/>
        <v>2592</v>
      </c>
    </row>
    <row r="4610" spans="2:7" ht="15" hidden="1" x14ac:dyDescent="0.25">
      <c r="B4610" s="4">
        <v>584612271</v>
      </c>
      <c r="C4610" s="4" t="s">
        <v>273</v>
      </c>
      <c r="D4610" s="4">
        <v>1486</v>
      </c>
      <c r="E4610" s="4">
        <v>317</v>
      </c>
      <c r="G4610">
        <f t="shared" si="71"/>
        <v>2592</v>
      </c>
    </row>
    <row r="4611" spans="2:7" ht="15" hidden="1" x14ac:dyDescent="0.25">
      <c r="B4611" s="4">
        <v>584612319</v>
      </c>
      <c r="C4611" s="4" t="s">
        <v>273</v>
      </c>
      <c r="D4611" s="4">
        <v>1534</v>
      </c>
      <c r="E4611" s="4">
        <v>317</v>
      </c>
      <c r="G4611">
        <f t="shared" si="71"/>
        <v>2592</v>
      </c>
    </row>
    <row r="4612" spans="2:7" ht="15" hidden="1" x14ac:dyDescent="0.25">
      <c r="B4612" s="4">
        <v>584612367</v>
      </c>
      <c r="C4612" s="4" t="s">
        <v>273</v>
      </c>
      <c r="D4612" s="4">
        <v>1582</v>
      </c>
      <c r="E4612" s="4">
        <v>317</v>
      </c>
      <c r="G4612">
        <f t="shared" ref="G4612:G4675" si="72">(E4612+7)*8</f>
        <v>2592</v>
      </c>
    </row>
    <row r="4613" spans="2:7" ht="15" hidden="1" x14ac:dyDescent="0.25">
      <c r="B4613" s="4">
        <v>584612399</v>
      </c>
      <c r="C4613" s="4" t="s">
        <v>273</v>
      </c>
      <c r="D4613" s="4">
        <v>1614</v>
      </c>
      <c r="E4613" s="4">
        <v>317</v>
      </c>
      <c r="G4613">
        <f t="shared" si="72"/>
        <v>2592</v>
      </c>
    </row>
    <row r="4614" spans="2:7" ht="15" hidden="1" x14ac:dyDescent="0.25">
      <c r="B4614" s="4">
        <v>584612446</v>
      </c>
      <c r="C4614" s="4" t="s">
        <v>273</v>
      </c>
      <c r="D4614" s="4">
        <v>1661</v>
      </c>
      <c r="E4614" s="4">
        <v>317</v>
      </c>
      <c r="G4614">
        <f t="shared" si="72"/>
        <v>2592</v>
      </c>
    </row>
    <row r="4615" spans="2:7" ht="15" hidden="1" x14ac:dyDescent="0.25">
      <c r="B4615" s="4">
        <v>584612494</v>
      </c>
      <c r="C4615" s="4" t="s">
        <v>273</v>
      </c>
      <c r="D4615" s="4">
        <v>1709</v>
      </c>
      <c r="E4615" s="4">
        <v>317</v>
      </c>
      <c r="G4615">
        <f t="shared" si="72"/>
        <v>2592</v>
      </c>
    </row>
    <row r="4616" spans="2:7" ht="15" hidden="1" x14ac:dyDescent="0.25">
      <c r="B4616" s="4">
        <v>584612542</v>
      </c>
      <c r="C4616" s="4" t="s">
        <v>273</v>
      </c>
      <c r="D4616" s="4">
        <v>1757</v>
      </c>
      <c r="E4616" s="4">
        <v>317</v>
      </c>
      <c r="G4616">
        <f t="shared" si="72"/>
        <v>2592</v>
      </c>
    </row>
    <row r="4617" spans="2:7" ht="15" hidden="1" x14ac:dyDescent="0.25">
      <c r="B4617" s="4">
        <v>584612590</v>
      </c>
      <c r="C4617" s="4" t="s">
        <v>273</v>
      </c>
      <c r="D4617" s="4">
        <v>1805</v>
      </c>
      <c r="E4617" s="4">
        <v>317</v>
      </c>
      <c r="G4617">
        <f t="shared" si="72"/>
        <v>2592</v>
      </c>
    </row>
    <row r="4618" spans="2:7" ht="15" hidden="1" x14ac:dyDescent="0.25">
      <c r="B4618" s="4">
        <v>584612638</v>
      </c>
      <c r="C4618" s="4" t="s">
        <v>273</v>
      </c>
      <c r="D4618" s="4">
        <v>1853</v>
      </c>
      <c r="E4618" s="4">
        <v>317</v>
      </c>
      <c r="G4618">
        <f t="shared" si="72"/>
        <v>2592</v>
      </c>
    </row>
    <row r="4619" spans="2:7" ht="15" hidden="1" x14ac:dyDescent="0.25">
      <c r="B4619" s="4">
        <v>584612685</v>
      </c>
      <c r="C4619" s="4" t="s">
        <v>273</v>
      </c>
      <c r="D4619" s="4">
        <v>1900</v>
      </c>
      <c r="E4619" s="4">
        <v>317</v>
      </c>
      <c r="G4619">
        <f t="shared" si="72"/>
        <v>2592</v>
      </c>
    </row>
    <row r="4620" spans="2:7" ht="15" hidden="1" x14ac:dyDescent="0.25">
      <c r="B4620" s="4">
        <v>584612733</v>
      </c>
      <c r="C4620" s="4" t="s">
        <v>273</v>
      </c>
      <c r="D4620" s="4">
        <v>1948</v>
      </c>
      <c r="E4620" s="4">
        <v>317</v>
      </c>
      <c r="G4620">
        <f t="shared" si="72"/>
        <v>2592</v>
      </c>
    </row>
    <row r="4621" spans="2:7" ht="15" hidden="1" x14ac:dyDescent="0.25">
      <c r="B4621" s="4">
        <v>584612781</v>
      </c>
      <c r="C4621" s="4" t="s">
        <v>273</v>
      </c>
      <c r="D4621" s="4">
        <v>1996</v>
      </c>
      <c r="E4621" s="4">
        <v>317</v>
      </c>
      <c r="G4621">
        <f t="shared" si="72"/>
        <v>2592</v>
      </c>
    </row>
    <row r="4622" spans="2:7" ht="15" hidden="1" x14ac:dyDescent="0.25">
      <c r="B4622" s="4">
        <v>584612813</v>
      </c>
      <c r="C4622" s="4" t="s">
        <v>273</v>
      </c>
      <c r="D4622" s="4">
        <v>2028</v>
      </c>
      <c r="E4622" s="4">
        <v>317</v>
      </c>
      <c r="G4622">
        <f t="shared" si="72"/>
        <v>2592</v>
      </c>
    </row>
    <row r="4623" spans="2:7" ht="15" hidden="1" x14ac:dyDescent="0.25">
      <c r="B4623" s="4">
        <v>584612861</v>
      </c>
      <c r="C4623" s="4" t="s">
        <v>273</v>
      </c>
      <c r="D4623" s="4">
        <v>2076</v>
      </c>
      <c r="E4623" s="4">
        <v>317</v>
      </c>
      <c r="G4623">
        <f t="shared" si="72"/>
        <v>2592</v>
      </c>
    </row>
    <row r="4624" spans="2:7" ht="15" hidden="1" x14ac:dyDescent="0.25">
      <c r="B4624" s="4">
        <v>584612908</v>
      </c>
      <c r="C4624" s="4" t="s">
        <v>273</v>
      </c>
      <c r="D4624" s="4">
        <v>2123</v>
      </c>
      <c r="E4624" s="4">
        <v>317</v>
      </c>
      <c r="G4624">
        <f t="shared" si="72"/>
        <v>2592</v>
      </c>
    </row>
    <row r="4625" spans="2:7" ht="15" hidden="1" x14ac:dyDescent="0.25">
      <c r="B4625" s="4">
        <v>584612956</v>
      </c>
      <c r="C4625" s="4" t="s">
        <v>273</v>
      </c>
      <c r="D4625" s="4">
        <v>2171</v>
      </c>
      <c r="E4625" s="4">
        <v>317</v>
      </c>
      <c r="G4625">
        <f t="shared" si="72"/>
        <v>2592</v>
      </c>
    </row>
    <row r="4626" spans="2:7" ht="15" hidden="1" x14ac:dyDescent="0.25">
      <c r="B4626" s="4">
        <v>584613004</v>
      </c>
      <c r="C4626" s="4" t="s">
        <v>273</v>
      </c>
      <c r="D4626" s="4">
        <v>2219</v>
      </c>
      <c r="E4626" s="4">
        <v>317</v>
      </c>
      <c r="G4626">
        <f t="shared" si="72"/>
        <v>2592</v>
      </c>
    </row>
    <row r="4627" spans="2:7" ht="15" hidden="1" x14ac:dyDescent="0.25">
      <c r="B4627" s="4">
        <v>584613052</v>
      </c>
      <c r="C4627" s="4" t="s">
        <v>273</v>
      </c>
      <c r="D4627" s="4">
        <v>2267</v>
      </c>
      <c r="E4627" s="4">
        <v>317</v>
      </c>
      <c r="G4627">
        <f t="shared" si="72"/>
        <v>2592</v>
      </c>
    </row>
    <row r="4628" spans="2:7" ht="15" hidden="1" x14ac:dyDescent="0.25">
      <c r="B4628" s="4">
        <v>584613099</v>
      </c>
      <c r="C4628" s="4" t="s">
        <v>273</v>
      </c>
      <c r="D4628" s="4">
        <v>2314</v>
      </c>
      <c r="E4628" s="4">
        <v>317</v>
      </c>
      <c r="G4628">
        <f t="shared" si="72"/>
        <v>2592</v>
      </c>
    </row>
    <row r="4629" spans="2:7" ht="15" hidden="1" x14ac:dyDescent="0.25">
      <c r="B4629" s="4">
        <v>584613147</v>
      </c>
      <c r="C4629" s="4" t="s">
        <v>273</v>
      </c>
      <c r="D4629" s="4">
        <v>2362</v>
      </c>
      <c r="E4629" s="4">
        <v>317</v>
      </c>
      <c r="G4629">
        <f t="shared" si="72"/>
        <v>2592</v>
      </c>
    </row>
    <row r="4630" spans="2:7" ht="15" hidden="1" x14ac:dyDescent="0.25">
      <c r="B4630" s="4">
        <v>584613195</v>
      </c>
      <c r="C4630" s="4" t="s">
        <v>273</v>
      </c>
      <c r="D4630" s="4">
        <v>2410</v>
      </c>
      <c r="E4630" s="4">
        <v>317</v>
      </c>
      <c r="G4630">
        <f t="shared" si="72"/>
        <v>2592</v>
      </c>
    </row>
    <row r="4631" spans="2:7" ht="15" hidden="1" x14ac:dyDescent="0.25">
      <c r="B4631" s="4">
        <v>584613243</v>
      </c>
      <c r="C4631" s="4" t="s">
        <v>273</v>
      </c>
      <c r="D4631" s="4">
        <v>2458</v>
      </c>
      <c r="E4631" s="4">
        <v>317</v>
      </c>
      <c r="G4631">
        <f t="shared" si="72"/>
        <v>2592</v>
      </c>
    </row>
    <row r="4632" spans="2:7" ht="15" hidden="1" x14ac:dyDescent="0.25">
      <c r="B4632" s="4">
        <v>584613275</v>
      </c>
      <c r="C4632" s="4" t="s">
        <v>273</v>
      </c>
      <c r="D4632" s="4">
        <v>2490</v>
      </c>
      <c r="E4632" s="4">
        <v>317</v>
      </c>
      <c r="G4632">
        <f t="shared" si="72"/>
        <v>2592</v>
      </c>
    </row>
    <row r="4633" spans="2:7" ht="15" hidden="1" x14ac:dyDescent="0.25">
      <c r="B4633" s="4">
        <v>584613322</v>
      </c>
      <c r="C4633" s="4" t="s">
        <v>273</v>
      </c>
      <c r="D4633" s="4">
        <v>2537</v>
      </c>
      <c r="E4633" s="4">
        <v>317</v>
      </c>
      <c r="G4633">
        <f t="shared" si="72"/>
        <v>2592</v>
      </c>
    </row>
    <row r="4634" spans="2:7" ht="15" hidden="1" x14ac:dyDescent="0.25">
      <c r="B4634" s="4">
        <v>584613370</v>
      </c>
      <c r="C4634" s="4" t="s">
        <v>273</v>
      </c>
      <c r="D4634" s="4">
        <v>2585</v>
      </c>
      <c r="E4634" s="4">
        <v>317</v>
      </c>
      <c r="G4634">
        <f t="shared" si="72"/>
        <v>2592</v>
      </c>
    </row>
    <row r="4635" spans="2:7" ht="15" hidden="1" x14ac:dyDescent="0.25">
      <c r="B4635" s="4">
        <v>584613418</v>
      </c>
      <c r="C4635" s="4" t="s">
        <v>273</v>
      </c>
      <c r="D4635" s="4">
        <v>2633</v>
      </c>
      <c r="E4635" s="4">
        <v>317</v>
      </c>
      <c r="G4635">
        <f t="shared" si="72"/>
        <v>2592</v>
      </c>
    </row>
    <row r="4636" spans="2:7" ht="15" hidden="1" x14ac:dyDescent="0.25">
      <c r="B4636" s="4">
        <v>584613464</v>
      </c>
      <c r="C4636" s="4" t="s">
        <v>273</v>
      </c>
      <c r="D4636" s="4">
        <v>2679</v>
      </c>
      <c r="E4636" s="4">
        <v>317</v>
      </c>
      <c r="G4636">
        <f t="shared" si="72"/>
        <v>2592</v>
      </c>
    </row>
    <row r="4637" spans="2:7" ht="15" hidden="1" x14ac:dyDescent="0.25">
      <c r="B4637" s="4">
        <v>584613466</v>
      </c>
      <c r="C4637" s="4" t="s">
        <v>273</v>
      </c>
      <c r="D4637" s="4">
        <v>2681</v>
      </c>
      <c r="E4637" s="4">
        <v>317</v>
      </c>
      <c r="G4637">
        <f t="shared" si="72"/>
        <v>2592</v>
      </c>
    </row>
    <row r="4638" spans="2:7" ht="15" hidden="1" x14ac:dyDescent="0.25">
      <c r="B4638" s="4">
        <v>584613514</v>
      </c>
      <c r="C4638" s="4" t="s">
        <v>273</v>
      </c>
      <c r="D4638" s="4">
        <v>2729</v>
      </c>
      <c r="E4638" s="4">
        <v>317</v>
      </c>
      <c r="G4638">
        <f t="shared" si="72"/>
        <v>2592</v>
      </c>
    </row>
    <row r="4639" spans="2:7" ht="15" hidden="1" x14ac:dyDescent="0.25">
      <c r="B4639" s="4">
        <v>584613561</v>
      </c>
      <c r="C4639" s="4" t="s">
        <v>273</v>
      </c>
      <c r="D4639" s="4">
        <v>2776</v>
      </c>
      <c r="E4639" s="4">
        <v>317</v>
      </c>
      <c r="G4639">
        <f t="shared" si="72"/>
        <v>2592</v>
      </c>
    </row>
    <row r="4640" spans="2:7" ht="15" hidden="1" x14ac:dyDescent="0.25">
      <c r="B4640" s="4">
        <v>584613609</v>
      </c>
      <c r="C4640" s="4" t="s">
        <v>273</v>
      </c>
      <c r="D4640" s="4">
        <v>2824</v>
      </c>
      <c r="E4640" s="4">
        <v>317</v>
      </c>
      <c r="F4640">
        <v>5</v>
      </c>
      <c r="G4640">
        <f t="shared" si="72"/>
        <v>2592</v>
      </c>
    </row>
    <row r="4641" spans="2:7" ht="15" hidden="1" x14ac:dyDescent="0.25">
      <c r="B4641" s="4">
        <v>584613657</v>
      </c>
      <c r="C4641" s="4" t="s">
        <v>273</v>
      </c>
      <c r="D4641" s="4">
        <v>2872</v>
      </c>
      <c r="E4641" s="4">
        <v>317</v>
      </c>
      <c r="G4641">
        <f t="shared" si="72"/>
        <v>2592</v>
      </c>
    </row>
    <row r="4642" spans="2:7" ht="15" hidden="1" x14ac:dyDescent="0.25">
      <c r="B4642" s="4">
        <v>584613689</v>
      </c>
      <c r="C4642" s="4" t="s">
        <v>273</v>
      </c>
      <c r="D4642" s="4">
        <v>2904</v>
      </c>
      <c r="E4642" s="4">
        <v>317</v>
      </c>
      <c r="G4642">
        <f t="shared" si="72"/>
        <v>2592</v>
      </c>
    </row>
    <row r="4643" spans="2:7" ht="15" hidden="1" x14ac:dyDescent="0.25">
      <c r="B4643" s="4">
        <v>584613737</v>
      </c>
      <c r="C4643" s="4" t="s">
        <v>273</v>
      </c>
      <c r="D4643" s="4">
        <v>2952</v>
      </c>
      <c r="E4643" s="4">
        <v>317</v>
      </c>
      <c r="G4643">
        <f t="shared" si="72"/>
        <v>2592</v>
      </c>
    </row>
    <row r="4644" spans="2:7" ht="15" hidden="1" x14ac:dyDescent="0.25">
      <c r="B4644" s="4">
        <v>584613784</v>
      </c>
      <c r="C4644" s="4" t="s">
        <v>273</v>
      </c>
      <c r="D4644" s="4">
        <v>2999</v>
      </c>
      <c r="E4644" s="4">
        <v>317</v>
      </c>
      <c r="G4644">
        <f t="shared" si="72"/>
        <v>2592</v>
      </c>
    </row>
    <row r="4645" spans="2:7" ht="15" hidden="1" x14ac:dyDescent="0.25">
      <c r="B4645" s="4">
        <v>584613832</v>
      </c>
      <c r="C4645" s="4" t="s">
        <v>273</v>
      </c>
      <c r="D4645" s="4">
        <v>3047</v>
      </c>
      <c r="E4645" s="4">
        <v>317</v>
      </c>
      <c r="G4645">
        <f t="shared" si="72"/>
        <v>2592</v>
      </c>
    </row>
    <row r="4646" spans="2:7" ht="15" hidden="1" x14ac:dyDescent="0.25">
      <c r="B4646" s="4">
        <v>584613880</v>
      </c>
      <c r="C4646" s="4" t="s">
        <v>273</v>
      </c>
      <c r="D4646" s="4">
        <v>3095</v>
      </c>
      <c r="E4646" s="4">
        <v>317</v>
      </c>
      <c r="G4646">
        <f t="shared" si="72"/>
        <v>2592</v>
      </c>
    </row>
    <row r="4647" spans="2:7" ht="15" hidden="1" x14ac:dyDescent="0.25">
      <c r="B4647" s="4">
        <v>584613928</v>
      </c>
      <c r="C4647" s="4" t="s">
        <v>273</v>
      </c>
      <c r="D4647" s="4">
        <v>3143</v>
      </c>
      <c r="E4647" s="4">
        <v>317</v>
      </c>
      <c r="G4647">
        <f t="shared" si="72"/>
        <v>2592</v>
      </c>
    </row>
    <row r="4648" spans="2:7" ht="15" hidden="1" x14ac:dyDescent="0.25">
      <c r="B4648" s="4">
        <v>584613975</v>
      </c>
      <c r="C4648" s="4" t="s">
        <v>273</v>
      </c>
      <c r="D4648" s="4">
        <v>3190</v>
      </c>
      <c r="E4648" s="4">
        <v>317</v>
      </c>
      <c r="G4648">
        <f t="shared" si="72"/>
        <v>2592</v>
      </c>
    </row>
    <row r="4649" spans="2:7" ht="15" hidden="1" x14ac:dyDescent="0.25">
      <c r="B4649" s="4">
        <v>584614023</v>
      </c>
      <c r="C4649" s="4" t="s">
        <v>273</v>
      </c>
      <c r="D4649" s="4">
        <v>3238</v>
      </c>
      <c r="E4649" s="4">
        <v>317</v>
      </c>
      <c r="F4649">
        <v>5</v>
      </c>
      <c r="G4649">
        <f t="shared" si="72"/>
        <v>2592</v>
      </c>
    </row>
    <row r="4650" spans="2:7" ht="15" hidden="1" x14ac:dyDescent="0.25">
      <c r="B4650" s="4">
        <v>584614071</v>
      </c>
      <c r="C4650" s="4" t="s">
        <v>273</v>
      </c>
      <c r="D4650" s="4">
        <v>3286</v>
      </c>
      <c r="E4650" s="4">
        <v>317</v>
      </c>
      <c r="G4650">
        <f t="shared" si="72"/>
        <v>2592</v>
      </c>
    </row>
    <row r="4651" spans="2:7" ht="15" hidden="1" x14ac:dyDescent="0.25">
      <c r="B4651" s="4">
        <v>584614103</v>
      </c>
      <c r="C4651" s="4" t="s">
        <v>273</v>
      </c>
      <c r="D4651" s="4">
        <v>3318</v>
      </c>
      <c r="E4651" s="4">
        <v>317</v>
      </c>
      <c r="G4651">
        <f t="shared" si="72"/>
        <v>2592</v>
      </c>
    </row>
    <row r="4652" spans="2:7" ht="15" hidden="1" x14ac:dyDescent="0.25">
      <c r="B4652" s="4">
        <v>584614167</v>
      </c>
      <c r="C4652" s="4" t="s">
        <v>273</v>
      </c>
      <c r="D4652" s="4">
        <v>3382</v>
      </c>
      <c r="E4652" s="4">
        <v>317</v>
      </c>
      <c r="F4652">
        <v>5</v>
      </c>
      <c r="G4652">
        <f t="shared" si="72"/>
        <v>2592</v>
      </c>
    </row>
    <row r="4653" spans="2:7" ht="15" hidden="1" x14ac:dyDescent="0.25">
      <c r="B4653" s="4">
        <v>584614198</v>
      </c>
      <c r="C4653" s="4" t="s">
        <v>273</v>
      </c>
      <c r="D4653" s="4">
        <v>3413</v>
      </c>
      <c r="E4653" s="4">
        <v>317</v>
      </c>
      <c r="F4653">
        <v>5</v>
      </c>
      <c r="G4653">
        <f t="shared" si="72"/>
        <v>2592</v>
      </c>
    </row>
    <row r="4654" spans="2:7" ht="15" hidden="1" x14ac:dyDescent="0.25">
      <c r="B4654" s="4">
        <v>584614246</v>
      </c>
      <c r="C4654" s="4" t="s">
        <v>273</v>
      </c>
      <c r="D4654" s="4">
        <v>3461</v>
      </c>
      <c r="E4654" s="4">
        <v>317</v>
      </c>
      <c r="F4654">
        <v>5</v>
      </c>
      <c r="G4654">
        <f t="shared" si="72"/>
        <v>2592</v>
      </c>
    </row>
    <row r="4655" spans="2:7" ht="15" hidden="1" x14ac:dyDescent="0.25">
      <c r="B4655" s="4">
        <v>584614294</v>
      </c>
      <c r="C4655" s="4" t="s">
        <v>273</v>
      </c>
      <c r="D4655" s="4">
        <v>3509</v>
      </c>
      <c r="E4655" s="4">
        <v>317</v>
      </c>
      <c r="F4655">
        <v>5</v>
      </c>
      <c r="G4655">
        <f t="shared" si="72"/>
        <v>2592</v>
      </c>
    </row>
    <row r="4656" spans="2:7" ht="15" hidden="1" x14ac:dyDescent="0.25">
      <c r="B4656" s="4">
        <v>584614342</v>
      </c>
      <c r="C4656" s="4" t="s">
        <v>273</v>
      </c>
      <c r="D4656" s="4">
        <v>3557</v>
      </c>
      <c r="E4656" s="4">
        <v>317</v>
      </c>
      <c r="F4656">
        <v>5</v>
      </c>
      <c r="G4656">
        <f t="shared" si="72"/>
        <v>2592</v>
      </c>
    </row>
    <row r="4657" spans="2:7" ht="15" hidden="1" x14ac:dyDescent="0.25">
      <c r="B4657" s="4">
        <v>584614390</v>
      </c>
      <c r="C4657" s="4" t="s">
        <v>273</v>
      </c>
      <c r="D4657" s="4">
        <v>3605</v>
      </c>
      <c r="E4657" s="4">
        <v>317</v>
      </c>
      <c r="F4657">
        <v>5</v>
      </c>
      <c r="G4657">
        <f t="shared" si="72"/>
        <v>2592</v>
      </c>
    </row>
    <row r="4658" spans="2:7" ht="15" hidden="1" x14ac:dyDescent="0.25">
      <c r="B4658" s="4">
        <v>584614437</v>
      </c>
      <c r="C4658" s="4" t="s">
        <v>273</v>
      </c>
      <c r="D4658" s="4">
        <v>3652</v>
      </c>
      <c r="E4658" s="4">
        <v>317</v>
      </c>
      <c r="F4658">
        <v>5</v>
      </c>
      <c r="G4658">
        <f t="shared" si="72"/>
        <v>2592</v>
      </c>
    </row>
    <row r="4659" spans="2:7" ht="15" hidden="1" x14ac:dyDescent="0.25">
      <c r="B4659" s="4">
        <v>584614485</v>
      </c>
      <c r="C4659" s="4" t="s">
        <v>273</v>
      </c>
      <c r="D4659" s="4">
        <v>3700</v>
      </c>
      <c r="E4659" s="4">
        <v>317</v>
      </c>
      <c r="F4659">
        <v>5</v>
      </c>
      <c r="G4659">
        <f t="shared" si="72"/>
        <v>2592</v>
      </c>
    </row>
    <row r="4660" spans="2:7" ht="15" hidden="1" x14ac:dyDescent="0.25">
      <c r="B4660" s="4">
        <v>584614533</v>
      </c>
      <c r="C4660" s="4" t="s">
        <v>273</v>
      </c>
      <c r="D4660" s="4">
        <v>3748</v>
      </c>
      <c r="E4660" s="4">
        <v>317</v>
      </c>
      <c r="F4660">
        <v>5</v>
      </c>
      <c r="G4660">
        <f t="shared" si="72"/>
        <v>2592</v>
      </c>
    </row>
    <row r="4661" spans="2:7" ht="15" hidden="1" x14ac:dyDescent="0.25">
      <c r="B4661" s="4">
        <v>584614581</v>
      </c>
      <c r="C4661" s="4" t="s">
        <v>273</v>
      </c>
      <c r="D4661" s="4">
        <v>3796</v>
      </c>
      <c r="E4661" s="4">
        <v>317</v>
      </c>
      <c r="G4661">
        <f t="shared" si="72"/>
        <v>2592</v>
      </c>
    </row>
    <row r="4662" spans="2:7" ht="15" hidden="1" x14ac:dyDescent="0.25">
      <c r="B4662" s="4">
        <v>584614613</v>
      </c>
      <c r="C4662" s="4" t="s">
        <v>273</v>
      </c>
      <c r="D4662" s="4">
        <v>3828</v>
      </c>
      <c r="E4662" s="4">
        <v>317</v>
      </c>
      <c r="G4662">
        <f t="shared" si="72"/>
        <v>2592</v>
      </c>
    </row>
    <row r="4663" spans="2:7" ht="15" hidden="1" x14ac:dyDescent="0.25">
      <c r="B4663" s="4">
        <v>584614660</v>
      </c>
      <c r="C4663" s="4" t="s">
        <v>273</v>
      </c>
      <c r="D4663" s="4">
        <v>3875</v>
      </c>
      <c r="E4663" s="4">
        <v>317</v>
      </c>
      <c r="G4663">
        <f t="shared" si="72"/>
        <v>2592</v>
      </c>
    </row>
    <row r="4664" spans="2:7" ht="15" hidden="1" x14ac:dyDescent="0.25">
      <c r="B4664" s="4">
        <v>584614663</v>
      </c>
      <c r="C4664" s="4" t="s">
        <v>273</v>
      </c>
      <c r="D4664" s="4">
        <v>3878</v>
      </c>
      <c r="E4664" s="4">
        <v>317</v>
      </c>
      <c r="G4664">
        <f t="shared" si="72"/>
        <v>2592</v>
      </c>
    </row>
    <row r="4665" spans="2:7" ht="15" hidden="1" x14ac:dyDescent="0.25">
      <c r="B4665" s="4">
        <v>584614708</v>
      </c>
      <c r="C4665" s="4" t="s">
        <v>273</v>
      </c>
      <c r="D4665" s="4">
        <v>3923</v>
      </c>
      <c r="E4665" s="4">
        <v>317</v>
      </c>
      <c r="G4665">
        <f t="shared" si="72"/>
        <v>2592</v>
      </c>
    </row>
    <row r="4666" spans="2:7" ht="15" hidden="1" x14ac:dyDescent="0.25">
      <c r="B4666" s="4">
        <v>584614756</v>
      </c>
      <c r="C4666" s="4" t="s">
        <v>273</v>
      </c>
      <c r="D4666" s="4">
        <v>3971</v>
      </c>
      <c r="E4666" s="4">
        <v>317</v>
      </c>
      <c r="G4666">
        <f t="shared" si="72"/>
        <v>2592</v>
      </c>
    </row>
    <row r="4667" spans="2:7" ht="15" hidden="1" x14ac:dyDescent="0.25">
      <c r="B4667" s="4">
        <v>584614804</v>
      </c>
      <c r="C4667" s="4" t="s">
        <v>273</v>
      </c>
      <c r="D4667" s="4">
        <v>4019</v>
      </c>
      <c r="E4667" s="4">
        <v>317</v>
      </c>
      <c r="G4667">
        <f t="shared" si="72"/>
        <v>2592</v>
      </c>
    </row>
    <row r="4668" spans="2:7" ht="15" hidden="1" x14ac:dyDescent="0.25">
      <c r="B4668" s="4">
        <v>584614851</v>
      </c>
      <c r="C4668" s="4" t="s">
        <v>273</v>
      </c>
      <c r="D4668" s="4">
        <v>4066</v>
      </c>
      <c r="E4668" s="4">
        <v>317</v>
      </c>
      <c r="G4668">
        <f t="shared" si="72"/>
        <v>2592</v>
      </c>
    </row>
    <row r="4669" spans="2:7" ht="15" hidden="1" x14ac:dyDescent="0.25">
      <c r="B4669" s="4">
        <v>584614899</v>
      </c>
      <c r="C4669" s="4" t="s">
        <v>273</v>
      </c>
      <c r="D4669" s="4">
        <v>4114</v>
      </c>
      <c r="E4669" s="4">
        <v>317</v>
      </c>
      <c r="G4669">
        <f t="shared" si="72"/>
        <v>2592</v>
      </c>
    </row>
    <row r="4670" spans="2:7" ht="15" hidden="1" x14ac:dyDescent="0.25">
      <c r="B4670" s="4">
        <v>584614947</v>
      </c>
      <c r="C4670" s="4" t="s">
        <v>273</v>
      </c>
      <c r="D4670" s="4">
        <v>4162</v>
      </c>
      <c r="E4670" s="4">
        <v>317</v>
      </c>
      <c r="G4670">
        <f t="shared" si="72"/>
        <v>2592</v>
      </c>
    </row>
    <row r="4671" spans="2:7" ht="15" hidden="1" x14ac:dyDescent="0.25">
      <c r="B4671" s="4">
        <v>584614995</v>
      </c>
      <c r="C4671" s="4" t="s">
        <v>273</v>
      </c>
      <c r="D4671" s="4">
        <v>4210</v>
      </c>
      <c r="E4671" s="4">
        <v>317</v>
      </c>
      <c r="G4671">
        <f t="shared" si="72"/>
        <v>2592</v>
      </c>
    </row>
    <row r="4672" spans="2:7" ht="15" hidden="1" x14ac:dyDescent="0.25">
      <c r="B4672" s="4">
        <v>584615027</v>
      </c>
      <c r="C4672" s="4" t="s">
        <v>273</v>
      </c>
      <c r="D4672" s="4">
        <v>4242</v>
      </c>
      <c r="E4672" s="4">
        <v>317</v>
      </c>
      <c r="G4672">
        <f t="shared" si="72"/>
        <v>2592</v>
      </c>
    </row>
    <row r="4673" spans="2:7" ht="15" hidden="1" x14ac:dyDescent="0.25">
      <c r="B4673" s="4">
        <v>584615074</v>
      </c>
      <c r="C4673" s="4" t="s">
        <v>273</v>
      </c>
      <c r="D4673" s="4">
        <v>4289</v>
      </c>
      <c r="E4673" s="4">
        <v>317</v>
      </c>
      <c r="G4673">
        <f t="shared" si="72"/>
        <v>2592</v>
      </c>
    </row>
    <row r="4674" spans="2:7" ht="15" hidden="1" x14ac:dyDescent="0.25">
      <c r="B4674" s="4">
        <v>584615122</v>
      </c>
      <c r="C4674" s="4" t="s">
        <v>273</v>
      </c>
      <c r="D4674" s="4">
        <v>4337</v>
      </c>
      <c r="E4674" s="4">
        <v>317</v>
      </c>
      <c r="G4674">
        <f t="shared" si="72"/>
        <v>2592</v>
      </c>
    </row>
    <row r="4675" spans="2:7" ht="15" hidden="1" x14ac:dyDescent="0.25">
      <c r="B4675" s="4">
        <v>584615170</v>
      </c>
      <c r="C4675" s="4" t="s">
        <v>273</v>
      </c>
      <c r="D4675" s="4">
        <v>4385</v>
      </c>
      <c r="E4675" s="4">
        <v>317</v>
      </c>
      <c r="G4675">
        <f t="shared" si="72"/>
        <v>2592</v>
      </c>
    </row>
    <row r="4676" spans="2:7" ht="15" hidden="1" x14ac:dyDescent="0.25">
      <c r="B4676" s="4">
        <v>584615218</v>
      </c>
      <c r="C4676" s="4" t="s">
        <v>273</v>
      </c>
      <c r="D4676" s="4">
        <v>4433</v>
      </c>
      <c r="E4676" s="4">
        <v>317</v>
      </c>
      <c r="G4676">
        <f t="shared" ref="G4676:G4739" si="73">(E4676+7)*8</f>
        <v>2592</v>
      </c>
    </row>
    <row r="4677" spans="2:7" ht="15" hidden="1" x14ac:dyDescent="0.25">
      <c r="B4677" s="4">
        <v>584615266</v>
      </c>
      <c r="C4677" s="4" t="s">
        <v>273</v>
      </c>
      <c r="D4677" s="4">
        <v>4481</v>
      </c>
      <c r="E4677" s="4">
        <v>317</v>
      </c>
      <c r="G4677">
        <f t="shared" si="73"/>
        <v>2592</v>
      </c>
    </row>
    <row r="4678" spans="2:7" ht="15" hidden="1" x14ac:dyDescent="0.25">
      <c r="B4678" s="4">
        <v>584615313</v>
      </c>
      <c r="C4678" s="4" t="s">
        <v>273</v>
      </c>
      <c r="D4678" s="4">
        <v>4528</v>
      </c>
      <c r="E4678" s="4">
        <v>317</v>
      </c>
      <c r="G4678">
        <f t="shared" si="73"/>
        <v>2592</v>
      </c>
    </row>
    <row r="4679" spans="2:7" ht="15" hidden="1" x14ac:dyDescent="0.25">
      <c r="B4679" s="4">
        <v>584615361</v>
      </c>
      <c r="C4679" s="4" t="s">
        <v>273</v>
      </c>
      <c r="D4679" s="4">
        <v>4576</v>
      </c>
      <c r="E4679" s="4">
        <v>317</v>
      </c>
      <c r="G4679">
        <f t="shared" si="73"/>
        <v>2592</v>
      </c>
    </row>
    <row r="4680" spans="2:7" ht="15" hidden="1" x14ac:dyDescent="0.25">
      <c r="B4680" s="4">
        <v>584615409</v>
      </c>
      <c r="C4680" s="4" t="s">
        <v>273</v>
      </c>
      <c r="D4680" s="4">
        <v>4624</v>
      </c>
      <c r="E4680" s="4">
        <v>317</v>
      </c>
      <c r="G4680">
        <f t="shared" si="73"/>
        <v>2592</v>
      </c>
    </row>
    <row r="4681" spans="2:7" ht="15" hidden="1" x14ac:dyDescent="0.25">
      <c r="B4681" s="4">
        <v>584615457</v>
      </c>
      <c r="C4681" s="4" t="s">
        <v>273</v>
      </c>
      <c r="D4681" s="4">
        <v>4672</v>
      </c>
      <c r="E4681" s="4">
        <v>317</v>
      </c>
      <c r="G4681">
        <f t="shared" si="73"/>
        <v>2592</v>
      </c>
    </row>
    <row r="4682" spans="2:7" ht="15" hidden="1" x14ac:dyDescent="0.25">
      <c r="B4682" s="4">
        <v>584615489</v>
      </c>
      <c r="C4682" s="4" t="s">
        <v>273</v>
      </c>
      <c r="D4682" s="4">
        <v>4704</v>
      </c>
      <c r="E4682" s="4">
        <v>317</v>
      </c>
      <c r="G4682">
        <f t="shared" si="73"/>
        <v>2592</v>
      </c>
    </row>
    <row r="4683" spans="2:7" ht="15" hidden="1" x14ac:dyDescent="0.25">
      <c r="B4683" s="4">
        <v>584615536</v>
      </c>
      <c r="C4683" s="4" t="s">
        <v>273</v>
      </c>
      <c r="D4683" s="4">
        <v>4751</v>
      </c>
      <c r="E4683" s="4">
        <v>317</v>
      </c>
      <c r="G4683">
        <f t="shared" si="73"/>
        <v>2592</v>
      </c>
    </row>
    <row r="4684" spans="2:7" ht="15" hidden="1" x14ac:dyDescent="0.25">
      <c r="B4684" s="4">
        <v>584615584</v>
      </c>
      <c r="C4684" s="4" t="s">
        <v>273</v>
      </c>
      <c r="D4684" s="4">
        <v>4799</v>
      </c>
      <c r="E4684" s="4">
        <v>317</v>
      </c>
      <c r="G4684">
        <f t="shared" si="73"/>
        <v>2592</v>
      </c>
    </row>
    <row r="4685" spans="2:7" ht="15" hidden="1" x14ac:dyDescent="0.25">
      <c r="B4685" s="4">
        <v>584615632</v>
      </c>
      <c r="C4685" s="4" t="s">
        <v>273</v>
      </c>
      <c r="D4685" s="4">
        <v>4847</v>
      </c>
      <c r="E4685" s="4">
        <v>317</v>
      </c>
      <c r="G4685">
        <f t="shared" si="73"/>
        <v>2592</v>
      </c>
    </row>
    <row r="4686" spans="2:7" ht="15" hidden="1" x14ac:dyDescent="0.25">
      <c r="B4686" s="4">
        <v>584615680</v>
      </c>
      <c r="C4686" s="4" t="s">
        <v>273</v>
      </c>
      <c r="D4686" s="4">
        <v>4895</v>
      </c>
      <c r="E4686" s="4">
        <v>317</v>
      </c>
      <c r="G4686">
        <f t="shared" si="73"/>
        <v>2592</v>
      </c>
    </row>
    <row r="4687" spans="2:7" ht="15" hidden="1" x14ac:dyDescent="0.25">
      <c r="B4687" s="4">
        <v>584615727</v>
      </c>
      <c r="C4687" s="4" t="s">
        <v>273</v>
      </c>
      <c r="D4687" s="4">
        <v>4942</v>
      </c>
      <c r="E4687" s="4">
        <v>317</v>
      </c>
      <c r="G4687">
        <f t="shared" si="73"/>
        <v>2592</v>
      </c>
    </row>
    <row r="4688" spans="2:7" ht="15" hidden="1" x14ac:dyDescent="0.25">
      <c r="B4688" s="4">
        <v>584615775</v>
      </c>
      <c r="C4688" s="4" t="s">
        <v>273</v>
      </c>
      <c r="D4688" s="4">
        <v>4990</v>
      </c>
      <c r="E4688" s="4">
        <v>317</v>
      </c>
      <c r="G4688">
        <f t="shared" si="73"/>
        <v>2592</v>
      </c>
    </row>
    <row r="4689" spans="2:7" ht="15" hidden="1" x14ac:dyDescent="0.25">
      <c r="B4689" s="4">
        <v>584615823</v>
      </c>
      <c r="C4689" s="4" t="s">
        <v>273</v>
      </c>
      <c r="D4689" s="4">
        <v>5038</v>
      </c>
      <c r="E4689" s="4">
        <v>317</v>
      </c>
      <c r="G4689">
        <f t="shared" si="73"/>
        <v>2592</v>
      </c>
    </row>
    <row r="4690" spans="2:7" ht="15" hidden="1" x14ac:dyDescent="0.25">
      <c r="B4690" s="4">
        <v>584615862</v>
      </c>
      <c r="C4690" s="4" t="s">
        <v>273</v>
      </c>
      <c r="D4690" s="4">
        <v>5077</v>
      </c>
      <c r="E4690" s="4">
        <v>317</v>
      </c>
      <c r="G4690">
        <f t="shared" si="73"/>
        <v>2592</v>
      </c>
    </row>
    <row r="4691" spans="2:7" ht="15" hidden="1" x14ac:dyDescent="0.25">
      <c r="B4691" s="4">
        <v>584615871</v>
      </c>
      <c r="C4691" s="4" t="s">
        <v>273</v>
      </c>
      <c r="D4691" s="4">
        <v>5086</v>
      </c>
      <c r="E4691" s="4">
        <v>317</v>
      </c>
      <c r="G4691">
        <f t="shared" si="73"/>
        <v>2592</v>
      </c>
    </row>
    <row r="4692" spans="2:7" ht="15" hidden="1" x14ac:dyDescent="0.25">
      <c r="B4692" s="4">
        <v>584615903</v>
      </c>
      <c r="C4692" s="4" t="s">
        <v>273</v>
      </c>
      <c r="D4692" s="4">
        <v>5118</v>
      </c>
      <c r="E4692" s="4">
        <v>317</v>
      </c>
      <c r="G4692">
        <f t="shared" si="73"/>
        <v>2592</v>
      </c>
    </row>
    <row r="4693" spans="2:7" ht="15" hidden="1" x14ac:dyDescent="0.25">
      <c r="B4693" s="4">
        <v>584615950</v>
      </c>
      <c r="C4693" s="4" t="s">
        <v>273</v>
      </c>
      <c r="D4693" s="4">
        <v>5165</v>
      </c>
      <c r="E4693" s="4">
        <v>317</v>
      </c>
      <c r="G4693">
        <f t="shared" si="73"/>
        <v>2592</v>
      </c>
    </row>
    <row r="4694" spans="2:7" ht="15" hidden="1" x14ac:dyDescent="0.25">
      <c r="B4694" s="4">
        <v>584615998</v>
      </c>
      <c r="C4694" s="4" t="s">
        <v>273</v>
      </c>
      <c r="D4694" s="4">
        <v>5213</v>
      </c>
      <c r="E4694" s="4">
        <v>317</v>
      </c>
      <c r="G4694">
        <f t="shared" si="73"/>
        <v>2592</v>
      </c>
    </row>
    <row r="4695" spans="2:7" ht="15" hidden="1" x14ac:dyDescent="0.25">
      <c r="B4695" s="4">
        <v>584616046</v>
      </c>
      <c r="C4695" s="4" t="s">
        <v>273</v>
      </c>
      <c r="D4695" s="4">
        <v>5261</v>
      </c>
      <c r="E4695" s="4">
        <v>317</v>
      </c>
      <c r="G4695">
        <f t="shared" si="73"/>
        <v>2592</v>
      </c>
    </row>
    <row r="4696" spans="2:7" ht="15" hidden="1" x14ac:dyDescent="0.25">
      <c r="B4696" s="4">
        <v>584616094</v>
      </c>
      <c r="C4696" s="4" t="s">
        <v>273</v>
      </c>
      <c r="D4696" s="4">
        <v>5309</v>
      </c>
      <c r="E4696" s="4">
        <v>317</v>
      </c>
      <c r="G4696">
        <f t="shared" si="73"/>
        <v>2592</v>
      </c>
    </row>
    <row r="4697" spans="2:7" ht="15" hidden="1" x14ac:dyDescent="0.25">
      <c r="B4697" s="4">
        <v>584616142</v>
      </c>
      <c r="C4697" s="4" t="s">
        <v>273</v>
      </c>
      <c r="D4697" s="4">
        <v>5357</v>
      </c>
      <c r="E4697" s="4">
        <v>317</v>
      </c>
      <c r="G4697">
        <f t="shared" si="73"/>
        <v>2592</v>
      </c>
    </row>
    <row r="4698" spans="2:7" ht="15" hidden="1" x14ac:dyDescent="0.25">
      <c r="B4698" s="4">
        <v>584616189</v>
      </c>
      <c r="C4698" s="4" t="s">
        <v>273</v>
      </c>
      <c r="D4698" s="4">
        <v>5404</v>
      </c>
      <c r="E4698" s="4">
        <v>317</v>
      </c>
      <c r="G4698">
        <f t="shared" si="73"/>
        <v>2592</v>
      </c>
    </row>
    <row r="4699" spans="2:7" ht="15" hidden="1" x14ac:dyDescent="0.25">
      <c r="B4699" s="4">
        <v>584616237</v>
      </c>
      <c r="C4699" s="4" t="s">
        <v>273</v>
      </c>
      <c r="D4699" s="4">
        <v>5452</v>
      </c>
      <c r="E4699" s="4">
        <v>317</v>
      </c>
      <c r="G4699">
        <f t="shared" si="73"/>
        <v>2592</v>
      </c>
    </row>
    <row r="4700" spans="2:7" ht="15" hidden="1" x14ac:dyDescent="0.25">
      <c r="B4700" s="4">
        <v>584616285</v>
      </c>
      <c r="C4700" s="4" t="s">
        <v>273</v>
      </c>
      <c r="D4700" s="4">
        <v>5500</v>
      </c>
      <c r="E4700" s="4">
        <v>317</v>
      </c>
      <c r="G4700">
        <f t="shared" si="73"/>
        <v>2592</v>
      </c>
    </row>
    <row r="4701" spans="2:7" ht="15" hidden="1" x14ac:dyDescent="0.25">
      <c r="B4701" s="4">
        <v>584616317</v>
      </c>
      <c r="C4701" s="4" t="s">
        <v>273</v>
      </c>
      <c r="D4701" s="4">
        <v>5532</v>
      </c>
      <c r="E4701" s="4">
        <v>317</v>
      </c>
      <c r="G4701">
        <f t="shared" si="73"/>
        <v>2592</v>
      </c>
    </row>
    <row r="4702" spans="2:7" ht="15" hidden="1" x14ac:dyDescent="0.25">
      <c r="B4702" s="4">
        <v>584616365</v>
      </c>
      <c r="C4702" s="4" t="s">
        <v>273</v>
      </c>
      <c r="D4702" s="4">
        <v>5580</v>
      </c>
      <c r="E4702" s="4">
        <v>317</v>
      </c>
      <c r="G4702">
        <f t="shared" si="73"/>
        <v>2592</v>
      </c>
    </row>
    <row r="4703" spans="2:7" ht="15" hidden="1" x14ac:dyDescent="0.25">
      <c r="B4703" s="4">
        <v>584616412</v>
      </c>
      <c r="C4703" s="4" t="s">
        <v>273</v>
      </c>
      <c r="D4703" s="4">
        <v>5627</v>
      </c>
      <c r="E4703" s="4">
        <v>317</v>
      </c>
      <c r="G4703">
        <f t="shared" si="73"/>
        <v>2592</v>
      </c>
    </row>
    <row r="4704" spans="2:7" ht="15" hidden="1" x14ac:dyDescent="0.25">
      <c r="B4704" s="4">
        <v>584616460</v>
      </c>
      <c r="C4704" s="4" t="s">
        <v>273</v>
      </c>
      <c r="D4704" s="4">
        <v>5675</v>
      </c>
      <c r="E4704" s="4">
        <v>317</v>
      </c>
      <c r="G4704">
        <f t="shared" si="73"/>
        <v>2592</v>
      </c>
    </row>
    <row r="4705" spans="2:7" ht="15" hidden="1" x14ac:dyDescent="0.25">
      <c r="B4705" s="4">
        <v>584616508</v>
      </c>
      <c r="C4705" s="4" t="s">
        <v>273</v>
      </c>
      <c r="D4705" s="4">
        <v>5723</v>
      </c>
      <c r="E4705" s="4">
        <v>317</v>
      </c>
      <c r="G4705">
        <f t="shared" si="73"/>
        <v>2592</v>
      </c>
    </row>
    <row r="4706" spans="2:7" ht="15" hidden="1" x14ac:dyDescent="0.25">
      <c r="B4706" s="4">
        <v>584616556</v>
      </c>
      <c r="C4706" s="4" t="s">
        <v>273</v>
      </c>
      <c r="D4706" s="4">
        <v>5771</v>
      </c>
      <c r="E4706" s="4">
        <v>317</v>
      </c>
      <c r="G4706">
        <f t="shared" si="73"/>
        <v>2592</v>
      </c>
    </row>
    <row r="4707" spans="2:7" ht="15" hidden="1" x14ac:dyDescent="0.25">
      <c r="B4707" s="4">
        <v>584616603</v>
      </c>
      <c r="C4707" s="4" t="s">
        <v>273</v>
      </c>
      <c r="D4707" s="4">
        <v>5818</v>
      </c>
      <c r="E4707" s="4">
        <v>317</v>
      </c>
      <c r="G4707">
        <f t="shared" si="73"/>
        <v>2592</v>
      </c>
    </row>
    <row r="4708" spans="2:7" ht="15" hidden="1" x14ac:dyDescent="0.25">
      <c r="B4708" s="4">
        <v>584616651</v>
      </c>
      <c r="C4708" s="4" t="s">
        <v>273</v>
      </c>
      <c r="D4708" s="4">
        <v>5866</v>
      </c>
      <c r="E4708" s="4">
        <v>317</v>
      </c>
      <c r="G4708">
        <f t="shared" si="73"/>
        <v>2592</v>
      </c>
    </row>
    <row r="4709" spans="2:7" ht="15" hidden="1" x14ac:dyDescent="0.25">
      <c r="B4709" s="4">
        <v>584616699</v>
      </c>
      <c r="C4709" s="4" t="s">
        <v>273</v>
      </c>
      <c r="D4709" s="4">
        <v>5914</v>
      </c>
      <c r="E4709" s="4">
        <v>317</v>
      </c>
      <c r="G4709">
        <f t="shared" si="73"/>
        <v>2592</v>
      </c>
    </row>
    <row r="4710" spans="2:7" ht="15" hidden="1" x14ac:dyDescent="0.25">
      <c r="B4710" s="4">
        <v>584616747</v>
      </c>
      <c r="C4710" s="4" t="s">
        <v>273</v>
      </c>
      <c r="D4710" s="4">
        <v>5962</v>
      </c>
      <c r="E4710" s="4">
        <v>317</v>
      </c>
      <c r="G4710">
        <f t="shared" si="73"/>
        <v>2592</v>
      </c>
    </row>
    <row r="4711" spans="2:7" ht="15" hidden="1" x14ac:dyDescent="0.25">
      <c r="B4711" s="4">
        <v>584616795</v>
      </c>
      <c r="C4711" s="4" t="s">
        <v>273</v>
      </c>
      <c r="D4711" s="4">
        <v>6010</v>
      </c>
      <c r="E4711" s="4">
        <v>317</v>
      </c>
      <c r="G4711">
        <f t="shared" si="73"/>
        <v>2592</v>
      </c>
    </row>
    <row r="4712" spans="2:7" ht="15" hidden="1" x14ac:dyDescent="0.25">
      <c r="B4712" s="4">
        <v>584616826</v>
      </c>
      <c r="C4712" s="4" t="s">
        <v>273</v>
      </c>
      <c r="D4712" s="4">
        <v>6041</v>
      </c>
      <c r="E4712" s="4">
        <v>317</v>
      </c>
      <c r="G4712">
        <f t="shared" si="73"/>
        <v>2592</v>
      </c>
    </row>
    <row r="4713" spans="2:7" ht="15" hidden="1" x14ac:dyDescent="0.25">
      <c r="B4713" s="4">
        <v>584616874</v>
      </c>
      <c r="C4713" s="4" t="s">
        <v>273</v>
      </c>
      <c r="D4713" s="4">
        <v>6089</v>
      </c>
      <c r="E4713" s="4">
        <v>317</v>
      </c>
      <c r="G4713">
        <f t="shared" si="73"/>
        <v>2592</v>
      </c>
    </row>
    <row r="4714" spans="2:7" ht="15" hidden="1" x14ac:dyDescent="0.25">
      <c r="B4714" s="4">
        <v>584616922</v>
      </c>
      <c r="C4714" s="4" t="s">
        <v>273</v>
      </c>
      <c r="D4714" s="4">
        <v>6137</v>
      </c>
      <c r="E4714" s="4">
        <v>317</v>
      </c>
      <c r="G4714">
        <f t="shared" si="73"/>
        <v>2592</v>
      </c>
    </row>
    <row r="4715" spans="2:7" ht="15" hidden="1" x14ac:dyDescent="0.25">
      <c r="B4715" s="4">
        <v>584616970</v>
      </c>
      <c r="C4715" s="4" t="s">
        <v>273</v>
      </c>
      <c r="D4715" s="4">
        <v>6185</v>
      </c>
      <c r="E4715" s="4">
        <v>317</v>
      </c>
      <c r="G4715">
        <f t="shared" si="73"/>
        <v>2592</v>
      </c>
    </row>
    <row r="4716" spans="2:7" ht="15" hidden="1" x14ac:dyDescent="0.25">
      <c r="B4716" s="4">
        <v>584617018</v>
      </c>
      <c r="C4716" s="4" t="s">
        <v>273</v>
      </c>
      <c r="D4716" s="4">
        <v>6233</v>
      </c>
      <c r="E4716" s="4">
        <v>317</v>
      </c>
      <c r="G4716">
        <f t="shared" si="73"/>
        <v>2592</v>
      </c>
    </row>
    <row r="4717" spans="2:7" ht="15" hidden="1" x14ac:dyDescent="0.25">
      <c r="B4717" s="4">
        <v>584617061</v>
      </c>
      <c r="C4717" s="4" t="s">
        <v>273</v>
      </c>
      <c r="D4717" s="4">
        <v>6276</v>
      </c>
      <c r="E4717" s="4">
        <v>317</v>
      </c>
      <c r="G4717">
        <f t="shared" si="73"/>
        <v>2592</v>
      </c>
    </row>
    <row r="4718" spans="2:7" ht="15" hidden="1" x14ac:dyDescent="0.25">
      <c r="B4718" s="4">
        <v>584617065</v>
      </c>
      <c r="C4718" s="4" t="s">
        <v>273</v>
      </c>
      <c r="D4718" s="4">
        <v>6280</v>
      </c>
      <c r="E4718" s="4">
        <v>317</v>
      </c>
      <c r="G4718">
        <f t="shared" si="73"/>
        <v>2592</v>
      </c>
    </row>
    <row r="4719" spans="2:7" ht="15" hidden="1" x14ac:dyDescent="0.25">
      <c r="B4719" s="4">
        <v>584617113</v>
      </c>
      <c r="C4719" s="4" t="s">
        <v>273</v>
      </c>
      <c r="D4719" s="4">
        <v>6328</v>
      </c>
      <c r="E4719" s="4">
        <v>317</v>
      </c>
      <c r="G4719">
        <f t="shared" si="73"/>
        <v>2592</v>
      </c>
    </row>
    <row r="4720" spans="2:7" ht="15" hidden="1" x14ac:dyDescent="0.25">
      <c r="B4720" s="4">
        <v>584617161</v>
      </c>
      <c r="C4720" s="4" t="s">
        <v>273</v>
      </c>
      <c r="D4720" s="4">
        <v>6376</v>
      </c>
      <c r="E4720" s="4">
        <v>317</v>
      </c>
      <c r="G4720">
        <f t="shared" si="73"/>
        <v>2592</v>
      </c>
    </row>
    <row r="4721" spans="2:7" ht="15" hidden="1" x14ac:dyDescent="0.25">
      <c r="B4721" s="4">
        <v>584617209</v>
      </c>
      <c r="C4721" s="4" t="s">
        <v>273</v>
      </c>
      <c r="D4721" s="4">
        <v>6424</v>
      </c>
      <c r="E4721" s="4">
        <v>317</v>
      </c>
      <c r="G4721">
        <f t="shared" si="73"/>
        <v>2592</v>
      </c>
    </row>
    <row r="4722" spans="2:7" ht="15" hidden="1" x14ac:dyDescent="0.25">
      <c r="B4722" s="4">
        <v>584617241</v>
      </c>
      <c r="C4722" s="4" t="s">
        <v>273</v>
      </c>
      <c r="D4722" s="4">
        <v>6456</v>
      </c>
      <c r="E4722" s="4">
        <v>317</v>
      </c>
      <c r="G4722">
        <f t="shared" si="73"/>
        <v>2592</v>
      </c>
    </row>
    <row r="4723" spans="2:7" ht="15" hidden="1" x14ac:dyDescent="0.25">
      <c r="B4723" s="4">
        <v>584617288</v>
      </c>
      <c r="C4723" s="4" t="s">
        <v>273</v>
      </c>
      <c r="D4723" s="4">
        <v>6503</v>
      </c>
      <c r="E4723" s="4">
        <v>317</v>
      </c>
      <c r="G4723">
        <f t="shared" si="73"/>
        <v>2592</v>
      </c>
    </row>
    <row r="4724" spans="2:7" ht="15" hidden="1" x14ac:dyDescent="0.25">
      <c r="B4724" s="4">
        <v>584617336</v>
      </c>
      <c r="C4724" s="4" t="s">
        <v>273</v>
      </c>
      <c r="D4724" s="4">
        <v>6551</v>
      </c>
      <c r="E4724" s="4">
        <v>317</v>
      </c>
      <c r="F4724">
        <v>5</v>
      </c>
      <c r="G4724">
        <f t="shared" si="73"/>
        <v>2592</v>
      </c>
    </row>
    <row r="4725" spans="2:7" ht="15" hidden="1" x14ac:dyDescent="0.25">
      <c r="B4725" s="4">
        <v>584617384</v>
      </c>
      <c r="C4725" s="4" t="s">
        <v>273</v>
      </c>
      <c r="D4725" s="4">
        <v>6599</v>
      </c>
      <c r="E4725" s="4">
        <v>317</v>
      </c>
      <c r="G4725">
        <f t="shared" si="73"/>
        <v>2592</v>
      </c>
    </row>
    <row r="4726" spans="2:7" ht="15" hidden="1" x14ac:dyDescent="0.25">
      <c r="B4726" s="4">
        <v>584617432</v>
      </c>
      <c r="C4726" s="4" t="s">
        <v>273</v>
      </c>
      <c r="D4726" s="4">
        <v>6647</v>
      </c>
      <c r="E4726" s="4">
        <v>317</v>
      </c>
      <c r="G4726">
        <f t="shared" si="73"/>
        <v>2592</v>
      </c>
    </row>
    <row r="4727" spans="2:7" ht="15" hidden="1" x14ac:dyDescent="0.25">
      <c r="B4727" s="4">
        <v>584617479</v>
      </c>
      <c r="C4727" s="4" t="s">
        <v>273</v>
      </c>
      <c r="D4727" s="4">
        <v>6694</v>
      </c>
      <c r="E4727" s="4">
        <v>317</v>
      </c>
      <c r="G4727">
        <f t="shared" si="73"/>
        <v>2592</v>
      </c>
    </row>
    <row r="4728" spans="2:7" ht="15" hidden="1" x14ac:dyDescent="0.25">
      <c r="B4728" s="4">
        <v>584617527</v>
      </c>
      <c r="C4728" s="4" t="s">
        <v>273</v>
      </c>
      <c r="D4728" s="4">
        <v>6742</v>
      </c>
      <c r="E4728" s="4">
        <v>317</v>
      </c>
      <c r="G4728">
        <f t="shared" si="73"/>
        <v>2592</v>
      </c>
    </row>
    <row r="4729" spans="2:7" ht="15" hidden="1" x14ac:dyDescent="0.25">
      <c r="B4729" s="4">
        <v>584617575</v>
      </c>
      <c r="C4729" s="4" t="s">
        <v>273</v>
      </c>
      <c r="D4729" s="4">
        <v>6790</v>
      </c>
      <c r="E4729" s="4">
        <v>317</v>
      </c>
      <c r="G4729">
        <f t="shared" si="73"/>
        <v>2592</v>
      </c>
    </row>
    <row r="4730" spans="2:7" ht="15" hidden="1" x14ac:dyDescent="0.25">
      <c r="B4730" s="4">
        <v>584617623</v>
      </c>
      <c r="C4730" s="4" t="s">
        <v>273</v>
      </c>
      <c r="D4730" s="4">
        <v>6838</v>
      </c>
      <c r="E4730" s="4">
        <v>317</v>
      </c>
      <c r="G4730">
        <f t="shared" si="73"/>
        <v>2592</v>
      </c>
    </row>
    <row r="4731" spans="2:7" ht="15" hidden="1" x14ac:dyDescent="0.25">
      <c r="B4731" s="4">
        <v>584617655</v>
      </c>
      <c r="C4731" s="4" t="s">
        <v>273</v>
      </c>
      <c r="D4731" s="4">
        <v>6870</v>
      </c>
      <c r="E4731" s="4">
        <v>317</v>
      </c>
      <c r="G4731">
        <f t="shared" si="73"/>
        <v>2592</v>
      </c>
    </row>
    <row r="4732" spans="2:7" ht="15" hidden="1" x14ac:dyDescent="0.25">
      <c r="B4732" s="4">
        <v>584617702</v>
      </c>
      <c r="C4732" s="4" t="s">
        <v>273</v>
      </c>
      <c r="D4732" s="4">
        <v>6917</v>
      </c>
      <c r="E4732" s="4">
        <v>317</v>
      </c>
      <c r="G4732">
        <f t="shared" si="73"/>
        <v>2592</v>
      </c>
    </row>
    <row r="4733" spans="2:7" ht="15" hidden="1" x14ac:dyDescent="0.25">
      <c r="B4733" s="4">
        <v>584617750</v>
      </c>
      <c r="C4733" s="4" t="s">
        <v>273</v>
      </c>
      <c r="D4733" s="4">
        <v>6965</v>
      </c>
      <c r="E4733" s="4">
        <v>317</v>
      </c>
      <c r="G4733">
        <f t="shared" si="73"/>
        <v>2592</v>
      </c>
    </row>
    <row r="4734" spans="2:7" ht="15" hidden="1" x14ac:dyDescent="0.25">
      <c r="B4734" s="4">
        <v>584617798</v>
      </c>
      <c r="C4734" s="4" t="s">
        <v>273</v>
      </c>
      <c r="D4734" s="4">
        <v>7013</v>
      </c>
      <c r="E4734" s="4">
        <v>317</v>
      </c>
      <c r="G4734">
        <f t="shared" si="73"/>
        <v>2592</v>
      </c>
    </row>
    <row r="4735" spans="2:7" ht="15" hidden="1" x14ac:dyDescent="0.25">
      <c r="B4735" s="4">
        <v>584617846</v>
      </c>
      <c r="C4735" s="4" t="s">
        <v>273</v>
      </c>
      <c r="D4735" s="4">
        <v>7061</v>
      </c>
      <c r="E4735" s="4">
        <v>317</v>
      </c>
      <c r="G4735">
        <f t="shared" si="73"/>
        <v>2592</v>
      </c>
    </row>
    <row r="4736" spans="2:7" ht="15" hidden="1" x14ac:dyDescent="0.25">
      <c r="B4736" s="4">
        <v>584617894</v>
      </c>
      <c r="C4736" s="4" t="s">
        <v>273</v>
      </c>
      <c r="D4736" s="4">
        <v>7109</v>
      </c>
      <c r="E4736" s="4">
        <v>317</v>
      </c>
      <c r="G4736">
        <f t="shared" si="73"/>
        <v>2592</v>
      </c>
    </row>
    <row r="4737" spans="2:7" ht="15" hidden="1" x14ac:dyDescent="0.25">
      <c r="B4737" s="4">
        <v>584617941</v>
      </c>
      <c r="C4737" s="4" t="s">
        <v>273</v>
      </c>
      <c r="D4737" s="4">
        <v>7156</v>
      </c>
      <c r="E4737" s="4">
        <v>317</v>
      </c>
      <c r="F4737">
        <v>5</v>
      </c>
      <c r="G4737">
        <f t="shared" si="73"/>
        <v>2592</v>
      </c>
    </row>
    <row r="4738" spans="2:7" ht="15" hidden="1" x14ac:dyDescent="0.25">
      <c r="B4738" s="4">
        <v>584617989</v>
      </c>
      <c r="C4738" s="4" t="s">
        <v>273</v>
      </c>
      <c r="D4738" s="4">
        <v>7204</v>
      </c>
      <c r="E4738" s="4">
        <v>317</v>
      </c>
      <c r="G4738">
        <f t="shared" si="73"/>
        <v>2592</v>
      </c>
    </row>
    <row r="4739" spans="2:7" ht="15" hidden="1" x14ac:dyDescent="0.25">
      <c r="B4739" s="4">
        <v>584618021</v>
      </c>
      <c r="C4739" s="4" t="s">
        <v>273</v>
      </c>
      <c r="D4739" s="4">
        <v>7236</v>
      </c>
      <c r="E4739" s="4">
        <v>317</v>
      </c>
      <c r="G4739">
        <f t="shared" si="73"/>
        <v>2592</v>
      </c>
    </row>
    <row r="4740" spans="2:7" ht="15" hidden="1" x14ac:dyDescent="0.25">
      <c r="B4740" s="4">
        <v>584618085</v>
      </c>
      <c r="C4740" s="4" t="s">
        <v>273</v>
      </c>
      <c r="D4740" s="4">
        <v>7300</v>
      </c>
      <c r="E4740" s="4">
        <v>317</v>
      </c>
      <c r="G4740">
        <f t="shared" ref="G4740:G4803" si="74">(E4740+7)*8</f>
        <v>2592</v>
      </c>
    </row>
    <row r="4741" spans="2:7" ht="15" hidden="1" x14ac:dyDescent="0.25">
      <c r="B4741" s="4">
        <v>584618117</v>
      </c>
      <c r="C4741" s="4" t="s">
        <v>273</v>
      </c>
      <c r="D4741" s="4">
        <v>7332</v>
      </c>
      <c r="E4741" s="4">
        <v>317</v>
      </c>
      <c r="G4741">
        <f t="shared" si="74"/>
        <v>2592</v>
      </c>
    </row>
    <row r="4742" spans="2:7" ht="15" hidden="1" x14ac:dyDescent="0.25">
      <c r="B4742" s="4">
        <v>584618164</v>
      </c>
      <c r="C4742" s="4" t="s">
        <v>273</v>
      </c>
      <c r="D4742" s="4">
        <v>7379</v>
      </c>
      <c r="E4742" s="4">
        <v>317</v>
      </c>
      <c r="G4742">
        <f t="shared" si="74"/>
        <v>2592</v>
      </c>
    </row>
    <row r="4743" spans="2:7" ht="15" hidden="1" x14ac:dyDescent="0.25">
      <c r="B4743" s="4">
        <v>584618212</v>
      </c>
      <c r="C4743" s="4" t="s">
        <v>273</v>
      </c>
      <c r="D4743" s="4">
        <v>7427</v>
      </c>
      <c r="E4743" s="4">
        <v>317</v>
      </c>
      <c r="G4743">
        <f t="shared" si="74"/>
        <v>2592</v>
      </c>
    </row>
    <row r="4744" spans="2:7" ht="15" hidden="1" x14ac:dyDescent="0.25">
      <c r="B4744" s="4">
        <v>584618260</v>
      </c>
      <c r="C4744" s="4" t="s">
        <v>273</v>
      </c>
      <c r="D4744" s="4">
        <v>7475</v>
      </c>
      <c r="E4744" s="4">
        <v>317</v>
      </c>
      <c r="G4744">
        <f t="shared" si="74"/>
        <v>2592</v>
      </c>
    </row>
    <row r="4745" spans="2:7" ht="15" hidden="1" x14ac:dyDescent="0.25">
      <c r="B4745" s="4">
        <v>584618308</v>
      </c>
      <c r="C4745" s="4" t="s">
        <v>273</v>
      </c>
      <c r="D4745" s="4">
        <v>7523</v>
      </c>
      <c r="E4745" s="4">
        <v>317</v>
      </c>
      <c r="F4745">
        <v>5</v>
      </c>
      <c r="G4745">
        <f t="shared" si="74"/>
        <v>2592</v>
      </c>
    </row>
    <row r="4746" spans="2:7" ht="15" hidden="1" x14ac:dyDescent="0.25">
      <c r="B4746" s="4">
        <v>584618355</v>
      </c>
      <c r="C4746" s="4" t="s">
        <v>273</v>
      </c>
      <c r="D4746" s="4">
        <v>7570</v>
      </c>
      <c r="E4746" s="4">
        <v>317</v>
      </c>
      <c r="G4746">
        <f t="shared" si="74"/>
        <v>2592</v>
      </c>
    </row>
    <row r="4747" spans="2:7" ht="15" hidden="1" x14ac:dyDescent="0.25">
      <c r="B4747" s="4">
        <v>584618403</v>
      </c>
      <c r="C4747" s="4" t="s">
        <v>273</v>
      </c>
      <c r="D4747" s="4">
        <v>7618</v>
      </c>
      <c r="E4747" s="4">
        <v>317</v>
      </c>
      <c r="G4747">
        <f t="shared" si="74"/>
        <v>2592</v>
      </c>
    </row>
    <row r="4748" spans="2:7" ht="15" hidden="1" x14ac:dyDescent="0.25">
      <c r="B4748" s="4">
        <v>584618451</v>
      </c>
      <c r="C4748" s="4" t="s">
        <v>273</v>
      </c>
      <c r="D4748" s="4">
        <v>7666</v>
      </c>
      <c r="E4748" s="4">
        <v>317</v>
      </c>
      <c r="G4748">
        <f t="shared" si="74"/>
        <v>2592</v>
      </c>
    </row>
    <row r="4749" spans="2:7" ht="15" hidden="1" x14ac:dyDescent="0.25">
      <c r="B4749" s="4">
        <v>584618499</v>
      </c>
      <c r="C4749" s="4" t="s">
        <v>273</v>
      </c>
      <c r="D4749" s="4">
        <v>7714</v>
      </c>
      <c r="E4749" s="4">
        <v>317</v>
      </c>
      <c r="G4749">
        <f t="shared" si="74"/>
        <v>2592</v>
      </c>
    </row>
    <row r="4750" spans="2:7" ht="15" hidden="1" x14ac:dyDescent="0.25">
      <c r="B4750" s="4">
        <v>584618531</v>
      </c>
      <c r="C4750" s="4" t="s">
        <v>273</v>
      </c>
      <c r="D4750" s="4">
        <v>7746</v>
      </c>
      <c r="E4750" s="4">
        <v>317</v>
      </c>
      <c r="G4750">
        <f t="shared" si="74"/>
        <v>2592</v>
      </c>
    </row>
    <row r="4751" spans="2:7" ht="15" hidden="1" x14ac:dyDescent="0.25">
      <c r="B4751" s="4">
        <v>584618578</v>
      </c>
      <c r="C4751" s="4" t="s">
        <v>273</v>
      </c>
      <c r="D4751" s="4">
        <v>7793</v>
      </c>
      <c r="E4751" s="4">
        <v>317</v>
      </c>
      <c r="G4751">
        <f t="shared" si="74"/>
        <v>2592</v>
      </c>
    </row>
    <row r="4752" spans="2:7" ht="15" hidden="1" x14ac:dyDescent="0.25">
      <c r="B4752" s="4">
        <v>584618626</v>
      </c>
      <c r="C4752" s="4" t="s">
        <v>273</v>
      </c>
      <c r="D4752" s="4">
        <v>7841</v>
      </c>
      <c r="E4752" s="4">
        <v>317</v>
      </c>
      <c r="G4752">
        <f t="shared" si="74"/>
        <v>2592</v>
      </c>
    </row>
    <row r="4753" spans="2:7" ht="15" hidden="1" x14ac:dyDescent="0.25">
      <c r="B4753" s="4">
        <v>584618674</v>
      </c>
      <c r="C4753" s="4" t="s">
        <v>273</v>
      </c>
      <c r="D4753" s="4">
        <v>7889</v>
      </c>
      <c r="E4753" s="4">
        <v>317</v>
      </c>
      <c r="G4753">
        <f t="shared" si="74"/>
        <v>2592</v>
      </c>
    </row>
    <row r="4754" spans="2:7" ht="15" hidden="1" x14ac:dyDescent="0.25">
      <c r="B4754" s="4">
        <v>584618722</v>
      </c>
      <c r="C4754" s="4" t="s">
        <v>273</v>
      </c>
      <c r="D4754" s="4">
        <v>7937</v>
      </c>
      <c r="E4754" s="4">
        <v>317</v>
      </c>
      <c r="G4754">
        <f t="shared" si="74"/>
        <v>2592</v>
      </c>
    </row>
    <row r="4755" spans="2:7" ht="15" hidden="1" x14ac:dyDescent="0.25">
      <c r="B4755" s="4">
        <v>584618770</v>
      </c>
      <c r="C4755" s="4" t="s">
        <v>273</v>
      </c>
      <c r="D4755" s="4">
        <v>7985</v>
      </c>
      <c r="E4755" s="4">
        <v>317</v>
      </c>
      <c r="G4755">
        <f t="shared" si="74"/>
        <v>2592</v>
      </c>
    </row>
    <row r="4756" spans="2:7" ht="15" hidden="1" x14ac:dyDescent="0.25">
      <c r="B4756" s="4">
        <v>584618817</v>
      </c>
      <c r="C4756" s="4" t="s">
        <v>273</v>
      </c>
      <c r="D4756" s="4">
        <v>8032</v>
      </c>
      <c r="E4756" s="4">
        <v>317</v>
      </c>
      <c r="G4756">
        <f t="shared" si="74"/>
        <v>2592</v>
      </c>
    </row>
    <row r="4757" spans="2:7" ht="15" hidden="1" x14ac:dyDescent="0.25">
      <c r="B4757" s="4">
        <v>584618865</v>
      </c>
      <c r="C4757" s="4" t="s">
        <v>273</v>
      </c>
      <c r="D4757" s="4">
        <v>8080</v>
      </c>
      <c r="E4757" s="4">
        <v>317</v>
      </c>
      <c r="G4757">
        <f t="shared" si="74"/>
        <v>2592</v>
      </c>
    </row>
    <row r="4758" spans="2:7" ht="15" hidden="1" x14ac:dyDescent="0.25">
      <c r="B4758" s="4">
        <v>584618913</v>
      </c>
      <c r="C4758" s="4" t="s">
        <v>273</v>
      </c>
      <c r="D4758" s="4">
        <v>8128</v>
      </c>
      <c r="E4758" s="4">
        <v>317</v>
      </c>
      <c r="G4758">
        <f t="shared" si="74"/>
        <v>2592</v>
      </c>
    </row>
    <row r="4759" spans="2:7" ht="15" hidden="1" x14ac:dyDescent="0.25">
      <c r="B4759" s="4">
        <v>584618945</v>
      </c>
      <c r="C4759" s="4" t="s">
        <v>273</v>
      </c>
      <c r="D4759" s="4">
        <v>8160</v>
      </c>
      <c r="E4759" s="4">
        <v>317</v>
      </c>
      <c r="G4759">
        <f t="shared" si="74"/>
        <v>2592</v>
      </c>
    </row>
    <row r="4760" spans="2:7" ht="15" hidden="1" x14ac:dyDescent="0.25">
      <c r="B4760" s="4">
        <v>584618993</v>
      </c>
      <c r="C4760" s="4" t="s">
        <v>273</v>
      </c>
      <c r="D4760" s="4">
        <v>8208</v>
      </c>
      <c r="E4760" s="4">
        <v>317</v>
      </c>
      <c r="G4760">
        <f t="shared" si="74"/>
        <v>2592</v>
      </c>
    </row>
    <row r="4761" spans="2:7" ht="15" hidden="1" x14ac:dyDescent="0.25">
      <c r="B4761" s="4">
        <v>584619040</v>
      </c>
      <c r="C4761" s="4" t="s">
        <v>273</v>
      </c>
      <c r="D4761" s="4">
        <v>8255</v>
      </c>
      <c r="E4761" s="4">
        <v>317</v>
      </c>
      <c r="G4761">
        <f t="shared" si="74"/>
        <v>2592</v>
      </c>
    </row>
    <row r="4762" spans="2:7" ht="15" hidden="1" x14ac:dyDescent="0.25">
      <c r="B4762" s="4">
        <v>584619088</v>
      </c>
      <c r="C4762" s="4" t="s">
        <v>273</v>
      </c>
      <c r="D4762" s="4">
        <v>8303</v>
      </c>
      <c r="E4762" s="4">
        <v>317</v>
      </c>
      <c r="G4762">
        <f t="shared" si="74"/>
        <v>2592</v>
      </c>
    </row>
    <row r="4763" spans="2:7" ht="15" hidden="1" x14ac:dyDescent="0.25">
      <c r="B4763" s="4">
        <v>584619136</v>
      </c>
      <c r="C4763" s="4" t="s">
        <v>273</v>
      </c>
      <c r="D4763" s="4">
        <v>8351</v>
      </c>
      <c r="E4763" s="4">
        <v>317</v>
      </c>
      <c r="G4763">
        <f t="shared" si="74"/>
        <v>2592</v>
      </c>
    </row>
    <row r="4764" spans="2:7" ht="15" hidden="1" x14ac:dyDescent="0.25">
      <c r="B4764" s="4">
        <v>584619184</v>
      </c>
      <c r="C4764" s="4" t="s">
        <v>273</v>
      </c>
      <c r="D4764" s="4">
        <v>8399</v>
      </c>
      <c r="E4764" s="4">
        <v>317</v>
      </c>
      <c r="G4764">
        <f t="shared" si="74"/>
        <v>2592</v>
      </c>
    </row>
    <row r="4765" spans="2:7" ht="15" hidden="1" x14ac:dyDescent="0.25">
      <c r="B4765" s="4">
        <v>584619231</v>
      </c>
      <c r="C4765" s="4" t="s">
        <v>273</v>
      </c>
      <c r="D4765" s="4">
        <v>8446</v>
      </c>
      <c r="E4765" s="4">
        <v>317</v>
      </c>
      <c r="G4765">
        <f t="shared" si="74"/>
        <v>2592</v>
      </c>
    </row>
    <row r="4766" spans="2:7" ht="15" hidden="1" x14ac:dyDescent="0.25">
      <c r="B4766" s="4">
        <v>584619279</v>
      </c>
      <c r="C4766" s="4" t="s">
        <v>273</v>
      </c>
      <c r="D4766" s="4">
        <v>8494</v>
      </c>
      <c r="E4766" s="4">
        <v>317</v>
      </c>
      <c r="G4766">
        <f t="shared" si="74"/>
        <v>2592</v>
      </c>
    </row>
    <row r="4767" spans="2:7" ht="15" hidden="1" x14ac:dyDescent="0.25">
      <c r="B4767" s="4">
        <v>584619327</v>
      </c>
      <c r="C4767" s="4" t="s">
        <v>273</v>
      </c>
      <c r="D4767" s="4">
        <v>8542</v>
      </c>
      <c r="E4767" s="4">
        <v>317</v>
      </c>
      <c r="G4767">
        <f t="shared" si="74"/>
        <v>2592</v>
      </c>
    </row>
    <row r="4768" spans="2:7" ht="15" hidden="1" x14ac:dyDescent="0.25">
      <c r="B4768" s="4">
        <v>584619375</v>
      </c>
      <c r="C4768" s="4" t="s">
        <v>273</v>
      </c>
      <c r="D4768" s="4">
        <v>8590</v>
      </c>
      <c r="E4768" s="4">
        <v>317</v>
      </c>
      <c r="G4768">
        <f t="shared" si="74"/>
        <v>2592</v>
      </c>
    </row>
    <row r="4769" spans="2:7" ht="15" hidden="1" x14ac:dyDescent="0.25">
      <c r="B4769" s="4">
        <v>584619423</v>
      </c>
      <c r="C4769" s="4" t="s">
        <v>273</v>
      </c>
      <c r="D4769" s="4">
        <v>8638</v>
      </c>
      <c r="E4769" s="4">
        <v>317</v>
      </c>
      <c r="G4769">
        <f t="shared" si="74"/>
        <v>2592</v>
      </c>
    </row>
    <row r="4770" spans="2:7" ht="15" hidden="1" x14ac:dyDescent="0.25">
      <c r="B4770" s="4">
        <v>584619454</v>
      </c>
      <c r="C4770" s="4" t="s">
        <v>273</v>
      </c>
      <c r="D4770" s="4">
        <v>8669</v>
      </c>
      <c r="E4770" s="4">
        <v>317</v>
      </c>
      <c r="G4770">
        <f t="shared" si="74"/>
        <v>2592</v>
      </c>
    </row>
    <row r="4771" spans="2:7" ht="15" hidden="1" x14ac:dyDescent="0.25">
      <c r="B4771" s="4">
        <v>584619459</v>
      </c>
      <c r="C4771" s="4" t="s">
        <v>273</v>
      </c>
      <c r="D4771" s="4">
        <v>8674</v>
      </c>
      <c r="E4771" s="4">
        <v>317</v>
      </c>
      <c r="G4771">
        <f t="shared" si="74"/>
        <v>2592</v>
      </c>
    </row>
    <row r="4772" spans="2:7" ht="15" hidden="1" x14ac:dyDescent="0.25">
      <c r="B4772" s="4">
        <v>584619502</v>
      </c>
      <c r="C4772" s="4" t="s">
        <v>273</v>
      </c>
      <c r="D4772" s="4">
        <v>8717</v>
      </c>
      <c r="E4772" s="4">
        <v>317</v>
      </c>
      <c r="G4772">
        <f t="shared" si="74"/>
        <v>2592</v>
      </c>
    </row>
    <row r="4773" spans="2:7" ht="15" hidden="1" x14ac:dyDescent="0.25">
      <c r="B4773" s="4">
        <v>584619550</v>
      </c>
      <c r="C4773" s="4" t="s">
        <v>273</v>
      </c>
      <c r="D4773" s="4">
        <v>8765</v>
      </c>
      <c r="E4773" s="4">
        <v>317</v>
      </c>
      <c r="G4773">
        <f t="shared" si="74"/>
        <v>2592</v>
      </c>
    </row>
    <row r="4774" spans="2:7" ht="15" hidden="1" x14ac:dyDescent="0.25">
      <c r="B4774" s="4">
        <v>584619598</v>
      </c>
      <c r="C4774" s="4" t="s">
        <v>273</v>
      </c>
      <c r="D4774" s="4">
        <v>8813</v>
      </c>
      <c r="E4774" s="4">
        <v>317</v>
      </c>
      <c r="G4774">
        <f t="shared" si="74"/>
        <v>2592</v>
      </c>
    </row>
    <row r="4775" spans="2:7" ht="15" hidden="1" x14ac:dyDescent="0.25">
      <c r="B4775" s="4">
        <v>584619646</v>
      </c>
      <c r="C4775" s="4" t="s">
        <v>273</v>
      </c>
      <c r="D4775" s="4">
        <v>8861</v>
      </c>
      <c r="E4775" s="4">
        <v>317</v>
      </c>
      <c r="G4775">
        <f t="shared" si="74"/>
        <v>2592</v>
      </c>
    </row>
    <row r="4776" spans="2:7" ht="15" hidden="1" x14ac:dyDescent="0.25">
      <c r="B4776" s="4">
        <v>584619693</v>
      </c>
      <c r="C4776" s="4" t="s">
        <v>273</v>
      </c>
      <c r="D4776" s="4">
        <v>8908</v>
      </c>
      <c r="E4776" s="4">
        <v>317</v>
      </c>
      <c r="G4776">
        <f t="shared" si="74"/>
        <v>2592</v>
      </c>
    </row>
    <row r="4777" spans="2:7" ht="15" hidden="1" x14ac:dyDescent="0.25">
      <c r="B4777" s="4">
        <v>584619741</v>
      </c>
      <c r="C4777" s="4" t="s">
        <v>273</v>
      </c>
      <c r="D4777" s="4">
        <v>8956</v>
      </c>
      <c r="E4777" s="4">
        <v>317</v>
      </c>
      <c r="G4777">
        <f t="shared" si="74"/>
        <v>2592</v>
      </c>
    </row>
    <row r="4778" spans="2:7" ht="15" hidden="1" x14ac:dyDescent="0.25">
      <c r="B4778" s="4">
        <v>584619789</v>
      </c>
      <c r="C4778" s="4" t="s">
        <v>273</v>
      </c>
      <c r="D4778" s="4">
        <v>9004</v>
      </c>
      <c r="E4778" s="4">
        <v>317</v>
      </c>
      <c r="G4778">
        <f t="shared" si="74"/>
        <v>2592</v>
      </c>
    </row>
    <row r="4779" spans="2:7" ht="15" hidden="1" x14ac:dyDescent="0.25">
      <c r="B4779" s="4">
        <v>584619837</v>
      </c>
      <c r="C4779" s="4" t="s">
        <v>273</v>
      </c>
      <c r="D4779" s="4">
        <v>9052</v>
      </c>
      <c r="E4779" s="4">
        <v>317</v>
      </c>
      <c r="G4779">
        <f t="shared" si="74"/>
        <v>2592</v>
      </c>
    </row>
    <row r="4780" spans="2:7" ht="15" hidden="1" x14ac:dyDescent="0.25">
      <c r="B4780" s="4">
        <v>584619869</v>
      </c>
      <c r="C4780" s="4" t="s">
        <v>273</v>
      </c>
      <c r="D4780" s="4">
        <v>9084</v>
      </c>
      <c r="E4780" s="4">
        <v>317</v>
      </c>
      <c r="G4780">
        <f t="shared" si="74"/>
        <v>2592</v>
      </c>
    </row>
    <row r="4781" spans="2:7" ht="15" hidden="1" x14ac:dyDescent="0.25">
      <c r="B4781" s="4">
        <v>584619916</v>
      </c>
      <c r="C4781" s="4" t="s">
        <v>273</v>
      </c>
      <c r="D4781" s="4">
        <v>9131</v>
      </c>
      <c r="E4781" s="4">
        <v>317</v>
      </c>
      <c r="G4781">
        <f t="shared" si="74"/>
        <v>2592</v>
      </c>
    </row>
    <row r="4782" spans="2:7" ht="15" hidden="1" x14ac:dyDescent="0.25">
      <c r="B4782" s="4">
        <v>584619964</v>
      </c>
      <c r="C4782" s="4" t="s">
        <v>273</v>
      </c>
      <c r="D4782" s="4">
        <v>9179</v>
      </c>
      <c r="E4782" s="4">
        <v>317</v>
      </c>
      <c r="G4782">
        <f t="shared" si="74"/>
        <v>2592</v>
      </c>
    </row>
    <row r="4783" spans="2:7" ht="15" hidden="1" x14ac:dyDescent="0.25">
      <c r="B4783" s="4">
        <v>584620012</v>
      </c>
      <c r="C4783" s="4" t="s">
        <v>273</v>
      </c>
      <c r="D4783" s="4">
        <v>9227</v>
      </c>
      <c r="E4783" s="4">
        <v>317</v>
      </c>
      <c r="G4783">
        <f t="shared" si="74"/>
        <v>2592</v>
      </c>
    </row>
    <row r="4784" spans="2:7" ht="15" hidden="1" x14ac:dyDescent="0.25">
      <c r="B4784" s="4">
        <v>584620060</v>
      </c>
      <c r="C4784" s="4" t="s">
        <v>273</v>
      </c>
      <c r="D4784" s="4">
        <v>9275</v>
      </c>
      <c r="E4784" s="4">
        <v>317</v>
      </c>
      <c r="G4784">
        <f t="shared" si="74"/>
        <v>2592</v>
      </c>
    </row>
    <row r="4785" spans="2:7" ht="15" hidden="1" x14ac:dyDescent="0.25">
      <c r="B4785" s="4">
        <v>584620107</v>
      </c>
      <c r="C4785" s="4" t="s">
        <v>273</v>
      </c>
      <c r="D4785" s="4">
        <v>9322</v>
      </c>
      <c r="E4785" s="4">
        <v>317</v>
      </c>
      <c r="F4785">
        <v>5</v>
      </c>
      <c r="G4785">
        <f t="shared" si="74"/>
        <v>2592</v>
      </c>
    </row>
    <row r="4786" spans="2:7" ht="15" hidden="1" x14ac:dyDescent="0.25">
      <c r="B4786" s="4">
        <v>584620155</v>
      </c>
      <c r="C4786" s="4" t="s">
        <v>273</v>
      </c>
      <c r="D4786" s="4">
        <v>9370</v>
      </c>
      <c r="E4786" s="4">
        <v>317</v>
      </c>
      <c r="G4786">
        <f t="shared" si="74"/>
        <v>2592</v>
      </c>
    </row>
    <row r="4787" spans="2:7" ht="15" hidden="1" x14ac:dyDescent="0.25">
      <c r="B4787" s="4">
        <v>584620203</v>
      </c>
      <c r="C4787" s="4" t="s">
        <v>273</v>
      </c>
      <c r="D4787" s="4">
        <v>9418</v>
      </c>
      <c r="E4787" s="4">
        <v>317</v>
      </c>
      <c r="G4787">
        <f t="shared" si="74"/>
        <v>2592</v>
      </c>
    </row>
    <row r="4788" spans="2:7" ht="15" hidden="1" x14ac:dyDescent="0.25">
      <c r="B4788" s="4">
        <v>584620251</v>
      </c>
      <c r="C4788" s="4" t="s">
        <v>273</v>
      </c>
      <c r="D4788" s="4">
        <v>9466</v>
      </c>
      <c r="E4788" s="4">
        <v>317</v>
      </c>
      <c r="G4788">
        <f t="shared" si="74"/>
        <v>2592</v>
      </c>
    </row>
    <row r="4789" spans="2:7" ht="15" hidden="1" x14ac:dyDescent="0.25">
      <c r="B4789" s="4">
        <v>584620299</v>
      </c>
      <c r="C4789" s="4" t="s">
        <v>273</v>
      </c>
      <c r="D4789" s="4">
        <v>9514</v>
      </c>
      <c r="E4789" s="4">
        <v>317</v>
      </c>
      <c r="G4789">
        <f t="shared" si="74"/>
        <v>2592</v>
      </c>
    </row>
    <row r="4790" spans="2:7" ht="15" hidden="1" x14ac:dyDescent="0.25">
      <c r="B4790" s="4">
        <v>584620346</v>
      </c>
      <c r="C4790" s="4" t="s">
        <v>273</v>
      </c>
      <c r="D4790" s="4">
        <v>9561</v>
      </c>
      <c r="E4790" s="4">
        <v>317</v>
      </c>
      <c r="G4790">
        <f t="shared" si="74"/>
        <v>2592</v>
      </c>
    </row>
    <row r="4791" spans="2:7" ht="15" hidden="1" x14ac:dyDescent="0.25">
      <c r="B4791" s="4">
        <v>584620394</v>
      </c>
      <c r="C4791" s="4" t="s">
        <v>273</v>
      </c>
      <c r="D4791" s="4">
        <v>9609</v>
      </c>
      <c r="E4791" s="4">
        <v>317</v>
      </c>
      <c r="G4791">
        <f t="shared" si="74"/>
        <v>2592</v>
      </c>
    </row>
    <row r="4792" spans="2:7" ht="15" hidden="1" x14ac:dyDescent="0.25">
      <c r="B4792" s="4">
        <v>584620442</v>
      </c>
      <c r="C4792" s="4" t="s">
        <v>273</v>
      </c>
      <c r="D4792" s="4">
        <v>9657</v>
      </c>
      <c r="E4792" s="4">
        <v>317</v>
      </c>
      <c r="G4792">
        <f t="shared" si="74"/>
        <v>2592</v>
      </c>
    </row>
    <row r="4793" spans="2:7" ht="15" hidden="1" x14ac:dyDescent="0.25">
      <c r="B4793" s="4">
        <v>584620474</v>
      </c>
      <c r="C4793" s="4" t="s">
        <v>273</v>
      </c>
      <c r="D4793" s="4">
        <v>9689</v>
      </c>
      <c r="E4793" s="4">
        <v>317</v>
      </c>
      <c r="F4793">
        <v>5</v>
      </c>
      <c r="G4793">
        <f t="shared" si="74"/>
        <v>2592</v>
      </c>
    </row>
    <row r="4794" spans="2:7" ht="15" hidden="1" x14ac:dyDescent="0.25">
      <c r="B4794" s="4">
        <v>584620522</v>
      </c>
      <c r="C4794" s="4" t="s">
        <v>273</v>
      </c>
      <c r="D4794" s="4">
        <v>9737</v>
      </c>
      <c r="E4794" s="4">
        <v>317</v>
      </c>
      <c r="G4794">
        <f t="shared" si="74"/>
        <v>2592</v>
      </c>
    </row>
    <row r="4795" spans="2:7" ht="15" hidden="1" x14ac:dyDescent="0.25">
      <c r="B4795" s="4">
        <v>584620658</v>
      </c>
      <c r="C4795" s="4" t="s">
        <v>273</v>
      </c>
      <c r="D4795" s="4">
        <v>9873</v>
      </c>
      <c r="E4795" s="4">
        <v>317</v>
      </c>
      <c r="G4795">
        <f t="shared" si="74"/>
        <v>2592</v>
      </c>
    </row>
    <row r="4796" spans="2:7" ht="15" hidden="1" x14ac:dyDescent="0.25">
      <c r="B4796" s="4">
        <v>584622089</v>
      </c>
      <c r="C4796" s="4" t="s">
        <v>273</v>
      </c>
      <c r="D4796" s="4">
        <v>11304</v>
      </c>
      <c r="E4796" s="4">
        <v>317</v>
      </c>
      <c r="G4796">
        <f t="shared" si="74"/>
        <v>2592</v>
      </c>
    </row>
    <row r="4797" spans="2:7" ht="15" hidden="1" x14ac:dyDescent="0.25">
      <c r="B4797" s="4">
        <v>584624190</v>
      </c>
      <c r="C4797" s="4" t="s">
        <v>273</v>
      </c>
      <c r="D4797" s="4">
        <v>13405</v>
      </c>
      <c r="E4797" s="4">
        <v>317</v>
      </c>
      <c r="G4797">
        <f t="shared" si="74"/>
        <v>2592</v>
      </c>
    </row>
    <row r="4798" spans="2:7" ht="15" hidden="1" x14ac:dyDescent="0.25">
      <c r="B4798" s="4">
        <v>584626291</v>
      </c>
      <c r="C4798" s="4" t="s">
        <v>273</v>
      </c>
      <c r="D4798" s="4">
        <v>15506</v>
      </c>
      <c r="E4798" s="4">
        <v>317</v>
      </c>
      <c r="G4798">
        <f t="shared" si="74"/>
        <v>2592</v>
      </c>
    </row>
    <row r="4799" spans="2:7" ht="15" hidden="1" x14ac:dyDescent="0.25">
      <c r="B4799" s="4">
        <v>584628392</v>
      </c>
      <c r="C4799" s="4" t="s">
        <v>273</v>
      </c>
      <c r="D4799" s="4">
        <v>1223</v>
      </c>
      <c r="E4799" s="4">
        <v>317</v>
      </c>
      <c r="G4799">
        <f t="shared" si="74"/>
        <v>2592</v>
      </c>
    </row>
    <row r="4800" spans="2:7" ht="15" hidden="1" x14ac:dyDescent="0.25">
      <c r="B4800" s="4">
        <v>584630493</v>
      </c>
      <c r="C4800" s="4" t="s">
        <v>273</v>
      </c>
      <c r="D4800" s="4">
        <v>3324</v>
      </c>
      <c r="E4800" s="4">
        <v>317</v>
      </c>
      <c r="G4800">
        <f t="shared" si="74"/>
        <v>2592</v>
      </c>
    </row>
    <row r="4801" spans="2:7" ht="15" hidden="1" x14ac:dyDescent="0.25">
      <c r="B4801" s="4">
        <v>584631719</v>
      </c>
      <c r="C4801" s="4" t="s">
        <v>274</v>
      </c>
      <c r="D4801" s="4">
        <v>0</v>
      </c>
      <c r="E4801" s="4">
        <v>19</v>
      </c>
      <c r="G4801">
        <f t="shared" si="74"/>
        <v>208</v>
      </c>
    </row>
    <row r="4802" spans="2:7" ht="15" hidden="1" x14ac:dyDescent="0.25">
      <c r="B4802" s="4">
        <v>584631721</v>
      </c>
      <c r="C4802" s="4" t="s">
        <v>274</v>
      </c>
      <c r="D4802" s="4">
        <v>1</v>
      </c>
      <c r="E4802" s="4">
        <v>19</v>
      </c>
      <c r="G4802">
        <f t="shared" si="74"/>
        <v>208</v>
      </c>
    </row>
    <row r="4803" spans="2:7" ht="15" hidden="1" x14ac:dyDescent="0.25">
      <c r="B4803" s="4">
        <v>584631723</v>
      </c>
      <c r="C4803" s="4" t="s">
        <v>274</v>
      </c>
      <c r="D4803" s="4">
        <v>2</v>
      </c>
      <c r="E4803" s="4">
        <v>19</v>
      </c>
      <c r="G4803">
        <f t="shared" si="74"/>
        <v>208</v>
      </c>
    </row>
    <row r="4804" spans="2:7" ht="15" hidden="1" x14ac:dyDescent="0.25">
      <c r="B4804" s="4">
        <v>584631725</v>
      </c>
      <c r="C4804" s="4" t="s">
        <v>274</v>
      </c>
      <c r="D4804" s="4">
        <v>3</v>
      </c>
      <c r="E4804" s="4">
        <v>19</v>
      </c>
      <c r="G4804">
        <f t="shared" ref="G4804:G4867" si="75">(E4804+7)*8</f>
        <v>208</v>
      </c>
    </row>
    <row r="4805" spans="2:7" ht="15" hidden="1" x14ac:dyDescent="0.25">
      <c r="B4805" s="4">
        <v>584631729</v>
      </c>
      <c r="C4805" s="4" t="s">
        <v>269</v>
      </c>
      <c r="D4805" s="4">
        <v>0</v>
      </c>
      <c r="E4805" s="4">
        <v>57</v>
      </c>
      <c r="G4805">
        <f t="shared" si="75"/>
        <v>512</v>
      </c>
    </row>
    <row r="4806" spans="2:7" ht="15" hidden="1" x14ac:dyDescent="0.25">
      <c r="B4806" s="4">
        <v>584631730</v>
      </c>
      <c r="C4806" s="4" t="s">
        <v>269</v>
      </c>
      <c r="D4806" s="4">
        <v>1</v>
      </c>
      <c r="E4806" s="4">
        <v>57</v>
      </c>
      <c r="G4806">
        <f t="shared" si="75"/>
        <v>512</v>
      </c>
    </row>
    <row r="4807" spans="2:7" ht="15" hidden="1" x14ac:dyDescent="0.25">
      <c r="B4807" s="4">
        <v>584631731</v>
      </c>
      <c r="C4807" s="4" t="s">
        <v>268</v>
      </c>
      <c r="D4807" s="4">
        <v>0</v>
      </c>
      <c r="E4807" s="4">
        <v>9</v>
      </c>
      <c r="G4807">
        <f t="shared" si="75"/>
        <v>128</v>
      </c>
    </row>
    <row r="4808" spans="2:7" ht="15" hidden="1" x14ac:dyDescent="0.25">
      <c r="B4808" s="4">
        <v>584631731</v>
      </c>
      <c r="C4808" s="4" t="s">
        <v>268</v>
      </c>
      <c r="D4808" s="4">
        <v>0</v>
      </c>
      <c r="E4808" s="4">
        <v>9</v>
      </c>
      <c r="G4808">
        <f t="shared" si="75"/>
        <v>128</v>
      </c>
    </row>
    <row r="4809" spans="2:7" ht="15" hidden="1" x14ac:dyDescent="0.25">
      <c r="B4809" s="4">
        <v>584631731</v>
      </c>
      <c r="C4809" s="4" t="s">
        <v>269</v>
      </c>
      <c r="D4809" s="4">
        <v>2</v>
      </c>
      <c r="E4809" s="4">
        <v>57</v>
      </c>
      <c r="G4809">
        <f t="shared" si="75"/>
        <v>512</v>
      </c>
    </row>
    <row r="4810" spans="2:7" ht="15" hidden="1" x14ac:dyDescent="0.25">
      <c r="B4810" s="4">
        <v>584631732</v>
      </c>
      <c r="C4810" s="4" t="s">
        <v>269</v>
      </c>
      <c r="D4810" s="4">
        <v>3</v>
      </c>
      <c r="E4810" s="4">
        <v>57</v>
      </c>
      <c r="G4810">
        <f t="shared" si="75"/>
        <v>512</v>
      </c>
    </row>
    <row r="4811" spans="2:7" ht="15" hidden="1" x14ac:dyDescent="0.25">
      <c r="B4811" s="4">
        <v>584631733</v>
      </c>
      <c r="C4811" s="4" t="s">
        <v>269</v>
      </c>
      <c r="D4811" s="4">
        <v>4</v>
      </c>
      <c r="E4811" s="4">
        <v>57</v>
      </c>
      <c r="G4811">
        <f t="shared" si="75"/>
        <v>512</v>
      </c>
    </row>
    <row r="4812" spans="2:7" ht="15" hidden="1" x14ac:dyDescent="0.25">
      <c r="B4812" s="4">
        <v>584631734</v>
      </c>
      <c r="C4812" s="4" t="s">
        <v>269</v>
      </c>
      <c r="D4812" s="4">
        <v>5</v>
      </c>
      <c r="E4812" s="4">
        <v>57</v>
      </c>
      <c r="G4812">
        <f t="shared" si="75"/>
        <v>512</v>
      </c>
    </row>
    <row r="4813" spans="2:7" ht="15" hidden="1" x14ac:dyDescent="0.25">
      <c r="B4813" s="4">
        <v>584631735</v>
      </c>
      <c r="C4813" s="4" t="s">
        <v>269</v>
      </c>
      <c r="D4813" s="4">
        <v>6</v>
      </c>
      <c r="E4813" s="4">
        <v>57</v>
      </c>
      <c r="G4813">
        <f t="shared" si="75"/>
        <v>512</v>
      </c>
    </row>
    <row r="4814" spans="2:7" ht="15" hidden="1" x14ac:dyDescent="0.25">
      <c r="B4814" s="4">
        <v>584631736</v>
      </c>
      <c r="C4814" s="4" t="s">
        <v>269</v>
      </c>
      <c r="D4814" s="4">
        <v>7</v>
      </c>
      <c r="E4814" s="4">
        <v>57</v>
      </c>
      <c r="G4814">
        <f t="shared" si="75"/>
        <v>512</v>
      </c>
    </row>
    <row r="4815" spans="2:7" ht="15" hidden="1" x14ac:dyDescent="0.25">
      <c r="B4815" s="4">
        <v>584631737</v>
      </c>
      <c r="C4815" s="4" t="s">
        <v>269</v>
      </c>
      <c r="D4815" s="4">
        <v>8</v>
      </c>
      <c r="E4815" s="4">
        <v>57</v>
      </c>
      <c r="G4815">
        <f t="shared" si="75"/>
        <v>512</v>
      </c>
    </row>
    <row r="4816" spans="2:7" ht="15" hidden="1" x14ac:dyDescent="0.25">
      <c r="B4816" s="4">
        <v>584631738</v>
      </c>
      <c r="C4816" s="4" t="s">
        <v>269</v>
      </c>
      <c r="D4816" s="4">
        <v>9</v>
      </c>
      <c r="E4816" s="4">
        <v>57</v>
      </c>
      <c r="G4816">
        <f t="shared" si="75"/>
        <v>512</v>
      </c>
    </row>
    <row r="4817" spans="2:7" ht="15" hidden="1" x14ac:dyDescent="0.25">
      <c r="B4817" s="4">
        <v>584631739</v>
      </c>
      <c r="C4817" s="4" t="s">
        <v>269</v>
      </c>
      <c r="D4817" s="4">
        <v>10</v>
      </c>
      <c r="E4817" s="4">
        <v>57</v>
      </c>
      <c r="G4817">
        <f t="shared" si="75"/>
        <v>512</v>
      </c>
    </row>
    <row r="4818" spans="2:7" ht="15" hidden="1" x14ac:dyDescent="0.25">
      <c r="B4818" s="4">
        <v>584631740</v>
      </c>
      <c r="C4818" s="4" t="s">
        <v>269</v>
      </c>
      <c r="D4818" s="4">
        <v>11</v>
      </c>
      <c r="E4818" s="4">
        <v>57</v>
      </c>
      <c r="G4818">
        <f t="shared" si="75"/>
        <v>512</v>
      </c>
    </row>
    <row r="4819" spans="2:7" ht="15" hidden="1" x14ac:dyDescent="0.25">
      <c r="B4819" s="4">
        <v>584631741</v>
      </c>
      <c r="C4819" s="4" t="s">
        <v>268</v>
      </c>
      <c r="D4819" s="4">
        <v>1</v>
      </c>
      <c r="E4819" s="4">
        <v>6</v>
      </c>
      <c r="G4819">
        <f t="shared" si="75"/>
        <v>104</v>
      </c>
    </row>
    <row r="4820" spans="2:7" ht="15" hidden="1" x14ac:dyDescent="0.25">
      <c r="B4820" s="4">
        <v>584631741</v>
      </c>
      <c r="C4820" s="4" t="s">
        <v>268</v>
      </c>
      <c r="D4820" s="4">
        <v>1</v>
      </c>
      <c r="E4820" s="4">
        <v>6</v>
      </c>
      <c r="G4820">
        <f t="shared" si="75"/>
        <v>104</v>
      </c>
    </row>
    <row r="4821" spans="2:7" ht="15" hidden="1" x14ac:dyDescent="0.25">
      <c r="B4821" s="4">
        <v>584631741</v>
      </c>
      <c r="C4821" s="4" t="s">
        <v>269</v>
      </c>
      <c r="D4821" s="4">
        <v>12</v>
      </c>
      <c r="E4821" s="4">
        <v>57</v>
      </c>
      <c r="G4821">
        <f t="shared" si="75"/>
        <v>512</v>
      </c>
    </row>
    <row r="4822" spans="2:7" ht="15" hidden="1" x14ac:dyDescent="0.25">
      <c r="B4822" s="4">
        <v>584631742</v>
      </c>
      <c r="C4822" s="4" t="s">
        <v>269</v>
      </c>
      <c r="D4822" s="4">
        <v>13</v>
      </c>
      <c r="E4822" s="4">
        <v>57</v>
      </c>
      <c r="G4822">
        <f t="shared" si="75"/>
        <v>512</v>
      </c>
    </row>
    <row r="4823" spans="2:7" ht="15" hidden="1" x14ac:dyDescent="0.25">
      <c r="B4823" s="4">
        <v>584631743</v>
      </c>
      <c r="C4823" s="4" t="s">
        <v>269</v>
      </c>
      <c r="D4823" s="4">
        <v>14</v>
      </c>
      <c r="E4823" s="4">
        <v>57</v>
      </c>
      <c r="G4823">
        <f t="shared" si="75"/>
        <v>512</v>
      </c>
    </row>
    <row r="4824" spans="2:7" ht="15" hidden="1" x14ac:dyDescent="0.25">
      <c r="B4824" s="4">
        <v>584631744</v>
      </c>
      <c r="C4824" s="4" t="s">
        <v>269</v>
      </c>
      <c r="D4824" s="4">
        <v>15</v>
      </c>
      <c r="E4824" s="4">
        <v>57</v>
      </c>
      <c r="G4824">
        <f t="shared" si="75"/>
        <v>512</v>
      </c>
    </row>
    <row r="4825" spans="2:7" ht="15" hidden="1" x14ac:dyDescent="0.25">
      <c r="B4825" s="4">
        <v>584631745</v>
      </c>
      <c r="C4825" s="4" t="s">
        <v>269</v>
      </c>
      <c r="D4825" s="4">
        <v>16</v>
      </c>
      <c r="E4825" s="4">
        <v>57</v>
      </c>
      <c r="G4825">
        <f t="shared" si="75"/>
        <v>512</v>
      </c>
    </row>
    <row r="4826" spans="2:7" ht="15" hidden="1" x14ac:dyDescent="0.25">
      <c r="B4826" s="4">
        <v>584631746</v>
      </c>
      <c r="C4826" s="4" t="s">
        <v>269</v>
      </c>
      <c r="D4826" s="4">
        <v>17</v>
      </c>
      <c r="E4826" s="4">
        <v>57</v>
      </c>
      <c r="G4826">
        <f t="shared" si="75"/>
        <v>512</v>
      </c>
    </row>
    <row r="4827" spans="2:7" ht="15" hidden="1" x14ac:dyDescent="0.25">
      <c r="B4827" s="4">
        <v>584631747</v>
      </c>
      <c r="C4827" s="4" t="s">
        <v>269</v>
      </c>
      <c r="D4827" s="4">
        <v>18</v>
      </c>
      <c r="E4827" s="4">
        <v>57</v>
      </c>
      <c r="G4827">
        <f t="shared" si="75"/>
        <v>512</v>
      </c>
    </row>
    <row r="4828" spans="2:7" ht="15" hidden="1" x14ac:dyDescent="0.25">
      <c r="B4828" s="4">
        <v>584631748</v>
      </c>
      <c r="C4828" s="4" t="s">
        <v>269</v>
      </c>
      <c r="D4828" s="4">
        <v>19</v>
      </c>
      <c r="E4828" s="4">
        <v>57</v>
      </c>
      <c r="G4828">
        <f t="shared" si="75"/>
        <v>512</v>
      </c>
    </row>
    <row r="4829" spans="2:7" ht="15" hidden="1" x14ac:dyDescent="0.25">
      <c r="B4829" s="4">
        <v>584631749</v>
      </c>
      <c r="C4829" s="4" t="s">
        <v>269</v>
      </c>
      <c r="D4829" s="4">
        <v>20</v>
      </c>
      <c r="E4829" s="4">
        <v>57</v>
      </c>
      <c r="G4829">
        <f t="shared" si="75"/>
        <v>512</v>
      </c>
    </row>
    <row r="4830" spans="2:7" ht="15" hidden="1" x14ac:dyDescent="0.25">
      <c r="B4830" s="4">
        <v>584631750</v>
      </c>
      <c r="C4830" s="4" t="s">
        <v>269</v>
      </c>
      <c r="D4830" s="4">
        <v>21</v>
      </c>
      <c r="E4830" s="4">
        <v>57</v>
      </c>
      <c r="G4830">
        <f t="shared" si="75"/>
        <v>512</v>
      </c>
    </row>
    <row r="4831" spans="2:7" ht="15" hidden="1" x14ac:dyDescent="0.25">
      <c r="B4831" s="4">
        <v>584631751</v>
      </c>
      <c r="C4831" s="4" t="s">
        <v>269</v>
      </c>
      <c r="D4831" s="4">
        <v>22</v>
      </c>
      <c r="E4831" s="4">
        <v>57</v>
      </c>
      <c r="G4831">
        <f t="shared" si="75"/>
        <v>512</v>
      </c>
    </row>
    <row r="4832" spans="2:7" ht="15" hidden="1" x14ac:dyDescent="0.25">
      <c r="B4832" s="4">
        <v>584631752</v>
      </c>
      <c r="C4832" s="4" t="s">
        <v>269</v>
      </c>
      <c r="D4832" s="4">
        <v>23</v>
      </c>
      <c r="E4832" s="4">
        <v>57</v>
      </c>
      <c r="G4832">
        <f t="shared" si="75"/>
        <v>512</v>
      </c>
    </row>
    <row r="4833" spans="2:7" ht="15" hidden="1" x14ac:dyDescent="0.25">
      <c r="B4833" s="4">
        <v>584631753</v>
      </c>
      <c r="C4833" s="4" t="s">
        <v>269</v>
      </c>
      <c r="D4833" s="4">
        <v>24</v>
      </c>
      <c r="E4833" s="4">
        <v>57</v>
      </c>
      <c r="G4833">
        <f t="shared" si="75"/>
        <v>512</v>
      </c>
    </row>
    <row r="4834" spans="2:7" ht="15" hidden="1" x14ac:dyDescent="0.25">
      <c r="B4834" s="4">
        <v>584631754</v>
      </c>
      <c r="C4834" s="4" t="s">
        <v>269</v>
      </c>
      <c r="D4834" s="4">
        <v>25</v>
      </c>
      <c r="E4834" s="4">
        <v>57</v>
      </c>
      <c r="G4834">
        <f t="shared" si="75"/>
        <v>512</v>
      </c>
    </row>
    <row r="4835" spans="2:7" ht="15" hidden="1" x14ac:dyDescent="0.25">
      <c r="B4835" s="4">
        <v>584631755</v>
      </c>
      <c r="C4835" s="4" t="s">
        <v>268</v>
      </c>
      <c r="D4835" s="4">
        <v>2</v>
      </c>
      <c r="E4835" s="4">
        <v>5</v>
      </c>
      <c r="G4835">
        <f t="shared" si="75"/>
        <v>96</v>
      </c>
    </row>
    <row r="4836" spans="2:7" ht="15" hidden="1" x14ac:dyDescent="0.25">
      <c r="B4836" s="4">
        <v>584631755</v>
      </c>
      <c r="C4836" s="4" t="s">
        <v>268</v>
      </c>
      <c r="D4836" s="4">
        <v>2</v>
      </c>
      <c r="E4836" s="4">
        <v>5</v>
      </c>
      <c r="G4836">
        <f t="shared" si="75"/>
        <v>96</v>
      </c>
    </row>
    <row r="4837" spans="2:7" ht="15" hidden="1" x14ac:dyDescent="0.25">
      <c r="B4837" s="4">
        <v>584631755</v>
      </c>
      <c r="C4837" s="4" t="s">
        <v>269</v>
      </c>
      <c r="D4837" s="4">
        <v>26</v>
      </c>
      <c r="E4837" s="4">
        <v>57</v>
      </c>
      <c r="G4837">
        <f t="shared" si="75"/>
        <v>512</v>
      </c>
    </row>
    <row r="4838" spans="2:7" ht="15" hidden="1" x14ac:dyDescent="0.25">
      <c r="B4838" s="4">
        <v>584631756</v>
      </c>
      <c r="C4838" s="4" t="s">
        <v>269</v>
      </c>
      <c r="D4838" s="4">
        <v>27</v>
      </c>
      <c r="E4838" s="4">
        <v>57</v>
      </c>
      <c r="G4838">
        <f t="shared" si="75"/>
        <v>512</v>
      </c>
    </row>
    <row r="4839" spans="2:7" ht="15" hidden="1" x14ac:dyDescent="0.25">
      <c r="B4839" s="4">
        <v>584631757</v>
      </c>
      <c r="C4839" s="4" t="s">
        <v>269</v>
      </c>
      <c r="D4839" s="4">
        <v>28</v>
      </c>
      <c r="E4839" s="4">
        <v>57</v>
      </c>
      <c r="G4839">
        <f t="shared" si="75"/>
        <v>512</v>
      </c>
    </row>
    <row r="4840" spans="2:7" ht="15" hidden="1" x14ac:dyDescent="0.25">
      <c r="B4840" s="4">
        <v>584631758</v>
      </c>
      <c r="C4840" s="4" t="s">
        <v>269</v>
      </c>
      <c r="D4840" s="4">
        <v>29</v>
      </c>
      <c r="E4840" s="4">
        <v>57</v>
      </c>
      <c r="G4840">
        <f t="shared" si="75"/>
        <v>512</v>
      </c>
    </row>
    <row r="4841" spans="2:7" ht="15" hidden="1" x14ac:dyDescent="0.25">
      <c r="B4841" s="4">
        <v>584631759</v>
      </c>
      <c r="C4841" s="4" t="s">
        <v>269</v>
      </c>
      <c r="D4841" s="4">
        <v>30</v>
      </c>
      <c r="E4841" s="4">
        <v>57</v>
      </c>
      <c r="G4841">
        <f t="shared" si="75"/>
        <v>512</v>
      </c>
    </row>
    <row r="4842" spans="2:7" ht="15" hidden="1" x14ac:dyDescent="0.25">
      <c r="B4842" s="4">
        <v>584631760</v>
      </c>
      <c r="C4842" s="4" t="s">
        <v>269</v>
      </c>
      <c r="D4842" s="4">
        <v>31</v>
      </c>
      <c r="E4842" s="4">
        <v>57</v>
      </c>
      <c r="G4842">
        <f t="shared" si="75"/>
        <v>512</v>
      </c>
    </row>
    <row r="4843" spans="2:7" ht="15" hidden="1" x14ac:dyDescent="0.25">
      <c r="B4843" s="4">
        <v>584631761</v>
      </c>
      <c r="C4843" s="4" t="s">
        <v>268</v>
      </c>
      <c r="D4843" s="4">
        <v>3</v>
      </c>
      <c r="E4843" s="4">
        <v>6</v>
      </c>
      <c r="G4843">
        <f t="shared" si="75"/>
        <v>104</v>
      </c>
    </row>
    <row r="4844" spans="2:7" ht="15" hidden="1" x14ac:dyDescent="0.25">
      <c r="B4844" s="4">
        <v>584631761</v>
      </c>
      <c r="C4844" s="4" t="s">
        <v>268</v>
      </c>
      <c r="D4844" s="4">
        <v>3</v>
      </c>
      <c r="E4844" s="4">
        <v>6</v>
      </c>
      <c r="G4844">
        <f t="shared" si="75"/>
        <v>104</v>
      </c>
    </row>
    <row r="4845" spans="2:7" ht="15" hidden="1" x14ac:dyDescent="0.25">
      <c r="B4845" s="4">
        <v>584631761</v>
      </c>
      <c r="C4845" s="4" t="s">
        <v>268</v>
      </c>
      <c r="D4845" s="4">
        <v>4</v>
      </c>
      <c r="E4845" s="4">
        <v>9</v>
      </c>
      <c r="G4845">
        <f t="shared" si="75"/>
        <v>128</v>
      </c>
    </row>
    <row r="4846" spans="2:7" ht="15" hidden="1" x14ac:dyDescent="0.25">
      <c r="B4846" s="4">
        <v>584631761</v>
      </c>
      <c r="C4846" s="4" t="s">
        <v>268</v>
      </c>
      <c r="D4846" s="4">
        <v>4</v>
      </c>
      <c r="E4846" s="4">
        <v>9</v>
      </c>
      <c r="G4846">
        <f t="shared" si="75"/>
        <v>128</v>
      </c>
    </row>
    <row r="4847" spans="2:7" ht="15" hidden="1" x14ac:dyDescent="0.25">
      <c r="B4847" s="4">
        <v>584631761</v>
      </c>
      <c r="C4847" s="4" t="s">
        <v>268</v>
      </c>
      <c r="D4847" s="4">
        <v>5</v>
      </c>
      <c r="E4847" s="4">
        <v>7</v>
      </c>
      <c r="G4847">
        <f t="shared" si="75"/>
        <v>112</v>
      </c>
    </row>
    <row r="4848" spans="2:7" ht="15" hidden="1" x14ac:dyDescent="0.25">
      <c r="B4848" s="4">
        <v>584631761</v>
      </c>
      <c r="C4848" s="4" t="s">
        <v>268</v>
      </c>
      <c r="D4848" s="4">
        <v>5</v>
      </c>
      <c r="E4848" s="4">
        <v>7</v>
      </c>
      <c r="G4848">
        <f t="shared" si="75"/>
        <v>112</v>
      </c>
    </row>
    <row r="4849" spans="2:7" ht="15" hidden="1" x14ac:dyDescent="0.25">
      <c r="B4849" s="4">
        <v>584631761</v>
      </c>
      <c r="C4849" s="4" t="s">
        <v>269</v>
      </c>
      <c r="D4849" s="4">
        <v>32</v>
      </c>
      <c r="E4849" s="4">
        <v>57</v>
      </c>
      <c r="G4849">
        <f t="shared" si="75"/>
        <v>512</v>
      </c>
    </row>
    <row r="4850" spans="2:7" ht="15" hidden="1" x14ac:dyDescent="0.25">
      <c r="B4850" s="4">
        <v>584631762</v>
      </c>
      <c r="C4850" s="4" t="s">
        <v>268</v>
      </c>
      <c r="D4850" s="4">
        <v>6</v>
      </c>
      <c r="E4850" s="4">
        <v>9</v>
      </c>
      <c r="G4850">
        <f t="shared" si="75"/>
        <v>128</v>
      </c>
    </row>
    <row r="4851" spans="2:7" ht="15" hidden="1" x14ac:dyDescent="0.25">
      <c r="B4851" s="4">
        <v>584631762</v>
      </c>
      <c r="C4851" s="4" t="s">
        <v>268</v>
      </c>
      <c r="D4851" s="4">
        <v>6</v>
      </c>
      <c r="E4851" s="4">
        <v>9</v>
      </c>
      <c r="G4851">
        <f t="shared" si="75"/>
        <v>128</v>
      </c>
    </row>
    <row r="4852" spans="2:7" ht="15" hidden="1" x14ac:dyDescent="0.25">
      <c r="B4852" s="4">
        <v>584631762</v>
      </c>
      <c r="C4852" s="4" t="s">
        <v>268</v>
      </c>
      <c r="D4852" s="4">
        <v>7</v>
      </c>
      <c r="E4852" s="4">
        <v>7</v>
      </c>
      <c r="G4852">
        <f t="shared" si="75"/>
        <v>112</v>
      </c>
    </row>
    <row r="4853" spans="2:7" ht="15" hidden="1" x14ac:dyDescent="0.25">
      <c r="B4853" s="4">
        <v>584631762</v>
      </c>
      <c r="C4853" s="4" t="s">
        <v>268</v>
      </c>
      <c r="D4853" s="4">
        <v>7</v>
      </c>
      <c r="E4853" s="4">
        <v>7</v>
      </c>
      <c r="G4853">
        <f t="shared" si="75"/>
        <v>112</v>
      </c>
    </row>
    <row r="4854" spans="2:7" ht="15" hidden="1" x14ac:dyDescent="0.25">
      <c r="B4854" s="4">
        <v>584631762</v>
      </c>
      <c r="C4854" s="4" t="s">
        <v>269</v>
      </c>
      <c r="D4854" s="4">
        <v>33</v>
      </c>
      <c r="E4854" s="4">
        <v>57</v>
      </c>
      <c r="G4854">
        <f t="shared" si="75"/>
        <v>512</v>
      </c>
    </row>
    <row r="4855" spans="2:7" ht="15" hidden="1" x14ac:dyDescent="0.25">
      <c r="B4855" s="4">
        <v>584631763</v>
      </c>
      <c r="C4855" s="4" t="s">
        <v>268</v>
      </c>
      <c r="D4855" s="4">
        <v>8</v>
      </c>
      <c r="E4855" s="4">
        <v>9</v>
      </c>
      <c r="G4855">
        <f t="shared" si="75"/>
        <v>128</v>
      </c>
    </row>
    <row r="4856" spans="2:7" ht="15" hidden="1" x14ac:dyDescent="0.25">
      <c r="B4856" s="4">
        <v>584631763</v>
      </c>
      <c r="C4856" s="4" t="s">
        <v>268</v>
      </c>
      <c r="D4856" s="4">
        <v>8</v>
      </c>
      <c r="E4856" s="4">
        <v>9</v>
      </c>
      <c r="G4856">
        <f t="shared" si="75"/>
        <v>128</v>
      </c>
    </row>
    <row r="4857" spans="2:7" ht="15" hidden="1" x14ac:dyDescent="0.25">
      <c r="B4857" s="4">
        <v>584631763</v>
      </c>
      <c r="C4857" s="4" t="s">
        <v>268</v>
      </c>
      <c r="D4857" s="4">
        <v>9</v>
      </c>
      <c r="E4857" s="4">
        <v>7</v>
      </c>
      <c r="G4857">
        <f t="shared" si="75"/>
        <v>112</v>
      </c>
    </row>
    <row r="4858" spans="2:7" ht="15" hidden="1" x14ac:dyDescent="0.25">
      <c r="B4858" s="4">
        <v>584631763</v>
      </c>
      <c r="C4858" s="4" t="s">
        <v>268</v>
      </c>
      <c r="D4858" s="4">
        <v>9</v>
      </c>
      <c r="E4858" s="4">
        <v>7</v>
      </c>
      <c r="G4858">
        <f t="shared" si="75"/>
        <v>112</v>
      </c>
    </row>
    <row r="4859" spans="2:7" ht="15" hidden="1" x14ac:dyDescent="0.25">
      <c r="B4859" s="4">
        <v>584631763</v>
      </c>
      <c r="C4859" s="4" t="s">
        <v>269</v>
      </c>
      <c r="D4859" s="4">
        <v>34</v>
      </c>
      <c r="E4859" s="4">
        <v>57</v>
      </c>
      <c r="G4859">
        <f t="shared" si="75"/>
        <v>512</v>
      </c>
    </row>
    <row r="4860" spans="2:7" ht="15" hidden="1" x14ac:dyDescent="0.25">
      <c r="B4860" s="4">
        <v>584631764</v>
      </c>
      <c r="C4860" s="4" t="s">
        <v>268</v>
      </c>
      <c r="D4860" s="4">
        <v>10</v>
      </c>
      <c r="E4860" s="4">
        <v>7</v>
      </c>
      <c r="G4860">
        <f t="shared" si="75"/>
        <v>112</v>
      </c>
    </row>
    <row r="4861" spans="2:7" ht="15" hidden="1" x14ac:dyDescent="0.25">
      <c r="B4861" s="4">
        <v>584631764</v>
      </c>
      <c r="C4861" s="4" t="s">
        <v>268</v>
      </c>
      <c r="D4861" s="4">
        <v>10</v>
      </c>
      <c r="E4861" s="4">
        <v>7</v>
      </c>
      <c r="G4861">
        <f t="shared" si="75"/>
        <v>112</v>
      </c>
    </row>
    <row r="4862" spans="2:7" ht="15" hidden="1" x14ac:dyDescent="0.25">
      <c r="B4862" s="4">
        <v>584631764</v>
      </c>
      <c r="C4862" s="4" t="s">
        <v>268</v>
      </c>
      <c r="D4862" s="4">
        <v>11</v>
      </c>
      <c r="E4862" s="4">
        <v>7</v>
      </c>
      <c r="G4862">
        <f t="shared" si="75"/>
        <v>112</v>
      </c>
    </row>
    <row r="4863" spans="2:7" ht="15" hidden="1" x14ac:dyDescent="0.25">
      <c r="B4863" s="4">
        <v>584631764</v>
      </c>
      <c r="C4863" s="4" t="s">
        <v>268</v>
      </c>
      <c r="D4863" s="4">
        <v>11</v>
      </c>
      <c r="E4863" s="4">
        <v>7</v>
      </c>
      <c r="G4863">
        <f t="shared" si="75"/>
        <v>112</v>
      </c>
    </row>
    <row r="4864" spans="2:7" ht="15" hidden="1" x14ac:dyDescent="0.25">
      <c r="B4864" s="4">
        <v>584631764</v>
      </c>
      <c r="C4864" s="4" t="s">
        <v>268</v>
      </c>
      <c r="D4864" s="4">
        <v>12</v>
      </c>
      <c r="E4864" s="4">
        <v>7</v>
      </c>
      <c r="G4864">
        <f t="shared" si="75"/>
        <v>112</v>
      </c>
    </row>
    <row r="4865" spans="2:7" ht="15" hidden="1" x14ac:dyDescent="0.25">
      <c r="B4865" s="4">
        <v>584631764</v>
      </c>
      <c r="C4865" s="4" t="s">
        <v>268</v>
      </c>
      <c r="D4865" s="4">
        <v>12</v>
      </c>
      <c r="E4865" s="4">
        <v>7</v>
      </c>
      <c r="G4865">
        <f t="shared" si="75"/>
        <v>112</v>
      </c>
    </row>
    <row r="4866" spans="2:7" ht="15" hidden="1" x14ac:dyDescent="0.25">
      <c r="B4866" s="4">
        <v>584631764</v>
      </c>
      <c r="C4866" s="4" t="s">
        <v>269</v>
      </c>
      <c r="D4866" s="4">
        <v>35</v>
      </c>
      <c r="E4866" s="4">
        <v>57</v>
      </c>
      <c r="F4866">
        <v>5</v>
      </c>
      <c r="G4866">
        <f t="shared" si="75"/>
        <v>512</v>
      </c>
    </row>
    <row r="4867" spans="2:7" ht="15" hidden="1" x14ac:dyDescent="0.25">
      <c r="B4867" s="4">
        <v>584631765</v>
      </c>
      <c r="C4867" s="4" t="s">
        <v>268</v>
      </c>
      <c r="D4867" s="4">
        <v>13</v>
      </c>
      <c r="E4867" s="4">
        <v>7</v>
      </c>
      <c r="F4867">
        <v>5</v>
      </c>
      <c r="G4867">
        <f t="shared" si="75"/>
        <v>112</v>
      </c>
    </row>
    <row r="4868" spans="2:7" ht="15" hidden="1" x14ac:dyDescent="0.25">
      <c r="B4868" s="4">
        <v>584631765</v>
      </c>
      <c r="C4868" s="4" t="s">
        <v>268</v>
      </c>
      <c r="D4868" s="4">
        <v>13</v>
      </c>
      <c r="E4868" s="4">
        <v>7</v>
      </c>
      <c r="F4868">
        <v>189</v>
      </c>
      <c r="G4868">
        <f t="shared" ref="G4868:G4931" si="76">(E4868+7)*8</f>
        <v>112</v>
      </c>
    </row>
    <row r="4869" spans="2:7" ht="15" hidden="1" x14ac:dyDescent="0.25">
      <c r="B4869" s="4">
        <v>584631765</v>
      </c>
      <c r="C4869" s="4" t="s">
        <v>268</v>
      </c>
      <c r="D4869" s="4">
        <v>14</v>
      </c>
      <c r="E4869" s="4">
        <v>7</v>
      </c>
      <c r="F4869">
        <v>189</v>
      </c>
      <c r="G4869">
        <f t="shared" si="76"/>
        <v>112</v>
      </c>
    </row>
    <row r="4870" spans="2:7" ht="15" hidden="1" x14ac:dyDescent="0.25">
      <c r="B4870" s="4">
        <v>584631765</v>
      </c>
      <c r="C4870" s="4" t="s">
        <v>268</v>
      </c>
      <c r="D4870" s="4">
        <v>14</v>
      </c>
      <c r="E4870" s="4">
        <v>7</v>
      </c>
      <c r="F4870">
        <v>5</v>
      </c>
      <c r="G4870">
        <f t="shared" si="76"/>
        <v>112</v>
      </c>
    </row>
    <row r="4871" spans="2:7" ht="15" hidden="1" x14ac:dyDescent="0.25">
      <c r="B4871" s="4">
        <v>584631765</v>
      </c>
      <c r="C4871" s="4" t="s">
        <v>269</v>
      </c>
      <c r="D4871" s="4">
        <v>36</v>
      </c>
      <c r="E4871" s="4">
        <v>57</v>
      </c>
      <c r="F4871">
        <v>5</v>
      </c>
      <c r="G4871">
        <f t="shared" si="76"/>
        <v>512</v>
      </c>
    </row>
    <row r="4872" spans="2:7" ht="15" hidden="1" x14ac:dyDescent="0.25">
      <c r="B4872" s="4">
        <v>584631766</v>
      </c>
      <c r="C4872" s="4" t="s">
        <v>268</v>
      </c>
      <c r="D4872" s="4">
        <v>15</v>
      </c>
      <c r="E4872" s="4">
        <v>9</v>
      </c>
      <c r="F4872">
        <v>5</v>
      </c>
      <c r="G4872">
        <f t="shared" si="76"/>
        <v>128</v>
      </c>
    </row>
    <row r="4873" spans="2:7" ht="15" hidden="1" x14ac:dyDescent="0.25">
      <c r="B4873" s="4">
        <v>584631766</v>
      </c>
      <c r="C4873" s="4" t="s">
        <v>268</v>
      </c>
      <c r="D4873" s="4">
        <v>15</v>
      </c>
      <c r="E4873" s="4">
        <v>9</v>
      </c>
      <c r="F4873">
        <v>195</v>
      </c>
      <c r="G4873">
        <f t="shared" si="76"/>
        <v>128</v>
      </c>
    </row>
    <row r="4874" spans="2:7" ht="15" hidden="1" x14ac:dyDescent="0.25">
      <c r="B4874" s="4">
        <v>584631766</v>
      </c>
      <c r="C4874" s="4" t="s">
        <v>268</v>
      </c>
      <c r="D4874" s="4">
        <v>16</v>
      </c>
      <c r="E4874" s="4">
        <v>7</v>
      </c>
      <c r="F4874">
        <v>195</v>
      </c>
      <c r="G4874">
        <f t="shared" si="76"/>
        <v>112</v>
      </c>
    </row>
    <row r="4875" spans="2:7" ht="15" hidden="1" x14ac:dyDescent="0.25">
      <c r="B4875" s="4">
        <v>584631766</v>
      </c>
      <c r="C4875" s="4" t="s">
        <v>268</v>
      </c>
      <c r="D4875" s="4">
        <v>16</v>
      </c>
      <c r="E4875" s="4">
        <v>7</v>
      </c>
      <c r="F4875">
        <v>93</v>
      </c>
      <c r="G4875">
        <f t="shared" si="76"/>
        <v>112</v>
      </c>
    </row>
    <row r="4876" spans="2:7" ht="15" hidden="1" x14ac:dyDescent="0.25">
      <c r="B4876" s="4">
        <v>584631766</v>
      </c>
      <c r="C4876" s="4" t="s">
        <v>268</v>
      </c>
      <c r="D4876" s="4">
        <v>17</v>
      </c>
      <c r="E4876" s="4">
        <v>7</v>
      </c>
      <c r="F4876">
        <v>93</v>
      </c>
      <c r="G4876">
        <f t="shared" si="76"/>
        <v>112</v>
      </c>
    </row>
    <row r="4877" spans="2:7" ht="15" hidden="1" x14ac:dyDescent="0.25">
      <c r="B4877" s="4">
        <v>584631766</v>
      </c>
      <c r="C4877" s="4" t="s">
        <v>268</v>
      </c>
      <c r="D4877" s="4">
        <v>17</v>
      </c>
      <c r="E4877" s="4">
        <v>7</v>
      </c>
      <c r="F4877">
        <v>100</v>
      </c>
      <c r="G4877">
        <f t="shared" si="76"/>
        <v>112</v>
      </c>
    </row>
    <row r="4878" spans="2:7" ht="15" hidden="1" x14ac:dyDescent="0.25">
      <c r="B4878" s="4">
        <v>584631766</v>
      </c>
      <c r="C4878" s="4" t="s">
        <v>268</v>
      </c>
      <c r="D4878" s="4">
        <v>18</v>
      </c>
      <c r="E4878" s="4">
        <v>7</v>
      </c>
      <c r="F4878">
        <v>100</v>
      </c>
      <c r="G4878">
        <f t="shared" si="76"/>
        <v>112</v>
      </c>
    </row>
    <row r="4879" spans="2:7" ht="15" hidden="1" x14ac:dyDescent="0.25">
      <c r="B4879" s="4">
        <v>584631766</v>
      </c>
      <c r="C4879" s="4" t="s">
        <v>268</v>
      </c>
      <c r="D4879" s="4">
        <v>18</v>
      </c>
      <c r="E4879" s="4">
        <v>7</v>
      </c>
      <c r="F4879">
        <v>93</v>
      </c>
      <c r="G4879">
        <f t="shared" si="76"/>
        <v>112</v>
      </c>
    </row>
    <row r="4880" spans="2:7" ht="15" hidden="1" x14ac:dyDescent="0.25">
      <c r="B4880" s="4">
        <v>584631766</v>
      </c>
      <c r="C4880" s="4" t="s">
        <v>268</v>
      </c>
      <c r="D4880" s="4">
        <v>19</v>
      </c>
      <c r="E4880" s="4">
        <v>7</v>
      </c>
      <c r="F4880">
        <v>93</v>
      </c>
      <c r="G4880">
        <f t="shared" si="76"/>
        <v>112</v>
      </c>
    </row>
    <row r="4881" spans="2:7" ht="15" hidden="1" x14ac:dyDescent="0.25">
      <c r="B4881" s="4">
        <v>584631766</v>
      </c>
      <c r="C4881" s="4" t="s">
        <v>268</v>
      </c>
      <c r="D4881" s="4">
        <v>19</v>
      </c>
      <c r="E4881" s="4">
        <v>7</v>
      </c>
      <c r="F4881">
        <v>104</v>
      </c>
      <c r="G4881">
        <f t="shared" si="76"/>
        <v>112</v>
      </c>
    </row>
    <row r="4882" spans="2:7" ht="15" hidden="1" x14ac:dyDescent="0.25">
      <c r="B4882" s="4">
        <v>584631766</v>
      </c>
      <c r="C4882" s="4" t="s">
        <v>268</v>
      </c>
      <c r="D4882" s="4">
        <v>20</v>
      </c>
      <c r="E4882" s="4">
        <v>7</v>
      </c>
      <c r="F4882">
        <v>104</v>
      </c>
      <c r="G4882">
        <f t="shared" si="76"/>
        <v>112</v>
      </c>
    </row>
    <row r="4883" spans="2:7" ht="15" hidden="1" x14ac:dyDescent="0.25">
      <c r="B4883" s="4">
        <v>584631766</v>
      </c>
      <c r="C4883" s="4" t="s">
        <v>268</v>
      </c>
      <c r="D4883" s="4">
        <v>20</v>
      </c>
      <c r="E4883" s="4">
        <v>7</v>
      </c>
      <c r="F4883">
        <v>5</v>
      </c>
      <c r="G4883">
        <f t="shared" si="76"/>
        <v>112</v>
      </c>
    </row>
    <row r="4884" spans="2:7" ht="15" hidden="1" x14ac:dyDescent="0.25">
      <c r="B4884" s="4">
        <v>584631766</v>
      </c>
      <c r="C4884" s="4" t="s">
        <v>269</v>
      </c>
      <c r="D4884" s="4">
        <v>37</v>
      </c>
      <c r="E4884" s="4">
        <v>57</v>
      </c>
      <c r="F4884">
        <v>5</v>
      </c>
      <c r="G4884">
        <f t="shared" si="76"/>
        <v>512</v>
      </c>
    </row>
    <row r="4885" spans="2:7" ht="15" hidden="1" x14ac:dyDescent="0.25">
      <c r="B4885" s="4">
        <v>584631767</v>
      </c>
      <c r="C4885" s="4" t="s">
        <v>268</v>
      </c>
      <c r="D4885" s="4">
        <v>21</v>
      </c>
      <c r="E4885" s="4">
        <v>7</v>
      </c>
      <c r="F4885">
        <v>5</v>
      </c>
      <c r="G4885">
        <f t="shared" si="76"/>
        <v>112</v>
      </c>
    </row>
    <row r="4886" spans="2:7" ht="15" hidden="1" x14ac:dyDescent="0.25">
      <c r="B4886" s="4">
        <v>584631767</v>
      </c>
      <c r="C4886" s="4" t="s">
        <v>268</v>
      </c>
      <c r="D4886" s="4">
        <v>21</v>
      </c>
      <c r="E4886" s="4">
        <v>7</v>
      </c>
      <c r="F4886">
        <v>188</v>
      </c>
      <c r="G4886">
        <f t="shared" si="76"/>
        <v>112</v>
      </c>
    </row>
    <row r="4887" spans="2:7" ht="15" hidden="1" x14ac:dyDescent="0.25">
      <c r="B4887" s="4">
        <v>584631767</v>
      </c>
      <c r="C4887" s="4" t="s">
        <v>268</v>
      </c>
      <c r="D4887" s="4">
        <v>22</v>
      </c>
      <c r="E4887" s="4">
        <v>7</v>
      </c>
      <c r="F4887">
        <v>188</v>
      </c>
      <c r="G4887">
        <f t="shared" si="76"/>
        <v>112</v>
      </c>
    </row>
    <row r="4888" spans="2:7" ht="15" hidden="1" x14ac:dyDescent="0.25">
      <c r="B4888" s="4">
        <v>584631767</v>
      </c>
      <c r="C4888" s="4" t="s">
        <v>268</v>
      </c>
      <c r="D4888" s="4">
        <v>22</v>
      </c>
      <c r="E4888" s="4">
        <v>7</v>
      </c>
      <c r="F4888">
        <v>5</v>
      </c>
      <c r="G4888">
        <f t="shared" si="76"/>
        <v>112</v>
      </c>
    </row>
    <row r="4889" spans="2:7" ht="15" hidden="1" x14ac:dyDescent="0.25">
      <c r="B4889" s="4">
        <v>584631767</v>
      </c>
      <c r="C4889" s="4" t="s">
        <v>269</v>
      </c>
      <c r="D4889" s="4">
        <v>38</v>
      </c>
      <c r="E4889" s="4">
        <v>57</v>
      </c>
      <c r="F4889">
        <v>5</v>
      </c>
      <c r="G4889">
        <f t="shared" si="76"/>
        <v>512</v>
      </c>
    </row>
    <row r="4890" spans="2:7" ht="15" hidden="1" x14ac:dyDescent="0.25">
      <c r="B4890" s="4">
        <v>584631768</v>
      </c>
      <c r="C4890" s="4" t="s">
        <v>268</v>
      </c>
      <c r="D4890" s="4">
        <v>23</v>
      </c>
      <c r="E4890" s="4">
        <v>7</v>
      </c>
      <c r="F4890">
        <v>5</v>
      </c>
      <c r="G4890">
        <f t="shared" si="76"/>
        <v>112</v>
      </c>
    </row>
    <row r="4891" spans="2:7" ht="15" hidden="1" x14ac:dyDescent="0.25">
      <c r="B4891" s="4">
        <v>584631768</v>
      </c>
      <c r="C4891" s="4" t="s">
        <v>268</v>
      </c>
      <c r="D4891" s="4">
        <v>23</v>
      </c>
      <c r="E4891" s="4">
        <v>7</v>
      </c>
      <c r="F4891">
        <v>78</v>
      </c>
      <c r="G4891">
        <f t="shared" si="76"/>
        <v>112</v>
      </c>
    </row>
    <row r="4892" spans="2:7" ht="15" hidden="1" x14ac:dyDescent="0.25">
      <c r="B4892" s="4">
        <v>584631768</v>
      </c>
      <c r="C4892" s="4" t="s">
        <v>268</v>
      </c>
      <c r="D4892" s="4">
        <v>24</v>
      </c>
      <c r="E4892" s="4">
        <v>7</v>
      </c>
      <c r="F4892">
        <v>78</v>
      </c>
      <c r="G4892">
        <f t="shared" si="76"/>
        <v>112</v>
      </c>
    </row>
    <row r="4893" spans="2:7" ht="15" hidden="1" x14ac:dyDescent="0.25">
      <c r="B4893" s="4">
        <v>584631768</v>
      </c>
      <c r="C4893" s="4" t="s">
        <v>268</v>
      </c>
      <c r="D4893" s="4">
        <v>24</v>
      </c>
      <c r="E4893" s="4">
        <v>7</v>
      </c>
      <c r="F4893">
        <v>5</v>
      </c>
      <c r="G4893">
        <f t="shared" si="76"/>
        <v>112</v>
      </c>
    </row>
    <row r="4894" spans="2:7" ht="15" hidden="1" x14ac:dyDescent="0.25">
      <c r="B4894" s="4">
        <v>584631768</v>
      </c>
      <c r="C4894" s="4" t="s">
        <v>269</v>
      </c>
      <c r="D4894" s="4">
        <v>39</v>
      </c>
      <c r="E4894" s="4">
        <v>57</v>
      </c>
      <c r="F4894">
        <v>5</v>
      </c>
      <c r="G4894">
        <f t="shared" si="76"/>
        <v>512</v>
      </c>
    </row>
    <row r="4895" spans="2:7" ht="15" hidden="1" x14ac:dyDescent="0.25">
      <c r="B4895" s="4">
        <v>584631769</v>
      </c>
      <c r="C4895" s="4" t="s">
        <v>268</v>
      </c>
      <c r="D4895" s="4">
        <v>25</v>
      </c>
      <c r="E4895" s="4">
        <v>9</v>
      </c>
      <c r="F4895">
        <v>5</v>
      </c>
      <c r="G4895">
        <f t="shared" si="76"/>
        <v>128</v>
      </c>
    </row>
    <row r="4896" spans="2:7" ht="15" hidden="1" x14ac:dyDescent="0.25">
      <c r="B4896" s="4">
        <v>584631769</v>
      </c>
      <c r="C4896" s="4" t="s">
        <v>268</v>
      </c>
      <c r="D4896" s="4">
        <v>25</v>
      </c>
      <c r="E4896" s="4">
        <v>9</v>
      </c>
      <c r="F4896">
        <v>195</v>
      </c>
      <c r="G4896">
        <f t="shared" si="76"/>
        <v>128</v>
      </c>
    </row>
    <row r="4897" spans="2:7" ht="15" hidden="1" x14ac:dyDescent="0.25">
      <c r="B4897" s="4">
        <v>584631769</v>
      </c>
      <c r="C4897" s="4" t="s">
        <v>268</v>
      </c>
      <c r="D4897" s="4">
        <v>26</v>
      </c>
      <c r="E4897" s="4">
        <v>7</v>
      </c>
      <c r="F4897">
        <v>195</v>
      </c>
      <c r="G4897">
        <f t="shared" si="76"/>
        <v>112</v>
      </c>
    </row>
    <row r="4898" spans="2:7" ht="15" hidden="1" x14ac:dyDescent="0.25">
      <c r="B4898" s="4">
        <v>584631769</v>
      </c>
      <c r="C4898" s="4" t="s">
        <v>268</v>
      </c>
      <c r="D4898" s="4">
        <v>26</v>
      </c>
      <c r="E4898" s="4">
        <v>7</v>
      </c>
      <c r="F4898">
        <v>5</v>
      </c>
      <c r="G4898">
        <f t="shared" si="76"/>
        <v>112</v>
      </c>
    </row>
    <row r="4899" spans="2:7" ht="15" hidden="1" x14ac:dyDescent="0.25">
      <c r="B4899" s="4">
        <v>584631769</v>
      </c>
      <c r="C4899" s="4" t="s">
        <v>269</v>
      </c>
      <c r="D4899" s="4">
        <v>40</v>
      </c>
      <c r="E4899" s="4">
        <v>57</v>
      </c>
      <c r="F4899">
        <v>5</v>
      </c>
      <c r="G4899">
        <f t="shared" si="76"/>
        <v>512</v>
      </c>
    </row>
    <row r="4900" spans="2:7" ht="15" hidden="1" x14ac:dyDescent="0.25">
      <c r="B4900" s="4">
        <v>584631770</v>
      </c>
      <c r="C4900" s="4" t="s">
        <v>268</v>
      </c>
      <c r="D4900" s="4">
        <v>27</v>
      </c>
      <c r="E4900" s="4">
        <v>9</v>
      </c>
      <c r="F4900">
        <v>5</v>
      </c>
      <c r="G4900">
        <f t="shared" si="76"/>
        <v>128</v>
      </c>
    </row>
    <row r="4901" spans="2:7" ht="15" hidden="1" x14ac:dyDescent="0.25">
      <c r="B4901" s="4">
        <v>584631770</v>
      </c>
      <c r="C4901" s="4" t="s">
        <v>268</v>
      </c>
      <c r="D4901" s="4">
        <v>27</v>
      </c>
      <c r="E4901" s="4">
        <v>9</v>
      </c>
      <c r="F4901">
        <v>195</v>
      </c>
      <c r="G4901">
        <f t="shared" si="76"/>
        <v>128</v>
      </c>
    </row>
    <row r="4902" spans="2:7" ht="15" hidden="1" x14ac:dyDescent="0.25">
      <c r="B4902" s="4">
        <v>584631770</v>
      </c>
      <c r="C4902" s="4" t="s">
        <v>268</v>
      </c>
      <c r="D4902" s="4">
        <v>28</v>
      </c>
      <c r="E4902" s="4">
        <v>7</v>
      </c>
      <c r="F4902">
        <v>195</v>
      </c>
      <c r="G4902">
        <f t="shared" si="76"/>
        <v>112</v>
      </c>
    </row>
    <row r="4903" spans="2:7" ht="15" hidden="1" x14ac:dyDescent="0.25">
      <c r="B4903" s="4">
        <v>584631770</v>
      </c>
      <c r="C4903" s="4" t="s">
        <v>268</v>
      </c>
      <c r="D4903" s="4">
        <v>28</v>
      </c>
      <c r="E4903" s="4">
        <v>7</v>
      </c>
      <c r="F4903">
        <v>5</v>
      </c>
      <c r="G4903">
        <f t="shared" si="76"/>
        <v>112</v>
      </c>
    </row>
    <row r="4904" spans="2:7" ht="15" hidden="1" x14ac:dyDescent="0.25">
      <c r="B4904" s="4">
        <v>584631770</v>
      </c>
      <c r="C4904" s="4" t="s">
        <v>269</v>
      </c>
      <c r="D4904" s="4">
        <v>41</v>
      </c>
      <c r="E4904" s="4">
        <v>57</v>
      </c>
      <c r="F4904">
        <v>5</v>
      </c>
      <c r="G4904">
        <f t="shared" si="76"/>
        <v>512</v>
      </c>
    </row>
    <row r="4905" spans="2:7" ht="15" hidden="1" x14ac:dyDescent="0.25">
      <c r="B4905" s="4">
        <v>584631771</v>
      </c>
      <c r="C4905" s="4" t="s">
        <v>268</v>
      </c>
      <c r="D4905" s="4">
        <v>29</v>
      </c>
      <c r="E4905" s="4">
        <v>7</v>
      </c>
      <c r="F4905">
        <v>5</v>
      </c>
      <c r="G4905">
        <f t="shared" si="76"/>
        <v>112</v>
      </c>
    </row>
    <row r="4906" spans="2:7" ht="15" hidden="1" x14ac:dyDescent="0.25">
      <c r="B4906" s="4">
        <v>584631771</v>
      </c>
      <c r="C4906" s="4" t="s">
        <v>268</v>
      </c>
      <c r="D4906" s="4">
        <v>29</v>
      </c>
      <c r="E4906" s="4">
        <v>7</v>
      </c>
      <c r="F4906">
        <v>85</v>
      </c>
      <c r="G4906">
        <f t="shared" si="76"/>
        <v>112</v>
      </c>
    </row>
    <row r="4907" spans="2:7" ht="15" hidden="1" x14ac:dyDescent="0.25">
      <c r="B4907" s="4">
        <v>584631771</v>
      </c>
      <c r="C4907" s="4" t="s">
        <v>268</v>
      </c>
      <c r="D4907" s="4">
        <v>30</v>
      </c>
      <c r="E4907" s="4">
        <v>7</v>
      </c>
      <c r="F4907">
        <v>85</v>
      </c>
      <c r="G4907">
        <f t="shared" si="76"/>
        <v>112</v>
      </c>
    </row>
    <row r="4908" spans="2:7" ht="15" hidden="1" x14ac:dyDescent="0.25">
      <c r="B4908" s="4">
        <v>584631771</v>
      </c>
      <c r="C4908" s="4" t="s">
        <v>268</v>
      </c>
      <c r="D4908" s="4">
        <v>30</v>
      </c>
      <c r="E4908" s="4">
        <v>7</v>
      </c>
      <c r="F4908">
        <v>85</v>
      </c>
      <c r="G4908">
        <f t="shared" si="76"/>
        <v>112</v>
      </c>
    </row>
    <row r="4909" spans="2:7" ht="15" hidden="1" x14ac:dyDescent="0.25">
      <c r="B4909" s="4">
        <v>584631771</v>
      </c>
      <c r="C4909" s="4" t="s">
        <v>268</v>
      </c>
      <c r="D4909" s="4">
        <v>31</v>
      </c>
      <c r="E4909" s="4">
        <v>7</v>
      </c>
      <c r="F4909">
        <v>85</v>
      </c>
      <c r="G4909">
        <f t="shared" si="76"/>
        <v>112</v>
      </c>
    </row>
    <row r="4910" spans="2:7" ht="15" hidden="1" x14ac:dyDescent="0.25">
      <c r="B4910" s="4">
        <v>584631771</v>
      </c>
      <c r="C4910" s="4" t="s">
        <v>268</v>
      </c>
      <c r="D4910" s="4">
        <v>31</v>
      </c>
      <c r="E4910" s="4">
        <v>7</v>
      </c>
      <c r="F4910">
        <v>85</v>
      </c>
      <c r="G4910">
        <f t="shared" si="76"/>
        <v>112</v>
      </c>
    </row>
    <row r="4911" spans="2:7" ht="15" hidden="1" x14ac:dyDescent="0.25">
      <c r="B4911" s="4">
        <v>584631771</v>
      </c>
      <c r="C4911" s="4" t="s">
        <v>268</v>
      </c>
      <c r="D4911" s="4">
        <v>32</v>
      </c>
      <c r="E4911" s="4">
        <v>7</v>
      </c>
      <c r="F4911">
        <v>85</v>
      </c>
      <c r="G4911">
        <f t="shared" si="76"/>
        <v>112</v>
      </c>
    </row>
    <row r="4912" spans="2:7" ht="15" hidden="1" x14ac:dyDescent="0.25">
      <c r="B4912" s="4">
        <v>584631771</v>
      </c>
      <c r="C4912" s="4" t="s">
        <v>268</v>
      </c>
      <c r="D4912" s="4">
        <v>32</v>
      </c>
      <c r="E4912" s="4">
        <v>7</v>
      </c>
      <c r="F4912">
        <v>85</v>
      </c>
      <c r="G4912">
        <f t="shared" si="76"/>
        <v>112</v>
      </c>
    </row>
    <row r="4913" spans="2:7" ht="15" hidden="1" x14ac:dyDescent="0.25">
      <c r="B4913" s="4">
        <v>584631771</v>
      </c>
      <c r="C4913" s="4" t="s">
        <v>268</v>
      </c>
      <c r="D4913" s="4">
        <v>33</v>
      </c>
      <c r="E4913" s="4">
        <v>7</v>
      </c>
      <c r="F4913">
        <v>85</v>
      </c>
      <c r="G4913">
        <f t="shared" si="76"/>
        <v>112</v>
      </c>
    </row>
    <row r="4914" spans="2:7" ht="15" hidden="1" x14ac:dyDescent="0.25">
      <c r="B4914" s="4">
        <v>584631771</v>
      </c>
      <c r="C4914" s="4" t="s">
        <v>268</v>
      </c>
      <c r="D4914" s="4">
        <v>33</v>
      </c>
      <c r="E4914" s="4">
        <v>7</v>
      </c>
      <c r="F4914">
        <v>85</v>
      </c>
      <c r="G4914">
        <f t="shared" si="76"/>
        <v>112</v>
      </c>
    </row>
    <row r="4915" spans="2:7" ht="15" hidden="1" x14ac:dyDescent="0.25">
      <c r="B4915" s="4">
        <v>584631771</v>
      </c>
      <c r="C4915" s="4" t="s">
        <v>268</v>
      </c>
      <c r="D4915" s="4">
        <v>34</v>
      </c>
      <c r="E4915" s="4">
        <v>7</v>
      </c>
      <c r="F4915">
        <v>85</v>
      </c>
      <c r="G4915">
        <f t="shared" si="76"/>
        <v>112</v>
      </c>
    </row>
    <row r="4916" spans="2:7" ht="15" hidden="1" x14ac:dyDescent="0.25">
      <c r="B4916" s="4">
        <v>584631771</v>
      </c>
      <c r="C4916" s="4" t="s">
        <v>268</v>
      </c>
      <c r="D4916" s="4">
        <v>34</v>
      </c>
      <c r="E4916" s="4">
        <v>7</v>
      </c>
      <c r="F4916">
        <v>5</v>
      </c>
      <c r="G4916">
        <f t="shared" si="76"/>
        <v>112</v>
      </c>
    </row>
    <row r="4917" spans="2:7" ht="15" hidden="1" x14ac:dyDescent="0.25">
      <c r="B4917" s="4">
        <v>584631771</v>
      </c>
      <c r="C4917" s="4" t="s">
        <v>269</v>
      </c>
      <c r="D4917" s="4">
        <v>42</v>
      </c>
      <c r="E4917" s="4">
        <v>57</v>
      </c>
      <c r="F4917">
        <v>5</v>
      </c>
      <c r="G4917">
        <f t="shared" si="76"/>
        <v>512</v>
      </c>
    </row>
    <row r="4918" spans="2:7" ht="15" hidden="1" x14ac:dyDescent="0.25">
      <c r="B4918" s="4">
        <v>584631772</v>
      </c>
      <c r="C4918" s="4" t="s">
        <v>268</v>
      </c>
      <c r="D4918" s="4">
        <v>35</v>
      </c>
      <c r="E4918" s="4">
        <v>7</v>
      </c>
      <c r="F4918">
        <v>5</v>
      </c>
      <c r="G4918">
        <f t="shared" si="76"/>
        <v>112</v>
      </c>
    </row>
    <row r="4919" spans="2:7" ht="15" hidden="1" x14ac:dyDescent="0.25">
      <c r="B4919" s="4">
        <v>584631772</v>
      </c>
      <c r="C4919" s="4" t="s">
        <v>268</v>
      </c>
      <c r="D4919" s="4">
        <v>35</v>
      </c>
      <c r="E4919" s="4">
        <v>7</v>
      </c>
      <c r="F4919">
        <v>85</v>
      </c>
      <c r="G4919">
        <f t="shared" si="76"/>
        <v>112</v>
      </c>
    </row>
    <row r="4920" spans="2:7" ht="15" hidden="1" x14ac:dyDescent="0.25">
      <c r="B4920" s="4">
        <v>584631772</v>
      </c>
      <c r="C4920" s="4" t="s">
        <v>268</v>
      </c>
      <c r="D4920" s="4">
        <v>36</v>
      </c>
      <c r="E4920" s="4">
        <v>7</v>
      </c>
      <c r="F4920">
        <v>85</v>
      </c>
      <c r="G4920">
        <f t="shared" si="76"/>
        <v>112</v>
      </c>
    </row>
    <row r="4921" spans="2:7" ht="15" hidden="1" x14ac:dyDescent="0.25">
      <c r="B4921" s="4">
        <v>584631772</v>
      </c>
      <c r="C4921" s="4" t="s">
        <v>268</v>
      </c>
      <c r="D4921" s="4">
        <v>36</v>
      </c>
      <c r="E4921" s="4">
        <v>7</v>
      </c>
      <c r="F4921">
        <v>85</v>
      </c>
      <c r="G4921">
        <f t="shared" si="76"/>
        <v>112</v>
      </c>
    </row>
    <row r="4922" spans="2:7" ht="15" hidden="1" x14ac:dyDescent="0.25">
      <c r="B4922" s="4">
        <v>584631772</v>
      </c>
      <c r="C4922" s="4" t="s">
        <v>268</v>
      </c>
      <c r="D4922" s="4">
        <v>37</v>
      </c>
      <c r="E4922" s="4">
        <v>7</v>
      </c>
      <c r="F4922">
        <v>85</v>
      </c>
      <c r="G4922">
        <f t="shared" si="76"/>
        <v>112</v>
      </c>
    </row>
    <row r="4923" spans="2:7" ht="15" hidden="1" x14ac:dyDescent="0.25">
      <c r="B4923" s="4">
        <v>584631772</v>
      </c>
      <c r="C4923" s="4" t="s">
        <v>268</v>
      </c>
      <c r="D4923" s="4">
        <v>37</v>
      </c>
      <c r="E4923" s="4">
        <v>7</v>
      </c>
      <c r="F4923">
        <v>85</v>
      </c>
      <c r="G4923">
        <f t="shared" si="76"/>
        <v>112</v>
      </c>
    </row>
    <row r="4924" spans="2:7" ht="15" hidden="1" x14ac:dyDescent="0.25">
      <c r="B4924" s="4">
        <v>584631772</v>
      </c>
      <c r="C4924" s="4" t="s">
        <v>268</v>
      </c>
      <c r="D4924" s="4">
        <v>38</v>
      </c>
      <c r="E4924" s="4">
        <v>7</v>
      </c>
      <c r="F4924">
        <v>85</v>
      </c>
      <c r="G4924">
        <f t="shared" si="76"/>
        <v>112</v>
      </c>
    </row>
    <row r="4925" spans="2:7" ht="15" hidden="1" x14ac:dyDescent="0.25">
      <c r="B4925" s="4">
        <v>584631772</v>
      </c>
      <c r="C4925" s="4" t="s">
        <v>268</v>
      </c>
      <c r="D4925" s="4">
        <v>38</v>
      </c>
      <c r="E4925" s="4">
        <v>7</v>
      </c>
      <c r="F4925">
        <v>85</v>
      </c>
      <c r="G4925">
        <f t="shared" si="76"/>
        <v>112</v>
      </c>
    </row>
    <row r="4926" spans="2:7" ht="15" hidden="1" x14ac:dyDescent="0.25">
      <c r="B4926" s="4">
        <v>584631772</v>
      </c>
      <c r="C4926" s="4" t="s">
        <v>268</v>
      </c>
      <c r="D4926" s="4">
        <v>39</v>
      </c>
      <c r="E4926" s="4">
        <v>7</v>
      </c>
      <c r="F4926">
        <v>85</v>
      </c>
      <c r="G4926">
        <f t="shared" si="76"/>
        <v>112</v>
      </c>
    </row>
    <row r="4927" spans="2:7" ht="15" hidden="1" x14ac:dyDescent="0.25">
      <c r="B4927" s="4">
        <v>584631772</v>
      </c>
      <c r="C4927" s="4" t="s">
        <v>268</v>
      </c>
      <c r="D4927" s="4">
        <v>39</v>
      </c>
      <c r="E4927" s="4">
        <v>7</v>
      </c>
      <c r="F4927">
        <v>85</v>
      </c>
      <c r="G4927">
        <f t="shared" si="76"/>
        <v>112</v>
      </c>
    </row>
    <row r="4928" spans="2:7" ht="15" hidden="1" x14ac:dyDescent="0.25">
      <c r="B4928" s="4">
        <v>584631772</v>
      </c>
      <c r="C4928" s="4" t="s">
        <v>268</v>
      </c>
      <c r="D4928" s="4">
        <v>40</v>
      </c>
      <c r="E4928" s="4">
        <v>7</v>
      </c>
      <c r="F4928">
        <v>85</v>
      </c>
      <c r="G4928">
        <f t="shared" si="76"/>
        <v>112</v>
      </c>
    </row>
    <row r="4929" spans="2:7" ht="15" hidden="1" x14ac:dyDescent="0.25">
      <c r="B4929" s="4">
        <v>584631772</v>
      </c>
      <c r="C4929" s="4" t="s">
        <v>268</v>
      </c>
      <c r="D4929" s="4">
        <v>40</v>
      </c>
      <c r="E4929" s="4">
        <v>7</v>
      </c>
      <c r="F4929">
        <v>5</v>
      </c>
      <c r="G4929">
        <f t="shared" si="76"/>
        <v>112</v>
      </c>
    </row>
    <row r="4930" spans="2:7" ht="15" hidden="1" x14ac:dyDescent="0.25">
      <c r="B4930" s="4">
        <v>584631772</v>
      </c>
      <c r="C4930" s="4" t="s">
        <v>269</v>
      </c>
      <c r="D4930" s="4">
        <v>43</v>
      </c>
      <c r="E4930" s="4">
        <v>57</v>
      </c>
      <c r="F4930">
        <v>5</v>
      </c>
      <c r="G4930">
        <f t="shared" si="76"/>
        <v>512</v>
      </c>
    </row>
    <row r="4931" spans="2:7" ht="15" hidden="1" x14ac:dyDescent="0.25">
      <c r="B4931" s="4">
        <v>584631773</v>
      </c>
      <c r="C4931" s="4" t="s">
        <v>268</v>
      </c>
      <c r="D4931" s="4">
        <v>41</v>
      </c>
      <c r="E4931" s="4">
        <v>7</v>
      </c>
      <c r="F4931">
        <v>5</v>
      </c>
      <c r="G4931">
        <f t="shared" si="76"/>
        <v>112</v>
      </c>
    </row>
    <row r="4932" spans="2:7" ht="15" hidden="1" x14ac:dyDescent="0.25">
      <c r="B4932" s="4">
        <v>584631773</v>
      </c>
      <c r="C4932" s="4" t="s">
        <v>268</v>
      </c>
      <c r="D4932" s="4">
        <v>41</v>
      </c>
      <c r="E4932" s="4">
        <v>7</v>
      </c>
      <c r="F4932">
        <v>85</v>
      </c>
      <c r="G4932">
        <f t="shared" ref="G4932:G4995" si="77">(E4932+7)*8</f>
        <v>112</v>
      </c>
    </row>
    <row r="4933" spans="2:7" ht="15" hidden="1" x14ac:dyDescent="0.25">
      <c r="B4933" s="4">
        <v>584631773</v>
      </c>
      <c r="C4933" s="4" t="s">
        <v>268</v>
      </c>
      <c r="D4933" s="4">
        <v>42</v>
      </c>
      <c r="E4933" s="4">
        <v>7</v>
      </c>
      <c r="F4933">
        <v>85</v>
      </c>
      <c r="G4933">
        <f t="shared" si="77"/>
        <v>112</v>
      </c>
    </row>
    <row r="4934" spans="2:7" ht="15" hidden="1" x14ac:dyDescent="0.25">
      <c r="B4934" s="4">
        <v>584631773</v>
      </c>
      <c r="C4934" s="4" t="s">
        <v>268</v>
      </c>
      <c r="D4934" s="4">
        <v>42</v>
      </c>
      <c r="E4934" s="4">
        <v>7</v>
      </c>
      <c r="F4934">
        <v>85</v>
      </c>
      <c r="G4934">
        <f t="shared" si="77"/>
        <v>112</v>
      </c>
    </row>
    <row r="4935" spans="2:7" ht="15" hidden="1" x14ac:dyDescent="0.25">
      <c r="B4935" s="4">
        <v>584631773</v>
      </c>
      <c r="C4935" s="4" t="s">
        <v>268</v>
      </c>
      <c r="D4935" s="4">
        <v>43</v>
      </c>
      <c r="E4935" s="4">
        <v>7</v>
      </c>
      <c r="F4935">
        <v>85</v>
      </c>
      <c r="G4935">
        <f t="shared" si="77"/>
        <v>112</v>
      </c>
    </row>
    <row r="4936" spans="2:7" ht="15" hidden="1" x14ac:dyDescent="0.25">
      <c r="B4936" s="4">
        <v>584631773</v>
      </c>
      <c r="C4936" s="4" t="s">
        <v>268</v>
      </c>
      <c r="D4936" s="4">
        <v>43</v>
      </c>
      <c r="E4936" s="4">
        <v>7</v>
      </c>
      <c r="F4936">
        <v>86</v>
      </c>
      <c r="G4936">
        <f t="shared" si="77"/>
        <v>112</v>
      </c>
    </row>
    <row r="4937" spans="2:7" ht="15" hidden="1" x14ac:dyDescent="0.25">
      <c r="B4937" s="4">
        <v>584631773</v>
      </c>
      <c r="C4937" s="4" t="s">
        <v>268</v>
      </c>
      <c r="D4937" s="4">
        <v>44</v>
      </c>
      <c r="E4937" s="4">
        <v>7</v>
      </c>
      <c r="F4937">
        <v>86</v>
      </c>
      <c r="G4937">
        <f t="shared" si="77"/>
        <v>112</v>
      </c>
    </row>
    <row r="4938" spans="2:7" ht="15" hidden="1" x14ac:dyDescent="0.25">
      <c r="B4938" s="4">
        <v>584631773</v>
      </c>
      <c r="C4938" s="4" t="s">
        <v>268</v>
      </c>
      <c r="D4938" s="4">
        <v>44</v>
      </c>
      <c r="E4938" s="4">
        <v>7</v>
      </c>
      <c r="F4938">
        <v>86</v>
      </c>
      <c r="G4938">
        <f t="shared" si="77"/>
        <v>112</v>
      </c>
    </row>
    <row r="4939" spans="2:7" ht="15" hidden="1" x14ac:dyDescent="0.25">
      <c r="B4939" s="4">
        <v>584631773</v>
      </c>
      <c r="C4939" s="4" t="s">
        <v>268</v>
      </c>
      <c r="D4939" s="4">
        <v>45</v>
      </c>
      <c r="E4939" s="4">
        <v>7</v>
      </c>
      <c r="F4939">
        <v>86</v>
      </c>
      <c r="G4939">
        <f t="shared" si="77"/>
        <v>112</v>
      </c>
    </row>
    <row r="4940" spans="2:7" ht="15" hidden="1" x14ac:dyDescent="0.25">
      <c r="B4940" s="4">
        <v>584631773</v>
      </c>
      <c r="C4940" s="4" t="s">
        <v>268</v>
      </c>
      <c r="D4940" s="4">
        <v>45</v>
      </c>
      <c r="E4940" s="4">
        <v>7</v>
      </c>
      <c r="F4940">
        <v>5</v>
      </c>
      <c r="G4940">
        <f t="shared" si="77"/>
        <v>112</v>
      </c>
    </row>
    <row r="4941" spans="2:7" ht="15" hidden="1" x14ac:dyDescent="0.25">
      <c r="B4941" s="4">
        <v>584631773</v>
      </c>
      <c r="C4941" s="4" t="s">
        <v>269</v>
      </c>
      <c r="D4941" s="4">
        <v>44</v>
      </c>
      <c r="E4941" s="4">
        <v>57</v>
      </c>
      <c r="F4941">
        <v>5</v>
      </c>
      <c r="G4941">
        <f t="shared" si="77"/>
        <v>512</v>
      </c>
    </row>
    <row r="4942" spans="2:7" ht="15" hidden="1" x14ac:dyDescent="0.25">
      <c r="B4942" s="4">
        <v>584631774</v>
      </c>
      <c r="C4942" s="4" t="s">
        <v>268</v>
      </c>
      <c r="D4942" s="4">
        <v>46</v>
      </c>
      <c r="E4942" s="4">
        <v>7</v>
      </c>
      <c r="F4942">
        <v>5</v>
      </c>
      <c r="G4942">
        <f t="shared" si="77"/>
        <v>112</v>
      </c>
    </row>
    <row r="4943" spans="2:7" ht="15" hidden="1" x14ac:dyDescent="0.25">
      <c r="B4943" s="4">
        <v>584631774</v>
      </c>
      <c r="C4943" s="4" t="s">
        <v>268</v>
      </c>
      <c r="D4943" s="4">
        <v>46</v>
      </c>
      <c r="E4943" s="4">
        <v>7</v>
      </c>
      <c r="F4943">
        <v>86</v>
      </c>
      <c r="G4943">
        <f t="shared" si="77"/>
        <v>112</v>
      </c>
    </row>
    <row r="4944" spans="2:7" ht="15" hidden="1" x14ac:dyDescent="0.25">
      <c r="B4944" s="4">
        <v>584631774</v>
      </c>
      <c r="C4944" s="4" t="s">
        <v>268</v>
      </c>
      <c r="D4944" s="4">
        <v>47</v>
      </c>
      <c r="E4944" s="4">
        <v>7</v>
      </c>
      <c r="F4944">
        <v>86</v>
      </c>
      <c r="G4944">
        <f t="shared" si="77"/>
        <v>112</v>
      </c>
    </row>
    <row r="4945" spans="2:7" ht="15" hidden="1" x14ac:dyDescent="0.25">
      <c r="B4945" s="4">
        <v>584631774</v>
      </c>
      <c r="C4945" s="4" t="s">
        <v>268</v>
      </c>
      <c r="D4945" s="4">
        <v>47</v>
      </c>
      <c r="E4945" s="4">
        <v>7</v>
      </c>
      <c r="F4945">
        <v>86</v>
      </c>
      <c r="G4945">
        <f t="shared" si="77"/>
        <v>112</v>
      </c>
    </row>
    <row r="4946" spans="2:7" ht="15" hidden="1" x14ac:dyDescent="0.25">
      <c r="B4946" s="4">
        <v>584631774</v>
      </c>
      <c r="C4946" s="4" t="s">
        <v>268</v>
      </c>
      <c r="D4946" s="4">
        <v>48</v>
      </c>
      <c r="E4946" s="4">
        <v>7</v>
      </c>
      <c r="F4946">
        <v>86</v>
      </c>
      <c r="G4946">
        <f t="shared" si="77"/>
        <v>112</v>
      </c>
    </row>
    <row r="4947" spans="2:7" ht="15" hidden="1" x14ac:dyDescent="0.25">
      <c r="B4947" s="4">
        <v>584631774</v>
      </c>
      <c r="C4947" s="4" t="s">
        <v>268</v>
      </c>
      <c r="D4947" s="4">
        <v>48</v>
      </c>
      <c r="E4947" s="4">
        <v>7</v>
      </c>
      <c r="F4947">
        <v>86</v>
      </c>
      <c r="G4947">
        <f t="shared" si="77"/>
        <v>112</v>
      </c>
    </row>
    <row r="4948" spans="2:7" ht="15" hidden="1" x14ac:dyDescent="0.25">
      <c r="B4948" s="4">
        <v>584631774</v>
      </c>
      <c r="C4948" s="4" t="s">
        <v>268</v>
      </c>
      <c r="D4948" s="4">
        <v>49</v>
      </c>
      <c r="E4948" s="4">
        <v>7</v>
      </c>
      <c r="F4948">
        <v>86</v>
      </c>
      <c r="G4948">
        <f t="shared" si="77"/>
        <v>112</v>
      </c>
    </row>
    <row r="4949" spans="2:7" ht="15" hidden="1" x14ac:dyDescent="0.25">
      <c r="B4949" s="4">
        <v>584631774</v>
      </c>
      <c r="C4949" s="4" t="s">
        <v>268</v>
      </c>
      <c r="D4949" s="4">
        <v>49</v>
      </c>
      <c r="E4949" s="4">
        <v>7</v>
      </c>
      <c r="F4949">
        <v>86</v>
      </c>
      <c r="G4949">
        <f t="shared" si="77"/>
        <v>112</v>
      </c>
    </row>
    <row r="4950" spans="2:7" ht="15" hidden="1" x14ac:dyDescent="0.25">
      <c r="B4950" s="4">
        <v>584631774</v>
      </c>
      <c r="C4950" s="4" t="s">
        <v>268</v>
      </c>
      <c r="D4950" s="4">
        <v>50</v>
      </c>
      <c r="E4950" s="4">
        <v>7</v>
      </c>
      <c r="F4950">
        <v>86</v>
      </c>
      <c r="G4950">
        <f t="shared" si="77"/>
        <v>112</v>
      </c>
    </row>
    <row r="4951" spans="2:7" ht="15" hidden="1" x14ac:dyDescent="0.25">
      <c r="B4951" s="4">
        <v>584631774</v>
      </c>
      <c r="C4951" s="4" t="s">
        <v>268</v>
      </c>
      <c r="D4951" s="4">
        <v>50</v>
      </c>
      <c r="E4951" s="4">
        <v>7</v>
      </c>
      <c r="F4951">
        <v>5</v>
      </c>
      <c r="G4951">
        <f t="shared" si="77"/>
        <v>112</v>
      </c>
    </row>
    <row r="4952" spans="2:7" ht="15" hidden="1" x14ac:dyDescent="0.25">
      <c r="B4952" s="4">
        <v>584631774</v>
      </c>
      <c r="C4952" s="4" t="s">
        <v>269</v>
      </c>
      <c r="D4952" s="4">
        <v>45</v>
      </c>
      <c r="E4952" s="4">
        <v>57</v>
      </c>
      <c r="F4952">
        <v>5</v>
      </c>
      <c r="G4952">
        <f t="shared" si="77"/>
        <v>512</v>
      </c>
    </row>
    <row r="4953" spans="2:7" ht="15" hidden="1" x14ac:dyDescent="0.25">
      <c r="B4953" s="4">
        <v>584631775</v>
      </c>
      <c r="C4953" s="4" t="s">
        <v>268</v>
      </c>
      <c r="D4953" s="4">
        <v>51</v>
      </c>
      <c r="E4953" s="4">
        <v>7</v>
      </c>
      <c r="F4953">
        <v>5</v>
      </c>
      <c r="G4953">
        <f t="shared" si="77"/>
        <v>112</v>
      </c>
    </row>
    <row r="4954" spans="2:7" ht="15" hidden="1" x14ac:dyDescent="0.25">
      <c r="B4954" s="4">
        <v>584631775</v>
      </c>
      <c r="C4954" s="4" t="s">
        <v>268</v>
      </c>
      <c r="D4954" s="4">
        <v>51</v>
      </c>
      <c r="E4954" s="4">
        <v>7</v>
      </c>
      <c r="F4954">
        <v>184</v>
      </c>
      <c r="G4954">
        <f t="shared" si="77"/>
        <v>112</v>
      </c>
    </row>
    <row r="4955" spans="2:7" ht="15" hidden="1" x14ac:dyDescent="0.25">
      <c r="B4955" s="4">
        <v>584631775</v>
      </c>
      <c r="C4955" s="4" t="s">
        <v>268</v>
      </c>
      <c r="D4955" s="4">
        <v>52</v>
      </c>
      <c r="E4955" s="4">
        <v>7</v>
      </c>
      <c r="F4955">
        <v>184</v>
      </c>
      <c r="G4955">
        <f t="shared" si="77"/>
        <v>112</v>
      </c>
    </row>
    <row r="4956" spans="2:7" ht="15" hidden="1" x14ac:dyDescent="0.25">
      <c r="B4956" s="4">
        <v>584631775</v>
      </c>
      <c r="C4956" s="4" t="s">
        <v>268</v>
      </c>
      <c r="D4956" s="4">
        <v>52</v>
      </c>
      <c r="E4956" s="4">
        <v>7</v>
      </c>
      <c r="F4956">
        <v>184</v>
      </c>
      <c r="G4956">
        <f t="shared" si="77"/>
        <v>112</v>
      </c>
    </row>
    <row r="4957" spans="2:7" ht="15" hidden="1" x14ac:dyDescent="0.25">
      <c r="B4957" s="4">
        <v>584631775</v>
      </c>
      <c r="C4957" s="4" t="s">
        <v>268</v>
      </c>
      <c r="D4957" s="4">
        <v>53</v>
      </c>
      <c r="E4957" s="4">
        <v>7</v>
      </c>
      <c r="F4957">
        <v>184</v>
      </c>
      <c r="G4957">
        <f t="shared" si="77"/>
        <v>112</v>
      </c>
    </row>
    <row r="4958" spans="2:7" ht="15" hidden="1" x14ac:dyDescent="0.25">
      <c r="B4958" s="4">
        <v>584631775</v>
      </c>
      <c r="C4958" s="4" t="s">
        <v>268</v>
      </c>
      <c r="D4958" s="4">
        <v>53</v>
      </c>
      <c r="E4958" s="4">
        <v>7</v>
      </c>
      <c r="F4958">
        <v>184</v>
      </c>
      <c r="G4958">
        <f t="shared" si="77"/>
        <v>112</v>
      </c>
    </row>
    <row r="4959" spans="2:7" ht="15" hidden="1" x14ac:dyDescent="0.25">
      <c r="B4959" s="4">
        <v>584631775</v>
      </c>
      <c r="C4959" s="4" t="s">
        <v>268</v>
      </c>
      <c r="D4959" s="4">
        <v>54</v>
      </c>
      <c r="E4959" s="4">
        <v>7</v>
      </c>
      <c r="F4959">
        <v>184</v>
      </c>
      <c r="G4959">
        <f t="shared" si="77"/>
        <v>112</v>
      </c>
    </row>
    <row r="4960" spans="2:7" ht="15" hidden="1" x14ac:dyDescent="0.25">
      <c r="B4960" s="4">
        <v>584631775</v>
      </c>
      <c r="C4960" s="4" t="s">
        <v>268</v>
      </c>
      <c r="D4960" s="4">
        <v>54</v>
      </c>
      <c r="E4960" s="4">
        <v>7</v>
      </c>
      <c r="F4960">
        <v>184</v>
      </c>
      <c r="G4960">
        <f t="shared" si="77"/>
        <v>112</v>
      </c>
    </row>
    <row r="4961" spans="2:7" ht="15" hidden="1" x14ac:dyDescent="0.25">
      <c r="B4961" s="4">
        <v>584631775</v>
      </c>
      <c r="C4961" s="4" t="s">
        <v>268</v>
      </c>
      <c r="D4961" s="4">
        <v>55</v>
      </c>
      <c r="E4961" s="4">
        <v>7</v>
      </c>
      <c r="F4961">
        <v>184</v>
      </c>
      <c r="G4961">
        <f t="shared" si="77"/>
        <v>112</v>
      </c>
    </row>
    <row r="4962" spans="2:7" ht="15" hidden="1" x14ac:dyDescent="0.25">
      <c r="B4962" s="4">
        <v>584631775</v>
      </c>
      <c r="C4962" s="4" t="s">
        <v>268</v>
      </c>
      <c r="D4962" s="4">
        <v>55</v>
      </c>
      <c r="E4962" s="4">
        <v>7</v>
      </c>
      <c r="F4962">
        <v>5</v>
      </c>
      <c r="G4962">
        <f t="shared" si="77"/>
        <v>112</v>
      </c>
    </row>
    <row r="4963" spans="2:7" ht="15" hidden="1" x14ac:dyDescent="0.25">
      <c r="B4963" s="4">
        <v>584631775</v>
      </c>
      <c r="C4963" s="4" t="s">
        <v>269</v>
      </c>
      <c r="D4963" s="4">
        <v>46</v>
      </c>
      <c r="E4963" s="4">
        <v>57</v>
      </c>
      <c r="F4963">
        <v>5</v>
      </c>
      <c r="G4963">
        <f t="shared" si="77"/>
        <v>512</v>
      </c>
    </row>
    <row r="4964" spans="2:7" ht="15" hidden="1" x14ac:dyDescent="0.25">
      <c r="B4964" s="4">
        <v>584631776</v>
      </c>
      <c r="C4964" s="4" t="s">
        <v>268</v>
      </c>
      <c r="D4964" s="4">
        <v>56</v>
      </c>
      <c r="E4964" s="4">
        <v>7</v>
      </c>
      <c r="F4964">
        <v>5</v>
      </c>
      <c r="G4964">
        <f t="shared" si="77"/>
        <v>112</v>
      </c>
    </row>
    <row r="4965" spans="2:7" ht="15" hidden="1" x14ac:dyDescent="0.25">
      <c r="B4965" s="4">
        <v>584631776</v>
      </c>
      <c r="C4965" s="4" t="s">
        <v>268</v>
      </c>
      <c r="D4965" s="4">
        <v>56</v>
      </c>
      <c r="E4965" s="4">
        <v>7</v>
      </c>
      <c r="F4965">
        <v>183</v>
      </c>
      <c r="G4965">
        <f t="shared" si="77"/>
        <v>112</v>
      </c>
    </row>
    <row r="4966" spans="2:7" ht="15" hidden="1" x14ac:dyDescent="0.25">
      <c r="B4966" s="4">
        <v>584631776</v>
      </c>
      <c r="C4966" s="4" t="s">
        <v>268</v>
      </c>
      <c r="D4966" s="4">
        <v>57</v>
      </c>
      <c r="E4966" s="4">
        <v>7</v>
      </c>
      <c r="F4966">
        <v>183</v>
      </c>
      <c r="G4966">
        <f t="shared" si="77"/>
        <v>112</v>
      </c>
    </row>
    <row r="4967" spans="2:7" ht="15" hidden="1" x14ac:dyDescent="0.25">
      <c r="B4967" s="4">
        <v>584631776</v>
      </c>
      <c r="C4967" s="4" t="s">
        <v>268</v>
      </c>
      <c r="D4967" s="4">
        <v>57</v>
      </c>
      <c r="E4967" s="4">
        <v>7</v>
      </c>
      <c r="F4967">
        <v>183</v>
      </c>
      <c r="G4967">
        <f t="shared" si="77"/>
        <v>112</v>
      </c>
    </row>
    <row r="4968" spans="2:7" ht="15" hidden="1" x14ac:dyDescent="0.25">
      <c r="B4968" s="4">
        <v>584631776</v>
      </c>
      <c r="C4968" s="4" t="s">
        <v>268</v>
      </c>
      <c r="D4968" s="4">
        <v>58</v>
      </c>
      <c r="E4968" s="4">
        <v>7</v>
      </c>
      <c r="F4968">
        <v>183</v>
      </c>
      <c r="G4968">
        <f t="shared" si="77"/>
        <v>112</v>
      </c>
    </row>
    <row r="4969" spans="2:7" ht="15" hidden="1" x14ac:dyDescent="0.25">
      <c r="B4969" s="4">
        <v>584631776</v>
      </c>
      <c r="C4969" s="4" t="s">
        <v>268</v>
      </c>
      <c r="D4969" s="4">
        <v>58</v>
      </c>
      <c r="E4969" s="4">
        <v>7</v>
      </c>
      <c r="F4969">
        <v>5</v>
      </c>
      <c r="G4969">
        <f t="shared" si="77"/>
        <v>112</v>
      </c>
    </row>
    <row r="4970" spans="2:7" ht="15" hidden="1" x14ac:dyDescent="0.25">
      <c r="B4970" s="4">
        <v>584631776</v>
      </c>
      <c r="C4970" s="4" t="s">
        <v>269</v>
      </c>
      <c r="D4970" s="4">
        <v>47</v>
      </c>
      <c r="E4970" s="4">
        <v>57</v>
      </c>
      <c r="F4970">
        <v>5</v>
      </c>
      <c r="G4970">
        <f t="shared" si="77"/>
        <v>512</v>
      </c>
    </row>
    <row r="4971" spans="2:7" ht="15" hidden="1" x14ac:dyDescent="0.25">
      <c r="B4971" s="4">
        <v>584631777</v>
      </c>
      <c r="C4971" s="4" t="s">
        <v>268</v>
      </c>
      <c r="D4971" s="4">
        <v>59</v>
      </c>
      <c r="E4971" s="4">
        <v>6</v>
      </c>
      <c r="F4971">
        <v>5</v>
      </c>
      <c r="G4971">
        <f t="shared" si="77"/>
        <v>104</v>
      </c>
    </row>
    <row r="4972" spans="2:7" ht="15" hidden="1" x14ac:dyDescent="0.25">
      <c r="B4972" s="4">
        <v>584631777</v>
      </c>
      <c r="C4972" s="4" t="s">
        <v>268</v>
      </c>
      <c r="D4972" s="4">
        <v>59</v>
      </c>
      <c r="E4972" s="4">
        <v>6</v>
      </c>
      <c r="F4972">
        <v>11</v>
      </c>
      <c r="G4972">
        <f t="shared" si="77"/>
        <v>104</v>
      </c>
    </row>
    <row r="4973" spans="2:7" ht="15" hidden="1" x14ac:dyDescent="0.25">
      <c r="B4973" s="4">
        <v>584631777</v>
      </c>
      <c r="C4973" s="4" t="s">
        <v>268</v>
      </c>
      <c r="D4973" s="4">
        <v>60</v>
      </c>
      <c r="E4973" s="4">
        <v>9</v>
      </c>
      <c r="F4973">
        <v>11</v>
      </c>
      <c r="G4973">
        <f t="shared" si="77"/>
        <v>128</v>
      </c>
    </row>
    <row r="4974" spans="2:7" ht="15" hidden="1" x14ac:dyDescent="0.25">
      <c r="B4974" s="4">
        <v>584631777</v>
      </c>
      <c r="C4974" s="4" t="s">
        <v>268</v>
      </c>
      <c r="D4974" s="4">
        <v>60</v>
      </c>
      <c r="E4974" s="4">
        <v>9</v>
      </c>
      <c r="F4974">
        <v>80</v>
      </c>
      <c r="G4974">
        <f t="shared" si="77"/>
        <v>128</v>
      </c>
    </row>
    <row r="4975" spans="2:7" ht="15" hidden="1" x14ac:dyDescent="0.25">
      <c r="B4975" s="4">
        <v>584631777</v>
      </c>
      <c r="C4975" s="4" t="s">
        <v>268</v>
      </c>
      <c r="D4975" s="4">
        <v>61</v>
      </c>
      <c r="E4975" s="4">
        <v>7</v>
      </c>
      <c r="F4975">
        <v>80</v>
      </c>
      <c r="G4975">
        <f t="shared" si="77"/>
        <v>112</v>
      </c>
    </row>
    <row r="4976" spans="2:7" ht="15" hidden="1" x14ac:dyDescent="0.25">
      <c r="B4976" s="4">
        <v>584631777</v>
      </c>
      <c r="C4976" s="4" t="s">
        <v>268</v>
      </c>
      <c r="D4976" s="4">
        <v>61</v>
      </c>
      <c r="E4976" s="4">
        <v>7</v>
      </c>
      <c r="F4976">
        <v>5</v>
      </c>
      <c r="G4976">
        <f t="shared" si="77"/>
        <v>112</v>
      </c>
    </row>
    <row r="4977" spans="2:7" ht="15" hidden="1" x14ac:dyDescent="0.25">
      <c r="B4977" s="4">
        <v>584631777</v>
      </c>
      <c r="C4977" s="4" t="s">
        <v>269</v>
      </c>
      <c r="D4977" s="4">
        <v>48</v>
      </c>
      <c r="E4977" s="4">
        <v>57</v>
      </c>
      <c r="F4977">
        <v>5</v>
      </c>
      <c r="G4977">
        <f t="shared" si="77"/>
        <v>512</v>
      </c>
    </row>
    <row r="4978" spans="2:7" ht="15" hidden="1" x14ac:dyDescent="0.25">
      <c r="B4978" s="4">
        <v>584631778</v>
      </c>
      <c r="C4978" s="4" t="s">
        <v>269</v>
      </c>
      <c r="D4978" s="4">
        <v>49</v>
      </c>
      <c r="E4978" s="4">
        <v>57</v>
      </c>
      <c r="F4978">
        <v>5</v>
      </c>
      <c r="G4978">
        <f t="shared" si="77"/>
        <v>512</v>
      </c>
    </row>
    <row r="4979" spans="2:7" ht="15" hidden="1" x14ac:dyDescent="0.25">
      <c r="B4979" s="4">
        <v>584631779</v>
      </c>
      <c r="C4979" s="4" t="s">
        <v>269</v>
      </c>
      <c r="D4979" s="4">
        <v>50</v>
      </c>
      <c r="E4979" s="4">
        <v>57</v>
      </c>
      <c r="F4979">
        <v>5</v>
      </c>
      <c r="G4979">
        <f t="shared" si="77"/>
        <v>512</v>
      </c>
    </row>
    <row r="4980" spans="2:7" ht="15" hidden="1" x14ac:dyDescent="0.25">
      <c r="B4980" s="4">
        <v>584631780</v>
      </c>
      <c r="C4980" s="4" t="s">
        <v>268</v>
      </c>
      <c r="D4980" s="4">
        <v>62</v>
      </c>
      <c r="E4980" s="4">
        <v>9</v>
      </c>
      <c r="F4980">
        <v>5</v>
      </c>
      <c r="G4980">
        <f t="shared" si="77"/>
        <v>128</v>
      </c>
    </row>
    <row r="4981" spans="2:7" ht="15" hidden="1" x14ac:dyDescent="0.25">
      <c r="B4981" s="4">
        <v>584631780</v>
      </c>
      <c r="C4981" s="4" t="s">
        <v>268</v>
      </c>
      <c r="D4981" s="4">
        <v>62</v>
      </c>
      <c r="E4981" s="4">
        <v>9</v>
      </c>
      <c r="F4981">
        <v>195</v>
      </c>
      <c r="G4981">
        <f t="shared" si="77"/>
        <v>128</v>
      </c>
    </row>
    <row r="4982" spans="2:7" ht="15" hidden="1" x14ac:dyDescent="0.25">
      <c r="B4982" s="4">
        <v>584631780</v>
      </c>
      <c r="C4982" s="4" t="s">
        <v>268</v>
      </c>
      <c r="D4982" s="4">
        <v>63</v>
      </c>
      <c r="E4982" s="4">
        <v>7</v>
      </c>
      <c r="F4982">
        <v>195</v>
      </c>
      <c r="G4982">
        <f t="shared" si="77"/>
        <v>112</v>
      </c>
    </row>
    <row r="4983" spans="2:7" ht="15" hidden="1" x14ac:dyDescent="0.25">
      <c r="B4983" s="4">
        <v>584631780</v>
      </c>
      <c r="C4983" s="4" t="s">
        <v>268</v>
      </c>
      <c r="D4983" s="4">
        <v>63</v>
      </c>
      <c r="E4983" s="4">
        <v>7</v>
      </c>
      <c r="F4983">
        <v>182</v>
      </c>
      <c r="G4983">
        <f t="shared" si="77"/>
        <v>112</v>
      </c>
    </row>
    <row r="4984" spans="2:7" ht="15" hidden="1" x14ac:dyDescent="0.25">
      <c r="B4984" s="4">
        <v>584631780</v>
      </c>
      <c r="C4984" s="4" t="s">
        <v>268</v>
      </c>
      <c r="D4984" s="4">
        <v>64</v>
      </c>
      <c r="E4984" s="4">
        <v>7</v>
      </c>
      <c r="F4984">
        <v>182</v>
      </c>
      <c r="G4984">
        <f t="shared" si="77"/>
        <v>112</v>
      </c>
    </row>
    <row r="4985" spans="2:7" ht="15" hidden="1" x14ac:dyDescent="0.25">
      <c r="B4985" s="4">
        <v>584631780</v>
      </c>
      <c r="C4985" s="4" t="s">
        <v>268</v>
      </c>
      <c r="D4985" s="4">
        <v>64</v>
      </c>
      <c r="E4985" s="4">
        <v>7</v>
      </c>
      <c r="F4985">
        <v>5</v>
      </c>
      <c r="G4985">
        <f t="shared" si="77"/>
        <v>112</v>
      </c>
    </row>
    <row r="4986" spans="2:7" ht="15" hidden="1" x14ac:dyDescent="0.25">
      <c r="B4986" s="4">
        <v>584631780</v>
      </c>
      <c r="C4986" s="4" t="s">
        <v>269</v>
      </c>
      <c r="D4986" s="4">
        <v>51</v>
      </c>
      <c r="E4986" s="4">
        <v>57</v>
      </c>
      <c r="F4986">
        <v>5</v>
      </c>
      <c r="G4986">
        <f t="shared" si="77"/>
        <v>512</v>
      </c>
    </row>
    <row r="4987" spans="2:7" ht="15" hidden="1" x14ac:dyDescent="0.25">
      <c r="B4987" s="4">
        <v>584631781</v>
      </c>
      <c r="C4987" s="4" t="s">
        <v>269</v>
      </c>
      <c r="D4987" s="4">
        <v>52</v>
      </c>
      <c r="E4987" s="4">
        <v>57</v>
      </c>
      <c r="F4987">
        <v>5</v>
      </c>
      <c r="G4987">
        <f t="shared" si="77"/>
        <v>512</v>
      </c>
    </row>
    <row r="4988" spans="2:7" ht="15" hidden="1" x14ac:dyDescent="0.25">
      <c r="B4988" s="4">
        <v>584631782</v>
      </c>
      <c r="C4988" s="4" t="s">
        <v>269</v>
      </c>
      <c r="D4988" s="4">
        <v>53</v>
      </c>
      <c r="E4988" s="4">
        <v>57</v>
      </c>
      <c r="F4988">
        <v>5</v>
      </c>
      <c r="G4988">
        <f t="shared" si="77"/>
        <v>512</v>
      </c>
    </row>
    <row r="4989" spans="2:7" ht="15" hidden="1" x14ac:dyDescent="0.25">
      <c r="B4989" s="4">
        <v>584631783</v>
      </c>
      <c r="C4989" s="4" t="s">
        <v>268</v>
      </c>
      <c r="D4989" s="4">
        <v>65</v>
      </c>
      <c r="E4989" s="4">
        <v>9</v>
      </c>
      <c r="F4989">
        <v>5</v>
      </c>
      <c r="G4989">
        <f t="shared" si="77"/>
        <v>128</v>
      </c>
    </row>
    <row r="4990" spans="2:7" ht="15" hidden="1" x14ac:dyDescent="0.25">
      <c r="B4990" s="4">
        <v>584631783</v>
      </c>
      <c r="C4990" s="4" t="s">
        <v>268</v>
      </c>
      <c r="D4990" s="4">
        <v>65</v>
      </c>
      <c r="E4990" s="4">
        <v>9</v>
      </c>
      <c r="F4990">
        <v>195</v>
      </c>
      <c r="G4990">
        <f t="shared" si="77"/>
        <v>128</v>
      </c>
    </row>
    <row r="4991" spans="2:7" ht="15" hidden="1" x14ac:dyDescent="0.25">
      <c r="B4991" s="4">
        <v>584631783</v>
      </c>
      <c r="C4991" s="4" t="s">
        <v>268</v>
      </c>
      <c r="D4991" s="4">
        <v>66</v>
      </c>
      <c r="E4991" s="4">
        <v>7</v>
      </c>
      <c r="F4991">
        <v>195</v>
      </c>
      <c r="G4991">
        <f t="shared" si="77"/>
        <v>112</v>
      </c>
    </row>
    <row r="4992" spans="2:7" ht="15" hidden="1" x14ac:dyDescent="0.25">
      <c r="B4992" s="4">
        <v>584631783</v>
      </c>
      <c r="C4992" s="4" t="s">
        <v>268</v>
      </c>
      <c r="D4992" s="4">
        <v>66</v>
      </c>
      <c r="E4992" s="4">
        <v>7</v>
      </c>
      <c r="F4992">
        <v>182</v>
      </c>
      <c r="G4992">
        <f t="shared" si="77"/>
        <v>112</v>
      </c>
    </row>
    <row r="4993" spans="2:7" ht="15" hidden="1" x14ac:dyDescent="0.25">
      <c r="B4993" s="4">
        <v>584631783</v>
      </c>
      <c r="C4993" s="4" t="s">
        <v>268</v>
      </c>
      <c r="D4993" s="4">
        <v>67</v>
      </c>
      <c r="E4993" s="4">
        <v>7</v>
      </c>
      <c r="F4993">
        <v>182</v>
      </c>
      <c r="G4993">
        <f t="shared" si="77"/>
        <v>112</v>
      </c>
    </row>
    <row r="4994" spans="2:7" ht="15" hidden="1" x14ac:dyDescent="0.25">
      <c r="B4994" s="4">
        <v>584631783</v>
      </c>
      <c r="C4994" s="4" t="s">
        <v>268</v>
      </c>
      <c r="D4994" s="4">
        <v>67</v>
      </c>
      <c r="E4994" s="4">
        <v>7</v>
      </c>
      <c r="F4994">
        <v>5</v>
      </c>
      <c r="G4994">
        <f t="shared" si="77"/>
        <v>112</v>
      </c>
    </row>
    <row r="4995" spans="2:7" ht="15" hidden="1" x14ac:dyDescent="0.25">
      <c r="B4995" s="4">
        <v>584631783</v>
      </c>
      <c r="C4995" s="4" t="s">
        <v>269</v>
      </c>
      <c r="D4995" s="4">
        <v>54</v>
      </c>
      <c r="E4995" s="4">
        <v>57</v>
      </c>
      <c r="F4995">
        <v>5</v>
      </c>
      <c r="G4995">
        <f t="shared" si="77"/>
        <v>512</v>
      </c>
    </row>
    <row r="4996" spans="2:7" ht="15" hidden="1" x14ac:dyDescent="0.25">
      <c r="B4996" s="4">
        <v>584631784</v>
      </c>
      <c r="C4996" s="4" t="s">
        <v>269</v>
      </c>
      <c r="D4996" s="4">
        <v>55</v>
      </c>
      <c r="E4996" s="4">
        <v>57</v>
      </c>
      <c r="F4996">
        <v>5</v>
      </c>
      <c r="G4996">
        <f t="shared" ref="G4996:G5059" si="78">(E4996+7)*8</f>
        <v>512</v>
      </c>
    </row>
    <row r="4997" spans="2:7" ht="15" hidden="1" x14ac:dyDescent="0.25">
      <c r="B4997" s="4">
        <v>584631785</v>
      </c>
      <c r="C4997" s="4" t="s">
        <v>269</v>
      </c>
      <c r="D4997" s="4">
        <v>56</v>
      </c>
      <c r="E4997" s="4">
        <v>57</v>
      </c>
      <c r="F4997">
        <v>5</v>
      </c>
      <c r="G4997">
        <f t="shared" si="78"/>
        <v>512</v>
      </c>
    </row>
    <row r="4998" spans="2:7" ht="15" hidden="1" x14ac:dyDescent="0.25">
      <c r="B4998" s="4">
        <v>584631786</v>
      </c>
      <c r="C4998" s="4" t="s">
        <v>268</v>
      </c>
      <c r="D4998" s="4">
        <v>68</v>
      </c>
      <c r="E4998" s="4">
        <v>9</v>
      </c>
      <c r="F4998">
        <v>5</v>
      </c>
      <c r="G4998">
        <f t="shared" si="78"/>
        <v>128</v>
      </c>
    </row>
    <row r="4999" spans="2:7" ht="15" hidden="1" x14ac:dyDescent="0.25">
      <c r="B4999" s="4">
        <v>584631786</v>
      </c>
      <c r="C4999" s="4" t="s">
        <v>268</v>
      </c>
      <c r="D4999" s="4">
        <v>68</v>
      </c>
      <c r="E4999" s="4">
        <v>9</v>
      </c>
      <c r="F4999">
        <v>195</v>
      </c>
      <c r="G4999">
        <f t="shared" si="78"/>
        <v>128</v>
      </c>
    </row>
    <row r="5000" spans="2:7" ht="15" hidden="1" x14ac:dyDescent="0.25">
      <c r="B5000" s="4">
        <v>584631786</v>
      </c>
      <c r="C5000" s="4" t="s">
        <v>268</v>
      </c>
      <c r="D5000" s="4">
        <v>69</v>
      </c>
      <c r="E5000" s="4">
        <v>7</v>
      </c>
      <c r="F5000">
        <v>195</v>
      </c>
      <c r="G5000">
        <f t="shared" si="78"/>
        <v>112</v>
      </c>
    </row>
    <row r="5001" spans="2:7" ht="15" hidden="1" x14ac:dyDescent="0.25">
      <c r="B5001" s="4">
        <v>584631786</v>
      </c>
      <c r="C5001" s="4" t="s">
        <v>268</v>
      </c>
      <c r="D5001" s="4">
        <v>69</v>
      </c>
      <c r="E5001" s="4">
        <v>7</v>
      </c>
      <c r="F5001">
        <v>182</v>
      </c>
      <c r="G5001">
        <f t="shared" si="78"/>
        <v>112</v>
      </c>
    </row>
    <row r="5002" spans="2:7" ht="15" hidden="1" x14ac:dyDescent="0.25">
      <c r="B5002" s="4">
        <v>584631786</v>
      </c>
      <c r="C5002" s="4" t="s">
        <v>268</v>
      </c>
      <c r="D5002" s="4">
        <v>70</v>
      </c>
      <c r="E5002" s="4">
        <v>7</v>
      </c>
      <c r="F5002">
        <v>182</v>
      </c>
      <c r="G5002">
        <f t="shared" si="78"/>
        <v>112</v>
      </c>
    </row>
    <row r="5003" spans="2:7" ht="15" hidden="1" x14ac:dyDescent="0.25">
      <c r="B5003" s="4">
        <v>584631786</v>
      </c>
      <c r="C5003" s="4" t="s">
        <v>268</v>
      </c>
      <c r="D5003" s="4">
        <v>70</v>
      </c>
      <c r="E5003" s="4">
        <v>7</v>
      </c>
      <c r="F5003">
        <v>5</v>
      </c>
      <c r="G5003">
        <f t="shared" si="78"/>
        <v>112</v>
      </c>
    </row>
    <row r="5004" spans="2:7" ht="15" hidden="1" x14ac:dyDescent="0.25">
      <c r="B5004" s="4">
        <v>584631786</v>
      </c>
      <c r="C5004" s="4" t="s">
        <v>269</v>
      </c>
      <c r="D5004" s="4">
        <v>57</v>
      </c>
      <c r="E5004" s="4">
        <v>57</v>
      </c>
      <c r="F5004">
        <v>5</v>
      </c>
      <c r="G5004">
        <f t="shared" si="78"/>
        <v>512</v>
      </c>
    </row>
    <row r="5005" spans="2:7" ht="15" hidden="1" x14ac:dyDescent="0.25">
      <c r="B5005" s="4">
        <v>584631787</v>
      </c>
      <c r="C5005" s="4" t="s">
        <v>269</v>
      </c>
      <c r="D5005" s="4">
        <v>58</v>
      </c>
      <c r="E5005" s="4">
        <v>57</v>
      </c>
      <c r="F5005">
        <v>5</v>
      </c>
      <c r="G5005">
        <f t="shared" si="78"/>
        <v>512</v>
      </c>
    </row>
    <row r="5006" spans="2:7" ht="15" hidden="1" x14ac:dyDescent="0.25">
      <c r="B5006" s="4">
        <v>584631788</v>
      </c>
      <c r="C5006" s="4" t="s">
        <v>269</v>
      </c>
      <c r="D5006" s="4">
        <v>59</v>
      </c>
      <c r="E5006" s="4">
        <v>57</v>
      </c>
      <c r="F5006">
        <v>5</v>
      </c>
      <c r="G5006">
        <f t="shared" si="78"/>
        <v>512</v>
      </c>
    </row>
    <row r="5007" spans="2:7" ht="15" hidden="1" x14ac:dyDescent="0.25">
      <c r="B5007" s="4">
        <v>584631789</v>
      </c>
      <c r="C5007" s="4" t="s">
        <v>268</v>
      </c>
      <c r="D5007" s="4">
        <v>71</v>
      </c>
      <c r="E5007" s="4">
        <v>9</v>
      </c>
      <c r="F5007">
        <v>5</v>
      </c>
      <c r="G5007">
        <f t="shared" si="78"/>
        <v>128</v>
      </c>
    </row>
    <row r="5008" spans="2:7" ht="15" hidden="1" x14ac:dyDescent="0.25">
      <c r="B5008" s="4">
        <v>584631789</v>
      </c>
      <c r="C5008" s="4" t="s">
        <v>268</v>
      </c>
      <c r="D5008" s="4">
        <v>71</v>
      </c>
      <c r="E5008" s="4">
        <v>9</v>
      </c>
      <c r="F5008">
        <v>195</v>
      </c>
      <c r="G5008">
        <f t="shared" si="78"/>
        <v>128</v>
      </c>
    </row>
    <row r="5009" spans="2:7" ht="15" hidden="1" x14ac:dyDescent="0.25">
      <c r="B5009" s="4">
        <v>584631789</v>
      </c>
      <c r="C5009" s="4" t="s">
        <v>268</v>
      </c>
      <c r="D5009" s="4">
        <v>72</v>
      </c>
      <c r="E5009" s="4">
        <v>7</v>
      </c>
      <c r="F5009">
        <v>195</v>
      </c>
      <c r="G5009">
        <f t="shared" si="78"/>
        <v>112</v>
      </c>
    </row>
    <row r="5010" spans="2:7" ht="15" hidden="1" x14ac:dyDescent="0.25">
      <c r="B5010" s="4">
        <v>584631789</v>
      </c>
      <c r="C5010" s="4" t="s">
        <v>268</v>
      </c>
      <c r="D5010" s="4">
        <v>72</v>
      </c>
      <c r="E5010" s="4">
        <v>7</v>
      </c>
      <c r="F5010">
        <v>182</v>
      </c>
      <c r="G5010">
        <f t="shared" si="78"/>
        <v>112</v>
      </c>
    </row>
    <row r="5011" spans="2:7" ht="15" hidden="1" x14ac:dyDescent="0.25">
      <c r="B5011" s="4">
        <v>584631789</v>
      </c>
      <c r="C5011" s="4" t="s">
        <v>268</v>
      </c>
      <c r="D5011" s="4">
        <v>73</v>
      </c>
      <c r="E5011" s="4">
        <v>7</v>
      </c>
      <c r="F5011">
        <v>182</v>
      </c>
      <c r="G5011">
        <f t="shared" si="78"/>
        <v>112</v>
      </c>
    </row>
    <row r="5012" spans="2:7" ht="15" hidden="1" x14ac:dyDescent="0.25">
      <c r="B5012" s="4">
        <v>584631789</v>
      </c>
      <c r="C5012" s="4" t="s">
        <v>268</v>
      </c>
      <c r="D5012" s="4">
        <v>73</v>
      </c>
      <c r="E5012" s="4">
        <v>7</v>
      </c>
      <c r="F5012">
        <v>5</v>
      </c>
      <c r="G5012">
        <f t="shared" si="78"/>
        <v>112</v>
      </c>
    </row>
    <row r="5013" spans="2:7" ht="15" hidden="1" x14ac:dyDescent="0.25">
      <c r="B5013" s="4">
        <v>584631789</v>
      </c>
      <c r="C5013" s="4" t="s">
        <v>269</v>
      </c>
      <c r="D5013" s="4">
        <v>60</v>
      </c>
      <c r="E5013" s="4">
        <v>57</v>
      </c>
      <c r="F5013">
        <v>5</v>
      </c>
      <c r="G5013">
        <f t="shared" si="78"/>
        <v>512</v>
      </c>
    </row>
    <row r="5014" spans="2:7" ht="15" hidden="1" x14ac:dyDescent="0.25">
      <c r="B5014" s="4">
        <v>584631790</v>
      </c>
      <c r="C5014" s="4" t="s">
        <v>269</v>
      </c>
      <c r="D5014" s="4">
        <v>61</v>
      </c>
      <c r="E5014" s="4">
        <v>57</v>
      </c>
      <c r="F5014">
        <v>5</v>
      </c>
      <c r="G5014">
        <f t="shared" si="78"/>
        <v>512</v>
      </c>
    </row>
    <row r="5015" spans="2:7" ht="15" hidden="1" x14ac:dyDescent="0.25">
      <c r="B5015" s="4">
        <v>584631791</v>
      </c>
      <c r="C5015" s="4" t="s">
        <v>269</v>
      </c>
      <c r="D5015" s="4">
        <v>62</v>
      </c>
      <c r="E5015" s="4">
        <v>57</v>
      </c>
      <c r="F5015">
        <v>5</v>
      </c>
      <c r="G5015">
        <f t="shared" si="78"/>
        <v>512</v>
      </c>
    </row>
    <row r="5016" spans="2:7" ht="15" hidden="1" x14ac:dyDescent="0.25">
      <c r="B5016" s="4">
        <v>584631792</v>
      </c>
      <c r="C5016" s="4" t="s">
        <v>268</v>
      </c>
      <c r="D5016" s="4">
        <v>74</v>
      </c>
      <c r="E5016" s="4">
        <v>9</v>
      </c>
      <c r="F5016">
        <v>5</v>
      </c>
      <c r="G5016">
        <f t="shared" si="78"/>
        <v>128</v>
      </c>
    </row>
    <row r="5017" spans="2:7" ht="15" hidden="1" x14ac:dyDescent="0.25">
      <c r="B5017" s="4">
        <v>584631792</v>
      </c>
      <c r="C5017" s="4" t="s">
        <v>268</v>
      </c>
      <c r="D5017" s="4">
        <v>74</v>
      </c>
      <c r="E5017" s="4">
        <v>9</v>
      </c>
      <c r="F5017">
        <v>195</v>
      </c>
      <c r="G5017">
        <f t="shared" si="78"/>
        <v>128</v>
      </c>
    </row>
    <row r="5018" spans="2:7" ht="15" hidden="1" x14ac:dyDescent="0.25">
      <c r="B5018" s="4">
        <v>584631792</v>
      </c>
      <c r="C5018" s="4" t="s">
        <v>268</v>
      </c>
      <c r="D5018" s="4">
        <v>75</v>
      </c>
      <c r="E5018" s="4">
        <v>7</v>
      </c>
      <c r="F5018">
        <v>195</v>
      </c>
      <c r="G5018">
        <f t="shared" si="78"/>
        <v>112</v>
      </c>
    </row>
    <row r="5019" spans="2:7" ht="15" hidden="1" x14ac:dyDescent="0.25">
      <c r="B5019" s="4">
        <v>584631792</v>
      </c>
      <c r="C5019" s="4" t="s">
        <v>268</v>
      </c>
      <c r="D5019" s="4">
        <v>75</v>
      </c>
      <c r="E5019" s="4">
        <v>7</v>
      </c>
      <c r="F5019">
        <v>182</v>
      </c>
      <c r="G5019">
        <f t="shared" si="78"/>
        <v>112</v>
      </c>
    </row>
    <row r="5020" spans="2:7" ht="15" hidden="1" x14ac:dyDescent="0.25">
      <c r="B5020" s="4">
        <v>584631792</v>
      </c>
      <c r="C5020" s="4" t="s">
        <v>268</v>
      </c>
      <c r="D5020" s="4">
        <v>76</v>
      </c>
      <c r="E5020" s="4">
        <v>7</v>
      </c>
      <c r="F5020">
        <v>182</v>
      </c>
      <c r="G5020">
        <f t="shared" si="78"/>
        <v>112</v>
      </c>
    </row>
    <row r="5021" spans="2:7" ht="15" hidden="1" x14ac:dyDescent="0.25">
      <c r="B5021" s="4">
        <v>584631792</v>
      </c>
      <c r="C5021" s="4" t="s">
        <v>268</v>
      </c>
      <c r="D5021" s="4">
        <v>76</v>
      </c>
      <c r="E5021" s="4">
        <v>7</v>
      </c>
      <c r="F5021">
        <v>5</v>
      </c>
      <c r="G5021">
        <f t="shared" si="78"/>
        <v>112</v>
      </c>
    </row>
    <row r="5022" spans="2:7" ht="15" hidden="1" x14ac:dyDescent="0.25">
      <c r="B5022" s="4">
        <v>584631792</v>
      </c>
      <c r="C5022" s="4" t="s">
        <v>269</v>
      </c>
      <c r="D5022" s="4">
        <v>63</v>
      </c>
      <c r="E5022" s="4">
        <v>57</v>
      </c>
      <c r="F5022">
        <v>5</v>
      </c>
      <c r="G5022">
        <f t="shared" si="78"/>
        <v>512</v>
      </c>
    </row>
    <row r="5023" spans="2:7" ht="15" hidden="1" x14ac:dyDescent="0.25">
      <c r="B5023" s="4">
        <v>584631793</v>
      </c>
      <c r="C5023" s="4" t="s">
        <v>269</v>
      </c>
      <c r="D5023" s="4">
        <v>64</v>
      </c>
      <c r="E5023" s="4">
        <v>57</v>
      </c>
      <c r="F5023">
        <v>5</v>
      </c>
      <c r="G5023">
        <f t="shared" si="78"/>
        <v>512</v>
      </c>
    </row>
    <row r="5024" spans="2:7" ht="15" hidden="1" x14ac:dyDescent="0.25">
      <c r="B5024" s="4">
        <v>584631794</v>
      </c>
      <c r="C5024" s="4" t="s">
        <v>269</v>
      </c>
      <c r="D5024" s="4">
        <v>65</v>
      </c>
      <c r="E5024" s="4">
        <v>57</v>
      </c>
      <c r="F5024">
        <v>5</v>
      </c>
      <c r="G5024">
        <f t="shared" si="78"/>
        <v>512</v>
      </c>
    </row>
    <row r="5025" spans="2:7" ht="15" hidden="1" x14ac:dyDescent="0.25">
      <c r="B5025" s="4">
        <v>584631795</v>
      </c>
      <c r="C5025" s="4" t="s">
        <v>268</v>
      </c>
      <c r="D5025" s="4">
        <v>77</v>
      </c>
      <c r="E5025" s="4">
        <v>9</v>
      </c>
      <c r="F5025">
        <v>5</v>
      </c>
      <c r="G5025">
        <f t="shared" si="78"/>
        <v>128</v>
      </c>
    </row>
    <row r="5026" spans="2:7" ht="15" hidden="1" x14ac:dyDescent="0.25">
      <c r="B5026" s="4">
        <v>584631795</v>
      </c>
      <c r="C5026" s="4" t="s">
        <v>268</v>
      </c>
      <c r="D5026" s="4">
        <v>77</v>
      </c>
      <c r="E5026" s="4">
        <v>9</v>
      </c>
      <c r="F5026">
        <v>195</v>
      </c>
      <c r="G5026">
        <f t="shared" si="78"/>
        <v>128</v>
      </c>
    </row>
    <row r="5027" spans="2:7" ht="15" hidden="1" x14ac:dyDescent="0.25">
      <c r="B5027" s="4">
        <v>584631795</v>
      </c>
      <c r="C5027" s="4" t="s">
        <v>268</v>
      </c>
      <c r="D5027" s="4">
        <v>78</v>
      </c>
      <c r="E5027" s="4">
        <v>7</v>
      </c>
      <c r="F5027">
        <v>195</v>
      </c>
      <c r="G5027">
        <f t="shared" si="78"/>
        <v>112</v>
      </c>
    </row>
    <row r="5028" spans="2:7" ht="15" hidden="1" x14ac:dyDescent="0.25">
      <c r="B5028" s="4">
        <v>584631795</v>
      </c>
      <c r="C5028" s="4" t="s">
        <v>268</v>
      </c>
      <c r="D5028" s="4">
        <v>78</v>
      </c>
      <c r="E5028" s="4">
        <v>7</v>
      </c>
      <c r="F5028">
        <v>182</v>
      </c>
      <c r="G5028">
        <f t="shared" si="78"/>
        <v>112</v>
      </c>
    </row>
    <row r="5029" spans="2:7" ht="15" hidden="1" x14ac:dyDescent="0.25">
      <c r="B5029" s="4">
        <v>584631795</v>
      </c>
      <c r="C5029" s="4" t="s">
        <v>268</v>
      </c>
      <c r="D5029" s="4">
        <v>79</v>
      </c>
      <c r="E5029" s="4">
        <v>7</v>
      </c>
      <c r="F5029">
        <v>182</v>
      </c>
      <c r="G5029">
        <f t="shared" si="78"/>
        <v>112</v>
      </c>
    </row>
    <row r="5030" spans="2:7" ht="15" hidden="1" x14ac:dyDescent="0.25">
      <c r="B5030" s="4">
        <v>584631795</v>
      </c>
      <c r="C5030" s="4" t="s">
        <v>268</v>
      </c>
      <c r="D5030" s="4">
        <v>79</v>
      </c>
      <c r="E5030" s="4">
        <v>7</v>
      </c>
      <c r="F5030">
        <v>5</v>
      </c>
      <c r="G5030">
        <f t="shared" si="78"/>
        <v>112</v>
      </c>
    </row>
    <row r="5031" spans="2:7" ht="15" hidden="1" x14ac:dyDescent="0.25">
      <c r="B5031" s="4">
        <v>584631795</v>
      </c>
      <c r="C5031" s="4" t="s">
        <v>269</v>
      </c>
      <c r="D5031" s="4">
        <v>66</v>
      </c>
      <c r="E5031" s="4">
        <v>57</v>
      </c>
      <c r="F5031">
        <v>5</v>
      </c>
      <c r="G5031">
        <f t="shared" si="78"/>
        <v>512</v>
      </c>
    </row>
    <row r="5032" spans="2:7" ht="15" hidden="1" x14ac:dyDescent="0.25">
      <c r="B5032" s="4">
        <v>584631796</v>
      </c>
      <c r="C5032" s="4" t="s">
        <v>269</v>
      </c>
      <c r="D5032" s="4">
        <v>67</v>
      </c>
      <c r="E5032" s="4">
        <v>57</v>
      </c>
      <c r="F5032">
        <v>5</v>
      </c>
      <c r="G5032">
        <f t="shared" si="78"/>
        <v>512</v>
      </c>
    </row>
    <row r="5033" spans="2:7" ht="15" hidden="1" x14ac:dyDescent="0.25">
      <c r="B5033" s="4">
        <v>584631797</v>
      </c>
      <c r="C5033" s="4" t="s">
        <v>269</v>
      </c>
      <c r="D5033" s="4">
        <v>68</v>
      </c>
      <c r="E5033" s="4">
        <v>57</v>
      </c>
      <c r="F5033">
        <v>5</v>
      </c>
      <c r="G5033">
        <f t="shared" si="78"/>
        <v>512</v>
      </c>
    </row>
    <row r="5034" spans="2:7" ht="15" hidden="1" x14ac:dyDescent="0.25">
      <c r="B5034" s="4">
        <v>584631798</v>
      </c>
      <c r="C5034" s="4" t="s">
        <v>268</v>
      </c>
      <c r="D5034" s="4">
        <v>80</v>
      </c>
      <c r="E5034" s="4">
        <v>9</v>
      </c>
      <c r="F5034">
        <v>5</v>
      </c>
      <c r="G5034">
        <f t="shared" si="78"/>
        <v>128</v>
      </c>
    </row>
    <row r="5035" spans="2:7" ht="15" hidden="1" x14ac:dyDescent="0.25">
      <c r="B5035" s="4">
        <v>584631798</v>
      </c>
      <c r="C5035" s="4" t="s">
        <v>268</v>
      </c>
      <c r="D5035" s="4">
        <v>80</v>
      </c>
      <c r="E5035" s="4">
        <v>9</v>
      </c>
      <c r="F5035">
        <v>195</v>
      </c>
      <c r="G5035">
        <f t="shared" si="78"/>
        <v>128</v>
      </c>
    </row>
    <row r="5036" spans="2:7" ht="15" hidden="1" x14ac:dyDescent="0.25">
      <c r="B5036" s="4">
        <v>584631798</v>
      </c>
      <c r="C5036" s="4" t="s">
        <v>268</v>
      </c>
      <c r="D5036" s="4">
        <v>81</v>
      </c>
      <c r="E5036" s="4">
        <v>7</v>
      </c>
      <c r="F5036">
        <v>195</v>
      </c>
      <c r="G5036">
        <f t="shared" si="78"/>
        <v>112</v>
      </c>
    </row>
    <row r="5037" spans="2:7" ht="15" hidden="1" x14ac:dyDescent="0.25">
      <c r="B5037" s="4">
        <v>584631798</v>
      </c>
      <c r="C5037" s="4" t="s">
        <v>268</v>
      </c>
      <c r="D5037" s="4">
        <v>81</v>
      </c>
      <c r="E5037" s="4">
        <v>7</v>
      </c>
      <c r="F5037">
        <v>182</v>
      </c>
      <c r="G5037">
        <f t="shared" si="78"/>
        <v>112</v>
      </c>
    </row>
    <row r="5038" spans="2:7" ht="15" hidden="1" x14ac:dyDescent="0.25">
      <c r="B5038" s="4">
        <v>584631798</v>
      </c>
      <c r="C5038" s="4" t="s">
        <v>268</v>
      </c>
      <c r="D5038" s="4">
        <v>82</v>
      </c>
      <c r="E5038" s="4">
        <v>7</v>
      </c>
      <c r="F5038">
        <v>182</v>
      </c>
      <c r="G5038">
        <f t="shared" si="78"/>
        <v>112</v>
      </c>
    </row>
    <row r="5039" spans="2:7" ht="15" hidden="1" x14ac:dyDescent="0.25">
      <c r="B5039" s="4">
        <v>584631798</v>
      </c>
      <c r="C5039" s="4" t="s">
        <v>268</v>
      </c>
      <c r="D5039" s="4">
        <v>82</v>
      </c>
      <c r="E5039" s="4">
        <v>7</v>
      </c>
      <c r="F5039">
        <v>5</v>
      </c>
      <c r="G5039">
        <f t="shared" si="78"/>
        <v>112</v>
      </c>
    </row>
    <row r="5040" spans="2:7" ht="15" hidden="1" x14ac:dyDescent="0.25">
      <c r="B5040" s="4">
        <v>584631798</v>
      </c>
      <c r="C5040" s="4" t="s">
        <v>269</v>
      </c>
      <c r="D5040" s="4">
        <v>69</v>
      </c>
      <c r="E5040" s="4">
        <v>57</v>
      </c>
      <c r="F5040">
        <v>5</v>
      </c>
      <c r="G5040">
        <f t="shared" si="78"/>
        <v>512</v>
      </c>
    </row>
    <row r="5041" spans="2:7" ht="15" hidden="1" x14ac:dyDescent="0.25">
      <c r="B5041" s="4">
        <v>584631799</v>
      </c>
      <c r="C5041" s="4" t="s">
        <v>269</v>
      </c>
      <c r="D5041" s="4">
        <v>70</v>
      </c>
      <c r="E5041" s="4">
        <v>57</v>
      </c>
      <c r="F5041">
        <v>5</v>
      </c>
      <c r="G5041">
        <f t="shared" si="78"/>
        <v>512</v>
      </c>
    </row>
    <row r="5042" spans="2:7" ht="15" hidden="1" x14ac:dyDescent="0.25">
      <c r="B5042" s="4">
        <v>584631800</v>
      </c>
      <c r="C5042" s="4" t="s">
        <v>269</v>
      </c>
      <c r="D5042" s="4">
        <v>71</v>
      </c>
      <c r="E5042" s="4">
        <v>57</v>
      </c>
      <c r="F5042">
        <v>5</v>
      </c>
      <c r="G5042">
        <f t="shared" si="78"/>
        <v>512</v>
      </c>
    </row>
    <row r="5043" spans="2:7" ht="15" hidden="1" x14ac:dyDescent="0.25">
      <c r="B5043" s="4">
        <v>584631801</v>
      </c>
      <c r="C5043" s="4" t="s">
        <v>268</v>
      </c>
      <c r="D5043" s="4">
        <v>83</v>
      </c>
      <c r="E5043" s="4">
        <v>9</v>
      </c>
      <c r="F5043">
        <v>5</v>
      </c>
      <c r="G5043">
        <f t="shared" si="78"/>
        <v>128</v>
      </c>
    </row>
    <row r="5044" spans="2:7" ht="15" hidden="1" x14ac:dyDescent="0.25">
      <c r="B5044" s="4">
        <v>584631801</v>
      </c>
      <c r="C5044" s="4" t="s">
        <v>268</v>
      </c>
      <c r="D5044" s="4">
        <v>83</v>
      </c>
      <c r="E5044" s="4">
        <v>9</v>
      </c>
      <c r="F5044">
        <v>195</v>
      </c>
      <c r="G5044">
        <f t="shared" si="78"/>
        <v>128</v>
      </c>
    </row>
    <row r="5045" spans="2:7" ht="15" hidden="1" x14ac:dyDescent="0.25">
      <c r="B5045" s="4">
        <v>584631801</v>
      </c>
      <c r="C5045" s="4" t="s">
        <v>268</v>
      </c>
      <c r="D5045" s="4">
        <v>84</v>
      </c>
      <c r="E5045" s="4">
        <v>7</v>
      </c>
      <c r="F5045">
        <v>195</v>
      </c>
      <c r="G5045">
        <f t="shared" si="78"/>
        <v>112</v>
      </c>
    </row>
    <row r="5046" spans="2:7" ht="15" hidden="1" x14ac:dyDescent="0.25">
      <c r="B5046" s="4">
        <v>584631801</v>
      </c>
      <c r="C5046" s="4" t="s">
        <v>268</v>
      </c>
      <c r="D5046" s="4">
        <v>84</v>
      </c>
      <c r="E5046" s="4">
        <v>7</v>
      </c>
      <c r="F5046">
        <v>182</v>
      </c>
      <c r="G5046">
        <f t="shared" si="78"/>
        <v>112</v>
      </c>
    </row>
    <row r="5047" spans="2:7" ht="15" hidden="1" x14ac:dyDescent="0.25">
      <c r="B5047" s="4">
        <v>584631801</v>
      </c>
      <c r="C5047" s="4" t="s">
        <v>268</v>
      </c>
      <c r="D5047" s="4">
        <v>85</v>
      </c>
      <c r="E5047" s="4">
        <v>7</v>
      </c>
      <c r="F5047">
        <v>182</v>
      </c>
      <c r="G5047">
        <f t="shared" si="78"/>
        <v>112</v>
      </c>
    </row>
    <row r="5048" spans="2:7" ht="15" hidden="1" x14ac:dyDescent="0.25">
      <c r="B5048" s="4">
        <v>584631801</v>
      </c>
      <c r="C5048" s="4" t="s">
        <v>268</v>
      </c>
      <c r="D5048" s="4">
        <v>85</v>
      </c>
      <c r="E5048" s="4">
        <v>7</v>
      </c>
      <c r="F5048">
        <v>5</v>
      </c>
      <c r="G5048">
        <f t="shared" si="78"/>
        <v>112</v>
      </c>
    </row>
    <row r="5049" spans="2:7" ht="15" hidden="1" x14ac:dyDescent="0.25">
      <c r="B5049" s="4">
        <v>584631801</v>
      </c>
      <c r="C5049" s="4" t="s">
        <v>269</v>
      </c>
      <c r="D5049" s="4">
        <v>72</v>
      </c>
      <c r="E5049" s="4">
        <v>57</v>
      </c>
      <c r="F5049">
        <v>5</v>
      </c>
      <c r="G5049">
        <f t="shared" si="78"/>
        <v>512</v>
      </c>
    </row>
    <row r="5050" spans="2:7" ht="15" hidden="1" x14ac:dyDescent="0.25">
      <c r="B5050" s="4">
        <v>584631802</v>
      </c>
      <c r="C5050" s="4" t="s">
        <v>269</v>
      </c>
      <c r="D5050" s="4">
        <v>73</v>
      </c>
      <c r="E5050" s="4">
        <v>57</v>
      </c>
      <c r="F5050">
        <v>5</v>
      </c>
      <c r="G5050">
        <f t="shared" si="78"/>
        <v>512</v>
      </c>
    </row>
    <row r="5051" spans="2:7" ht="15" hidden="1" x14ac:dyDescent="0.25">
      <c r="B5051" s="4">
        <v>584631803</v>
      </c>
      <c r="C5051" s="4" t="s">
        <v>269</v>
      </c>
      <c r="D5051" s="4">
        <v>74</v>
      </c>
      <c r="E5051" s="4">
        <v>57</v>
      </c>
      <c r="F5051">
        <v>5</v>
      </c>
      <c r="G5051">
        <f t="shared" si="78"/>
        <v>512</v>
      </c>
    </row>
    <row r="5052" spans="2:7" ht="15" hidden="1" x14ac:dyDescent="0.25">
      <c r="B5052" s="4">
        <v>584631804</v>
      </c>
      <c r="C5052" s="4" t="s">
        <v>268</v>
      </c>
      <c r="D5052" s="4">
        <v>86</v>
      </c>
      <c r="E5052" s="4">
        <v>9</v>
      </c>
      <c r="F5052">
        <v>5</v>
      </c>
      <c r="G5052">
        <f t="shared" si="78"/>
        <v>128</v>
      </c>
    </row>
    <row r="5053" spans="2:7" ht="15" hidden="1" x14ac:dyDescent="0.25">
      <c r="B5053" s="4">
        <v>584631804</v>
      </c>
      <c r="C5053" s="4" t="s">
        <v>268</v>
      </c>
      <c r="D5053" s="4">
        <v>86</v>
      </c>
      <c r="E5053" s="4">
        <v>9</v>
      </c>
      <c r="F5053">
        <v>195</v>
      </c>
      <c r="G5053">
        <f t="shared" si="78"/>
        <v>128</v>
      </c>
    </row>
    <row r="5054" spans="2:7" ht="15" hidden="1" x14ac:dyDescent="0.25">
      <c r="B5054" s="4">
        <v>584631804</v>
      </c>
      <c r="C5054" s="4" t="s">
        <v>268</v>
      </c>
      <c r="D5054" s="4">
        <v>87</v>
      </c>
      <c r="E5054" s="4">
        <v>7</v>
      </c>
      <c r="F5054">
        <v>195</v>
      </c>
      <c r="G5054">
        <f t="shared" si="78"/>
        <v>112</v>
      </c>
    </row>
    <row r="5055" spans="2:7" ht="15" hidden="1" x14ac:dyDescent="0.25">
      <c r="B5055" s="4">
        <v>584631804</v>
      </c>
      <c r="C5055" s="4" t="s">
        <v>268</v>
      </c>
      <c r="D5055" s="4">
        <v>87</v>
      </c>
      <c r="E5055" s="4">
        <v>7</v>
      </c>
      <c r="F5055">
        <v>182</v>
      </c>
      <c r="G5055">
        <f t="shared" si="78"/>
        <v>112</v>
      </c>
    </row>
    <row r="5056" spans="2:7" ht="15" hidden="1" x14ac:dyDescent="0.25">
      <c r="B5056" s="4">
        <v>584631804</v>
      </c>
      <c r="C5056" s="4" t="s">
        <v>268</v>
      </c>
      <c r="D5056" s="4">
        <v>88</v>
      </c>
      <c r="E5056" s="4">
        <v>7</v>
      </c>
      <c r="F5056">
        <v>182</v>
      </c>
      <c r="G5056">
        <f t="shared" si="78"/>
        <v>112</v>
      </c>
    </row>
    <row r="5057" spans="2:7" ht="15" hidden="1" x14ac:dyDescent="0.25">
      <c r="B5057" s="4">
        <v>584631804</v>
      </c>
      <c r="C5057" s="4" t="s">
        <v>268</v>
      </c>
      <c r="D5057" s="4">
        <v>88</v>
      </c>
      <c r="E5057" s="4">
        <v>7</v>
      </c>
      <c r="F5057">
        <v>5</v>
      </c>
      <c r="G5057">
        <f t="shared" si="78"/>
        <v>112</v>
      </c>
    </row>
    <row r="5058" spans="2:7" ht="15" hidden="1" x14ac:dyDescent="0.25">
      <c r="B5058" s="4">
        <v>584631804</v>
      </c>
      <c r="C5058" s="4" t="s">
        <v>269</v>
      </c>
      <c r="D5058" s="4">
        <v>75</v>
      </c>
      <c r="E5058" s="4">
        <v>57</v>
      </c>
      <c r="F5058">
        <v>5</v>
      </c>
      <c r="G5058">
        <f t="shared" si="78"/>
        <v>512</v>
      </c>
    </row>
    <row r="5059" spans="2:7" ht="15" hidden="1" x14ac:dyDescent="0.25">
      <c r="B5059" s="4">
        <v>584631805</v>
      </c>
      <c r="C5059" s="4" t="s">
        <v>269</v>
      </c>
      <c r="D5059" s="4">
        <v>76</v>
      </c>
      <c r="E5059" s="4">
        <v>57</v>
      </c>
      <c r="F5059">
        <v>5</v>
      </c>
      <c r="G5059">
        <f t="shared" si="78"/>
        <v>512</v>
      </c>
    </row>
    <row r="5060" spans="2:7" ht="15" hidden="1" x14ac:dyDescent="0.25">
      <c r="B5060" s="4">
        <v>584631806</v>
      </c>
      <c r="C5060" s="4" t="s">
        <v>269</v>
      </c>
      <c r="D5060" s="4">
        <v>77</v>
      </c>
      <c r="E5060" s="4">
        <v>57</v>
      </c>
      <c r="F5060">
        <v>5</v>
      </c>
      <c r="G5060">
        <f t="shared" ref="G5060:G5123" si="79">(E5060+7)*8</f>
        <v>512</v>
      </c>
    </row>
    <row r="5061" spans="2:7" ht="15" hidden="1" x14ac:dyDescent="0.25">
      <c r="B5061" s="4">
        <v>584631807</v>
      </c>
      <c r="C5061" s="4" t="s">
        <v>268</v>
      </c>
      <c r="D5061" s="4">
        <v>89</v>
      </c>
      <c r="E5061" s="4">
        <v>9</v>
      </c>
      <c r="F5061">
        <v>5</v>
      </c>
      <c r="G5061">
        <f t="shared" si="79"/>
        <v>128</v>
      </c>
    </row>
    <row r="5062" spans="2:7" ht="15" hidden="1" x14ac:dyDescent="0.25">
      <c r="B5062" s="4">
        <v>584631807</v>
      </c>
      <c r="C5062" s="4" t="s">
        <v>268</v>
      </c>
      <c r="D5062" s="4">
        <v>89</v>
      </c>
      <c r="E5062" s="4">
        <v>9</v>
      </c>
      <c r="F5062">
        <v>195</v>
      </c>
      <c r="G5062">
        <f t="shared" si="79"/>
        <v>128</v>
      </c>
    </row>
    <row r="5063" spans="2:7" ht="15" hidden="1" x14ac:dyDescent="0.25">
      <c r="B5063" s="4">
        <v>584631807</v>
      </c>
      <c r="C5063" s="4" t="s">
        <v>268</v>
      </c>
      <c r="D5063" s="4">
        <v>90</v>
      </c>
      <c r="E5063" s="4">
        <v>7</v>
      </c>
      <c r="F5063">
        <v>195</v>
      </c>
      <c r="G5063">
        <f t="shared" si="79"/>
        <v>112</v>
      </c>
    </row>
    <row r="5064" spans="2:7" ht="15" hidden="1" x14ac:dyDescent="0.25">
      <c r="B5064" s="4">
        <v>584631807</v>
      </c>
      <c r="C5064" s="4" t="s">
        <v>268</v>
      </c>
      <c r="D5064" s="4">
        <v>90</v>
      </c>
      <c r="E5064" s="4">
        <v>7</v>
      </c>
      <c r="F5064">
        <v>182</v>
      </c>
      <c r="G5064">
        <f t="shared" si="79"/>
        <v>112</v>
      </c>
    </row>
    <row r="5065" spans="2:7" ht="15" hidden="1" x14ac:dyDescent="0.25">
      <c r="B5065" s="4">
        <v>584631807</v>
      </c>
      <c r="C5065" s="4" t="s">
        <v>268</v>
      </c>
      <c r="D5065" s="4">
        <v>91</v>
      </c>
      <c r="E5065" s="4">
        <v>7</v>
      </c>
      <c r="F5065">
        <v>182</v>
      </c>
      <c r="G5065">
        <f t="shared" si="79"/>
        <v>112</v>
      </c>
    </row>
    <row r="5066" spans="2:7" ht="15" hidden="1" x14ac:dyDescent="0.25">
      <c r="B5066" s="4">
        <v>584631807</v>
      </c>
      <c r="C5066" s="4" t="s">
        <v>268</v>
      </c>
      <c r="D5066" s="4">
        <v>91</v>
      </c>
      <c r="E5066" s="4">
        <v>7</v>
      </c>
      <c r="F5066">
        <v>5</v>
      </c>
      <c r="G5066">
        <f t="shared" si="79"/>
        <v>112</v>
      </c>
    </row>
    <row r="5067" spans="2:7" ht="15" hidden="1" x14ac:dyDescent="0.25">
      <c r="B5067" s="4">
        <v>584631807</v>
      </c>
      <c r="C5067" s="4" t="s">
        <v>269</v>
      </c>
      <c r="D5067" s="4">
        <v>78</v>
      </c>
      <c r="E5067" s="4">
        <v>57</v>
      </c>
      <c r="F5067">
        <v>5</v>
      </c>
      <c r="G5067">
        <f t="shared" si="79"/>
        <v>512</v>
      </c>
    </row>
    <row r="5068" spans="2:7" ht="15" hidden="1" x14ac:dyDescent="0.25">
      <c r="B5068" s="4">
        <v>584631808</v>
      </c>
      <c r="C5068" s="4" t="s">
        <v>269</v>
      </c>
      <c r="D5068" s="4">
        <v>79</v>
      </c>
      <c r="E5068" s="4">
        <v>57</v>
      </c>
      <c r="F5068">
        <v>5</v>
      </c>
      <c r="G5068">
        <f t="shared" si="79"/>
        <v>512</v>
      </c>
    </row>
    <row r="5069" spans="2:7" ht="15" hidden="1" x14ac:dyDescent="0.25">
      <c r="B5069" s="4">
        <v>584631809</v>
      </c>
      <c r="C5069" s="4" t="s">
        <v>269</v>
      </c>
      <c r="D5069" s="4">
        <v>80</v>
      </c>
      <c r="E5069" s="4">
        <v>57</v>
      </c>
      <c r="F5069">
        <v>5</v>
      </c>
      <c r="G5069">
        <f t="shared" si="79"/>
        <v>512</v>
      </c>
    </row>
    <row r="5070" spans="2:7" ht="15" hidden="1" x14ac:dyDescent="0.25">
      <c r="B5070" s="4">
        <v>584631810</v>
      </c>
      <c r="C5070" s="4" t="s">
        <v>268</v>
      </c>
      <c r="D5070" s="4">
        <v>92</v>
      </c>
      <c r="E5070" s="4">
        <v>9</v>
      </c>
      <c r="F5070">
        <v>5</v>
      </c>
      <c r="G5070">
        <f t="shared" si="79"/>
        <v>128</v>
      </c>
    </row>
    <row r="5071" spans="2:7" ht="15" hidden="1" x14ac:dyDescent="0.25">
      <c r="B5071" s="4">
        <v>584631810</v>
      </c>
      <c r="C5071" s="4" t="s">
        <v>268</v>
      </c>
      <c r="D5071" s="4">
        <v>92</v>
      </c>
      <c r="E5071" s="4">
        <v>9</v>
      </c>
      <c r="F5071">
        <v>195</v>
      </c>
      <c r="G5071">
        <f t="shared" si="79"/>
        <v>128</v>
      </c>
    </row>
    <row r="5072" spans="2:7" ht="15" hidden="1" x14ac:dyDescent="0.25">
      <c r="B5072" s="4">
        <v>584631810</v>
      </c>
      <c r="C5072" s="4" t="s">
        <v>268</v>
      </c>
      <c r="D5072" s="4">
        <v>93</v>
      </c>
      <c r="E5072" s="4">
        <v>7</v>
      </c>
      <c r="F5072">
        <v>195</v>
      </c>
      <c r="G5072">
        <f t="shared" si="79"/>
        <v>112</v>
      </c>
    </row>
    <row r="5073" spans="2:7" ht="15" hidden="1" x14ac:dyDescent="0.25">
      <c r="B5073" s="4">
        <v>584631810</v>
      </c>
      <c r="C5073" s="4" t="s">
        <v>268</v>
      </c>
      <c r="D5073" s="4">
        <v>93</v>
      </c>
      <c r="E5073" s="4">
        <v>7</v>
      </c>
      <c r="F5073">
        <v>182</v>
      </c>
      <c r="G5073">
        <f t="shared" si="79"/>
        <v>112</v>
      </c>
    </row>
    <row r="5074" spans="2:7" ht="15" hidden="1" x14ac:dyDescent="0.25">
      <c r="B5074" s="4">
        <v>584631810</v>
      </c>
      <c r="C5074" s="4" t="s">
        <v>268</v>
      </c>
      <c r="D5074" s="4">
        <v>94</v>
      </c>
      <c r="E5074" s="4">
        <v>7</v>
      </c>
      <c r="F5074">
        <v>182</v>
      </c>
      <c r="G5074">
        <f t="shared" si="79"/>
        <v>112</v>
      </c>
    </row>
    <row r="5075" spans="2:7" ht="15" hidden="1" x14ac:dyDescent="0.25">
      <c r="B5075" s="4">
        <v>584631810</v>
      </c>
      <c r="C5075" s="4" t="s">
        <v>268</v>
      </c>
      <c r="D5075" s="4">
        <v>94</v>
      </c>
      <c r="E5075" s="4">
        <v>7</v>
      </c>
      <c r="F5075">
        <v>5</v>
      </c>
      <c r="G5075">
        <f t="shared" si="79"/>
        <v>112</v>
      </c>
    </row>
    <row r="5076" spans="2:7" ht="15" hidden="1" x14ac:dyDescent="0.25">
      <c r="B5076" s="4">
        <v>584631810</v>
      </c>
      <c r="C5076" s="4" t="s">
        <v>269</v>
      </c>
      <c r="D5076" s="4">
        <v>81</v>
      </c>
      <c r="E5076" s="4">
        <v>57</v>
      </c>
      <c r="F5076">
        <v>5</v>
      </c>
      <c r="G5076">
        <f t="shared" si="79"/>
        <v>512</v>
      </c>
    </row>
    <row r="5077" spans="2:7" ht="15" hidden="1" x14ac:dyDescent="0.25">
      <c r="B5077" s="4">
        <v>584631811</v>
      </c>
      <c r="C5077" s="4" t="s">
        <v>269</v>
      </c>
      <c r="D5077" s="4">
        <v>82</v>
      </c>
      <c r="E5077" s="4">
        <v>57</v>
      </c>
      <c r="F5077">
        <v>5</v>
      </c>
      <c r="G5077">
        <f t="shared" si="79"/>
        <v>512</v>
      </c>
    </row>
    <row r="5078" spans="2:7" ht="15" hidden="1" x14ac:dyDescent="0.25">
      <c r="B5078" s="4">
        <v>584631812</v>
      </c>
      <c r="C5078" s="4" t="s">
        <v>269</v>
      </c>
      <c r="D5078" s="4">
        <v>83</v>
      </c>
      <c r="E5078" s="4">
        <v>57</v>
      </c>
      <c r="F5078">
        <v>5</v>
      </c>
      <c r="G5078">
        <f t="shared" si="79"/>
        <v>512</v>
      </c>
    </row>
    <row r="5079" spans="2:7" ht="15" hidden="1" x14ac:dyDescent="0.25">
      <c r="B5079" s="4">
        <v>584631813</v>
      </c>
      <c r="C5079" s="4" t="s">
        <v>268</v>
      </c>
      <c r="D5079" s="4">
        <v>95</v>
      </c>
      <c r="E5079" s="4">
        <v>9</v>
      </c>
      <c r="F5079">
        <v>5</v>
      </c>
      <c r="G5079">
        <f t="shared" si="79"/>
        <v>128</v>
      </c>
    </row>
    <row r="5080" spans="2:7" ht="15" hidden="1" x14ac:dyDescent="0.25">
      <c r="B5080" s="4">
        <v>584631813</v>
      </c>
      <c r="C5080" s="4" t="s">
        <v>268</v>
      </c>
      <c r="D5080" s="4">
        <v>95</v>
      </c>
      <c r="E5080" s="4">
        <v>9</v>
      </c>
      <c r="F5080">
        <v>195</v>
      </c>
      <c r="G5080">
        <f t="shared" si="79"/>
        <v>128</v>
      </c>
    </row>
    <row r="5081" spans="2:7" ht="15" hidden="1" x14ac:dyDescent="0.25">
      <c r="B5081" s="4">
        <v>584631813</v>
      </c>
      <c r="C5081" s="4" t="s">
        <v>268</v>
      </c>
      <c r="D5081" s="4">
        <v>96</v>
      </c>
      <c r="E5081" s="4">
        <v>7</v>
      </c>
      <c r="F5081">
        <v>195</v>
      </c>
      <c r="G5081">
        <f t="shared" si="79"/>
        <v>112</v>
      </c>
    </row>
    <row r="5082" spans="2:7" ht="15" hidden="1" x14ac:dyDescent="0.25">
      <c r="B5082" s="4">
        <v>584631813</v>
      </c>
      <c r="C5082" s="4" t="s">
        <v>268</v>
      </c>
      <c r="D5082" s="4">
        <v>96</v>
      </c>
      <c r="E5082" s="4">
        <v>7</v>
      </c>
      <c r="F5082">
        <v>182</v>
      </c>
      <c r="G5082">
        <f t="shared" si="79"/>
        <v>112</v>
      </c>
    </row>
    <row r="5083" spans="2:7" ht="15" hidden="1" x14ac:dyDescent="0.25">
      <c r="B5083" s="4">
        <v>584631813</v>
      </c>
      <c r="C5083" s="4" t="s">
        <v>268</v>
      </c>
      <c r="D5083" s="4">
        <v>97</v>
      </c>
      <c r="E5083" s="4">
        <v>7</v>
      </c>
      <c r="F5083">
        <v>182</v>
      </c>
      <c r="G5083">
        <f t="shared" si="79"/>
        <v>112</v>
      </c>
    </row>
    <row r="5084" spans="2:7" ht="15" hidden="1" x14ac:dyDescent="0.25">
      <c r="B5084" s="4">
        <v>584631813</v>
      </c>
      <c r="C5084" s="4" t="s">
        <v>268</v>
      </c>
      <c r="D5084" s="4">
        <v>97</v>
      </c>
      <c r="E5084" s="4">
        <v>7</v>
      </c>
      <c r="F5084">
        <v>5</v>
      </c>
      <c r="G5084">
        <f t="shared" si="79"/>
        <v>112</v>
      </c>
    </row>
    <row r="5085" spans="2:7" ht="15" hidden="1" x14ac:dyDescent="0.25">
      <c r="B5085" s="4">
        <v>584631813</v>
      </c>
      <c r="C5085" s="4" t="s">
        <v>269</v>
      </c>
      <c r="D5085" s="4">
        <v>84</v>
      </c>
      <c r="E5085" s="4">
        <v>57</v>
      </c>
      <c r="F5085">
        <v>5</v>
      </c>
      <c r="G5085">
        <f t="shared" si="79"/>
        <v>512</v>
      </c>
    </row>
    <row r="5086" spans="2:7" ht="15" hidden="1" x14ac:dyDescent="0.25">
      <c r="B5086" s="4">
        <v>584631814</v>
      </c>
      <c r="C5086" s="4" t="s">
        <v>269</v>
      </c>
      <c r="D5086" s="4">
        <v>85</v>
      </c>
      <c r="E5086" s="4">
        <v>57</v>
      </c>
      <c r="F5086">
        <v>5</v>
      </c>
      <c r="G5086">
        <f t="shared" si="79"/>
        <v>512</v>
      </c>
    </row>
    <row r="5087" spans="2:7" ht="15" hidden="1" x14ac:dyDescent="0.25">
      <c r="B5087" s="4">
        <v>584631815</v>
      </c>
      <c r="C5087" s="4" t="s">
        <v>269</v>
      </c>
      <c r="D5087" s="4">
        <v>86</v>
      </c>
      <c r="E5087" s="4">
        <v>57</v>
      </c>
      <c r="F5087">
        <v>5</v>
      </c>
      <c r="G5087">
        <f t="shared" si="79"/>
        <v>512</v>
      </c>
    </row>
    <row r="5088" spans="2:7" ht="15" hidden="1" x14ac:dyDescent="0.25">
      <c r="B5088" s="4">
        <v>584631816</v>
      </c>
      <c r="C5088" s="4" t="s">
        <v>268</v>
      </c>
      <c r="D5088" s="4">
        <v>98</v>
      </c>
      <c r="E5088" s="4">
        <v>9</v>
      </c>
      <c r="F5088">
        <v>5</v>
      </c>
      <c r="G5088">
        <f t="shared" si="79"/>
        <v>128</v>
      </c>
    </row>
    <row r="5089" spans="2:7" ht="15" hidden="1" x14ac:dyDescent="0.25">
      <c r="B5089" s="4">
        <v>584631816</v>
      </c>
      <c r="C5089" s="4" t="s">
        <v>268</v>
      </c>
      <c r="D5089" s="4">
        <v>98</v>
      </c>
      <c r="E5089" s="4">
        <v>9</v>
      </c>
      <c r="F5089">
        <v>195</v>
      </c>
      <c r="G5089">
        <f t="shared" si="79"/>
        <v>128</v>
      </c>
    </row>
    <row r="5090" spans="2:7" ht="15" hidden="1" x14ac:dyDescent="0.25">
      <c r="B5090" s="4">
        <v>584631816</v>
      </c>
      <c r="C5090" s="4" t="s">
        <v>268</v>
      </c>
      <c r="D5090" s="4">
        <v>99</v>
      </c>
      <c r="E5090" s="4">
        <v>7</v>
      </c>
      <c r="F5090">
        <v>195</v>
      </c>
      <c r="G5090">
        <f t="shared" si="79"/>
        <v>112</v>
      </c>
    </row>
    <row r="5091" spans="2:7" ht="15" hidden="1" x14ac:dyDescent="0.25">
      <c r="B5091" s="4">
        <v>584631816</v>
      </c>
      <c r="C5091" s="4" t="s">
        <v>268</v>
      </c>
      <c r="D5091" s="4">
        <v>99</v>
      </c>
      <c r="E5091" s="4">
        <v>7</v>
      </c>
      <c r="F5091">
        <v>182</v>
      </c>
      <c r="G5091">
        <f t="shared" si="79"/>
        <v>112</v>
      </c>
    </row>
    <row r="5092" spans="2:7" ht="15" hidden="1" x14ac:dyDescent="0.25">
      <c r="B5092" s="4">
        <v>584631816</v>
      </c>
      <c r="C5092" s="4" t="s">
        <v>268</v>
      </c>
      <c r="D5092" s="4">
        <v>100</v>
      </c>
      <c r="E5092" s="4">
        <v>7</v>
      </c>
      <c r="F5092">
        <v>182</v>
      </c>
      <c r="G5092">
        <f t="shared" si="79"/>
        <v>112</v>
      </c>
    </row>
    <row r="5093" spans="2:7" ht="15" hidden="1" x14ac:dyDescent="0.25">
      <c r="B5093" s="4">
        <v>584631816</v>
      </c>
      <c r="C5093" s="4" t="s">
        <v>268</v>
      </c>
      <c r="D5093" s="4">
        <v>100</v>
      </c>
      <c r="E5093" s="4">
        <v>7</v>
      </c>
      <c r="F5093">
        <v>5</v>
      </c>
      <c r="G5093">
        <f t="shared" si="79"/>
        <v>112</v>
      </c>
    </row>
    <row r="5094" spans="2:7" ht="15" hidden="1" x14ac:dyDescent="0.25">
      <c r="B5094" s="4">
        <v>584631816</v>
      </c>
      <c r="C5094" s="4" t="s">
        <v>269</v>
      </c>
      <c r="D5094" s="4">
        <v>87</v>
      </c>
      <c r="E5094" s="4">
        <v>57</v>
      </c>
      <c r="F5094">
        <v>5</v>
      </c>
      <c r="G5094">
        <f t="shared" si="79"/>
        <v>512</v>
      </c>
    </row>
    <row r="5095" spans="2:7" ht="15" hidden="1" x14ac:dyDescent="0.25">
      <c r="B5095" s="4">
        <v>584631817</v>
      </c>
      <c r="C5095" s="4" t="s">
        <v>269</v>
      </c>
      <c r="D5095" s="4">
        <v>88</v>
      </c>
      <c r="E5095" s="4">
        <v>57</v>
      </c>
      <c r="F5095">
        <v>5</v>
      </c>
      <c r="G5095">
        <f t="shared" si="79"/>
        <v>512</v>
      </c>
    </row>
    <row r="5096" spans="2:7" ht="15" hidden="1" x14ac:dyDescent="0.25">
      <c r="B5096" s="4">
        <v>584631818</v>
      </c>
      <c r="C5096" s="4" t="s">
        <v>269</v>
      </c>
      <c r="D5096" s="4">
        <v>89</v>
      </c>
      <c r="E5096" s="4">
        <v>57</v>
      </c>
      <c r="F5096">
        <v>5</v>
      </c>
      <c r="G5096">
        <f t="shared" si="79"/>
        <v>512</v>
      </c>
    </row>
    <row r="5097" spans="2:7" ht="15" hidden="1" x14ac:dyDescent="0.25">
      <c r="B5097" s="4">
        <v>584631819</v>
      </c>
      <c r="C5097" s="4" t="s">
        <v>268</v>
      </c>
      <c r="D5097" s="4">
        <v>101</v>
      </c>
      <c r="E5097" s="4">
        <v>9</v>
      </c>
      <c r="F5097">
        <v>5</v>
      </c>
      <c r="G5097">
        <f t="shared" si="79"/>
        <v>128</v>
      </c>
    </row>
    <row r="5098" spans="2:7" ht="15" hidden="1" x14ac:dyDescent="0.25">
      <c r="B5098" s="4">
        <v>584631819</v>
      </c>
      <c r="C5098" s="4" t="s">
        <v>268</v>
      </c>
      <c r="D5098" s="4">
        <v>101</v>
      </c>
      <c r="E5098" s="4">
        <v>9</v>
      </c>
      <c r="F5098">
        <v>195</v>
      </c>
      <c r="G5098">
        <f t="shared" si="79"/>
        <v>128</v>
      </c>
    </row>
    <row r="5099" spans="2:7" ht="15" hidden="1" x14ac:dyDescent="0.25">
      <c r="B5099" s="4">
        <v>584631819</v>
      </c>
      <c r="C5099" s="4" t="s">
        <v>268</v>
      </c>
      <c r="D5099" s="4">
        <v>102</v>
      </c>
      <c r="E5099" s="4">
        <v>7</v>
      </c>
      <c r="F5099">
        <v>195</v>
      </c>
      <c r="G5099">
        <f t="shared" si="79"/>
        <v>112</v>
      </c>
    </row>
    <row r="5100" spans="2:7" ht="15" hidden="1" x14ac:dyDescent="0.25">
      <c r="B5100" s="4">
        <v>584631819</v>
      </c>
      <c r="C5100" s="4" t="s">
        <v>268</v>
      </c>
      <c r="D5100" s="4">
        <v>102</v>
      </c>
      <c r="E5100" s="4">
        <v>7</v>
      </c>
      <c r="F5100">
        <v>182</v>
      </c>
      <c r="G5100">
        <f t="shared" si="79"/>
        <v>112</v>
      </c>
    </row>
    <row r="5101" spans="2:7" ht="15" hidden="1" x14ac:dyDescent="0.25">
      <c r="B5101" s="4">
        <v>584631819</v>
      </c>
      <c r="C5101" s="4" t="s">
        <v>268</v>
      </c>
      <c r="D5101" s="4">
        <v>103</v>
      </c>
      <c r="E5101" s="4">
        <v>7</v>
      </c>
      <c r="F5101">
        <v>182</v>
      </c>
      <c r="G5101">
        <f t="shared" si="79"/>
        <v>112</v>
      </c>
    </row>
    <row r="5102" spans="2:7" ht="15" hidden="1" x14ac:dyDescent="0.25">
      <c r="B5102" s="4">
        <v>584631819</v>
      </c>
      <c r="C5102" s="4" t="s">
        <v>268</v>
      </c>
      <c r="D5102" s="4">
        <v>103</v>
      </c>
      <c r="E5102" s="4">
        <v>7</v>
      </c>
      <c r="F5102">
        <v>5</v>
      </c>
      <c r="G5102">
        <f t="shared" si="79"/>
        <v>112</v>
      </c>
    </row>
    <row r="5103" spans="2:7" ht="15" hidden="1" x14ac:dyDescent="0.25">
      <c r="B5103" s="4">
        <v>584631819</v>
      </c>
      <c r="C5103" s="4" t="s">
        <v>269</v>
      </c>
      <c r="D5103" s="4">
        <v>90</v>
      </c>
      <c r="E5103" s="4">
        <v>57</v>
      </c>
      <c r="F5103">
        <v>5</v>
      </c>
      <c r="G5103">
        <f t="shared" si="79"/>
        <v>512</v>
      </c>
    </row>
    <row r="5104" spans="2:7" ht="15" hidden="1" x14ac:dyDescent="0.25">
      <c r="B5104" s="4">
        <v>584631820</v>
      </c>
      <c r="C5104" s="4" t="s">
        <v>269</v>
      </c>
      <c r="D5104" s="4">
        <v>91</v>
      </c>
      <c r="E5104" s="4">
        <v>57</v>
      </c>
      <c r="F5104">
        <v>5</v>
      </c>
      <c r="G5104">
        <f t="shared" si="79"/>
        <v>512</v>
      </c>
    </row>
    <row r="5105" spans="2:7" ht="15" hidden="1" x14ac:dyDescent="0.25">
      <c r="B5105" s="4">
        <v>584631821</v>
      </c>
      <c r="C5105" s="4" t="s">
        <v>269</v>
      </c>
      <c r="D5105" s="4">
        <v>92</v>
      </c>
      <c r="E5105" s="4">
        <v>57</v>
      </c>
      <c r="F5105">
        <v>5</v>
      </c>
      <c r="G5105">
        <f t="shared" si="79"/>
        <v>512</v>
      </c>
    </row>
    <row r="5106" spans="2:7" ht="15" hidden="1" x14ac:dyDescent="0.25">
      <c r="B5106" s="4">
        <v>584631822</v>
      </c>
      <c r="C5106" s="4" t="s">
        <v>268</v>
      </c>
      <c r="D5106" s="4">
        <v>104</v>
      </c>
      <c r="E5106" s="4">
        <v>9</v>
      </c>
      <c r="F5106">
        <v>5</v>
      </c>
      <c r="G5106">
        <f t="shared" si="79"/>
        <v>128</v>
      </c>
    </row>
    <row r="5107" spans="2:7" ht="15" hidden="1" x14ac:dyDescent="0.25">
      <c r="B5107" s="4">
        <v>584631822</v>
      </c>
      <c r="C5107" s="4" t="s">
        <v>268</v>
      </c>
      <c r="D5107" s="4">
        <v>104</v>
      </c>
      <c r="E5107" s="4">
        <v>9</v>
      </c>
      <c r="F5107">
        <v>195</v>
      </c>
      <c r="G5107">
        <f t="shared" si="79"/>
        <v>128</v>
      </c>
    </row>
    <row r="5108" spans="2:7" ht="15" hidden="1" x14ac:dyDescent="0.25">
      <c r="B5108" s="4">
        <v>584631822</v>
      </c>
      <c r="C5108" s="4" t="s">
        <v>268</v>
      </c>
      <c r="D5108" s="4">
        <v>105</v>
      </c>
      <c r="E5108" s="4">
        <v>7</v>
      </c>
      <c r="F5108">
        <v>195</v>
      </c>
      <c r="G5108">
        <f t="shared" si="79"/>
        <v>112</v>
      </c>
    </row>
    <row r="5109" spans="2:7" ht="15" hidden="1" x14ac:dyDescent="0.25">
      <c r="B5109" s="4">
        <v>584631822</v>
      </c>
      <c r="C5109" s="4" t="s">
        <v>268</v>
      </c>
      <c r="D5109" s="4">
        <v>105</v>
      </c>
      <c r="E5109" s="4">
        <v>7</v>
      </c>
      <c r="F5109">
        <v>182</v>
      </c>
      <c r="G5109">
        <f t="shared" si="79"/>
        <v>112</v>
      </c>
    </row>
    <row r="5110" spans="2:7" ht="15" hidden="1" x14ac:dyDescent="0.25">
      <c r="B5110" s="4">
        <v>584631822</v>
      </c>
      <c r="C5110" s="4" t="s">
        <v>268</v>
      </c>
      <c r="D5110" s="4">
        <v>106</v>
      </c>
      <c r="E5110" s="4">
        <v>7</v>
      </c>
      <c r="F5110">
        <v>182</v>
      </c>
      <c r="G5110">
        <f t="shared" si="79"/>
        <v>112</v>
      </c>
    </row>
    <row r="5111" spans="2:7" ht="15" hidden="1" x14ac:dyDescent="0.25">
      <c r="B5111" s="4">
        <v>584631822</v>
      </c>
      <c r="C5111" s="4" t="s">
        <v>268</v>
      </c>
      <c r="D5111" s="4">
        <v>106</v>
      </c>
      <c r="E5111" s="4">
        <v>7</v>
      </c>
      <c r="F5111">
        <v>5</v>
      </c>
      <c r="G5111">
        <f t="shared" si="79"/>
        <v>112</v>
      </c>
    </row>
    <row r="5112" spans="2:7" ht="15" hidden="1" x14ac:dyDescent="0.25">
      <c r="B5112" s="4">
        <v>584631822</v>
      </c>
      <c r="C5112" s="4" t="s">
        <v>269</v>
      </c>
      <c r="D5112" s="4">
        <v>93</v>
      </c>
      <c r="E5112" s="4">
        <v>57</v>
      </c>
      <c r="F5112">
        <v>5</v>
      </c>
      <c r="G5112">
        <f t="shared" si="79"/>
        <v>512</v>
      </c>
    </row>
    <row r="5113" spans="2:7" ht="15" hidden="1" x14ac:dyDescent="0.25">
      <c r="B5113" s="4">
        <v>584631823</v>
      </c>
      <c r="C5113" s="4" t="s">
        <v>269</v>
      </c>
      <c r="D5113" s="4">
        <v>94</v>
      </c>
      <c r="E5113" s="4">
        <v>57</v>
      </c>
      <c r="F5113">
        <v>5</v>
      </c>
      <c r="G5113">
        <f t="shared" si="79"/>
        <v>512</v>
      </c>
    </row>
    <row r="5114" spans="2:7" ht="15" hidden="1" x14ac:dyDescent="0.25">
      <c r="B5114" s="4">
        <v>584631824</v>
      </c>
      <c r="C5114" s="4" t="s">
        <v>269</v>
      </c>
      <c r="D5114" s="4">
        <v>95</v>
      </c>
      <c r="E5114" s="4">
        <v>57</v>
      </c>
      <c r="F5114">
        <v>5</v>
      </c>
      <c r="G5114">
        <f t="shared" si="79"/>
        <v>512</v>
      </c>
    </row>
    <row r="5115" spans="2:7" ht="15" hidden="1" x14ac:dyDescent="0.25">
      <c r="B5115" s="4">
        <v>584631825</v>
      </c>
      <c r="C5115" s="4" t="s">
        <v>268</v>
      </c>
      <c r="D5115" s="4">
        <v>107</v>
      </c>
      <c r="E5115" s="4">
        <v>9</v>
      </c>
      <c r="F5115">
        <v>5</v>
      </c>
      <c r="G5115">
        <f t="shared" si="79"/>
        <v>128</v>
      </c>
    </row>
    <row r="5116" spans="2:7" ht="15" hidden="1" x14ac:dyDescent="0.25">
      <c r="B5116" s="4">
        <v>584631825</v>
      </c>
      <c r="C5116" s="4" t="s">
        <v>268</v>
      </c>
      <c r="D5116" s="4">
        <v>107</v>
      </c>
      <c r="E5116" s="4">
        <v>9</v>
      </c>
      <c r="F5116">
        <v>195</v>
      </c>
      <c r="G5116">
        <f t="shared" si="79"/>
        <v>128</v>
      </c>
    </row>
    <row r="5117" spans="2:7" ht="15" hidden="1" x14ac:dyDescent="0.25">
      <c r="B5117" s="4">
        <v>584631825</v>
      </c>
      <c r="C5117" s="4" t="s">
        <v>268</v>
      </c>
      <c r="D5117" s="4">
        <v>108</v>
      </c>
      <c r="E5117" s="4">
        <v>7</v>
      </c>
      <c r="F5117">
        <v>195</v>
      </c>
      <c r="G5117">
        <f t="shared" si="79"/>
        <v>112</v>
      </c>
    </row>
    <row r="5118" spans="2:7" ht="15" hidden="1" x14ac:dyDescent="0.25">
      <c r="B5118" s="4">
        <v>584631825</v>
      </c>
      <c r="C5118" s="4" t="s">
        <v>268</v>
      </c>
      <c r="D5118" s="4">
        <v>108</v>
      </c>
      <c r="E5118" s="4">
        <v>7</v>
      </c>
      <c r="F5118">
        <v>182</v>
      </c>
      <c r="G5118">
        <f t="shared" si="79"/>
        <v>112</v>
      </c>
    </row>
    <row r="5119" spans="2:7" ht="15" hidden="1" x14ac:dyDescent="0.25">
      <c r="B5119" s="4">
        <v>584631825</v>
      </c>
      <c r="C5119" s="4" t="s">
        <v>268</v>
      </c>
      <c r="D5119" s="4">
        <v>109</v>
      </c>
      <c r="E5119" s="4">
        <v>7</v>
      </c>
      <c r="F5119">
        <v>182</v>
      </c>
      <c r="G5119">
        <f t="shared" si="79"/>
        <v>112</v>
      </c>
    </row>
    <row r="5120" spans="2:7" ht="15" hidden="1" x14ac:dyDescent="0.25">
      <c r="B5120" s="4">
        <v>584631825</v>
      </c>
      <c r="C5120" s="4" t="s">
        <v>268</v>
      </c>
      <c r="D5120" s="4">
        <v>109</v>
      </c>
      <c r="E5120" s="4">
        <v>7</v>
      </c>
      <c r="F5120">
        <v>5</v>
      </c>
      <c r="G5120">
        <f t="shared" si="79"/>
        <v>112</v>
      </c>
    </row>
    <row r="5121" spans="2:7" ht="15" hidden="1" x14ac:dyDescent="0.25">
      <c r="B5121" s="4">
        <v>584631825</v>
      </c>
      <c r="C5121" s="4" t="s">
        <v>269</v>
      </c>
      <c r="D5121" s="4">
        <v>96</v>
      </c>
      <c r="E5121" s="4">
        <v>57</v>
      </c>
      <c r="F5121">
        <v>5</v>
      </c>
      <c r="G5121">
        <f t="shared" si="79"/>
        <v>512</v>
      </c>
    </row>
    <row r="5122" spans="2:7" ht="15" hidden="1" x14ac:dyDescent="0.25">
      <c r="B5122" s="4">
        <v>584631826</v>
      </c>
      <c r="C5122" s="4" t="s">
        <v>269</v>
      </c>
      <c r="D5122" s="4">
        <v>97</v>
      </c>
      <c r="E5122" s="4">
        <v>57</v>
      </c>
      <c r="F5122">
        <v>5</v>
      </c>
      <c r="G5122">
        <f t="shared" si="79"/>
        <v>512</v>
      </c>
    </row>
    <row r="5123" spans="2:7" ht="15" hidden="1" x14ac:dyDescent="0.25">
      <c r="B5123" s="4">
        <v>584631827</v>
      </c>
      <c r="C5123" s="4" t="s">
        <v>269</v>
      </c>
      <c r="D5123" s="4">
        <v>98</v>
      </c>
      <c r="E5123" s="4">
        <v>57</v>
      </c>
      <c r="F5123">
        <v>5</v>
      </c>
      <c r="G5123">
        <f t="shared" si="79"/>
        <v>512</v>
      </c>
    </row>
    <row r="5124" spans="2:7" ht="15" hidden="1" x14ac:dyDescent="0.25">
      <c r="B5124" s="4">
        <v>584631828</v>
      </c>
      <c r="C5124" s="4" t="s">
        <v>268</v>
      </c>
      <c r="D5124" s="4">
        <v>110</v>
      </c>
      <c r="E5124" s="4">
        <v>9</v>
      </c>
      <c r="F5124">
        <v>5</v>
      </c>
      <c r="G5124">
        <f t="shared" ref="G5124:G5187" si="80">(E5124+7)*8</f>
        <v>128</v>
      </c>
    </row>
    <row r="5125" spans="2:7" ht="15" hidden="1" x14ac:dyDescent="0.25">
      <c r="B5125" s="4">
        <v>584631828</v>
      </c>
      <c r="C5125" s="4" t="s">
        <v>268</v>
      </c>
      <c r="D5125" s="4">
        <v>110</v>
      </c>
      <c r="E5125" s="4">
        <v>9</v>
      </c>
      <c r="F5125">
        <v>195</v>
      </c>
      <c r="G5125">
        <f t="shared" si="80"/>
        <v>128</v>
      </c>
    </row>
    <row r="5126" spans="2:7" ht="15" hidden="1" x14ac:dyDescent="0.25">
      <c r="B5126" s="4">
        <v>584631828</v>
      </c>
      <c r="C5126" s="4" t="s">
        <v>268</v>
      </c>
      <c r="D5126" s="4">
        <v>111</v>
      </c>
      <c r="E5126" s="4">
        <v>7</v>
      </c>
      <c r="F5126">
        <v>195</v>
      </c>
      <c r="G5126">
        <f t="shared" si="80"/>
        <v>112</v>
      </c>
    </row>
    <row r="5127" spans="2:7" ht="15" hidden="1" x14ac:dyDescent="0.25">
      <c r="B5127" s="4">
        <v>584631828</v>
      </c>
      <c r="C5127" s="4" t="s">
        <v>268</v>
      </c>
      <c r="D5127" s="4">
        <v>111</v>
      </c>
      <c r="E5127" s="4">
        <v>7</v>
      </c>
      <c r="F5127">
        <v>182</v>
      </c>
      <c r="G5127">
        <f t="shared" si="80"/>
        <v>112</v>
      </c>
    </row>
    <row r="5128" spans="2:7" ht="15" hidden="1" x14ac:dyDescent="0.25">
      <c r="B5128" s="4">
        <v>584631828</v>
      </c>
      <c r="C5128" s="4" t="s">
        <v>268</v>
      </c>
      <c r="D5128" s="4">
        <v>112</v>
      </c>
      <c r="E5128" s="4">
        <v>5</v>
      </c>
      <c r="F5128">
        <v>182</v>
      </c>
      <c r="G5128">
        <f t="shared" si="80"/>
        <v>96</v>
      </c>
    </row>
    <row r="5129" spans="2:7" ht="15" hidden="1" x14ac:dyDescent="0.25">
      <c r="B5129" s="4">
        <v>584631828</v>
      </c>
      <c r="C5129" s="4" t="s">
        <v>268</v>
      </c>
      <c r="D5129" s="4">
        <v>112</v>
      </c>
      <c r="E5129" s="4">
        <v>5</v>
      </c>
      <c r="F5129">
        <v>6</v>
      </c>
      <c r="G5129">
        <f t="shared" si="80"/>
        <v>96</v>
      </c>
    </row>
    <row r="5130" spans="2:7" ht="15" hidden="1" x14ac:dyDescent="0.25">
      <c r="B5130" s="4">
        <v>584631828</v>
      </c>
      <c r="C5130" s="4" t="s">
        <v>268</v>
      </c>
      <c r="D5130" s="4">
        <v>113</v>
      </c>
      <c r="E5130" s="4">
        <v>9</v>
      </c>
      <c r="F5130">
        <v>6</v>
      </c>
      <c r="G5130">
        <f t="shared" si="80"/>
        <v>128</v>
      </c>
    </row>
    <row r="5131" spans="2:7" ht="15" hidden="1" x14ac:dyDescent="0.25">
      <c r="B5131" s="4">
        <v>584631828</v>
      </c>
      <c r="C5131" s="4" t="s">
        <v>268</v>
      </c>
      <c r="D5131" s="4">
        <v>113</v>
      </c>
      <c r="E5131" s="4">
        <v>9</v>
      </c>
      <c r="F5131">
        <v>80</v>
      </c>
      <c r="G5131">
        <f t="shared" si="80"/>
        <v>128</v>
      </c>
    </row>
    <row r="5132" spans="2:7" ht="15" hidden="1" x14ac:dyDescent="0.25">
      <c r="B5132" s="4">
        <v>584631828</v>
      </c>
      <c r="C5132" s="4" t="s">
        <v>268</v>
      </c>
      <c r="D5132" s="4">
        <v>114</v>
      </c>
      <c r="E5132" s="4">
        <v>6</v>
      </c>
      <c r="F5132">
        <v>80</v>
      </c>
      <c r="G5132">
        <f t="shared" si="80"/>
        <v>104</v>
      </c>
    </row>
    <row r="5133" spans="2:7" ht="15" hidden="1" x14ac:dyDescent="0.25">
      <c r="B5133" s="4">
        <v>584631828</v>
      </c>
      <c r="C5133" s="4" t="s">
        <v>268</v>
      </c>
      <c r="D5133" s="4">
        <v>114</v>
      </c>
      <c r="E5133" s="4">
        <v>6</v>
      </c>
      <c r="F5133">
        <v>11</v>
      </c>
      <c r="G5133">
        <f t="shared" si="80"/>
        <v>104</v>
      </c>
    </row>
    <row r="5134" spans="2:7" ht="15" hidden="1" x14ac:dyDescent="0.25">
      <c r="B5134" s="4">
        <v>584631828</v>
      </c>
      <c r="C5134" s="4" t="s">
        <v>268</v>
      </c>
      <c r="D5134" s="4">
        <v>115</v>
      </c>
      <c r="E5134" s="4">
        <v>9</v>
      </c>
      <c r="F5134">
        <v>11</v>
      </c>
      <c r="G5134">
        <f t="shared" si="80"/>
        <v>128</v>
      </c>
    </row>
    <row r="5135" spans="2:7" ht="15" hidden="1" x14ac:dyDescent="0.25">
      <c r="B5135" s="4">
        <v>584631828</v>
      </c>
      <c r="C5135" s="4" t="s">
        <v>268</v>
      </c>
      <c r="D5135" s="4">
        <v>115</v>
      </c>
      <c r="E5135" s="4">
        <v>9</v>
      </c>
      <c r="F5135">
        <v>195</v>
      </c>
      <c r="G5135">
        <f t="shared" si="80"/>
        <v>128</v>
      </c>
    </row>
    <row r="5136" spans="2:7" ht="15" hidden="1" x14ac:dyDescent="0.25">
      <c r="B5136" s="4">
        <v>584631828</v>
      </c>
      <c r="C5136" s="4" t="s">
        <v>268</v>
      </c>
      <c r="D5136" s="4">
        <v>116</v>
      </c>
      <c r="E5136" s="4">
        <v>7</v>
      </c>
      <c r="F5136">
        <v>195</v>
      </c>
      <c r="G5136">
        <f t="shared" si="80"/>
        <v>112</v>
      </c>
    </row>
    <row r="5137" spans="2:7" ht="15" hidden="1" x14ac:dyDescent="0.25">
      <c r="B5137" s="4">
        <v>584631828</v>
      </c>
      <c r="C5137" s="4" t="s">
        <v>268</v>
      </c>
      <c r="D5137" s="4">
        <v>116</v>
      </c>
      <c r="E5137" s="4">
        <v>7</v>
      </c>
      <c r="F5137">
        <v>81</v>
      </c>
      <c r="G5137">
        <f t="shared" si="80"/>
        <v>112</v>
      </c>
    </row>
    <row r="5138" spans="2:7" ht="15" hidden="1" x14ac:dyDescent="0.25">
      <c r="B5138" s="4">
        <v>584631828</v>
      </c>
      <c r="C5138" s="4" t="s">
        <v>268</v>
      </c>
      <c r="D5138" s="4">
        <v>117</v>
      </c>
      <c r="E5138" s="4">
        <v>7</v>
      </c>
      <c r="F5138">
        <v>81</v>
      </c>
      <c r="G5138">
        <f t="shared" si="80"/>
        <v>112</v>
      </c>
    </row>
    <row r="5139" spans="2:7" ht="15" hidden="1" x14ac:dyDescent="0.25">
      <c r="B5139" s="4">
        <v>584631828</v>
      </c>
      <c r="C5139" s="4" t="s">
        <v>268</v>
      </c>
      <c r="D5139" s="4">
        <v>117</v>
      </c>
      <c r="E5139" s="4">
        <v>7</v>
      </c>
      <c r="F5139">
        <v>79</v>
      </c>
      <c r="G5139">
        <f t="shared" si="80"/>
        <v>112</v>
      </c>
    </row>
    <row r="5140" spans="2:7" ht="15" hidden="1" x14ac:dyDescent="0.25">
      <c r="B5140" s="4">
        <v>584631828</v>
      </c>
      <c r="C5140" s="4" t="s">
        <v>268</v>
      </c>
      <c r="D5140" s="4">
        <v>118</v>
      </c>
      <c r="E5140" s="4">
        <v>7</v>
      </c>
      <c r="F5140">
        <v>79</v>
      </c>
      <c r="G5140">
        <f t="shared" si="80"/>
        <v>112</v>
      </c>
    </row>
    <row r="5141" spans="2:7" ht="15" hidden="1" x14ac:dyDescent="0.25">
      <c r="B5141" s="4">
        <v>584631828</v>
      </c>
      <c r="C5141" s="4" t="s">
        <v>268</v>
      </c>
      <c r="D5141" s="4">
        <v>118</v>
      </c>
      <c r="E5141" s="4">
        <v>7</v>
      </c>
      <c r="F5141">
        <v>5</v>
      </c>
      <c r="G5141">
        <f t="shared" si="80"/>
        <v>112</v>
      </c>
    </row>
    <row r="5142" spans="2:7" ht="15" hidden="1" x14ac:dyDescent="0.25">
      <c r="B5142" s="4">
        <v>584631828</v>
      </c>
      <c r="C5142" s="4" t="s">
        <v>269</v>
      </c>
      <c r="D5142" s="4">
        <v>99</v>
      </c>
      <c r="E5142" s="4">
        <v>57</v>
      </c>
      <c r="F5142">
        <v>5</v>
      </c>
      <c r="G5142">
        <f t="shared" si="80"/>
        <v>512</v>
      </c>
    </row>
    <row r="5143" spans="2:7" ht="15" hidden="1" x14ac:dyDescent="0.25">
      <c r="B5143" s="4">
        <v>584631829</v>
      </c>
      <c r="C5143" s="4" t="s">
        <v>269</v>
      </c>
      <c r="D5143" s="4">
        <v>100</v>
      </c>
      <c r="E5143" s="4">
        <v>57</v>
      </c>
      <c r="F5143">
        <v>5</v>
      </c>
      <c r="G5143">
        <f t="shared" si="80"/>
        <v>512</v>
      </c>
    </row>
    <row r="5144" spans="2:7" ht="15" hidden="1" x14ac:dyDescent="0.25">
      <c r="B5144" s="4">
        <v>584631830</v>
      </c>
      <c r="C5144" s="4" t="s">
        <v>268</v>
      </c>
      <c r="D5144" s="4">
        <v>119</v>
      </c>
      <c r="E5144" s="4">
        <v>7</v>
      </c>
      <c r="F5144">
        <v>5</v>
      </c>
      <c r="G5144">
        <f t="shared" si="80"/>
        <v>112</v>
      </c>
    </row>
    <row r="5145" spans="2:7" ht="15" hidden="1" x14ac:dyDescent="0.25">
      <c r="B5145" s="4">
        <v>584631830</v>
      </c>
      <c r="C5145" s="4" t="s">
        <v>268</v>
      </c>
      <c r="D5145" s="4">
        <v>119</v>
      </c>
      <c r="E5145" s="4">
        <v>7</v>
      </c>
      <c r="F5145">
        <v>81</v>
      </c>
      <c r="G5145">
        <f t="shared" si="80"/>
        <v>112</v>
      </c>
    </row>
    <row r="5146" spans="2:7" ht="15" hidden="1" x14ac:dyDescent="0.25">
      <c r="B5146" s="4">
        <v>584631830</v>
      </c>
      <c r="C5146" s="4" t="s">
        <v>268</v>
      </c>
      <c r="D5146" s="4">
        <v>120</v>
      </c>
      <c r="E5146" s="4">
        <v>5</v>
      </c>
      <c r="F5146">
        <v>81</v>
      </c>
      <c r="G5146">
        <f t="shared" si="80"/>
        <v>96</v>
      </c>
    </row>
    <row r="5147" spans="2:7" ht="15" hidden="1" x14ac:dyDescent="0.25">
      <c r="B5147" s="4">
        <v>584631830</v>
      </c>
      <c r="C5147" s="4" t="s">
        <v>268</v>
      </c>
      <c r="D5147" s="4">
        <v>120</v>
      </c>
      <c r="E5147" s="4">
        <v>5</v>
      </c>
      <c r="F5147">
        <v>6</v>
      </c>
      <c r="G5147">
        <f t="shared" si="80"/>
        <v>96</v>
      </c>
    </row>
    <row r="5148" spans="2:7" ht="15" hidden="1" x14ac:dyDescent="0.25">
      <c r="B5148" s="4">
        <v>584631830</v>
      </c>
      <c r="C5148" s="4" t="s">
        <v>268</v>
      </c>
      <c r="D5148" s="4">
        <v>121</v>
      </c>
      <c r="E5148" s="4">
        <v>7</v>
      </c>
      <c r="F5148">
        <v>6</v>
      </c>
      <c r="G5148">
        <f t="shared" si="80"/>
        <v>112</v>
      </c>
    </row>
    <row r="5149" spans="2:7" ht="15" hidden="1" x14ac:dyDescent="0.25">
      <c r="B5149" s="4">
        <v>584631830</v>
      </c>
      <c r="C5149" s="4" t="s">
        <v>268</v>
      </c>
      <c r="D5149" s="4">
        <v>121</v>
      </c>
      <c r="E5149" s="4">
        <v>7</v>
      </c>
      <c r="F5149">
        <v>5</v>
      </c>
      <c r="G5149">
        <f t="shared" si="80"/>
        <v>112</v>
      </c>
    </row>
    <row r="5150" spans="2:7" ht="15" hidden="1" x14ac:dyDescent="0.25">
      <c r="B5150" s="4">
        <v>584631830</v>
      </c>
      <c r="C5150" s="4" t="s">
        <v>269</v>
      </c>
      <c r="D5150" s="4">
        <v>101</v>
      </c>
      <c r="E5150" s="4">
        <v>57</v>
      </c>
      <c r="F5150">
        <v>5</v>
      </c>
      <c r="G5150">
        <f t="shared" si="80"/>
        <v>512</v>
      </c>
    </row>
    <row r="5151" spans="2:7" ht="15" hidden="1" x14ac:dyDescent="0.25">
      <c r="B5151" s="4">
        <v>584631831</v>
      </c>
      <c r="C5151" s="4" t="s">
        <v>269</v>
      </c>
      <c r="D5151" s="4">
        <v>102</v>
      </c>
      <c r="E5151" s="4">
        <v>57</v>
      </c>
      <c r="F5151">
        <v>5</v>
      </c>
      <c r="G5151">
        <f t="shared" si="80"/>
        <v>512</v>
      </c>
    </row>
    <row r="5152" spans="2:7" ht="15" hidden="1" x14ac:dyDescent="0.25">
      <c r="B5152" s="4">
        <v>584631832</v>
      </c>
      <c r="C5152" s="4" t="s">
        <v>269</v>
      </c>
      <c r="D5152" s="4">
        <v>103</v>
      </c>
      <c r="E5152" s="4">
        <v>57</v>
      </c>
      <c r="F5152">
        <v>5</v>
      </c>
      <c r="G5152">
        <f t="shared" si="80"/>
        <v>512</v>
      </c>
    </row>
    <row r="5153" spans="2:7" ht="15" hidden="1" x14ac:dyDescent="0.25">
      <c r="B5153" s="4">
        <v>584631833</v>
      </c>
      <c r="C5153" s="4" t="s">
        <v>269</v>
      </c>
      <c r="D5153" s="4">
        <v>104</v>
      </c>
      <c r="E5153" s="4">
        <v>57</v>
      </c>
      <c r="F5153">
        <v>5</v>
      </c>
      <c r="G5153">
        <f t="shared" si="80"/>
        <v>512</v>
      </c>
    </row>
    <row r="5154" spans="2:7" ht="15" hidden="1" x14ac:dyDescent="0.25">
      <c r="B5154" s="4">
        <v>584631834</v>
      </c>
      <c r="C5154" s="4" t="s">
        <v>269</v>
      </c>
      <c r="D5154" s="4">
        <v>105</v>
      </c>
      <c r="E5154" s="4">
        <v>57</v>
      </c>
      <c r="F5154">
        <v>5</v>
      </c>
      <c r="G5154">
        <f t="shared" si="80"/>
        <v>512</v>
      </c>
    </row>
    <row r="5155" spans="2:7" ht="15" hidden="1" x14ac:dyDescent="0.25">
      <c r="B5155" s="4">
        <v>584631835</v>
      </c>
      <c r="C5155" s="4" t="s">
        <v>269</v>
      </c>
      <c r="D5155" s="4">
        <v>106</v>
      </c>
      <c r="E5155" s="4">
        <v>57</v>
      </c>
      <c r="F5155">
        <v>5</v>
      </c>
      <c r="G5155">
        <f t="shared" si="80"/>
        <v>512</v>
      </c>
    </row>
    <row r="5156" spans="2:7" ht="15" hidden="1" x14ac:dyDescent="0.25">
      <c r="B5156" s="4">
        <v>584631836</v>
      </c>
      <c r="C5156" s="4" t="s">
        <v>269</v>
      </c>
      <c r="D5156" s="4">
        <v>107</v>
      </c>
      <c r="E5156" s="4">
        <v>57</v>
      </c>
      <c r="F5156">
        <v>5</v>
      </c>
      <c r="G5156">
        <f t="shared" si="80"/>
        <v>512</v>
      </c>
    </row>
    <row r="5157" spans="2:7" ht="15" hidden="1" x14ac:dyDescent="0.25">
      <c r="B5157" s="4">
        <v>584631837</v>
      </c>
      <c r="C5157" s="4" t="s">
        <v>269</v>
      </c>
      <c r="D5157" s="4">
        <v>108</v>
      </c>
      <c r="E5157" s="4">
        <v>57</v>
      </c>
      <c r="F5157">
        <v>5</v>
      </c>
      <c r="G5157">
        <f t="shared" si="80"/>
        <v>512</v>
      </c>
    </row>
    <row r="5158" spans="2:7" ht="15" hidden="1" x14ac:dyDescent="0.25">
      <c r="B5158" s="4">
        <v>584631838</v>
      </c>
      <c r="C5158" s="4" t="s">
        <v>269</v>
      </c>
      <c r="D5158" s="4">
        <v>109</v>
      </c>
      <c r="E5158" s="4">
        <v>57</v>
      </c>
      <c r="F5158">
        <v>5</v>
      </c>
      <c r="G5158">
        <f t="shared" si="80"/>
        <v>512</v>
      </c>
    </row>
    <row r="5159" spans="2:7" ht="15" hidden="1" x14ac:dyDescent="0.25">
      <c r="B5159" s="4">
        <v>584631839</v>
      </c>
      <c r="C5159" s="4" t="s">
        <v>269</v>
      </c>
      <c r="D5159" s="4">
        <v>110</v>
      </c>
      <c r="E5159" s="4">
        <v>57</v>
      </c>
      <c r="F5159">
        <v>5</v>
      </c>
      <c r="G5159">
        <f t="shared" si="80"/>
        <v>512</v>
      </c>
    </row>
    <row r="5160" spans="2:7" ht="15" hidden="1" x14ac:dyDescent="0.25">
      <c r="B5160" s="4">
        <v>584631840</v>
      </c>
      <c r="C5160" s="4" t="s">
        <v>269</v>
      </c>
      <c r="D5160" s="4">
        <v>111</v>
      </c>
      <c r="E5160" s="4">
        <v>57</v>
      </c>
      <c r="F5160">
        <v>5</v>
      </c>
      <c r="G5160">
        <f t="shared" si="80"/>
        <v>512</v>
      </c>
    </row>
    <row r="5161" spans="2:7" ht="15" hidden="1" x14ac:dyDescent="0.25">
      <c r="B5161" s="4">
        <v>584631841</v>
      </c>
      <c r="C5161" s="4" t="s">
        <v>269</v>
      </c>
      <c r="D5161" s="4">
        <v>112</v>
      </c>
      <c r="E5161" s="4">
        <v>57</v>
      </c>
      <c r="F5161">
        <v>5</v>
      </c>
      <c r="G5161">
        <f t="shared" si="80"/>
        <v>512</v>
      </c>
    </row>
    <row r="5162" spans="2:7" ht="15" hidden="1" x14ac:dyDescent="0.25">
      <c r="B5162" s="4">
        <v>584631842</v>
      </c>
      <c r="C5162" s="4" t="s">
        <v>269</v>
      </c>
      <c r="D5162" s="4">
        <v>113</v>
      </c>
      <c r="E5162" s="4">
        <v>57</v>
      </c>
      <c r="F5162">
        <v>5</v>
      </c>
      <c r="G5162">
        <f t="shared" si="80"/>
        <v>512</v>
      </c>
    </row>
    <row r="5163" spans="2:7" ht="15" hidden="1" x14ac:dyDescent="0.25">
      <c r="B5163" s="4">
        <v>584631843</v>
      </c>
      <c r="C5163" s="4" t="s">
        <v>269</v>
      </c>
      <c r="D5163" s="4">
        <v>114</v>
      </c>
      <c r="E5163" s="4">
        <v>57</v>
      </c>
      <c r="F5163">
        <v>5</v>
      </c>
      <c r="G5163">
        <f t="shared" si="80"/>
        <v>512</v>
      </c>
    </row>
    <row r="5164" spans="2:7" ht="15" hidden="1" x14ac:dyDescent="0.25">
      <c r="B5164" s="4">
        <v>584631844</v>
      </c>
      <c r="C5164" s="4" t="s">
        <v>269</v>
      </c>
      <c r="D5164" s="4">
        <v>115</v>
      </c>
      <c r="E5164" s="4">
        <v>57</v>
      </c>
      <c r="F5164">
        <v>5</v>
      </c>
      <c r="G5164">
        <f t="shared" si="80"/>
        <v>512</v>
      </c>
    </row>
    <row r="5165" spans="2:7" ht="15" hidden="1" x14ac:dyDescent="0.25">
      <c r="B5165" s="4">
        <v>584631845</v>
      </c>
      <c r="C5165" s="4" t="s">
        <v>269</v>
      </c>
      <c r="D5165" s="4">
        <v>116</v>
      </c>
      <c r="E5165" s="4">
        <v>57</v>
      </c>
      <c r="F5165">
        <v>5</v>
      </c>
      <c r="G5165">
        <f t="shared" si="80"/>
        <v>512</v>
      </c>
    </row>
    <row r="5166" spans="2:7" ht="15" hidden="1" x14ac:dyDescent="0.25">
      <c r="B5166" s="4">
        <v>584631846</v>
      </c>
      <c r="C5166" s="4" t="s">
        <v>269</v>
      </c>
      <c r="D5166" s="4">
        <v>117</v>
      </c>
      <c r="E5166" s="4">
        <v>57</v>
      </c>
      <c r="F5166">
        <v>5</v>
      </c>
      <c r="G5166">
        <f t="shared" si="80"/>
        <v>512</v>
      </c>
    </row>
    <row r="5167" spans="2:7" ht="15" hidden="1" x14ac:dyDescent="0.25">
      <c r="B5167" s="4">
        <v>584631847</v>
      </c>
      <c r="C5167" s="4" t="s">
        <v>269</v>
      </c>
      <c r="D5167" s="4">
        <v>118</v>
      </c>
      <c r="E5167" s="4">
        <v>57</v>
      </c>
      <c r="F5167">
        <v>5</v>
      </c>
      <c r="G5167">
        <f t="shared" si="80"/>
        <v>512</v>
      </c>
    </row>
    <row r="5168" spans="2:7" ht="15" hidden="1" x14ac:dyDescent="0.25">
      <c r="B5168" s="4">
        <v>584631848</v>
      </c>
      <c r="C5168" s="4" t="s">
        <v>269</v>
      </c>
      <c r="D5168" s="4">
        <v>119</v>
      </c>
      <c r="E5168" s="4">
        <v>57</v>
      </c>
      <c r="F5168">
        <v>5</v>
      </c>
      <c r="G5168">
        <f t="shared" si="80"/>
        <v>512</v>
      </c>
    </row>
    <row r="5169" spans="2:7" ht="15" x14ac:dyDescent="0.25">
      <c r="B5169" s="4">
        <v>584631848</v>
      </c>
      <c r="C5169" s="4" t="s">
        <v>270</v>
      </c>
      <c r="D5169" s="4">
        <v>0</v>
      </c>
      <c r="E5169" s="4">
        <v>1100</v>
      </c>
      <c r="F5169">
        <v>5</v>
      </c>
      <c r="G5169">
        <f t="shared" si="80"/>
        <v>8856</v>
      </c>
    </row>
    <row r="5170" spans="2:7" ht="15" x14ac:dyDescent="0.25">
      <c r="B5170" s="4">
        <v>584631848</v>
      </c>
      <c r="C5170" s="4" t="s">
        <v>271</v>
      </c>
      <c r="D5170" s="4">
        <v>0</v>
      </c>
      <c r="E5170" s="4">
        <v>1100</v>
      </c>
      <c r="F5170">
        <v>5</v>
      </c>
      <c r="G5170">
        <f t="shared" si="80"/>
        <v>8856</v>
      </c>
    </row>
    <row r="5171" spans="2:7" ht="15" hidden="1" x14ac:dyDescent="0.25">
      <c r="B5171" s="4">
        <v>584631849</v>
      </c>
      <c r="C5171" s="4" t="s">
        <v>269</v>
      </c>
      <c r="D5171" s="4">
        <v>120</v>
      </c>
      <c r="E5171" s="4">
        <v>57</v>
      </c>
      <c r="F5171">
        <v>5</v>
      </c>
      <c r="G5171">
        <f t="shared" si="80"/>
        <v>512</v>
      </c>
    </row>
    <row r="5172" spans="2:7" ht="15" hidden="1" x14ac:dyDescent="0.25">
      <c r="B5172" s="4">
        <v>584631849</v>
      </c>
      <c r="C5172" s="4" t="s">
        <v>272</v>
      </c>
      <c r="D5172" s="4">
        <v>0</v>
      </c>
      <c r="E5172" s="4">
        <v>227</v>
      </c>
      <c r="F5172">
        <v>5</v>
      </c>
      <c r="G5172">
        <f t="shared" si="80"/>
        <v>1872</v>
      </c>
    </row>
    <row r="5173" spans="2:7" ht="15" hidden="1" x14ac:dyDescent="0.25">
      <c r="B5173" s="4">
        <v>584631850</v>
      </c>
      <c r="C5173" s="4" t="s">
        <v>269</v>
      </c>
      <c r="D5173" s="4">
        <v>121</v>
      </c>
      <c r="E5173" s="4">
        <v>57</v>
      </c>
      <c r="F5173">
        <v>5</v>
      </c>
      <c r="G5173">
        <f t="shared" si="80"/>
        <v>512</v>
      </c>
    </row>
    <row r="5174" spans="2:7" ht="15" hidden="1" x14ac:dyDescent="0.25">
      <c r="B5174" s="4">
        <v>584631851</v>
      </c>
      <c r="C5174" s="4" t="s">
        <v>269</v>
      </c>
      <c r="D5174" s="4">
        <v>122</v>
      </c>
      <c r="E5174" s="4">
        <v>57</v>
      </c>
      <c r="F5174">
        <v>5</v>
      </c>
      <c r="G5174">
        <f t="shared" si="80"/>
        <v>512</v>
      </c>
    </row>
    <row r="5175" spans="2:7" ht="15" hidden="1" x14ac:dyDescent="0.25">
      <c r="B5175" s="4">
        <v>584631852</v>
      </c>
      <c r="C5175" s="4" t="s">
        <v>269</v>
      </c>
      <c r="D5175" s="4">
        <v>123</v>
      </c>
      <c r="E5175" s="4">
        <v>57</v>
      </c>
      <c r="F5175">
        <v>5</v>
      </c>
      <c r="G5175">
        <f t="shared" si="80"/>
        <v>512</v>
      </c>
    </row>
    <row r="5176" spans="2:7" ht="15" hidden="1" x14ac:dyDescent="0.25">
      <c r="B5176" s="4">
        <v>584631853</v>
      </c>
      <c r="C5176" s="4" t="s">
        <v>269</v>
      </c>
      <c r="D5176" s="4">
        <v>124</v>
      </c>
      <c r="E5176" s="4">
        <v>57</v>
      </c>
      <c r="F5176">
        <v>5</v>
      </c>
      <c r="G5176">
        <f t="shared" si="80"/>
        <v>512</v>
      </c>
    </row>
    <row r="5177" spans="2:7" ht="15" hidden="1" x14ac:dyDescent="0.25">
      <c r="B5177" s="4">
        <v>584631854</v>
      </c>
      <c r="C5177" s="4" t="s">
        <v>269</v>
      </c>
      <c r="D5177" s="4">
        <v>125</v>
      </c>
      <c r="E5177" s="4">
        <v>57</v>
      </c>
      <c r="F5177">
        <v>5</v>
      </c>
      <c r="G5177">
        <f t="shared" si="80"/>
        <v>512</v>
      </c>
    </row>
    <row r="5178" spans="2:7" ht="15" hidden="1" x14ac:dyDescent="0.25">
      <c r="B5178" s="4">
        <v>584631855</v>
      </c>
      <c r="C5178" s="4" t="s">
        <v>269</v>
      </c>
      <c r="D5178" s="4">
        <v>126</v>
      </c>
      <c r="E5178" s="4">
        <v>57</v>
      </c>
      <c r="F5178">
        <v>5</v>
      </c>
      <c r="G5178">
        <f t="shared" si="80"/>
        <v>512</v>
      </c>
    </row>
    <row r="5179" spans="2:7" ht="15" hidden="1" x14ac:dyDescent="0.25">
      <c r="B5179" s="4">
        <v>584631856</v>
      </c>
      <c r="C5179" s="4" t="s">
        <v>269</v>
      </c>
      <c r="D5179" s="4">
        <v>127</v>
      </c>
      <c r="E5179" s="4">
        <v>57</v>
      </c>
      <c r="F5179">
        <v>5</v>
      </c>
      <c r="G5179">
        <f t="shared" si="80"/>
        <v>512</v>
      </c>
    </row>
    <row r="5180" spans="2:7" ht="15" hidden="1" x14ac:dyDescent="0.25">
      <c r="B5180" s="4">
        <v>584631857</v>
      </c>
      <c r="C5180" s="4" t="s">
        <v>269</v>
      </c>
      <c r="D5180" s="4">
        <v>128</v>
      </c>
      <c r="E5180" s="4">
        <v>57</v>
      </c>
      <c r="F5180">
        <v>5</v>
      </c>
      <c r="G5180">
        <f t="shared" si="80"/>
        <v>512</v>
      </c>
    </row>
    <row r="5181" spans="2:7" ht="15" hidden="1" x14ac:dyDescent="0.25">
      <c r="B5181" s="4">
        <v>584631858</v>
      </c>
      <c r="C5181" s="4" t="s">
        <v>269</v>
      </c>
      <c r="D5181" s="4">
        <v>129</v>
      </c>
      <c r="E5181" s="4">
        <v>57</v>
      </c>
      <c r="F5181">
        <v>5</v>
      </c>
      <c r="G5181">
        <f t="shared" si="80"/>
        <v>512</v>
      </c>
    </row>
    <row r="5182" spans="2:7" ht="15" hidden="1" x14ac:dyDescent="0.25">
      <c r="B5182" s="4">
        <v>584631858</v>
      </c>
      <c r="C5182" s="4" t="s">
        <v>272</v>
      </c>
      <c r="D5182" s="4">
        <v>1</v>
      </c>
      <c r="E5182" s="4">
        <v>207</v>
      </c>
      <c r="F5182">
        <v>5</v>
      </c>
      <c r="G5182">
        <f t="shared" si="80"/>
        <v>1712</v>
      </c>
    </row>
    <row r="5183" spans="2:7" ht="15" hidden="1" x14ac:dyDescent="0.25">
      <c r="B5183" s="4">
        <v>584631859</v>
      </c>
      <c r="C5183" s="4" t="s">
        <v>269</v>
      </c>
      <c r="D5183" s="4">
        <v>130</v>
      </c>
      <c r="E5183" s="4">
        <v>57</v>
      </c>
      <c r="F5183">
        <v>5</v>
      </c>
      <c r="G5183">
        <f t="shared" si="80"/>
        <v>512</v>
      </c>
    </row>
    <row r="5184" spans="2:7" ht="15" hidden="1" x14ac:dyDescent="0.25">
      <c r="B5184" s="4">
        <v>584631860</v>
      </c>
      <c r="C5184" s="4" t="s">
        <v>268</v>
      </c>
      <c r="D5184" s="4">
        <v>122</v>
      </c>
      <c r="E5184" s="4">
        <v>6</v>
      </c>
      <c r="F5184">
        <v>5</v>
      </c>
      <c r="G5184">
        <f t="shared" si="80"/>
        <v>104</v>
      </c>
    </row>
    <row r="5185" spans="2:7" ht="15" hidden="1" x14ac:dyDescent="0.25">
      <c r="B5185" s="4">
        <v>584631860</v>
      </c>
      <c r="C5185" s="4" t="s">
        <v>268</v>
      </c>
      <c r="D5185" s="4">
        <v>122</v>
      </c>
      <c r="E5185" s="4">
        <v>6</v>
      </c>
      <c r="F5185">
        <v>11</v>
      </c>
      <c r="G5185">
        <f t="shared" si="80"/>
        <v>104</v>
      </c>
    </row>
    <row r="5186" spans="2:7" ht="15" hidden="1" x14ac:dyDescent="0.25">
      <c r="B5186" s="4">
        <v>584631860</v>
      </c>
      <c r="C5186" s="4" t="s">
        <v>268</v>
      </c>
      <c r="D5186" s="4">
        <v>123</v>
      </c>
      <c r="E5186" s="4">
        <v>9</v>
      </c>
      <c r="F5186">
        <v>11</v>
      </c>
      <c r="G5186">
        <f t="shared" si="80"/>
        <v>128</v>
      </c>
    </row>
    <row r="5187" spans="2:7" ht="15" hidden="1" x14ac:dyDescent="0.25">
      <c r="B5187" s="4">
        <v>584631860</v>
      </c>
      <c r="C5187" s="4" t="s">
        <v>268</v>
      </c>
      <c r="D5187" s="4">
        <v>123</v>
      </c>
      <c r="E5187" s="4">
        <v>9</v>
      </c>
      <c r="F5187">
        <v>195</v>
      </c>
      <c r="G5187">
        <f t="shared" si="80"/>
        <v>128</v>
      </c>
    </row>
    <row r="5188" spans="2:7" ht="15" hidden="1" x14ac:dyDescent="0.25">
      <c r="B5188" s="4">
        <v>584631860</v>
      </c>
      <c r="C5188" s="4" t="s">
        <v>268</v>
      </c>
      <c r="D5188" s="4">
        <v>124</v>
      </c>
      <c r="E5188" s="4">
        <v>7</v>
      </c>
      <c r="F5188">
        <v>195</v>
      </c>
      <c r="G5188">
        <f t="shared" ref="G5188:G5251" si="81">(E5188+7)*8</f>
        <v>112</v>
      </c>
    </row>
    <row r="5189" spans="2:7" ht="15" hidden="1" x14ac:dyDescent="0.25">
      <c r="B5189" s="4">
        <v>584631860</v>
      </c>
      <c r="C5189" s="4" t="s">
        <v>268</v>
      </c>
      <c r="D5189" s="4">
        <v>124</v>
      </c>
      <c r="E5189" s="4">
        <v>7</v>
      </c>
      <c r="F5189">
        <v>81</v>
      </c>
      <c r="G5189">
        <f t="shared" si="81"/>
        <v>112</v>
      </c>
    </row>
    <row r="5190" spans="2:7" ht="15" hidden="1" x14ac:dyDescent="0.25">
      <c r="B5190" s="4">
        <v>584631860</v>
      </c>
      <c r="C5190" s="4" t="s">
        <v>268</v>
      </c>
      <c r="D5190" s="4">
        <v>125</v>
      </c>
      <c r="E5190" s="4">
        <v>7</v>
      </c>
      <c r="F5190">
        <v>81</v>
      </c>
      <c r="G5190">
        <f t="shared" si="81"/>
        <v>112</v>
      </c>
    </row>
    <row r="5191" spans="2:7" ht="15" hidden="1" x14ac:dyDescent="0.25">
      <c r="B5191" s="4">
        <v>584631860</v>
      </c>
      <c r="C5191" s="4" t="s">
        <v>268</v>
      </c>
      <c r="D5191" s="4">
        <v>125</v>
      </c>
      <c r="E5191" s="4">
        <v>7</v>
      </c>
      <c r="F5191">
        <v>79</v>
      </c>
      <c r="G5191">
        <f t="shared" si="81"/>
        <v>112</v>
      </c>
    </row>
    <row r="5192" spans="2:7" ht="15" hidden="1" x14ac:dyDescent="0.25">
      <c r="B5192" s="4">
        <v>584631860</v>
      </c>
      <c r="C5192" s="4" t="s">
        <v>268</v>
      </c>
      <c r="D5192" s="4">
        <v>126</v>
      </c>
      <c r="E5192" s="4">
        <v>7</v>
      </c>
      <c r="F5192">
        <v>79</v>
      </c>
      <c r="G5192">
        <f t="shared" si="81"/>
        <v>112</v>
      </c>
    </row>
    <row r="5193" spans="2:7" ht="15" hidden="1" x14ac:dyDescent="0.25">
      <c r="B5193" s="4">
        <v>584631860</v>
      </c>
      <c r="C5193" s="4" t="s">
        <v>268</v>
      </c>
      <c r="D5193" s="4">
        <v>126</v>
      </c>
      <c r="E5193" s="4">
        <v>7</v>
      </c>
      <c r="F5193">
        <v>5</v>
      </c>
      <c r="G5193">
        <f t="shared" si="81"/>
        <v>112</v>
      </c>
    </row>
    <row r="5194" spans="2:7" ht="15" hidden="1" x14ac:dyDescent="0.25">
      <c r="B5194" s="4">
        <v>584631860</v>
      </c>
      <c r="C5194" s="4" t="s">
        <v>269</v>
      </c>
      <c r="D5194" s="4">
        <v>131</v>
      </c>
      <c r="E5194" s="4">
        <v>57</v>
      </c>
      <c r="F5194">
        <v>5</v>
      </c>
      <c r="G5194">
        <f t="shared" si="81"/>
        <v>512</v>
      </c>
    </row>
    <row r="5195" spans="2:7" ht="15" hidden="1" x14ac:dyDescent="0.25">
      <c r="B5195" s="4">
        <v>584631861</v>
      </c>
      <c r="C5195" s="4" t="s">
        <v>269</v>
      </c>
      <c r="D5195" s="4">
        <v>132</v>
      </c>
      <c r="E5195" s="4">
        <v>57</v>
      </c>
      <c r="F5195">
        <v>5</v>
      </c>
      <c r="G5195">
        <f t="shared" si="81"/>
        <v>512</v>
      </c>
    </row>
    <row r="5196" spans="2:7" ht="15" hidden="1" x14ac:dyDescent="0.25">
      <c r="B5196" s="4">
        <v>584631862</v>
      </c>
      <c r="C5196" s="4" t="s">
        <v>268</v>
      </c>
      <c r="D5196" s="4">
        <v>127</v>
      </c>
      <c r="E5196" s="4">
        <v>7</v>
      </c>
      <c r="F5196">
        <v>5</v>
      </c>
      <c r="G5196">
        <f t="shared" si="81"/>
        <v>112</v>
      </c>
    </row>
    <row r="5197" spans="2:7" ht="15" hidden="1" x14ac:dyDescent="0.25">
      <c r="B5197" s="4">
        <v>584631862</v>
      </c>
      <c r="C5197" s="4" t="s">
        <v>268</v>
      </c>
      <c r="D5197" s="4">
        <v>127</v>
      </c>
      <c r="E5197" s="4">
        <v>7</v>
      </c>
      <c r="F5197">
        <v>81</v>
      </c>
      <c r="G5197">
        <f t="shared" si="81"/>
        <v>112</v>
      </c>
    </row>
    <row r="5198" spans="2:7" ht="15" hidden="1" x14ac:dyDescent="0.25">
      <c r="B5198" s="4">
        <v>584631862</v>
      </c>
      <c r="C5198" s="4" t="s">
        <v>268</v>
      </c>
      <c r="D5198" s="4">
        <v>128</v>
      </c>
      <c r="E5198" s="4">
        <v>5</v>
      </c>
      <c r="F5198">
        <v>81</v>
      </c>
      <c r="G5198">
        <f t="shared" si="81"/>
        <v>96</v>
      </c>
    </row>
    <row r="5199" spans="2:7" ht="15" hidden="1" x14ac:dyDescent="0.25">
      <c r="B5199" s="4">
        <v>584631862</v>
      </c>
      <c r="C5199" s="4" t="s">
        <v>268</v>
      </c>
      <c r="D5199" s="4">
        <v>128</v>
      </c>
      <c r="E5199" s="4">
        <v>5</v>
      </c>
      <c r="F5199">
        <v>6</v>
      </c>
      <c r="G5199">
        <f t="shared" si="81"/>
        <v>96</v>
      </c>
    </row>
    <row r="5200" spans="2:7" ht="15" hidden="1" x14ac:dyDescent="0.25">
      <c r="B5200" s="4">
        <v>584631862</v>
      </c>
      <c r="C5200" s="4" t="s">
        <v>268</v>
      </c>
      <c r="D5200" s="4">
        <v>129</v>
      </c>
      <c r="E5200" s="4">
        <v>7</v>
      </c>
      <c r="F5200">
        <v>6</v>
      </c>
      <c r="G5200">
        <f t="shared" si="81"/>
        <v>112</v>
      </c>
    </row>
    <row r="5201" spans="2:7" ht="15" hidden="1" x14ac:dyDescent="0.25">
      <c r="B5201" s="4">
        <v>584631862</v>
      </c>
      <c r="C5201" s="4" t="s">
        <v>268</v>
      </c>
      <c r="D5201" s="4">
        <v>129</v>
      </c>
      <c r="E5201" s="4">
        <v>7</v>
      </c>
      <c r="F5201">
        <v>5</v>
      </c>
      <c r="G5201">
        <f t="shared" si="81"/>
        <v>112</v>
      </c>
    </row>
    <row r="5202" spans="2:7" ht="15" hidden="1" x14ac:dyDescent="0.25">
      <c r="B5202" s="4">
        <v>584631862</v>
      </c>
      <c r="C5202" s="4" t="s">
        <v>269</v>
      </c>
      <c r="D5202" s="4">
        <v>133</v>
      </c>
      <c r="E5202" s="4">
        <v>57</v>
      </c>
      <c r="F5202">
        <v>5</v>
      </c>
      <c r="G5202">
        <f t="shared" si="81"/>
        <v>512</v>
      </c>
    </row>
    <row r="5203" spans="2:7" ht="15" hidden="1" x14ac:dyDescent="0.25">
      <c r="B5203" s="4">
        <v>584631863</v>
      </c>
      <c r="C5203" s="4" t="s">
        <v>269</v>
      </c>
      <c r="D5203" s="4">
        <v>134</v>
      </c>
      <c r="E5203" s="4">
        <v>57</v>
      </c>
      <c r="F5203">
        <v>5</v>
      </c>
      <c r="G5203">
        <f t="shared" si="81"/>
        <v>512</v>
      </c>
    </row>
    <row r="5204" spans="2:7" ht="15" hidden="1" x14ac:dyDescent="0.25">
      <c r="B5204" s="4">
        <v>584631864</v>
      </c>
      <c r="C5204" s="4" t="s">
        <v>269</v>
      </c>
      <c r="D5204" s="4">
        <v>135</v>
      </c>
      <c r="E5204" s="4">
        <v>57</v>
      </c>
      <c r="F5204">
        <v>5</v>
      </c>
      <c r="G5204">
        <f t="shared" si="81"/>
        <v>512</v>
      </c>
    </row>
    <row r="5205" spans="2:7" ht="15" hidden="1" x14ac:dyDescent="0.25">
      <c r="B5205" s="4">
        <v>584631865</v>
      </c>
      <c r="C5205" s="4" t="s">
        <v>269</v>
      </c>
      <c r="D5205" s="4">
        <v>136</v>
      </c>
      <c r="E5205" s="4">
        <v>57</v>
      </c>
      <c r="F5205">
        <v>5</v>
      </c>
      <c r="G5205">
        <f t="shared" si="81"/>
        <v>512</v>
      </c>
    </row>
    <row r="5206" spans="2:7" ht="15" hidden="1" x14ac:dyDescent="0.25">
      <c r="B5206" s="4">
        <v>584631866</v>
      </c>
      <c r="C5206" s="4" t="s">
        <v>269</v>
      </c>
      <c r="D5206" s="4">
        <v>137</v>
      </c>
      <c r="E5206" s="4">
        <v>57</v>
      </c>
      <c r="F5206">
        <v>5</v>
      </c>
      <c r="G5206">
        <f t="shared" si="81"/>
        <v>512</v>
      </c>
    </row>
    <row r="5207" spans="2:7" ht="15" hidden="1" x14ac:dyDescent="0.25">
      <c r="B5207" s="4">
        <v>584631867</v>
      </c>
      <c r="C5207" s="4" t="s">
        <v>269</v>
      </c>
      <c r="D5207" s="4">
        <v>138</v>
      </c>
      <c r="E5207" s="4">
        <v>57</v>
      </c>
      <c r="F5207">
        <v>5</v>
      </c>
      <c r="G5207">
        <f t="shared" si="81"/>
        <v>512</v>
      </c>
    </row>
    <row r="5208" spans="2:7" ht="15" hidden="1" x14ac:dyDescent="0.25">
      <c r="B5208" s="4">
        <v>584631868</v>
      </c>
      <c r="C5208" s="4" t="s">
        <v>269</v>
      </c>
      <c r="D5208" s="4">
        <v>139</v>
      </c>
      <c r="E5208" s="4">
        <v>57</v>
      </c>
      <c r="F5208">
        <v>5</v>
      </c>
      <c r="G5208">
        <f t="shared" si="81"/>
        <v>512</v>
      </c>
    </row>
    <row r="5209" spans="2:7" ht="15" hidden="1" x14ac:dyDescent="0.25">
      <c r="B5209" s="4">
        <v>584631868</v>
      </c>
      <c r="C5209" s="4" t="s">
        <v>272</v>
      </c>
      <c r="D5209" s="4">
        <v>2</v>
      </c>
      <c r="E5209" s="4">
        <v>209</v>
      </c>
      <c r="F5209">
        <v>5</v>
      </c>
      <c r="G5209">
        <f t="shared" si="81"/>
        <v>1728</v>
      </c>
    </row>
    <row r="5210" spans="2:7" ht="15" hidden="1" x14ac:dyDescent="0.25">
      <c r="B5210" s="4">
        <v>584631869</v>
      </c>
      <c r="C5210" s="4" t="s">
        <v>269</v>
      </c>
      <c r="D5210" s="4">
        <v>140</v>
      </c>
      <c r="E5210" s="4">
        <v>57</v>
      </c>
      <c r="F5210">
        <v>5</v>
      </c>
      <c r="G5210">
        <f t="shared" si="81"/>
        <v>512</v>
      </c>
    </row>
    <row r="5211" spans="2:7" ht="15" hidden="1" x14ac:dyDescent="0.25">
      <c r="B5211" s="4">
        <v>584631870</v>
      </c>
      <c r="C5211" s="4" t="s">
        <v>269</v>
      </c>
      <c r="D5211" s="4">
        <v>141</v>
      </c>
      <c r="E5211" s="4">
        <v>57</v>
      </c>
      <c r="F5211">
        <v>5</v>
      </c>
      <c r="G5211">
        <f t="shared" si="81"/>
        <v>512</v>
      </c>
    </row>
    <row r="5212" spans="2:7" ht="15" hidden="1" x14ac:dyDescent="0.25">
      <c r="B5212" s="4">
        <v>584631871</v>
      </c>
      <c r="C5212" s="4" t="s">
        <v>269</v>
      </c>
      <c r="D5212" s="4">
        <v>142</v>
      </c>
      <c r="E5212" s="4">
        <v>57</v>
      </c>
      <c r="F5212">
        <v>5</v>
      </c>
      <c r="G5212">
        <f t="shared" si="81"/>
        <v>512</v>
      </c>
    </row>
    <row r="5213" spans="2:7" ht="15" hidden="1" x14ac:dyDescent="0.25">
      <c r="B5213" s="4">
        <v>584631872</v>
      </c>
      <c r="C5213" s="4" t="s">
        <v>269</v>
      </c>
      <c r="D5213" s="4">
        <v>143</v>
      </c>
      <c r="E5213" s="4">
        <v>57</v>
      </c>
      <c r="F5213">
        <v>5</v>
      </c>
      <c r="G5213">
        <f t="shared" si="81"/>
        <v>512</v>
      </c>
    </row>
    <row r="5214" spans="2:7" ht="15" hidden="1" x14ac:dyDescent="0.25">
      <c r="B5214" s="4">
        <v>584631873</v>
      </c>
      <c r="C5214" s="4" t="s">
        <v>269</v>
      </c>
      <c r="D5214" s="4">
        <v>144</v>
      </c>
      <c r="E5214" s="4">
        <v>57</v>
      </c>
      <c r="F5214">
        <v>5</v>
      </c>
      <c r="G5214">
        <f t="shared" si="81"/>
        <v>512</v>
      </c>
    </row>
    <row r="5215" spans="2:7" ht="15" hidden="1" x14ac:dyDescent="0.25">
      <c r="B5215" s="4">
        <v>584631874</v>
      </c>
      <c r="C5215" s="4" t="s">
        <v>269</v>
      </c>
      <c r="D5215" s="4">
        <v>145</v>
      </c>
      <c r="E5215" s="4">
        <v>57</v>
      </c>
      <c r="F5215">
        <v>5</v>
      </c>
      <c r="G5215">
        <f t="shared" si="81"/>
        <v>512</v>
      </c>
    </row>
    <row r="5216" spans="2:7" ht="15" hidden="1" x14ac:dyDescent="0.25">
      <c r="B5216" s="4">
        <v>584631875</v>
      </c>
      <c r="C5216" s="4" t="s">
        <v>269</v>
      </c>
      <c r="D5216" s="4">
        <v>146</v>
      </c>
      <c r="E5216" s="4">
        <v>57</v>
      </c>
      <c r="F5216">
        <v>5</v>
      </c>
      <c r="G5216">
        <f t="shared" si="81"/>
        <v>512</v>
      </c>
    </row>
    <row r="5217" spans="2:7" ht="15" hidden="1" x14ac:dyDescent="0.25">
      <c r="B5217" s="4">
        <v>584631876</v>
      </c>
      <c r="C5217" s="4" t="s">
        <v>269</v>
      </c>
      <c r="D5217" s="4">
        <v>147</v>
      </c>
      <c r="E5217" s="4">
        <v>57</v>
      </c>
      <c r="F5217">
        <v>5</v>
      </c>
      <c r="G5217">
        <f t="shared" si="81"/>
        <v>512</v>
      </c>
    </row>
    <row r="5218" spans="2:7" ht="15" hidden="1" x14ac:dyDescent="0.25">
      <c r="B5218" s="4">
        <v>584631877</v>
      </c>
      <c r="C5218" s="4" t="s">
        <v>269</v>
      </c>
      <c r="D5218" s="4">
        <v>148</v>
      </c>
      <c r="E5218" s="4">
        <v>57</v>
      </c>
      <c r="F5218">
        <v>5</v>
      </c>
      <c r="G5218">
        <f t="shared" si="81"/>
        <v>512</v>
      </c>
    </row>
    <row r="5219" spans="2:7" ht="15" hidden="1" x14ac:dyDescent="0.25">
      <c r="B5219" s="4">
        <v>584631878</v>
      </c>
      <c r="C5219" s="4" t="s">
        <v>269</v>
      </c>
      <c r="D5219" s="4">
        <v>149</v>
      </c>
      <c r="E5219" s="4">
        <v>57</v>
      </c>
      <c r="F5219">
        <v>5</v>
      </c>
      <c r="G5219">
        <f t="shared" si="81"/>
        <v>512</v>
      </c>
    </row>
    <row r="5220" spans="2:7" ht="15" hidden="1" x14ac:dyDescent="0.25">
      <c r="B5220" s="4">
        <v>584631878</v>
      </c>
      <c r="C5220" s="4" t="s">
        <v>272</v>
      </c>
      <c r="D5220" s="4">
        <v>3</v>
      </c>
      <c r="E5220" s="4">
        <v>211</v>
      </c>
      <c r="F5220">
        <v>5</v>
      </c>
      <c r="G5220">
        <f t="shared" si="81"/>
        <v>1744</v>
      </c>
    </row>
    <row r="5221" spans="2:7" ht="15" hidden="1" x14ac:dyDescent="0.25">
      <c r="B5221" s="4">
        <v>584631879</v>
      </c>
      <c r="C5221" s="4" t="s">
        <v>269</v>
      </c>
      <c r="D5221" s="4">
        <v>150</v>
      </c>
      <c r="E5221" s="4">
        <v>57</v>
      </c>
      <c r="F5221">
        <v>5</v>
      </c>
      <c r="G5221">
        <f t="shared" si="81"/>
        <v>512</v>
      </c>
    </row>
    <row r="5222" spans="2:7" ht="15" hidden="1" x14ac:dyDescent="0.25">
      <c r="B5222" s="4">
        <v>584631880</v>
      </c>
      <c r="C5222" s="4" t="s">
        <v>269</v>
      </c>
      <c r="D5222" s="4">
        <v>151</v>
      </c>
      <c r="E5222" s="4">
        <v>57</v>
      </c>
      <c r="F5222">
        <v>5</v>
      </c>
      <c r="G5222">
        <f t="shared" si="81"/>
        <v>512</v>
      </c>
    </row>
    <row r="5223" spans="2:7" ht="15" hidden="1" x14ac:dyDescent="0.25">
      <c r="B5223" s="4">
        <v>584631881</v>
      </c>
      <c r="C5223" s="4" t="s">
        <v>269</v>
      </c>
      <c r="D5223" s="4">
        <v>152</v>
      </c>
      <c r="E5223" s="4">
        <v>57</v>
      </c>
      <c r="F5223">
        <v>5</v>
      </c>
      <c r="G5223">
        <f t="shared" si="81"/>
        <v>512</v>
      </c>
    </row>
    <row r="5224" spans="2:7" ht="15" hidden="1" x14ac:dyDescent="0.25">
      <c r="B5224" s="4">
        <v>584631882</v>
      </c>
      <c r="C5224" s="4" t="s">
        <v>269</v>
      </c>
      <c r="D5224" s="4">
        <v>153</v>
      </c>
      <c r="E5224" s="4">
        <v>57</v>
      </c>
      <c r="F5224">
        <v>5</v>
      </c>
      <c r="G5224">
        <f t="shared" si="81"/>
        <v>512</v>
      </c>
    </row>
    <row r="5225" spans="2:7" ht="15" hidden="1" x14ac:dyDescent="0.25">
      <c r="B5225" s="4">
        <v>584631883</v>
      </c>
      <c r="C5225" s="4" t="s">
        <v>269</v>
      </c>
      <c r="D5225" s="4">
        <v>154</v>
      </c>
      <c r="E5225" s="4">
        <v>57</v>
      </c>
      <c r="F5225">
        <v>5</v>
      </c>
      <c r="G5225">
        <f t="shared" si="81"/>
        <v>512</v>
      </c>
    </row>
    <row r="5226" spans="2:7" ht="15" hidden="1" x14ac:dyDescent="0.25">
      <c r="B5226" s="4">
        <v>584631884</v>
      </c>
      <c r="C5226" s="4" t="s">
        <v>269</v>
      </c>
      <c r="D5226" s="4">
        <v>155</v>
      </c>
      <c r="E5226" s="4">
        <v>57</v>
      </c>
      <c r="F5226">
        <v>5</v>
      </c>
      <c r="G5226">
        <f t="shared" si="81"/>
        <v>512</v>
      </c>
    </row>
    <row r="5227" spans="2:7" ht="15" hidden="1" x14ac:dyDescent="0.25">
      <c r="B5227" s="4">
        <v>584631885</v>
      </c>
      <c r="C5227" s="4" t="s">
        <v>269</v>
      </c>
      <c r="D5227" s="4">
        <v>156</v>
      </c>
      <c r="E5227" s="4">
        <v>57</v>
      </c>
      <c r="F5227">
        <v>5</v>
      </c>
      <c r="G5227">
        <f t="shared" si="81"/>
        <v>512</v>
      </c>
    </row>
    <row r="5228" spans="2:7" ht="15" hidden="1" x14ac:dyDescent="0.25">
      <c r="B5228" s="4">
        <v>584631886</v>
      </c>
      <c r="C5228" s="4" t="s">
        <v>269</v>
      </c>
      <c r="D5228" s="4">
        <v>157</v>
      </c>
      <c r="E5228" s="4">
        <v>57</v>
      </c>
      <c r="F5228">
        <v>5</v>
      </c>
      <c r="G5228">
        <f t="shared" si="81"/>
        <v>512</v>
      </c>
    </row>
    <row r="5229" spans="2:7" ht="15" hidden="1" x14ac:dyDescent="0.25">
      <c r="B5229" s="4">
        <v>584631887</v>
      </c>
      <c r="C5229" s="4" t="s">
        <v>269</v>
      </c>
      <c r="D5229" s="4">
        <v>158</v>
      </c>
      <c r="E5229" s="4">
        <v>57</v>
      </c>
      <c r="F5229">
        <v>5</v>
      </c>
      <c r="G5229">
        <f t="shared" si="81"/>
        <v>512</v>
      </c>
    </row>
    <row r="5230" spans="2:7" ht="15" hidden="1" x14ac:dyDescent="0.25">
      <c r="B5230" s="4">
        <v>584631888</v>
      </c>
      <c r="C5230" s="4" t="s">
        <v>269</v>
      </c>
      <c r="D5230" s="4">
        <v>159</v>
      </c>
      <c r="E5230" s="4">
        <v>57</v>
      </c>
      <c r="F5230">
        <v>5</v>
      </c>
      <c r="G5230">
        <f t="shared" si="81"/>
        <v>512</v>
      </c>
    </row>
    <row r="5231" spans="2:7" ht="15" hidden="1" x14ac:dyDescent="0.25">
      <c r="B5231" s="4">
        <v>584631888</v>
      </c>
      <c r="C5231" s="4" t="s">
        <v>272</v>
      </c>
      <c r="D5231" s="4">
        <v>4</v>
      </c>
      <c r="E5231" s="4">
        <v>211</v>
      </c>
      <c r="F5231">
        <v>5</v>
      </c>
      <c r="G5231">
        <f t="shared" si="81"/>
        <v>1744</v>
      </c>
    </row>
    <row r="5232" spans="2:7" ht="15" hidden="1" x14ac:dyDescent="0.25">
      <c r="B5232" s="4">
        <v>584631889</v>
      </c>
      <c r="C5232" s="4" t="s">
        <v>269</v>
      </c>
      <c r="D5232" s="4">
        <v>160</v>
      </c>
      <c r="E5232" s="4">
        <v>57</v>
      </c>
      <c r="F5232">
        <v>5</v>
      </c>
      <c r="G5232">
        <f t="shared" si="81"/>
        <v>512</v>
      </c>
    </row>
    <row r="5233" spans="2:7" ht="15" hidden="1" x14ac:dyDescent="0.25">
      <c r="B5233" s="4">
        <v>584631890</v>
      </c>
      <c r="C5233" s="4" t="s">
        <v>269</v>
      </c>
      <c r="D5233" s="4">
        <v>161</v>
      </c>
      <c r="E5233" s="4">
        <v>57</v>
      </c>
      <c r="F5233">
        <v>5</v>
      </c>
      <c r="G5233">
        <f t="shared" si="81"/>
        <v>512</v>
      </c>
    </row>
    <row r="5234" spans="2:7" ht="15" hidden="1" x14ac:dyDescent="0.25">
      <c r="B5234" s="4">
        <v>584631891</v>
      </c>
      <c r="C5234" s="4" t="s">
        <v>269</v>
      </c>
      <c r="D5234" s="4">
        <v>162</v>
      </c>
      <c r="E5234" s="4">
        <v>57</v>
      </c>
      <c r="F5234">
        <v>5</v>
      </c>
      <c r="G5234">
        <f t="shared" si="81"/>
        <v>512</v>
      </c>
    </row>
    <row r="5235" spans="2:7" ht="15" hidden="1" x14ac:dyDescent="0.25">
      <c r="B5235" s="4">
        <v>584631892</v>
      </c>
      <c r="C5235" s="4" t="s">
        <v>268</v>
      </c>
      <c r="D5235" s="4">
        <v>130</v>
      </c>
      <c r="E5235" s="4">
        <v>6</v>
      </c>
      <c r="F5235">
        <v>5</v>
      </c>
      <c r="G5235">
        <f t="shared" si="81"/>
        <v>104</v>
      </c>
    </row>
    <row r="5236" spans="2:7" ht="15" hidden="1" x14ac:dyDescent="0.25">
      <c r="B5236" s="4">
        <v>584631892</v>
      </c>
      <c r="C5236" s="4" t="s">
        <v>268</v>
      </c>
      <c r="D5236" s="4">
        <v>130</v>
      </c>
      <c r="E5236" s="4">
        <v>6</v>
      </c>
      <c r="F5236">
        <v>11</v>
      </c>
      <c r="G5236">
        <f t="shared" si="81"/>
        <v>104</v>
      </c>
    </row>
    <row r="5237" spans="2:7" ht="15" hidden="1" x14ac:dyDescent="0.25">
      <c r="B5237" s="4">
        <v>584631892</v>
      </c>
      <c r="C5237" s="4" t="s">
        <v>268</v>
      </c>
      <c r="D5237" s="4">
        <v>131</v>
      </c>
      <c r="E5237" s="4">
        <v>9</v>
      </c>
      <c r="F5237">
        <v>11</v>
      </c>
      <c r="G5237">
        <f t="shared" si="81"/>
        <v>128</v>
      </c>
    </row>
    <row r="5238" spans="2:7" ht="15" hidden="1" x14ac:dyDescent="0.25">
      <c r="B5238" s="4">
        <v>584631892</v>
      </c>
      <c r="C5238" s="4" t="s">
        <v>268</v>
      </c>
      <c r="D5238" s="4">
        <v>131</v>
      </c>
      <c r="E5238" s="4">
        <v>9</v>
      </c>
      <c r="F5238">
        <v>195</v>
      </c>
      <c r="G5238">
        <f t="shared" si="81"/>
        <v>128</v>
      </c>
    </row>
    <row r="5239" spans="2:7" ht="15" hidden="1" x14ac:dyDescent="0.25">
      <c r="B5239" s="4">
        <v>584631892</v>
      </c>
      <c r="C5239" s="4" t="s">
        <v>268</v>
      </c>
      <c r="D5239" s="4">
        <v>132</v>
      </c>
      <c r="E5239" s="4">
        <v>7</v>
      </c>
      <c r="F5239">
        <v>195</v>
      </c>
      <c r="G5239">
        <f t="shared" si="81"/>
        <v>112</v>
      </c>
    </row>
    <row r="5240" spans="2:7" ht="15" hidden="1" x14ac:dyDescent="0.25">
      <c r="B5240" s="4">
        <v>584631892</v>
      </c>
      <c r="C5240" s="4" t="s">
        <v>268</v>
      </c>
      <c r="D5240" s="4">
        <v>132</v>
      </c>
      <c r="E5240" s="4">
        <v>7</v>
      </c>
      <c r="F5240">
        <v>81</v>
      </c>
      <c r="G5240">
        <f t="shared" si="81"/>
        <v>112</v>
      </c>
    </row>
    <row r="5241" spans="2:7" ht="15" hidden="1" x14ac:dyDescent="0.25">
      <c r="B5241" s="4">
        <v>584631892</v>
      </c>
      <c r="C5241" s="4" t="s">
        <v>268</v>
      </c>
      <c r="D5241" s="4">
        <v>133</v>
      </c>
      <c r="E5241" s="4">
        <v>7</v>
      </c>
      <c r="F5241">
        <v>81</v>
      </c>
      <c r="G5241">
        <f t="shared" si="81"/>
        <v>112</v>
      </c>
    </row>
    <row r="5242" spans="2:7" ht="15" hidden="1" x14ac:dyDescent="0.25">
      <c r="B5242" s="4">
        <v>584631892</v>
      </c>
      <c r="C5242" s="4" t="s">
        <v>268</v>
      </c>
      <c r="D5242" s="4">
        <v>133</v>
      </c>
      <c r="E5242" s="4">
        <v>7</v>
      </c>
      <c r="F5242">
        <v>79</v>
      </c>
      <c r="G5242">
        <f t="shared" si="81"/>
        <v>112</v>
      </c>
    </row>
    <row r="5243" spans="2:7" ht="15" hidden="1" x14ac:dyDescent="0.25">
      <c r="B5243" s="4">
        <v>584631892</v>
      </c>
      <c r="C5243" s="4" t="s">
        <v>268</v>
      </c>
      <c r="D5243" s="4">
        <v>134</v>
      </c>
      <c r="E5243" s="4">
        <v>7</v>
      </c>
      <c r="F5243">
        <v>79</v>
      </c>
      <c r="G5243">
        <f t="shared" si="81"/>
        <v>112</v>
      </c>
    </row>
    <row r="5244" spans="2:7" ht="15" hidden="1" x14ac:dyDescent="0.25">
      <c r="B5244" s="4">
        <v>584631892</v>
      </c>
      <c r="C5244" s="4" t="s">
        <v>268</v>
      </c>
      <c r="D5244" s="4">
        <v>134</v>
      </c>
      <c r="E5244" s="4">
        <v>7</v>
      </c>
      <c r="F5244">
        <v>5</v>
      </c>
      <c r="G5244">
        <f t="shared" si="81"/>
        <v>112</v>
      </c>
    </row>
    <row r="5245" spans="2:7" ht="15" hidden="1" x14ac:dyDescent="0.25">
      <c r="B5245" s="4">
        <v>584631892</v>
      </c>
      <c r="C5245" s="4" t="s">
        <v>269</v>
      </c>
      <c r="D5245" s="4">
        <v>163</v>
      </c>
      <c r="E5245" s="4">
        <v>57</v>
      </c>
      <c r="F5245">
        <v>5</v>
      </c>
      <c r="G5245">
        <f t="shared" si="81"/>
        <v>512</v>
      </c>
    </row>
    <row r="5246" spans="2:7" ht="15" hidden="1" x14ac:dyDescent="0.25">
      <c r="B5246" s="4">
        <v>584631893</v>
      </c>
      <c r="C5246" s="4" t="s">
        <v>269</v>
      </c>
      <c r="D5246" s="4">
        <v>164</v>
      </c>
      <c r="E5246" s="4">
        <v>57</v>
      </c>
      <c r="F5246">
        <v>5</v>
      </c>
      <c r="G5246">
        <f t="shared" si="81"/>
        <v>512</v>
      </c>
    </row>
    <row r="5247" spans="2:7" ht="15" hidden="1" x14ac:dyDescent="0.25">
      <c r="B5247" s="4">
        <v>584631894</v>
      </c>
      <c r="C5247" s="4" t="s">
        <v>268</v>
      </c>
      <c r="D5247" s="4">
        <v>135</v>
      </c>
      <c r="E5247" s="4">
        <v>7</v>
      </c>
      <c r="F5247">
        <v>5</v>
      </c>
      <c r="G5247">
        <f t="shared" si="81"/>
        <v>112</v>
      </c>
    </row>
    <row r="5248" spans="2:7" ht="15" hidden="1" x14ac:dyDescent="0.25">
      <c r="B5248" s="4">
        <v>584631894</v>
      </c>
      <c r="C5248" s="4" t="s">
        <v>268</v>
      </c>
      <c r="D5248" s="4">
        <v>135</v>
      </c>
      <c r="E5248" s="4">
        <v>7</v>
      </c>
      <c r="F5248">
        <v>81</v>
      </c>
      <c r="G5248">
        <f t="shared" si="81"/>
        <v>112</v>
      </c>
    </row>
    <row r="5249" spans="2:7" ht="15" hidden="1" x14ac:dyDescent="0.25">
      <c r="B5249" s="4">
        <v>584631894</v>
      </c>
      <c r="C5249" s="4" t="s">
        <v>268</v>
      </c>
      <c r="D5249" s="4">
        <v>136</v>
      </c>
      <c r="E5249" s="4">
        <v>5</v>
      </c>
      <c r="F5249">
        <v>81</v>
      </c>
      <c r="G5249">
        <f t="shared" si="81"/>
        <v>96</v>
      </c>
    </row>
    <row r="5250" spans="2:7" ht="15" hidden="1" x14ac:dyDescent="0.25">
      <c r="B5250" s="4">
        <v>584631894</v>
      </c>
      <c r="C5250" s="4" t="s">
        <v>268</v>
      </c>
      <c r="D5250" s="4">
        <v>136</v>
      </c>
      <c r="E5250" s="4">
        <v>5</v>
      </c>
      <c r="F5250">
        <v>6</v>
      </c>
      <c r="G5250">
        <f t="shared" si="81"/>
        <v>96</v>
      </c>
    </row>
    <row r="5251" spans="2:7" ht="15" hidden="1" x14ac:dyDescent="0.25">
      <c r="B5251" s="4">
        <v>584631894</v>
      </c>
      <c r="C5251" s="4" t="s">
        <v>268</v>
      </c>
      <c r="D5251" s="4">
        <v>137</v>
      </c>
      <c r="E5251" s="4">
        <v>7</v>
      </c>
      <c r="F5251">
        <v>6</v>
      </c>
      <c r="G5251">
        <f t="shared" si="81"/>
        <v>112</v>
      </c>
    </row>
    <row r="5252" spans="2:7" ht="15" hidden="1" x14ac:dyDescent="0.25">
      <c r="B5252" s="4">
        <v>584631894</v>
      </c>
      <c r="C5252" s="4" t="s">
        <v>268</v>
      </c>
      <c r="D5252" s="4">
        <v>137</v>
      </c>
      <c r="E5252" s="4">
        <v>7</v>
      </c>
      <c r="F5252">
        <v>5</v>
      </c>
      <c r="G5252">
        <f t="shared" ref="G5252:G5315" si="82">(E5252+7)*8</f>
        <v>112</v>
      </c>
    </row>
    <row r="5253" spans="2:7" ht="15" hidden="1" x14ac:dyDescent="0.25">
      <c r="B5253" s="4">
        <v>584631894</v>
      </c>
      <c r="C5253" s="4" t="s">
        <v>269</v>
      </c>
      <c r="D5253" s="4">
        <v>165</v>
      </c>
      <c r="E5253" s="4">
        <v>57</v>
      </c>
      <c r="F5253">
        <v>5</v>
      </c>
      <c r="G5253">
        <f t="shared" si="82"/>
        <v>512</v>
      </c>
    </row>
    <row r="5254" spans="2:7" ht="15" hidden="1" x14ac:dyDescent="0.25">
      <c r="B5254" s="4">
        <v>584631895</v>
      </c>
      <c r="C5254" s="4" t="s">
        <v>269</v>
      </c>
      <c r="D5254" s="4">
        <v>166</v>
      </c>
      <c r="E5254" s="4">
        <v>57</v>
      </c>
      <c r="F5254">
        <v>5</v>
      </c>
      <c r="G5254">
        <f t="shared" si="82"/>
        <v>512</v>
      </c>
    </row>
    <row r="5255" spans="2:7" ht="15" hidden="1" x14ac:dyDescent="0.25">
      <c r="B5255" s="4">
        <v>584631896</v>
      </c>
      <c r="C5255" s="4" t="s">
        <v>269</v>
      </c>
      <c r="D5255" s="4">
        <v>167</v>
      </c>
      <c r="E5255" s="4">
        <v>57</v>
      </c>
      <c r="F5255">
        <v>5</v>
      </c>
      <c r="G5255">
        <f t="shared" si="82"/>
        <v>512</v>
      </c>
    </row>
    <row r="5256" spans="2:7" ht="15" hidden="1" x14ac:dyDescent="0.25">
      <c r="B5256" s="4">
        <v>584631897</v>
      </c>
      <c r="C5256" s="4" t="s">
        <v>269</v>
      </c>
      <c r="D5256" s="4">
        <v>168</v>
      </c>
      <c r="E5256" s="4">
        <v>57</v>
      </c>
      <c r="F5256">
        <v>5</v>
      </c>
      <c r="G5256">
        <f t="shared" si="82"/>
        <v>512</v>
      </c>
    </row>
    <row r="5257" spans="2:7" ht="15" hidden="1" x14ac:dyDescent="0.25">
      <c r="B5257" s="4">
        <v>584631898</v>
      </c>
      <c r="C5257" s="4" t="s">
        <v>269</v>
      </c>
      <c r="D5257" s="4">
        <v>169</v>
      </c>
      <c r="E5257" s="4">
        <v>57</v>
      </c>
      <c r="F5257">
        <v>5</v>
      </c>
      <c r="G5257">
        <f t="shared" si="82"/>
        <v>512</v>
      </c>
    </row>
    <row r="5258" spans="2:7" ht="15" hidden="1" x14ac:dyDescent="0.25">
      <c r="B5258" s="4">
        <v>584631898</v>
      </c>
      <c r="C5258" s="4" t="s">
        <v>272</v>
      </c>
      <c r="D5258" s="4">
        <v>5</v>
      </c>
      <c r="E5258" s="4">
        <v>215</v>
      </c>
      <c r="F5258">
        <v>5</v>
      </c>
      <c r="G5258">
        <f t="shared" si="82"/>
        <v>1776</v>
      </c>
    </row>
    <row r="5259" spans="2:7" ht="15" hidden="1" x14ac:dyDescent="0.25">
      <c r="B5259" s="4">
        <v>584631899</v>
      </c>
      <c r="C5259" s="4" t="s">
        <v>269</v>
      </c>
      <c r="D5259" s="4">
        <v>170</v>
      </c>
      <c r="E5259" s="4">
        <v>57</v>
      </c>
      <c r="F5259">
        <v>5</v>
      </c>
      <c r="G5259">
        <f t="shared" si="82"/>
        <v>512</v>
      </c>
    </row>
    <row r="5260" spans="2:7" ht="15" hidden="1" x14ac:dyDescent="0.25">
      <c r="B5260" s="4">
        <v>584631900</v>
      </c>
      <c r="C5260" s="4" t="s">
        <v>269</v>
      </c>
      <c r="D5260" s="4">
        <v>171</v>
      </c>
      <c r="E5260" s="4">
        <v>57</v>
      </c>
      <c r="F5260">
        <v>5</v>
      </c>
      <c r="G5260">
        <f t="shared" si="82"/>
        <v>512</v>
      </c>
    </row>
    <row r="5261" spans="2:7" ht="15" hidden="1" x14ac:dyDescent="0.25">
      <c r="B5261" s="4">
        <v>584631901</v>
      </c>
      <c r="C5261" s="4" t="s">
        <v>269</v>
      </c>
      <c r="D5261" s="4">
        <v>172</v>
      </c>
      <c r="E5261" s="4">
        <v>57</v>
      </c>
      <c r="F5261">
        <v>5</v>
      </c>
      <c r="G5261">
        <f t="shared" si="82"/>
        <v>512</v>
      </c>
    </row>
    <row r="5262" spans="2:7" ht="15" hidden="1" x14ac:dyDescent="0.25">
      <c r="B5262" s="4">
        <v>584631902</v>
      </c>
      <c r="C5262" s="4" t="s">
        <v>269</v>
      </c>
      <c r="D5262" s="4">
        <v>173</v>
      </c>
      <c r="E5262" s="4">
        <v>57</v>
      </c>
      <c r="F5262">
        <v>5</v>
      </c>
      <c r="G5262">
        <f t="shared" si="82"/>
        <v>512</v>
      </c>
    </row>
    <row r="5263" spans="2:7" ht="15" hidden="1" x14ac:dyDescent="0.25">
      <c r="B5263" s="4">
        <v>584631903</v>
      </c>
      <c r="C5263" s="4" t="s">
        <v>269</v>
      </c>
      <c r="D5263" s="4">
        <v>174</v>
      </c>
      <c r="E5263" s="4">
        <v>57</v>
      </c>
      <c r="F5263">
        <v>5</v>
      </c>
      <c r="G5263">
        <f t="shared" si="82"/>
        <v>512</v>
      </c>
    </row>
    <row r="5264" spans="2:7" ht="15" hidden="1" x14ac:dyDescent="0.25">
      <c r="B5264" s="4">
        <v>584631904</v>
      </c>
      <c r="C5264" s="4" t="s">
        <v>269</v>
      </c>
      <c r="D5264" s="4">
        <v>175</v>
      </c>
      <c r="E5264" s="4">
        <v>57</v>
      </c>
      <c r="F5264">
        <v>5</v>
      </c>
      <c r="G5264">
        <f t="shared" si="82"/>
        <v>512</v>
      </c>
    </row>
    <row r="5265" spans="2:7" ht="15" hidden="1" x14ac:dyDescent="0.25">
      <c r="B5265" s="4">
        <v>584631905</v>
      </c>
      <c r="C5265" s="4" t="s">
        <v>269</v>
      </c>
      <c r="D5265" s="4">
        <v>176</v>
      </c>
      <c r="E5265" s="4">
        <v>57</v>
      </c>
      <c r="F5265">
        <v>5</v>
      </c>
      <c r="G5265">
        <f t="shared" si="82"/>
        <v>512</v>
      </c>
    </row>
    <row r="5266" spans="2:7" ht="15" hidden="1" x14ac:dyDescent="0.25">
      <c r="B5266" s="4">
        <v>584631906</v>
      </c>
      <c r="C5266" s="4" t="s">
        <v>269</v>
      </c>
      <c r="D5266" s="4">
        <v>177</v>
      </c>
      <c r="E5266" s="4">
        <v>57</v>
      </c>
      <c r="F5266">
        <v>5</v>
      </c>
      <c r="G5266">
        <f t="shared" si="82"/>
        <v>512</v>
      </c>
    </row>
    <row r="5267" spans="2:7" ht="15" hidden="1" x14ac:dyDescent="0.25">
      <c r="B5267" s="4">
        <v>584631907</v>
      </c>
      <c r="C5267" s="4" t="s">
        <v>269</v>
      </c>
      <c r="D5267" s="4">
        <v>178</v>
      </c>
      <c r="E5267" s="4">
        <v>57</v>
      </c>
      <c r="F5267">
        <v>5</v>
      </c>
      <c r="G5267">
        <f t="shared" si="82"/>
        <v>512</v>
      </c>
    </row>
    <row r="5268" spans="2:7" ht="15" hidden="1" x14ac:dyDescent="0.25">
      <c r="B5268" s="4">
        <v>584631908</v>
      </c>
      <c r="C5268" s="4" t="s">
        <v>269</v>
      </c>
      <c r="D5268" s="4">
        <v>179</v>
      </c>
      <c r="E5268" s="4">
        <v>57</v>
      </c>
      <c r="F5268">
        <v>5</v>
      </c>
      <c r="G5268">
        <f t="shared" si="82"/>
        <v>512</v>
      </c>
    </row>
    <row r="5269" spans="2:7" ht="15" hidden="1" x14ac:dyDescent="0.25">
      <c r="B5269" s="4">
        <v>584631908</v>
      </c>
      <c r="C5269" s="4" t="s">
        <v>272</v>
      </c>
      <c r="D5269" s="4">
        <v>6</v>
      </c>
      <c r="E5269" s="4">
        <v>209</v>
      </c>
      <c r="F5269">
        <v>5</v>
      </c>
      <c r="G5269">
        <f t="shared" si="82"/>
        <v>1728</v>
      </c>
    </row>
    <row r="5270" spans="2:7" ht="15" hidden="1" x14ac:dyDescent="0.25">
      <c r="B5270" s="4">
        <v>584631909</v>
      </c>
      <c r="C5270" s="4" t="s">
        <v>269</v>
      </c>
      <c r="D5270" s="4">
        <v>180</v>
      </c>
      <c r="E5270" s="4">
        <v>57</v>
      </c>
      <c r="F5270">
        <v>5</v>
      </c>
      <c r="G5270">
        <f t="shared" si="82"/>
        <v>512</v>
      </c>
    </row>
    <row r="5271" spans="2:7" ht="15" hidden="1" x14ac:dyDescent="0.25">
      <c r="B5271" s="4">
        <v>584631910</v>
      </c>
      <c r="C5271" s="4" t="s">
        <v>269</v>
      </c>
      <c r="D5271" s="4">
        <v>181</v>
      </c>
      <c r="E5271" s="4">
        <v>57</v>
      </c>
      <c r="F5271">
        <v>5</v>
      </c>
      <c r="G5271">
        <f t="shared" si="82"/>
        <v>512</v>
      </c>
    </row>
    <row r="5272" spans="2:7" ht="15" hidden="1" x14ac:dyDescent="0.25">
      <c r="B5272" s="4">
        <v>584631911</v>
      </c>
      <c r="C5272" s="4" t="s">
        <v>269</v>
      </c>
      <c r="D5272" s="4">
        <v>182</v>
      </c>
      <c r="E5272" s="4">
        <v>57</v>
      </c>
      <c r="F5272">
        <v>5</v>
      </c>
      <c r="G5272">
        <f t="shared" si="82"/>
        <v>512</v>
      </c>
    </row>
    <row r="5273" spans="2:7" ht="15" hidden="1" x14ac:dyDescent="0.25">
      <c r="B5273" s="4">
        <v>584631912</v>
      </c>
      <c r="C5273" s="4" t="s">
        <v>269</v>
      </c>
      <c r="D5273" s="4">
        <v>183</v>
      </c>
      <c r="E5273" s="4">
        <v>57</v>
      </c>
      <c r="F5273">
        <v>5</v>
      </c>
      <c r="G5273">
        <f t="shared" si="82"/>
        <v>512</v>
      </c>
    </row>
    <row r="5274" spans="2:7" ht="15" hidden="1" x14ac:dyDescent="0.25">
      <c r="B5274" s="4">
        <v>584631913</v>
      </c>
      <c r="C5274" s="4" t="s">
        <v>269</v>
      </c>
      <c r="D5274" s="4">
        <v>184</v>
      </c>
      <c r="E5274" s="4">
        <v>57</v>
      </c>
      <c r="F5274">
        <v>5</v>
      </c>
      <c r="G5274">
        <f t="shared" si="82"/>
        <v>512</v>
      </c>
    </row>
    <row r="5275" spans="2:7" ht="15" hidden="1" x14ac:dyDescent="0.25">
      <c r="B5275" s="4">
        <v>584631914</v>
      </c>
      <c r="C5275" s="4" t="s">
        <v>269</v>
      </c>
      <c r="D5275" s="4">
        <v>185</v>
      </c>
      <c r="E5275" s="4">
        <v>57</v>
      </c>
      <c r="F5275">
        <v>5</v>
      </c>
      <c r="G5275">
        <f t="shared" si="82"/>
        <v>512</v>
      </c>
    </row>
    <row r="5276" spans="2:7" ht="15" hidden="1" x14ac:dyDescent="0.25">
      <c r="B5276" s="4">
        <v>584631915</v>
      </c>
      <c r="C5276" s="4" t="s">
        <v>269</v>
      </c>
      <c r="D5276" s="4">
        <v>186</v>
      </c>
      <c r="E5276" s="4">
        <v>57</v>
      </c>
      <c r="F5276">
        <v>5</v>
      </c>
      <c r="G5276">
        <f t="shared" si="82"/>
        <v>512</v>
      </c>
    </row>
    <row r="5277" spans="2:7" ht="15" hidden="1" x14ac:dyDescent="0.25">
      <c r="B5277" s="4">
        <v>584631916</v>
      </c>
      <c r="C5277" s="4" t="s">
        <v>269</v>
      </c>
      <c r="D5277" s="4">
        <v>187</v>
      </c>
      <c r="E5277" s="4">
        <v>57</v>
      </c>
      <c r="F5277">
        <v>5</v>
      </c>
      <c r="G5277">
        <f t="shared" si="82"/>
        <v>512</v>
      </c>
    </row>
    <row r="5278" spans="2:7" ht="15" hidden="1" x14ac:dyDescent="0.25">
      <c r="B5278" s="4">
        <v>584631917</v>
      </c>
      <c r="C5278" s="4" t="s">
        <v>269</v>
      </c>
      <c r="D5278" s="4">
        <v>188</v>
      </c>
      <c r="E5278" s="4">
        <v>57</v>
      </c>
      <c r="F5278">
        <v>5</v>
      </c>
      <c r="G5278">
        <f t="shared" si="82"/>
        <v>512</v>
      </c>
    </row>
    <row r="5279" spans="2:7" ht="15" hidden="1" x14ac:dyDescent="0.25">
      <c r="B5279" s="4">
        <v>584631918</v>
      </c>
      <c r="C5279" s="4" t="s">
        <v>269</v>
      </c>
      <c r="D5279" s="4">
        <v>189</v>
      </c>
      <c r="E5279" s="4">
        <v>57</v>
      </c>
      <c r="F5279">
        <v>5</v>
      </c>
      <c r="G5279">
        <f t="shared" si="82"/>
        <v>512</v>
      </c>
    </row>
    <row r="5280" spans="2:7" ht="15" hidden="1" x14ac:dyDescent="0.25">
      <c r="B5280" s="4">
        <v>584631918</v>
      </c>
      <c r="C5280" s="4" t="s">
        <v>272</v>
      </c>
      <c r="D5280" s="4">
        <v>7</v>
      </c>
      <c r="E5280" s="4">
        <v>207</v>
      </c>
      <c r="F5280">
        <v>5</v>
      </c>
      <c r="G5280">
        <f t="shared" si="82"/>
        <v>1712</v>
      </c>
    </row>
    <row r="5281" spans="2:7" ht="15" hidden="1" x14ac:dyDescent="0.25">
      <c r="B5281" s="4">
        <v>584631919</v>
      </c>
      <c r="C5281" s="4" t="s">
        <v>269</v>
      </c>
      <c r="D5281" s="4">
        <v>190</v>
      </c>
      <c r="E5281" s="4">
        <v>57</v>
      </c>
      <c r="F5281">
        <v>5</v>
      </c>
      <c r="G5281">
        <f t="shared" si="82"/>
        <v>512</v>
      </c>
    </row>
    <row r="5282" spans="2:7" ht="15" hidden="1" x14ac:dyDescent="0.25">
      <c r="B5282" s="4">
        <v>584631920</v>
      </c>
      <c r="C5282" s="4" t="s">
        <v>269</v>
      </c>
      <c r="D5282" s="4">
        <v>191</v>
      </c>
      <c r="E5282" s="4">
        <v>57</v>
      </c>
      <c r="F5282">
        <v>5</v>
      </c>
      <c r="G5282">
        <f t="shared" si="82"/>
        <v>512</v>
      </c>
    </row>
    <row r="5283" spans="2:7" ht="15" hidden="1" x14ac:dyDescent="0.25">
      <c r="B5283" s="4">
        <v>584631921</v>
      </c>
      <c r="C5283" s="4" t="s">
        <v>269</v>
      </c>
      <c r="D5283" s="4">
        <v>192</v>
      </c>
      <c r="E5283" s="4">
        <v>57</v>
      </c>
      <c r="F5283">
        <v>5</v>
      </c>
      <c r="G5283">
        <f t="shared" si="82"/>
        <v>512</v>
      </c>
    </row>
    <row r="5284" spans="2:7" ht="15" hidden="1" x14ac:dyDescent="0.25">
      <c r="B5284" s="4">
        <v>584631922</v>
      </c>
      <c r="C5284" s="4" t="s">
        <v>269</v>
      </c>
      <c r="D5284" s="4">
        <v>193</v>
      </c>
      <c r="E5284" s="4">
        <v>57</v>
      </c>
      <c r="F5284">
        <v>5</v>
      </c>
      <c r="G5284">
        <f t="shared" si="82"/>
        <v>512</v>
      </c>
    </row>
    <row r="5285" spans="2:7" ht="15" hidden="1" x14ac:dyDescent="0.25">
      <c r="B5285" s="4">
        <v>584631923</v>
      </c>
      <c r="C5285" s="4" t="s">
        <v>269</v>
      </c>
      <c r="D5285" s="4">
        <v>194</v>
      </c>
      <c r="E5285" s="4">
        <v>57</v>
      </c>
      <c r="F5285">
        <v>5</v>
      </c>
      <c r="G5285">
        <f t="shared" si="82"/>
        <v>512</v>
      </c>
    </row>
    <row r="5286" spans="2:7" ht="15" hidden="1" x14ac:dyDescent="0.25">
      <c r="B5286" s="4">
        <v>584631924</v>
      </c>
      <c r="C5286" s="4" t="s">
        <v>268</v>
      </c>
      <c r="D5286" s="4">
        <v>138</v>
      </c>
      <c r="E5286" s="4">
        <v>6</v>
      </c>
      <c r="F5286">
        <v>5</v>
      </c>
      <c r="G5286">
        <f t="shared" si="82"/>
        <v>104</v>
      </c>
    </row>
    <row r="5287" spans="2:7" ht="15" hidden="1" x14ac:dyDescent="0.25">
      <c r="B5287" s="4">
        <v>584631924</v>
      </c>
      <c r="C5287" s="4" t="s">
        <v>268</v>
      </c>
      <c r="D5287" s="4">
        <v>138</v>
      </c>
      <c r="E5287" s="4">
        <v>6</v>
      </c>
      <c r="F5287">
        <v>11</v>
      </c>
      <c r="G5287">
        <f t="shared" si="82"/>
        <v>104</v>
      </c>
    </row>
    <row r="5288" spans="2:7" ht="15" hidden="1" x14ac:dyDescent="0.25">
      <c r="B5288" s="4">
        <v>584631924</v>
      </c>
      <c r="C5288" s="4" t="s">
        <v>268</v>
      </c>
      <c r="D5288" s="4">
        <v>139</v>
      </c>
      <c r="E5288" s="4">
        <v>9</v>
      </c>
      <c r="F5288">
        <v>11</v>
      </c>
      <c r="G5288">
        <f t="shared" si="82"/>
        <v>128</v>
      </c>
    </row>
    <row r="5289" spans="2:7" ht="15" hidden="1" x14ac:dyDescent="0.25">
      <c r="B5289" s="4">
        <v>584631924</v>
      </c>
      <c r="C5289" s="4" t="s">
        <v>268</v>
      </c>
      <c r="D5289" s="4">
        <v>139</v>
      </c>
      <c r="E5289" s="4">
        <v>9</v>
      </c>
      <c r="F5289">
        <v>195</v>
      </c>
      <c r="G5289">
        <f t="shared" si="82"/>
        <v>128</v>
      </c>
    </row>
    <row r="5290" spans="2:7" ht="15" hidden="1" x14ac:dyDescent="0.25">
      <c r="B5290" s="4">
        <v>584631924</v>
      </c>
      <c r="C5290" s="4" t="s">
        <v>268</v>
      </c>
      <c r="D5290" s="4">
        <v>140</v>
      </c>
      <c r="E5290" s="4">
        <v>7</v>
      </c>
      <c r="F5290">
        <v>195</v>
      </c>
      <c r="G5290">
        <f t="shared" si="82"/>
        <v>112</v>
      </c>
    </row>
    <row r="5291" spans="2:7" ht="15" hidden="1" x14ac:dyDescent="0.25">
      <c r="B5291" s="4">
        <v>584631924</v>
      </c>
      <c r="C5291" s="4" t="s">
        <v>268</v>
      </c>
      <c r="D5291" s="4">
        <v>140</v>
      </c>
      <c r="E5291" s="4">
        <v>7</v>
      </c>
      <c r="F5291">
        <v>81</v>
      </c>
      <c r="G5291">
        <f t="shared" si="82"/>
        <v>112</v>
      </c>
    </row>
    <row r="5292" spans="2:7" ht="15" hidden="1" x14ac:dyDescent="0.25">
      <c r="B5292" s="4">
        <v>584631924</v>
      </c>
      <c r="C5292" s="4" t="s">
        <v>268</v>
      </c>
      <c r="D5292" s="4">
        <v>141</v>
      </c>
      <c r="E5292" s="4">
        <v>7</v>
      </c>
      <c r="F5292">
        <v>81</v>
      </c>
      <c r="G5292">
        <f t="shared" si="82"/>
        <v>112</v>
      </c>
    </row>
    <row r="5293" spans="2:7" ht="15" hidden="1" x14ac:dyDescent="0.25">
      <c r="B5293" s="4">
        <v>584631924</v>
      </c>
      <c r="C5293" s="4" t="s">
        <v>268</v>
      </c>
      <c r="D5293" s="4">
        <v>141</v>
      </c>
      <c r="E5293" s="4">
        <v>7</v>
      </c>
      <c r="F5293">
        <v>79</v>
      </c>
      <c r="G5293">
        <f t="shared" si="82"/>
        <v>112</v>
      </c>
    </row>
    <row r="5294" spans="2:7" ht="15" hidden="1" x14ac:dyDescent="0.25">
      <c r="B5294" s="4">
        <v>584631924</v>
      </c>
      <c r="C5294" s="4" t="s">
        <v>268</v>
      </c>
      <c r="D5294" s="4">
        <v>142</v>
      </c>
      <c r="E5294" s="4">
        <v>7</v>
      </c>
      <c r="F5294">
        <v>79</v>
      </c>
      <c r="G5294">
        <f t="shared" si="82"/>
        <v>112</v>
      </c>
    </row>
    <row r="5295" spans="2:7" ht="15" hidden="1" x14ac:dyDescent="0.25">
      <c r="B5295" s="4">
        <v>584631924</v>
      </c>
      <c r="C5295" s="4" t="s">
        <v>268</v>
      </c>
      <c r="D5295" s="4">
        <v>142</v>
      </c>
      <c r="E5295" s="4">
        <v>7</v>
      </c>
      <c r="F5295">
        <v>5</v>
      </c>
      <c r="G5295">
        <f t="shared" si="82"/>
        <v>112</v>
      </c>
    </row>
    <row r="5296" spans="2:7" ht="15" hidden="1" x14ac:dyDescent="0.25">
      <c r="B5296" s="4">
        <v>584631924</v>
      </c>
      <c r="C5296" s="4" t="s">
        <v>269</v>
      </c>
      <c r="D5296" s="4">
        <v>195</v>
      </c>
      <c r="E5296" s="4">
        <v>57</v>
      </c>
      <c r="F5296">
        <v>5</v>
      </c>
      <c r="G5296">
        <f t="shared" si="82"/>
        <v>512</v>
      </c>
    </row>
    <row r="5297" spans="2:7" ht="15" hidden="1" x14ac:dyDescent="0.25">
      <c r="B5297" s="4">
        <v>584631925</v>
      </c>
      <c r="C5297" s="4" t="s">
        <v>269</v>
      </c>
      <c r="D5297" s="4">
        <v>196</v>
      </c>
      <c r="E5297" s="4">
        <v>57</v>
      </c>
      <c r="F5297">
        <v>5</v>
      </c>
      <c r="G5297">
        <f t="shared" si="82"/>
        <v>512</v>
      </c>
    </row>
    <row r="5298" spans="2:7" ht="15" hidden="1" x14ac:dyDescent="0.25">
      <c r="B5298" s="4">
        <v>584631926</v>
      </c>
      <c r="C5298" s="4" t="s">
        <v>268</v>
      </c>
      <c r="D5298" s="4">
        <v>143</v>
      </c>
      <c r="E5298" s="4">
        <v>7</v>
      </c>
      <c r="F5298">
        <v>5</v>
      </c>
      <c r="G5298">
        <f t="shared" si="82"/>
        <v>112</v>
      </c>
    </row>
    <row r="5299" spans="2:7" ht="15" hidden="1" x14ac:dyDescent="0.25">
      <c r="B5299" s="4">
        <v>584631926</v>
      </c>
      <c r="C5299" s="4" t="s">
        <v>268</v>
      </c>
      <c r="D5299" s="4">
        <v>143</v>
      </c>
      <c r="E5299" s="4">
        <v>7</v>
      </c>
      <c r="F5299">
        <v>81</v>
      </c>
      <c r="G5299">
        <f t="shared" si="82"/>
        <v>112</v>
      </c>
    </row>
    <row r="5300" spans="2:7" ht="15" hidden="1" x14ac:dyDescent="0.25">
      <c r="B5300" s="4">
        <v>584631926</v>
      </c>
      <c r="C5300" s="4" t="s">
        <v>268</v>
      </c>
      <c r="D5300" s="4">
        <v>144</v>
      </c>
      <c r="E5300" s="4">
        <v>5</v>
      </c>
      <c r="F5300">
        <v>81</v>
      </c>
      <c r="G5300">
        <f t="shared" si="82"/>
        <v>96</v>
      </c>
    </row>
    <row r="5301" spans="2:7" ht="15" hidden="1" x14ac:dyDescent="0.25">
      <c r="B5301" s="4">
        <v>584631926</v>
      </c>
      <c r="C5301" s="4" t="s">
        <v>268</v>
      </c>
      <c r="D5301" s="4">
        <v>144</v>
      </c>
      <c r="E5301" s="4">
        <v>5</v>
      </c>
      <c r="F5301">
        <v>6</v>
      </c>
      <c r="G5301">
        <f t="shared" si="82"/>
        <v>96</v>
      </c>
    </row>
    <row r="5302" spans="2:7" ht="15" hidden="1" x14ac:dyDescent="0.25">
      <c r="B5302" s="4">
        <v>584631926</v>
      </c>
      <c r="C5302" s="4" t="s">
        <v>268</v>
      </c>
      <c r="D5302" s="4">
        <v>145</v>
      </c>
      <c r="E5302" s="4">
        <v>7</v>
      </c>
      <c r="F5302">
        <v>6</v>
      </c>
      <c r="G5302">
        <f t="shared" si="82"/>
        <v>112</v>
      </c>
    </row>
    <row r="5303" spans="2:7" ht="15" hidden="1" x14ac:dyDescent="0.25">
      <c r="B5303" s="4">
        <v>584631926</v>
      </c>
      <c r="C5303" s="4" t="s">
        <v>268</v>
      </c>
      <c r="D5303" s="4">
        <v>145</v>
      </c>
      <c r="E5303" s="4">
        <v>7</v>
      </c>
      <c r="F5303">
        <v>5</v>
      </c>
      <c r="G5303">
        <f t="shared" si="82"/>
        <v>112</v>
      </c>
    </row>
    <row r="5304" spans="2:7" ht="15" hidden="1" x14ac:dyDescent="0.25">
      <c r="B5304" s="4">
        <v>584631926</v>
      </c>
      <c r="C5304" s="4" t="s">
        <v>269</v>
      </c>
      <c r="D5304" s="4">
        <v>197</v>
      </c>
      <c r="E5304" s="4">
        <v>57</v>
      </c>
      <c r="F5304">
        <v>5</v>
      </c>
      <c r="G5304">
        <f t="shared" si="82"/>
        <v>512</v>
      </c>
    </row>
    <row r="5305" spans="2:7" ht="15" hidden="1" x14ac:dyDescent="0.25">
      <c r="B5305" s="4">
        <v>584631927</v>
      </c>
      <c r="C5305" s="4" t="s">
        <v>269</v>
      </c>
      <c r="D5305" s="4">
        <v>198</v>
      </c>
      <c r="E5305" s="4">
        <v>57</v>
      </c>
      <c r="F5305">
        <v>5</v>
      </c>
      <c r="G5305">
        <f t="shared" si="82"/>
        <v>512</v>
      </c>
    </row>
    <row r="5306" spans="2:7" ht="15" hidden="1" x14ac:dyDescent="0.25">
      <c r="B5306" s="4">
        <v>584631928</v>
      </c>
      <c r="C5306" s="4" t="s">
        <v>269</v>
      </c>
      <c r="D5306" s="4">
        <v>199</v>
      </c>
      <c r="E5306" s="4">
        <v>57</v>
      </c>
      <c r="F5306">
        <v>5</v>
      </c>
      <c r="G5306">
        <f t="shared" si="82"/>
        <v>512</v>
      </c>
    </row>
    <row r="5307" spans="2:7" ht="15" hidden="1" x14ac:dyDescent="0.25">
      <c r="B5307" s="4">
        <v>584631928</v>
      </c>
      <c r="C5307" s="4" t="s">
        <v>272</v>
      </c>
      <c r="D5307" s="4">
        <v>8</v>
      </c>
      <c r="E5307" s="4">
        <v>215</v>
      </c>
      <c r="F5307">
        <v>5</v>
      </c>
      <c r="G5307">
        <f t="shared" si="82"/>
        <v>1776</v>
      </c>
    </row>
    <row r="5308" spans="2:7" ht="15" hidden="1" x14ac:dyDescent="0.25">
      <c r="B5308" s="4">
        <v>584631929</v>
      </c>
      <c r="C5308" s="4" t="s">
        <v>269</v>
      </c>
      <c r="D5308" s="4">
        <v>200</v>
      </c>
      <c r="E5308" s="4">
        <v>57</v>
      </c>
      <c r="F5308">
        <v>5</v>
      </c>
      <c r="G5308">
        <f t="shared" si="82"/>
        <v>512</v>
      </c>
    </row>
    <row r="5309" spans="2:7" ht="15" hidden="1" x14ac:dyDescent="0.25">
      <c r="B5309" s="4">
        <v>584631930</v>
      </c>
      <c r="C5309" s="4" t="s">
        <v>269</v>
      </c>
      <c r="D5309" s="4">
        <v>201</v>
      </c>
      <c r="E5309" s="4">
        <v>57</v>
      </c>
      <c r="F5309">
        <v>5</v>
      </c>
      <c r="G5309">
        <f t="shared" si="82"/>
        <v>512</v>
      </c>
    </row>
    <row r="5310" spans="2:7" ht="15" hidden="1" x14ac:dyDescent="0.25">
      <c r="B5310" s="4">
        <v>584631931</v>
      </c>
      <c r="C5310" s="4" t="s">
        <v>269</v>
      </c>
      <c r="D5310" s="4">
        <v>202</v>
      </c>
      <c r="E5310" s="4">
        <v>57</v>
      </c>
      <c r="F5310">
        <v>5</v>
      </c>
      <c r="G5310">
        <f t="shared" si="82"/>
        <v>512</v>
      </c>
    </row>
    <row r="5311" spans="2:7" ht="15" hidden="1" x14ac:dyDescent="0.25">
      <c r="B5311" s="4">
        <v>584631932</v>
      </c>
      <c r="C5311" s="4" t="s">
        <v>269</v>
      </c>
      <c r="D5311" s="4">
        <v>203</v>
      </c>
      <c r="E5311" s="4">
        <v>57</v>
      </c>
      <c r="F5311">
        <v>5</v>
      </c>
      <c r="G5311">
        <f t="shared" si="82"/>
        <v>512</v>
      </c>
    </row>
    <row r="5312" spans="2:7" ht="15" hidden="1" x14ac:dyDescent="0.25">
      <c r="B5312" s="4">
        <v>584631933</v>
      </c>
      <c r="C5312" s="4" t="s">
        <v>269</v>
      </c>
      <c r="D5312" s="4">
        <v>204</v>
      </c>
      <c r="E5312" s="4">
        <v>57</v>
      </c>
      <c r="F5312">
        <v>5</v>
      </c>
      <c r="G5312">
        <f t="shared" si="82"/>
        <v>512</v>
      </c>
    </row>
    <row r="5313" spans="2:7" ht="15" hidden="1" x14ac:dyDescent="0.25">
      <c r="B5313" s="4">
        <v>584631934</v>
      </c>
      <c r="C5313" s="4" t="s">
        <v>269</v>
      </c>
      <c r="D5313" s="4">
        <v>205</v>
      </c>
      <c r="E5313" s="4">
        <v>57</v>
      </c>
      <c r="F5313">
        <v>5</v>
      </c>
      <c r="G5313">
        <f t="shared" si="82"/>
        <v>512</v>
      </c>
    </row>
    <row r="5314" spans="2:7" ht="15" hidden="1" x14ac:dyDescent="0.25">
      <c r="B5314" s="4">
        <v>584631935</v>
      </c>
      <c r="C5314" s="4" t="s">
        <v>269</v>
      </c>
      <c r="D5314" s="4">
        <v>206</v>
      </c>
      <c r="E5314" s="4">
        <v>57</v>
      </c>
      <c r="F5314">
        <v>5</v>
      </c>
      <c r="G5314">
        <f t="shared" si="82"/>
        <v>512</v>
      </c>
    </row>
    <row r="5315" spans="2:7" ht="15" hidden="1" x14ac:dyDescent="0.25">
      <c r="B5315" s="4">
        <v>584631936</v>
      </c>
      <c r="C5315" s="4" t="s">
        <v>269</v>
      </c>
      <c r="D5315" s="4">
        <v>207</v>
      </c>
      <c r="E5315" s="4">
        <v>57</v>
      </c>
      <c r="F5315">
        <v>5</v>
      </c>
      <c r="G5315">
        <f t="shared" si="82"/>
        <v>512</v>
      </c>
    </row>
    <row r="5316" spans="2:7" ht="15" hidden="1" x14ac:dyDescent="0.25">
      <c r="B5316" s="4">
        <v>584631937</v>
      </c>
      <c r="C5316" s="4" t="s">
        <v>269</v>
      </c>
      <c r="D5316" s="4">
        <v>208</v>
      </c>
      <c r="E5316" s="4">
        <v>57</v>
      </c>
      <c r="F5316">
        <v>5</v>
      </c>
      <c r="G5316">
        <f t="shared" ref="G5316:G5379" si="83">(E5316+7)*8</f>
        <v>512</v>
      </c>
    </row>
    <row r="5317" spans="2:7" ht="15" hidden="1" x14ac:dyDescent="0.25">
      <c r="B5317" s="4">
        <v>584631938</v>
      </c>
      <c r="C5317" s="4" t="s">
        <v>269</v>
      </c>
      <c r="D5317" s="4">
        <v>209</v>
      </c>
      <c r="E5317" s="4">
        <v>57</v>
      </c>
      <c r="F5317">
        <v>5</v>
      </c>
      <c r="G5317">
        <f t="shared" si="83"/>
        <v>512</v>
      </c>
    </row>
    <row r="5318" spans="2:7" ht="15" hidden="1" x14ac:dyDescent="0.25">
      <c r="B5318" s="4">
        <v>584631938</v>
      </c>
      <c r="C5318" s="4" t="s">
        <v>272</v>
      </c>
      <c r="D5318" s="4">
        <v>9</v>
      </c>
      <c r="E5318" s="4">
        <v>211</v>
      </c>
      <c r="F5318">
        <v>5</v>
      </c>
      <c r="G5318">
        <f t="shared" si="83"/>
        <v>1744</v>
      </c>
    </row>
    <row r="5319" spans="2:7" ht="15" hidden="1" x14ac:dyDescent="0.25">
      <c r="B5319" s="4">
        <v>584631939</v>
      </c>
      <c r="C5319" s="4" t="s">
        <v>269</v>
      </c>
      <c r="D5319" s="4">
        <v>210</v>
      </c>
      <c r="E5319" s="4">
        <v>57</v>
      </c>
      <c r="F5319">
        <v>5</v>
      </c>
      <c r="G5319">
        <f t="shared" si="83"/>
        <v>512</v>
      </c>
    </row>
    <row r="5320" spans="2:7" ht="15" hidden="1" x14ac:dyDescent="0.25">
      <c r="B5320" s="4">
        <v>584631940</v>
      </c>
      <c r="C5320" s="4" t="s">
        <v>269</v>
      </c>
      <c r="D5320" s="4">
        <v>211</v>
      </c>
      <c r="E5320" s="4">
        <v>57</v>
      </c>
      <c r="F5320">
        <v>5</v>
      </c>
      <c r="G5320">
        <f t="shared" si="83"/>
        <v>512</v>
      </c>
    </row>
    <row r="5321" spans="2:7" ht="15" hidden="1" x14ac:dyDescent="0.25">
      <c r="B5321" s="4">
        <v>584631941</v>
      </c>
      <c r="C5321" s="4" t="s">
        <v>269</v>
      </c>
      <c r="D5321" s="4">
        <v>212</v>
      </c>
      <c r="E5321" s="4">
        <v>57</v>
      </c>
      <c r="F5321">
        <v>5</v>
      </c>
      <c r="G5321">
        <f t="shared" si="83"/>
        <v>512</v>
      </c>
    </row>
    <row r="5322" spans="2:7" ht="15" hidden="1" x14ac:dyDescent="0.25">
      <c r="B5322" s="4">
        <v>584631942</v>
      </c>
      <c r="C5322" s="4" t="s">
        <v>269</v>
      </c>
      <c r="D5322" s="4">
        <v>213</v>
      </c>
      <c r="E5322" s="4">
        <v>57</v>
      </c>
      <c r="F5322">
        <v>5</v>
      </c>
      <c r="G5322">
        <f t="shared" si="83"/>
        <v>512</v>
      </c>
    </row>
    <row r="5323" spans="2:7" ht="15" hidden="1" x14ac:dyDescent="0.25">
      <c r="B5323" s="4">
        <v>584631943</v>
      </c>
      <c r="C5323" s="4" t="s">
        <v>269</v>
      </c>
      <c r="D5323" s="4">
        <v>214</v>
      </c>
      <c r="E5323" s="4">
        <v>57</v>
      </c>
      <c r="F5323">
        <v>5</v>
      </c>
      <c r="G5323">
        <f t="shared" si="83"/>
        <v>512</v>
      </c>
    </row>
    <row r="5324" spans="2:7" ht="15" hidden="1" x14ac:dyDescent="0.25">
      <c r="B5324" s="4">
        <v>584631944</v>
      </c>
      <c r="C5324" s="4" t="s">
        <v>269</v>
      </c>
      <c r="D5324" s="4">
        <v>215</v>
      </c>
      <c r="E5324" s="4">
        <v>57</v>
      </c>
      <c r="F5324">
        <v>5</v>
      </c>
      <c r="G5324">
        <f t="shared" si="83"/>
        <v>512</v>
      </c>
    </row>
    <row r="5325" spans="2:7" ht="15" hidden="1" x14ac:dyDescent="0.25">
      <c r="B5325" s="4">
        <v>584631945</v>
      </c>
      <c r="C5325" s="4" t="s">
        <v>269</v>
      </c>
      <c r="D5325" s="4">
        <v>216</v>
      </c>
      <c r="E5325" s="4">
        <v>57</v>
      </c>
      <c r="F5325">
        <v>5</v>
      </c>
      <c r="G5325">
        <f t="shared" si="83"/>
        <v>512</v>
      </c>
    </row>
    <row r="5326" spans="2:7" ht="15" hidden="1" x14ac:dyDescent="0.25">
      <c r="B5326" s="4">
        <v>584631946</v>
      </c>
      <c r="C5326" s="4" t="s">
        <v>269</v>
      </c>
      <c r="D5326" s="4">
        <v>217</v>
      </c>
      <c r="E5326" s="4">
        <v>57</v>
      </c>
      <c r="F5326">
        <v>5</v>
      </c>
      <c r="G5326">
        <f t="shared" si="83"/>
        <v>512</v>
      </c>
    </row>
    <row r="5327" spans="2:7" ht="15" hidden="1" x14ac:dyDescent="0.25">
      <c r="B5327" s="4">
        <v>584631947</v>
      </c>
      <c r="C5327" s="4" t="s">
        <v>269</v>
      </c>
      <c r="D5327" s="4">
        <v>218</v>
      </c>
      <c r="E5327" s="4">
        <v>57</v>
      </c>
      <c r="F5327">
        <v>5</v>
      </c>
      <c r="G5327">
        <f t="shared" si="83"/>
        <v>512</v>
      </c>
    </row>
    <row r="5328" spans="2:7" ht="15" hidden="1" x14ac:dyDescent="0.25">
      <c r="B5328" s="4">
        <v>584631948</v>
      </c>
      <c r="C5328" s="4" t="s">
        <v>269</v>
      </c>
      <c r="D5328" s="4">
        <v>219</v>
      </c>
      <c r="E5328" s="4">
        <v>57</v>
      </c>
      <c r="F5328">
        <v>5</v>
      </c>
      <c r="G5328">
        <f t="shared" si="83"/>
        <v>512</v>
      </c>
    </row>
    <row r="5329" spans="2:7" ht="15" hidden="1" x14ac:dyDescent="0.25">
      <c r="B5329" s="4">
        <v>584631948</v>
      </c>
      <c r="C5329" s="4" t="s">
        <v>272</v>
      </c>
      <c r="D5329" s="4">
        <v>10</v>
      </c>
      <c r="E5329" s="4">
        <v>211</v>
      </c>
      <c r="F5329">
        <v>5</v>
      </c>
      <c r="G5329">
        <f t="shared" si="83"/>
        <v>1744</v>
      </c>
    </row>
    <row r="5330" spans="2:7" ht="15" hidden="1" x14ac:dyDescent="0.25">
      <c r="B5330" s="4">
        <v>584631949</v>
      </c>
      <c r="C5330" s="4" t="s">
        <v>269</v>
      </c>
      <c r="D5330" s="4">
        <v>220</v>
      </c>
      <c r="E5330" s="4">
        <v>57</v>
      </c>
      <c r="F5330">
        <v>5</v>
      </c>
      <c r="G5330">
        <f t="shared" si="83"/>
        <v>512</v>
      </c>
    </row>
    <row r="5331" spans="2:7" ht="15" hidden="1" x14ac:dyDescent="0.25">
      <c r="B5331" s="4">
        <v>584631950</v>
      </c>
      <c r="C5331" s="4" t="s">
        <v>269</v>
      </c>
      <c r="D5331" s="4">
        <v>221</v>
      </c>
      <c r="E5331" s="4">
        <v>57</v>
      </c>
      <c r="F5331">
        <v>5</v>
      </c>
      <c r="G5331">
        <f t="shared" si="83"/>
        <v>512</v>
      </c>
    </row>
    <row r="5332" spans="2:7" ht="15" hidden="1" x14ac:dyDescent="0.25">
      <c r="B5332" s="4">
        <v>584631951</v>
      </c>
      <c r="C5332" s="4" t="s">
        <v>269</v>
      </c>
      <c r="D5332" s="4">
        <v>222</v>
      </c>
      <c r="E5332" s="4">
        <v>57</v>
      </c>
      <c r="F5332">
        <v>5</v>
      </c>
      <c r="G5332">
        <f t="shared" si="83"/>
        <v>512</v>
      </c>
    </row>
    <row r="5333" spans="2:7" ht="15" hidden="1" x14ac:dyDescent="0.25">
      <c r="B5333" s="4">
        <v>584631952</v>
      </c>
      <c r="C5333" s="4" t="s">
        <v>269</v>
      </c>
      <c r="D5333" s="4">
        <v>223</v>
      </c>
      <c r="E5333" s="4">
        <v>57</v>
      </c>
      <c r="F5333">
        <v>5</v>
      </c>
      <c r="G5333">
        <f t="shared" si="83"/>
        <v>512</v>
      </c>
    </row>
    <row r="5334" spans="2:7" ht="15" hidden="1" x14ac:dyDescent="0.25">
      <c r="B5334" s="4">
        <v>584631953</v>
      </c>
      <c r="C5334" s="4" t="s">
        <v>269</v>
      </c>
      <c r="D5334" s="4">
        <v>224</v>
      </c>
      <c r="E5334" s="4">
        <v>57</v>
      </c>
      <c r="F5334">
        <v>5</v>
      </c>
      <c r="G5334">
        <f t="shared" si="83"/>
        <v>512</v>
      </c>
    </row>
    <row r="5335" spans="2:7" ht="15" hidden="1" x14ac:dyDescent="0.25">
      <c r="B5335" s="4">
        <v>584631954</v>
      </c>
      <c r="C5335" s="4" t="s">
        <v>269</v>
      </c>
      <c r="D5335" s="4">
        <v>225</v>
      </c>
      <c r="E5335" s="4">
        <v>57</v>
      </c>
      <c r="F5335">
        <v>5</v>
      </c>
      <c r="G5335">
        <f t="shared" si="83"/>
        <v>512</v>
      </c>
    </row>
    <row r="5336" spans="2:7" ht="15" hidden="1" x14ac:dyDescent="0.25">
      <c r="B5336" s="4">
        <v>584631955</v>
      </c>
      <c r="C5336" s="4" t="s">
        <v>269</v>
      </c>
      <c r="D5336" s="4">
        <v>226</v>
      </c>
      <c r="E5336" s="4">
        <v>57</v>
      </c>
      <c r="F5336">
        <v>5</v>
      </c>
      <c r="G5336">
        <f t="shared" si="83"/>
        <v>512</v>
      </c>
    </row>
    <row r="5337" spans="2:7" ht="15" hidden="1" x14ac:dyDescent="0.25">
      <c r="B5337" s="4">
        <v>584631956</v>
      </c>
      <c r="C5337" s="4" t="s">
        <v>268</v>
      </c>
      <c r="D5337" s="4">
        <v>146</v>
      </c>
      <c r="E5337" s="4">
        <v>6</v>
      </c>
      <c r="F5337">
        <v>5</v>
      </c>
      <c r="G5337">
        <f t="shared" si="83"/>
        <v>104</v>
      </c>
    </row>
    <row r="5338" spans="2:7" ht="15" hidden="1" x14ac:dyDescent="0.25">
      <c r="B5338" s="4">
        <v>584631956</v>
      </c>
      <c r="C5338" s="4" t="s">
        <v>268</v>
      </c>
      <c r="D5338" s="4">
        <v>146</v>
      </c>
      <c r="E5338" s="4">
        <v>6</v>
      </c>
      <c r="F5338">
        <v>11</v>
      </c>
      <c r="G5338">
        <f t="shared" si="83"/>
        <v>104</v>
      </c>
    </row>
    <row r="5339" spans="2:7" ht="15" hidden="1" x14ac:dyDescent="0.25">
      <c r="B5339" s="4">
        <v>584631956</v>
      </c>
      <c r="C5339" s="4" t="s">
        <v>268</v>
      </c>
      <c r="D5339" s="4">
        <v>147</v>
      </c>
      <c r="E5339" s="4">
        <v>9</v>
      </c>
      <c r="F5339">
        <v>11</v>
      </c>
      <c r="G5339">
        <f t="shared" si="83"/>
        <v>128</v>
      </c>
    </row>
    <row r="5340" spans="2:7" ht="15" hidden="1" x14ac:dyDescent="0.25">
      <c r="B5340" s="4">
        <v>584631956</v>
      </c>
      <c r="C5340" s="4" t="s">
        <v>268</v>
      </c>
      <c r="D5340" s="4">
        <v>147</v>
      </c>
      <c r="E5340" s="4">
        <v>9</v>
      </c>
      <c r="F5340">
        <v>195</v>
      </c>
      <c r="G5340">
        <f t="shared" si="83"/>
        <v>128</v>
      </c>
    </row>
    <row r="5341" spans="2:7" ht="15" hidden="1" x14ac:dyDescent="0.25">
      <c r="B5341" s="4">
        <v>584631956</v>
      </c>
      <c r="C5341" s="4" t="s">
        <v>268</v>
      </c>
      <c r="D5341" s="4">
        <v>148</v>
      </c>
      <c r="E5341" s="4">
        <v>7</v>
      </c>
      <c r="F5341">
        <v>195</v>
      </c>
      <c r="G5341">
        <f t="shared" si="83"/>
        <v>112</v>
      </c>
    </row>
    <row r="5342" spans="2:7" ht="15" hidden="1" x14ac:dyDescent="0.25">
      <c r="B5342" s="4">
        <v>584631956</v>
      </c>
      <c r="C5342" s="4" t="s">
        <v>268</v>
      </c>
      <c r="D5342" s="4">
        <v>148</v>
      </c>
      <c r="E5342" s="4">
        <v>7</v>
      </c>
      <c r="F5342">
        <v>81</v>
      </c>
      <c r="G5342">
        <f t="shared" si="83"/>
        <v>112</v>
      </c>
    </row>
    <row r="5343" spans="2:7" ht="15" hidden="1" x14ac:dyDescent="0.25">
      <c r="B5343" s="4">
        <v>584631956</v>
      </c>
      <c r="C5343" s="4" t="s">
        <v>268</v>
      </c>
      <c r="D5343" s="4">
        <v>149</v>
      </c>
      <c r="E5343" s="4">
        <v>7</v>
      </c>
      <c r="F5343">
        <v>81</v>
      </c>
      <c r="G5343">
        <f t="shared" si="83"/>
        <v>112</v>
      </c>
    </row>
    <row r="5344" spans="2:7" ht="15" hidden="1" x14ac:dyDescent="0.25">
      <c r="B5344" s="4">
        <v>584631956</v>
      </c>
      <c r="C5344" s="4" t="s">
        <v>268</v>
      </c>
      <c r="D5344" s="4">
        <v>149</v>
      </c>
      <c r="E5344" s="4">
        <v>7</v>
      </c>
      <c r="F5344">
        <v>79</v>
      </c>
      <c r="G5344">
        <f t="shared" si="83"/>
        <v>112</v>
      </c>
    </row>
    <row r="5345" spans="2:7" ht="15" hidden="1" x14ac:dyDescent="0.25">
      <c r="B5345" s="4">
        <v>584631956</v>
      </c>
      <c r="C5345" s="4" t="s">
        <v>268</v>
      </c>
      <c r="D5345" s="4">
        <v>150</v>
      </c>
      <c r="E5345" s="4">
        <v>7</v>
      </c>
      <c r="F5345">
        <v>79</v>
      </c>
      <c r="G5345">
        <f t="shared" si="83"/>
        <v>112</v>
      </c>
    </row>
    <row r="5346" spans="2:7" ht="15" hidden="1" x14ac:dyDescent="0.25">
      <c r="B5346" s="4">
        <v>584631956</v>
      </c>
      <c r="C5346" s="4" t="s">
        <v>268</v>
      </c>
      <c r="D5346" s="4">
        <v>150</v>
      </c>
      <c r="E5346" s="4">
        <v>7</v>
      </c>
      <c r="F5346">
        <v>5</v>
      </c>
      <c r="G5346">
        <f t="shared" si="83"/>
        <v>112</v>
      </c>
    </row>
    <row r="5347" spans="2:7" ht="15" hidden="1" x14ac:dyDescent="0.25">
      <c r="B5347" s="4">
        <v>584631956</v>
      </c>
      <c r="C5347" s="4" t="s">
        <v>269</v>
      </c>
      <c r="D5347" s="4">
        <v>227</v>
      </c>
      <c r="E5347" s="4">
        <v>57</v>
      </c>
      <c r="F5347">
        <v>5</v>
      </c>
      <c r="G5347">
        <f t="shared" si="83"/>
        <v>512</v>
      </c>
    </row>
    <row r="5348" spans="2:7" ht="15" hidden="1" x14ac:dyDescent="0.25">
      <c r="B5348" s="4">
        <v>584631957</v>
      </c>
      <c r="C5348" s="4" t="s">
        <v>269</v>
      </c>
      <c r="D5348" s="4">
        <v>228</v>
      </c>
      <c r="E5348" s="4">
        <v>57</v>
      </c>
      <c r="F5348">
        <v>5</v>
      </c>
      <c r="G5348">
        <f t="shared" si="83"/>
        <v>512</v>
      </c>
    </row>
    <row r="5349" spans="2:7" ht="15" hidden="1" x14ac:dyDescent="0.25">
      <c r="B5349" s="4">
        <v>584631958</v>
      </c>
      <c r="C5349" s="4" t="s">
        <v>268</v>
      </c>
      <c r="D5349" s="4">
        <v>151</v>
      </c>
      <c r="E5349" s="4">
        <v>7</v>
      </c>
      <c r="F5349">
        <v>5</v>
      </c>
      <c r="G5349">
        <f t="shared" si="83"/>
        <v>112</v>
      </c>
    </row>
    <row r="5350" spans="2:7" ht="15" hidden="1" x14ac:dyDescent="0.25">
      <c r="B5350" s="4">
        <v>584631958</v>
      </c>
      <c r="C5350" s="4" t="s">
        <v>268</v>
      </c>
      <c r="D5350" s="4">
        <v>151</v>
      </c>
      <c r="E5350" s="4">
        <v>7</v>
      </c>
      <c r="F5350">
        <v>81</v>
      </c>
      <c r="G5350">
        <f t="shared" si="83"/>
        <v>112</v>
      </c>
    </row>
    <row r="5351" spans="2:7" ht="15" hidden="1" x14ac:dyDescent="0.25">
      <c r="B5351" s="4">
        <v>584631958</v>
      </c>
      <c r="C5351" s="4" t="s">
        <v>268</v>
      </c>
      <c r="D5351" s="4">
        <v>152</v>
      </c>
      <c r="E5351" s="4">
        <v>5</v>
      </c>
      <c r="F5351">
        <v>81</v>
      </c>
      <c r="G5351">
        <f t="shared" si="83"/>
        <v>96</v>
      </c>
    </row>
    <row r="5352" spans="2:7" ht="15" hidden="1" x14ac:dyDescent="0.25">
      <c r="B5352" s="4">
        <v>584631958</v>
      </c>
      <c r="C5352" s="4" t="s">
        <v>268</v>
      </c>
      <c r="D5352" s="4">
        <v>152</v>
      </c>
      <c r="E5352" s="4">
        <v>5</v>
      </c>
      <c r="F5352">
        <v>6</v>
      </c>
      <c r="G5352">
        <f t="shared" si="83"/>
        <v>96</v>
      </c>
    </row>
    <row r="5353" spans="2:7" ht="15" hidden="1" x14ac:dyDescent="0.25">
      <c r="B5353" s="4">
        <v>584631958</v>
      </c>
      <c r="C5353" s="4" t="s">
        <v>268</v>
      </c>
      <c r="D5353" s="4">
        <v>153</v>
      </c>
      <c r="E5353" s="4">
        <v>7</v>
      </c>
      <c r="F5353">
        <v>6</v>
      </c>
      <c r="G5353">
        <f t="shared" si="83"/>
        <v>112</v>
      </c>
    </row>
    <row r="5354" spans="2:7" ht="15" hidden="1" x14ac:dyDescent="0.25">
      <c r="B5354" s="4">
        <v>584631958</v>
      </c>
      <c r="C5354" s="4" t="s">
        <v>268</v>
      </c>
      <c r="D5354" s="4">
        <v>153</v>
      </c>
      <c r="E5354" s="4">
        <v>7</v>
      </c>
      <c r="F5354">
        <v>5</v>
      </c>
      <c r="G5354">
        <f t="shared" si="83"/>
        <v>112</v>
      </c>
    </row>
    <row r="5355" spans="2:7" ht="15" hidden="1" x14ac:dyDescent="0.25">
      <c r="B5355" s="4">
        <v>584631958</v>
      </c>
      <c r="C5355" s="4" t="s">
        <v>269</v>
      </c>
      <c r="D5355" s="4">
        <v>229</v>
      </c>
      <c r="E5355" s="4">
        <v>57</v>
      </c>
      <c r="F5355">
        <v>5</v>
      </c>
      <c r="G5355">
        <f t="shared" si="83"/>
        <v>512</v>
      </c>
    </row>
    <row r="5356" spans="2:7" ht="15" hidden="1" x14ac:dyDescent="0.25">
      <c r="B5356" s="4">
        <v>584631958</v>
      </c>
      <c r="C5356" s="4" t="s">
        <v>272</v>
      </c>
      <c r="D5356" s="4">
        <v>11</v>
      </c>
      <c r="E5356" s="4">
        <v>213</v>
      </c>
      <c r="F5356">
        <v>5</v>
      </c>
      <c r="G5356">
        <f t="shared" si="83"/>
        <v>1760</v>
      </c>
    </row>
    <row r="5357" spans="2:7" ht="15" hidden="1" x14ac:dyDescent="0.25">
      <c r="B5357" s="4">
        <v>584631959</v>
      </c>
      <c r="C5357" s="4" t="s">
        <v>269</v>
      </c>
      <c r="D5357" s="4">
        <v>230</v>
      </c>
      <c r="E5357" s="4">
        <v>57</v>
      </c>
      <c r="F5357">
        <v>5</v>
      </c>
      <c r="G5357">
        <f t="shared" si="83"/>
        <v>512</v>
      </c>
    </row>
    <row r="5358" spans="2:7" ht="15" hidden="1" x14ac:dyDescent="0.25">
      <c r="B5358" s="4">
        <v>584631960</v>
      </c>
      <c r="C5358" s="4" t="s">
        <v>269</v>
      </c>
      <c r="D5358" s="4">
        <v>231</v>
      </c>
      <c r="E5358" s="4">
        <v>57</v>
      </c>
      <c r="F5358">
        <v>5</v>
      </c>
      <c r="G5358">
        <f t="shared" si="83"/>
        <v>512</v>
      </c>
    </row>
    <row r="5359" spans="2:7" ht="15" hidden="1" x14ac:dyDescent="0.25">
      <c r="B5359" s="4">
        <v>584631961</v>
      </c>
      <c r="C5359" s="4" t="s">
        <v>269</v>
      </c>
      <c r="D5359" s="4">
        <v>232</v>
      </c>
      <c r="E5359" s="4">
        <v>57</v>
      </c>
      <c r="F5359">
        <v>5</v>
      </c>
      <c r="G5359">
        <f t="shared" si="83"/>
        <v>512</v>
      </c>
    </row>
    <row r="5360" spans="2:7" ht="15" hidden="1" x14ac:dyDescent="0.25">
      <c r="B5360" s="4">
        <v>584631962</v>
      </c>
      <c r="C5360" s="4" t="s">
        <v>269</v>
      </c>
      <c r="D5360" s="4">
        <v>233</v>
      </c>
      <c r="E5360" s="4">
        <v>57</v>
      </c>
      <c r="F5360">
        <v>5</v>
      </c>
      <c r="G5360">
        <f t="shared" si="83"/>
        <v>512</v>
      </c>
    </row>
    <row r="5361" spans="2:7" ht="15" hidden="1" x14ac:dyDescent="0.25">
      <c r="B5361" s="4">
        <v>584631963</v>
      </c>
      <c r="C5361" s="4" t="s">
        <v>269</v>
      </c>
      <c r="D5361" s="4">
        <v>234</v>
      </c>
      <c r="E5361" s="4">
        <v>57</v>
      </c>
      <c r="F5361">
        <v>5</v>
      </c>
      <c r="G5361">
        <f t="shared" si="83"/>
        <v>512</v>
      </c>
    </row>
    <row r="5362" spans="2:7" ht="15" hidden="1" x14ac:dyDescent="0.25">
      <c r="B5362" s="4">
        <v>584631964</v>
      </c>
      <c r="C5362" s="4" t="s">
        <v>269</v>
      </c>
      <c r="D5362" s="4">
        <v>235</v>
      </c>
      <c r="E5362" s="4">
        <v>57</v>
      </c>
      <c r="F5362">
        <v>5</v>
      </c>
      <c r="G5362">
        <f t="shared" si="83"/>
        <v>512</v>
      </c>
    </row>
    <row r="5363" spans="2:7" ht="15" hidden="1" x14ac:dyDescent="0.25">
      <c r="B5363" s="4">
        <v>584631965</v>
      </c>
      <c r="C5363" s="4" t="s">
        <v>269</v>
      </c>
      <c r="D5363" s="4">
        <v>236</v>
      </c>
      <c r="E5363" s="4">
        <v>57</v>
      </c>
      <c r="F5363">
        <v>5</v>
      </c>
      <c r="G5363">
        <f t="shared" si="83"/>
        <v>512</v>
      </c>
    </row>
    <row r="5364" spans="2:7" ht="15" hidden="1" x14ac:dyDescent="0.25">
      <c r="B5364" s="4">
        <v>584631966</v>
      </c>
      <c r="C5364" s="4" t="s">
        <v>269</v>
      </c>
      <c r="D5364" s="4">
        <v>237</v>
      </c>
      <c r="E5364" s="4">
        <v>57</v>
      </c>
      <c r="F5364">
        <v>5</v>
      </c>
      <c r="G5364">
        <f t="shared" si="83"/>
        <v>512</v>
      </c>
    </row>
    <row r="5365" spans="2:7" ht="15" hidden="1" x14ac:dyDescent="0.25">
      <c r="B5365" s="4">
        <v>584631967</v>
      </c>
      <c r="C5365" s="4" t="s">
        <v>269</v>
      </c>
      <c r="D5365" s="4">
        <v>238</v>
      </c>
      <c r="E5365" s="4">
        <v>57</v>
      </c>
      <c r="F5365">
        <v>5</v>
      </c>
      <c r="G5365">
        <f t="shared" si="83"/>
        <v>512</v>
      </c>
    </row>
    <row r="5366" spans="2:7" ht="15" hidden="1" x14ac:dyDescent="0.25">
      <c r="B5366" s="4">
        <v>584631968</v>
      </c>
      <c r="C5366" s="4" t="s">
        <v>269</v>
      </c>
      <c r="D5366" s="4">
        <v>239</v>
      </c>
      <c r="E5366" s="4">
        <v>57</v>
      </c>
      <c r="F5366">
        <v>5</v>
      </c>
      <c r="G5366">
        <f t="shared" si="83"/>
        <v>512</v>
      </c>
    </row>
    <row r="5367" spans="2:7" ht="15" hidden="1" x14ac:dyDescent="0.25">
      <c r="B5367" s="4">
        <v>584631968</v>
      </c>
      <c r="C5367" s="4" t="s">
        <v>272</v>
      </c>
      <c r="D5367" s="4">
        <v>12</v>
      </c>
      <c r="E5367" s="4">
        <v>217</v>
      </c>
      <c r="F5367">
        <v>5</v>
      </c>
      <c r="G5367">
        <f t="shared" si="83"/>
        <v>1792</v>
      </c>
    </row>
    <row r="5368" spans="2:7" ht="15" hidden="1" x14ac:dyDescent="0.25">
      <c r="B5368" s="4">
        <v>584631969</v>
      </c>
      <c r="C5368" s="4" t="s">
        <v>269</v>
      </c>
      <c r="D5368" s="4">
        <v>240</v>
      </c>
      <c r="E5368" s="4">
        <v>57</v>
      </c>
      <c r="F5368">
        <v>5</v>
      </c>
      <c r="G5368">
        <f t="shared" si="83"/>
        <v>512</v>
      </c>
    </row>
    <row r="5369" spans="2:7" ht="15" hidden="1" x14ac:dyDescent="0.25">
      <c r="B5369" s="4">
        <v>584631970</v>
      </c>
      <c r="C5369" s="4" t="s">
        <v>269</v>
      </c>
      <c r="D5369" s="4">
        <v>241</v>
      </c>
      <c r="E5369" s="4">
        <v>57</v>
      </c>
      <c r="F5369">
        <v>5</v>
      </c>
      <c r="G5369">
        <f t="shared" si="83"/>
        <v>512</v>
      </c>
    </row>
    <row r="5370" spans="2:7" ht="15" hidden="1" x14ac:dyDescent="0.25">
      <c r="B5370" s="4">
        <v>584631971</v>
      </c>
      <c r="C5370" s="4" t="s">
        <v>269</v>
      </c>
      <c r="D5370" s="4">
        <v>242</v>
      </c>
      <c r="E5370" s="4">
        <v>57</v>
      </c>
      <c r="F5370">
        <v>5</v>
      </c>
      <c r="G5370">
        <f t="shared" si="83"/>
        <v>512</v>
      </c>
    </row>
    <row r="5371" spans="2:7" ht="15" hidden="1" x14ac:dyDescent="0.25">
      <c r="B5371" s="4">
        <v>584631972</v>
      </c>
      <c r="C5371" s="4" t="s">
        <v>269</v>
      </c>
      <c r="D5371" s="4">
        <v>243</v>
      </c>
      <c r="E5371" s="4">
        <v>57</v>
      </c>
      <c r="F5371">
        <v>5</v>
      </c>
      <c r="G5371">
        <f t="shared" si="83"/>
        <v>512</v>
      </c>
    </row>
    <row r="5372" spans="2:7" ht="15" hidden="1" x14ac:dyDescent="0.25">
      <c r="B5372" s="4">
        <v>584631973</v>
      </c>
      <c r="C5372" s="4" t="s">
        <v>269</v>
      </c>
      <c r="D5372" s="4">
        <v>244</v>
      </c>
      <c r="E5372" s="4">
        <v>57</v>
      </c>
      <c r="F5372">
        <v>5</v>
      </c>
      <c r="G5372">
        <f t="shared" si="83"/>
        <v>512</v>
      </c>
    </row>
    <row r="5373" spans="2:7" ht="15" hidden="1" x14ac:dyDescent="0.25">
      <c r="B5373" s="4">
        <v>584631974</v>
      </c>
      <c r="C5373" s="4" t="s">
        <v>269</v>
      </c>
      <c r="D5373" s="4">
        <v>245</v>
      </c>
      <c r="E5373" s="4">
        <v>57</v>
      </c>
      <c r="F5373">
        <v>5</v>
      </c>
      <c r="G5373">
        <f t="shared" si="83"/>
        <v>512</v>
      </c>
    </row>
    <row r="5374" spans="2:7" ht="15" hidden="1" x14ac:dyDescent="0.25">
      <c r="B5374" s="4">
        <v>584631975</v>
      </c>
      <c r="C5374" s="4" t="s">
        <v>269</v>
      </c>
      <c r="D5374" s="4">
        <v>246</v>
      </c>
      <c r="E5374" s="4">
        <v>57</v>
      </c>
      <c r="F5374">
        <v>5</v>
      </c>
      <c r="G5374">
        <f t="shared" si="83"/>
        <v>512</v>
      </c>
    </row>
    <row r="5375" spans="2:7" ht="15" hidden="1" x14ac:dyDescent="0.25">
      <c r="B5375" s="4">
        <v>584631976</v>
      </c>
      <c r="C5375" s="4" t="s">
        <v>269</v>
      </c>
      <c r="D5375" s="4">
        <v>247</v>
      </c>
      <c r="E5375" s="4">
        <v>57</v>
      </c>
      <c r="F5375">
        <v>5</v>
      </c>
      <c r="G5375">
        <f t="shared" si="83"/>
        <v>512</v>
      </c>
    </row>
    <row r="5376" spans="2:7" ht="15" hidden="1" x14ac:dyDescent="0.25">
      <c r="B5376" s="4">
        <v>584631977</v>
      </c>
      <c r="C5376" s="4" t="s">
        <v>269</v>
      </c>
      <c r="D5376" s="4">
        <v>248</v>
      </c>
      <c r="E5376" s="4">
        <v>57</v>
      </c>
      <c r="F5376">
        <v>5</v>
      </c>
      <c r="G5376">
        <f t="shared" si="83"/>
        <v>512</v>
      </c>
    </row>
    <row r="5377" spans="2:7" ht="15" hidden="1" x14ac:dyDescent="0.25">
      <c r="B5377" s="4">
        <v>584631978</v>
      </c>
      <c r="C5377" s="4" t="s">
        <v>269</v>
      </c>
      <c r="D5377" s="4">
        <v>249</v>
      </c>
      <c r="E5377" s="4">
        <v>57</v>
      </c>
      <c r="F5377">
        <v>5</v>
      </c>
      <c r="G5377">
        <f t="shared" si="83"/>
        <v>512</v>
      </c>
    </row>
    <row r="5378" spans="2:7" ht="15" hidden="1" x14ac:dyDescent="0.25">
      <c r="B5378" s="4">
        <v>584631978</v>
      </c>
      <c r="C5378" s="4" t="s">
        <v>272</v>
      </c>
      <c r="D5378" s="4">
        <v>13</v>
      </c>
      <c r="E5378" s="4">
        <v>217</v>
      </c>
      <c r="F5378">
        <v>5</v>
      </c>
      <c r="G5378">
        <f t="shared" si="83"/>
        <v>1792</v>
      </c>
    </row>
    <row r="5379" spans="2:7" ht="15" hidden="1" x14ac:dyDescent="0.25">
      <c r="B5379" s="4">
        <v>584631979</v>
      </c>
      <c r="C5379" s="4" t="s">
        <v>269</v>
      </c>
      <c r="D5379" s="4">
        <v>250</v>
      </c>
      <c r="E5379" s="4">
        <v>57</v>
      </c>
      <c r="F5379">
        <v>5</v>
      </c>
      <c r="G5379">
        <f t="shared" si="83"/>
        <v>512</v>
      </c>
    </row>
    <row r="5380" spans="2:7" ht="15" hidden="1" x14ac:dyDescent="0.25">
      <c r="B5380" s="4">
        <v>584631980</v>
      </c>
      <c r="C5380" s="4" t="s">
        <v>269</v>
      </c>
      <c r="D5380" s="4">
        <v>251</v>
      </c>
      <c r="E5380" s="4">
        <v>57</v>
      </c>
      <c r="F5380">
        <v>5</v>
      </c>
      <c r="G5380">
        <f t="shared" ref="G5380:G5443" si="84">(E5380+7)*8</f>
        <v>512</v>
      </c>
    </row>
    <row r="5381" spans="2:7" ht="15" hidden="1" x14ac:dyDescent="0.25">
      <c r="B5381" s="4">
        <v>584631981</v>
      </c>
      <c r="C5381" s="4" t="s">
        <v>269</v>
      </c>
      <c r="D5381" s="4">
        <v>252</v>
      </c>
      <c r="E5381" s="4">
        <v>57</v>
      </c>
      <c r="F5381">
        <v>5</v>
      </c>
      <c r="G5381">
        <f t="shared" si="84"/>
        <v>512</v>
      </c>
    </row>
    <row r="5382" spans="2:7" ht="15" hidden="1" x14ac:dyDescent="0.25">
      <c r="B5382" s="4">
        <v>584631982</v>
      </c>
      <c r="C5382" s="4" t="s">
        <v>269</v>
      </c>
      <c r="D5382" s="4">
        <v>253</v>
      </c>
      <c r="E5382" s="4">
        <v>57</v>
      </c>
      <c r="F5382">
        <v>5</v>
      </c>
      <c r="G5382">
        <f t="shared" si="84"/>
        <v>512</v>
      </c>
    </row>
    <row r="5383" spans="2:7" ht="15" hidden="1" x14ac:dyDescent="0.25">
      <c r="B5383" s="4">
        <v>584631983</v>
      </c>
      <c r="C5383" s="4" t="s">
        <v>269</v>
      </c>
      <c r="D5383" s="4">
        <v>254</v>
      </c>
      <c r="E5383" s="4">
        <v>57</v>
      </c>
      <c r="F5383">
        <v>5</v>
      </c>
      <c r="G5383">
        <f t="shared" si="84"/>
        <v>512</v>
      </c>
    </row>
    <row r="5384" spans="2:7" ht="15" hidden="1" x14ac:dyDescent="0.25">
      <c r="B5384" s="4">
        <v>584631984</v>
      </c>
      <c r="C5384" s="4" t="s">
        <v>269</v>
      </c>
      <c r="D5384" s="4">
        <v>255</v>
      </c>
      <c r="E5384" s="4">
        <v>57</v>
      </c>
      <c r="F5384">
        <v>5</v>
      </c>
      <c r="G5384">
        <f t="shared" si="84"/>
        <v>512</v>
      </c>
    </row>
    <row r="5385" spans="2:7" ht="15" hidden="1" x14ac:dyDescent="0.25">
      <c r="B5385" s="4">
        <v>584631985</v>
      </c>
      <c r="C5385" s="4" t="s">
        <v>269</v>
      </c>
      <c r="D5385" s="4">
        <v>256</v>
      </c>
      <c r="E5385" s="4">
        <v>57</v>
      </c>
      <c r="F5385">
        <v>5</v>
      </c>
      <c r="G5385">
        <f t="shared" si="84"/>
        <v>512</v>
      </c>
    </row>
    <row r="5386" spans="2:7" ht="15" hidden="1" x14ac:dyDescent="0.25">
      <c r="B5386" s="4">
        <v>584631986</v>
      </c>
      <c r="C5386" s="4" t="s">
        <v>269</v>
      </c>
      <c r="D5386" s="4">
        <v>257</v>
      </c>
      <c r="E5386" s="4">
        <v>57</v>
      </c>
      <c r="F5386">
        <v>5</v>
      </c>
      <c r="G5386">
        <f t="shared" si="84"/>
        <v>512</v>
      </c>
    </row>
    <row r="5387" spans="2:7" ht="15" hidden="1" x14ac:dyDescent="0.25">
      <c r="B5387" s="4">
        <v>584631987</v>
      </c>
      <c r="C5387" s="4" t="s">
        <v>269</v>
      </c>
      <c r="D5387" s="4">
        <v>258</v>
      </c>
      <c r="E5387" s="4">
        <v>57</v>
      </c>
      <c r="F5387">
        <v>5</v>
      </c>
      <c r="G5387">
        <f t="shared" si="84"/>
        <v>512</v>
      </c>
    </row>
    <row r="5388" spans="2:7" ht="15" hidden="1" x14ac:dyDescent="0.25">
      <c r="B5388" s="4">
        <v>584631988</v>
      </c>
      <c r="C5388" s="4" t="s">
        <v>268</v>
      </c>
      <c r="D5388" s="4">
        <v>154</v>
      </c>
      <c r="E5388" s="4">
        <v>6</v>
      </c>
      <c r="F5388">
        <v>5</v>
      </c>
      <c r="G5388">
        <f t="shared" si="84"/>
        <v>104</v>
      </c>
    </row>
    <row r="5389" spans="2:7" ht="15" hidden="1" x14ac:dyDescent="0.25">
      <c r="B5389" s="4">
        <v>584631988</v>
      </c>
      <c r="C5389" s="4" t="s">
        <v>268</v>
      </c>
      <c r="D5389" s="4">
        <v>154</v>
      </c>
      <c r="E5389" s="4">
        <v>6</v>
      </c>
      <c r="F5389">
        <v>11</v>
      </c>
      <c r="G5389">
        <f t="shared" si="84"/>
        <v>104</v>
      </c>
    </row>
    <row r="5390" spans="2:7" ht="15" hidden="1" x14ac:dyDescent="0.25">
      <c r="B5390" s="4">
        <v>584631988</v>
      </c>
      <c r="C5390" s="4" t="s">
        <v>268</v>
      </c>
      <c r="D5390" s="4">
        <v>155</v>
      </c>
      <c r="E5390" s="4">
        <v>9</v>
      </c>
      <c r="F5390">
        <v>11</v>
      </c>
      <c r="G5390">
        <f t="shared" si="84"/>
        <v>128</v>
      </c>
    </row>
    <row r="5391" spans="2:7" ht="15" hidden="1" x14ac:dyDescent="0.25">
      <c r="B5391" s="4">
        <v>584631988</v>
      </c>
      <c r="C5391" s="4" t="s">
        <v>268</v>
      </c>
      <c r="D5391" s="4">
        <v>155</v>
      </c>
      <c r="E5391" s="4">
        <v>9</v>
      </c>
      <c r="F5391">
        <v>195</v>
      </c>
      <c r="G5391">
        <f t="shared" si="84"/>
        <v>128</v>
      </c>
    </row>
    <row r="5392" spans="2:7" ht="15" hidden="1" x14ac:dyDescent="0.25">
      <c r="B5392" s="4">
        <v>584631988</v>
      </c>
      <c r="C5392" s="4" t="s">
        <v>268</v>
      </c>
      <c r="D5392" s="4">
        <v>156</v>
      </c>
      <c r="E5392" s="4">
        <v>7</v>
      </c>
      <c r="F5392">
        <v>195</v>
      </c>
      <c r="G5392">
        <f t="shared" si="84"/>
        <v>112</v>
      </c>
    </row>
    <row r="5393" spans="2:7" ht="15" hidden="1" x14ac:dyDescent="0.25">
      <c r="B5393" s="4">
        <v>584631988</v>
      </c>
      <c r="C5393" s="4" t="s">
        <v>268</v>
      </c>
      <c r="D5393" s="4">
        <v>156</v>
      </c>
      <c r="E5393" s="4">
        <v>7</v>
      </c>
      <c r="F5393">
        <v>81</v>
      </c>
      <c r="G5393">
        <f t="shared" si="84"/>
        <v>112</v>
      </c>
    </row>
    <row r="5394" spans="2:7" ht="15" hidden="1" x14ac:dyDescent="0.25">
      <c r="B5394" s="4">
        <v>584631988</v>
      </c>
      <c r="C5394" s="4" t="s">
        <v>268</v>
      </c>
      <c r="D5394" s="4">
        <v>157</v>
      </c>
      <c r="E5394" s="4">
        <v>7</v>
      </c>
      <c r="F5394">
        <v>81</v>
      </c>
      <c r="G5394">
        <f t="shared" si="84"/>
        <v>112</v>
      </c>
    </row>
    <row r="5395" spans="2:7" ht="15" hidden="1" x14ac:dyDescent="0.25">
      <c r="B5395" s="4">
        <v>584631988</v>
      </c>
      <c r="C5395" s="4" t="s">
        <v>268</v>
      </c>
      <c r="D5395" s="4">
        <v>157</v>
      </c>
      <c r="E5395" s="4">
        <v>7</v>
      </c>
      <c r="F5395">
        <v>79</v>
      </c>
      <c r="G5395">
        <f t="shared" si="84"/>
        <v>112</v>
      </c>
    </row>
    <row r="5396" spans="2:7" ht="15" hidden="1" x14ac:dyDescent="0.25">
      <c r="B5396" s="4">
        <v>584631988</v>
      </c>
      <c r="C5396" s="4" t="s">
        <v>268</v>
      </c>
      <c r="D5396" s="4">
        <v>158</v>
      </c>
      <c r="E5396" s="4">
        <v>7</v>
      </c>
      <c r="F5396">
        <v>79</v>
      </c>
      <c r="G5396">
        <f t="shared" si="84"/>
        <v>112</v>
      </c>
    </row>
    <row r="5397" spans="2:7" ht="15" hidden="1" x14ac:dyDescent="0.25">
      <c r="B5397" s="4">
        <v>584631988</v>
      </c>
      <c r="C5397" s="4" t="s">
        <v>268</v>
      </c>
      <c r="D5397" s="4">
        <v>158</v>
      </c>
      <c r="E5397" s="4">
        <v>7</v>
      </c>
      <c r="F5397">
        <v>5</v>
      </c>
      <c r="G5397">
        <f t="shared" si="84"/>
        <v>112</v>
      </c>
    </row>
    <row r="5398" spans="2:7" ht="15" hidden="1" x14ac:dyDescent="0.25">
      <c r="B5398" s="4">
        <v>584631988</v>
      </c>
      <c r="C5398" s="4" t="s">
        <v>269</v>
      </c>
      <c r="D5398" s="4">
        <v>259</v>
      </c>
      <c r="E5398" s="4">
        <v>57</v>
      </c>
      <c r="F5398">
        <v>5</v>
      </c>
      <c r="G5398">
        <f t="shared" si="84"/>
        <v>512</v>
      </c>
    </row>
    <row r="5399" spans="2:7" ht="15" hidden="1" x14ac:dyDescent="0.25">
      <c r="B5399" s="4">
        <v>584631988</v>
      </c>
      <c r="C5399" s="4" t="s">
        <v>272</v>
      </c>
      <c r="D5399" s="4">
        <v>14</v>
      </c>
      <c r="E5399" s="4">
        <v>217</v>
      </c>
      <c r="F5399">
        <v>5</v>
      </c>
      <c r="G5399">
        <f t="shared" si="84"/>
        <v>1792</v>
      </c>
    </row>
    <row r="5400" spans="2:7" ht="15" hidden="1" x14ac:dyDescent="0.25">
      <c r="B5400" s="4">
        <v>584631989</v>
      </c>
      <c r="C5400" s="4" t="s">
        <v>269</v>
      </c>
      <c r="D5400" s="4">
        <v>260</v>
      </c>
      <c r="E5400" s="4">
        <v>57</v>
      </c>
      <c r="F5400">
        <v>5</v>
      </c>
      <c r="G5400">
        <f t="shared" si="84"/>
        <v>512</v>
      </c>
    </row>
    <row r="5401" spans="2:7" ht="15" hidden="1" x14ac:dyDescent="0.25">
      <c r="B5401" s="4">
        <v>584631990</v>
      </c>
      <c r="C5401" s="4" t="s">
        <v>268</v>
      </c>
      <c r="D5401" s="4">
        <v>159</v>
      </c>
      <c r="E5401" s="4">
        <v>7</v>
      </c>
      <c r="F5401">
        <v>5</v>
      </c>
      <c r="G5401">
        <f t="shared" si="84"/>
        <v>112</v>
      </c>
    </row>
    <row r="5402" spans="2:7" ht="15" hidden="1" x14ac:dyDescent="0.25">
      <c r="B5402" s="4">
        <v>584631990</v>
      </c>
      <c r="C5402" s="4" t="s">
        <v>268</v>
      </c>
      <c r="D5402" s="4">
        <v>159</v>
      </c>
      <c r="E5402" s="4">
        <v>7</v>
      </c>
      <c r="F5402">
        <v>81</v>
      </c>
      <c r="G5402">
        <f t="shared" si="84"/>
        <v>112</v>
      </c>
    </row>
    <row r="5403" spans="2:7" ht="15" hidden="1" x14ac:dyDescent="0.25">
      <c r="B5403" s="4">
        <v>584631990</v>
      </c>
      <c r="C5403" s="4" t="s">
        <v>268</v>
      </c>
      <c r="D5403" s="4">
        <v>160</v>
      </c>
      <c r="E5403" s="4">
        <v>5</v>
      </c>
      <c r="F5403">
        <v>81</v>
      </c>
      <c r="G5403">
        <f t="shared" si="84"/>
        <v>96</v>
      </c>
    </row>
    <row r="5404" spans="2:7" ht="15" hidden="1" x14ac:dyDescent="0.25">
      <c r="B5404" s="4">
        <v>584631990</v>
      </c>
      <c r="C5404" s="4" t="s">
        <v>268</v>
      </c>
      <c r="D5404" s="4">
        <v>160</v>
      </c>
      <c r="E5404" s="4">
        <v>5</v>
      </c>
      <c r="F5404">
        <v>6</v>
      </c>
      <c r="G5404">
        <f t="shared" si="84"/>
        <v>96</v>
      </c>
    </row>
    <row r="5405" spans="2:7" ht="15" hidden="1" x14ac:dyDescent="0.25">
      <c r="B5405" s="4">
        <v>584631990</v>
      </c>
      <c r="C5405" s="4" t="s">
        <v>268</v>
      </c>
      <c r="D5405" s="4">
        <v>161</v>
      </c>
      <c r="E5405" s="4">
        <v>7</v>
      </c>
      <c r="F5405">
        <v>6</v>
      </c>
      <c r="G5405">
        <f t="shared" si="84"/>
        <v>112</v>
      </c>
    </row>
    <row r="5406" spans="2:7" ht="15" hidden="1" x14ac:dyDescent="0.25">
      <c r="B5406" s="4">
        <v>584631990</v>
      </c>
      <c r="C5406" s="4" t="s">
        <v>268</v>
      </c>
      <c r="D5406" s="4">
        <v>161</v>
      </c>
      <c r="E5406" s="4">
        <v>7</v>
      </c>
      <c r="F5406">
        <v>5</v>
      </c>
      <c r="G5406">
        <f t="shared" si="84"/>
        <v>112</v>
      </c>
    </row>
    <row r="5407" spans="2:7" ht="15" hidden="1" x14ac:dyDescent="0.25">
      <c r="B5407" s="4">
        <v>584631990</v>
      </c>
      <c r="C5407" s="4" t="s">
        <v>269</v>
      </c>
      <c r="D5407" s="4">
        <v>261</v>
      </c>
      <c r="E5407" s="4">
        <v>57</v>
      </c>
      <c r="F5407">
        <v>5</v>
      </c>
      <c r="G5407">
        <f t="shared" si="84"/>
        <v>512</v>
      </c>
    </row>
    <row r="5408" spans="2:7" ht="15" hidden="1" x14ac:dyDescent="0.25">
      <c r="B5408" s="4">
        <v>584631991</v>
      </c>
      <c r="C5408" s="4" t="s">
        <v>269</v>
      </c>
      <c r="D5408" s="4">
        <v>262</v>
      </c>
      <c r="E5408" s="4">
        <v>57</v>
      </c>
      <c r="F5408">
        <v>5</v>
      </c>
      <c r="G5408">
        <f t="shared" si="84"/>
        <v>512</v>
      </c>
    </row>
    <row r="5409" spans="2:7" ht="15" hidden="1" x14ac:dyDescent="0.25">
      <c r="B5409" s="4">
        <v>584631992</v>
      </c>
      <c r="C5409" s="4" t="s">
        <v>269</v>
      </c>
      <c r="D5409" s="4">
        <v>263</v>
      </c>
      <c r="E5409" s="4">
        <v>57</v>
      </c>
      <c r="F5409">
        <v>5</v>
      </c>
      <c r="G5409">
        <f t="shared" si="84"/>
        <v>512</v>
      </c>
    </row>
    <row r="5410" spans="2:7" ht="15" hidden="1" x14ac:dyDescent="0.25">
      <c r="B5410" s="4">
        <v>584631993</v>
      </c>
      <c r="C5410" s="4" t="s">
        <v>269</v>
      </c>
      <c r="D5410" s="4">
        <v>264</v>
      </c>
      <c r="E5410" s="4">
        <v>57</v>
      </c>
      <c r="F5410">
        <v>5</v>
      </c>
      <c r="G5410">
        <f t="shared" si="84"/>
        <v>512</v>
      </c>
    </row>
    <row r="5411" spans="2:7" ht="15" hidden="1" x14ac:dyDescent="0.25">
      <c r="B5411" s="4">
        <v>584631994</v>
      </c>
      <c r="C5411" s="4" t="s">
        <v>269</v>
      </c>
      <c r="D5411" s="4">
        <v>265</v>
      </c>
      <c r="E5411" s="4">
        <v>57</v>
      </c>
      <c r="F5411">
        <v>5</v>
      </c>
      <c r="G5411">
        <f t="shared" si="84"/>
        <v>512</v>
      </c>
    </row>
    <row r="5412" spans="2:7" ht="15" hidden="1" x14ac:dyDescent="0.25">
      <c r="B5412" s="4">
        <v>584631995</v>
      </c>
      <c r="C5412" s="4" t="s">
        <v>269</v>
      </c>
      <c r="D5412" s="4">
        <v>266</v>
      </c>
      <c r="E5412" s="4">
        <v>57</v>
      </c>
      <c r="F5412">
        <v>5</v>
      </c>
      <c r="G5412">
        <f t="shared" si="84"/>
        <v>512</v>
      </c>
    </row>
    <row r="5413" spans="2:7" ht="15" hidden="1" x14ac:dyDescent="0.25">
      <c r="B5413" s="4">
        <v>584631996</v>
      </c>
      <c r="C5413" s="4" t="s">
        <v>269</v>
      </c>
      <c r="D5413" s="4">
        <v>267</v>
      </c>
      <c r="E5413" s="4">
        <v>57</v>
      </c>
      <c r="F5413">
        <v>5</v>
      </c>
      <c r="G5413">
        <f t="shared" si="84"/>
        <v>512</v>
      </c>
    </row>
    <row r="5414" spans="2:7" ht="15" hidden="1" x14ac:dyDescent="0.25">
      <c r="B5414" s="4">
        <v>584631997</v>
      </c>
      <c r="C5414" s="4" t="s">
        <v>269</v>
      </c>
      <c r="D5414" s="4">
        <v>268</v>
      </c>
      <c r="E5414" s="4">
        <v>57</v>
      </c>
      <c r="F5414">
        <v>5</v>
      </c>
      <c r="G5414">
        <f t="shared" si="84"/>
        <v>512</v>
      </c>
    </row>
    <row r="5415" spans="2:7" ht="15" hidden="1" x14ac:dyDescent="0.25">
      <c r="B5415" s="4">
        <v>584631998</v>
      </c>
      <c r="C5415" s="4" t="s">
        <v>269</v>
      </c>
      <c r="D5415" s="4">
        <v>269</v>
      </c>
      <c r="E5415" s="4">
        <v>57</v>
      </c>
      <c r="F5415">
        <v>5</v>
      </c>
      <c r="G5415">
        <f t="shared" si="84"/>
        <v>512</v>
      </c>
    </row>
    <row r="5416" spans="2:7" ht="15" hidden="1" x14ac:dyDescent="0.25">
      <c r="B5416" s="4">
        <v>584631998</v>
      </c>
      <c r="C5416" s="4" t="s">
        <v>272</v>
      </c>
      <c r="D5416" s="4">
        <v>15</v>
      </c>
      <c r="E5416" s="4">
        <v>219</v>
      </c>
      <c r="F5416">
        <v>5</v>
      </c>
      <c r="G5416">
        <f t="shared" si="84"/>
        <v>1808</v>
      </c>
    </row>
    <row r="5417" spans="2:7" ht="15" hidden="1" x14ac:dyDescent="0.25">
      <c r="B5417" s="4">
        <v>584631999</v>
      </c>
      <c r="C5417" s="4" t="s">
        <v>269</v>
      </c>
      <c r="D5417" s="4">
        <v>270</v>
      </c>
      <c r="E5417" s="4">
        <v>57</v>
      </c>
      <c r="F5417">
        <v>5</v>
      </c>
      <c r="G5417">
        <f t="shared" si="84"/>
        <v>512</v>
      </c>
    </row>
    <row r="5418" spans="2:7" ht="15" hidden="1" x14ac:dyDescent="0.25">
      <c r="B5418" s="4">
        <v>584632000</v>
      </c>
      <c r="C5418" s="4" t="s">
        <v>269</v>
      </c>
      <c r="D5418" s="4">
        <v>271</v>
      </c>
      <c r="E5418" s="4">
        <v>57</v>
      </c>
      <c r="F5418">
        <v>5</v>
      </c>
      <c r="G5418">
        <f t="shared" si="84"/>
        <v>512</v>
      </c>
    </row>
    <row r="5419" spans="2:7" ht="15" hidden="1" x14ac:dyDescent="0.25">
      <c r="B5419" s="4">
        <v>584632001</v>
      </c>
      <c r="C5419" s="4" t="s">
        <v>269</v>
      </c>
      <c r="D5419" s="4">
        <v>272</v>
      </c>
      <c r="E5419" s="4">
        <v>57</v>
      </c>
      <c r="F5419">
        <v>5</v>
      </c>
      <c r="G5419">
        <f t="shared" si="84"/>
        <v>512</v>
      </c>
    </row>
    <row r="5420" spans="2:7" ht="15" hidden="1" x14ac:dyDescent="0.25">
      <c r="B5420" s="4">
        <v>584632002</v>
      </c>
      <c r="C5420" s="4" t="s">
        <v>269</v>
      </c>
      <c r="D5420" s="4">
        <v>273</v>
      </c>
      <c r="E5420" s="4">
        <v>57</v>
      </c>
      <c r="F5420">
        <v>5</v>
      </c>
      <c r="G5420">
        <f t="shared" si="84"/>
        <v>512</v>
      </c>
    </row>
    <row r="5421" spans="2:7" ht="15" hidden="1" x14ac:dyDescent="0.25">
      <c r="B5421" s="4">
        <v>584632003</v>
      </c>
      <c r="C5421" s="4" t="s">
        <v>269</v>
      </c>
      <c r="D5421" s="4">
        <v>274</v>
      </c>
      <c r="E5421" s="4">
        <v>57</v>
      </c>
      <c r="F5421">
        <v>5</v>
      </c>
      <c r="G5421">
        <f t="shared" si="84"/>
        <v>512</v>
      </c>
    </row>
    <row r="5422" spans="2:7" ht="15" hidden="1" x14ac:dyDescent="0.25">
      <c r="B5422" s="4">
        <v>584632004</v>
      </c>
      <c r="C5422" s="4" t="s">
        <v>269</v>
      </c>
      <c r="D5422" s="4">
        <v>275</v>
      </c>
      <c r="E5422" s="4">
        <v>57</v>
      </c>
      <c r="F5422">
        <v>5</v>
      </c>
      <c r="G5422">
        <f t="shared" si="84"/>
        <v>512</v>
      </c>
    </row>
    <row r="5423" spans="2:7" ht="15" hidden="1" x14ac:dyDescent="0.25">
      <c r="B5423" s="4">
        <v>584632005</v>
      </c>
      <c r="C5423" s="4" t="s">
        <v>269</v>
      </c>
      <c r="D5423" s="4">
        <v>276</v>
      </c>
      <c r="E5423" s="4">
        <v>57</v>
      </c>
      <c r="F5423">
        <v>5</v>
      </c>
      <c r="G5423">
        <f t="shared" si="84"/>
        <v>512</v>
      </c>
    </row>
    <row r="5424" spans="2:7" ht="15" hidden="1" x14ac:dyDescent="0.25">
      <c r="B5424" s="4">
        <v>584632006</v>
      </c>
      <c r="C5424" s="4" t="s">
        <v>269</v>
      </c>
      <c r="D5424" s="4">
        <v>277</v>
      </c>
      <c r="E5424" s="4">
        <v>57</v>
      </c>
      <c r="F5424">
        <v>5</v>
      </c>
      <c r="G5424">
        <f t="shared" si="84"/>
        <v>512</v>
      </c>
    </row>
    <row r="5425" spans="2:7" ht="15" hidden="1" x14ac:dyDescent="0.25">
      <c r="B5425" s="4">
        <v>584632007</v>
      </c>
      <c r="C5425" s="4" t="s">
        <v>269</v>
      </c>
      <c r="D5425" s="4">
        <v>278</v>
      </c>
      <c r="E5425" s="4">
        <v>57</v>
      </c>
      <c r="F5425">
        <v>5</v>
      </c>
      <c r="G5425">
        <f t="shared" si="84"/>
        <v>512</v>
      </c>
    </row>
    <row r="5426" spans="2:7" ht="15" hidden="1" x14ac:dyDescent="0.25">
      <c r="B5426" s="4">
        <v>584632008</v>
      </c>
      <c r="C5426" s="4" t="s">
        <v>269</v>
      </c>
      <c r="D5426" s="4">
        <v>279</v>
      </c>
      <c r="E5426" s="4">
        <v>57</v>
      </c>
      <c r="F5426">
        <v>5</v>
      </c>
      <c r="G5426">
        <f t="shared" si="84"/>
        <v>512</v>
      </c>
    </row>
    <row r="5427" spans="2:7" ht="15" hidden="1" x14ac:dyDescent="0.25">
      <c r="B5427" s="4">
        <v>584632008</v>
      </c>
      <c r="C5427" s="4" t="s">
        <v>272</v>
      </c>
      <c r="D5427" s="4">
        <v>16</v>
      </c>
      <c r="E5427" s="4">
        <v>219</v>
      </c>
      <c r="F5427">
        <v>5</v>
      </c>
      <c r="G5427">
        <f t="shared" si="84"/>
        <v>1808</v>
      </c>
    </row>
    <row r="5428" spans="2:7" ht="15" hidden="1" x14ac:dyDescent="0.25">
      <c r="B5428" s="4">
        <v>584632009</v>
      </c>
      <c r="C5428" s="4" t="s">
        <v>269</v>
      </c>
      <c r="D5428" s="4">
        <v>280</v>
      </c>
      <c r="E5428" s="4">
        <v>57</v>
      </c>
      <c r="F5428">
        <v>5</v>
      </c>
      <c r="G5428">
        <f t="shared" si="84"/>
        <v>512</v>
      </c>
    </row>
    <row r="5429" spans="2:7" ht="15" hidden="1" x14ac:dyDescent="0.25">
      <c r="B5429" s="4">
        <v>584632010</v>
      </c>
      <c r="C5429" s="4" t="s">
        <v>269</v>
      </c>
      <c r="D5429" s="4">
        <v>281</v>
      </c>
      <c r="E5429" s="4">
        <v>57</v>
      </c>
      <c r="F5429">
        <v>5</v>
      </c>
      <c r="G5429">
        <f t="shared" si="84"/>
        <v>512</v>
      </c>
    </row>
    <row r="5430" spans="2:7" ht="15" hidden="1" x14ac:dyDescent="0.25">
      <c r="B5430" s="4">
        <v>584632011</v>
      </c>
      <c r="C5430" s="4" t="s">
        <v>269</v>
      </c>
      <c r="D5430" s="4">
        <v>282</v>
      </c>
      <c r="E5430" s="4">
        <v>57</v>
      </c>
      <c r="F5430">
        <v>5</v>
      </c>
      <c r="G5430">
        <f t="shared" si="84"/>
        <v>512</v>
      </c>
    </row>
    <row r="5431" spans="2:7" ht="15" hidden="1" x14ac:dyDescent="0.25">
      <c r="B5431" s="4">
        <v>584632012</v>
      </c>
      <c r="C5431" s="4" t="s">
        <v>269</v>
      </c>
      <c r="D5431" s="4">
        <v>283</v>
      </c>
      <c r="E5431" s="4">
        <v>57</v>
      </c>
      <c r="F5431">
        <v>5</v>
      </c>
      <c r="G5431">
        <f t="shared" si="84"/>
        <v>512</v>
      </c>
    </row>
    <row r="5432" spans="2:7" ht="15" hidden="1" x14ac:dyDescent="0.25">
      <c r="B5432" s="4">
        <v>584632013</v>
      </c>
      <c r="C5432" s="4" t="s">
        <v>269</v>
      </c>
      <c r="D5432" s="4">
        <v>284</v>
      </c>
      <c r="E5432" s="4">
        <v>57</v>
      </c>
      <c r="F5432">
        <v>5</v>
      </c>
      <c r="G5432">
        <f t="shared" si="84"/>
        <v>512</v>
      </c>
    </row>
    <row r="5433" spans="2:7" ht="15" hidden="1" x14ac:dyDescent="0.25">
      <c r="B5433" s="4">
        <v>584632014</v>
      </c>
      <c r="C5433" s="4" t="s">
        <v>269</v>
      </c>
      <c r="D5433" s="4">
        <v>285</v>
      </c>
      <c r="E5433" s="4">
        <v>57</v>
      </c>
      <c r="F5433">
        <v>5</v>
      </c>
      <c r="G5433">
        <f t="shared" si="84"/>
        <v>512</v>
      </c>
    </row>
    <row r="5434" spans="2:7" ht="15" hidden="1" x14ac:dyDescent="0.25">
      <c r="B5434" s="4">
        <v>584632015</v>
      </c>
      <c r="C5434" s="4" t="s">
        <v>269</v>
      </c>
      <c r="D5434" s="4">
        <v>286</v>
      </c>
      <c r="E5434" s="4">
        <v>57</v>
      </c>
      <c r="F5434">
        <v>5</v>
      </c>
      <c r="G5434">
        <f t="shared" si="84"/>
        <v>512</v>
      </c>
    </row>
    <row r="5435" spans="2:7" ht="15" hidden="1" x14ac:dyDescent="0.25">
      <c r="B5435" s="4">
        <v>584632016</v>
      </c>
      <c r="C5435" s="4" t="s">
        <v>269</v>
      </c>
      <c r="D5435" s="4">
        <v>287</v>
      </c>
      <c r="E5435" s="4">
        <v>57</v>
      </c>
      <c r="F5435">
        <v>5</v>
      </c>
      <c r="G5435">
        <f t="shared" si="84"/>
        <v>512</v>
      </c>
    </row>
    <row r="5436" spans="2:7" ht="15" hidden="1" x14ac:dyDescent="0.25">
      <c r="B5436" s="4">
        <v>584632017</v>
      </c>
      <c r="C5436" s="4" t="s">
        <v>269</v>
      </c>
      <c r="D5436" s="4">
        <v>288</v>
      </c>
      <c r="E5436" s="4">
        <v>57</v>
      </c>
      <c r="F5436">
        <v>5</v>
      </c>
      <c r="G5436">
        <f t="shared" si="84"/>
        <v>512</v>
      </c>
    </row>
    <row r="5437" spans="2:7" ht="15" hidden="1" x14ac:dyDescent="0.25">
      <c r="B5437" s="4">
        <v>584632018</v>
      </c>
      <c r="C5437" s="4" t="s">
        <v>269</v>
      </c>
      <c r="D5437" s="4">
        <v>289</v>
      </c>
      <c r="E5437" s="4">
        <v>57</v>
      </c>
      <c r="F5437">
        <v>5</v>
      </c>
      <c r="G5437">
        <f t="shared" si="84"/>
        <v>512</v>
      </c>
    </row>
    <row r="5438" spans="2:7" ht="15" hidden="1" x14ac:dyDescent="0.25">
      <c r="B5438" s="4">
        <v>584632018</v>
      </c>
      <c r="C5438" s="4" t="s">
        <v>272</v>
      </c>
      <c r="D5438" s="4">
        <v>17</v>
      </c>
      <c r="E5438" s="4">
        <v>219</v>
      </c>
      <c r="F5438">
        <v>5</v>
      </c>
      <c r="G5438">
        <f t="shared" si="84"/>
        <v>1808</v>
      </c>
    </row>
    <row r="5439" spans="2:7" ht="15" hidden="1" x14ac:dyDescent="0.25">
      <c r="B5439" s="4">
        <v>584632019</v>
      </c>
      <c r="C5439" s="4" t="s">
        <v>269</v>
      </c>
      <c r="D5439" s="4">
        <v>290</v>
      </c>
      <c r="E5439" s="4">
        <v>57</v>
      </c>
      <c r="F5439">
        <v>5</v>
      </c>
      <c r="G5439">
        <f t="shared" si="84"/>
        <v>512</v>
      </c>
    </row>
    <row r="5440" spans="2:7" ht="15" hidden="1" x14ac:dyDescent="0.25">
      <c r="B5440" s="4">
        <v>584632020</v>
      </c>
      <c r="C5440" s="4" t="s">
        <v>268</v>
      </c>
      <c r="D5440" s="4">
        <v>162</v>
      </c>
      <c r="E5440" s="4">
        <v>6</v>
      </c>
      <c r="F5440">
        <v>5</v>
      </c>
      <c r="G5440">
        <f t="shared" si="84"/>
        <v>104</v>
      </c>
    </row>
    <row r="5441" spans="2:7" ht="15" hidden="1" x14ac:dyDescent="0.25">
      <c r="B5441" s="4">
        <v>584632020</v>
      </c>
      <c r="C5441" s="4" t="s">
        <v>268</v>
      </c>
      <c r="D5441" s="4">
        <v>162</v>
      </c>
      <c r="E5441" s="4">
        <v>6</v>
      </c>
      <c r="F5441">
        <v>11</v>
      </c>
      <c r="G5441">
        <f t="shared" si="84"/>
        <v>104</v>
      </c>
    </row>
    <row r="5442" spans="2:7" ht="15" hidden="1" x14ac:dyDescent="0.25">
      <c r="B5442" s="4">
        <v>584632020</v>
      </c>
      <c r="C5442" s="4" t="s">
        <v>268</v>
      </c>
      <c r="D5442" s="4">
        <v>163</v>
      </c>
      <c r="E5442" s="4">
        <v>9</v>
      </c>
      <c r="F5442">
        <v>11</v>
      </c>
      <c r="G5442">
        <f t="shared" si="84"/>
        <v>128</v>
      </c>
    </row>
    <row r="5443" spans="2:7" ht="15" hidden="1" x14ac:dyDescent="0.25">
      <c r="B5443" s="4">
        <v>584632020</v>
      </c>
      <c r="C5443" s="4" t="s">
        <v>268</v>
      </c>
      <c r="D5443" s="4">
        <v>163</v>
      </c>
      <c r="E5443" s="4">
        <v>9</v>
      </c>
      <c r="F5443">
        <v>195</v>
      </c>
      <c r="G5443">
        <f t="shared" si="84"/>
        <v>128</v>
      </c>
    </row>
    <row r="5444" spans="2:7" ht="15" hidden="1" x14ac:dyDescent="0.25">
      <c r="B5444" s="4">
        <v>584632020</v>
      </c>
      <c r="C5444" s="4" t="s">
        <v>268</v>
      </c>
      <c r="D5444" s="4">
        <v>164</v>
      </c>
      <c r="E5444" s="4">
        <v>7</v>
      </c>
      <c r="F5444">
        <v>195</v>
      </c>
      <c r="G5444">
        <f t="shared" ref="G5444:G5507" si="85">(E5444+7)*8</f>
        <v>112</v>
      </c>
    </row>
    <row r="5445" spans="2:7" ht="15" hidden="1" x14ac:dyDescent="0.25">
      <c r="B5445" s="4">
        <v>584632020</v>
      </c>
      <c r="C5445" s="4" t="s">
        <v>268</v>
      </c>
      <c r="D5445" s="4">
        <v>164</v>
      </c>
      <c r="E5445" s="4">
        <v>7</v>
      </c>
      <c r="F5445">
        <v>81</v>
      </c>
      <c r="G5445">
        <f t="shared" si="85"/>
        <v>112</v>
      </c>
    </row>
    <row r="5446" spans="2:7" ht="15" hidden="1" x14ac:dyDescent="0.25">
      <c r="B5446" s="4">
        <v>584632020</v>
      </c>
      <c r="C5446" s="4" t="s">
        <v>268</v>
      </c>
      <c r="D5446" s="4">
        <v>165</v>
      </c>
      <c r="E5446" s="4">
        <v>7</v>
      </c>
      <c r="F5446">
        <v>81</v>
      </c>
      <c r="G5446">
        <f t="shared" si="85"/>
        <v>112</v>
      </c>
    </row>
    <row r="5447" spans="2:7" ht="15" hidden="1" x14ac:dyDescent="0.25">
      <c r="B5447" s="4">
        <v>584632020</v>
      </c>
      <c r="C5447" s="4" t="s">
        <v>268</v>
      </c>
      <c r="D5447" s="4">
        <v>165</v>
      </c>
      <c r="E5447" s="4">
        <v>7</v>
      </c>
      <c r="F5447">
        <v>79</v>
      </c>
      <c r="G5447">
        <f t="shared" si="85"/>
        <v>112</v>
      </c>
    </row>
    <row r="5448" spans="2:7" ht="15" hidden="1" x14ac:dyDescent="0.25">
      <c r="B5448" s="4">
        <v>584632020</v>
      </c>
      <c r="C5448" s="4" t="s">
        <v>268</v>
      </c>
      <c r="D5448" s="4">
        <v>166</v>
      </c>
      <c r="E5448" s="4">
        <v>7</v>
      </c>
      <c r="F5448">
        <v>79</v>
      </c>
      <c r="G5448">
        <f t="shared" si="85"/>
        <v>112</v>
      </c>
    </row>
    <row r="5449" spans="2:7" ht="15" hidden="1" x14ac:dyDescent="0.25">
      <c r="B5449" s="4">
        <v>584632020</v>
      </c>
      <c r="C5449" s="4" t="s">
        <v>268</v>
      </c>
      <c r="D5449" s="4">
        <v>166</v>
      </c>
      <c r="E5449" s="4">
        <v>7</v>
      </c>
      <c r="F5449">
        <v>5</v>
      </c>
      <c r="G5449">
        <f t="shared" si="85"/>
        <v>112</v>
      </c>
    </row>
    <row r="5450" spans="2:7" ht="15" hidden="1" x14ac:dyDescent="0.25">
      <c r="B5450" s="4">
        <v>584632020</v>
      </c>
      <c r="C5450" s="4" t="s">
        <v>269</v>
      </c>
      <c r="D5450" s="4">
        <v>291</v>
      </c>
      <c r="E5450" s="4">
        <v>57</v>
      </c>
      <c r="F5450">
        <v>5</v>
      </c>
      <c r="G5450">
        <f t="shared" si="85"/>
        <v>512</v>
      </c>
    </row>
    <row r="5451" spans="2:7" ht="15" hidden="1" x14ac:dyDescent="0.25">
      <c r="B5451" s="4">
        <v>584632021</v>
      </c>
      <c r="C5451" s="4" t="s">
        <v>269</v>
      </c>
      <c r="D5451" s="4">
        <v>292</v>
      </c>
      <c r="E5451" s="4">
        <v>57</v>
      </c>
      <c r="F5451">
        <v>5</v>
      </c>
      <c r="G5451">
        <f t="shared" si="85"/>
        <v>512</v>
      </c>
    </row>
    <row r="5452" spans="2:7" ht="15" hidden="1" x14ac:dyDescent="0.25">
      <c r="B5452" s="4">
        <v>584632022</v>
      </c>
      <c r="C5452" s="4" t="s">
        <v>268</v>
      </c>
      <c r="D5452" s="4">
        <v>167</v>
      </c>
      <c r="E5452" s="4">
        <v>7</v>
      </c>
      <c r="F5452">
        <v>5</v>
      </c>
      <c r="G5452">
        <f t="shared" si="85"/>
        <v>112</v>
      </c>
    </row>
    <row r="5453" spans="2:7" ht="15" hidden="1" x14ac:dyDescent="0.25">
      <c r="B5453" s="4">
        <v>584632022</v>
      </c>
      <c r="C5453" s="4" t="s">
        <v>268</v>
      </c>
      <c r="D5453" s="4">
        <v>167</v>
      </c>
      <c r="E5453" s="4">
        <v>7</v>
      </c>
      <c r="F5453">
        <v>81</v>
      </c>
      <c r="G5453">
        <f t="shared" si="85"/>
        <v>112</v>
      </c>
    </row>
    <row r="5454" spans="2:7" ht="15" hidden="1" x14ac:dyDescent="0.25">
      <c r="B5454" s="4">
        <v>584632022</v>
      </c>
      <c r="C5454" s="4" t="s">
        <v>268</v>
      </c>
      <c r="D5454" s="4">
        <v>168</v>
      </c>
      <c r="E5454" s="4">
        <v>5</v>
      </c>
      <c r="F5454">
        <v>81</v>
      </c>
      <c r="G5454">
        <f t="shared" si="85"/>
        <v>96</v>
      </c>
    </row>
    <row r="5455" spans="2:7" ht="15" hidden="1" x14ac:dyDescent="0.25">
      <c r="B5455" s="4">
        <v>584632022</v>
      </c>
      <c r="C5455" s="4" t="s">
        <v>268</v>
      </c>
      <c r="D5455" s="4">
        <v>168</v>
      </c>
      <c r="E5455" s="4">
        <v>5</v>
      </c>
      <c r="F5455">
        <v>6</v>
      </c>
      <c r="G5455">
        <f t="shared" si="85"/>
        <v>96</v>
      </c>
    </row>
    <row r="5456" spans="2:7" ht="15" hidden="1" x14ac:dyDescent="0.25">
      <c r="B5456" s="4">
        <v>584632022</v>
      </c>
      <c r="C5456" s="4" t="s">
        <v>268</v>
      </c>
      <c r="D5456" s="4">
        <v>169</v>
      </c>
      <c r="E5456" s="4">
        <v>7</v>
      </c>
      <c r="F5456">
        <v>6</v>
      </c>
      <c r="G5456">
        <f t="shared" si="85"/>
        <v>112</v>
      </c>
    </row>
    <row r="5457" spans="2:7" ht="15" hidden="1" x14ac:dyDescent="0.25">
      <c r="B5457" s="4">
        <v>584632022</v>
      </c>
      <c r="C5457" s="4" t="s">
        <v>268</v>
      </c>
      <c r="D5457" s="4">
        <v>169</v>
      </c>
      <c r="E5457" s="4">
        <v>7</v>
      </c>
      <c r="F5457">
        <v>5</v>
      </c>
      <c r="G5457">
        <f t="shared" si="85"/>
        <v>112</v>
      </c>
    </row>
    <row r="5458" spans="2:7" ht="15" hidden="1" x14ac:dyDescent="0.25">
      <c r="B5458" s="4">
        <v>584632022</v>
      </c>
      <c r="C5458" s="4" t="s">
        <v>269</v>
      </c>
      <c r="D5458" s="4">
        <v>293</v>
      </c>
      <c r="E5458" s="4">
        <v>57</v>
      </c>
      <c r="F5458">
        <v>5</v>
      </c>
      <c r="G5458">
        <f t="shared" si="85"/>
        <v>512</v>
      </c>
    </row>
    <row r="5459" spans="2:7" ht="15" hidden="1" x14ac:dyDescent="0.25">
      <c r="B5459" s="4">
        <v>584632023</v>
      </c>
      <c r="C5459" s="4" t="s">
        <v>269</v>
      </c>
      <c r="D5459" s="4">
        <v>294</v>
      </c>
      <c r="E5459" s="4">
        <v>57</v>
      </c>
      <c r="F5459">
        <v>5</v>
      </c>
      <c r="G5459">
        <f t="shared" si="85"/>
        <v>512</v>
      </c>
    </row>
    <row r="5460" spans="2:7" ht="15" hidden="1" x14ac:dyDescent="0.25">
      <c r="B5460" s="4">
        <v>584632024</v>
      </c>
      <c r="C5460" s="4" t="s">
        <v>269</v>
      </c>
      <c r="D5460" s="4">
        <v>295</v>
      </c>
      <c r="E5460" s="4">
        <v>57</v>
      </c>
      <c r="F5460">
        <v>5</v>
      </c>
      <c r="G5460">
        <f t="shared" si="85"/>
        <v>512</v>
      </c>
    </row>
    <row r="5461" spans="2:7" ht="15" hidden="1" x14ac:dyDescent="0.25">
      <c r="B5461" s="4">
        <v>584632025</v>
      </c>
      <c r="C5461" s="4" t="s">
        <v>269</v>
      </c>
      <c r="D5461" s="4">
        <v>296</v>
      </c>
      <c r="E5461" s="4">
        <v>57</v>
      </c>
      <c r="F5461">
        <v>5</v>
      </c>
      <c r="G5461">
        <f t="shared" si="85"/>
        <v>512</v>
      </c>
    </row>
    <row r="5462" spans="2:7" ht="15" hidden="1" x14ac:dyDescent="0.25">
      <c r="B5462" s="4">
        <v>584632026</v>
      </c>
      <c r="C5462" s="4" t="s">
        <v>269</v>
      </c>
      <c r="D5462" s="4">
        <v>297</v>
      </c>
      <c r="E5462" s="4">
        <v>57</v>
      </c>
      <c r="F5462">
        <v>5</v>
      </c>
      <c r="G5462">
        <f t="shared" si="85"/>
        <v>512</v>
      </c>
    </row>
    <row r="5463" spans="2:7" ht="15" hidden="1" x14ac:dyDescent="0.25">
      <c r="B5463" s="4">
        <v>584632027</v>
      </c>
      <c r="C5463" s="4" t="s">
        <v>269</v>
      </c>
      <c r="D5463" s="4">
        <v>298</v>
      </c>
      <c r="E5463" s="4">
        <v>57</v>
      </c>
      <c r="F5463">
        <v>5</v>
      </c>
      <c r="G5463">
        <f t="shared" si="85"/>
        <v>512</v>
      </c>
    </row>
    <row r="5464" spans="2:7" ht="15" hidden="1" x14ac:dyDescent="0.25">
      <c r="B5464" s="4">
        <v>584632028</v>
      </c>
      <c r="C5464" s="4" t="s">
        <v>269</v>
      </c>
      <c r="D5464" s="4">
        <v>299</v>
      </c>
      <c r="E5464" s="4">
        <v>57</v>
      </c>
      <c r="F5464">
        <v>5</v>
      </c>
      <c r="G5464">
        <f t="shared" si="85"/>
        <v>512</v>
      </c>
    </row>
    <row r="5465" spans="2:7" ht="15" hidden="1" x14ac:dyDescent="0.25">
      <c r="B5465" s="4">
        <v>584632028</v>
      </c>
      <c r="C5465" s="4" t="s">
        <v>272</v>
      </c>
      <c r="D5465" s="4">
        <v>18</v>
      </c>
      <c r="E5465" s="4">
        <v>225</v>
      </c>
      <c r="F5465">
        <v>5</v>
      </c>
      <c r="G5465">
        <f t="shared" si="85"/>
        <v>1856</v>
      </c>
    </row>
    <row r="5466" spans="2:7" ht="15" hidden="1" x14ac:dyDescent="0.25">
      <c r="B5466" s="4">
        <v>584632029</v>
      </c>
      <c r="C5466" s="4" t="s">
        <v>269</v>
      </c>
      <c r="D5466" s="4">
        <v>300</v>
      </c>
      <c r="E5466" s="4">
        <v>57</v>
      </c>
      <c r="F5466">
        <v>5</v>
      </c>
      <c r="G5466">
        <f t="shared" si="85"/>
        <v>512</v>
      </c>
    </row>
    <row r="5467" spans="2:7" ht="15" hidden="1" x14ac:dyDescent="0.25">
      <c r="B5467" s="4">
        <v>584632030</v>
      </c>
      <c r="C5467" s="4" t="s">
        <v>269</v>
      </c>
      <c r="D5467" s="4">
        <v>301</v>
      </c>
      <c r="E5467" s="4">
        <v>57</v>
      </c>
      <c r="F5467">
        <v>5</v>
      </c>
      <c r="G5467">
        <f t="shared" si="85"/>
        <v>512</v>
      </c>
    </row>
    <row r="5468" spans="2:7" ht="15" hidden="1" x14ac:dyDescent="0.25">
      <c r="B5468" s="4">
        <v>584632031</v>
      </c>
      <c r="C5468" s="4" t="s">
        <v>269</v>
      </c>
      <c r="D5468" s="4">
        <v>302</v>
      </c>
      <c r="E5468" s="4">
        <v>57</v>
      </c>
      <c r="F5468">
        <v>5</v>
      </c>
      <c r="G5468">
        <f t="shared" si="85"/>
        <v>512</v>
      </c>
    </row>
    <row r="5469" spans="2:7" ht="15" hidden="1" x14ac:dyDescent="0.25">
      <c r="B5469" s="4">
        <v>584632032</v>
      </c>
      <c r="C5469" s="4" t="s">
        <v>269</v>
      </c>
      <c r="D5469" s="4">
        <v>303</v>
      </c>
      <c r="E5469" s="4">
        <v>57</v>
      </c>
      <c r="F5469">
        <v>5</v>
      </c>
      <c r="G5469">
        <f t="shared" si="85"/>
        <v>512</v>
      </c>
    </row>
    <row r="5470" spans="2:7" ht="15" hidden="1" x14ac:dyDescent="0.25">
      <c r="B5470" s="4">
        <v>584632033</v>
      </c>
      <c r="C5470" s="4" t="s">
        <v>269</v>
      </c>
      <c r="D5470" s="4">
        <v>304</v>
      </c>
      <c r="E5470" s="4">
        <v>57</v>
      </c>
      <c r="F5470">
        <v>5</v>
      </c>
      <c r="G5470">
        <f t="shared" si="85"/>
        <v>512</v>
      </c>
    </row>
    <row r="5471" spans="2:7" ht="15" hidden="1" x14ac:dyDescent="0.25">
      <c r="B5471" s="4">
        <v>584632034</v>
      </c>
      <c r="C5471" s="4" t="s">
        <v>269</v>
      </c>
      <c r="D5471" s="4">
        <v>305</v>
      </c>
      <c r="E5471" s="4">
        <v>57</v>
      </c>
      <c r="F5471">
        <v>5</v>
      </c>
      <c r="G5471">
        <f t="shared" si="85"/>
        <v>512</v>
      </c>
    </row>
    <row r="5472" spans="2:7" ht="15" hidden="1" x14ac:dyDescent="0.25">
      <c r="B5472" s="4">
        <v>584632035</v>
      </c>
      <c r="C5472" s="4" t="s">
        <v>269</v>
      </c>
      <c r="D5472" s="4">
        <v>306</v>
      </c>
      <c r="E5472" s="4">
        <v>57</v>
      </c>
      <c r="F5472">
        <v>5</v>
      </c>
      <c r="G5472">
        <f t="shared" si="85"/>
        <v>512</v>
      </c>
    </row>
    <row r="5473" spans="2:7" ht="15" hidden="1" x14ac:dyDescent="0.25">
      <c r="B5473" s="4">
        <v>584632036</v>
      </c>
      <c r="C5473" s="4" t="s">
        <v>269</v>
      </c>
      <c r="D5473" s="4">
        <v>307</v>
      </c>
      <c r="E5473" s="4">
        <v>57</v>
      </c>
      <c r="F5473">
        <v>5</v>
      </c>
      <c r="G5473">
        <f t="shared" si="85"/>
        <v>512</v>
      </c>
    </row>
    <row r="5474" spans="2:7" ht="15" hidden="1" x14ac:dyDescent="0.25">
      <c r="B5474" s="4">
        <v>584632037</v>
      </c>
      <c r="C5474" s="4" t="s">
        <v>269</v>
      </c>
      <c r="D5474" s="4">
        <v>308</v>
      </c>
      <c r="E5474" s="4">
        <v>57</v>
      </c>
      <c r="F5474">
        <v>5</v>
      </c>
      <c r="G5474">
        <f t="shared" si="85"/>
        <v>512</v>
      </c>
    </row>
    <row r="5475" spans="2:7" ht="15" hidden="1" x14ac:dyDescent="0.25">
      <c r="B5475" s="4">
        <v>584632038</v>
      </c>
      <c r="C5475" s="4" t="s">
        <v>269</v>
      </c>
      <c r="D5475" s="4">
        <v>309</v>
      </c>
      <c r="E5475" s="4">
        <v>57</v>
      </c>
      <c r="F5475">
        <v>5</v>
      </c>
      <c r="G5475">
        <f t="shared" si="85"/>
        <v>512</v>
      </c>
    </row>
    <row r="5476" spans="2:7" ht="15" hidden="1" x14ac:dyDescent="0.25">
      <c r="B5476" s="4">
        <v>584632038</v>
      </c>
      <c r="C5476" s="4" t="s">
        <v>272</v>
      </c>
      <c r="D5476" s="4">
        <v>19</v>
      </c>
      <c r="E5476" s="4">
        <v>225</v>
      </c>
      <c r="F5476">
        <v>5</v>
      </c>
      <c r="G5476">
        <f t="shared" si="85"/>
        <v>1856</v>
      </c>
    </row>
    <row r="5477" spans="2:7" ht="15" hidden="1" x14ac:dyDescent="0.25">
      <c r="B5477" s="4">
        <v>584632039</v>
      </c>
      <c r="C5477" s="4" t="s">
        <v>269</v>
      </c>
      <c r="D5477" s="4">
        <v>310</v>
      </c>
      <c r="E5477" s="4">
        <v>57</v>
      </c>
      <c r="F5477">
        <v>5</v>
      </c>
      <c r="G5477">
        <f t="shared" si="85"/>
        <v>512</v>
      </c>
    </row>
    <row r="5478" spans="2:7" ht="15" hidden="1" x14ac:dyDescent="0.25">
      <c r="B5478" s="4">
        <v>584632040</v>
      </c>
      <c r="C5478" s="4" t="s">
        <v>269</v>
      </c>
      <c r="D5478" s="4">
        <v>311</v>
      </c>
      <c r="E5478" s="4">
        <v>57</v>
      </c>
      <c r="F5478">
        <v>5</v>
      </c>
      <c r="G5478">
        <f t="shared" si="85"/>
        <v>512</v>
      </c>
    </row>
    <row r="5479" spans="2:7" ht="15" hidden="1" x14ac:dyDescent="0.25">
      <c r="B5479" s="4">
        <v>584632041</v>
      </c>
      <c r="C5479" s="4" t="s">
        <v>269</v>
      </c>
      <c r="D5479" s="4">
        <v>312</v>
      </c>
      <c r="E5479" s="4">
        <v>57</v>
      </c>
      <c r="F5479">
        <v>5</v>
      </c>
      <c r="G5479">
        <f t="shared" si="85"/>
        <v>512</v>
      </c>
    </row>
    <row r="5480" spans="2:7" ht="15" hidden="1" x14ac:dyDescent="0.25">
      <c r="B5480" s="4">
        <v>584632042</v>
      </c>
      <c r="C5480" s="4" t="s">
        <v>269</v>
      </c>
      <c r="D5480" s="4">
        <v>313</v>
      </c>
      <c r="E5480" s="4">
        <v>57</v>
      </c>
      <c r="F5480">
        <v>5</v>
      </c>
      <c r="G5480">
        <f t="shared" si="85"/>
        <v>512</v>
      </c>
    </row>
    <row r="5481" spans="2:7" ht="15" hidden="1" x14ac:dyDescent="0.25">
      <c r="B5481" s="4">
        <v>584632043</v>
      </c>
      <c r="C5481" s="4" t="s">
        <v>269</v>
      </c>
      <c r="D5481" s="4">
        <v>314</v>
      </c>
      <c r="E5481" s="4">
        <v>57</v>
      </c>
      <c r="F5481">
        <v>5</v>
      </c>
      <c r="G5481">
        <f t="shared" si="85"/>
        <v>512</v>
      </c>
    </row>
    <row r="5482" spans="2:7" ht="15" hidden="1" x14ac:dyDescent="0.25">
      <c r="B5482" s="4">
        <v>584632044</v>
      </c>
      <c r="C5482" s="4" t="s">
        <v>269</v>
      </c>
      <c r="D5482" s="4">
        <v>315</v>
      </c>
      <c r="E5482" s="4">
        <v>57</v>
      </c>
      <c r="F5482">
        <v>5</v>
      </c>
      <c r="G5482">
        <f t="shared" si="85"/>
        <v>512</v>
      </c>
    </row>
    <row r="5483" spans="2:7" ht="15" hidden="1" x14ac:dyDescent="0.25">
      <c r="B5483" s="4">
        <v>584632045</v>
      </c>
      <c r="C5483" s="4" t="s">
        <v>269</v>
      </c>
      <c r="D5483" s="4">
        <v>316</v>
      </c>
      <c r="E5483" s="4">
        <v>57</v>
      </c>
      <c r="F5483">
        <v>5</v>
      </c>
      <c r="G5483">
        <f t="shared" si="85"/>
        <v>512</v>
      </c>
    </row>
    <row r="5484" spans="2:7" ht="15" hidden="1" x14ac:dyDescent="0.25">
      <c r="B5484" s="4">
        <v>584632046</v>
      </c>
      <c r="C5484" s="4" t="s">
        <v>269</v>
      </c>
      <c r="D5484" s="4">
        <v>317</v>
      </c>
      <c r="E5484" s="4">
        <v>57</v>
      </c>
      <c r="F5484">
        <v>5</v>
      </c>
      <c r="G5484">
        <f t="shared" si="85"/>
        <v>512</v>
      </c>
    </row>
    <row r="5485" spans="2:7" ht="15" hidden="1" x14ac:dyDescent="0.25">
      <c r="B5485" s="4">
        <v>584632047</v>
      </c>
      <c r="C5485" s="4" t="s">
        <v>269</v>
      </c>
      <c r="D5485" s="4">
        <v>318</v>
      </c>
      <c r="E5485" s="4">
        <v>57</v>
      </c>
      <c r="F5485">
        <v>5</v>
      </c>
      <c r="G5485">
        <f t="shared" si="85"/>
        <v>512</v>
      </c>
    </row>
    <row r="5486" spans="2:7" ht="15" hidden="1" x14ac:dyDescent="0.25">
      <c r="B5486" s="4">
        <v>584632048</v>
      </c>
      <c r="C5486" s="4" t="s">
        <v>269</v>
      </c>
      <c r="D5486" s="4">
        <v>319</v>
      </c>
      <c r="E5486" s="4">
        <v>57</v>
      </c>
      <c r="F5486">
        <v>5</v>
      </c>
      <c r="G5486">
        <f t="shared" si="85"/>
        <v>512</v>
      </c>
    </row>
    <row r="5487" spans="2:7" ht="15" hidden="1" x14ac:dyDescent="0.25">
      <c r="B5487" s="4">
        <v>584632048</v>
      </c>
      <c r="C5487" s="4" t="s">
        <v>272</v>
      </c>
      <c r="D5487" s="4">
        <v>20</v>
      </c>
      <c r="E5487" s="4">
        <v>225</v>
      </c>
      <c r="F5487">
        <v>5</v>
      </c>
      <c r="G5487">
        <f t="shared" si="85"/>
        <v>1856</v>
      </c>
    </row>
    <row r="5488" spans="2:7" ht="15" hidden="1" x14ac:dyDescent="0.25">
      <c r="B5488" s="4">
        <v>584632049</v>
      </c>
      <c r="C5488" s="4" t="s">
        <v>269</v>
      </c>
      <c r="D5488" s="4">
        <v>320</v>
      </c>
      <c r="E5488" s="4">
        <v>57</v>
      </c>
      <c r="F5488">
        <v>5</v>
      </c>
      <c r="G5488">
        <f t="shared" si="85"/>
        <v>512</v>
      </c>
    </row>
    <row r="5489" spans="2:7" ht="15" hidden="1" x14ac:dyDescent="0.25">
      <c r="B5489" s="4">
        <v>584632050</v>
      </c>
      <c r="C5489" s="4" t="s">
        <v>269</v>
      </c>
      <c r="D5489" s="4">
        <v>321</v>
      </c>
      <c r="E5489" s="4">
        <v>57</v>
      </c>
      <c r="F5489">
        <v>5</v>
      </c>
      <c r="G5489">
        <f t="shared" si="85"/>
        <v>512</v>
      </c>
    </row>
    <row r="5490" spans="2:7" ht="15" hidden="1" x14ac:dyDescent="0.25">
      <c r="B5490" s="4">
        <v>584632051</v>
      </c>
      <c r="C5490" s="4" t="s">
        <v>269</v>
      </c>
      <c r="D5490" s="4">
        <v>322</v>
      </c>
      <c r="E5490" s="4">
        <v>57</v>
      </c>
      <c r="F5490">
        <v>5</v>
      </c>
      <c r="G5490">
        <f t="shared" si="85"/>
        <v>512</v>
      </c>
    </row>
    <row r="5491" spans="2:7" ht="15" hidden="1" x14ac:dyDescent="0.25">
      <c r="B5491" s="4">
        <v>584632052</v>
      </c>
      <c r="C5491" s="4" t="s">
        <v>268</v>
      </c>
      <c r="D5491" s="4">
        <v>170</v>
      </c>
      <c r="E5491" s="4">
        <v>6</v>
      </c>
      <c r="F5491">
        <v>5</v>
      </c>
      <c r="G5491">
        <f t="shared" si="85"/>
        <v>104</v>
      </c>
    </row>
    <row r="5492" spans="2:7" ht="15" hidden="1" x14ac:dyDescent="0.25">
      <c r="B5492" s="4">
        <v>584632052</v>
      </c>
      <c r="C5492" s="4" t="s">
        <v>268</v>
      </c>
      <c r="D5492" s="4">
        <v>170</v>
      </c>
      <c r="E5492" s="4">
        <v>6</v>
      </c>
      <c r="F5492">
        <v>11</v>
      </c>
      <c r="G5492">
        <f t="shared" si="85"/>
        <v>104</v>
      </c>
    </row>
    <row r="5493" spans="2:7" ht="15" hidden="1" x14ac:dyDescent="0.25">
      <c r="B5493" s="4">
        <v>584632052</v>
      </c>
      <c r="C5493" s="4" t="s">
        <v>268</v>
      </c>
      <c r="D5493" s="4">
        <v>171</v>
      </c>
      <c r="E5493" s="4">
        <v>9</v>
      </c>
      <c r="F5493">
        <v>11</v>
      </c>
      <c r="G5493">
        <f t="shared" si="85"/>
        <v>128</v>
      </c>
    </row>
    <row r="5494" spans="2:7" ht="15" hidden="1" x14ac:dyDescent="0.25">
      <c r="B5494" s="4">
        <v>584632052</v>
      </c>
      <c r="C5494" s="4" t="s">
        <v>268</v>
      </c>
      <c r="D5494" s="4">
        <v>171</v>
      </c>
      <c r="E5494" s="4">
        <v>9</v>
      </c>
      <c r="F5494">
        <v>195</v>
      </c>
      <c r="G5494">
        <f t="shared" si="85"/>
        <v>128</v>
      </c>
    </row>
    <row r="5495" spans="2:7" ht="15" hidden="1" x14ac:dyDescent="0.25">
      <c r="B5495" s="4">
        <v>584632052</v>
      </c>
      <c r="C5495" s="4" t="s">
        <v>268</v>
      </c>
      <c r="D5495" s="4">
        <v>172</v>
      </c>
      <c r="E5495" s="4">
        <v>7</v>
      </c>
      <c r="F5495">
        <v>195</v>
      </c>
      <c r="G5495">
        <f t="shared" si="85"/>
        <v>112</v>
      </c>
    </row>
    <row r="5496" spans="2:7" ht="15" hidden="1" x14ac:dyDescent="0.25">
      <c r="B5496" s="4">
        <v>584632052</v>
      </c>
      <c r="C5496" s="4" t="s">
        <v>268</v>
      </c>
      <c r="D5496" s="4">
        <v>172</v>
      </c>
      <c r="E5496" s="4">
        <v>7</v>
      </c>
      <c r="F5496">
        <v>81</v>
      </c>
      <c r="G5496">
        <f t="shared" si="85"/>
        <v>112</v>
      </c>
    </row>
    <row r="5497" spans="2:7" ht="15" hidden="1" x14ac:dyDescent="0.25">
      <c r="B5497" s="4">
        <v>584632052</v>
      </c>
      <c r="C5497" s="4" t="s">
        <v>268</v>
      </c>
      <c r="D5497" s="4">
        <v>173</v>
      </c>
      <c r="E5497" s="4">
        <v>7</v>
      </c>
      <c r="F5497">
        <v>81</v>
      </c>
      <c r="G5497">
        <f t="shared" si="85"/>
        <v>112</v>
      </c>
    </row>
    <row r="5498" spans="2:7" ht="15" hidden="1" x14ac:dyDescent="0.25">
      <c r="B5498" s="4">
        <v>584632052</v>
      </c>
      <c r="C5498" s="4" t="s">
        <v>268</v>
      </c>
      <c r="D5498" s="4">
        <v>173</v>
      </c>
      <c r="E5498" s="4">
        <v>7</v>
      </c>
      <c r="F5498">
        <v>79</v>
      </c>
      <c r="G5498">
        <f t="shared" si="85"/>
        <v>112</v>
      </c>
    </row>
    <row r="5499" spans="2:7" ht="15" hidden="1" x14ac:dyDescent="0.25">
      <c r="B5499" s="4">
        <v>584632052</v>
      </c>
      <c r="C5499" s="4" t="s">
        <v>268</v>
      </c>
      <c r="D5499" s="4">
        <v>174</v>
      </c>
      <c r="E5499" s="4">
        <v>7</v>
      </c>
      <c r="F5499">
        <v>79</v>
      </c>
      <c r="G5499">
        <f t="shared" si="85"/>
        <v>112</v>
      </c>
    </row>
    <row r="5500" spans="2:7" ht="15" hidden="1" x14ac:dyDescent="0.25">
      <c r="B5500" s="4">
        <v>584632052</v>
      </c>
      <c r="C5500" s="4" t="s">
        <v>268</v>
      </c>
      <c r="D5500" s="4">
        <v>174</v>
      </c>
      <c r="E5500" s="4">
        <v>7</v>
      </c>
      <c r="F5500">
        <v>5</v>
      </c>
      <c r="G5500">
        <f t="shared" si="85"/>
        <v>112</v>
      </c>
    </row>
    <row r="5501" spans="2:7" ht="15" hidden="1" x14ac:dyDescent="0.25">
      <c r="B5501" s="4">
        <v>584632052</v>
      </c>
      <c r="C5501" s="4" t="s">
        <v>269</v>
      </c>
      <c r="D5501" s="4">
        <v>323</v>
      </c>
      <c r="E5501" s="4">
        <v>57</v>
      </c>
      <c r="F5501">
        <v>5</v>
      </c>
      <c r="G5501">
        <f t="shared" si="85"/>
        <v>512</v>
      </c>
    </row>
    <row r="5502" spans="2:7" ht="15" hidden="1" x14ac:dyDescent="0.25">
      <c r="B5502" s="4">
        <v>584632053</v>
      </c>
      <c r="C5502" s="4" t="s">
        <v>269</v>
      </c>
      <c r="D5502" s="4">
        <v>324</v>
      </c>
      <c r="E5502" s="4">
        <v>57</v>
      </c>
      <c r="F5502">
        <v>5</v>
      </c>
      <c r="G5502">
        <f t="shared" si="85"/>
        <v>512</v>
      </c>
    </row>
    <row r="5503" spans="2:7" ht="15" hidden="1" x14ac:dyDescent="0.25">
      <c r="B5503" s="4">
        <v>584632054</v>
      </c>
      <c r="C5503" s="4" t="s">
        <v>268</v>
      </c>
      <c r="D5503" s="4">
        <v>175</v>
      </c>
      <c r="E5503" s="4">
        <v>7</v>
      </c>
      <c r="F5503">
        <v>5</v>
      </c>
      <c r="G5503">
        <f t="shared" si="85"/>
        <v>112</v>
      </c>
    </row>
    <row r="5504" spans="2:7" ht="15" hidden="1" x14ac:dyDescent="0.25">
      <c r="B5504" s="4">
        <v>584632054</v>
      </c>
      <c r="C5504" s="4" t="s">
        <v>268</v>
      </c>
      <c r="D5504" s="4">
        <v>175</v>
      </c>
      <c r="E5504" s="4">
        <v>7</v>
      </c>
      <c r="F5504">
        <v>81</v>
      </c>
      <c r="G5504">
        <f t="shared" si="85"/>
        <v>112</v>
      </c>
    </row>
    <row r="5505" spans="2:7" ht="15" hidden="1" x14ac:dyDescent="0.25">
      <c r="B5505" s="4">
        <v>584632054</v>
      </c>
      <c r="C5505" s="4" t="s">
        <v>268</v>
      </c>
      <c r="D5505" s="4">
        <v>176</v>
      </c>
      <c r="E5505" s="4">
        <v>5</v>
      </c>
      <c r="F5505">
        <v>81</v>
      </c>
      <c r="G5505">
        <f t="shared" si="85"/>
        <v>96</v>
      </c>
    </row>
    <row r="5506" spans="2:7" ht="15" hidden="1" x14ac:dyDescent="0.25">
      <c r="B5506" s="4">
        <v>584632054</v>
      </c>
      <c r="C5506" s="4" t="s">
        <v>268</v>
      </c>
      <c r="D5506" s="4">
        <v>176</v>
      </c>
      <c r="E5506" s="4">
        <v>5</v>
      </c>
      <c r="F5506">
        <v>6</v>
      </c>
      <c r="G5506">
        <f t="shared" si="85"/>
        <v>96</v>
      </c>
    </row>
    <row r="5507" spans="2:7" ht="15" hidden="1" x14ac:dyDescent="0.25">
      <c r="B5507" s="4">
        <v>584632054</v>
      </c>
      <c r="C5507" s="4" t="s">
        <v>268</v>
      </c>
      <c r="D5507" s="4">
        <v>177</v>
      </c>
      <c r="E5507" s="4">
        <v>7</v>
      </c>
      <c r="F5507">
        <v>6</v>
      </c>
      <c r="G5507">
        <f t="shared" si="85"/>
        <v>112</v>
      </c>
    </row>
    <row r="5508" spans="2:7" ht="15" hidden="1" x14ac:dyDescent="0.25">
      <c r="B5508" s="4">
        <v>584632054</v>
      </c>
      <c r="C5508" s="4" t="s">
        <v>268</v>
      </c>
      <c r="D5508" s="4">
        <v>177</v>
      </c>
      <c r="E5508" s="4">
        <v>7</v>
      </c>
      <c r="F5508">
        <v>5</v>
      </c>
      <c r="G5508">
        <f t="shared" ref="G5508:G5571" si="86">(E5508+7)*8</f>
        <v>112</v>
      </c>
    </row>
    <row r="5509" spans="2:7" ht="15" hidden="1" x14ac:dyDescent="0.25">
      <c r="B5509" s="4">
        <v>584632054</v>
      </c>
      <c r="C5509" s="4" t="s">
        <v>269</v>
      </c>
      <c r="D5509" s="4">
        <v>325</v>
      </c>
      <c r="E5509" s="4">
        <v>57</v>
      </c>
      <c r="F5509">
        <v>5</v>
      </c>
      <c r="G5509">
        <f t="shared" si="86"/>
        <v>512</v>
      </c>
    </row>
    <row r="5510" spans="2:7" ht="15" hidden="1" x14ac:dyDescent="0.25">
      <c r="B5510" s="4">
        <v>584632055</v>
      </c>
      <c r="C5510" s="4" t="s">
        <v>269</v>
      </c>
      <c r="D5510" s="4">
        <v>326</v>
      </c>
      <c r="E5510" s="4">
        <v>57</v>
      </c>
      <c r="F5510">
        <v>5</v>
      </c>
      <c r="G5510">
        <f t="shared" si="86"/>
        <v>512</v>
      </c>
    </row>
    <row r="5511" spans="2:7" ht="15" hidden="1" x14ac:dyDescent="0.25">
      <c r="B5511" s="4">
        <v>584632056</v>
      </c>
      <c r="C5511" s="4" t="s">
        <v>269</v>
      </c>
      <c r="D5511" s="4">
        <v>327</v>
      </c>
      <c r="E5511" s="4">
        <v>57</v>
      </c>
      <c r="F5511">
        <v>5</v>
      </c>
      <c r="G5511">
        <f t="shared" si="86"/>
        <v>512</v>
      </c>
    </row>
    <row r="5512" spans="2:7" ht="15" hidden="1" x14ac:dyDescent="0.25">
      <c r="B5512" s="4">
        <v>584632057</v>
      </c>
      <c r="C5512" s="4" t="s">
        <v>269</v>
      </c>
      <c r="D5512" s="4">
        <v>328</v>
      </c>
      <c r="E5512" s="4">
        <v>57</v>
      </c>
      <c r="F5512">
        <v>5</v>
      </c>
      <c r="G5512">
        <f t="shared" si="86"/>
        <v>512</v>
      </c>
    </row>
    <row r="5513" spans="2:7" ht="15" hidden="1" x14ac:dyDescent="0.25">
      <c r="B5513" s="4">
        <v>584632058</v>
      </c>
      <c r="C5513" s="4" t="s">
        <v>269</v>
      </c>
      <c r="D5513" s="4">
        <v>329</v>
      </c>
      <c r="E5513" s="4">
        <v>57</v>
      </c>
      <c r="F5513">
        <v>5</v>
      </c>
      <c r="G5513">
        <f t="shared" si="86"/>
        <v>512</v>
      </c>
    </row>
    <row r="5514" spans="2:7" ht="15" hidden="1" x14ac:dyDescent="0.25">
      <c r="B5514" s="4">
        <v>584632058</v>
      </c>
      <c r="C5514" s="4" t="s">
        <v>272</v>
      </c>
      <c r="D5514" s="4">
        <v>21</v>
      </c>
      <c r="E5514" s="4">
        <v>225</v>
      </c>
      <c r="F5514">
        <v>5</v>
      </c>
      <c r="G5514">
        <f t="shared" si="86"/>
        <v>1856</v>
      </c>
    </row>
    <row r="5515" spans="2:7" ht="15" hidden="1" x14ac:dyDescent="0.25">
      <c r="B5515" s="4">
        <v>584632059</v>
      </c>
      <c r="C5515" s="4" t="s">
        <v>269</v>
      </c>
      <c r="D5515" s="4">
        <v>330</v>
      </c>
      <c r="E5515" s="4">
        <v>57</v>
      </c>
      <c r="F5515">
        <v>5</v>
      </c>
      <c r="G5515">
        <f t="shared" si="86"/>
        <v>512</v>
      </c>
    </row>
    <row r="5516" spans="2:7" ht="15" hidden="1" x14ac:dyDescent="0.25">
      <c r="B5516" s="4">
        <v>584632060</v>
      </c>
      <c r="C5516" s="4" t="s">
        <v>269</v>
      </c>
      <c r="D5516" s="4">
        <v>331</v>
      </c>
      <c r="E5516" s="4">
        <v>57</v>
      </c>
      <c r="F5516">
        <v>5</v>
      </c>
      <c r="G5516">
        <f t="shared" si="86"/>
        <v>512</v>
      </c>
    </row>
    <row r="5517" spans="2:7" ht="15" hidden="1" x14ac:dyDescent="0.25">
      <c r="B5517" s="4">
        <v>584632061</v>
      </c>
      <c r="C5517" s="4" t="s">
        <v>269</v>
      </c>
      <c r="D5517" s="4">
        <v>332</v>
      </c>
      <c r="E5517" s="4">
        <v>57</v>
      </c>
      <c r="F5517">
        <v>5</v>
      </c>
      <c r="G5517">
        <f t="shared" si="86"/>
        <v>512</v>
      </c>
    </row>
    <row r="5518" spans="2:7" ht="15" hidden="1" x14ac:dyDescent="0.25">
      <c r="B5518" s="4">
        <v>584632062</v>
      </c>
      <c r="C5518" s="4" t="s">
        <v>269</v>
      </c>
      <c r="D5518" s="4">
        <v>333</v>
      </c>
      <c r="E5518" s="4">
        <v>57</v>
      </c>
      <c r="F5518">
        <v>5</v>
      </c>
      <c r="G5518">
        <f t="shared" si="86"/>
        <v>512</v>
      </c>
    </row>
    <row r="5519" spans="2:7" ht="15" hidden="1" x14ac:dyDescent="0.25">
      <c r="B5519" s="4">
        <v>584632063</v>
      </c>
      <c r="C5519" s="4" t="s">
        <v>269</v>
      </c>
      <c r="D5519" s="4">
        <v>334</v>
      </c>
      <c r="E5519" s="4">
        <v>57</v>
      </c>
      <c r="F5519">
        <v>5</v>
      </c>
      <c r="G5519">
        <f t="shared" si="86"/>
        <v>512</v>
      </c>
    </row>
    <row r="5520" spans="2:7" ht="15" hidden="1" x14ac:dyDescent="0.25">
      <c r="B5520" s="4">
        <v>584632064</v>
      </c>
      <c r="C5520" s="4" t="s">
        <v>269</v>
      </c>
      <c r="D5520" s="4">
        <v>335</v>
      </c>
      <c r="E5520" s="4">
        <v>57</v>
      </c>
      <c r="F5520">
        <v>5</v>
      </c>
      <c r="G5520">
        <f t="shared" si="86"/>
        <v>512</v>
      </c>
    </row>
    <row r="5521" spans="2:7" ht="15" hidden="1" x14ac:dyDescent="0.25">
      <c r="B5521" s="4">
        <v>584632065</v>
      </c>
      <c r="C5521" s="4" t="s">
        <v>269</v>
      </c>
      <c r="D5521" s="4">
        <v>336</v>
      </c>
      <c r="E5521" s="4">
        <v>57</v>
      </c>
      <c r="F5521">
        <v>5</v>
      </c>
      <c r="G5521">
        <f t="shared" si="86"/>
        <v>512</v>
      </c>
    </row>
    <row r="5522" spans="2:7" ht="15" hidden="1" x14ac:dyDescent="0.25">
      <c r="B5522" s="4">
        <v>584632066</v>
      </c>
      <c r="C5522" s="4" t="s">
        <v>269</v>
      </c>
      <c r="D5522" s="4">
        <v>337</v>
      </c>
      <c r="E5522" s="4">
        <v>57</v>
      </c>
      <c r="F5522">
        <v>5</v>
      </c>
      <c r="G5522">
        <f t="shared" si="86"/>
        <v>512</v>
      </c>
    </row>
    <row r="5523" spans="2:7" ht="15" hidden="1" x14ac:dyDescent="0.25">
      <c r="B5523" s="4">
        <v>584632067</v>
      </c>
      <c r="C5523" s="4" t="s">
        <v>269</v>
      </c>
      <c r="D5523" s="4">
        <v>338</v>
      </c>
      <c r="E5523" s="4">
        <v>57</v>
      </c>
      <c r="F5523">
        <v>5</v>
      </c>
      <c r="G5523">
        <f t="shared" si="86"/>
        <v>512</v>
      </c>
    </row>
    <row r="5524" spans="2:7" ht="15" hidden="1" x14ac:dyDescent="0.25">
      <c r="B5524" s="4">
        <v>584632068</v>
      </c>
      <c r="C5524" s="4" t="s">
        <v>269</v>
      </c>
      <c r="D5524" s="4">
        <v>339</v>
      </c>
      <c r="E5524" s="4">
        <v>57</v>
      </c>
      <c r="F5524">
        <v>5</v>
      </c>
      <c r="G5524">
        <f t="shared" si="86"/>
        <v>512</v>
      </c>
    </row>
    <row r="5525" spans="2:7" ht="15" hidden="1" x14ac:dyDescent="0.25">
      <c r="B5525" s="4">
        <v>584632068</v>
      </c>
      <c r="C5525" s="4" t="s">
        <v>272</v>
      </c>
      <c r="D5525" s="4">
        <v>22</v>
      </c>
      <c r="E5525" s="4">
        <v>225</v>
      </c>
      <c r="F5525">
        <v>5</v>
      </c>
      <c r="G5525">
        <f t="shared" si="86"/>
        <v>1856</v>
      </c>
    </row>
    <row r="5526" spans="2:7" ht="15" hidden="1" x14ac:dyDescent="0.25">
      <c r="B5526" s="4">
        <v>584632069</v>
      </c>
      <c r="C5526" s="4" t="s">
        <v>269</v>
      </c>
      <c r="D5526" s="4">
        <v>340</v>
      </c>
      <c r="E5526" s="4">
        <v>57</v>
      </c>
      <c r="F5526">
        <v>5</v>
      </c>
      <c r="G5526">
        <f t="shared" si="86"/>
        <v>512</v>
      </c>
    </row>
    <row r="5527" spans="2:7" ht="15" hidden="1" x14ac:dyDescent="0.25">
      <c r="B5527" s="4">
        <v>584632070</v>
      </c>
      <c r="C5527" s="4" t="s">
        <v>269</v>
      </c>
      <c r="D5527" s="4">
        <v>341</v>
      </c>
      <c r="E5527" s="4">
        <v>57</v>
      </c>
      <c r="F5527">
        <v>5</v>
      </c>
      <c r="G5527">
        <f t="shared" si="86"/>
        <v>512</v>
      </c>
    </row>
    <row r="5528" spans="2:7" ht="15" hidden="1" x14ac:dyDescent="0.25">
      <c r="B5528" s="4">
        <v>584632071</v>
      </c>
      <c r="C5528" s="4" t="s">
        <v>269</v>
      </c>
      <c r="D5528" s="4">
        <v>342</v>
      </c>
      <c r="E5528" s="4">
        <v>57</v>
      </c>
      <c r="F5528">
        <v>5</v>
      </c>
      <c r="G5528">
        <f t="shared" si="86"/>
        <v>512</v>
      </c>
    </row>
    <row r="5529" spans="2:7" ht="15" hidden="1" x14ac:dyDescent="0.25">
      <c r="B5529" s="4">
        <v>584632072</v>
      </c>
      <c r="C5529" s="4" t="s">
        <v>269</v>
      </c>
      <c r="D5529" s="4">
        <v>343</v>
      </c>
      <c r="E5529" s="4">
        <v>57</v>
      </c>
      <c r="F5529">
        <v>5</v>
      </c>
      <c r="G5529">
        <f t="shared" si="86"/>
        <v>512</v>
      </c>
    </row>
    <row r="5530" spans="2:7" ht="15" hidden="1" x14ac:dyDescent="0.25">
      <c r="B5530" s="4">
        <v>584632073</v>
      </c>
      <c r="C5530" s="4" t="s">
        <v>269</v>
      </c>
      <c r="D5530" s="4">
        <v>344</v>
      </c>
      <c r="E5530" s="4">
        <v>57</v>
      </c>
      <c r="F5530">
        <v>5</v>
      </c>
      <c r="G5530">
        <f t="shared" si="86"/>
        <v>512</v>
      </c>
    </row>
    <row r="5531" spans="2:7" ht="15" hidden="1" x14ac:dyDescent="0.25">
      <c r="B5531" s="4">
        <v>584632074</v>
      </c>
      <c r="C5531" s="4" t="s">
        <v>269</v>
      </c>
      <c r="D5531" s="4">
        <v>345</v>
      </c>
      <c r="E5531" s="4">
        <v>57</v>
      </c>
      <c r="F5531">
        <v>5</v>
      </c>
      <c r="G5531">
        <f t="shared" si="86"/>
        <v>512</v>
      </c>
    </row>
    <row r="5532" spans="2:7" ht="15" hidden="1" x14ac:dyDescent="0.25">
      <c r="B5532" s="4">
        <v>584632075</v>
      </c>
      <c r="C5532" s="4" t="s">
        <v>269</v>
      </c>
      <c r="D5532" s="4">
        <v>346</v>
      </c>
      <c r="E5532" s="4">
        <v>57</v>
      </c>
      <c r="F5532">
        <v>5</v>
      </c>
      <c r="G5532">
        <f t="shared" si="86"/>
        <v>512</v>
      </c>
    </row>
    <row r="5533" spans="2:7" ht="15" hidden="1" x14ac:dyDescent="0.25">
      <c r="B5533" s="4">
        <v>584632076</v>
      </c>
      <c r="C5533" s="4" t="s">
        <v>269</v>
      </c>
      <c r="D5533" s="4">
        <v>347</v>
      </c>
      <c r="E5533" s="4">
        <v>57</v>
      </c>
      <c r="F5533">
        <v>5</v>
      </c>
      <c r="G5533">
        <f t="shared" si="86"/>
        <v>512</v>
      </c>
    </row>
    <row r="5534" spans="2:7" ht="15" hidden="1" x14ac:dyDescent="0.25">
      <c r="B5534" s="4">
        <v>584632077</v>
      </c>
      <c r="C5534" s="4" t="s">
        <v>269</v>
      </c>
      <c r="D5534" s="4">
        <v>348</v>
      </c>
      <c r="E5534" s="4">
        <v>57</v>
      </c>
      <c r="F5534">
        <v>5</v>
      </c>
      <c r="G5534">
        <f t="shared" si="86"/>
        <v>512</v>
      </c>
    </row>
    <row r="5535" spans="2:7" ht="15" hidden="1" x14ac:dyDescent="0.25">
      <c r="B5535" s="4">
        <v>584632078</v>
      </c>
      <c r="C5535" s="4" t="s">
        <v>269</v>
      </c>
      <c r="D5535" s="4">
        <v>349</v>
      </c>
      <c r="E5535" s="4">
        <v>57</v>
      </c>
      <c r="F5535">
        <v>5</v>
      </c>
      <c r="G5535">
        <f t="shared" si="86"/>
        <v>512</v>
      </c>
    </row>
    <row r="5536" spans="2:7" ht="15" hidden="1" x14ac:dyDescent="0.25">
      <c r="B5536" s="4">
        <v>584632078</v>
      </c>
      <c r="C5536" s="4" t="s">
        <v>272</v>
      </c>
      <c r="D5536" s="4">
        <v>23</v>
      </c>
      <c r="E5536" s="4">
        <v>225</v>
      </c>
      <c r="F5536">
        <v>5</v>
      </c>
      <c r="G5536">
        <f t="shared" si="86"/>
        <v>1856</v>
      </c>
    </row>
    <row r="5537" spans="2:7" ht="15" hidden="1" x14ac:dyDescent="0.25">
      <c r="B5537" s="4">
        <v>584632079</v>
      </c>
      <c r="C5537" s="4" t="s">
        <v>269</v>
      </c>
      <c r="D5537" s="4">
        <v>350</v>
      </c>
      <c r="E5537" s="4">
        <v>57</v>
      </c>
      <c r="F5537">
        <v>5</v>
      </c>
      <c r="G5537">
        <f t="shared" si="86"/>
        <v>512</v>
      </c>
    </row>
    <row r="5538" spans="2:7" ht="15" hidden="1" x14ac:dyDescent="0.25">
      <c r="B5538" s="4">
        <v>584632080</v>
      </c>
      <c r="C5538" s="4" t="s">
        <v>269</v>
      </c>
      <c r="D5538" s="4">
        <v>351</v>
      </c>
      <c r="E5538" s="4">
        <v>57</v>
      </c>
      <c r="F5538">
        <v>5</v>
      </c>
      <c r="G5538">
        <f t="shared" si="86"/>
        <v>512</v>
      </c>
    </row>
    <row r="5539" spans="2:7" ht="15" hidden="1" x14ac:dyDescent="0.25">
      <c r="B5539" s="4">
        <v>584632081</v>
      </c>
      <c r="C5539" s="4" t="s">
        <v>269</v>
      </c>
      <c r="D5539" s="4">
        <v>352</v>
      </c>
      <c r="E5539" s="4">
        <v>57</v>
      </c>
      <c r="F5539">
        <v>5</v>
      </c>
      <c r="G5539">
        <f t="shared" si="86"/>
        <v>512</v>
      </c>
    </row>
    <row r="5540" spans="2:7" ht="15" hidden="1" x14ac:dyDescent="0.25">
      <c r="B5540" s="4">
        <v>584632082</v>
      </c>
      <c r="C5540" s="4" t="s">
        <v>269</v>
      </c>
      <c r="D5540" s="4">
        <v>353</v>
      </c>
      <c r="E5540" s="4">
        <v>57</v>
      </c>
      <c r="F5540">
        <v>5</v>
      </c>
      <c r="G5540">
        <f t="shared" si="86"/>
        <v>512</v>
      </c>
    </row>
    <row r="5541" spans="2:7" ht="15" hidden="1" x14ac:dyDescent="0.25">
      <c r="B5541" s="4">
        <v>584632083</v>
      </c>
      <c r="C5541" s="4" t="s">
        <v>269</v>
      </c>
      <c r="D5541" s="4">
        <v>354</v>
      </c>
      <c r="E5541" s="4">
        <v>57</v>
      </c>
      <c r="F5541">
        <v>5</v>
      </c>
      <c r="G5541">
        <f t="shared" si="86"/>
        <v>512</v>
      </c>
    </row>
    <row r="5542" spans="2:7" ht="15" hidden="1" x14ac:dyDescent="0.25">
      <c r="B5542" s="4">
        <v>584632084</v>
      </c>
      <c r="C5542" s="4" t="s">
        <v>269</v>
      </c>
      <c r="D5542" s="4">
        <v>355</v>
      </c>
      <c r="E5542" s="4">
        <v>57</v>
      </c>
      <c r="F5542">
        <v>5</v>
      </c>
      <c r="G5542">
        <f t="shared" si="86"/>
        <v>512</v>
      </c>
    </row>
    <row r="5543" spans="2:7" ht="15" hidden="1" x14ac:dyDescent="0.25">
      <c r="B5543" s="4">
        <v>584632085</v>
      </c>
      <c r="C5543" s="4" t="s">
        <v>269</v>
      </c>
      <c r="D5543" s="4">
        <v>356</v>
      </c>
      <c r="E5543" s="4">
        <v>57</v>
      </c>
      <c r="F5543">
        <v>5</v>
      </c>
      <c r="G5543">
        <f t="shared" si="86"/>
        <v>512</v>
      </c>
    </row>
    <row r="5544" spans="2:7" ht="15" hidden="1" x14ac:dyDescent="0.25">
      <c r="B5544" s="4">
        <v>584632086</v>
      </c>
      <c r="C5544" s="4" t="s">
        <v>269</v>
      </c>
      <c r="D5544" s="4">
        <v>357</v>
      </c>
      <c r="E5544" s="4">
        <v>57</v>
      </c>
      <c r="F5544">
        <v>5</v>
      </c>
      <c r="G5544">
        <f t="shared" si="86"/>
        <v>512</v>
      </c>
    </row>
    <row r="5545" spans="2:7" ht="15" hidden="1" x14ac:dyDescent="0.25">
      <c r="B5545" s="4">
        <v>584632087</v>
      </c>
      <c r="C5545" s="4" t="s">
        <v>269</v>
      </c>
      <c r="D5545" s="4">
        <v>358</v>
      </c>
      <c r="E5545" s="4">
        <v>57</v>
      </c>
      <c r="F5545">
        <v>5</v>
      </c>
      <c r="G5545">
        <f t="shared" si="86"/>
        <v>512</v>
      </c>
    </row>
    <row r="5546" spans="2:7" ht="15" hidden="1" x14ac:dyDescent="0.25">
      <c r="B5546" s="4">
        <v>584632088</v>
      </c>
      <c r="C5546" s="4" t="s">
        <v>269</v>
      </c>
      <c r="D5546" s="4">
        <v>359</v>
      </c>
      <c r="E5546" s="4">
        <v>57</v>
      </c>
      <c r="F5546">
        <v>5</v>
      </c>
      <c r="G5546">
        <f t="shared" si="86"/>
        <v>512</v>
      </c>
    </row>
    <row r="5547" spans="2:7" ht="15" hidden="1" x14ac:dyDescent="0.25">
      <c r="B5547" s="4">
        <v>584632088</v>
      </c>
      <c r="C5547" s="4" t="s">
        <v>272</v>
      </c>
      <c r="D5547" s="4">
        <v>24</v>
      </c>
      <c r="E5547" s="4">
        <v>225</v>
      </c>
      <c r="F5547">
        <v>5</v>
      </c>
      <c r="G5547">
        <f t="shared" si="86"/>
        <v>1856</v>
      </c>
    </row>
    <row r="5548" spans="2:7" ht="15" hidden="1" x14ac:dyDescent="0.25">
      <c r="B5548" s="4">
        <v>584632089</v>
      </c>
      <c r="C5548" s="4" t="s">
        <v>269</v>
      </c>
      <c r="D5548" s="4">
        <v>360</v>
      </c>
      <c r="E5548" s="4">
        <v>57</v>
      </c>
      <c r="F5548">
        <v>5</v>
      </c>
      <c r="G5548">
        <f t="shared" si="86"/>
        <v>512</v>
      </c>
    </row>
    <row r="5549" spans="2:7" ht="15" hidden="1" x14ac:dyDescent="0.25">
      <c r="B5549" s="4">
        <v>584632090</v>
      </c>
      <c r="C5549" s="4" t="s">
        <v>269</v>
      </c>
      <c r="D5549" s="4">
        <v>361</v>
      </c>
      <c r="E5549" s="4">
        <v>57</v>
      </c>
      <c r="F5549">
        <v>5</v>
      </c>
      <c r="G5549">
        <f t="shared" si="86"/>
        <v>512</v>
      </c>
    </row>
    <row r="5550" spans="2:7" ht="15" hidden="1" x14ac:dyDescent="0.25">
      <c r="B5550" s="4">
        <v>584632091</v>
      </c>
      <c r="C5550" s="4" t="s">
        <v>269</v>
      </c>
      <c r="D5550" s="4">
        <v>362</v>
      </c>
      <c r="E5550" s="4">
        <v>57</v>
      </c>
      <c r="F5550">
        <v>5</v>
      </c>
      <c r="G5550">
        <f t="shared" si="86"/>
        <v>512</v>
      </c>
    </row>
    <row r="5551" spans="2:7" ht="15" hidden="1" x14ac:dyDescent="0.25">
      <c r="B5551" s="4">
        <v>584632092</v>
      </c>
      <c r="C5551" s="4" t="s">
        <v>269</v>
      </c>
      <c r="D5551" s="4">
        <v>363</v>
      </c>
      <c r="E5551" s="4">
        <v>57</v>
      </c>
      <c r="F5551">
        <v>5</v>
      </c>
      <c r="G5551">
        <f t="shared" si="86"/>
        <v>512</v>
      </c>
    </row>
    <row r="5552" spans="2:7" ht="15" hidden="1" x14ac:dyDescent="0.25">
      <c r="B5552" s="4">
        <v>584632093</v>
      </c>
      <c r="C5552" s="4" t="s">
        <v>269</v>
      </c>
      <c r="D5552" s="4">
        <v>364</v>
      </c>
      <c r="E5552" s="4">
        <v>57</v>
      </c>
      <c r="F5552">
        <v>5</v>
      </c>
      <c r="G5552">
        <f t="shared" si="86"/>
        <v>512</v>
      </c>
    </row>
    <row r="5553" spans="2:7" ht="15" hidden="1" x14ac:dyDescent="0.25">
      <c r="B5553" s="4">
        <v>584632094</v>
      </c>
      <c r="C5553" s="4" t="s">
        <v>269</v>
      </c>
      <c r="D5553" s="4">
        <v>365</v>
      </c>
      <c r="E5553" s="4">
        <v>57</v>
      </c>
      <c r="F5553">
        <v>5</v>
      </c>
      <c r="G5553">
        <f t="shared" si="86"/>
        <v>512</v>
      </c>
    </row>
    <row r="5554" spans="2:7" ht="15" hidden="1" x14ac:dyDescent="0.25">
      <c r="B5554" s="4">
        <v>584632095</v>
      </c>
      <c r="C5554" s="4" t="s">
        <v>269</v>
      </c>
      <c r="D5554" s="4">
        <v>366</v>
      </c>
      <c r="E5554" s="4">
        <v>57</v>
      </c>
      <c r="F5554">
        <v>5</v>
      </c>
      <c r="G5554">
        <f t="shared" si="86"/>
        <v>512</v>
      </c>
    </row>
    <row r="5555" spans="2:7" ht="15" hidden="1" x14ac:dyDescent="0.25">
      <c r="B5555" s="4">
        <v>584632096</v>
      </c>
      <c r="C5555" s="4" t="s">
        <v>269</v>
      </c>
      <c r="D5555" s="4">
        <v>367</v>
      </c>
      <c r="E5555" s="4">
        <v>57</v>
      </c>
      <c r="F5555">
        <v>5</v>
      </c>
      <c r="G5555">
        <f t="shared" si="86"/>
        <v>512</v>
      </c>
    </row>
    <row r="5556" spans="2:7" ht="15" hidden="1" x14ac:dyDescent="0.25">
      <c r="B5556" s="4">
        <v>584632097</v>
      </c>
      <c r="C5556" s="4" t="s">
        <v>269</v>
      </c>
      <c r="D5556" s="4">
        <v>368</v>
      </c>
      <c r="E5556" s="4">
        <v>57</v>
      </c>
      <c r="F5556">
        <v>5</v>
      </c>
      <c r="G5556">
        <f t="shared" si="86"/>
        <v>512</v>
      </c>
    </row>
    <row r="5557" spans="2:7" ht="15" hidden="1" x14ac:dyDescent="0.25">
      <c r="B5557" s="4">
        <v>584632098</v>
      </c>
      <c r="C5557" s="4" t="s">
        <v>269</v>
      </c>
      <c r="D5557" s="4">
        <v>369</v>
      </c>
      <c r="E5557" s="4">
        <v>57</v>
      </c>
      <c r="F5557">
        <v>5</v>
      </c>
      <c r="G5557">
        <f t="shared" si="86"/>
        <v>512</v>
      </c>
    </row>
    <row r="5558" spans="2:7" ht="15" hidden="1" x14ac:dyDescent="0.25">
      <c r="B5558" s="4">
        <v>584632098</v>
      </c>
      <c r="C5558" s="4" t="s">
        <v>272</v>
      </c>
      <c r="D5558" s="4">
        <v>25</v>
      </c>
      <c r="E5558" s="4">
        <v>225</v>
      </c>
      <c r="F5558">
        <v>5</v>
      </c>
      <c r="G5558">
        <f t="shared" si="86"/>
        <v>1856</v>
      </c>
    </row>
    <row r="5559" spans="2:7" ht="15" hidden="1" x14ac:dyDescent="0.25">
      <c r="B5559" s="4">
        <v>584632099</v>
      </c>
      <c r="C5559" s="4" t="s">
        <v>269</v>
      </c>
      <c r="D5559" s="4">
        <v>370</v>
      </c>
      <c r="E5559" s="4">
        <v>57</v>
      </c>
      <c r="F5559">
        <v>5</v>
      </c>
      <c r="G5559">
        <f t="shared" si="86"/>
        <v>512</v>
      </c>
    </row>
    <row r="5560" spans="2:7" ht="15" hidden="1" x14ac:dyDescent="0.25">
      <c r="B5560" s="4">
        <v>584632100</v>
      </c>
      <c r="C5560" s="4" t="s">
        <v>269</v>
      </c>
      <c r="D5560" s="4">
        <v>371</v>
      </c>
      <c r="E5560" s="4">
        <v>57</v>
      </c>
      <c r="F5560">
        <v>5</v>
      </c>
      <c r="G5560">
        <f t="shared" si="86"/>
        <v>512</v>
      </c>
    </row>
    <row r="5561" spans="2:7" ht="15" hidden="1" x14ac:dyDescent="0.25">
      <c r="B5561" s="4">
        <v>584632101</v>
      </c>
      <c r="C5561" s="4" t="s">
        <v>269</v>
      </c>
      <c r="D5561" s="4">
        <v>372</v>
      </c>
      <c r="E5561" s="4">
        <v>57</v>
      </c>
      <c r="F5561">
        <v>5</v>
      </c>
      <c r="G5561">
        <f t="shared" si="86"/>
        <v>512</v>
      </c>
    </row>
    <row r="5562" spans="2:7" ht="15" hidden="1" x14ac:dyDescent="0.25">
      <c r="B5562" s="4">
        <v>584632102</v>
      </c>
      <c r="C5562" s="4" t="s">
        <v>269</v>
      </c>
      <c r="D5562" s="4">
        <v>373</v>
      </c>
      <c r="E5562" s="4">
        <v>57</v>
      </c>
      <c r="F5562">
        <v>5</v>
      </c>
      <c r="G5562">
        <f t="shared" si="86"/>
        <v>512</v>
      </c>
    </row>
    <row r="5563" spans="2:7" ht="15" hidden="1" x14ac:dyDescent="0.25">
      <c r="B5563" s="4">
        <v>584632103</v>
      </c>
      <c r="C5563" s="4" t="s">
        <v>269</v>
      </c>
      <c r="D5563" s="4">
        <v>374</v>
      </c>
      <c r="E5563" s="4">
        <v>57</v>
      </c>
      <c r="F5563">
        <v>5</v>
      </c>
      <c r="G5563">
        <f t="shared" si="86"/>
        <v>512</v>
      </c>
    </row>
    <row r="5564" spans="2:7" ht="15" hidden="1" x14ac:dyDescent="0.25">
      <c r="B5564" s="4">
        <v>584632104</v>
      </c>
      <c r="C5564" s="4" t="s">
        <v>269</v>
      </c>
      <c r="D5564" s="4">
        <v>375</v>
      </c>
      <c r="E5564" s="4">
        <v>57</v>
      </c>
      <c r="F5564">
        <v>5</v>
      </c>
      <c r="G5564">
        <f t="shared" si="86"/>
        <v>512</v>
      </c>
    </row>
    <row r="5565" spans="2:7" ht="15" hidden="1" x14ac:dyDescent="0.25">
      <c r="B5565" s="4">
        <v>584632105</v>
      </c>
      <c r="C5565" s="4" t="s">
        <v>269</v>
      </c>
      <c r="D5565" s="4">
        <v>376</v>
      </c>
      <c r="E5565" s="4">
        <v>57</v>
      </c>
      <c r="F5565">
        <v>5</v>
      </c>
      <c r="G5565">
        <f t="shared" si="86"/>
        <v>512</v>
      </c>
    </row>
    <row r="5566" spans="2:7" ht="15" hidden="1" x14ac:dyDescent="0.25">
      <c r="B5566" s="4">
        <v>584632106</v>
      </c>
      <c r="C5566" s="4" t="s">
        <v>269</v>
      </c>
      <c r="D5566" s="4">
        <v>377</v>
      </c>
      <c r="E5566" s="4">
        <v>57</v>
      </c>
      <c r="F5566">
        <v>5</v>
      </c>
      <c r="G5566">
        <f t="shared" si="86"/>
        <v>512</v>
      </c>
    </row>
    <row r="5567" spans="2:7" ht="15" hidden="1" x14ac:dyDescent="0.25">
      <c r="B5567" s="4">
        <v>584632107</v>
      </c>
      <c r="C5567" s="4" t="s">
        <v>269</v>
      </c>
      <c r="D5567" s="4">
        <v>378</v>
      </c>
      <c r="E5567" s="4">
        <v>57</v>
      </c>
      <c r="F5567">
        <v>5</v>
      </c>
      <c r="G5567">
        <f t="shared" si="86"/>
        <v>512</v>
      </c>
    </row>
    <row r="5568" spans="2:7" ht="15" hidden="1" x14ac:dyDescent="0.25">
      <c r="B5568" s="4">
        <v>584632108</v>
      </c>
      <c r="C5568" s="4" t="s">
        <v>269</v>
      </c>
      <c r="D5568" s="4">
        <v>379</v>
      </c>
      <c r="E5568" s="4">
        <v>57</v>
      </c>
      <c r="F5568">
        <v>5</v>
      </c>
      <c r="G5568">
        <f t="shared" si="86"/>
        <v>512</v>
      </c>
    </row>
    <row r="5569" spans="2:7" ht="15" hidden="1" x14ac:dyDescent="0.25">
      <c r="B5569" s="4">
        <v>584632108</v>
      </c>
      <c r="C5569" s="4" t="s">
        <v>272</v>
      </c>
      <c r="D5569" s="4">
        <v>26</v>
      </c>
      <c r="E5569" s="4">
        <v>225</v>
      </c>
      <c r="F5569">
        <v>5</v>
      </c>
      <c r="G5569">
        <f t="shared" si="86"/>
        <v>1856</v>
      </c>
    </row>
    <row r="5570" spans="2:7" ht="15" hidden="1" x14ac:dyDescent="0.25">
      <c r="B5570" s="4">
        <v>584632109</v>
      </c>
      <c r="C5570" s="4" t="s">
        <v>269</v>
      </c>
      <c r="D5570" s="4">
        <v>380</v>
      </c>
      <c r="E5570" s="4">
        <v>57</v>
      </c>
      <c r="F5570">
        <v>5</v>
      </c>
      <c r="G5570">
        <f t="shared" si="86"/>
        <v>512</v>
      </c>
    </row>
    <row r="5571" spans="2:7" ht="15" hidden="1" x14ac:dyDescent="0.25">
      <c r="B5571" s="4">
        <v>584632110</v>
      </c>
      <c r="C5571" s="4" t="s">
        <v>269</v>
      </c>
      <c r="D5571" s="4">
        <v>381</v>
      </c>
      <c r="E5571" s="4">
        <v>57</v>
      </c>
      <c r="F5571">
        <v>5</v>
      </c>
      <c r="G5571">
        <f t="shared" si="86"/>
        <v>512</v>
      </c>
    </row>
    <row r="5572" spans="2:7" ht="15" hidden="1" x14ac:dyDescent="0.25">
      <c r="B5572" s="4">
        <v>584632111</v>
      </c>
      <c r="C5572" s="4" t="s">
        <v>269</v>
      </c>
      <c r="D5572" s="4">
        <v>382</v>
      </c>
      <c r="E5572" s="4">
        <v>57</v>
      </c>
      <c r="F5572">
        <v>5</v>
      </c>
      <c r="G5572">
        <f t="shared" ref="G5572:G5635" si="87">(E5572+7)*8</f>
        <v>512</v>
      </c>
    </row>
    <row r="5573" spans="2:7" ht="15" hidden="1" x14ac:dyDescent="0.25">
      <c r="B5573" s="4">
        <v>584632112</v>
      </c>
      <c r="C5573" s="4" t="s">
        <v>269</v>
      </c>
      <c r="D5573" s="4">
        <v>383</v>
      </c>
      <c r="E5573" s="4">
        <v>57</v>
      </c>
      <c r="F5573">
        <v>5</v>
      </c>
      <c r="G5573">
        <f t="shared" si="87"/>
        <v>512</v>
      </c>
    </row>
    <row r="5574" spans="2:7" ht="15" hidden="1" x14ac:dyDescent="0.25">
      <c r="B5574" s="4">
        <v>584632113</v>
      </c>
      <c r="C5574" s="4" t="s">
        <v>269</v>
      </c>
      <c r="D5574" s="4">
        <v>384</v>
      </c>
      <c r="E5574" s="4">
        <v>57</v>
      </c>
      <c r="F5574">
        <v>5</v>
      </c>
      <c r="G5574">
        <f t="shared" si="87"/>
        <v>512</v>
      </c>
    </row>
    <row r="5575" spans="2:7" ht="15" hidden="1" x14ac:dyDescent="0.25">
      <c r="B5575" s="4">
        <v>584632114</v>
      </c>
      <c r="C5575" s="4" t="s">
        <v>268</v>
      </c>
      <c r="D5575" s="4">
        <v>178</v>
      </c>
      <c r="E5575" s="4">
        <v>6</v>
      </c>
      <c r="F5575">
        <v>5</v>
      </c>
      <c r="G5575">
        <f t="shared" si="87"/>
        <v>104</v>
      </c>
    </row>
    <row r="5576" spans="2:7" ht="15" hidden="1" x14ac:dyDescent="0.25">
      <c r="B5576" s="4">
        <v>584632114</v>
      </c>
      <c r="C5576" s="4" t="s">
        <v>268</v>
      </c>
      <c r="D5576" s="4">
        <v>178</v>
      </c>
      <c r="E5576" s="4">
        <v>6</v>
      </c>
      <c r="F5576">
        <v>11</v>
      </c>
      <c r="G5576">
        <f t="shared" si="87"/>
        <v>104</v>
      </c>
    </row>
    <row r="5577" spans="2:7" ht="15" hidden="1" x14ac:dyDescent="0.25">
      <c r="B5577" s="4">
        <v>584632114</v>
      </c>
      <c r="C5577" s="4" t="s">
        <v>268</v>
      </c>
      <c r="D5577" s="4">
        <v>179</v>
      </c>
      <c r="E5577" s="4">
        <v>9</v>
      </c>
      <c r="F5577">
        <v>11</v>
      </c>
      <c r="G5577">
        <f t="shared" si="87"/>
        <v>128</v>
      </c>
    </row>
    <row r="5578" spans="2:7" ht="15" hidden="1" x14ac:dyDescent="0.25">
      <c r="B5578" s="4">
        <v>584632114</v>
      </c>
      <c r="C5578" s="4" t="s">
        <v>268</v>
      </c>
      <c r="D5578" s="4">
        <v>179</v>
      </c>
      <c r="E5578" s="4">
        <v>9</v>
      </c>
      <c r="F5578">
        <v>195</v>
      </c>
      <c r="G5578">
        <f t="shared" si="87"/>
        <v>128</v>
      </c>
    </row>
    <row r="5579" spans="2:7" ht="15" hidden="1" x14ac:dyDescent="0.25">
      <c r="B5579" s="4">
        <v>584632114</v>
      </c>
      <c r="C5579" s="4" t="s">
        <v>268</v>
      </c>
      <c r="D5579" s="4">
        <v>180</v>
      </c>
      <c r="E5579" s="4">
        <v>7</v>
      </c>
      <c r="F5579">
        <v>195</v>
      </c>
      <c r="G5579">
        <f t="shared" si="87"/>
        <v>112</v>
      </c>
    </row>
    <row r="5580" spans="2:7" ht="15" hidden="1" x14ac:dyDescent="0.25">
      <c r="B5580" s="4">
        <v>584632114</v>
      </c>
      <c r="C5580" s="4" t="s">
        <v>268</v>
      </c>
      <c r="D5580" s="4">
        <v>180</v>
      </c>
      <c r="E5580" s="4">
        <v>7</v>
      </c>
      <c r="F5580">
        <v>81</v>
      </c>
      <c r="G5580">
        <f t="shared" si="87"/>
        <v>112</v>
      </c>
    </row>
    <row r="5581" spans="2:7" ht="15" hidden="1" x14ac:dyDescent="0.25">
      <c r="B5581" s="4">
        <v>584632114</v>
      </c>
      <c r="C5581" s="4" t="s">
        <v>268</v>
      </c>
      <c r="D5581" s="4">
        <v>181</v>
      </c>
      <c r="E5581" s="4">
        <v>7</v>
      </c>
      <c r="F5581">
        <v>81</v>
      </c>
      <c r="G5581">
        <f t="shared" si="87"/>
        <v>112</v>
      </c>
    </row>
    <row r="5582" spans="2:7" ht="15" hidden="1" x14ac:dyDescent="0.25">
      <c r="B5582" s="4">
        <v>584632114</v>
      </c>
      <c r="C5582" s="4" t="s">
        <v>268</v>
      </c>
      <c r="D5582" s="4">
        <v>181</v>
      </c>
      <c r="E5582" s="4">
        <v>7</v>
      </c>
      <c r="F5582">
        <v>79</v>
      </c>
      <c r="G5582">
        <f t="shared" si="87"/>
        <v>112</v>
      </c>
    </row>
    <row r="5583" spans="2:7" ht="15" hidden="1" x14ac:dyDescent="0.25">
      <c r="B5583" s="4">
        <v>584632114</v>
      </c>
      <c r="C5583" s="4" t="s">
        <v>268</v>
      </c>
      <c r="D5583" s="4">
        <v>182</v>
      </c>
      <c r="E5583" s="4">
        <v>7</v>
      </c>
      <c r="F5583">
        <v>79</v>
      </c>
      <c r="G5583">
        <f t="shared" si="87"/>
        <v>112</v>
      </c>
    </row>
    <row r="5584" spans="2:7" ht="15" hidden="1" x14ac:dyDescent="0.25">
      <c r="B5584" s="4">
        <v>584632114</v>
      </c>
      <c r="C5584" s="4" t="s">
        <v>268</v>
      </c>
      <c r="D5584" s="4">
        <v>182</v>
      </c>
      <c r="E5584" s="4">
        <v>7</v>
      </c>
      <c r="F5584">
        <v>5</v>
      </c>
      <c r="G5584">
        <f t="shared" si="87"/>
        <v>112</v>
      </c>
    </row>
    <row r="5585" spans="2:7" ht="15" hidden="1" x14ac:dyDescent="0.25">
      <c r="B5585" s="4">
        <v>584632114</v>
      </c>
      <c r="C5585" s="4" t="s">
        <v>269</v>
      </c>
      <c r="D5585" s="4">
        <v>385</v>
      </c>
      <c r="E5585" s="4">
        <v>57</v>
      </c>
      <c r="F5585">
        <v>5</v>
      </c>
      <c r="G5585">
        <f t="shared" si="87"/>
        <v>512</v>
      </c>
    </row>
    <row r="5586" spans="2:7" ht="15" hidden="1" x14ac:dyDescent="0.25">
      <c r="B5586" s="4">
        <v>584632115</v>
      </c>
      <c r="C5586" s="4" t="s">
        <v>269</v>
      </c>
      <c r="D5586" s="4">
        <v>386</v>
      </c>
      <c r="E5586" s="4">
        <v>57</v>
      </c>
      <c r="F5586">
        <v>5</v>
      </c>
      <c r="G5586">
        <f t="shared" si="87"/>
        <v>512</v>
      </c>
    </row>
    <row r="5587" spans="2:7" ht="15" hidden="1" x14ac:dyDescent="0.25">
      <c r="B5587" s="4">
        <v>584632116</v>
      </c>
      <c r="C5587" s="4" t="s">
        <v>268</v>
      </c>
      <c r="D5587" s="4">
        <v>183</v>
      </c>
      <c r="E5587" s="4">
        <v>7</v>
      </c>
      <c r="F5587">
        <v>5</v>
      </c>
      <c r="G5587">
        <f t="shared" si="87"/>
        <v>112</v>
      </c>
    </row>
    <row r="5588" spans="2:7" ht="15" hidden="1" x14ac:dyDescent="0.25">
      <c r="B5588" s="4">
        <v>584632116</v>
      </c>
      <c r="C5588" s="4" t="s">
        <v>268</v>
      </c>
      <c r="D5588" s="4">
        <v>183</v>
      </c>
      <c r="E5588" s="4">
        <v>7</v>
      </c>
      <c r="F5588">
        <v>81</v>
      </c>
      <c r="G5588">
        <f t="shared" si="87"/>
        <v>112</v>
      </c>
    </row>
    <row r="5589" spans="2:7" ht="15" hidden="1" x14ac:dyDescent="0.25">
      <c r="B5589" s="4">
        <v>584632116</v>
      </c>
      <c r="C5589" s="4" t="s">
        <v>268</v>
      </c>
      <c r="D5589" s="4">
        <v>184</v>
      </c>
      <c r="E5589" s="4">
        <v>5</v>
      </c>
      <c r="F5589">
        <v>81</v>
      </c>
      <c r="G5589">
        <f t="shared" si="87"/>
        <v>96</v>
      </c>
    </row>
    <row r="5590" spans="2:7" ht="15" hidden="1" x14ac:dyDescent="0.25">
      <c r="B5590" s="4">
        <v>584632116</v>
      </c>
      <c r="C5590" s="4" t="s">
        <v>268</v>
      </c>
      <c r="D5590" s="4">
        <v>184</v>
      </c>
      <c r="E5590" s="4">
        <v>5</v>
      </c>
      <c r="F5590">
        <v>6</v>
      </c>
      <c r="G5590">
        <f t="shared" si="87"/>
        <v>96</v>
      </c>
    </row>
    <row r="5591" spans="2:7" ht="15" hidden="1" x14ac:dyDescent="0.25">
      <c r="B5591" s="4">
        <v>584632116</v>
      </c>
      <c r="C5591" s="4" t="s">
        <v>268</v>
      </c>
      <c r="D5591" s="4">
        <v>185</v>
      </c>
      <c r="E5591" s="4">
        <v>7</v>
      </c>
      <c r="F5591">
        <v>6</v>
      </c>
      <c r="G5591">
        <f t="shared" si="87"/>
        <v>112</v>
      </c>
    </row>
    <row r="5592" spans="2:7" ht="15" hidden="1" x14ac:dyDescent="0.25">
      <c r="B5592" s="4">
        <v>584632116</v>
      </c>
      <c r="C5592" s="4" t="s">
        <v>268</v>
      </c>
      <c r="D5592" s="4">
        <v>185</v>
      </c>
      <c r="E5592" s="4">
        <v>7</v>
      </c>
      <c r="F5592">
        <v>5</v>
      </c>
      <c r="G5592">
        <f t="shared" si="87"/>
        <v>112</v>
      </c>
    </row>
    <row r="5593" spans="2:7" ht="15" hidden="1" x14ac:dyDescent="0.25">
      <c r="B5593" s="4">
        <v>584632116</v>
      </c>
      <c r="C5593" s="4" t="s">
        <v>269</v>
      </c>
      <c r="D5593" s="4">
        <v>387</v>
      </c>
      <c r="E5593" s="4">
        <v>57</v>
      </c>
      <c r="F5593">
        <v>5</v>
      </c>
      <c r="G5593">
        <f t="shared" si="87"/>
        <v>512</v>
      </c>
    </row>
    <row r="5594" spans="2:7" ht="15" hidden="1" x14ac:dyDescent="0.25">
      <c r="B5594" s="4">
        <v>584632117</v>
      </c>
      <c r="C5594" s="4" t="s">
        <v>269</v>
      </c>
      <c r="D5594" s="4">
        <v>388</v>
      </c>
      <c r="E5594" s="4">
        <v>57</v>
      </c>
      <c r="F5594">
        <v>5</v>
      </c>
      <c r="G5594">
        <f t="shared" si="87"/>
        <v>512</v>
      </c>
    </row>
    <row r="5595" spans="2:7" ht="15" hidden="1" x14ac:dyDescent="0.25">
      <c r="B5595" s="4">
        <v>584632118</v>
      </c>
      <c r="C5595" s="4" t="s">
        <v>269</v>
      </c>
      <c r="D5595" s="4">
        <v>389</v>
      </c>
      <c r="E5595" s="4">
        <v>57</v>
      </c>
      <c r="F5595">
        <v>5</v>
      </c>
      <c r="G5595">
        <f t="shared" si="87"/>
        <v>512</v>
      </c>
    </row>
    <row r="5596" spans="2:7" ht="15" hidden="1" x14ac:dyDescent="0.25">
      <c r="B5596" s="4">
        <v>584632118</v>
      </c>
      <c r="C5596" s="4" t="s">
        <v>272</v>
      </c>
      <c r="D5596" s="4">
        <v>27</v>
      </c>
      <c r="E5596" s="4">
        <v>225</v>
      </c>
      <c r="F5596">
        <v>5</v>
      </c>
      <c r="G5596">
        <f t="shared" si="87"/>
        <v>1856</v>
      </c>
    </row>
    <row r="5597" spans="2:7" ht="15" hidden="1" x14ac:dyDescent="0.25">
      <c r="B5597" s="4">
        <v>584632119</v>
      </c>
      <c r="C5597" s="4" t="s">
        <v>269</v>
      </c>
      <c r="D5597" s="4">
        <v>390</v>
      </c>
      <c r="E5597" s="4">
        <v>57</v>
      </c>
      <c r="F5597">
        <v>5</v>
      </c>
      <c r="G5597">
        <f t="shared" si="87"/>
        <v>512</v>
      </c>
    </row>
    <row r="5598" spans="2:7" ht="15" hidden="1" x14ac:dyDescent="0.25">
      <c r="B5598" s="4">
        <v>584632120</v>
      </c>
      <c r="C5598" s="4" t="s">
        <v>269</v>
      </c>
      <c r="D5598" s="4">
        <v>391</v>
      </c>
      <c r="E5598" s="4">
        <v>57</v>
      </c>
      <c r="F5598">
        <v>5</v>
      </c>
      <c r="G5598">
        <f t="shared" si="87"/>
        <v>512</v>
      </c>
    </row>
    <row r="5599" spans="2:7" ht="15" hidden="1" x14ac:dyDescent="0.25">
      <c r="B5599" s="4">
        <v>584632121</v>
      </c>
      <c r="C5599" s="4" t="s">
        <v>269</v>
      </c>
      <c r="D5599" s="4">
        <v>392</v>
      </c>
      <c r="E5599" s="4">
        <v>57</v>
      </c>
      <c r="F5599">
        <v>5</v>
      </c>
      <c r="G5599">
        <f t="shared" si="87"/>
        <v>512</v>
      </c>
    </row>
    <row r="5600" spans="2:7" ht="15" hidden="1" x14ac:dyDescent="0.25">
      <c r="B5600" s="4">
        <v>584632122</v>
      </c>
      <c r="C5600" s="4" t="s">
        <v>269</v>
      </c>
      <c r="D5600" s="4">
        <v>393</v>
      </c>
      <c r="E5600" s="4">
        <v>57</v>
      </c>
      <c r="F5600">
        <v>5</v>
      </c>
      <c r="G5600">
        <f t="shared" si="87"/>
        <v>512</v>
      </c>
    </row>
    <row r="5601" spans="2:7" ht="15" hidden="1" x14ac:dyDescent="0.25">
      <c r="B5601" s="4">
        <v>584632123</v>
      </c>
      <c r="C5601" s="4" t="s">
        <v>269</v>
      </c>
      <c r="D5601" s="4">
        <v>394</v>
      </c>
      <c r="E5601" s="4">
        <v>57</v>
      </c>
      <c r="F5601">
        <v>5</v>
      </c>
      <c r="G5601">
        <f t="shared" si="87"/>
        <v>512</v>
      </c>
    </row>
    <row r="5602" spans="2:7" ht="15" hidden="1" x14ac:dyDescent="0.25">
      <c r="B5602" s="4">
        <v>584632124</v>
      </c>
      <c r="C5602" s="4" t="s">
        <v>269</v>
      </c>
      <c r="D5602" s="4">
        <v>395</v>
      </c>
      <c r="E5602" s="4">
        <v>57</v>
      </c>
      <c r="F5602">
        <v>5</v>
      </c>
      <c r="G5602">
        <f t="shared" si="87"/>
        <v>512</v>
      </c>
    </row>
    <row r="5603" spans="2:7" ht="15" hidden="1" x14ac:dyDescent="0.25">
      <c r="B5603" s="4">
        <v>584632125</v>
      </c>
      <c r="C5603" s="4" t="s">
        <v>269</v>
      </c>
      <c r="D5603" s="4">
        <v>396</v>
      </c>
      <c r="E5603" s="4">
        <v>57</v>
      </c>
      <c r="F5603">
        <v>5</v>
      </c>
      <c r="G5603">
        <f t="shared" si="87"/>
        <v>512</v>
      </c>
    </row>
    <row r="5604" spans="2:7" ht="15" hidden="1" x14ac:dyDescent="0.25">
      <c r="B5604" s="4">
        <v>584632126</v>
      </c>
      <c r="C5604" s="4" t="s">
        <v>269</v>
      </c>
      <c r="D5604" s="4">
        <v>397</v>
      </c>
      <c r="E5604" s="4">
        <v>57</v>
      </c>
      <c r="F5604">
        <v>5</v>
      </c>
      <c r="G5604">
        <f t="shared" si="87"/>
        <v>512</v>
      </c>
    </row>
    <row r="5605" spans="2:7" ht="15" hidden="1" x14ac:dyDescent="0.25">
      <c r="B5605" s="4">
        <v>584632127</v>
      </c>
      <c r="C5605" s="4" t="s">
        <v>269</v>
      </c>
      <c r="D5605" s="4">
        <v>398</v>
      </c>
      <c r="E5605" s="4">
        <v>57</v>
      </c>
      <c r="F5605">
        <v>5</v>
      </c>
      <c r="G5605">
        <f t="shared" si="87"/>
        <v>512</v>
      </c>
    </row>
    <row r="5606" spans="2:7" ht="15" hidden="1" x14ac:dyDescent="0.25">
      <c r="B5606" s="4">
        <v>584632128</v>
      </c>
      <c r="C5606" s="4" t="s">
        <v>269</v>
      </c>
      <c r="D5606" s="4">
        <v>399</v>
      </c>
      <c r="E5606" s="4">
        <v>57</v>
      </c>
      <c r="F5606">
        <v>5</v>
      </c>
      <c r="G5606">
        <f t="shared" si="87"/>
        <v>512</v>
      </c>
    </row>
    <row r="5607" spans="2:7" ht="15" hidden="1" x14ac:dyDescent="0.25">
      <c r="B5607" s="4">
        <v>584632128</v>
      </c>
      <c r="C5607" s="4" t="s">
        <v>272</v>
      </c>
      <c r="D5607" s="4">
        <v>28</v>
      </c>
      <c r="E5607" s="4">
        <v>225</v>
      </c>
      <c r="F5607">
        <v>5</v>
      </c>
      <c r="G5607">
        <f t="shared" si="87"/>
        <v>1856</v>
      </c>
    </row>
    <row r="5608" spans="2:7" ht="15" hidden="1" x14ac:dyDescent="0.25">
      <c r="B5608" s="4">
        <v>584632129</v>
      </c>
      <c r="C5608" s="4" t="s">
        <v>269</v>
      </c>
      <c r="D5608" s="4">
        <v>400</v>
      </c>
      <c r="E5608" s="4">
        <v>57</v>
      </c>
      <c r="F5608">
        <v>5</v>
      </c>
      <c r="G5608">
        <f t="shared" si="87"/>
        <v>512</v>
      </c>
    </row>
    <row r="5609" spans="2:7" ht="15" hidden="1" x14ac:dyDescent="0.25">
      <c r="B5609" s="4">
        <v>584632130</v>
      </c>
      <c r="C5609" s="4" t="s">
        <v>269</v>
      </c>
      <c r="D5609" s="4">
        <v>401</v>
      </c>
      <c r="E5609" s="4">
        <v>57</v>
      </c>
      <c r="F5609">
        <v>5</v>
      </c>
      <c r="G5609">
        <f t="shared" si="87"/>
        <v>512</v>
      </c>
    </row>
    <row r="5610" spans="2:7" ht="15" hidden="1" x14ac:dyDescent="0.25">
      <c r="B5610" s="4">
        <v>584632131</v>
      </c>
      <c r="C5610" s="4" t="s">
        <v>269</v>
      </c>
      <c r="D5610" s="4">
        <v>402</v>
      </c>
      <c r="E5610" s="4">
        <v>57</v>
      </c>
      <c r="F5610">
        <v>5</v>
      </c>
      <c r="G5610">
        <f t="shared" si="87"/>
        <v>512</v>
      </c>
    </row>
    <row r="5611" spans="2:7" ht="15" hidden="1" x14ac:dyDescent="0.25">
      <c r="B5611" s="4">
        <v>584632132</v>
      </c>
      <c r="C5611" s="4" t="s">
        <v>269</v>
      </c>
      <c r="D5611" s="4">
        <v>403</v>
      </c>
      <c r="E5611" s="4">
        <v>57</v>
      </c>
      <c r="F5611">
        <v>5</v>
      </c>
      <c r="G5611">
        <f t="shared" si="87"/>
        <v>512</v>
      </c>
    </row>
    <row r="5612" spans="2:7" ht="15" hidden="1" x14ac:dyDescent="0.25">
      <c r="B5612" s="4">
        <v>584632133</v>
      </c>
      <c r="C5612" s="4" t="s">
        <v>269</v>
      </c>
      <c r="D5612" s="4">
        <v>404</v>
      </c>
      <c r="E5612" s="4">
        <v>57</v>
      </c>
      <c r="F5612">
        <v>5</v>
      </c>
      <c r="G5612">
        <f t="shared" si="87"/>
        <v>512</v>
      </c>
    </row>
    <row r="5613" spans="2:7" ht="15" hidden="1" x14ac:dyDescent="0.25">
      <c r="B5613" s="4">
        <v>584632134</v>
      </c>
      <c r="C5613" s="4" t="s">
        <v>269</v>
      </c>
      <c r="D5613" s="4">
        <v>405</v>
      </c>
      <c r="E5613" s="4">
        <v>57</v>
      </c>
      <c r="F5613">
        <v>5</v>
      </c>
      <c r="G5613">
        <f t="shared" si="87"/>
        <v>512</v>
      </c>
    </row>
    <row r="5614" spans="2:7" ht="15" hidden="1" x14ac:dyDescent="0.25">
      <c r="B5614" s="4">
        <v>584632135</v>
      </c>
      <c r="C5614" s="4" t="s">
        <v>269</v>
      </c>
      <c r="D5614" s="4">
        <v>406</v>
      </c>
      <c r="E5614" s="4">
        <v>57</v>
      </c>
      <c r="F5614">
        <v>5</v>
      </c>
      <c r="G5614">
        <f t="shared" si="87"/>
        <v>512</v>
      </c>
    </row>
    <row r="5615" spans="2:7" ht="15" hidden="1" x14ac:dyDescent="0.25">
      <c r="B5615" s="4">
        <v>584632136</v>
      </c>
      <c r="C5615" s="4" t="s">
        <v>269</v>
      </c>
      <c r="D5615" s="4">
        <v>407</v>
      </c>
      <c r="E5615" s="4">
        <v>57</v>
      </c>
      <c r="F5615">
        <v>5</v>
      </c>
      <c r="G5615">
        <f t="shared" si="87"/>
        <v>512</v>
      </c>
    </row>
    <row r="5616" spans="2:7" ht="15" hidden="1" x14ac:dyDescent="0.25">
      <c r="B5616" s="4">
        <v>584632137</v>
      </c>
      <c r="C5616" s="4" t="s">
        <v>269</v>
      </c>
      <c r="D5616" s="4">
        <v>408</v>
      </c>
      <c r="E5616" s="4">
        <v>57</v>
      </c>
      <c r="F5616">
        <v>5</v>
      </c>
      <c r="G5616">
        <f t="shared" si="87"/>
        <v>512</v>
      </c>
    </row>
    <row r="5617" spans="2:7" ht="15" hidden="1" x14ac:dyDescent="0.25">
      <c r="B5617" s="4">
        <v>584632138</v>
      </c>
      <c r="C5617" s="4" t="s">
        <v>269</v>
      </c>
      <c r="D5617" s="4">
        <v>409</v>
      </c>
      <c r="E5617" s="4">
        <v>57</v>
      </c>
      <c r="F5617">
        <v>5</v>
      </c>
      <c r="G5617">
        <f t="shared" si="87"/>
        <v>512</v>
      </c>
    </row>
    <row r="5618" spans="2:7" ht="15" hidden="1" x14ac:dyDescent="0.25">
      <c r="B5618" s="4">
        <v>584632138</v>
      </c>
      <c r="C5618" s="4" t="s">
        <v>272</v>
      </c>
      <c r="D5618" s="4">
        <v>29</v>
      </c>
      <c r="E5618" s="4">
        <v>225</v>
      </c>
      <c r="F5618">
        <v>5</v>
      </c>
      <c r="G5618">
        <f t="shared" si="87"/>
        <v>1856</v>
      </c>
    </row>
    <row r="5619" spans="2:7" ht="15" hidden="1" x14ac:dyDescent="0.25">
      <c r="B5619" s="4">
        <v>584632139</v>
      </c>
      <c r="C5619" s="4" t="s">
        <v>269</v>
      </c>
      <c r="D5619" s="4">
        <v>410</v>
      </c>
      <c r="E5619" s="4">
        <v>57</v>
      </c>
      <c r="F5619">
        <v>5</v>
      </c>
      <c r="G5619">
        <f t="shared" si="87"/>
        <v>512</v>
      </c>
    </row>
    <row r="5620" spans="2:7" ht="15" hidden="1" x14ac:dyDescent="0.25">
      <c r="B5620" s="4">
        <v>584632140</v>
      </c>
      <c r="C5620" s="4" t="s">
        <v>269</v>
      </c>
      <c r="D5620" s="4">
        <v>411</v>
      </c>
      <c r="E5620" s="4">
        <v>57</v>
      </c>
      <c r="F5620">
        <v>5</v>
      </c>
      <c r="G5620">
        <f t="shared" si="87"/>
        <v>512</v>
      </c>
    </row>
    <row r="5621" spans="2:7" ht="15" hidden="1" x14ac:dyDescent="0.25">
      <c r="B5621" s="4">
        <v>584632141</v>
      </c>
      <c r="C5621" s="4" t="s">
        <v>269</v>
      </c>
      <c r="D5621" s="4">
        <v>412</v>
      </c>
      <c r="E5621" s="4">
        <v>57</v>
      </c>
      <c r="F5621">
        <v>5</v>
      </c>
      <c r="G5621">
        <f t="shared" si="87"/>
        <v>512</v>
      </c>
    </row>
    <row r="5622" spans="2:7" ht="15" hidden="1" x14ac:dyDescent="0.25">
      <c r="B5622" s="4">
        <v>584632142</v>
      </c>
      <c r="C5622" s="4" t="s">
        <v>269</v>
      </c>
      <c r="D5622" s="4">
        <v>413</v>
      </c>
      <c r="E5622" s="4">
        <v>57</v>
      </c>
      <c r="F5622">
        <v>5</v>
      </c>
      <c r="G5622">
        <f t="shared" si="87"/>
        <v>512</v>
      </c>
    </row>
    <row r="5623" spans="2:7" ht="15" hidden="1" x14ac:dyDescent="0.25">
      <c r="B5623" s="4">
        <v>584632143</v>
      </c>
      <c r="C5623" s="4" t="s">
        <v>269</v>
      </c>
      <c r="D5623" s="4">
        <v>414</v>
      </c>
      <c r="E5623" s="4">
        <v>57</v>
      </c>
      <c r="F5623">
        <v>5</v>
      </c>
      <c r="G5623">
        <f t="shared" si="87"/>
        <v>512</v>
      </c>
    </row>
    <row r="5624" spans="2:7" ht="15" hidden="1" x14ac:dyDescent="0.25">
      <c r="B5624" s="4">
        <v>584632144</v>
      </c>
      <c r="C5624" s="4" t="s">
        <v>269</v>
      </c>
      <c r="D5624" s="4">
        <v>415</v>
      </c>
      <c r="E5624" s="4">
        <v>57</v>
      </c>
      <c r="F5624">
        <v>5</v>
      </c>
      <c r="G5624">
        <f t="shared" si="87"/>
        <v>512</v>
      </c>
    </row>
    <row r="5625" spans="2:7" ht="15" hidden="1" x14ac:dyDescent="0.25">
      <c r="B5625" s="4">
        <v>584632145</v>
      </c>
      <c r="C5625" s="4" t="s">
        <v>269</v>
      </c>
      <c r="D5625" s="4">
        <v>416</v>
      </c>
      <c r="E5625" s="4">
        <v>57</v>
      </c>
      <c r="F5625">
        <v>5</v>
      </c>
      <c r="G5625">
        <f t="shared" si="87"/>
        <v>512</v>
      </c>
    </row>
    <row r="5626" spans="2:7" ht="15" hidden="1" x14ac:dyDescent="0.25">
      <c r="B5626" s="4">
        <v>584632146</v>
      </c>
      <c r="C5626" s="4" t="s">
        <v>269</v>
      </c>
      <c r="D5626" s="4">
        <v>417</v>
      </c>
      <c r="E5626" s="4">
        <v>57</v>
      </c>
      <c r="F5626">
        <v>5</v>
      </c>
      <c r="G5626">
        <f t="shared" si="87"/>
        <v>512</v>
      </c>
    </row>
    <row r="5627" spans="2:7" ht="15" hidden="1" x14ac:dyDescent="0.25">
      <c r="B5627" s="4">
        <v>584632147</v>
      </c>
      <c r="C5627" s="4" t="s">
        <v>269</v>
      </c>
      <c r="D5627" s="4">
        <v>418</v>
      </c>
      <c r="E5627" s="4">
        <v>57</v>
      </c>
      <c r="F5627">
        <v>5</v>
      </c>
      <c r="G5627">
        <f t="shared" si="87"/>
        <v>512</v>
      </c>
    </row>
    <row r="5628" spans="2:7" ht="15" hidden="1" x14ac:dyDescent="0.25">
      <c r="B5628" s="4">
        <v>584632148</v>
      </c>
      <c r="C5628" s="4" t="s">
        <v>269</v>
      </c>
      <c r="D5628" s="4">
        <v>419</v>
      </c>
      <c r="E5628" s="4">
        <v>57</v>
      </c>
      <c r="F5628">
        <v>5</v>
      </c>
      <c r="G5628">
        <f t="shared" si="87"/>
        <v>512</v>
      </c>
    </row>
    <row r="5629" spans="2:7" ht="15" x14ac:dyDescent="0.25">
      <c r="B5629" s="4">
        <v>584632148</v>
      </c>
      <c r="C5629" s="4" t="s">
        <v>270</v>
      </c>
      <c r="D5629" s="4">
        <v>1</v>
      </c>
      <c r="E5629" s="4">
        <v>1100</v>
      </c>
      <c r="F5629">
        <v>5</v>
      </c>
      <c r="G5629">
        <f t="shared" si="87"/>
        <v>8856</v>
      </c>
    </row>
    <row r="5630" spans="2:7" ht="15" x14ac:dyDescent="0.25">
      <c r="B5630" s="4">
        <v>584632148</v>
      </c>
      <c r="C5630" s="4" t="s">
        <v>271</v>
      </c>
      <c r="D5630" s="4">
        <v>1</v>
      </c>
      <c r="E5630" s="4">
        <v>1100</v>
      </c>
      <c r="F5630">
        <v>5</v>
      </c>
      <c r="G5630">
        <f t="shared" si="87"/>
        <v>8856</v>
      </c>
    </row>
    <row r="5631" spans="2:7" ht="15" hidden="1" x14ac:dyDescent="0.25">
      <c r="B5631" s="4">
        <v>584632149</v>
      </c>
      <c r="C5631" s="4" t="s">
        <v>269</v>
      </c>
      <c r="D5631" s="4">
        <v>420</v>
      </c>
      <c r="E5631" s="4">
        <v>57</v>
      </c>
      <c r="F5631">
        <v>5</v>
      </c>
      <c r="G5631">
        <f t="shared" si="87"/>
        <v>512</v>
      </c>
    </row>
    <row r="5632" spans="2:7" ht="15" hidden="1" x14ac:dyDescent="0.25">
      <c r="B5632" s="4">
        <v>584632149</v>
      </c>
      <c r="C5632" s="4" t="s">
        <v>272</v>
      </c>
      <c r="D5632" s="4">
        <v>30</v>
      </c>
      <c r="E5632" s="4">
        <v>225</v>
      </c>
      <c r="F5632">
        <v>5</v>
      </c>
      <c r="G5632">
        <f t="shared" si="87"/>
        <v>1856</v>
      </c>
    </row>
    <row r="5633" spans="2:7" ht="15" hidden="1" x14ac:dyDescent="0.25">
      <c r="B5633" s="4">
        <v>584632150</v>
      </c>
      <c r="C5633" s="4" t="s">
        <v>269</v>
      </c>
      <c r="D5633" s="4">
        <v>421</v>
      </c>
      <c r="E5633" s="4">
        <v>57</v>
      </c>
      <c r="F5633">
        <v>5</v>
      </c>
      <c r="G5633">
        <f t="shared" si="87"/>
        <v>512</v>
      </c>
    </row>
    <row r="5634" spans="2:7" ht="15" hidden="1" x14ac:dyDescent="0.25">
      <c r="B5634" s="4">
        <v>584632151</v>
      </c>
      <c r="C5634" s="4" t="s">
        <v>269</v>
      </c>
      <c r="D5634" s="4">
        <v>422</v>
      </c>
      <c r="E5634" s="4">
        <v>57</v>
      </c>
      <c r="F5634">
        <v>5</v>
      </c>
      <c r="G5634">
        <f t="shared" si="87"/>
        <v>512</v>
      </c>
    </row>
    <row r="5635" spans="2:7" ht="15" hidden="1" x14ac:dyDescent="0.25">
      <c r="B5635" s="4">
        <v>584632152</v>
      </c>
      <c r="C5635" s="4" t="s">
        <v>269</v>
      </c>
      <c r="D5635" s="4">
        <v>423</v>
      </c>
      <c r="E5635" s="4">
        <v>57</v>
      </c>
      <c r="F5635">
        <v>5</v>
      </c>
      <c r="G5635">
        <f t="shared" si="87"/>
        <v>512</v>
      </c>
    </row>
    <row r="5636" spans="2:7" ht="15" hidden="1" x14ac:dyDescent="0.25">
      <c r="B5636" s="4">
        <v>584632153</v>
      </c>
      <c r="C5636" s="4" t="s">
        <v>269</v>
      </c>
      <c r="D5636" s="4">
        <v>424</v>
      </c>
      <c r="E5636" s="4">
        <v>57</v>
      </c>
      <c r="F5636">
        <v>5</v>
      </c>
      <c r="G5636">
        <f t="shared" ref="G5636:G5699" si="88">(E5636+7)*8</f>
        <v>512</v>
      </c>
    </row>
    <row r="5637" spans="2:7" ht="15" hidden="1" x14ac:dyDescent="0.25">
      <c r="B5637" s="4">
        <v>584632154</v>
      </c>
      <c r="C5637" s="4" t="s">
        <v>269</v>
      </c>
      <c r="D5637" s="4">
        <v>425</v>
      </c>
      <c r="E5637" s="4">
        <v>57</v>
      </c>
      <c r="F5637">
        <v>5</v>
      </c>
      <c r="G5637">
        <f t="shared" si="88"/>
        <v>512</v>
      </c>
    </row>
    <row r="5638" spans="2:7" ht="15" hidden="1" x14ac:dyDescent="0.25">
      <c r="B5638" s="4">
        <v>584632155</v>
      </c>
      <c r="C5638" s="4" t="s">
        <v>269</v>
      </c>
      <c r="D5638" s="4">
        <v>426</v>
      </c>
      <c r="E5638" s="4">
        <v>57</v>
      </c>
      <c r="F5638">
        <v>5</v>
      </c>
      <c r="G5638">
        <f t="shared" si="88"/>
        <v>512</v>
      </c>
    </row>
    <row r="5639" spans="2:7" ht="15" hidden="1" x14ac:dyDescent="0.25">
      <c r="B5639" s="4">
        <v>584632156</v>
      </c>
      <c r="C5639" s="4" t="s">
        <v>269</v>
      </c>
      <c r="D5639" s="4">
        <v>427</v>
      </c>
      <c r="E5639" s="4">
        <v>57</v>
      </c>
      <c r="F5639">
        <v>5</v>
      </c>
      <c r="G5639">
        <f t="shared" si="88"/>
        <v>512</v>
      </c>
    </row>
    <row r="5640" spans="2:7" ht="15" hidden="1" x14ac:dyDescent="0.25">
      <c r="B5640" s="4">
        <v>584632157</v>
      </c>
      <c r="C5640" s="4" t="s">
        <v>269</v>
      </c>
      <c r="D5640" s="4">
        <v>428</v>
      </c>
      <c r="E5640" s="4">
        <v>57</v>
      </c>
      <c r="F5640">
        <v>5</v>
      </c>
      <c r="G5640">
        <f t="shared" si="88"/>
        <v>512</v>
      </c>
    </row>
    <row r="5641" spans="2:7" ht="15" hidden="1" x14ac:dyDescent="0.25">
      <c r="B5641" s="4">
        <v>584632158</v>
      </c>
      <c r="C5641" s="4" t="s">
        <v>269</v>
      </c>
      <c r="D5641" s="4">
        <v>429</v>
      </c>
      <c r="E5641" s="4">
        <v>57</v>
      </c>
      <c r="F5641">
        <v>5</v>
      </c>
      <c r="G5641">
        <f t="shared" si="88"/>
        <v>512</v>
      </c>
    </row>
    <row r="5642" spans="2:7" ht="15" hidden="1" x14ac:dyDescent="0.25">
      <c r="B5642" s="4">
        <v>584632158</v>
      </c>
      <c r="C5642" s="4" t="s">
        <v>272</v>
      </c>
      <c r="D5642" s="4">
        <v>31</v>
      </c>
      <c r="E5642" s="4">
        <v>225</v>
      </c>
      <c r="F5642">
        <v>5</v>
      </c>
      <c r="G5642">
        <f t="shared" si="88"/>
        <v>1856</v>
      </c>
    </row>
    <row r="5643" spans="2:7" ht="15" hidden="1" x14ac:dyDescent="0.25">
      <c r="B5643" s="4">
        <v>584632159</v>
      </c>
      <c r="C5643" s="4" t="s">
        <v>269</v>
      </c>
      <c r="D5643" s="4">
        <v>430</v>
      </c>
      <c r="E5643" s="4">
        <v>57</v>
      </c>
      <c r="F5643">
        <v>5</v>
      </c>
      <c r="G5643">
        <f t="shared" si="88"/>
        <v>512</v>
      </c>
    </row>
    <row r="5644" spans="2:7" ht="15" hidden="1" x14ac:dyDescent="0.25">
      <c r="B5644" s="4">
        <v>584632160</v>
      </c>
      <c r="C5644" s="4" t="s">
        <v>269</v>
      </c>
      <c r="D5644" s="4">
        <v>431</v>
      </c>
      <c r="E5644" s="4">
        <v>57</v>
      </c>
      <c r="F5644">
        <v>5</v>
      </c>
      <c r="G5644">
        <f t="shared" si="88"/>
        <v>512</v>
      </c>
    </row>
    <row r="5645" spans="2:7" ht="15" hidden="1" x14ac:dyDescent="0.25">
      <c r="B5645" s="4">
        <v>584632161</v>
      </c>
      <c r="C5645" s="4" t="s">
        <v>269</v>
      </c>
      <c r="D5645" s="4">
        <v>432</v>
      </c>
      <c r="E5645" s="4">
        <v>57</v>
      </c>
      <c r="F5645">
        <v>5</v>
      </c>
      <c r="G5645">
        <f t="shared" si="88"/>
        <v>512</v>
      </c>
    </row>
    <row r="5646" spans="2:7" ht="15" hidden="1" x14ac:dyDescent="0.25">
      <c r="B5646" s="4">
        <v>584632162</v>
      </c>
      <c r="C5646" s="4" t="s">
        <v>269</v>
      </c>
      <c r="D5646" s="4">
        <v>433</v>
      </c>
      <c r="E5646" s="4">
        <v>57</v>
      </c>
      <c r="F5646">
        <v>5</v>
      </c>
      <c r="G5646">
        <f t="shared" si="88"/>
        <v>512</v>
      </c>
    </row>
    <row r="5647" spans="2:7" ht="15" hidden="1" x14ac:dyDescent="0.25">
      <c r="B5647" s="4">
        <v>584632163</v>
      </c>
      <c r="C5647" s="4" t="s">
        <v>269</v>
      </c>
      <c r="D5647" s="4">
        <v>434</v>
      </c>
      <c r="E5647" s="4">
        <v>57</v>
      </c>
      <c r="F5647">
        <v>5</v>
      </c>
      <c r="G5647">
        <f t="shared" si="88"/>
        <v>512</v>
      </c>
    </row>
    <row r="5648" spans="2:7" ht="15" hidden="1" x14ac:dyDescent="0.25">
      <c r="B5648" s="4">
        <v>584632164</v>
      </c>
      <c r="C5648" s="4" t="s">
        <v>269</v>
      </c>
      <c r="D5648" s="4">
        <v>435</v>
      </c>
      <c r="E5648" s="4">
        <v>57</v>
      </c>
      <c r="F5648">
        <v>5</v>
      </c>
      <c r="G5648">
        <f t="shared" si="88"/>
        <v>512</v>
      </c>
    </row>
    <row r="5649" spans="2:7" ht="15" hidden="1" x14ac:dyDescent="0.25">
      <c r="B5649" s="4">
        <v>584632165</v>
      </c>
      <c r="C5649" s="4" t="s">
        <v>269</v>
      </c>
      <c r="D5649" s="4">
        <v>436</v>
      </c>
      <c r="E5649" s="4">
        <v>57</v>
      </c>
      <c r="F5649">
        <v>5</v>
      </c>
      <c r="G5649">
        <f t="shared" si="88"/>
        <v>512</v>
      </c>
    </row>
    <row r="5650" spans="2:7" ht="15" hidden="1" x14ac:dyDescent="0.25">
      <c r="B5650" s="4">
        <v>584632166</v>
      </c>
      <c r="C5650" s="4" t="s">
        <v>269</v>
      </c>
      <c r="D5650" s="4">
        <v>437</v>
      </c>
      <c r="E5650" s="4">
        <v>57</v>
      </c>
      <c r="F5650">
        <v>5</v>
      </c>
      <c r="G5650">
        <f t="shared" si="88"/>
        <v>512</v>
      </c>
    </row>
    <row r="5651" spans="2:7" ht="15" hidden="1" x14ac:dyDescent="0.25">
      <c r="B5651" s="4">
        <v>584632167</v>
      </c>
      <c r="C5651" s="4" t="s">
        <v>269</v>
      </c>
      <c r="D5651" s="4">
        <v>438</v>
      </c>
      <c r="E5651" s="4">
        <v>57</v>
      </c>
      <c r="F5651">
        <v>5</v>
      </c>
      <c r="G5651">
        <f t="shared" si="88"/>
        <v>512</v>
      </c>
    </row>
    <row r="5652" spans="2:7" ht="15" hidden="1" x14ac:dyDescent="0.25">
      <c r="B5652" s="4">
        <v>584632168</v>
      </c>
      <c r="C5652" s="4" t="s">
        <v>269</v>
      </c>
      <c r="D5652" s="4">
        <v>439</v>
      </c>
      <c r="E5652" s="4">
        <v>57</v>
      </c>
      <c r="F5652">
        <v>5</v>
      </c>
      <c r="G5652">
        <f t="shared" si="88"/>
        <v>512</v>
      </c>
    </row>
    <row r="5653" spans="2:7" ht="15" hidden="1" x14ac:dyDescent="0.25">
      <c r="B5653" s="4">
        <v>584632168</v>
      </c>
      <c r="C5653" s="4" t="s">
        <v>272</v>
      </c>
      <c r="D5653" s="4">
        <v>32</v>
      </c>
      <c r="E5653" s="4">
        <v>225</v>
      </c>
      <c r="F5653">
        <v>5</v>
      </c>
      <c r="G5653">
        <f t="shared" si="88"/>
        <v>1856</v>
      </c>
    </row>
    <row r="5654" spans="2:7" ht="15" hidden="1" x14ac:dyDescent="0.25">
      <c r="B5654" s="4">
        <v>584632169</v>
      </c>
      <c r="C5654" s="4" t="s">
        <v>269</v>
      </c>
      <c r="D5654" s="4">
        <v>440</v>
      </c>
      <c r="E5654" s="4">
        <v>57</v>
      </c>
      <c r="F5654">
        <v>5</v>
      </c>
      <c r="G5654">
        <f t="shared" si="88"/>
        <v>512</v>
      </c>
    </row>
    <row r="5655" spans="2:7" ht="15" hidden="1" x14ac:dyDescent="0.25">
      <c r="B5655" s="4">
        <v>584632170</v>
      </c>
      <c r="C5655" s="4" t="s">
        <v>269</v>
      </c>
      <c r="D5655" s="4">
        <v>441</v>
      </c>
      <c r="E5655" s="4">
        <v>57</v>
      </c>
      <c r="F5655">
        <v>5</v>
      </c>
      <c r="G5655">
        <f t="shared" si="88"/>
        <v>512</v>
      </c>
    </row>
    <row r="5656" spans="2:7" ht="15" hidden="1" x14ac:dyDescent="0.25">
      <c r="B5656" s="4">
        <v>584632171</v>
      </c>
      <c r="C5656" s="4" t="s">
        <v>269</v>
      </c>
      <c r="D5656" s="4">
        <v>442</v>
      </c>
      <c r="E5656" s="4">
        <v>57</v>
      </c>
      <c r="F5656">
        <v>5</v>
      </c>
      <c r="G5656">
        <f t="shared" si="88"/>
        <v>512</v>
      </c>
    </row>
    <row r="5657" spans="2:7" ht="15" hidden="1" x14ac:dyDescent="0.25">
      <c r="B5657" s="4">
        <v>584632172</v>
      </c>
      <c r="C5657" s="4" t="s">
        <v>269</v>
      </c>
      <c r="D5657" s="4">
        <v>443</v>
      </c>
      <c r="E5657" s="4">
        <v>57</v>
      </c>
      <c r="F5657">
        <v>5</v>
      </c>
      <c r="G5657">
        <f t="shared" si="88"/>
        <v>512</v>
      </c>
    </row>
    <row r="5658" spans="2:7" ht="15" hidden="1" x14ac:dyDescent="0.25">
      <c r="B5658" s="4">
        <v>584632173</v>
      </c>
      <c r="C5658" s="4" t="s">
        <v>269</v>
      </c>
      <c r="D5658" s="4">
        <v>444</v>
      </c>
      <c r="E5658" s="4">
        <v>57</v>
      </c>
      <c r="F5658">
        <v>5</v>
      </c>
      <c r="G5658">
        <f t="shared" si="88"/>
        <v>512</v>
      </c>
    </row>
    <row r="5659" spans="2:7" ht="15" hidden="1" x14ac:dyDescent="0.25">
      <c r="B5659" s="4">
        <v>584632174</v>
      </c>
      <c r="C5659" s="4" t="s">
        <v>269</v>
      </c>
      <c r="D5659" s="4">
        <v>445</v>
      </c>
      <c r="E5659" s="4">
        <v>57</v>
      </c>
      <c r="F5659">
        <v>5</v>
      </c>
      <c r="G5659">
        <f t="shared" si="88"/>
        <v>512</v>
      </c>
    </row>
    <row r="5660" spans="2:7" ht="15" hidden="1" x14ac:dyDescent="0.25">
      <c r="B5660" s="4">
        <v>584632175</v>
      </c>
      <c r="C5660" s="4" t="s">
        <v>269</v>
      </c>
      <c r="D5660" s="4">
        <v>446</v>
      </c>
      <c r="E5660" s="4">
        <v>57</v>
      </c>
      <c r="F5660">
        <v>5</v>
      </c>
      <c r="G5660">
        <f t="shared" si="88"/>
        <v>512</v>
      </c>
    </row>
    <row r="5661" spans="2:7" ht="15" hidden="1" x14ac:dyDescent="0.25">
      <c r="B5661" s="4">
        <v>584632176</v>
      </c>
      <c r="C5661" s="4" t="s">
        <v>268</v>
      </c>
      <c r="D5661" s="4">
        <v>186</v>
      </c>
      <c r="E5661" s="4">
        <v>6</v>
      </c>
      <c r="F5661">
        <v>5</v>
      </c>
      <c r="G5661">
        <f t="shared" si="88"/>
        <v>104</v>
      </c>
    </row>
    <row r="5662" spans="2:7" ht="15" hidden="1" x14ac:dyDescent="0.25">
      <c r="B5662" s="4">
        <v>584632176</v>
      </c>
      <c r="C5662" s="4" t="s">
        <v>268</v>
      </c>
      <c r="D5662" s="4">
        <v>186</v>
      </c>
      <c r="E5662" s="4">
        <v>6</v>
      </c>
      <c r="F5662">
        <v>11</v>
      </c>
      <c r="G5662">
        <f t="shared" si="88"/>
        <v>104</v>
      </c>
    </row>
    <row r="5663" spans="2:7" ht="15" hidden="1" x14ac:dyDescent="0.25">
      <c r="B5663" s="4">
        <v>584632176</v>
      </c>
      <c r="C5663" s="4" t="s">
        <v>268</v>
      </c>
      <c r="D5663" s="4">
        <v>187</v>
      </c>
      <c r="E5663" s="4">
        <v>9</v>
      </c>
      <c r="F5663">
        <v>11</v>
      </c>
      <c r="G5663">
        <f t="shared" si="88"/>
        <v>128</v>
      </c>
    </row>
    <row r="5664" spans="2:7" ht="15" hidden="1" x14ac:dyDescent="0.25">
      <c r="B5664" s="4">
        <v>584632176</v>
      </c>
      <c r="C5664" s="4" t="s">
        <v>268</v>
      </c>
      <c r="D5664" s="4">
        <v>187</v>
      </c>
      <c r="E5664" s="4">
        <v>9</v>
      </c>
      <c r="F5664">
        <v>195</v>
      </c>
      <c r="G5664">
        <f t="shared" si="88"/>
        <v>128</v>
      </c>
    </row>
    <row r="5665" spans="2:7" ht="15" hidden="1" x14ac:dyDescent="0.25">
      <c r="B5665" s="4">
        <v>584632176</v>
      </c>
      <c r="C5665" s="4" t="s">
        <v>268</v>
      </c>
      <c r="D5665" s="4">
        <v>188</v>
      </c>
      <c r="E5665" s="4">
        <v>7</v>
      </c>
      <c r="F5665">
        <v>195</v>
      </c>
      <c r="G5665">
        <f t="shared" si="88"/>
        <v>112</v>
      </c>
    </row>
    <row r="5666" spans="2:7" ht="15" hidden="1" x14ac:dyDescent="0.25">
      <c r="B5666" s="4">
        <v>584632176</v>
      </c>
      <c r="C5666" s="4" t="s">
        <v>268</v>
      </c>
      <c r="D5666" s="4">
        <v>188</v>
      </c>
      <c r="E5666" s="4">
        <v>7</v>
      </c>
      <c r="F5666">
        <v>81</v>
      </c>
      <c r="G5666">
        <f t="shared" si="88"/>
        <v>112</v>
      </c>
    </row>
    <row r="5667" spans="2:7" ht="15" hidden="1" x14ac:dyDescent="0.25">
      <c r="B5667" s="4">
        <v>584632176</v>
      </c>
      <c r="C5667" s="4" t="s">
        <v>268</v>
      </c>
      <c r="D5667" s="4">
        <v>189</v>
      </c>
      <c r="E5667" s="4">
        <v>7</v>
      </c>
      <c r="F5667">
        <v>81</v>
      </c>
      <c r="G5667">
        <f t="shared" si="88"/>
        <v>112</v>
      </c>
    </row>
    <row r="5668" spans="2:7" ht="15" hidden="1" x14ac:dyDescent="0.25">
      <c r="B5668" s="4">
        <v>584632176</v>
      </c>
      <c r="C5668" s="4" t="s">
        <v>268</v>
      </c>
      <c r="D5668" s="4">
        <v>189</v>
      </c>
      <c r="E5668" s="4">
        <v>7</v>
      </c>
      <c r="F5668">
        <v>79</v>
      </c>
      <c r="G5668">
        <f t="shared" si="88"/>
        <v>112</v>
      </c>
    </row>
    <row r="5669" spans="2:7" ht="15" hidden="1" x14ac:dyDescent="0.25">
      <c r="B5669" s="4">
        <v>584632176</v>
      </c>
      <c r="C5669" s="4" t="s">
        <v>268</v>
      </c>
      <c r="D5669" s="4">
        <v>190</v>
      </c>
      <c r="E5669" s="4">
        <v>7</v>
      </c>
      <c r="F5669">
        <v>79</v>
      </c>
      <c r="G5669">
        <f t="shared" si="88"/>
        <v>112</v>
      </c>
    </row>
    <row r="5670" spans="2:7" ht="15" hidden="1" x14ac:dyDescent="0.25">
      <c r="B5670" s="4">
        <v>584632176</v>
      </c>
      <c r="C5670" s="4" t="s">
        <v>268</v>
      </c>
      <c r="D5670" s="4">
        <v>190</v>
      </c>
      <c r="E5670" s="4">
        <v>7</v>
      </c>
      <c r="F5670">
        <v>5</v>
      </c>
      <c r="G5670">
        <f t="shared" si="88"/>
        <v>112</v>
      </c>
    </row>
    <row r="5671" spans="2:7" ht="15" hidden="1" x14ac:dyDescent="0.25">
      <c r="B5671" s="4">
        <v>584632176</v>
      </c>
      <c r="C5671" s="4" t="s">
        <v>269</v>
      </c>
      <c r="D5671" s="4">
        <v>447</v>
      </c>
      <c r="E5671" s="4">
        <v>57</v>
      </c>
      <c r="F5671">
        <v>5</v>
      </c>
      <c r="G5671">
        <f t="shared" si="88"/>
        <v>512</v>
      </c>
    </row>
    <row r="5672" spans="2:7" ht="15" hidden="1" x14ac:dyDescent="0.25">
      <c r="B5672" s="4">
        <v>584632177</v>
      </c>
      <c r="C5672" s="4" t="s">
        <v>269</v>
      </c>
      <c r="D5672" s="4">
        <v>448</v>
      </c>
      <c r="E5672" s="4">
        <v>57</v>
      </c>
      <c r="F5672">
        <v>5</v>
      </c>
      <c r="G5672">
        <f t="shared" si="88"/>
        <v>512</v>
      </c>
    </row>
    <row r="5673" spans="2:7" ht="15" hidden="1" x14ac:dyDescent="0.25">
      <c r="B5673" s="4">
        <v>584632178</v>
      </c>
      <c r="C5673" s="4" t="s">
        <v>268</v>
      </c>
      <c r="D5673" s="4">
        <v>191</v>
      </c>
      <c r="E5673" s="4">
        <v>7</v>
      </c>
      <c r="F5673">
        <v>5</v>
      </c>
      <c r="G5673">
        <f t="shared" si="88"/>
        <v>112</v>
      </c>
    </row>
    <row r="5674" spans="2:7" ht="15" hidden="1" x14ac:dyDescent="0.25">
      <c r="B5674" s="4">
        <v>584632178</v>
      </c>
      <c r="C5674" s="4" t="s">
        <v>268</v>
      </c>
      <c r="D5674" s="4">
        <v>191</v>
      </c>
      <c r="E5674" s="4">
        <v>7</v>
      </c>
      <c r="F5674">
        <v>81</v>
      </c>
      <c r="G5674">
        <f t="shared" si="88"/>
        <v>112</v>
      </c>
    </row>
    <row r="5675" spans="2:7" ht="15" hidden="1" x14ac:dyDescent="0.25">
      <c r="B5675" s="4">
        <v>584632178</v>
      </c>
      <c r="C5675" s="4" t="s">
        <v>268</v>
      </c>
      <c r="D5675" s="4">
        <v>192</v>
      </c>
      <c r="E5675" s="4">
        <v>5</v>
      </c>
      <c r="F5675">
        <v>81</v>
      </c>
      <c r="G5675">
        <f t="shared" si="88"/>
        <v>96</v>
      </c>
    </row>
    <row r="5676" spans="2:7" ht="15" hidden="1" x14ac:dyDescent="0.25">
      <c r="B5676" s="4">
        <v>584632178</v>
      </c>
      <c r="C5676" s="4" t="s">
        <v>268</v>
      </c>
      <c r="D5676" s="4">
        <v>192</v>
      </c>
      <c r="E5676" s="4">
        <v>5</v>
      </c>
      <c r="F5676">
        <v>6</v>
      </c>
      <c r="G5676">
        <f t="shared" si="88"/>
        <v>96</v>
      </c>
    </row>
    <row r="5677" spans="2:7" ht="15" hidden="1" x14ac:dyDescent="0.25">
      <c r="B5677" s="4">
        <v>584632178</v>
      </c>
      <c r="C5677" s="4" t="s">
        <v>268</v>
      </c>
      <c r="D5677" s="4">
        <v>193</v>
      </c>
      <c r="E5677" s="4">
        <v>7</v>
      </c>
      <c r="F5677">
        <v>6</v>
      </c>
      <c r="G5677">
        <f t="shared" si="88"/>
        <v>112</v>
      </c>
    </row>
    <row r="5678" spans="2:7" ht="15" hidden="1" x14ac:dyDescent="0.25">
      <c r="B5678" s="4">
        <v>584632178</v>
      </c>
      <c r="C5678" s="4" t="s">
        <v>268</v>
      </c>
      <c r="D5678" s="4">
        <v>193</v>
      </c>
      <c r="E5678" s="4">
        <v>7</v>
      </c>
      <c r="F5678">
        <v>5</v>
      </c>
      <c r="G5678">
        <f t="shared" si="88"/>
        <v>112</v>
      </c>
    </row>
    <row r="5679" spans="2:7" ht="15" hidden="1" x14ac:dyDescent="0.25">
      <c r="B5679" s="4">
        <v>584632178</v>
      </c>
      <c r="C5679" s="4" t="s">
        <v>269</v>
      </c>
      <c r="D5679" s="4">
        <v>449</v>
      </c>
      <c r="E5679" s="4">
        <v>57</v>
      </c>
      <c r="F5679">
        <v>5</v>
      </c>
      <c r="G5679">
        <f t="shared" si="88"/>
        <v>512</v>
      </c>
    </row>
    <row r="5680" spans="2:7" ht="15" hidden="1" x14ac:dyDescent="0.25">
      <c r="B5680" s="4">
        <v>584632178</v>
      </c>
      <c r="C5680" s="4" t="s">
        <v>272</v>
      </c>
      <c r="D5680" s="4">
        <v>33</v>
      </c>
      <c r="E5680" s="4">
        <v>225</v>
      </c>
      <c r="F5680">
        <v>5</v>
      </c>
      <c r="G5680">
        <f t="shared" si="88"/>
        <v>1856</v>
      </c>
    </row>
    <row r="5681" spans="2:7" ht="15" hidden="1" x14ac:dyDescent="0.25">
      <c r="B5681" s="4">
        <v>584632179</v>
      </c>
      <c r="C5681" s="4" t="s">
        <v>269</v>
      </c>
      <c r="D5681" s="4">
        <v>450</v>
      </c>
      <c r="E5681" s="4">
        <v>57</v>
      </c>
      <c r="F5681">
        <v>5</v>
      </c>
      <c r="G5681">
        <f t="shared" si="88"/>
        <v>512</v>
      </c>
    </row>
    <row r="5682" spans="2:7" ht="15" hidden="1" x14ac:dyDescent="0.25">
      <c r="B5682" s="4">
        <v>584632180</v>
      </c>
      <c r="C5682" s="4" t="s">
        <v>269</v>
      </c>
      <c r="D5682" s="4">
        <v>451</v>
      </c>
      <c r="E5682" s="4">
        <v>57</v>
      </c>
      <c r="F5682">
        <v>5</v>
      </c>
      <c r="G5682">
        <f t="shared" si="88"/>
        <v>512</v>
      </c>
    </row>
    <row r="5683" spans="2:7" ht="15" hidden="1" x14ac:dyDescent="0.25">
      <c r="B5683" s="4">
        <v>584632181</v>
      </c>
      <c r="C5683" s="4" t="s">
        <v>269</v>
      </c>
      <c r="D5683" s="4">
        <v>452</v>
      </c>
      <c r="E5683" s="4">
        <v>57</v>
      </c>
      <c r="F5683">
        <v>5</v>
      </c>
      <c r="G5683">
        <f t="shared" si="88"/>
        <v>512</v>
      </c>
    </row>
    <row r="5684" spans="2:7" ht="15" hidden="1" x14ac:dyDescent="0.25">
      <c r="B5684" s="4">
        <v>584632182</v>
      </c>
      <c r="C5684" s="4" t="s">
        <v>269</v>
      </c>
      <c r="D5684" s="4">
        <v>453</v>
      </c>
      <c r="E5684" s="4">
        <v>57</v>
      </c>
      <c r="F5684">
        <v>5</v>
      </c>
      <c r="G5684">
        <f t="shared" si="88"/>
        <v>512</v>
      </c>
    </row>
    <row r="5685" spans="2:7" ht="15" hidden="1" x14ac:dyDescent="0.25">
      <c r="B5685" s="4">
        <v>584632183</v>
      </c>
      <c r="C5685" s="4" t="s">
        <v>269</v>
      </c>
      <c r="D5685" s="4">
        <v>454</v>
      </c>
      <c r="E5685" s="4">
        <v>57</v>
      </c>
      <c r="F5685">
        <v>5</v>
      </c>
      <c r="G5685">
        <f t="shared" si="88"/>
        <v>512</v>
      </c>
    </row>
    <row r="5686" spans="2:7" ht="15" hidden="1" x14ac:dyDescent="0.25">
      <c r="B5686" s="4">
        <v>584632184</v>
      </c>
      <c r="C5686" s="4" t="s">
        <v>269</v>
      </c>
      <c r="D5686" s="4">
        <v>455</v>
      </c>
      <c r="E5686" s="4">
        <v>57</v>
      </c>
      <c r="F5686">
        <v>5</v>
      </c>
      <c r="G5686">
        <f t="shared" si="88"/>
        <v>512</v>
      </c>
    </row>
    <row r="5687" spans="2:7" ht="15" hidden="1" x14ac:dyDescent="0.25">
      <c r="B5687" s="4">
        <v>584632185</v>
      </c>
      <c r="C5687" s="4" t="s">
        <v>269</v>
      </c>
      <c r="D5687" s="4">
        <v>456</v>
      </c>
      <c r="E5687" s="4">
        <v>57</v>
      </c>
      <c r="F5687">
        <v>5</v>
      </c>
      <c r="G5687">
        <f t="shared" si="88"/>
        <v>512</v>
      </c>
    </row>
    <row r="5688" spans="2:7" ht="15" hidden="1" x14ac:dyDescent="0.25">
      <c r="B5688" s="4">
        <v>584632186</v>
      </c>
      <c r="C5688" s="4" t="s">
        <v>269</v>
      </c>
      <c r="D5688" s="4">
        <v>457</v>
      </c>
      <c r="E5688" s="4">
        <v>57</v>
      </c>
      <c r="F5688">
        <v>5</v>
      </c>
      <c r="G5688">
        <f t="shared" si="88"/>
        <v>512</v>
      </c>
    </row>
    <row r="5689" spans="2:7" ht="15" hidden="1" x14ac:dyDescent="0.25">
      <c r="B5689" s="4">
        <v>584632187</v>
      </c>
      <c r="C5689" s="4" t="s">
        <v>269</v>
      </c>
      <c r="D5689" s="4">
        <v>458</v>
      </c>
      <c r="E5689" s="4">
        <v>57</v>
      </c>
      <c r="F5689">
        <v>5</v>
      </c>
      <c r="G5689">
        <f t="shared" si="88"/>
        <v>512</v>
      </c>
    </row>
    <row r="5690" spans="2:7" ht="15" hidden="1" x14ac:dyDescent="0.25">
      <c r="B5690" s="4">
        <v>584632188</v>
      </c>
      <c r="C5690" s="4" t="s">
        <v>269</v>
      </c>
      <c r="D5690" s="4">
        <v>459</v>
      </c>
      <c r="E5690" s="4">
        <v>57</v>
      </c>
      <c r="F5690">
        <v>5</v>
      </c>
      <c r="G5690">
        <f t="shared" si="88"/>
        <v>512</v>
      </c>
    </row>
    <row r="5691" spans="2:7" ht="15" hidden="1" x14ac:dyDescent="0.25">
      <c r="B5691" s="4">
        <v>584632188</v>
      </c>
      <c r="C5691" s="4" t="s">
        <v>272</v>
      </c>
      <c r="D5691" s="4">
        <v>34</v>
      </c>
      <c r="E5691" s="4">
        <v>223</v>
      </c>
      <c r="F5691">
        <v>5</v>
      </c>
      <c r="G5691">
        <f t="shared" si="88"/>
        <v>1840</v>
      </c>
    </row>
    <row r="5692" spans="2:7" ht="15" hidden="1" x14ac:dyDescent="0.25">
      <c r="B5692" s="4">
        <v>584632189</v>
      </c>
      <c r="C5692" s="4" t="s">
        <v>269</v>
      </c>
      <c r="D5692" s="4">
        <v>460</v>
      </c>
      <c r="E5692" s="4">
        <v>57</v>
      </c>
      <c r="F5692">
        <v>5</v>
      </c>
      <c r="G5692">
        <f t="shared" si="88"/>
        <v>512</v>
      </c>
    </row>
    <row r="5693" spans="2:7" ht="15" hidden="1" x14ac:dyDescent="0.25">
      <c r="B5693" s="4">
        <v>584632190</v>
      </c>
      <c r="C5693" s="4" t="s">
        <v>269</v>
      </c>
      <c r="D5693" s="4">
        <v>461</v>
      </c>
      <c r="E5693" s="4">
        <v>57</v>
      </c>
      <c r="F5693">
        <v>5</v>
      </c>
      <c r="G5693">
        <f t="shared" si="88"/>
        <v>512</v>
      </c>
    </row>
    <row r="5694" spans="2:7" ht="15" hidden="1" x14ac:dyDescent="0.25">
      <c r="B5694" s="4">
        <v>584632191</v>
      </c>
      <c r="C5694" s="4" t="s">
        <v>269</v>
      </c>
      <c r="D5694" s="4">
        <v>462</v>
      </c>
      <c r="E5694" s="4">
        <v>57</v>
      </c>
      <c r="F5694">
        <v>5</v>
      </c>
      <c r="G5694">
        <f t="shared" si="88"/>
        <v>512</v>
      </c>
    </row>
    <row r="5695" spans="2:7" ht="15" hidden="1" x14ac:dyDescent="0.25">
      <c r="B5695" s="4">
        <v>584632192</v>
      </c>
      <c r="C5695" s="4" t="s">
        <v>269</v>
      </c>
      <c r="D5695" s="4">
        <v>463</v>
      </c>
      <c r="E5695" s="4">
        <v>57</v>
      </c>
      <c r="F5695">
        <v>5</v>
      </c>
      <c r="G5695">
        <f t="shared" si="88"/>
        <v>512</v>
      </c>
    </row>
    <row r="5696" spans="2:7" ht="15" hidden="1" x14ac:dyDescent="0.25">
      <c r="B5696" s="4">
        <v>584632193</v>
      </c>
      <c r="C5696" s="4" t="s">
        <v>269</v>
      </c>
      <c r="D5696" s="4">
        <v>464</v>
      </c>
      <c r="E5696" s="4">
        <v>57</v>
      </c>
      <c r="F5696">
        <v>5</v>
      </c>
      <c r="G5696">
        <f t="shared" si="88"/>
        <v>512</v>
      </c>
    </row>
    <row r="5697" spans="2:7" ht="15" hidden="1" x14ac:dyDescent="0.25">
      <c r="B5697" s="4">
        <v>584632194</v>
      </c>
      <c r="C5697" s="4" t="s">
        <v>269</v>
      </c>
      <c r="D5697" s="4">
        <v>465</v>
      </c>
      <c r="E5697" s="4">
        <v>57</v>
      </c>
      <c r="F5697">
        <v>5</v>
      </c>
      <c r="G5697">
        <f t="shared" si="88"/>
        <v>512</v>
      </c>
    </row>
    <row r="5698" spans="2:7" ht="15" hidden="1" x14ac:dyDescent="0.25">
      <c r="B5698" s="4">
        <v>584632195</v>
      </c>
      <c r="C5698" s="4" t="s">
        <v>269</v>
      </c>
      <c r="D5698" s="4">
        <v>466</v>
      </c>
      <c r="E5698" s="4">
        <v>57</v>
      </c>
      <c r="F5698">
        <v>5</v>
      </c>
      <c r="G5698">
        <f t="shared" si="88"/>
        <v>512</v>
      </c>
    </row>
    <row r="5699" spans="2:7" ht="15" hidden="1" x14ac:dyDescent="0.25">
      <c r="B5699" s="4">
        <v>584632196</v>
      </c>
      <c r="C5699" s="4" t="s">
        <v>269</v>
      </c>
      <c r="D5699" s="4">
        <v>467</v>
      </c>
      <c r="E5699" s="4">
        <v>57</v>
      </c>
      <c r="F5699">
        <v>5</v>
      </c>
      <c r="G5699">
        <f t="shared" si="88"/>
        <v>512</v>
      </c>
    </row>
    <row r="5700" spans="2:7" ht="15" hidden="1" x14ac:dyDescent="0.25">
      <c r="B5700" s="4">
        <v>584632197</v>
      </c>
      <c r="C5700" s="4" t="s">
        <v>269</v>
      </c>
      <c r="D5700" s="4">
        <v>468</v>
      </c>
      <c r="E5700" s="4">
        <v>57</v>
      </c>
      <c r="F5700">
        <v>5</v>
      </c>
      <c r="G5700">
        <f t="shared" ref="G5700:G5763" si="89">(E5700+7)*8</f>
        <v>512</v>
      </c>
    </row>
    <row r="5701" spans="2:7" ht="15" hidden="1" x14ac:dyDescent="0.25">
      <c r="B5701" s="4">
        <v>584632198</v>
      </c>
      <c r="C5701" s="4" t="s">
        <v>269</v>
      </c>
      <c r="D5701" s="4">
        <v>469</v>
      </c>
      <c r="E5701" s="4">
        <v>57</v>
      </c>
      <c r="F5701">
        <v>5</v>
      </c>
      <c r="G5701">
        <f t="shared" si="89"/>
        <v>512</v>
      </c>
    </row>
    <row r="5702" spans="2:7" ht="15" hidden="1" x14ac:dyDescent="0.25">
      <c r="B5702" s="4">
        <v>584632198</v>
      </c>
      <c r="C5702" s="4" t="s">
        <v>272</v>
      </c>
      <c r="D5702" s="4">
        <v>35</v>
      </c>
      <c r="E5702" s="4">
        <v>225</v>
      </c>
      <c r="F5702">
        <v>5</v>
      </c>
      <c r="G5702">
        <f t="shared" si="89"/>
        <v>1856</v>
      </c>
    </row>
    <row r="5703" spans="2:7" ht="15" hidden="1" x14ac:dyDescent="0.25">
      <c r="B5703" s="4">
        <v>584632199</v>
      </c>
      <c r="C5703" s="4" t="s">
        <v>269</v>
      </c>
      <c r="D5703" s="4">
        <v>470</v>
      </c>
      <c r="E5703" s="4">
        <v>57</v>
      </c>
      <c r="F5703">
        <v>5</v>
      </c>
      <c r="G5703">
        <f t="shared" si="89"/>
        <v>512</v>
      </c>
    </row>
    <row r="5704" spans="2:7" ht="15" hidden="1" x14ac:dyDescent="0.25">
      <c r="B5704" s="4">
        <v>584632200</v>
      </c>
      <c r="C5704" s="4" t="s">
        <v>269</v>
      </c>
      <c r="D5704" s="4">
        <v>471</v>
      </c>
      <c r="E5704" s="4">
        <v>57</v>
      </c>
      <c r="F5704">
        <v>5</v>
      </c>
      <c r="G5704">
        <f t="shared" si="89"/>
        <v>512</v>
      </c>
    </row>
    <row r="5705" spans="2:7" ht="15" hidden="1" x14ac:dyDescent="0.25">
      <c r="B5705" s="4">
        <v>584632201</v>
      </c>
      <c r="C5705" s="4" t="s">
        <v>269</v>
      </c>
      <c r="D5705" s="4">
        <v>472</v>
      </c>
      <c r="E5705" s="4">
        <v>57</v>
      </c>
      <c r="F5705">
        <v>5</v>
      </c>
      <c r="G5705">
        <f t="shared" si="89"/>
        <v>512</v>
      </c>
    </row>
    <row r="5706" spans="2:7" ht="15" hidden="1" x14ac:dyDescent="0.25">
      <c r="B5706" s="4">
        <v>584632202</v>
      </c>
      <c r="C5706" s="4" t="s">
        <v>269</v>
      </c>
      <c r="D5706" s="4">
        <v>473</v>
      </c>
      <c r="E5706" s="4">
        <v>57</v>
      </c>
      <c r="F5706">
        <v>5</v>
      </c>
      <c r="G5706">
        <f t="shared" si="89"/>
        <v>512</v>
      </c>
    </row>
    <row r="5707" spans="2:7" ht="15" hidden="1" x14ac:dyDescent="0.25">
      <c r="B5707" s="4">
        <v>584632203</v>
      </c>
      <c r="C5707" s="4" t="s">
        <v>269</v>
      </c>
      <c r="D5707" s="4">
        <v>474</v>
      </c>
      <c r="E5707" s="4">
        <v>57</v>
      </c>
      <c r="F5707">
        <v>5</v>
      </c>
      <c r="G5707">
        <f t="shared" si="89"/>
        <v>512</v>
      </c>
    </row>
    <row r="5708" spans="2:7" ht="15" hidden="1" x14ac:dyDescent="0.25">
      <c r="B5708" s="4">
        <v>584632204</v>
      </c>
      <c r="C5708" s="4" t="s">
        <v>269</v>
      </c>
      <c r="D5708" s="4">
        <v>475</v>
      </c>
      <c r="E5708" s="4">
        <v>57</v>
      </c>
      <c r="F5708">
        <v>5</v>
      </c>
      <c r="G5708">
        <f t="shared" si="89"/>
        <v>512</v>
      </c>
    </row>
    <row r="5709" spans="2:7" ht="15" hidden="1" x14ac:dyDescent="0.25">
      <c r="B5709" s="4">
        <v>584632205</v>
      </c>
      <c r="C5709" s="4" t="s">
        <v>269</v>
      </c>
      <c r="D5709" s="4">
        <v>476</v>
      </c>
      <c r="E5709" s="4">
        <v>57</v>
      </c>
      <c r="F5709">
        <v>5</v>
      </c>
      <c r="G5709">
        <f t="shared" si="89"/>
        <v>512</v>
      </c>
    </row>
    <row r="5710" spans="2:7" ht="15" hidden="1" x14ac:dyDescent="0.25">
      <c r="B5710" s="4">
        <v>584632206</v>
      </c>
      <c r="C5710" s="4" t="s">
        <v>269</v>
      </c>
      <c r="D5710" s="4">
        <v>477</v>
      </c>
      <c r="E5710" s="4">
        <v>57</v>
      </c>
      <c r="F5710">
        <v>5</v>
      </c>
      <c r="G5710">
        <f t="shared" si="89"/>
        <v>512</v>
      </c>
    </row>
    <row r="5711" spans="2:7" ht="15" hidden="1" x14ac:dyDescent="0.25">
      <c r="B5711" s="4">
        <v>584632207</v>
      </c>
      <c r="C5711" s="4" t="s">
        <v>269</v>
      </c>
      <c r="D5711" s="4">
        <v>478</v>
      </c>
      <c r="E5711" s="4">
        <v>57</v>
      </c>
      <c r="F5711">
        <v>5</v>
      </c>
      <c r="G5711">
        <f t="shared" si="89"/>
        <v>512</v>
      </c>
    </row>
    <row r="5712" spans="2:7" ht="15" hidden="1" x14ac:dyDescent="0.25">
      <c r="B5712" s="4">
        <v>584632208</v>
      </c>
      <c r="C5712" s="4" t="s">
        <v>269</v>
      </c>
      <c r="D5712" s="4">
        <v>479</v>
      </c>
      <c r="E5712" s="4">
        <v>57</v>
      </c>
      <c r="F5712">
        <v>5</v>
      </c>
      <c r="G5712">
        <f t="shared" si="89"/>
        <v>512</v>
      </c>
    </row>
    <row r="5713" spans="2:7" ht="15" hidden="1" x14ac:dyDescent="0.25">
      <c r="B5713" s="4">
        <v>584632208</v>
      </c>
      <c r="C5713" s="4" t="s">
        <v>272</v>
      </c>
      <c r="D5713" s="4">
        <v>36</v>
      </c>
      <c r="E5713" s="4">
        <v>223</v>
      </c>
      <c r="F5713">
        <v>5</v>
      </c>
      <c r="G5713">
        <f t="shared" si="89"/>
        <v>1840</v>
      </c>
    </row>
    <row r="5714" spans="2:7" ht="15" hidden="1" x14ac:dyDescent="0.25">
      <c r="B5714" s="4">
        <v>584632209</v>
      </c>
      <c r="C5714" s="4" t="s">
        <v>269</v>
      </c>
      <c r="D5714" s="4">
        <v>480</v>
      </c>
      <c r="E5714" s="4">
        <v>57</v>
      </c>
      <c r="F5714">
        <v>5</v>
      </c>
      <c r="G5714">
        <f t="shared" si="89"/>
        <v>512</v>
      </c>
    </row>
    <row r="5715" spans="2:7" ht="15" hidden="1" x14ac:dyDescent="0.25">
      <c r="B5715" s="4">
        <v>584632210</v>
      </c>
      <c r="C5715" s="4" t="s">
        <v>269</v>
      </c>
      <c r="D5715" s="4">
        <v>481</v>
      </c>
      <c r="E5715" s="4">
        <v>57</v>
      </c>
      <c r="F5715">
        <v>5</v>
      </c>
      <c r="G5715">
        <f t="shared" si="89"/>
        <v>512</v>
      </c>
    </row>
    <row r="5716" spans="2:7" ht="15" hidden="1" x14ac:dyDescent="0.25">
      <c r="B5716" s="4">
        <v>584632211</v>
      </c>
      <c r="C5716" s="4" t="s">
        <v>269</v>
      </c>
      <c r="D5716" s="4">
        <v>482</v>
      </c>
      <c r="E5716" s="4">
        <v>57</v>
      </c>
      <c r="F5716">
        <v>5</v>
      </c>
      <c r="G5716">
        <f t="shared" si="89"/>
        <v>512</v>
      </c>
    </row>
    <row r="5717" spans="2:7" ht="15" hidden="1" x14ac:dyDescent="0.25">
      <c r="B5717" s="4">
        <v>584632212</v>
      </c>
      <c r="C5717" s="4" t="s">
        <v>269</v>
      </c>
      <c r="D5717" s="4">
        <v>483</v>
      </c>
      <c r="E5717" s="4">
        <v>57</v>
      </c>
      <c r="F5717">
        <v>5</v>
      </c>
      <c r="G5717">
        <f t="shared" si="89"/>
        <v>512</v>
      </c>
    </row>
    <row r="5718" spans="2:7" ht="15" hidden="1" x14ac:dyDescent="0.25">
      <c r="B5718" s="4">
        <v>584632213</v>
      </c>
      <c r="C5718" s="4" t="s">
        <v>269</v>
      </c>
      <c r="D5718" s="4">
        <v>484</v>
      </c>
      <c r="E5718" s="4">
        <v>57</v>
      </c>
      <c r="F5718">
        <v>5</v>
      </c>
      <c r="G5718">
        <f t="shared" si="89"/>
        <v>512</v>
      </c>
    </row>
    <row r="5719" spans="2:7" ht="15" hidden="1" x14ac:dyDescent="0.25">
      <c r="B5719" s="4">
        <v>584632214</v>
      </c>
      <c r="C5719" s="4" t="s">
        <v>269</v>
      </c>
      <c r="D5719" s="4">
        <v>485</v>
      </c>
      <c r="E5719" s="4">
        <v>57</v>
      </c>
      <c r="F5719">
        <v>5</v>
      </c>
      <c r="G5719">
        <f t="shared" si="89"/>
        <v>512</v>
      </c>
    </row>
    <row r="5720" spans="2:7" ht="15" hidden="1" x14ac:dyDescent="0.25">
      <c r="B5720" s="4">
        <v>584632215</v>
      </c>
      <c r="C5720" s="4" t="s">
        <v>269</v>
      </c>
      <c r="D5720" s="4">
        <v>486</v>
      </c>
      <c r="E5720" s="4">
        <v>57</v>
      </c>
      <c r="F5720">
        <v>5</v>
      </c>
      <c r="G5720">
        <f t="shared" si="89"/>
        <v>512</v>
      </c>
    </row>
    <row r="5721" spans="2:7" ht="15" hidden="1" x14ac:dyDescent="0.25">
      <c r="B5721" s="4">
        <v>584632216</v>
      </c>
      <c r="C5721" s="4" t="s">
        <v>269</v>
      </c>
      <c r="D5721" s="4">
        <v>487</v>
      </c>
      <c r="E5721" s="4">
        <v>57</v>
      </c>
      <c r="F5721">
        <v>5</v>
      </c>
      <c r="G5721">
        <f t="shared" si="89"/>
        <v>512</v>
      </c>
    </row>
    <row r="5722" spans="2:7" ht="15" hidden="1" x14ac:dyDescent="0.25">
      <c r="B5722" s="4">
        <v>584632217</v>
      </c>
      <c r="C5722" s="4" t="s">
        <v>269</v>
      </c>
      <c r="D5722" s="4">
        <v>488</v>
      </c>
      <c r="E5722" s="4">
        <v>57</v>
      </c>
      <c r="F5722">
        <v>5</v>
      </c>
      <c r="G5722">
        <f t="shared" si="89"/>
        <v>512</v>
      </c>
    </row>
    <row r="5723" spans="2:7" ht="15" hidden="1" x14ac:dyDescent="0.25">
      <c r="B5723" s="4">
        <v>584632218</v>
      </c>
      <c r="C5723" s="4" t="s">
        <v>269</v>
      </c>
      <c r="D5723" s="4">
        <v>489</v>
      </c>
      <c r="E5723" s="4">
        <v>57</v>
      </c>
      <c r="F5723">
        <v>5</v>
      </c>
      <c r="G5723">
        <f t="shared" si="89"/>
        <v>512</v>
      </c>
    </row>
    <row r="5724" spans="2:7" ht="15" hidden="1" x14ac:dyDescent="0.25">
      <c r="B5724" s="4">
        <v>584632218</v>
      </c>
      <c r="C5724" s="4" t="s">
        <v>272</v>
      </c>
      <c r="D5724" s="4">
        <v>37</v>
      </c>
      <c r="E5724" s="4">
        <v>223</v>
      </c>
      <c r="F5724">
        <v>5</v>
      </c>
      <c r="G5724">
        <f t="shared" si="89"/>
        <v>1840</v>
      </c>
    </row>
    <row r="5725" spans="2:7" ht="15" hidden="1" x14ac:dyDescent="0.25">
      <c r="B5725" s="4">
        <v>584632219</v>
      </c>
      <c r="C5725" s="4" t="s">
        <v>269</v>
      </c>
      <c r="D5725" s="4">
        <v>490</v>
      </c>
      <c r="E5725" s="4">
        <v>57</v>
      </c>
      <c r="F5725">
        <v>5</v>
      </c>
      <c r="G5725">
        <f t="shared" si="89"/>
        <v>512</v>
      </c>
    </row>
    <row r="5726" spans="2:7" ht="15" hidden="1" x14ac:dyDescent="0.25">
      <c r="B5726" s="4">
        <v>584632220</v>
      </c>
      <c r="C5726" s="4" t="s">
        <v>269</v>
      </c>
      <c r="D5726" s="4">
        <v>491</v>
      </c>
      <c r="E5726" s="4">
        <v>57</v>
      </c>
      <c r="F5726">
        <v>5</v>
      </c>
      <c r="G5726">
        <f t="shared" si="89"/>
        <v>512</v>
      </c>
    </row>
    <row r="5727" spans="2:7" ht="15" hidden="1" x14ac:dyDescent="0.25">
      <c r="B5727" s="4">
        <v>584632221</v>
      </c>
      <c r="C5727" s="4" t="s">
        <v>269</v>
      </c>
      <c r="D5727" s="4">
        <v>492</v>
      </c>
      <c r="E5727" s="4">
        <v>57</v>
      </c>
      <c r="F5727">
        <v>5</v>
      </c>
      <c r="G5727">
        <f t="shared" si="89"/>
        <v>512</v>
      </c>
    </row>
    <row r="5728" spans="2:7" ht="15" hidden="1" x14ac:dyDescent="0.25">
      <c r="B5728" s="4">
        <v>584632222</v>
      </c>
      <c r="C5728" s="4" t="s">
        <v>269</v>
      </c>
      <c r="D5728" s="4">
        <v>493</v>
      </c>
      <c r="E5728" s="4">
        <v>57</v>
      </c>
      <c r="F5728">
        <v>5</v>
      </c>
      <c r="G5728">
        <f t="shared" si="89"/>
        <v>512</v>
      </c>
    </row>
    <row r="5729" spans="2:7" ht="15" hidden="1" x14ac:dyDescent="0.25">
      <c r="B5729" s="4">
        <v>584632223</v>
      </c>
      <c r="C5729" s="4" t="s">
        <v>269</v>
      </c>
      <c r="D5729" s="4">
        <v>494</v>
      </c>
      <c r="E5729" s="4">
        <v>57</v>
      </c>
      <c r="F5729">
        <v>5</v>
      </c>
      <c r="G5729">
        <f t="shared" si="89"/>
        <v>512</v>
      </c>
    </row>
    <row r="5730" spans="2:7" ht="15" hidden="1" x14ac:dyDescent="0.25">
      <c r="B5730" s="4">
        <v>584632224</v>
      </c>
      <c r="C5730" s="4" t="s">
        <v>269</v>
      </c>
      <c r="D5730" s="4">
        <v>495</v>
      </c>
      <c r="E5730" s="4">
        <v>57</v>
      </c>
      <c r="F5730">
        <v>5</v>
      </c>
      <c r="G5730">
        <f t="shared" si="89"/>
        <v>512</v>
      </c>
    </row>
    <row r="5731" spans="2:7" ht="15" hidden="1" x14ac:dyDescent="0.25">
      <c r="B5731" s="4">
        <v>584632225</v>
      </c>
      <c r="C5731" s="4" t="s">
        <v>269</v>
      </c>
      <c r="D5731" s="4">
        <v>496</v>
      </c>
      <c r="E5731" s="4">
        <v>57</v>
      </c>
      <c r="F5731">
        <v>5</v>
      </c>
      <c r="G5731">
        <f t="shared" si="89"/>
        <v>512</v>
      </c>
    </row>
    <row r="5732" spans="2:7" ht="15" hidden="1" x14ac:dyDescent="0.25">
      <c r="B5732" s="4">
        <v>584632226</v>
      </c>
      <c r="C5732" s="4" t="s">
        <v>269</v>
      </c>
      <c r="D5732" s="4">
        <v>497</v>
      </c>
      <c r="E5732" s="4">
        <v>57</v>
      </c>
      <c r="F5732">
        <v>5</v>
      </c>
      <c r="G5732">
        <f t="shared" si="89"/>
        <v>512</v>
      </c>
    </row>
    <row r="5733" spans="2:7" ht="15" hidden="1" x14ac:dyDescent="0.25">
      <c r="B5733" s="4">
        <v>584632227</v>
      </c>
      <c r="C5733" s="4" t="s">
        <v>269</v>
      </c>
      <c r="D5733" s="4">
        <v>498</v>
      </c>
      <c r="E5733" s="4">
        <v>57</v>
      </c>
      <c r="F5733">
        <v>5</v>
      </c>
      <c r="G5733">
        <f t="shared" si="89"/>
        <v>512</v>
      </c>
    </row>
    <row r="5734" spans="2:7" ht="15" hidden="1" x14ac:dyDescent="0.25">
      <c r="B5734" s="4">
        <v>584632228</v>
      </c>
      <c r="C5734" s="4" t="s">
        <v>269</v>
      </c>
      <c r="D5734" s="4">
        <v>499</v>
      </c>
      <c r="E5734" s="4">
        <v>57</v>
      </c>
      <c r="F5734">
        <v>5</v>
      </c>
      <c r="G5734">
        <f t="shared" si="89"/>
        <v>512</v>
      </c>
    </row>
    <row r="5735" spans="2:7" ht="15" hidden="1" x14ac:dyDescent="0.25">
      <c r="B5735" s="4">
        <v>584632228</v>
      </c>
      <c r="C5735" s="4" t="s">
        <v>272</v>
      </c>
      <c r="D5735" s="4">
        <v>38</v>
      </c>
      <c r="E5735" s="4">
        <v>223</v>
      </c>
      <c r="F5735">
        <v>5</v>
      </c>
      <c r="G5735">
        <f t="shared" si="89"/>
        <v>1840</v>
      </c>
    </row>
    <row r="5736" spans="2:7" ht="15" hidden="1" x14ac:dyDescent="0.25">
      <c r="B5736" s="4">
        <v>584632229</v>
      </c>
      <c r="C5736" s="4" t="s">
        <v>269</v>
      </c>
      <c r="D5736" s="4">
        <v>500</v>
      </c>
      <c r="E5736" s="4">
        <v>57</v>
      </c>
      <c r="F5736">
        <v>5</v>
      </c>
      <c r="G5736">
        <f t="shared" si="89"/>
        <v>512</v>
      </c>
    </row>
    <row r="5737" spans="2:7" ht="15" hidden="1" x14ac:dyDescent="0.25">
      <c r="B5737" s="4">
        <v>584632230</v>
      </c>
      <c r="C5737" s="4" t="s">
        <v>269</v>
      </c>
      <c r="D5737" s="4">
        <v>501</v>
      </c>
      <c r="E5737" s="4">
        <v>57</v>
      </c>
      <c r="F5737">
        <v>5</v>
      </c>
      <c r="G5737">
        <f t="shared" si="89"/>
        <v>512</v>
      </c>
    </row>
    <row r="5738" spans="2:7" ht="15" hidden="1" x14ac:dyDescent="0.25">
      <c r="B5738" s="4">
        <v>584632231</v>
      </c>
      <c r="C5738" s="4" t="s">
        <v>269</v>
      </c>
      <c r="D5738" s="4">
        <v>502</v>
      </c>
      <c r="E5738" s="4">
        <v>57</v>
      </c>
      <c r="F5738">
        <v>5</v>
      </c>
      <c r="G5738">
        <f t="shared" si="89"/>
        <v>512</v>
      </c>
    </row>
    <row r="5739" spans="2:7" ht="15" hidden="1" x14ac:dyDescent="0.25">
      <c r="B5739" s="4">
        <v>584632232</v>
      </c>
      <c r="C5739" s="4" t="s">
        <v>269</v>
      </c>
      <c r="D5739" s="4">
        <v>503</v>
      </c>
      <c r="E5739" s="4">
        <v>57</v>
      </c>
      <c r="F5739">
        <v>5</v>
      </c>
      <c r="G5739">
        <f t="shared" si="89"/>
        <v>512</v>
      </c>
    </row>
    <row r="5740" spans="2:7" ht="15" hidden="1" x14ac:dyDescent="0.25">
      <c r="B5740" s="4">
        <v>584632233</v>
      </c>
      <c r="C5740" s="4" t="s">
        <v>269</v>
      </c>
      <c r="D5740" s="4">
        <v>504</v>
      </c>
      <c r="E5740" s="4">
        <v>57</v>
      </c>
      <c r="F5740">
        <v>5</v>
      </c>
      <c r="G5740">
        <f t="shared" si="89"/>
        <v>512</v>
      </c>
    </row>
    <row r="5741" spans="2:7" ht="15" hidden="1" x14ac:dyDescent="0.25">
      <c r="B5741" s="4">
        <v>584632234</v>
      </c>
      <c r="C5741" s="4" t="s">
        <v>269</v>
      </c>
      <c r="D5741" s="4">
        <v>505</v>
      </c>
      <c r="E5741" s="4">
        <v>57</v>
      </c>
      <c r="F5741">
        <v>5</v>
      </c>
      <c r="G5741">
        <f t="shared" si="89"/>
        <v>512</v>
      </c>
    </row>
    <row r="5742" spans="2:7" ht="15" hidden="1" x14ac:dyDescent="0.25">
      <c r="B5742" s="4">
        <v>584632235</v>
      </c>
      <c r="C5742" s="4" t="s">
        <v>269</v>
      </c>
      <c r="D5742" s="4">
        <v>506</v>
      </c>
      <c r="E5742" s="4">
        <v>57</v>
      </c>
      <c r="F5742">
        <v>5</v>
      </c>
      <c r="G5742">
        <f t="shared" si="89"/>
        <v>512</v>
      </c>
    </row>
    <row r="5743" spans="2:7" ht="15" hidden="1" x14ac:dyDescent="0.25">
      <c r="B5743" s="4">
        <v>584632236</v>
      </c>
      <c r="C5743" s="4" t="s">
        <v>269</v>
      </c>
      <c r="D5743" s="4">
        <v>507</v>
      </c>
      <c r="E5743" s="4">
        <v>57</v>
      </c>
      <c r="F5743">
        <v>5</v>
      </c>
      <c r="G5743">
        <f t="shared" si="89"/>
        <v>512</v>
      </c>
    </row>
    <row r="5744" spans="2:7" ht="15" hidden="1" x14ac:dyDescent="0.25">
      <c r="B5744" s="4">
        <v>584632237</v>
      </c>
      <c r="C5744" s="4" t="s">
        <v>269</v>
      </c>
      <c r="D5744" s="4">
        <v>508</v>
      </c>
      <c r="E5744" s="4">
        <v>57</v>
      </c>
      <c r="F5744">
        <v>5</v>
      </c>
      <c r="G5744">
        <f t="shared" si="89"/>
        <v>512</v>
      </c>
    </row>
    <row r="5745" spans="2:7" ht="15" hidden="1" x14ac:dyDescent="0.25">
      <c r="B5745" s="4">
        <v>584632238</v>
      </c>
      <c r="C5745" s="4" t="s">
        <v>268</v>
      </c>
      <c r="D5745" s="4">
        <v>194</v>
      </c>
      <c r="E5745" s="4">
        <v>6</v>
      </c>
      <c r="F5745">
        <v>5</v>
      </c>
      <c r="G5745">
        <f t="shared" si="89"/>
        <v>104</v>
      </c>
    </row>
    <row r="5746" spans="2:7" ht="15" hidden="1" x14ac:dyDescent="0.25">
      <c r="B5746" s="4">
        <v>584632238</v>
      </c>
      <c r="C5746" s="4" t="s">
        <v>268</v>
      </c>
      <c r="D5746" s="4">
        <v>194</v>
      </c>
      <c r="E5746" s="4">
        <v>6</v>
      </c>
      <c r="F5746">
        <v>11</v>
      </c>
      <c r="G5746">
        <f t="shared" si="89"/>
        <v>104</v>
      </c>
    </row>
    <row r="5747" spans="2:7" ht="15" hidden="1" x14ac:dyDescent="0.25">
      <c r="B5747" s="4">
        <v>584632238</v>
      </c>
      <c r="C5747" s="4" t="s">
        <v>268</v>
      </c>
      <c r="D5747" s="4">
        <v>195</v>
      </c>
      <c r="E5747" s="4">
        <v>9</v>
      </c>
      <c r="F5747">
        <v>11</v>
      </c>
      <c r="G5747">
        <f t="shared" si="89"/>
        <v>128</v>
      </c>
    </row>
    <row r="5748" spans="2:7" ht="15" hidden="1" x14ac:dyDescent="0.25">
      <c r="B5748" s="4">
        <v>584632238</v>
      </c>
      <c r="C5748" s="4" t="s">
        <v>268</v>
      </c>
      <c r="D5748" s="4">
        <v>195</v>
      </c>
      <c r="E5748" s="4">
        <v>9</v>
      </c>
      <c r="F5748">
        <v>195</v>
      </c>
      <c r="G5748">
        <f t="shared" si="89"/>
        <v>128</v>
      </c>
    </row>
    <row r="5749" spans="2:7" ht="15" hidden="1" x14ac:dyDescent="0.25">
      <c r="B5749" s="4">
        <v>584632238</v>
      </c>
      <c r="C5749" s="4" t="s">
        <v>268</v>
      </c>
      <c r="D5749" s="4">
        <v>196</v>
      </c>
      <c r="E5749" s="4">
        <v>7</v>
      </c>
      <c r="F5749">
        <v>195</v>
      </c>
      <c r="G5749">
        <f t="shared" si="89"/>
        <v>112</v>
      </c>
    </row>
    <row r="5750" spans="2:7" ht="15" hidden="1" x14ac:dyDescent="0.25">
      <c r="B5750" s="4">
        <v>584632238</v>
      </c>
      <c r="C5750" s="4" t="s">
        <v>268</v>
      </c>
      <c r="D5750" s="4">
        <v>196</v>
      </c>
      <c r="E5750" s="4">
        <v>7</v>
      </c>
      <c r="F5750">
        <v>81</v>
      </c>
      <c r="G5750">
        <f t="shared" si="89"/>
        <v>112</v>
      </c>
    </row>
    <row r="5751" spans="2:7" ht="15" hidden="1" x14ac:dyDescent="0.25">
      <c r="B5751" s="4">
        <v>584632238</v>
      </c>
      <c r="C5751" s="4" t="s">
        <v>268</v>
      </c>
      <c r="D5751" s="4">
        <v>197</v>
      </c>
      <c r="E5751" s="4">
        <v>7</v>
      </c>
      <c r="F5751">
        <v>81</v>
      </c>
      <c r="G5751">
        <f t="shared" si="89"/>
        <v>112</v>
      </c>
    </row>
    <row r="5752" spans="2:7" ht="15" hidden="1" x14ac:dyDescent="0.25">
      <c r="B5752" s="4">
        <v>584632238</v>
      </c>
      <c r="C5752" s="4" t="s">
        <v>268</v>
      </c>
      <c r="D5752" s="4">
        <v>197</v>
      </c>
      <c r="E5752" s="4">
        <v>7</v>
      </c>
      <c r="F5752">
        <v>79</v>
      </c>
      <c r="G5752">
        <f t="shared" si="89"/>
        <v>112</v>
      </c>
    </row>
    <row r="5753" spans="2:7" ht="15" hidden="1" x14ac:dyDescent="0.25">
      <c r="B5753" s="4">
        <v>584632238</v>
      </c>
      <c r="C5753" s="4" t="s">
        <v>268</v>
      </c>
      <c r="D5753" s="4">
        <v>198</v>
      </c>
      <c r="E5753" s="4">
        <v>7</v>
      </c>
      <c r="F5753">
        <v>79</v>
      </c>
      <c r="G5753">
        <f t="shared" si="89"/>
        <v>112</v>
      </c>
    </row>
    <row r="5754" spans="2:7" ht="15" hidden="1" x14ac:dyDescent="0.25">
      <c r="B5754" s="4">
        <v>584632238</v>
      </c>
      <c r="C5754" s="4" t="s">
        <v>268</v>
      </c>
      <c r="D5754" s="4">
        <v>198</v>
      </c>
      <c r="E5754" s="4">
        <v>7</v>
      </c>
      <c r="F5754">
        <v>5</v>
      </c>
      <c r="G5754">
        <f t="shared" si="89"/>
        <v>112</v>
      </c>
    </row>
    <row r="5755" spans="2:7" ht="15" hidden="1" x14ac:dyDescent="0.25">
      <c r="B5755" s="4">
        <v>584632238</v>
      </c>
      <c r="C5755" s="4" t="s">
        <v>269</v>
      </c>
      <c r="D5755" s="4">
        <v>509</v>
      </c>
      <c r="E5755" s="4">
        <v>57</v>
      </c>
      <c r="F5755">
        <v>5</v>
      </c>
      <c r="G5755">
        <f t="shared" si="89"/>
        <v>512</v>
      </c>
    </row>
    <row r="5756" spans="2:7" ht="15" hidden="1" x14ac:dyDescent="0.25">
      <c r="B5756" s="4">
        <v>584632238</v>
      </c>
      <c r="C5756" s="4" t="s">
        <v>272</v>
      </c>
      <c r="D5756" s="4">
        <v>39</v>
      </c>
      <c r="E5756" s="4">
        <v>225</v>
      </c>
      <c r="F5756">
        <v>5</v>
      </c>
      <c r="G5756">
        <f t="shared" si="89"/>
        <v>1856</v>
      </c>
    </row>
    <row r="5757" spans="2:7" ht="15" hidden="1" x14ac:dyDescent="0.25">
      <c r="B5757" s="4">
        <v>584632239</v>
      </c>
      <c r="C5757" s="4" t="s">
        <v>269</v>
      </c>
      <c r="D5757" s="4">
        <v>510</v>
      </c>
      <c r="E5757" s="4">
        <v>57</v>
      </c>
      <c r="F5757">
        <v>5</v>
      </c>
      <c r="G5757">
        <f t="shared" si="89"/>
        <v>512</v>
      </c>
    </row>
    <row r="5758" spans="2:7" ht="15" hidden="1" x14ac:dyDescent="0.25">
      <c r="B5758" s="4">
        <v>584632240</v>
      </c>
      <c r="C5758" s="4" t="s">
        <v>268</v>
      </c>
      <c r="D5758" s="4">
        <v>199</v>
      </c>
      <c r="E5758" s="4">
        <v>7</v>
      </c>
      <c r="F5758">
        <v>5</v>
      </c>
      <c r="G5758">
        <f t="shared" si="89"/>
        <v>112</v>
      </c>
    </row>
    <row r="5759" spans="2:7" ht="15" hidden="1" x14ac:dyDescent="0.25">
      <c r="B5759" s="4">
        <v>584632240</v>
      </c>
      <c r="C5759" s="4" t="s">
        <v>268</v>
      </c>
      <c r="D5759" s="4">
        <v>199</v>
      </c>
      <c r="E5759" s="4">
        <v>7</v>
      </c>
      <c r="F5759">
        <v>81</v>
      </c>
      <c r="G5759">
        <f t="shared" si="89"/>
        <v>112</v>
      </c>
    </row>
    <row r="5760" spans="2:7" ht="15" hidden="1" x14ac:dyDescent="0.25">
      <c r="B5760" s="4">
        <v>584632240</v>
      </c>
      <c r="C5760" s="4" t="s">
        <v>268</v>
      </c>
      <c r="D5760" s="4">
        <v>200</v>
      </c>
      <c r="E5760" s="4">
        <v>5</v>
      </c>
      <c r="F5760">
        <v>81</v>
      </c>
      <c r="G5760">
        <f t="shared" si="89"/>
        <v>96</v>
      </c>
    </row>
    <row r="5761" spans="2:7" ht="15" hidden="1" x14ac:dyDescent="0.25">
      <c r="B5761" s="4">
        <v>584632240</v>
      </c>
      <c r="C5761" s="4" t="s">
        <v>268</v>
      </c>
      <c r="D5761" s="4">
        <v>200</v>
      </c>
      <c r="E5761" s="4">
        <v>5</v>
      </c>
      <c r="F5761">
        <v>6</v>
      </c>
      <c r="G5761">
        <f t="shared" si="89"/>
        <v>96</v>
      </c>
    </row>
    <row r="5762" spans="2:7" ht="15" hidden="1" x14ac:dyDescent="0.25">
      <c r="B5762" s="4">
        <v>584632240</v>
      </c>
      <c r="C5762" s="4" t="s">
        <v>268</v>
      </c>
      <c r="D5762" s="4">
        <v>201</v>
      </c>
      <c r="E5762" s="4">
        <v>7</v>
      </c>
      <c r="F5762">
        <v>6</v>
      </c>
      <c r="G5762">
        <f t="shared" si="89"/>
        <v>112</v>
      </c>
    </row>
    <row r="5763" spans="2:7" ht="15" hidden="1" x14ac:dyDescent="0.25">
      <c r="B5763" s="4">
        <v>584632240</v>
      </c>
      <c r="C5763" s="4" t="s">
        <v>268</v>
      </c>
      <c r="D5763" s="4">
        <v>201</v>
      </c>
      <c r="E5763" s="4">
        <v>7</v>
      </c>
      <c r="F5763">
        <v>5</v>
      </c>
      <c r="G5763">
        <f t="shared" si="89"/>
        <v>112</v>
      </c>
    </row>
    <row r="5764" spans="2:7" ht="15" hidden="1" x14ac:dyDescent="0.25">
      <c r="B5764" s="4">
        <v>584632240</v>
      </c>
      <c r="C5764" s="4" t="s">
        <v>269</v>
      </c>
      <c r="D5764" s="4">
        <v>511</v>
      </c>
      <c r="E5764" s="4">
        <v>57</v>
      </c>
      <c r="F5764">
        <v>5</v>
      </c>
      <c r="G5764">
        <f t="shared" ref="G5764:G5827" si="90">(E5764+7)*8</f>
        <v>512</v>
      </c>
    </row>
    <row r="5765" spans="2:7" ht="15" hidden="1" x14ac:dyDescent="0.25">
      <c r="B5765" s="4">
        <v>584632241</v>
      </c>
      <c r="C5765" s="4" t="s">
        <v>269</v>
      </c>
      <c r="D5765" s="4">
        <v>512</v>
      </c>
      <c r="E5765" s="4">
        <v>57</v>
      </c>
      <c r="F5765">
        <v>5</v>
      </c>
      <c r="G5765">
        <f t="shared" si="90"/>
        <v>512</v>
      </c>
    </row>
    <row r="5766" spans="2:7" ht="15" hidden="1" x14ac:dyDescent="0.25">
      <c r="B5766" s="4">
        <v>584632242</v>
      </c>
      <c r="C5766" s="4" t="s">
        <v>269</v>
      </c>
      <c r="D5766" s="4">
        <v>513</v>
      </c>
      <c r="E5766" s="4">
        <v>57</v>
      </c>
      <c r="F5766">
        <v>5</v>
      </c>
      <c r="G5766">
        <f t="shared" si="90"/>
        <v>512</v>
      </c>
    </row>
    <row r="5767" spans="2:7" ht="15" hidden="1" x14ac:dyDescent="0.25">
      <c r="B5767" s="4">
        <v>584632243</v>
      </c>
      <c r="C5767" s="4" t="s">
        <v>269</v>
      </c>
      <c r="D5767" s="4">
        <v>514</v>
      </c>
      <c r="E5767" s="4">
        <v>57</v>
      </c>
      <c r="F5767">
        <v>5</v>
      </c>
      <c r="G5767">
        <f t="shared" si="90"/>
        <v>512</v>
      </c>
    </row>
    <row r="5768" spans="2:7" ht="15" hidden="1" x14ac:dyDescent="0.25">
      <c r="B5768" s="4">
        <v>584632244</v>
      </c>
      <c r="C5768" s="4" t="s">
        <v>269</v>
      </c>
      <c r="D5768" s="4">
        <v>515</v>
      </c>
      <c r="E5768" s="4">
        <v>57</v>
      </c>
      <c r="F5768">
        <v>5</v>
      </c>
      <c r="G5768">
        <f t="shared" si="90"/>
        <v>512</v>
      </c>
    </row>
    <row r="5769" spans="2:7" ht="15" hidden="1" x14ac:dyDescent="0.25">
      <c r="B5769" s="4">
        <v>584632245</v>
      </c>
      <c r="C5769" s="4" t="s">
        <v>269</v>
      </c>
      <c r="D5769" s="4">
        <v>516</v>
      </c>
      <c r="E5769" s="4">
        <v>57</v>
      </c>
      <c r="F5769">
        <v>5</v>
      </c>
      <c r="G5769">
        <f t="shared" si="90"/>
        <v>512</v>
      </c>
    </row>
    <row r="5770" spans="2:7" ht="15" hidden="1" x14ac:dyDescent="0.25">
      <c r="B5770" s="4">
        <v>584632246</v>
      </c>
      <c r="C5770" s="4" t="s">
        <v>269</v>
      </c>
      <c r="D5770" s="4">
        <v>517</v>
      </c>
      <c r="E5770" s="4">
        <v>57</v>
      </c>
      <c r="F5770">
        <v>5</v>
      </c>
      <c r="G5770">
        <f t="shared" si="90"/>
        <v>512</v>
      </c>
    </row>
    <row r="5771" spans="2:7" ht="15" hidden="1" x14ac:dyDescent="0.25">
      <c r="B5771" s="4">
        <v>584632247</v>
      </c>
      <c r="C5771" s="4" t="s">
        <v>269</v>
      </c>
      <c r="D5771" s="4">
        <v>518</v>
      </c>
      <c r="E5771" s="4">
        <v>57</v>
      </c>
      <c r="F5771">
        <v>5</v>
      </c>
      <c r="G5771">
        <f t="shared" si="90"/>
        <v>512</v>
      </c>
    </row>
    <row r="5772" spans="2:7" ht="15" hidden="1" x14ac:dyDescent="0.25">
      <c r="B5772" s="4">
        <v>584632248</v>
      </c>
      <c r="C5772" s="4" t="s">
        <v>269</v>
      </c>
      <c r="D5772" s="4">
        <v>519</v>
      </c>
      <c r="E5772" s="4">
        <v>57</v>
      </c>
      <c r="F5772">
        <v>5</v>
      </c>
      <c r="G5772">
        <f t="shared" si="90"/>
        <v>512</v>
      </c>
    </row>
    <row r="5773" spans="2:7" ht="15" hidden="1" x14ac:dyDescent="0.25">
      <c r="B5773" s="4">
        <v>584632248</v>
      </c>
      <c r="C5773" s="4" t="s">
        <v>272</v>
      </c>
      <c r="D5773" s="4">
        <v>40</v>
      </c>
      <c r="E5773" s="4">
        <v>219</v>
      </c>
      <c r="F5773">
        <v>5</v>
      </c>
      <c r="G5773">
        <f t="shared" si="90"/>
        <v>1808</v>
      </c>
    </row>
    <row r="5774" spans="2:7" ht="15" hidden="1" x14ac:dyDescent="0.25">
      <c r="B5774" s="4">
        <v>584632249</v>
      </c>
      <c r="C5774" s="4" t="s">
        <v>269</v>
      </c>
      <c r="D5774" s="4">
        <v>520</v>
      </c>
      <c r="E5774" s="4">
        <v>57</v>
      </c>
      <c r="F5774">
        <v>5</v>
      </c>
      <c r="G5774">
        <f t="shared" si="90"/>
        <v>512</v>
      </c>
    </row>
    <row r="5775" spans="2:7" ht="15" hidden="1" x14ac:dyDescent="0.25">
      <c r="B5775" s="4">
        <v>584632250</v>
      </c>
      <c r="C5775" s="4" t="s">
        <v>269</v>
      </c>
      <c r="D5775" s="4">
        <v>521</v>
      </c>
      <c r="E5775" s="4">
        <v>57</v>
      </c>
      <c r="F5775">
        <v>5</v>
      </c>
      <c r="G5775">
        <f t="shared" si="90"/>
        <v>512</v>
      </c>
    </row>
    <row r="5776" spans="2:7" ht="15" hidden="1" x14ac:dyDescent="0.25">
      <c r="B5776" s="4">
        <v>584632251</v>
      </c>
      <c r="C5776" s="4" t="s">
        <v>269</v>
      </c>
      <c r="D5776" s="4">
        <v>522</v>
      </c>
      <c r="E5776" s="4">
        <v>57</v>
      </c>
      <c r="F5776">
        <v>5</v>
      </c>
      <c r="G5776">
        <f t="shared" si="90"/>
        <v>512</v>
      </c>
    </row>
    <row r="5777" spans="2:7" ht="15" hidden="1" x14ac:dyDescent="0.25">
      <c r="B5777" s="4">
        <v>584632252</v>
      </c>
      <c r="C5777" s="4" t="s">
        <v>269</v>
      </c>
      <c r="D5777" s="4">
        <v>523</v>
      </c>
      <c r="E5777" s="4">
        <v>57</v>
      </c>
      <c r="F5777">
        <v>5</v>
      </c>
      <c r="G5777">
        <f t="shared" si="90"/>
        <v>512</v>
      </c>
    </row>
    <row r="5778" spans="2:7" ht="15" hidden="1" x14ac:dyDescent="0.25">
      <c r="B5778" s="4">
        <v>584632253</v>
      </c>
      <c r="C5778" s="4" t="s">
        <v>269</v>
      </c>
      <c r="D5778" s="4">
        <v>524</v>
      </c>
      <c r="E5778" s="4">
        <v>57</v>
      </c>
      <c r="F5778">
        <v>5</v>
      </c>
      <c r="G5778">
        <f t="shared" si="90"/>
        <v>512</v>
      </c>
    </row>
    <row r="5779" spans="2:7" ht="15" hidden="1" x14ac:dyDescent="0.25">
      <c r="B5779" s="4">
        <v>584632254</v>
      </c>
      <c r="C5779" s="4" t="s">
        <v>269</v>
      </c>
      <c r="D5779" s="4">
        <v>525</v>
      </c>
      <c r="E5779" s="4">
        <v>57</v>
      </c>
      <c r="F5779">
        <v>5</v>
      </c>
      <c r="G5779">
        <f t="shared" si="90"/>
        <v>512</v>
      </c>
    </row>
    <row r="5780" spans="2:7" ht="15" hidden="1" x14ac:dyDescent="0.25">
      <c r="B5780" s="4">
        <v>584632255</v>
      </c>
      <c r="C5780" s="4" t="s">
        <v>269</v>
      </c>
      <c r="D5780" s="4">
        <v>526</v>
      </c>
      <c r="E5780" s="4">
        <v>57</v>
      </c>
      <c r="F5780">
        <v>5</v>
      </c>
      <c r="G5780">
        <f t="shared" si="90"/>
        <v>512</v>
      </c>
    </row>
    <row r="5781" spans="2:7" ht="15" hidden="1" x14ac:dyDescent="0.25">
      <c r="B5781" s="4">
        <v>584632256</v>
      </c>
      <c r="C5781" s="4" t="s">
        <v>269</v>
      </c>
      <c r="D5781" s="4">
        <v>527</v>
      </c>
      <c r="E5781" s="4">
        <v>57</v>
      </c>
      <c r="F5781">
        <v>5</v>
      </c>
      <c r="G5781">
        <f t="shared" si="90"/>
        <v>512</v>
      </c>
    </row>
    <row r="5782" spans="2:7" ht="15" hidden="1" x14ac:dyDescent="0.25">
      <c r="B5782" s="4">
        <v>584632257</v>
      </c>
      <c r="C5782" s="4" t="s">
        <v>269</v>
      </c>
      <c r="D5782" s="4">
        <v>528</v>
      </c>
      <c r="E5782" s="4">
        <v>57</v>
      </c>
      <c r="F5782">
        <v>5</v>
      </c>
      <c r="G5782">
        <f t="shared" si="90"/>
        <v>512</v>
      </c>
    </row>
    <row r="5783" spans="2:7" ht="15" hidden="1" x14ac:dyDescent="0.25">
      <c r="B5783" s="4">
        <v>584632258</v>
      </c>
      <c r="C5783" s="4" t="s">
        <v>269</v>
      </c>
      <c r="D5783" s="4">
        <v>529</v>
      </c>
      <c r="E5783" s="4">
        <v>57</v>
      </c>
      <c r="F5783">
        <v>5</v>
      </c>
      <c r="G5783">
        <f t="shared" si="90"/>
        <v>512</v>
      </c>
    </row>
    <row r="5784" spans="2:7" ht="15" hidden="1" x14ac:dyDescent="0.25">
      <c r="B5784" s="4">
        <v>584632258</v>
      </c>
      <c r="C5784" s="4" t="s">
        <v>272</v>
      </c>
      <c r="D5784" s="4">
        <v>41</v>
      </c>
      <c r="E5784" s="4">
        <v>219</v>
      </c>
      <c r="F5784">
        <v>5</v>
      </c>
      <c r="G5784">
        <f t="shared" si="90"/>
        <v>1808</v>
      </c>
    </row>
    <row r="5785" spans="2:7" ht="15" hidden="1" x14ac:dyDescent="0.25">
      <c r="B5785" s="4">
        <v>584632259</v>
      </c>
      <c r="C5785" s="4" t="s">
        <v>269</v>
      </c>
      <c r="D5785" s="4">
        <v>530</v>
      </c>
      <c r="E5785" s="4">
        <v>57</v>
      </c>
      <c r="F5785">
        <v>5</v>
      </c>
      <c r="G5785">
        <f t="shared" si="90"/>
        <v>512</v>
      </c>
    </row>
    <row r="5786" spans="2:7" ht="15" hidden="1" x14ac:dyDescent="0.25">
      <c r="B5786" s="4">
        <v>584632260</v>
      </c>
      <c r="C5786" s="4" t="s">
        <v>269</v>
      </c>
      <c r="D5786" s="4">
        <v>531</v>
      </c>
      <c r="E5786" s="4">
        <v>57</v>
      </c>
      <c r="F5786">
        <v>5</v>
      </c>
      <c r="G5786">
        <f t="shared" si="90"/>
        <v>512</v>
      </c>
    </row>
    <row r="5787" spans="2:7" ht="15" hidden="1" x14ac:dyDescent="0.25">
      <c r="B5787" s="4">
        <v>584632261</v>
      </c>
      <c r="C5787" s="4" t="s">
        <v>269</v>
      </c>
      <c r="D5787" s="4">
        <v>532</v>
      </c>
      <c r="E5787" s="4">
        <v>57</v>
      </c>
      <c r="F5787">
        <v>5</v>
      </c>
      <c r="G5787">
        <f t="shared" si="90"/>
        <v>512</v>
      </c>
    </row>
    <row r="5788" spans="2:7" ht="15" hidden="1" x14ac:dyDescent="0.25">
      <c r="B5788" s="4">
        <v>584632262</v>
      </c>
      <c r="C5788" s="4" t="s">
        <v>269</v>
      </c>
      <c r="D5788" s="4">
        <v>533</v>
      </c>
      <c r="E5788" s="4">
        <v>57</v>
      </c>
      <c r="F5788">
        <v>5</v>
      </c>
      <c r="G5788">
        <f t="shared" si="90"/>
        <v>512</v>
      </c>
    </row>
    <row r="5789" spans="2:7" ht="15" hidden="1" x14ac:dyDescent="0.25">
      <c r="B5789" s="4">
        <v>584632263</v>
      </c>
      <c r="C5789" s="4" t="s">
        <v>269</v>
      </c>
      <c r="D5789" s="4">
        <v>534</v>
      </c>
      <c r="E5789" s="4">
        <v>57</v>
      </c>
      <c r="F5789">
        <v>5</v>
      </c>
      <c r="G5789">
        <f t="shared" si="90"/>
        <v>512</v>
      </c>
    </row>
    <row r="5790" spans="2:7" ht="15" hidden="1" x14ac:dyDescent="0.25">
      <c r="B5790" s="4">
        <v>584632264</v>
      </c>
      <c r="C5790" s="4" t="s">
        <v>269</v>
      </c>
      <c r="D5790" s="4">
        <v>535</v>
      </c>
      <c r="E5790" s="4">
        <v>57</v>
      </c>
      <c r="F5790">
        <v>5</v>
      </c>
      <c r="G5790">
        <f t="shared" si="90"/>
        <v>512</v>
      </c>
    </row>
    <row r="5791" spans="2:7" ht="15" hidden="1" x14ac:dyDescent="0.25">
      <c r="B5791" s="4">
        <v>584632265</v>
      </c>
      <c r="C5791" s="4" t="s">
        <v>269</v>
      </c>
      <c r="D5791" s="4">
        <v>536</v>
      </c>
      <c r="E5791" s="4">
        <v>57</v>
      </c>
      <c r="F5791">
        <v>5</v>
      </c>
      <c r="G5791">
        <f t="shared" si="90"/>
        <v>512</v>
      </c>
    </row>
    <row r="5792" spans="2:7" ht="15" hidden="1" x14ac:dyDescent="0.25">
      <c r="B5792" s="4">
        <v>584632266</v>
      </c>
      <c r="C5792" s="4" t="s">
        <v>269</v>
      </c>
      <c r="D5792" s="4">
        <v>537</v>
      </c>
      <c r="E5792" s="4">
        <v>57</v>
      </c>
      <c r="F5792">
        <v>5</v>
      </c>
      <c r="G5792">
        <f t="shared" si="90"/>
        <v>512</v>
      </c>
    </row>
    <row r="5793" spans="2:7" ht="15" hidden="1" x14ac:dyDescent="0.25">
      <c r="B5793" s="4">
        <v>584632267</v>
      </c>
      <c r="C5793" s="4" t="s">
        <v>269</v>
      </c>
      <c r="D5793" s="4">
        <v>538</v>
      </c>
      <c r="E5793" s="4">
        <v>57</v>
      </c>
      <c r="F5793">
        <v>5</v>
      </c>
      <c r="G5793">
        <f t="shared" si="90"/>
        <v>512</v>
      </c>
    </row>
    <row r="5794" spans="2:7" ht="15" hidden="1" x14ac:dyDescent="0.25">
      <c r="B5794" s="4">
        <v>584632268</v>
      </c>
      <c r="C5794" s="4" t="s">
        <v>269</v>
      </c>
      <c r="D5794" s="4">
        <v>539</v>
      </c>
      <c r="E5794" s="4">
        <v>57</v>
      </c>
      <c r="G5794">
        <f t="shared" si="90"/>
        <v>512</v>
      </c>
    </row>
    <row r="5795" spans="2:7" ht="15" hidden="1" x14ac:dyDescent="0.25">
      <c r="B5795" s="4">
        <v>584632268</v>
      </c>
      <c r="C5795" s="4" t="s">
        <v>272</v>
      </c>
      <c r="D5795" s="4">
        <v>42</v>
      </c>
      <c r="E5795" s="4">
        <v>219</v>
      </c>
      <c r="G5795">
        <f t="shared" si="90"/>
        <v>1808</v>
      </c>
    </row>
    <row r="5796" spans="2:7" ht="15" hidden="1" x14ac:dyDescent="0.25">
      <c r="B5796" s="4">
        <v>584632269</v>
      </c>
      <c r="C5796" s="4" t="s">
        <v>269</v>
      </c>
      <c r="D5796" s="4">
        <v>540</v>
      </c>
      <c r="E5796" s="4">
        <v>57</v>
      </c>
      <c r="G5796">
        <f t="shared" si="90"/>
        <v>512</v>
      </c>
    </row>
    <row r="5797" spans="2:7" ht="15" hidden="1" x14ac:dyDescent="0.25">
      <c r="B5797" s="4">
        <v>584632270</v>
      </c>
      <c r="C5797" s="4" t="s">
        <v>269</v>
      </c>
      <c r="D5797" s="4">
        <v>541</v>
      </c>
      <c r="E5797" s="4">
        <v>57</v>
      </c>
      <c r="G5797">
        <f t="shared" si="90"/>
        <v>512</v>
      </c>
    </row>
    <row r="5798" spans="2:7" ht="15" hidden="1" x14ac:dyDescent="0.25">
      <c r="B5798" s="4">
        <v>584632271</v>
      </c>
      <c r="C5798" s="4" t="s">
        <v>269</v>
      </c>
      <c r="D5798" s="4">
        <v>542</v>
      </c>
      <c r="E5798" s="4">
        <v>57</v>
      </c>
      <c r="G5798">
        <f t="shared" si="90"/>
        <v>512</v>
      </c>
    </row>
    <row r="5799" spans="2:7" ht="15" hidden="1" x14ac:dyDescent="0.25">
      <c r="B5799" s="4">
        <v>584632272</v>
      </c>
      <c r="C5799" s="4" t="s">
        <v>269</v>
      </c>
      <c r="D5799" s="4">
        <v>543</v>
      </c>
      <c r="E5799" s="4">
        <v>57</v>
      </c>
      <c r="G5799">
        <f t="shared" si="90"/>
        <v>512</v>
      </c>
    </row>
    <row r="5800" spans="2:7" ht="15" hidden="1" x14ac:dyDescent="0.25">
      <c r="B5800" s="4">
        <v>584632273</v>
      </c>
      <c r="C5800" s="4" t="s">
        <v>269</v>
      </c>
      <c r="D5800" s="4">
        <v>544</v>
      </c>
      <c r="E5800" s="4">
        <v>57</v>
      </c>
      <c r="G5800">
        <f t="shared" si="90"/>
        <v>512</v>
      </c>
    </row>
    <row r="5801" spans="2:7" ht="15" hidden="1" x14ac:dyDescent="0.25">
      <c r="B5801" s="4">
        <v>584632274</v>
      </c>
      <c r="C5801" s="4" t="s">
        <v>269</v>
      </c>
      <c r="D5801" s="4">
        <v>545</v>
      </c>
      <c r="E5801" s="4">
        <v>57</v>
      </c>
      <c r="G5801">
        <f t="shared" si="90"/>
        <v>512</v>
      </c>
    </row>
    <row r="5802" spans="2:7" ht="15" hidden="1" x14ac:dyDescent="0.25">
      <c r="B5802" s="4">
        <v>584632275</v>
      </c>
      <c r="C5802" s="4" t="s">
        <v>269</v>
      </c>
      <c r="D5802" s="4">
        <v>546</v>
      </c>
      <c r="E5802" s="4">
        <v>57</v>
      </c>
      <c r="G5802">
        <f t="shared" si="90"/>
        <v>512</v>
      </c>
    </row>
    <row r="5803" spans="2:7" ht="15" hidden="1" x14ac:dyDescent="0.25">
      <c r="B5803" s="4">
        <v>584632276</v>
      </c>
      <c r="C5803" s="4" t="s">
        <v>269</v>
      </c>
      <c r="D5803" s="4">
        <v>547</v>
      </c>
      <c r="E5803" s="4">
        <v>57</v>
      </c>
      <c r="G5803">
        <f t="shared" si="90"/>
        <v>512</v>
      </c>
    </row>
    <row r="5804" spans="2:7" ht="15" hidden="1" x14ac:dyDescent="0.25">
      <c r="B5804" s="4">
        <v>584632277</v>
      </c>
      <c r="C5804" s="4" t="s">
        <v>269</v>
      </c>
      <c r="D5804" s="4">
        <v>548</v>
      </c>
      <c r="E5804" s="4">
        <v>57</v>
      </c>
      <c r="G5804">
        <f t="shared" si="90"/>
        <v>512</v>
      </c>
    </row>
    <row r="5805" spans="2:7" ht="15" hidden="1" x14ac:dyDescent="0.25">
      <c r="B5805" s="4">
        <v>584632278</v>
      </c>
      <c r="C5805" s="4" t="s">
        <v>269</v>
      </c>
      <c r="D5805" s="4">
        <v>549</v>
      </c>
      <c r="E5805" s="4">
        <v>57</v>
      </c>
      <c r="G5805">
        <f t="shared" si="90"/>
        <v>512</v>
      </c>
    </row>
    <row r="5806" spans="2:7" ht="15" hidden="1" x14ac:dyDescent="0.25">
      <c r="B5806" s="4">
        <v>584632278</v>
      </c>
      <c r="C5806" s="4" t="s">
        <v>272</v>
      </c>
      <c r="D5806" s="4">
        <v>43</v>
      </c>
      <c r="E5806" s="4">
        <v>219</v>
      </c>
      <c r="G5806">
        <f t="shared" si="90"/>
        <v>1808</v>
      </c>
    </row>
    <row r="5807" spans="2:7" ht="15" hidden="1" x14ac:dyDescent="0.25">
      <c r="B5807" s="4">
        <v>584632279</v>
      </c>
      <c r="C5807" s="4" t="s">
        <v>269</v>
      </c>
      <c r="D5807" s="4">
        <v>550</v>
      </c>
      <c r="E5807" s="4">
        <v>57</v>
      </c>
      <c r="G5807">
        <f t="shared" si="90"/>
        <v>512</v>
      </c>
    </row>
    <row r="5808" spans="2:7" ht="15" hidden="1" x14ac:dyDescent="0.25">
      <c r="B5808" s="4">
        <v>584632280</v>
      </c>
      <c r="C5808" s="4" t="s">
        <v>269</v>
      </c>
      <c r="D5808" s="4">
        <v>551</v>
      </c>
      <c r="E5808" s="4">
        <v>57</v>
      </c>
      <c r="G5808">
        <f t="shared" si="90"/>
        <v>512</v>
      </c>
    </row>
    <row r="5809" spans="2:7" ht="15" hidden="1" x14ac:dyDescent="0.25">
      <c r="B5809" s="4">
        <v>584632281</v>
      </c>
      <c r="C5809" s="4" t="s">
        <v>269</v>
      </c>
      <c r="D5809" s="4">
        <v>552</v>
      </c>
      <c r="E5809" s="4">
        <v>57</v>
      </c>
      <c r="G5809">
        <f t="shared" si="90"/>
        <v>512</v>
      </c>
    </row>
    <row r="5810" spans="2:7" ht="15" hidden="1" x14ac:dyDescent="0.25">
      <c r="B5810" s="4">
        <v>584632282</v>
      </c>
      <c r="C5810" s="4" t="s">
        <v>269</v>
      </c>
      <c r="D5810" s="4">
        <v>553</v>
      </c>
      <c r="E5810" s="4">
        <v>57</v>
      </c>
      <c r="G5810">
        <f t="shared" si="90"/>
        <v>512</v>
      </c>
    </row>
    <row r="5811" spans="2:7" ht="15" hidden="1" x14ac:dyDescent="0.25">
      <c r="B5811" s="4">
        <v>584632283</v>
      </c>
      <c r="C5811" s="4" t="s">
        <v>269</v>
      </c>
      <c r="D5811" s="4">
        <v>554</v>
      </c>
      <c r="E5811" s="4">
        <v>57</v>
      </c>
      <c r="G5811">
        <f t="shared" si="90"/>
        <v>512</v>
      </c>
    </row>
    <row r="5812" spans="2:7" ht="15" hidden="1" x14ac:dyDescent="0.25">
      <c r="B5812" s="4">
        <v>584632284</v>
      </c>
      <c r="C5812" s="4" t="s">
        <v>269</v>
      </c>
      <c r="D5812" s="4">
        <v>555</v>
      </c>
      <c r="E5812" s="4">
        <v>57</v>
      </c>
      <c r="G5812">
        <f t="shared" si="90"/>
        <v>512</v>
      </c>
    </row>
    <row r="5813" spans="2:7" ht="15" hidden="1" x14ac:dyDescent="0.25">
      <c r="B5813" s="4">
        <v>584632285</v>
      </c>
      <c r="C5813" s="4" t="s">
        <v>269</v>
      </c>
      <c r="D5813" s="4">
        <v>556</v>
      </c>
      <c r="E5813" s="4">
        <v>57</v>
      </c>
      <c r="G5813">
        <f t="shared" si="90"/>
        <v>512</v>
      </c>
    </row>
    <row r="5814" spans="2:7" ht="15" hidden="1" x14ac:dyDescent="0.25">
      <c r="B5814" s="4">
        <v>584632286</v>
      </c>
      <c r="C5814" s="4" t="s">
        <v>269</v>
      </c>
      <c r="D5814" s="4">
        <v>557</v>
      </c>
      <c r="E5814" s="4">
        <v>57</v>
      </c>
      <c r="G5814">
        <f t="shared" si="90"/>
        <v>512</v>
      </c>
    </row>
    <row r="5815" spans="2:7" ht="15" hidden="1" x14ac:dyDescent="0.25">
      <c r="B5815" s="4">
        <v>584632287</v>
      </c>
      <c r="C5815" s="4" t="s">
        <v>269</v>
      </c>
      <c r="D5815" s="4">
        <v>558</v>
      </c>
      <c r="E5815" s="4">
        <v>57</v>
      </c>
      <c r="G5815">
        <f t="shared" si="90"/>
        <v>512</v>
      </c>
    </row>
    <row r="5816" spans="2:7" ht="15" hidden="1" x14ac:dyDescent="0.25">
      <c r="B5816" s="4">
        <v>584632288</v>
      </c>
      <c r="C5816" s="4" t="s">
        <v>269</v>
      </c>
      <c r="D5816" s="4">
        <v>559</v>
      </c>
      <c r="E5816" s="4">
        <v>57</v>
      </c>
      <c r="G5816">
        <f t="shared" si="90"/>
        <v>512</v>
      </c>
    </row>
    <row r="5817" spans="2:7" ht="15" hidden="1" x14ac:dyDescent="0.25">
      <c r="B5817" s="4">
        <v>584632288</v>
      </c>
      <c r="C5817" s="4" t="s">
        <v>272</v>
      </c>
      <c r="D5817" s="4">
        <v>44</v>
      </c>
      <c r="E5817" s="4">
        <v>219</v>
      </c>
      <c r="G5817">
        <f t="shared" si="90"/>
        <v>1808</v>
      </c>
    </row>
    <row r="5818" spans="2:7" ht="15" hidden="1" x14ac:dyDescent="0.25">
      <c r="B5818" s="4">
        <v>584632289</v>
      </c>
      <c r="C5818" s="4" t="s">
        <v>269</v>
      </c>
      <c r="D5818" s="4">
        <v>560</v>
      </c>
      <c r="E5818" s="4">
        <v>57</v>
      </c>
      <c r="G5818">
        <f t="shared" si="90"/>
        <v>512</v>
      </c>
    </row>
    <row r="5819" spans="2:7" ht="15" hidden="1" x14ac:dyDescent="0.25">
      <c r="B5819" s="4">
        <v>584632290</v>
      </c>
      <c r="C5819" s="4" t="s">
        <v>269</v>
      </c>
      <c r="D5819" s="4">
        <v>561</v>
      </c>
      <c r="E5819" s="4">
        <v>57</v>
      </c>
      <c r="G5819">
        <f t="shared" si="90"/>
        <v>512</v>
      </c>
    </row>
    <row r="5820" spans="2:7" ht="15" hidden="1" x14ac:dyDescent="0.25">
      <c r="B5820" s="4">
        <v>584632291</v>
      </c>
      <c r="C5820" s="4" t="s">
        <v>269</v>
      </c>
      <c r="D5820" s="4">
        <v>562</v>
      </c>
      <c r="E5820" s="4">
        <v>57</v>
      </c>
      <c r="F5820">
        <v>5</v>
      </c>
      <c r="G5820">
        <f t="shared" si="90"/>
        <v>512</v>
      </c>
    </row>
    <row r="5821" spans="2:7" ht="15" hidden="1" x14ac:dyDescent="0.25">
      <c r="B5821" s="4">
        <v>584632292</v>
      </c>
      <c r="C5821" s="4" t="s">
        <v>269</v>
      </c>
      <c r="D5821" s="4">
        <v>563</v>
      </c>
      <c r="E5821" s="4">
        <v>57</v>
      </c>
      <c r="G5821">
        <f t="shared" si="90"/>
        <v>512</v>
      </c>
    </row>
    <row r="5822" spans="2:7" ht="15" hidden="1" x14ac:dyDescent="0.25">
      <c r="B5822" s="4">
        <v>584632293</v>
      </c>
      <c r="C5822" s="4" t="s">
        <v>269</v>
      </c>
      <c r="D5822" s="4">
        <v>564</v>
      </c>
      <c r="E5822" s="4">
        <v>57</v>
      </c>
      <c r="G5822">
        <f t="shared" si="90"/>
        <v>512</v>
      </c>
    </row>
    <row r="5823" spans="2:7" ht="15" hidden="1" x14ac:dyDescent="0.25">
      <c r="B5823" s="4">
        <v>584632294</v>
      </c>
      <c r="C5823" s="4" t="s">
        <v>269</v>
      </c>
      <c r="D5823" s="4">
        <v>565</v>
      </c>
      <c r="E5823" s="4">
        <v>57</v>
      </c>
      <c r="G5823">
        <f t="shared" si="90"/>
        <v>512</v>
      </c>
    </row>
    <row r="5824" spans="2:7" ht="15" hidden="1" x14ac:dyDescent="0.25">
      <c r="B5824" s="4">
        <v>584632295</v>
      </c>
      <c r="C5824" s="4" t="s">
        <v>269</v>
      </c>
      <c r="D5824" s="4">
        <v>566</v>
      </c>
      <c r="E5824" s="4">
        <v>57</v>
      </c>
      <c r="G5824">
        <f t="shared" si="90"/>
        <v>512</v>
      </c>
    </row>
    <row r="5825" spans="2:7" ht="15" hidden="1" x14ac:dyDescent="0.25">
      <c r="B5825" s="4">
        <v>584632296</v>
      </c>
      <c r="C5825" s="4" t="s">
        <v>269</v>
      </c>
      <c r="D5825" s="4">
        <v>567</v>
      </c>
      <c r="E5825" s="4">
        <v>57</v>
      </c>
      <c r="G5825">
        <f t="shared" si="90"/>
        <v>512</v>
      </c>
    </row>
    <row r="5826" spans="2:7" ht="15" hidden="1" x14ac:dyDescent="0.25">
      <c r="B5826" s="4">
        <v>584632297</v>
      </c>
      <c r="C5826" s="4" t="s">
        <v>269</v>
      </c>
      <c r="D5826" s="4">
        <v>568</v>
      </c>
      <c r="E5826" s="4">
        <v>57</v>
      </c>
      <c r="F5826">
        <v>5</v>
      </c>
      <c r="G5826">
        <f t="shared" si="90"/>
        <v>512</v>
      </c>
    </row>
    <row r="5827" spans="2:7" ht="15" hidden="1" x14ac:dyDescent="0.25">
      <c r="B5827" s="4">
        <v>584632298</v>
      </c>
      <c r="C5827" s="4" t="s">
        <v>269</v>
      </c>
      <c r="D5827" s="4">
        <v>569</v>
      </c>
      <c r="E5827" s="4">
        <v>57</v>
      </c>
      <c r="G5827">
        <f t="shared" si="90"/>
        <v>512</v>
      </c>
    </row>
    <row r="5828" spans="2:7" ht="15" hidden="1" x14ac:dyDescent="0.25">
      <c r="B5828" s="4">
        <v>584632298</v>
      </c>
      <c r="C5828" s="4" t="s">
        <v>272</v>
      </c>
      <c r="D5828" s="4">
        <v>45</v>
      </c>
      <c r="E5828" s="4">
        <v>219</v>
      </c>
      <c r="G5828">
        <f t="shared" ref="G5828:G5891" si="91">(E5828+7)*8</f>
        <v>1808</v>
      </c>
    </row>
    <row r="5829" spans="2:7" ht="15" hidden="1" x14ac:dyDescent="0.25">
      <c r="B5829" s="4">
        <v>584632299</v>
      </c>
      <c r="C5829" s="4" t="s">
        <v>269</v>
      </c>
      <c r="D5829" s="4">
        <v>570</v>
      </c>
      <c r="E5829" s="4">
        <v>57</v>
      </c>
      <c r="F5829">
        <v>5</v>
      </c>
      <c r="G5829">
        <f t="shared" si="91"/>
        <v>512</v>
      </c>
    </row>
    <row r="5830" spans="2:7" ht="15" hidden="1" x14ac:dyDescent="0.25">
      <c r="B5830" s="4">
        <v>584632300</v>
      </c>
      <c r="C5830" s="4" t="s">
        <v>268</v>
      </c>
      <c r="D5830" s="4">
        <v>202</v>
      </c>
      <c r="E5830" s="4">
        <v>6</v>
      </c>
      <c r="G5830">
        <f t="shared" si="91"/>
        <v>104</v>
      </c>
    </row>
    <row r="5831" spans="2:7" ht="15" hidden="1" x14ac:dyDescent="0.25">
      <c r="B5831" s="4">
        <v>584632300</v>
      </c>
      <c r="C5831" s="4" t="s">
        <v>268</v>
      </c>
      <c r="D5831" s="4">
        <v>202</v>
      </c>
      <c r="E5831" s="4">
        <v>6</v>
      </c>
      <c r="G5831">
        <f t="shared" si="91"/>
        <v>104</v>
      </c>
    </row>
    <row r="5832" spans="2:7" ht="15" hidden="1" x14ac:dyDescent="0.25">
      <c r="B5832" s="4">
        <v>584632300</v>
      </c>
      <c r="C5832" s="4" t="s">
        <v>268</v>
      </c>
      <c r="D5832" s="4">
        <v>203</v>
      </c>
      <c r="E5832" s="4">
        <v>9</v>
      </c>
      <c r="G5832">
        <f t="shared" si="91"/>
        <v>128</v>
      </c>
    </row>
    <row r="5833" spans="2:7" ht="15" hidden="1" x14ac:dyDescent="0.25">
      <c r="B5833" s="4">
        <v>584632300</v>
      </c>
      <c r="C5833" s="4" t="s">
        <v>268</v>
      </c>
      <c r="D5833" s="4">
        <v>203</v>
      </c>
      <c r="E5833" s="4">
        <v>9</v>
      </c>
      <c r="G5833">
        <f t="shared" si="91"/>
        <v>128</v>
      </c>
    </row>
    <row r="5834" spans="2:7" ht="15" hidden="1" x14ac:dyDescent="0.25">
      <c r="B5834" s="4">
        <v>584632300</v>
      </c>
      <c r="C5834" s="4" t="s">
        <v>268</v>
      </c>
      <c r="D5834" s="4">
        <v>204</v>
      </c>
      <c r="E5834" s="4">
        <v>7</v>
      </c>
      <c r="G5834">
        <f t="shared" si="91"/>
        <v>112</v>
      </c>
    </row>
    <row r="5835" spans="2:7" ht="15" hidden="1" x14ac:dyDescent="0.25">
      <c r="B5835" s="4">
        <v>584632300</v>
      </c>
      <c r="C5835" s="4" t="s">
        <v>268</v>
      </c>
      <c r="D5835" s="4">
        <v>204</v>
      </c>
      <c r="E5835" s="4">
        <v>7</v>
      </c>
      <c r="G5835">
        <f t="shared" si="91"/>
        <v>112</v>
      </c>
    </row>
    <row r="5836" spans="2:7" ht="15" hidden="1" x14ac:dyDescent="0.25">
      <c r="B5836" s="4">
        <v>584632300</v>
      </c>
      <c r="C5836" s="4" t="s">
        <v>268</v>
      </c>
      <c r="D5836" s="4">
        <v>205</v>
      </c>
      <c r="E5836" s="4">
        <v>7</v>
      </c>
      <c r="G5836">
        <f t="shared" si="91"/>
        <v>112</v>
      </c>
    </row>
    <row r="5837" spans="2:7" ht="15" hidden="1" x14ac:dyDescent="0.25">
      <c r="B5837" s="4">
        <v>584632300</v>
      </c>
      <c r="C5837" s="4" t="s">
        <v>268</v>
      </c>
      <c r="D5837" s="4">
        <v>205</v>
      </c>
      <c r="E5837" s="4">
        <v>7</v>
      </c>
      <c r="G5837">
        <f t="shared" si="91"/>
        <v>112</v>
      </c>
    </row>
    <row r="5838" spans="2:7" ht="15" hidden="1" x14ac:dyDescent="0.25">
      <c r="B5838" s="4">
        <v>584632300</v>
      </c>
      <c r="C5838" s="4" t="s">
        <v>268</v>
      </c>
      <c r="D5838" s="4">
        <v>206</v>
      </c>
      <c r="E5838" s="4">
        <v>7</v>
      </c>
      <c r="G5838">
        <f t="shared" si="91"/>
        <v>112</v>
      </c>
    </row>
    <row r="5839" spans="2:7" ht="15" hidden="1" x14ac:dyDescent="0.25">
      <c r="B5839" s="4">
        <v>584632300</v>
      </c>
      <c r="C5839" s="4" t="s">
        <v>268</v>
      </c>
      <c r="D5839" s="4">
        <v>206</v>
      </c>
      <c r="E5839" s="4">
        <v>7</v>
      </c>
      <c r="G5839">
        <f t="shared" si="91"/>
        <v>112</v>
      </c>
    </row>
    <row r="5840" spans="2:7" ht="15" hidden="1" x14ac:dyDescent="0.25">
      <c r="B5840" s="4">
        <v>584632300</v>
      </c>
      <c r="C5840" s="4" t="s">
        <v>269</v>
      </c>
      <c r="D5840" s="4">
        <v>571</v>
      </c>
      <c r="E5840" s="4">
        <v>57</v>
      </c>
      <c r="G5840">
        <f t="shared" si="91"/>
        <v>512</v>
      </c>
    </row>
    <row r="5841" spans="2:7" ht="15" hidden="1" x14ac:dyDescent="0.25">
      <c r="B5841" s="4">
        <v>584632301</v>
      </c>
      <c r="C5841" s="4" t="s">
        <v>269</v>
      </c>
      <c r="D5841" s="4">
        <v>572</v>
      </c>
      <c r="E5841" s="4">
        <v>57</v>
      </c>
      <c r="G5841">
        <f t="shared" si="91"/>
        <v>512</v>
      </c>
    </row>
    <row r="5842" spans="2:7" ht="15" hidden="1" x14ac:dyDescent="0.25">
      <c r="B5842" s="4">
        <v>584632302</v>
      </c>
      <c r="C5842" s="4" t="s">
        <v>268</v>
      </c>
      <c r="D5842" s="4">
        <v>207</v>
      </c>
      <c r="E5842" s="4">
        <v>7</v>
      </c>
      <c r="G5842">
        <f t="shared" si="91"/>
        <v>112</v>
      </c>
    </row>
    <row r="5843" spans="2:7" ht="15" hidden="1" x14ac:dyDescent="0.25">
      <c r="B5843" s="4">
        <v>584632302</v>
      </c>
      <c r="C5843" s="4" t="s">
        <v>268</v>
      </c>
      <c r="D5843" s="4">
        <v>207</v>
      </c>
      <c r="E5843" s="4">
        <v>7</v>
      </c>
      <c r="G5843">
        <f t="shared" si="91"/>
        <v>112</v>
      </c>
    </row>
    <row r="5844" spans="2:7" ht="15" hidden="1" x14ac:dyDescent="0.25">
      <c r="B5844" s="4">
        <v>584632302</v>
      </c>
      <c r="C5844" s="4" t="s">
        <v>268</v>
      </c>
      <c r="D5844" s="4">
        <v>208</v>
      </c>
      <c r="E5844" s="4">
        <v>5</v>
      </c>
      <c r="G5844">
        <f t="shared" si="91"/>
        <v>96</v>
      </c>
    </row>
    <row r="5845" spans="2:7" ht="15" hidden="1" x14ac:dyDescent="0.25">
      <c r="B5845" s="4">
        <v>584632302</v>
      </c>
      <c r="C5845" s="4" t="s">
        <v>268</v>
      </c>
      <c r="D5845" s="4">
        <v>208</v>
      </c>
      <c r="E5845" s="4">
        <v>5</v>
      </c>
      <c r="G5845">
        <f t="shared" si="91"/>
        <v>96</v>
      </c>
    </row>
    <row r="5846" spans="2:7" ht="15" hidden="1" x14ac:dyDescent="0.25">
      <c r="B5846" s="4">
        <v>584632302</v>
      </c>
      <c r="C5846" s="4" t="s">
        <v>268</v>
      </c>
      <c r="D5846" s="4">
        <v>209</v>
      </c>
      <c r="E5846" s="4">
        <v>7</v>
      </c>
      <c r="G5846">
        <f t="shared" si="91"/>
        <v>112</v>
      </c>
    </row>
    <row r="5847" spans="2:7" ht="15" hidden="1" x14ac:dyDescent="0.25">
      <c r="B5847" s="4">
        <v>584632302</v>
      </c>
      <c r="C5847" s="4" t="s">
        <v>268</v>
      </c>
      <c r="D5847" s="4">
        <v>209</v>
      </c>
      <c r="E5847" s="4">
        <v>7</v>
      </c>
      <c r="G5847">
        <f t="shared" si="91"/>
        <v>112</v>
      </c>
    </row>
    <row r="5848" spans="2:7" ht="15" hidden="1" x14ac:dyDescent="0.25">
      <c r="B5848" s="4">
        <v>584632302</v>
      </c>
      <c r="C5848" s="4" t="s">
        <v>269</v>
      </c>
      <c r="D5848" s="4">
        <v>573</v>
      </c>
      <c r="E5848" s="4">
        <v>57</v>
      </c>
      <c r="G5848">
        <f t="shared" si="91"/>
        <v>512</v>
      </c>
    </row>
    <row r="5849" spans="2:7" ht="15" hidden="1" x14ac:dyDescent="0.25">
      <c r="B5849" s="4">
        <v>584632303</v>
      </c>
      <c r="C5849" s="4" t="s">
        <v>269</v>
      </c>
      <c r="D5849" s="4">
        <v>574</v>
      </c>
      <c r="E5849" s="4">
        <v>57</v>
      </c>
      <c r="G5849">
        <f t="shared" si="91"/>
        <v>512</v>
      </c>
    </row>
    <row r="5850" spans="2:7" ht="15" hidden="1" x14ac:dyDescent="0.25">
      <c r="B5850" s="4">
        <v>584632304</v>
      </c>
      <c r="C5850" s="4" t="s">
        <v>269</v>
      </c>
      <c r="D5850" s="4">
        <v>575</v>
      </c>
      <c r="E5850" s="4">
        <v>57</v>
      </c>
      <c r="G5850">
        <f t="shared" si="91"/>
        <v>512</v>
      </c>
    </row>
    <row r="5851" spans="2:7" ht="15" hidden="1" x14ac:dyDescent="0.25">
      <c r="B5851" s="4">
        <v>584632305</v>
      </c>
      <c r="C5851" s="4" t="s">
        <v>269</v>
      </c>
      <c r="D5851" s="4">
        <v>576</v>
      </c>
      <c r="E5851" s="4">
        <v>57</v>
      </c>
      <c r="G5851">
        <f t="shared" si="91"/>
        <v>512</v>
      </c>
    </row>
    <row r="5852" spans="2:7" ht="15" hidden="1" x14ac:dyDescent="0.25">
      <c r="B5852" s="4">
        <v>584632306</v>
      </c>
      <c r="C5852" s="4" t="s">
        <v>269</v>
      </c>
      <c r="D5852" s="4">
        <v>577</v>
      </c>
      <c r="E5852" s="4">
        <v>57</v>
      </c>
      <c r="G5852">
        <f t="shared" si="91"/>
        <v>512</v>
      </c>
    </row>
    <row r="5853" spans="2:7" ht="15" hidden="1" x14ac:dyDescent="0.25">
      <c r="B5853" s="4">
        <v>584632307</v>
      </c>
      <c r="C5853" s="4" t="s">
        <v>269</v>
      </c>
      <c r="D5853" s="4">
        <v>578</v>
      </c>
      <c r="E5853" s="4">
        <v>57</v>
      </c>
      <c r="G5853">
        <f t="shared" si="91"/>
        <v>512</v>
      </c>
    </row>
    <row r="5854" spans="2:7" ht="15" hidden="1" x14ac:dyDescent="0.25">
      <c r="B5854" s="4">
        <v>584632308</v>
      </c>
      <c r="C5854" s="4" t="s">
        <v>269</v>
      </c>
      <c r="D5854" s="4">
        <v>579</v>
      </c>
      <c r="E5854" s="4">
        <v>57</v>
      </c>
      <c r="G5854">
        <f t="shared" si="91"/>
        <v>512</v>
      </c>
    </row>
    <row r="5855" spans="2:7" ht="15" hidden="1" x14ac:dyDescent="0.25">
      <c r="B5855" s="4">
        <v>584632308</v>
      </c>
      <c r="C5855" s="4" t="s">
        <v>272</v>
      </c>
      <c r="D5855" s="4">
        <v>46</v>
      </c>
      <c r="E5855" s="4">
        <v>219</v>
      </c>
      <c r="G5855">
        <f t="shared" si="91"/>
        <v>1808</v>
      </c>
    </row>
    <row r="5856" spans="2:7" ht="15" hidden="1" x14ac:dyDescent="0.25">
      <c r="B5856" s="4">
        <v>584632309</v>
      </c>
      <c r="C5856" s="4" t="s">
        <v>269</v>
      </c>
      <c r="D5856" s="4">
        <v>580</v>
      </c>
      <c r="E5856" s="4">
        <v>57</v>
      </c>
      <c r="G5856">
        <f t="shared" si="91"/>
        <v>512</v>
      </c>
    </row>
    <row r="5857" spans="2:7" ht="15" hidden="1" x14ac:dyDescent="0.25">
      <c r="B5857" s="4">
        <v>584632310</v>
      </c>
      <c r="C5857" s="4" t="s">
        <v>269</v>
      </c>
      <c r="D5857" s="4">
        <v>581</v>
      </c>
      <c r="E5857" s="4">
        <v>57</v>
      </c>
      <c r="G5857">
        <f t="shared" si="91"/>
        <v>512</v>
      </c>
    </row>
    <row r="5858" spans="2:7" ht="15" hidden="1" x14ac:dyDescent="0.25">
      <c r="B5858" s="4">
        <v>584632311</v>
      </c>
      <c r="C5858" s="4" t="s">
        <v>269</v>
      </c>
      <c r="D5858" s="4">
        <v>582</v>
      </c>
      <c r="E5858" s="4">
        <v>57</v>
      </c>
      <c r="G5858">
        <f t="shared" si="91"/>
        <v>512</v>
      </c>
    </row>
    <row r="5859" spans="2:7" ht="15" hidden="1" x14ac:dyDescent="0.25">
      <c r="B5859" s="4">
        <v>584632312</v>
      </c>
      <c r="C5859" s="4" t="s">
        <v>269</v>
      </c>
      <c r="D5859" s="4">
        <v>583</v>
      </c>
      <c r="E5859" s="4">
        <v>57</v>
      </c>
      <c r="F5859">
        <v>5</v>
      </c>
      <c r="G5859">
        <f t="shared" si="91"/>
        <v>512</v>
      </c>
    </row>
    <row r="5860" spans="2:7" ht="15" hidden="1" x14ac:dyDescent="0.25">
      <c r="B5860" s="4">
        <v>584632313</v>
      </c>
      <c r="C5860" s="4" t="s">
        <v>269</v>
      </c>
      <c r="D5860" s="4">
        <v>584</v>
      </c>
      <c r="E5860" s="4">
        <v>57</v>
      </c>
      <c r="G5860">
        <f t="shared" si="91"/>
        <v>512</v>
      </c>
    </row>
    <row r="5861" spans="2:7" ht="15" hidden="1" x14ac:dyDescent="0.25">
      <c r="B5861" s="4">
        <v>584632314</v>
      </c>
      <c r="C5861" s="4" t="s">
        <v>269</v>
      </c>
      <c r="D5861" s="4">
        <v>585</v>
      </c>
      <c r="E5861" s="4">
        <v>57</v>
      </c>
      <c r="G5861">
        <f t="shared" si="91"/>
        <v>512</v>
      </c>
    </row>
    <row r="5862" spans="2:7" ht="15" hidden="1" x14ac:dyDescent="0.25">
      <c r="B5862" s="4">
        <v>584632315</v>
      </c>
      <c r="C5862" s="4" t="s">
        <v>269</v>
      </c>
      <c r="D5862" s="4">
        <v>586</v>
      </c>
      <c r="E5862" s="4">
        <v>57</v>
      </c>
      <c r="F5862">
        <v>5</v>
      </c>
      <c r="G5862">
        <f t="shared" si="91"/>
        <v>512</v>
      </c>
    </row>
    <row r="5863" spans="2:7" ht="15" hidden="1" x14ac:dyDescent="0.25">
      <c r="B5863" s="4">
        <v>584632316</v>
      </c>
      <c r="C5863" s="4" t="s">
        <v>269</v>
      </c>
      <c r="D5863" s="4">
        <v>587</v>
      </c>
      <c r="E5863" s="4">
        <v>57</v>
      </c>
      <c r="G5863">
        <f t="shared" si="91"/>
        <v>512</v>
      </c>
    </row>
    <row r="5864" spans="2:7" ht="15" hidden="1" x14ac:dyDescent="0.25">
      <c r="B5864" s="4">
        <v>584632317</v>
      </c>
      <c r="C5864" s="4" t="s">
        <v>269</v>
      </c>
      <c r="D5864" s="4">
        <v>588</v>
      </c>
      <c r="E5864" s="4">
        <v>57</v>
      </c>
      <c r="G5864">
        <f t="shared" si="91"/>
        <v>512</v>
      </c>
    </row>
    <row r="5865" spans="2:7" ht="15" hidden="1" x14ac:dyDescent="0.25">
      <c r="B5865" s="4">
        <v>584632318</v>
      </c>
      <c r="C5865" s="4" t="s">
        <v>269</v>
      </c>
      <c r="D5865" s="4">
        <v>589</v>
      </c>
      <c r="E5865" s="4">
        <v>57</v>
      </c>
      <c r="G5865">
        <f t="shared" si="91"/>
        <v>512</v>
      </c>
    </row>
    <row r="5866" spans="2:7" ht="15" hidden="1" x14ac:dyDescent="0.25">
      <c r="B5866" s="4">
        <v>584632318</v>
      </c>
      <c r="C5866" s="4" t="s">
        <v>272</v>
      </c>
      <c r="D5866" s="4">
        <v>47</v>
      </c>
      <c r="E5866" s="4">
        <v>217</v>
      </c>
      <c r="G5866">
        <f t="shared" si="91"/>
        <v>1792</v>
      </c>
    </row>
    <row r="5867" spans="2:7" ht="15" hidden="1" x14ac:dyDescent="0.25">
      <c r="B5867" s="4">
        <v>584632319</v>
      </c>
      <c r="C5867" s="4" t="s">
        <v>269</v>
      </c>
      <c r="D5867" s="4">
        <v>590</v>
      </c>
      <c r="E5867" s="4">
        <v>57</v>
      </c>
      <c r="G5867">
        <f t="shared" si="91"/>
        <v>512</v>
      </c>
    </row>
    <row r="5868" spans="2:7" ht="15" hidden="1" x14ac:dyDescent="0.25">
      <c r="B5868" s="4">
        <v>584632320</v>
      </c>
      <c r="C5868" s="4" t="s">
        <v>269</v>
      </c>
      <c r="D5868" s="4">
        <v>591</v>
      </c>
      <c r="E5868" s="4">
        <v>57</v>
      </c>
      <c r="G5868">
        <f t="shared" si="91"/>
        <v>512</v>
      </c>
    </row>
    <row r="5869" spans="2:7" ht="15" hidden="1" x14ac:dyDescent="0.25">
      <c r="B5869" s="4">
        <v>584632321</v>
      </c>
      <c r="C5869" s="4" t="s">
        <v>269</v>
      </c>
      <c r="D5869" s="4">
        <v>592</v>
      </c>
      <c r="E5869" s="4">
        <v>57</v>
      </c>
      <c r="G5869">
        <f t="shared" si="91"/>
        <v>512</v>
      </c>
    </row>
    <row r="5870" spans="2:7" ht="15" hidden="1" x14ac:dyDescent="0.25">
      <c r="B5870" s="4">
        <v>584632322</v>
      </c>
      <c r="C5870" s="4" t="s">
        <v>269</v>
      </c>
      <c r="D5870" s="4">
        <v>593</v>
      </c>
      <c r="E5870" s="4">
        <v>57</v>
      </c>
      <c r="G5870">
        <f t="shared" si="91"/>
        <v>512</v>
      </c>
    </row>
    <row r="5871" spans="2:7" ht="15" hidden="1" x14ac:dyDescent="0.25">
      <c r="B5871" s="4">
        <v>584632323</v>
      </c>
      <c r="C5871" s="4" t="s">
        <v>269</v>
      </c>
      <c r="D5871" s="4">
        <v>594</v>
      </c>
      <c r="E5871" s="4">
        <v>57</v>
      </c>
      <c r="F5871">
        <v>5</v>
      </c>
      <c r="G5871">
        <f t="shared" si="91"/>
        <v>512</v>
      </c>
    </row>
    <row r="5872" spans="2:7" ht="15" hidden="1" x14ac:dyDescent="0.25">
      <c r="B5872" s="4">
        <v>584632324</v>
      </c>
      <c r="C5872" s="4" t="s">
        <v>269</v>
      </c>
      <c r="D5872" s="4">
        <v>595</v>
      </c>
      <c r="E5872" s="4">
        <v>57</v>
      </c>
      <c r="G5872">
        <f t="shared" si="91"/>
        <v>512</v>
      </c>
    </row>
    <row r="5873" spans="2:7" ht="15" hidden="1" x14ac:dyDescent="0.25">
      <c r="B5873" s="4">
        <v>584632325</v>
      </c>
      <c r="C5873" s="4" t="s">
        <v>269</v>
      </c>
      <c r="D5873" s="4">
        <v>596</v>
      </c>
      <c r="E5873" s="4">
        <v>57</v>
      </c>
      <c r="G5873">
        <f t="shared" si="91"/>
        <v>512</v>
      </c>
    </row>
    <row r="5874" spans="2:7" ht="15" hidden="1" x14ac:dyDescent="0.25">
      <c r="B5874" s="4">
        <v>584632326</v>
      </c>
      <c r="C5874" s="4" t="s">
        <v>269</v>
      </c>
      <c r="D5874" s="4">
        <v>597</v>
      </c>
      <c r="E5874" s="4">
        <v>57</v>
      </c>
      <c r="G5874">
        <f t="shared" si="91"/>
        <v>512</v>
      </c>
    </row>
    <row r="5875" spans="2:7" ht="15" hidden="1" x14ac:dyDescent="0.25">
      <c r="B5875" s="4">
        <v>584632327</v>
      </c>
      <c r="C5875" s="4" t="s">
        <v>269</v>
      </c>
      <c r="D5875" s="4">
        <v>598</v>
      </c>
      <c r="E5875" s="4">
        <v>57</v>
      </c>
      <c r="G5875">
        <f t="shared" si="91"/>
        <v>512</v>
      </c>
    </row>
    <row r="5876" spans="2:7" ht="15" hidden="1" x14ac:dyDescent="0.25">
      <c r="B5876" s="4">
        <v>584632328</v>
      </c>
      <c r="C5876" s="4" t="s">
        <v>269</v>
      </c>
      <c r="D5876" s="4">
        <v>599</v>
      </c>
      <c r="E5876" s="4">
        <v>57</v>
      </c>
      <c r="G5876">
        <f t="shared" si="91"/>
        <v>512</v>
      </c>
    </row>
    <row r="5877" spans="2:7" ht="15" hidden="1" x14ac:dyDescent="0.25">
      <c r="B5877" s="4">
        <v>584632328</v>
      </c>
      <c r="C5877" s="4" t="s">
        <v>272</v>
      </c>
      <c r="D5877" s="4">
        <v>48</v>
      </c>
      <c r="E5877" s="4">
        <v>217</v>
      </c>
      <c r="G5877">
        <f t="shared" si="91"/>
        <v>1792</v>
      </c>
    </row>
    <row r="5878" spans="2:7" ht="15" hidden="1" x14ac:dyDescent="0.25">
      <c r="B5878" s="4">
        <v>584632329</v>
      </c>
      <c r="C5878" s="4" t="s">
        <v>269</v>
      </c>
      <c r="D5878" s="4">
        <v>600</v>
      </c>
      <c r="E5878" s="4">
        <v>57</v>
      </c>
      <c r="G5878">
        <f t="shared" si="91"/>
        <v>512</v>
      </c>
    </row>
    <row r="5879" spans="2:7" ht="15" hidden="1" x14ac:dyDescent="0.25">
      <c r="B5879" s="4">
        <v>584632330</v>
      </c>
      <c r="C5879" s="4" t="s">
        <v>269</v>
      </c>
      <c r="D5879" s="4">
        <v>601</v>
      </c>
      <c r="E5879" s="4">
        <v>57</v>
      </c>
      <c r="F5879">
        <v>5</v>
      </c>
      <c r="G5879">
        <f t="shared" si="91"/>
        <v>512</v>
      </c>
    </row>
    <row r="5880" spans="2:7" ht="15" hidden="1" x14ac:dyDescent="0.25">
      <c r="B5880" s="4">
        <v>584632331</v>
      </c>
      <c r="C5880" s="4" t="s">
        <v>269</v>
      </c>
      <c r="D5880" s="4">
        <v>602</v>
      </c>
      <c r="E5880" s="4">
        <v>57</v>
      </c>
      <c r="G5880">
        <f t="shared" si="91"/>
        <v>512</v>
      </c>
    </row>
    <row r="5881" spans="2:7" ht="15" hidden="1" x14ac:dyDescent="0.25">
      <c r="B5881" s="4">
        <v>584632332</v>
      </c>
      <c r="C5881" s="4" t="s">
        <v>269</v>
      </c>
      <c r="D5881" s="4">
        <v>603</v>
      </c>
      <c r="E5881" s="4">
        <v>57</v>
      </c>
      <c r="G5881">
        <f t="shared" si="91"/>
        <v>512</v>
      </c>
    </row>
    <row r="5882" spans="2:7" ht="15" hidden="1" x14ac:dyDescent="0.25">
      <c r="B5882" s="4">
        <v>584632333</v>
      </c>
      <c r="C5882" s="4" t="s">
        <v>269</v>
      </c>
      <c r="D5882" s="4">
        <v>604</v>
      </c>
      <c r="E5882" s="4">
        <v>57</v>
      </c>
      <c r="G5882">
        <f t="shared" si="91"/>
        <v>512</v>
      </c>
    </row>
    <row r="5883" spans="2:7" ht="15" hidden="1" x14ac:dyDescent="0.25">
      <c r="B5883" s="4">
        <v>584632334</v>
      </c>
      <c r="C5883" s="4" t="s">
        <v>269</v>
      </c>
      <c r="D5883" s="4">
        <v>605</v>
      </c>
      <c r="E5883" s="4">
        <v>57</v>
      </c>
      <c r="G5883">
        <f t="shared" si="91"/>
        <v>512</v>
      </c>
    </row>
    <row r="5884" spans="2:7" ht="15" hidden="1" x14ac:dyDescent="0.25">
      <c r="B5884" s="4">
        <v>584632335</v>
      </c>
      <c r="C5884" s="4" t="s">
        <v>269</v>
      </c>
      <c r="D5884" s="4">
        <v>606</v>
      </c>
      <c r="E5884" s="4">
        <v>57</v>
      </c>
      <c r="G5884">
        <f t="shared" si="91"/>
        <v>512</v>
      </c>
    </row>
    <row r="5885" spans="2:7" ht="15" hidden="1" x14ac:dyDescent="0.25">
      <c r="B5885" s="4">
        <v>584632336</v>
      </c>
      <c r="C5885" s="4" t="s">
        <v>269</v>
      </c>
      <c r="D5885" s="4">
        <v>607</v>
      </c>
      <c r="E5885" s="4">
        <v>57</v>
      </c>
      <c r="G5885">
        <f t="shared" si="91"/>
        <v>512</v>
      </c>
    </row>
    <row r="5886" spans="2:7" ht="15" hidden="1" x14ac:dyDescent="0.25">
      <c r="B5886" s="4">
        <v>584632337</v>
      </c>
      <c r="C5886" s="4" t="s">
        <v>269</v>
      </c>
      <c r="D5886" s="4">
        <v>608</v>
      </c>
      <c r="E5886" s="4">
        <v>57</v>
      </c>
      <c r="G5886">
        <f t="shared" si="91"/>
        <v>512</v>
      </c>
    </row>
    <row r="5887" spans="2:7" ht="15" hidden="1" x14ac:dyDescent="0.25">
      <c r="B5887" s="4">
        <v>584632338</v>
      </c>
      <c r="C5887" s="4" t="s">
        <v>269</v>
      </c>
      <c r="D5887" s="4">
        <v>609</v>
      </c>
      <c r="E5887" s="4">
        <v>57</v>
      </c>
      <c r="G5887">
        <f t="shared" si="91"/>
        <v>512</v>
      </c>
    </row>
    <row r="5888" spans="2:7" ht="15" hidden="1" x14ac:dyDescent="0.25">
      <c r="B5888" s="4">
        <v>584632338</v>
      </c>
      <c r="C5888" s="4" t="s">
        <v>272</v>
      </c>
      <c r="D5888" s="4">
        <v>49</v>
      </c>
      <c r="E5888" s="4">
        <v>217</v>
      </c>
      <c r="G5888">
        <f t="shared" si="91"/>
        <v>1792</v>
      </c>
    </row>
    <row r="5889" spans="2:7" ht="15" hidden="1" x14ac:dyDescent="0.25">
      <c r="B5889" s="4">
        <v>584632339</v>
      </c>
      <c r="C5889" s="4" t="s">
        <v>269</v>
      </c>
      <c r="D5889" s="4">
        <v>610</v>
      </c>
      <c r="E5889" s="4">
        <v>57</v>
      </c>
      <c r="G5889">
        <f t="shared" si="91"/>
        <v>512</v>
      </c>
    </row>
    <row r="5890" spans="2:7" ht="15" hidden="1" x14ac:dyDescent="0.25">
      <c r="B5890" s="4">
        <v>584632340</v>
      </c>
      <c r="C5890" s="4" t="s">
        <v>269</v>
      </c>
      <c r="D5890" s="4">
        <v>611</v>
      </c>
      <c r="E5890" s="4">
        <v>57</v>
      </c>
      <c r="G5890">
        <f t="shared" si="91"/>
        <v>512</v>
      </c>
    </row>
    <row r="5891" spans="2:7" ht="15" hidden="1" x14ac:dyDescent="0.25">
      <c r="B5891" s="4">
        <v>584632341</v>
      </c>
      <c r="C5891" s="4" t="s">
        <v>269</v>
      </c>
      <c r="D5891" s="4">
        <v>612</v>
      </c>
      <c r="E5891" s="4">
        <v>57</v>
      </c>
      <c r="G5891">
        <f t="shared" si="91"/>
        <v>512</v>
      </c>
    </row>
    <row r="5892" spans="2:7" ht="15" hidden="1" x14ac:dyDescent="0.25">
      <c r="B5892" s="4">
        <v>584632342</v>
      </c>
      <c r="C5892" s="4" t="s">
        <v>269</v>
      </c>
      <c r="D5892" s="4">
        <v>613</v>
      </c>
      <c r="E5892" s="4">
        <v>57</v>
      </c>
      <c r="G5892">
        <f t="shared" ref="G5892:G5955" si="92">(E5892+7)*8</f>
        <v>512</v>
      </c>
    </row>
    <row r="5893" spans="2:7" ht="15" hidden="1" x14ac:dyDescent="0.25">
      <c r="B5893" s="4">
        <v>584632343</v>
      </c>
      <c r="C5893" s="4" t="s">
        <v>269</v>
      </c>
      <c r="D5893" s="4">
        <v>614</v>
      </c>
      <c r="E5893" s="4">
        <v>57</v>
      </c>
      <c r="G5893">
        <f t="shared" si="92"/>
        <v>512</v>
      </c>
    </row>
    <row r="5894" spans="2:7" ht="15" hidden="1" x14ac:dyDescent="0.25">
      <c r="B5894" s="4">
        <v>584632344</v>
      </c>
      <c r="C5894" s="4" t="s">
        <v>269</v>
      </c>
      <c r="D5894" s="4">
        <v>615</v>
      </c>
      <c r="E5894" s="4">
        <v>57</v>
      </c>
      <c r="G5894">
        <f t="shared" si="92"/>
        <v>512</v>
      </c>
    </row>
    <row r="5895" spans="2:7" ht="15" hidden="1" x14ac:dyDescent="0.25">
      <c r="B5895" s="4">
        <v>584632345</v>
      </c>
      <c r="C5895" s="4" t="s">
        <v>269</v>
      </c>
      <c r="D5895" s="4">
        <v>616</v>
      </c>
      <c r="E5895" s="4">
        <v>57</v>
      </c>
      <c r="G5895">
        <f t="shared" si="92"/>
        <v>512</v>
      </c>
    </row>
    <row r="5896" spans="2:7" ht="15" hidden="1" x14ac:dyDescent="0.25">
      <c r="B5896" s="4">
        <v>584632346</v>
      </c>
      <c r="C5896" s="4" t="s">
        <v>269</v>
      </c>
      <c r="D5896" s="4">
        <v>617</v>
      </c>
      <c r="E5896" s="4">
        <v>57</v>
      </c>
      <c r="G5896">
        <f t="shared" si="92"/>
        <v>512</v>
      </c>
    </row>
    <row r="5897" spans="2:7" ht="15" hidden="1" x14ac:dyDescent="0.25">
      <c r="B5897" s="4">
        <v>584632347</v>
      </c>
      <c r="C5897" s="4" t="s">
        <v>269</v>
      </c>
      <c r="D5897" s="4">
        <v>618</v>
      </c>
      <c r="E5897" s="4">
        <v>57</v>
      </c>
      <c r="G5897">
        <f t="shared" si="92"/>
        <v>512</v>
      </c>
    </row>
    <row r="5898" spans="2:7" ht="15" hidden="1" x14ac:dyDescent="0.25">
      <c r="B5898" s="4">
        <v>584632348</v>
      </c>
      <c r="C5898" s="4" t="s">
        <v>269</v>
      </c>
      <c r="D5898" s="4">
        <v>619</v>
      </c>
      <c r="E5898" s="4">
        <v>57</v>
      </c>
      <c r="F5898">
        <v>5</v>
      </c>
      <c r="G5898">
        <f t="shared" si="92"/>
        <v>512</v>
      </c>
    </row>
    <row r="5899" spans="2:7" ht="15" hidden="1" x14ac:dyDescent="0.25">
      <c r="B5899" s="4">
        <v>584632348</v>
      </c>
      <c r="C5899" s="4" t="s">
        <v>272</v>
      </c>
      <c r="D5899" s="4">
        <v>50</v>
      </c>
      <c r="E5899" s="4">
        <v>217</v>
      </c>
      <c r="G5899">
        <f t="shared" si="92"/>
        <v>1792</v>
      </c>
    </row>
    <row r="5900" spans="2:7" ht="15" hidden="1" x14ac:dyDescent="0.25">
      <c r="B5900" s="4">
        <v>584632349</v>
      </c>
      <c r="C5900" s="4" t="s">
        <v>269</v>
      </c>
      <c r="D5900" s="4">
        <v>620</v>
      </c>
      <c r="E5900" s="4">
        <v>57</v>
      </c>
      <c r="G5900">
        <f t="shared" si="92"/>
        <v>512</v>
      </c>
    </row>
    <row r="5901" spans="2:7" ht="15" hidden="1" x14ac:dyDescent="0.25">
      <c r="B5901" s="4">
        <v>584632350</v>
      </c>
      <c r="C5901" s="4" t="s">
        <v>269</v>
      </c>
      <c r="D5901" s="4">
        <v>621</v>
      </c>
      <c r="E5901" s="4">
        <v>57</v>
      </c>
      <c r="G5901">
        <f t="shared" si="92"/>
        <v>512</v>
      </c>
    </row>
    <row r="5902" spans="2:7" ht="15" hidden="1" x14ac:dyDescent="0.25">
      <c r="B5902" s="4">
        <v>584632351</v>
      </c>
      <c r="C5902" s="4" t="s">
        <v>269</v>
      </c>
      <c r="D5902" s="4">
        <v>622</v>
      </c>
      <c r="E5902" s="4">
        <v>57</v>
      </c>
      <c r="G5902">
        <f t="shared" si="92"/>
        <v>512</v>
      </c>
    </row>
    <row r="5903" spans="2:7" ht="15" hidden="1" x14ac:dyDescent="0.25">
      <c r="B5903" s="4">
        <v>584632352</v>
      </c>
      <c r="C5903" s="4" t="s">
        <v>269</v>
      </c>
      <c r="D5903" s="4">
        <v>623</v>
      </c>
      <c r="E5903" s="4">
        <v>57</v>
      </c>
      <c r="G5903">
        <f t="shared" si="92"/>
        <v>512</v>
      </c>
    </row>
    <row r="5904" spans="2:7" ht="15" hidden="1" x14ac:dyDescent="0.25">
      <c r="B5904" s="4">
        <v>584632353</v>
      </c>
      <c r="C5904" s="4" t="s">
        <v>269</v>
      </c>
      <c r="D5904" s="4">
        <v>624</v>
      </c>
      <c r="E5904" s="4">
        <v>57</v>
      </c>
      <c r="G5904">
        <f t="shared" si="92"/>
        <v>512</v>
      </c>
    </row>
    <row r="5905" spans="2:7" ht="15" hidden="1" x14ac:dyDescent="0.25">
      <c r="B5905" s="4">
        <v>584632354</v>
      </c>
      <c r="C5905" s="4" t="s">
        <v>269</v>
      </c>
      <c r="D5905" s="4">
        <v>625</v>
      </c>
      <c r="E5905" s="4">
        <v>57</v>
      </c>
      <c r="G5905">
        <f t="shared" si="92"/>
        <v>512</v>
      </c>
    </row>
    <row r="5906" spans="2:7" ht="15" hidden="1" x14ac:dyDescent="0.25">
      <c r="B5906" s="4">
        <v>584632355</v>
      </c>
      <c r="C5906" s="4" t="s">
        <v>269</v>
      </c>
      <c r="D5906" s="4">
        <v>626</v>
      </c>
      <c r="E5906" s="4">
        <v>57</v>
      </c>
      <c r="G5906">
        <f t="shared" si="92"/>
        <v>512</v>
      </c>
    </row>
    <row r="5907" spans="2:7" ht="15" hidden="1" x14ac:dyDescent="0.25">
      <c r="B5907" s="4">
        <v>584632356</v>
      </c>
      <c r="C5907" s="4" t="s">
        <v>269</v>
      </c>
      <c r="D5907" s="4">
        <v>627</v>
      </c>
      <c r="E5907" s="4">
        <v>57</v>
      </c>
      <c r="G5907">
        <f t="shared" si="92"/>
        <v>512</v>
      </c>
    </row>
    <row r="5908" spans="2:7" ht="15" hidden="1" x14ac:dyDescent="0.25">
      <c r="B5908" s="4">
        <v>584632357</v>
      </c>
      <c r="C5908" s="4" t="s">
        <v>269</v>
      </c>
      <c r="D5908" s="4">
        <v>628</v>
      </c>
      <c r="E5908" s="4">
        <v>57</v>
      </c>
      <c r="G5908">
        <f t="shared" si="92"/>
        <v>512</v>
      </c>
    </row>
    <row r="5909" spans="2:7" ht="15" hidden="1" x14ac:dyDescent="0.25">
      <c r="B5909" s="4">
        <v>584632358</v>
      </c>
      <c r="C5909" s="4" t="s">
        <v>269</v>
      </c>
      <c r="D5909" s="4">
        <v>629</v>
      </c>
      <c r="E5909" s="4">
        <v>57</v>
      </c>
      <c r="G5909">
        <f t="shared" si="92"/>
        <v>512</v>
      </c>
    </row>
    <row r="5910" spans="2:7" ht="15" hidden="1" x14ac:dyDescent="0.25">
      <c r="B5910" s="4">
        <v>584632358</v>
      </c>
      <c r="C5910" s="4" t="s">
        <v>272</v>
      </c>
      <c r="D5910" s="4">
        <v>51</v>
      </c>
      <c r="E5910" s="4">
        <v>217</v>
      </c>
      <c r="G5910">
        <f t="shared" si="92"/>
        <v>1792</v>
      </c>
    </row>
    <row r="5911" spans="2:7" ht="15" hidden="1" x14ac:dyDescent="0.25">
      <c r="B5911" s="4">
        <v>584632359</v>
      </c>
      <c r="C5911" s="4" t="s">
        <v>269</v>
      </c>
      <c r="D5911" s="4">
        <v>630</v>
      </c>
      <c r="E5911" s="4">
        <v>57</v>
      </c>
      <c r="G5911">
        <f t="shared" si="92"/>
        <v>512</v>
      </c>
    </row>
    <row r="5912" spans="2:7" ht="15" hidden="1" x14ac:dyDescent="0.25">
      <c r="B5912" s="4">
        <v>584632360</v>
      </c>
      <c r="C5912" s="4" t="s">
        <v>269</v>
      </c>
      <c r="D5912" s="4">
        <v>631</v>
      </c>
      <c r="E5912" s="4">
        <v>57</v>
      </c>
      <c r="G5912">
        <f t="shared" si="92"/>
        <v>512</v>
      </c>
    </row>
    <row r="5913" spans="2:7" ht="15" hidden="1" x14ac:dyDescent="0.25">
      <c r="B5913" s="4">
        <v>584632361</v>
      </c>
      <c r="C5913" s="4" t="s">
        <v>269</v>
      </c>
      <c r="D5913" s="4">
        <v>632</v>
      </c>
      <c r="E5913" s="4">
        <v>57</v>
      </c>
      <c r="G5913">
        <f t="shared" si="92"/>
        <v>512</v>
      </c>
    </row>
    <row r="5914" spans="2:7" ht="15" hidden="1" x14ac:dyDescent="0.25">
      <c r="B5914" s="4">
        <v>584632362</v>
      </c>
      <c r="C5914" s="4" t="s">
        <v>268</v>
      </c>
      <c r="D5914" s="4">
        <v>210</v>
      </c>
      <c r="E5914" s="4">
        <v>6</v>
      </c>
      <c r="G5914">
        <f t="shared" si="92"/>
        <v>104</v>
      </c>
    </row>
    <row r="5915" spans="2:7" ht="15" hidden="1" x14ac:dyDescent="0.25">
      <c r="B5915" s="4">
        <v>584632362</v>
      </c>
      <c r="C5915" s="4" t="s">
        <v>268</v>
      </c>
      <c r="D5915" s="4">
        <v>210</v>
      </c>
      <c r="E5915" s="4">
        <v>6</v>
      </c>
      <c r="G5915">
        <f t="shared" si="92"/>
        <v>104</v>
      </c>
    </row>
    <row r="5916" spans="2:7" ht="15" hidden="1" x14ac:dyDescent="0.25">
      <c r="B5916" s="4">
        <v>584632362</v>
      </c>
      <c r="C5916" s="4" t="s">
        <v>268</v>
      </c>
      <c r="D5916" s="4">
        <v>211</v>
      </c>
      <c r="E5916" s="4">
        <v>9</v>
      </c>
      <c r="G5916">
        <f t="shared" si="92"/>
        <v>128</v>
      </c>
    </row>
    <row r="5917" spans="2:7" ht="15" hidden="1" x14ac:dyDescent="0.25">
      <c r="B5917" s="4">
        <v>584632362</v>
      </c>
      <c r="C5917" s="4" t="s">
        <v>268</v>
      </c>
      <c r="D5917" s="4">
        <v>211</v>
      </c>
      <c r="E5917" s="4">
        <v>9</v>
      </c>
      <c r="G5917">
        <f t="shared" si="92"/>
        <v>128</v>
      </c>
    </row>
    <row r="5918" spans="2:7" ht="15" hidden="1" x14ac:dyDescent="0.25">
      <c r="B5918" s="4">
        <v>584632362</v>
      </c>
      <c r="C5918" s="4" t="s">
        <v>268</v>
      </c>
      <c r="D5918" s="4">
        <v>212</v>
      </c>
      <c r="E5918" s="4">
        <v>7</v>
      </c>
      <c r="G5918">
        <f t="shared" si="92"/>
        <v>112</v>
      </c>
    </row>
    <row r="5919" spans="2:7" ht="15" hidden="1" x14ac:dyDescent="0.25">
      <c r="B5919" s="4">
        <v>584632362</v>
      </c>
      <c r="C5919" s="4" t="s">
        <v>268</v>
      </c>
      <c r="D5919" s="4">
        <v>212</v>
      </c>
      <c r="E5919" s="4">
        <v>7</v>
      </c>
      <c r="G5919">
        <f t="shared" si="92"/>
        <v>112</v>
      </c>
    </row>
    <row r="5920" spans="2:7" ht="15" hidden="1" x14ac:dyDescent="0.25">
      <c r="B5920" s="4">
        <v>584632362</v>
      </c>
      <c r="C5920" s="4" t="s">
        <v>268</v>
      </c>
      <c r="D5920" s="4">
        <v>213</v>
      </c>
      <c r="E5920" s="4">
        <v>7</v>
      </c>
      <c r="G5920">
        <f t="shared" si="92"/>
        <v>112</v>
      </c>
    </row>
    <row r="5921" spans="2:7" ht="15" hidden="1" x14ac:dyDescent="0.25">
      <c r="B5921" s="4">
        <v>584632362</v>
      </c>
      <c r="C5921" s="4" t="s">
        <v>268</v>
      </c>
      <c r="D5921" s="4">
        <v>213</v>
      </c>
      <c r="E5921" s="4">
        <v>7</v>
      </c>
      <c r="G5921">
        <f t="shared" si="92"/>
        <v>112</v>
      </c>
    </row>
    <row r="5922" spans="2:7" ht="15" hidden="1" x14ac:dyDescent="0.25">
      <c r="B5922" s="4">
        <v>584632362</v>
      </c>
      <c r="C5922" s="4" t="s">
        <v>268</v>
      </c>
      <c r="D5922" s="4">
        <v>214</v>
      </c>
      <c r="E5922" s="4">
        <v>7</v>
      </c>
      <c r="G5922">
        <f t="shared" si="92"/>
        <v>112</v>
      </c>
    </row>
    <row r="5923" spans="2:7" ht="15" hidden="1" x14ac:dyDescent="0.25">
      <c r="B5923" s="4">
        <v>584632362</v>
      </c>
      <c r="C5923" s="4" t="s">
        <v>268</v>
      </c>
      <c r="D5923" s="4">
        <v>214</v>
      </c>
      <c r="E5923" s="4">
        <v>7</v>
      </c>
      <c r="G5923">
        <f t="shared" si="92"/>
        <v>112</v>
      </c>
    </row>
    <row r="5924" spans="2:7" ht="15" hidden="1" x14ac:dyDescent="0.25">
      <c r="B5924" s="4">
        <v>584632362</v>
      </c>
      <c r="C5924" s="4" t="s">
        <v>269</v>
      </c>
      <c r="D5924" s="4">
        <v>633</v>
      </c>
      <c r="E5924" s="4">
        <v>57</v>
      </c>
      <c r="G5924">
        <f t="shared" si="92"/>
        <v>512</v>
      </c>
    </row>
    <row r="5925" spans="2:7" ht="15" hidden="1" x14ac:dyDescent="0.25">
      <c r="B5925" s="4">
        <v>584632363</v>
      </c>
      <c r="C5925" s="4" t="s">
        <v>269</v>
      </c>
      <c r="D5925" s="4">
        <v>634</v>
      </c>
      <c r="E5925" s="4">
        <v>57</v>
      </c>
      <c r="G5925">
        <f t="shared" si="92"/>
        <v>512</v>
      </c>
    </row>
    <row r="5926" spans="2:7" ht="15" hidden="1" x14ac:dyDescent="0.25">
      <c r="B5926" s="4">
        <v>584632364</v>
      </c>
      <c r="C5926" s="4" t="s">
        <v>268</v>
      </c>
      <c r="D5926" s="4">
        <v>215</v>
      </c>
      <c r="E5926" s="4">
        <v>7</v>
      </c>
      <c r="G5926">
        <f t="shared" si="92"/>
        <v>112</v>
      </c>
    </row>
    <row r="5927" spans="2:7" ht="15" hidden="1" x14ac:dyDescent="0.25">
      <c r="B5927" s="4">
        <v>584632364</v>
      </c>
      <c r="C5927" s="4" t="s">
        <v>268</v>
      </c>
      <c r="D5927" s="4">
        <v>215</v>
      </c>
      <c r="E5927" s="4">
        <v>7</v>
      </c>
      <c r="F5927">
        <v>81</v>
      </c>
      <c r="G5927">
        <f t="shared" si="92"/>
        <v>112</v>
      </c>
    </row>
    <row r="5928" spans="2:7" ht="15" hidden="1" x14ac:dyDescent="0.25">
      <c r="B5928" s="4">
        <v>584632364</v>
      </c>
      <c r="C5928" s="4" t="s">
        <v>268</v>
      </c>
      <c r="D5928" s="4">
        <v>216</v>
      </c>
      <c r="E5928" s="4">
        <v>5</v>
      </c>
      <c r="G5928">
        <f t="shared" si="92"/>
        <v>96</v>
      </c>
    </row>
    <row r="5929" spans="2:7" ht="15" hidden="1" x14ac:dyDescent="0.25">
      <c r="B5929" s="4">
        <v>584632364</v>
      </c>
      <c r="C5929" s="4" t="s">
        <v>268</v>
      </c>
      <c r="D5929" s="4">
        <v>216</v>
      </c>
      <c r="E5929" s="4">
        <v>5</v>
      </c>
      <c r="G5929">
        <f t="shared" si="92"/>
        <v>96</v>
      </c>
    </row>
    <row r="5930" spans="2:7" ht="15" hidden="1" x14ac:dyDescent="0.25">
      <c r="B5930" s="4">
        <v>584632364</v>
      </c>
      <c r="C5930" s="4" t="s">
        <v>268</v>
      </c>
      <c r="D5930" s="4">
        <v>217</v>
      </c>
      <c r="E5930" s="4">
        <v>7</v>
      </c>
      <c r="G5930">
        <f t="shared" si="92"/>
        <v>112</v>
      </c>
    </row>
    <row r="5931" spans="2:7" ht="15" hidden="1" x14ac:dyDescent="0.25">
      <c r="B5931" s="4">
        <v>584632364</v>
      </c>
      <c r="C5931" s="4" t="s">
        <v>268</v>
      </c>
      <c r="D5931" s="4">
        <v>217</v>
      </c>
      <c r="E5931" s="4">
        <v>7</v>
      </c>
      <c r="G5931">
        <f t="shared" si="92"/>
        <v>112</v>
      </c>
    </row>
    <row r="5932" spans="2:7" ht="15" hidden="1" x14ac:dyDescent="0.25">
      <c r="B5932" s="4">
        <v>584632364</v>
      </c>
      <c r="C5932" s="4" t="s">
        <v>269</v>
      </c>
      <c r="D5932" s="4">
        <v>635</v>
      </c>
      <c r="E5932" s="4">
        <v>57</v>
      </c>
      <c r="G5932">
        <f t="shared" si="92"/>
        <v>512</v>
      </c>
    </row>
    <row r="5933" spans="2:7" ht="15" hidden="1" x14ac:dyDescent="0.25">
      <c r="B5933" s="4">
        <v>584632365</v>
      </c>
      <c r="C5933" s="4" t="s">
        <v>269</v>
      </c>
      <c r="D5933" s="4">
        <v>636</v>
      </c>
      <c r="E5933" s="4">
        <v>57</v>
      </c>
      <c r="F5933">
        <v>5</v>
      </c>
      <c r="G5933">
        <f t="shared" si="92"/>
        <v>512</v>
      </c>
    </row>
    <row r="5934" spans="2:7" ht="15" hidden="1" x14ac:dyDescent="0.25">
      <c r="B5934" s="4">
        <v>584632366</v>
      </c>
      <c r="C5934" s="4" t="s">
        <v>269</v>
      </c>
      <c r="D5934" s="4">
        <v>637</v>
      </c>
      <c r="E5934" s="4">
        <v>57</v>
      </c>
      <c r="G5934">
        <f t="shared" si="92"/>
        <v>512</v>
      </c>
    </row>
    <row r="5935" spans="2:7" ht="15" hidden="1" x14ac:dyDescent="0.25">
      <c r="B5935" s="4">
        <v>584632367</v>
      </c>
      <c r="C5935" s="4" t="s">
        <v>269</v>
      </c>
      <c r="D5935" s="4">
        <v>638</v>
      </c>
      <c r="E5935" s="4">
        <v>57</v>
      </c>
      <c r="G5935">
        <f t="shared" si="92"/>
        <v>512</v>
      </c>
    </row>
    <row r="5936" spans="2:7" ht="15" hidden="1" x14ac:dyDescent="0.25">
      <c r="B5936" s="4">
        <v>584632368</v>
      </c>
      <c r="C5936" s="4" t="s">
        <v>269</v>
      </c>
      <c r="D5936" s="4">
        <v>639</v>
      </c>
      <c r="E5936" s="4">
        <v>57</v>
      </c>
      <c r="F5936">
        <v>5</v>
      </c>
      <c r="G5936">
        <f t="shared" si="92"/>
        <v>512</v>
      </c>
    </row>
    <row r="5937" spans="2:7" ht="15" hidden="1" x14ac:dyDescent="0.25">
      <c r="B5937" s="4">
        <v>584632368</v>
      </c>
      <c r="C5937" s="4" t="s">
        <v>272</v>
      </c>
      <c r="D5937" s="4">
        <v>52</v>
      </c>
      <c r="E5937" s="4">
        <v>217</v>
      </c>
      <c r="G5937">
        <f t="shared" si="92"/>
        <v>1792</v>
      </c>
    </row>
    <row r="5938" spans="2:7" ht="15" hidden="1" x14ac:dyDescent="0.25">
      <c r="B5938" s="4">
        <v>584632369</v>
      </c>
      <c r="C5938" s="4" t="s">
        <v>269</v>
      </c>
      <c r="D5938" s="4">
        <v>640</v>
      </c>
      <c r="E5938" s="4">
        <v>57</v>
      </c>
      <c r="G5938">
        <f t="shared" si="92"/>
        <v>512</v>
      </c>
    </row>
    <row r="5939" spans="2:7" ht="15" hidden="1" x14ac:dyDescent="0.25">
      <c r="B5939" s="4">
        <v>584632370</v>
      </c>
      <c r="C5939" s="4" t="s">
        <v>269</v>
      </c>
      <c r="D5939" s="4">
        <v>641</v>
      </c>
      <c r="E5939" s="4">
        <v>57</v>
      </c>
      <c r="G5939">
        <f t="shared" si="92"/>
        <v>512</v>
      </c>
    </row>
    <row r="5940" spans="2:7" ht="15" hidden="1" x14ac:dyDescent="0.25">
      <c r="B5940" s="4">
        <v>584632371</v>
      </c>
      <c r="C5940" s="4" t="s">
        <v>269</v>
      </c>
      <c r="D5940" s="4">
        <v>642</v>
      </c>
      <c r="E5940" s="4">
        <v>57</v>
      </c>
      <c r="G5940">
        <f t="shared" si="92"/>
        <v>512</v>
      </c>
    </row>
    <row r="5941" spans="2:7" ht="15" hidden="1" x14ac:dyDescent="0.25">
      <c r="B5941" s="4">
        <v>584632372</v>
      </c>
      <c r="C5941" s="4" t="s">
        <v>269</v>
      </c>
      <c r="D5941" s="4">
        <v>643</v>
      </c>
      <c r="E5941" s="4">
        <v>57</v>
      </c>
      <c r="G5941">
        <f t="shared" si="92"/>
        <v>512</v>
      </c>
    </row>
    <row r="5942" spans="2:7" ht="15" hidden="1" x14ac:dyDescent="0.25">
      <c r="B5942" s="4">
        <v>584632373</v>
      </c>
      <c r="C5942" s="4" t="s">
        <v>269</v>
      </c>
      <c r="D5942" s="4">
        <v>644</v>
      </c>
      <c r="E5942" s="4">
        <v>57</v>
      </c>
      <c r="G5942">
        <f t="shared" si="92"/>
        <v>512</v>
      </c>
    </row>
    <row r="5943" spans="2:7" ht="15" hidden="1" x14ac:dyDescent="0.25">
      <c r="B5943" s="4">
        <v>584632374</v>
      </c>
      <c r="C5943" s="4" t="s">
        <v>269</v>
      </c>
      <c r="D5943" s="4">
        <v>645</v>
      </c>
      <c r="E5943" s="4">
        <v>57</v>
      </c>
      <c r="G5943">
        <f t="shared" si="92"/>
        <v>512</v>
      </c>
    </row>
    <row r="5944" spans="2:7" ht="15" hidden="1" x14ac:dyDescent="0.25">
      <c r="B5944" s="4">
        <v>584632375</v>
      </c>
      <c r="C5944" s="4" t="s">
        <v>269</v>
      </c>
      <c r="D5944" s="4">
        <v>646</v>
      </c>
      <c r="E5944" s="4">
        <v>57</v>
      </c>
      <c r="G5944">
        <f t="shared" si="92"/>
        <v>512</v>
      </c>
    </row>
    <row r="5945" spans="2:7" ht="15" hidden="1" x14ac:dyDescent="0.25">
      <c r="B5945" s="4">
        <v>584632376</v>
      </c>
      <c r="C5945" s="4" t="s">
        <v>269</v>
      </c>
      <c r="D5945" s="4">
        <v>647</v>
      </c>
      <c r="E5945" s="4">
        <v>57</v>
      </c>
      <c r="G5945">
        <f t="shared" si="92"/>
        <v>512</v>
      </c>
    </row>
    <row r="5946" spans="2:7" ht="15" hidden="1" x14ac:dyDescent="0.25">
      <c r="B5946" s="4">
        <v>584632377</v>
      </c>
      <c r="C5946" s="4" t="s">
        <v>269</v>
      </c>
      <c r="D5946" s="4">
        <v>648</v>
      </c>
      <c r="E5946" s="4">
        <v>57</v>
      </c>
      <c r="G5946">
        <f t="shared" si="92"/>
        <v>512</v>
      </c>
    </row>
    <row r="5947" spans="2:7" ht="15" hidden="1" x14ac:dyDescent="0.25">
      <c r="B5947" s="4">
        <v>584632378</v>
      </c>
      <c r="C5947" s="4" t="s">
        <v>269</v>
      </c>
      <c r="D5947" s="4">
        <v>649</v>
      </c>
      <c r="E5947" s="4">
        <v>57</v>
      </c>
      <c r="G5947">
        <f t="shared" si="92"/>
        <v>512</v>
      </c>
    </row>
    <row r="5948" spans="2:7" ht="15" hidden="1" x14ac:dyDescent="0.25">
      <c r="B5948" s="4">
        <v>584632378</v>
      </c>
      <c r="C5948" s="4" t="s">
        <v>272</v>
      </c>
      <c r="D5948" s="4">
        <v>53</v>
      </c>
      <c r="E5948" s="4">
        <v>215</v>
      </c>
      <c r="G5948">
        <f t="shared" si="92"/>
        <v>1776</v>
      </c>
    </row>
    <row r="5949" spans="2:7" ht="15" hidden="1" x14ac:dyDescent="0.25">
      <c r="B5949" s="4">
        <v>584632379</v>
      </c>
      <c r="C5949" s="4" t="s">
        <v>269</v>
      </c>
      <c r="D5949" s="4">
        <v>650</v>
      </c>
      <c r="E5949" s="4">
        <v>57</v>
      </c>
      <c r="G5949">
        <f t="shared" si="92"/>
        <v>512</v>
      </c>
    </row>
    <row r="5950" spans="2:7" ht="15" hidden="1" x14ac:dyDescent="0.25">
      <c r="B5950" s="4">
        <v>584632380</v>
      </c>
      <c r="C5950" s="4" t="s">
        <v>269</v>
      </c>
      <c r="D5950" s="4">
        <v>651</v>
      </c>
      <c r="E5950" s="4">
        <v>57</v>
      </c>
      <c r="G5950">
        <f t="shared" si="92"/>
        <v>512</v>
      </c>
    </row>
    <row r="5951" spans="2:7" ht="15" hidden="1" x14ac:dyDescent="0.25">
      <c r="B5951" s="4">
        <v>584632381</v>
      </c>
      <c r="C5951" s="4" t="s">
        <v>269</v>
      </c>
      <c r="D5951" s="4">
        <v>652</v>
      </c>
      <c r="E5951" s="4">
        <v>57</v>
      </c>
      <c r="G5951">
        <f t="shared" si="92"/>
        <v>512</v>
      </c>
    </row>
    <row r="5952" spans="2:7" ht="15" hidden="1" x14ac:dyDescent="0.25">
      <c r="B5952" s="4">
        <v>584632382</v>
      </c>
      <c r="C5952" s="4" t="s">
        <v>269</v>
      </c>
      <c r="D5952" s="4">
        <v>653</v>
      </c>
      <c r="E5952" s="4">
        <v>57</v>
      </c>
      <c r="G5952">
        <f t="shared" si="92"/>
        <v>512</v>
      </c>
    </row>
    <row r="5953" spans="2:7" ht="15" hidden="1" x14ac:dyDescent="0.25">
      <c r="B5953" s="4">
        <v>584632383</v>
      </c>
      <c r="C5953" s="4" t="s">
        <v>269</v>
      </c>
      <c r="D5953" s="4">
        <v>654</v>
      </c>
      <c r="E5953" s="4">
        <v>57</v>
      </c>
      <c r="G5953">
        <f t="shared" si="92"/>
        <v>512</v>
      </c>
    </row>
    <row r="5954" spans="2:7" ht="15" hidden="1" x14ac:dyDescent="0.25">
      <c r="B5954" s="4">
        <v>584632384</v>
      </c>
      <c r="C5954" s="4" t="s">
        <v>269</v>
      </c>
      <c r="D5954" s="4">
        <v>655</v>
      </c>
      <c r="E5954" s="4">
        <v>57</v>
      </c>
      <c r="G5954">
        <f t="shared" si="92"/>
        <v>512</v>
      </c>
    </row>
    <row r="5955" spans="2:7" ht="15" hidden="1" x14ac:dyDescent="0.25">
      <c r="B5955" s="4">
        <v>584632385</v>
      </c>
      <c r="C5955" s="4" t="s">
        <v>269</v>
      </c>
      <c r="D5955" s="4">
        <v>656</v>
      </c>
      <c r="E5955" s="4">
        <v>57</v>
      </c>
      <c r="G5955">
        <f t="shared" si="92"/>
        <v>512</v>
      </c>
    </row>
    <row r="5956" spans="2:7" ht="15" hidden="1" x14ac:dyDescent="0.25">
      <c r="B5956" s="4">
        <v>584632386</v>
      </c>
      <c r="C5956" s="4" t="s">
        <v>269</v>
      </c>
      <c r="D5956" s="4">
        <v>657</v>
      </c>
      <c r="E5956" s="4">
        <v>57</v>
      </c>
      <c r="G5956">
        <f t="shared" ref="G5956:G6019" si="93">(E5956+7)*8</f>
        <v>512</v>
      </c>
    </row>
    <row r="5957" spans="2:7" ht="15" hidden="1" x14ac:dyDescent="0.25">
      <c r="B5957" s="4">
        <v>584632387</v>
      </c>
      <c r="C5957" s="4" t="s">
        <v>269</v>
      </c>
      <c r="D5957" s="4">
        <v>658</v>
      </c>
      <c r="E5957" s="4">
        <v>57</v>
      </c>
      <c r="G5957">
        <f t="shared" si="93"/>
        <v>512</v>
      </c>
    </row>
    <row r="5958" spans="2:7" ht="15" hidden="1" x14ac:dyDescent="0.25">
      <c r="B5958" s="4">
        <v>584632388</v>
      </c>
      <c r="C5958" s="4" t="s">
        <v>269</v>
      </c>
      <c r="D5958" s="4">
        <v>659</v>
      </c>
      <c r="E5958" s="4">
        <v>57</v>
      </c>
      <c r="G5958">
        <f t="shared" si="93"/>
        <v>512</v>
      </c>
    </row>
    <row r="5959" spans="2:7" ht="15" hidden="1" x14ac:dyDescent="0.25">
      <c r="B5959" s="4">
        <v>584632388</v>
      </c>
      <c r="C5959" s="4" t="s">
        <v>272</v>
      </c>
      <c r="D5959" s="4">
        <v>54</v>
      </c>
      <c r="E5959" s="4">
        <v>215</v>
      </c>
      <c r="G5959">
        <f t="shared" si="93"/>
        <v>1776</v>
      </c>
    </row>
    <row r="5960" spans="2:7" ht="15" hidden="1" x14ac:dyDescent="0.25">
      <c r="B5960" s="4">
        <v>584632389</v>
      </c>
      <c r="C5960" s="4" t="s">
        <v>269</v>
      </c>
      <c r="D5960" s="4">
        <v>660</v>
      </c>
      <c r="E5960" s="4">
        <v>57</v>
      </c>
      <c r="G5960">
        <f t="shared" si="93"/>
        <v>512</v>
      </c>
    </row>
    <row r="5961" spans="2:7" ht="15" hidden="1" x14ac:dyDescent="0.25">
      <c r="B5961" s="4">
        <v>584632390</v>
      </c>
      <c r="C5961" s="4" t="s">
        <v>269</v>
      </c>
      <c r="D5961" s="4">
        <v>661</v>
      </c>
      <c r="E5961" s="4">
        <v>57</v>
      </c>
      <c r="G5961">
        <f t="shared" si="93"/>
        <v>512</v>
      </c>
    </row>
    <row r="5962" spans="2:7" ht="15" hidden="1" x14ac:dyDescent="0.25">
      <c r="B5962" s="4">
        <v>584632391</v>
      </c>
      <c r="C5962" s="4" t="s">
        <v>269</v>
      </c>
      <c r="D5962" s="4">
        <v>662</v>
      </c>
      <c r="E5962" s="4">
        <v>57</v>
      </c>
      <c r="G5962">
        <f t="shared" si="93"/>
        <v>512</v>
      </c>
    </row>
    <row r="5963" spans="2:7" ht="15" hidden="1" x14ac:dyDescent="0.25">
      <c r="B5963" s="4">
        <v>584632392</v>
      </c>
      <c r="C5963" s="4" t="s">
        <v>269</v>
      </c>
      <c r="D5963" s="4">
        <v>663</v>
      </c>
      <c r="E5963" s="4">
        <v>57</v>
      </c>
      <c r="G5963">
        <f t="shared" si="93"/>
        <v>512</v>
      </c>
    </row>
    <row r="5964" spans="2:7" ht="15" hidden="1" x14ac:dyDescent="0.25">
      <c r="B5964" s="4">
        <v>584632393</v>
      </c>
      <c r="C5964" s="4" t="s">
        <v>269</v>
      </c>
      <c r="D5964" s="4">
        <v>664</v>
      </c>
      <c r="E5964" s="4">
        <v>57</v>
      </c>
      <c r="G5964">
        <f t="shared" si="93"/>
        <v>512</v>
      </c>
    </row>
    <row r="5965" spans="2:7" ht="15" hidden="1" x14ac:dyDescent="0.25">
      <c r="B5965" s="4">
        <v>584632394</v>
      </c>
      <c r="C5965" s="4" t="s">
        <v>269</v>
      </c>
      <c r="D5965" s="4">
        <v>665</v>
      </c>
      <c r="E5965" s="4">
        <v>57</v>
      </c>
      <c r="G5965">
        <f t="shared" si="93"/>
        <v>512</v>
      </c>
    </row>
    <row r="5966" spans="2:7" ht="15" hidden="1" x14ac:dyDescent="0.25">
      <c r="B5966" s="4">
        <v>584632395</v>
      </c>
      <c r="C5966" s="4" t="s">
        <v>269</v>
      </c>
      <c r="D5966" s="4">
        <v>666</v>
      </c>
      <c r="E5966" s="4">
        <v>57</v>
      </c>
      <c r="G5966">
        <f t="shared" si="93"/>
        <v>512</v>
      </c>
    </row>
    <row r="5967" spans="2:7" ht="15" hidden="1" x14ac:dyDescent="0.25">
      <c r="B5967" s="4">
        <v>584632396</v>
      </c>
      <c r="C5967" s="4" t="s">
        <v>269</v>
      </c>
      <c r="D5967" s="4">
        <v>667</v>
      </c>
      <c r="E5967" s="4">
        <v>57</v>
      </c>
      <c r="G5967">
        <f t="shared" si="93"/>
        <v>512</v>
      </c>
    </row>
    <row r="5968" spans="2:7" ht="15" hidden="1" x14ac:dyDescent="0.25">
      <c r="B5968" s="4">
        <v>584632397</v>
      </c>
      <c r="C5968" s="4" t="s">
        <v>269</v>
      </c>
      <c r="D5968" s="4">
        <v>668</v>
      </c>
      <c r="E5968" s="4">
        <v>57</v>
      </c>
      <c r="F5968">
        <v>5</v>
      </c>
      <c r="G5968">
        <f t="shared" si="93"/>
        <v>512</v>
      </c>
    </row>
    <row r="5969" spans="2:7" ht="15" hidden="1" x14ac:dyDescent="0.25">
      <c r="B5969" s="4">
        <v>584632398</v>
      </c>
      <c r="C5969" s="4" t="s">
        <v>269</v>
      </c>
      <c r="D5969" s="4">
        <v>669</v>
      </c>
      <c r="E5969" s="4">
        <v>57</v>
      </c>
      <c r="G5969">
        <f t="shared" si="93"/>
        <v>512</v>
      </c>
    </row>
    <row r="5970" spans="2:7" ht="15" hidden="1" x14ac:dyDescent="0.25">
      <c r="B5970" s="4">
        <v>584632398</v>
      </c>
      <c r="C5970" s="4" t="s">
        <v>272</v>
      </c>
      <c r="D5970" s="4">
        <v>55</v>
      </c>
      <c r="E5970" s="4">
        <v>215</v>
      </c>
      <c r="G5970">
        <f t="shared" si="93"/>
        <v>1776</v>
      </c>
    </row>
    <row r="5971" spans="2:7" ht="15" hidden="1" x14ac:dyDescent="0.25">
      <c r="B5971" s="4">
        <v>584632399</v>
      </c>
      <c r="C5971" s="4" t="s">
        <v>269</v>
      </c>
      <c r="D5971" s="4">
        <v>670</v>
      </c>
      <c r="E5971" s="4">
        <v>57</v>
      </c>
      <c r="G5971">
        <f t="shared" si="93"/>
        <v>512</v>
      </c>
    </row>
    <row r="5972" spans="2:7" ht="15" hidden="1" x14ac:dyDescent="0.25">
      <c r="B5972" s="4">
        <v>584632400</v>
      </c>
      <c r="C5972" s="4" t="s">
        <v>269</v>
      </c>
      <c r="D5972" s="4">
        <v>671</v>
      </c>
      <c r="E5972" s="4">
        <v>57</v>
      </c>
      <c r="G5972">
        <f t="shared" si="93"/>
        <v>512</v>
      </c>
    </row>
    <row r="5973" spans="2:7" ht="15" hidden="1" x14ac:dyDescent="0.25">
      <c r="B5973" s="4">
        <v>584632401</v>
      </c>
      <c r="C5973" s="4" t="s">
        <v>269</v>
      </c>
      <c r="D5973" s="4">
        <v>672</v>
      </c>
      <c r="E5973" s="4">
        <v>57</v>
      </c>
      <c r="G5973">
        <f t="shared" si="93"/>
        <v>512</v>
      </c>
    </row>
    <row r="5974" spans="2:7" ht="15" hidden="1" x14ac:dyDescent="0.25">
      <c r="B5974" s="4">
        <v>584632402</v>
      </c>
      <c r="C5974" s="4" t="s">
        <v>269</v>
      </c>
      <c r="D5974" s="4">
        <v>673</v>
      </c>
      <c r="E5974" s="4">
        <v>57</v>
      </c>
      <c r="G5974">
        <f t="shared" si="93"/>
        <v>512</v>
      </c>
    </row>
    <row r="5975" spans="2:7" ht="15" hidden="1" x14ac:dyDescent="0.25">
      <c r="B5975" s="4">
        <v>584632403</v>
      </c>
      <c r="C5975" s="4" t="s">
        <v>269</v>
      </c>
      <c r="D5975" s="4">
        <v>674</v>
      </c>
      <c r="E5975" s="4">
        <v>57</v>
      </c>
      <c r="G5975">
        <f t="shared" si="93"/>
        <v>512</v>
      </c>
    </row>
    <row r="5976" spans="2:7" ht="15" hidden="1" x14ac:dyDescent="0.25">
      <c r="B5976" s="4">
        <v>584632404</v>
      </c>
      <c r="C5976" s="4" t="s">
        <v>269</v>
      </c>
      <c r="D5976" s="4">
        <v>675</v>
      </c>
      <c r="E5976" s="4">
        <v>57</v>
      </c>
      <c r="G5976">
        <f t="shared" si="93"/>
        <v>512</v>
      </c>
    </row>
    <row r="5977" spans="2:7" ht="15" hidden="1" x14ac:dyDescent="0.25">
      <c r="B5977" s="4">
        <v>584632405</v>
      </c>
      <c r="C5977" s="4" t="s">
        <v>269</v>
      </c>
      <c r="D5977" s="4">
        <v>676</v>
      </c>
      <c r="E5977" s="4">
        <v>57</v>
      </c>
      <c r="G5977">
        <f t="shared" si="93"/>
        <v>512</v>
      </c>
    </row>
    <row r="5978" spans="2:7" ht="15" hidden="1" x14ac:dyDescent="0.25">
      <c r="B5978" s="4">
        <v>584632406</v>
      </c>
      <c r="C5978" s="4" t="s">
        <v>269</v>
      </c>
      <c r="D5978" s="4">
        <v>677</v>
      </c>
      <c r="E5978" s="4">
        <v>57</v>
      </c>
      <c r="G5978">
        <f t="shared" si="93"/>
        <v>512</v>
      </c>
    </row>
    <row r="5979" spans="2:7" ht="15" hidden="1" x14ac:dyDescent="0.25">
      <c r="B5979" s="4">
        <v>584632407</v>
      </c>
      <c r="C5979" s="4" t="s">
        <v>269</v>
      </c>
      <c r="D5979" s="4">
        <v>678</v>
      </c>
      <c r="E5979" s="4">
        <v>57</v>
      </c>
      <c r="G5979">
        <f t="shared" si="93"/>
        <v>512</v>
      </c>
    </row>
    <row r="5980" spans="2:7" ht="15" hidden="1" x14ac:dyDescent="0.25">
      <c r="B5980" s="4">
        <v>584632408</v>
      </c>
      <c r="C5980" s="4" t="s">
        <v>269</v>
      </c>
      <c r="D5980" s="4">
        <v>679</v>
      </c>
      <c r="E5980" s="4">
        <v>57</v>
      </c>
      <c r="G5980">
        <f t="shared" si="93"/>
        <v>512</v>
      </c>
    </row>
    <row r="5981" spans="2:7" ht="15" hidden="1" x14ac:dyDescent="0.25">
      <c r="B5981" s="4">
        <v>584632408</v>
      </c>
      <c r="C5981" s="4" t="s">
        <v>272</v>
      </c>
      <c r="D5981" s="4">
        <v>56</v>
      </c>
      <c r="E5981" s="4">
        <v>215</v>
      </c>
      <c r="G5981">
        <f t="shared" si="93"/>
        <v>1776</v>
      </c>
    </row>
    <row r="5982" spans="2:7" ht="15" hidden="1" x14ac:dyDescent="0.25">
      <c r="B5982" s="4">
        <v>584632409</v>
      </c>
      <c r="C5982" s="4" t="s">
        <v>269</v>
      </c>
      <c r="D5982" s="4">
        <v>680</v>
      </c>
      <c r="E5982" s="4">
        <v>57</v>
      </c>
      <c r="G5982">
        <f t="shared" si="93"/>
        <v>512</v>
      </c>
    </row>
    <row r="5983" spans="2:7" ht="15" hidden="1" x14ac:dyDescent="0.25">
      <c r="B5983" s="4">
        <v>584632410</v>
      </c>
      <c r="C5983" s="4" t="s">
        <v>269</v>
      </c>
      <c r="D5983" s="4">
        <v>681</v>
      </c>
      <c r="E5983" s="4">
        <v>57</v>
      </c>
      <c r="G5983">
        <f t="shared" si="93"/>
        <v>512</v>
      </c>
    </row>
    <row r="5984" spans="2:7" ht="15" hidden="1" x14ac:dyDescent="0.25">
      <c r="B5984" s="4">
        <v>584632411</v>
      </c>
      <c r="C5984" s="4" t="s">
        <v>269</v>
      </c>
      <c r="D5984" s="4">
        <v>682</v>
      </c>
      <c r="E5984" s="4">
        <v>57</v>
      </c>
      <c r="G5984">
        <f t="shared" si="93"/>
        <v>512</v>
      </c>
    </row>
    <row r="5985" spans="2:7" ht="15" hidden="1" x14ac:dyDescent="0.25">
      <c r="B5985" s="4">
        <v>584632412</v>
      </c>
      <c r="C5985" s="4" t="s">
        <v>269</v>
      </c>
      <c r="D5985" s="4">
        <v>683</v>
      </c>
      <c r="E5985" s="4">
        <v>57</v>
      </c>
      <c r="G5985">
        <f t="shared" si="93"/>
        <v>512</v>
      </c>
    </row>
    <row r="5986" spans="2:7" ht="15" hidden="1" x14ac:dyDescent="0.25">
      <c r="B5986" s="4">
        <v>584632413</v>
      </c>
      <c r="C5986" s="4" t="s">
        <v>269</v>
      </c>
      <c r="D5986" s="4">
        <v>684</v>
      </c>
      <c r="E5986" s="4">
        <v>57</v>
      </c>
      <c r="G5986">
        <f t="shared" si="93"/>
        <v>512</v>
      </c>
    </row>
    <row r="5987" spans="2:7" ht="15" hidden="1" x14ac:dyDescent="0.25">
      <c r="B5987" s="4">
        <v>584632414</v>
      </c>
      <c r="C5987" s="4" t="s">
        <v>269</v>
      </c>
      <c r="D5987" s="4">
        <v>685</v>
      </c>
      <c r="E5987" s="4">
        <v>57</v>
      </c>
      <c r="G5987">
        <f t="shared" si="93"/>
        <v>512</v>
      </c>
    </row>
    <row r="5988" spans="2:7" ht="15" hidden="1" x14ac:dyDescent="0.25">
      <c r="B5988" s="4">
        <v>584632415</v>
      </c>
      <c r="C5988" s="4" t="s">
        <v>269</v>
      </c>
      <c r="D5988" s="4">
        <v>686</v>
      </c>
      <c r="E5988" s="4">
        <v>57</v>
      </c>
      <c r="G5988">
        <f t="shared" si="93"/>
        <v>512</v>
      </c>
    </row>
    <row r="5989" spans="2:7" ht="15" hidden="1" x14ac:dyDescent="0.25">
      <c r="B5989" s="4">
        <v>584632416</v>
      </c>
      <c r="C5989" s="4" t="s">
        <v>269</v>
      </c>
      <c r="D5989" s="4">
        <v>687</v>
      </c>
      <c r="E5989" s="4">
        <v>57</v>
      </c>
      <c r="G5989">
        <f t="shared" si="93"/>
        <v>512</v>
      </c>
    </row>
    <row r="5990" spans="2:7" ht="15" hidden="1" x14ac:dyDescent="0.25">
      <c r="B5990" s="4">
        <v>584632417</v>
      </c>
      <c r="C5990" s="4" t="s">
        <v>269</v>
      </c>
      <c r="D5990" s="4">
        <v>688</v>
      </c>
      <c r="E5990" s="4">
        <v>57</v>
      </c>
      <c r="G5990">
        <f t="shared" si="93"/>
        <v>512</v>
      </c>
    </row>
    <row r="5991" spans="2:7" ht="15" hidden="1" x14ac:dyDescent="0.25">
      <c r="B5991" s="4">
        <v>584632418</v>
      </c>
      <c r="C5991" s="4" t="s">
        <v>269</v>
      </c>
      <c r="D5991" s="4">
        <v>689</v>
      </c>
      <c r="E5991" s="4">
        <v>57</v>
      </c>
      <c r="G5991">
        <f t="shared" si="93"/>
        <v>512</v>
      </c>
    </row>
    <row r="5992" spans="2:7" ht="15" hidden="1" x14ac:dyDescent="0.25">
      <c r="B5992" s="4">
        <v>584632418</v>
      </c>
      <c r="C5992" s="4" t="s">
        <v>272</v>
      </c>
      <c r="D5992" s="4">
        <v>57</v>
      </c>
      <c r="E5992" s="4">
        <v>215</v>
      </c>
      <c r="G5992">
        <f t="shared" si="93"/>
        <v>1776</v>
      </c>
    </row>
    <row r="5993" spans="2:7" ht="15" hidden="1" x14ac:dyDescent="0.25">
      <c r="B5993" s="4">
        <v>584632419</v>
      </c>
      <c r="C5993" s="4" t="s">
        <v>269</v>
      </c>
      <c r="D5993" s="4">
        <v>690</v>
      </c>
      <c r="E5993" s="4">
        <v>57</v>
      </c>
      <c r="G5993">
        <f t="shared" si="93"/>
        <v>512</v>
      </c>
    </row>
    <row r="5994" spans="2:7" ht="15" hidden="1" x14ac:dyDescent="0.25">
      <c r="B5994" s="4">
        <v>584632420</v>
      </c>
      <c r="C5994" s="4" t="s">
        <v>269</v>
      </c>
      <c r="D5994" s="4">
        <v>691</v>
      </c>
      <c r="E5994" s="4">
        <v>57</v>
      </c>
      <c r="G5994">
        <f t="shared" si="93"/>
        <v>512</v>
      </c>
    </row>
    <row r="5995" spans="2:7" ht="15" hidden="1" x14ac:dyDescent="0.25">
      <c r="B5995" s="4">
        <v>584632421</v>
      </c>
      <c r="C5995" s="4" t="s">
        <v>269</v>
      </c>
      <c r="D5995" s="4">
        <v>692</v>
      </c>
      <c r="E5995" s="4">
        <v>57</v>
      </c>
      <c r="G5995">
        <f t="shared" si="93"/>
        <v>512</v>
      </c>
    </row>
    <row r="5996" spans="2:7" ht="15" hidden="1" x14ac:dyDescent="0.25">
      <c r="B5996" s="4">
        <v>584632422</v>
      </c>
      <c r="C5996" s="4" t="s">
        <v>269</v>
      </c>
      <c r="D5996" s="4">
        <v>693</v>
      </c>
      <c r="E5996" s="4">
        <v>57</v>
      </c>
      <c r="G5996">
        <f t="shared" si="93"/>
        <v>512</v>
      </c>
    </row>
    <row r="5997" spans="2:7" ht="15" hidden="1" x14ac:dyDescent="0.25">
      <c r="B5997" s="4">
        <v>584632423</v>
      </c>
      <c r="C5997" s="4" t="s">
        <v>269</v>
      </c>
      <c r="D5997" s="4">
        <v>694</v>
      </c>
      <c r="E5997" s="4">
        <v>57</v>
      </c>
      <c r="G5997">
        <f t="shared" si="93"/>
        <v>512</v>
      </c>
    </row>
    <row r="5998" spans="2:7" ht="15" hidden="1" x14ac:dyDescent="0.25">
      <c r="B5998" s="4">
        <v>584632424</v>
      </c>
      <c r="C5998" s="4" t="s">
        <v>268</v>
      </c>
      <c r="D5998" s="4">
        <v>218</v>
      </c>
      <c r="E5998" s="4">
        <v>6</v>
      </c>
      <c r="G5998">
        <f t="shared" si="93"/>
        <v>104</v>
      </c>
    </row>
    <row r="5999" spans="2:7" ht="15" hidden="1" x14ac:dyDescent="0.25">
      <c r="B5999" s="4">
        <v>584632424</v>
      </c>
      <c r="C5999" s="4" t="s">
        <v>268</v>
      </c>
      <c r="D5999" s="4">
        <v>218</v>
      </c>
      <c r="E5999" s="4">
        <v>6</v>
      </c>
      <c r="G5999">
        <f t="shared" si="93"/>
        <v>104</v>
      </c>
    </row>
    <row r="6000" spans="2:7" ht="15" hidden="1" x14ac:dyDescent="0.25">
      <c r="B6000" s="4">
        <v>584632424</v>
      </c>
      <c r="C6000" s="4" t="s">
        <v>268</v>
      </c>
      <c r="D6000" s="4">
        <v>219</v>
      </c>
      <c r="E6000" s="4">
        <v>9</v>
      </c>
      <c r="G6000">
        <f t="shared" si="93"/>
        <v>128</v>
      </c>
    </row>
    <row r="6001" spans="2:7" ht="15" hidden="1" x14ac:dyDescent="0.25">
      <c r="B6001" s="4">
        <v>584632424</v>
      </c>
      <c r="C6001" s="4" t="s">
        <v>268</v>
      </c>
      <c r="D6001" s="4">
        <v>219</v>
      </c>
      <c r="E6001" s="4">
        <v>9</v>
      </c>
      <c r="G6001">
        <f t="shared" si="93"/>
        <v>128</v>
      </c>
    </row>
    <row r="6002" spans="2:7" ht="15" hidden="1" x14ac:dyDescent="0.25">
      <c r="B6002" s="4">
        <v>584632424</v>
      </c>
      <c r="C6002" s="4" t="s">
        <v>268</v>
      </c>
      <c r="D6002" s="4">
        <v>220</v>
      </c>
      <c r="E6002" s="4">
        <v>7</v>
      </c>
      <c r="F6002">
        <v>195</v>
      </c>
      <c r="G6002">
        <f t="shared" si="93"/>
        <v>112</v>
      </c>
    </row>
    <row r="6003" spans="2:7" ht="15" hidden="1" x14ac:dyDescent="0.25">
      <c r="B6003" s="4">
        <v>584632424</v>
      </c>
      <c r="C6003" s="4" t="s">
        <v>268</v>
      </c>
      <c r="D6003" s="4">
        <v>220</v>
      </c>
      <c r="E6003" s="4">
        <v>7</v>
      </c>
      <c r="G6003">
        <f t="shared" si="93"/>
        <v>112</v>
      </c>
    </row>
    <row r="6004" spans="2:7" ht="15" hidden="1" x14ac:dyDescent="0.25">
      <c r="B6004" s="4">
        <v>584632424</v>
      </c>
      <c r="C6004" s="4" t="s">
        <v>268</v>
      </c>
      <c r="D6004" s="4">
        <v>221</v>
      </c>
      <c r="E6004" s="4">
        <v>7</v>
      </c>
      <c r="G6004">
        <f t="shared" si="93"/>
        <v>112</v>
      </c>
    </row>
    <row r="6005" spans="2:7" ht="15" hidden="1" x14ac:dyDescent="0.25">
      <c r="B6005" s="4">
        <v>584632424</v>
      </c>
      <c r="C6005" s="4" t="s">
        <v>268</v>
      </c>
      <c r="D6005" s="4">
        <v>221</v>
      </c>
      <c r="E6005" s="4">
        <v>7</v>
      </c>
      <c r="F6005">
        <v>79</v>
      </c>
      <c r="G6005">
        <f t="shared" si="93"/>
        <v>112</v>
      </c>
    </row>
    <row r="6006" spans="2:7" ht="15" hidden="1" x14ac:dyDescent="0.25">
      <c r="B6006" s="4">
        <v>584632424</v>
      </c>
      <c r="C6006" s="4" t="s">
        <v>268</v>
      </c>
      <c r="D6006" s="4">
        <v>222</v>
      </c>
      <c r="E6006" s="4">
        <v>7</v>
      </c>
      <c r="F6006">
        <v>79</v>
      </c>
      <c r="G6006">
        <f t="shared" si="93"/>
        <v>112</v>
      </c>
    </row>
    <row r="6007" spans="2:7" ht="15" hidden="1" x14ac:dyDescent="0.25">
      <c r="B6007" s="4">
        <v>584632424</v>
      </c>
      <c r="C6007" s="4" t="s">
        <v>268</v>
      </c>
      <c r="D6007" s="4">
        <v>222</v>
      </c>
      <c r="E6007" s="4">
        <v>7</v>
      </c>
      <c r="F6007">
        <v>5</v>
      </c>
      <c r="G6007">
        <f t="shared" si="93"/>
        <v>112</v>
      </c>
    </row>
    <row r="6008" spans="2:7" ht="15" hidden="1" x14ac:dyDescent="0.25">
      <c r="B6008" s="4">
        <v>584632424</v>
      </c>
      <c r="C6008" s="4" t="s">
        <v>269</v>
      </c>
      <c r="D6008" s="4">
        <v>695</v>
      </c>
      <c r="E6008" s="4">
        <v>57</v>
      </c>
      <c r="F6008">
        <v>5</v>
      </c>
      <c r="G6008">
        <f t="shared" si="93"/>
        <v>512</v>
      </c>
    </row>
    <row r="6009" spans="2:7" ht="15" hidden="1" x14ac:dyDescent="0.25">
      <c r="B6009" s="4">
        <v>584632425</v>
      </c>
      <c r="C6009" s="4" t="s">
        <v>269</v>
      </c>
      <c r="D6009" s="4">
        <v>696</v>
      </c>
      <c r="E6009" s="4">
        <v>57</v>
      </c>
      <c r="F6009">
        <v>5</v>
      </c>
      <c r="G6009">
        <f t="shared" si="93"/>
        <v>512</v>
      </c>
    </row>
    <row r="6010" spans="2:7" ht="15" hidden="1" x14ac:dyDescent="0.25">
      <c r="B6010" s="4">
        <v>584632426</v>
      </c>
      <c r="C6010" s="4" t="s">
        <v>268</v>
      </c>
      <c r="D6010" s="4">
        <v>223</v>
      </c>
      <c r="E6010" s="4">
        <v>7</v>
      </c>
      <c r="F6010">
        <v>5</v>
      </c>
      <c r="G6010">
        <f t="shared" si="93"/>
        <v>112</v>
      </c>
    </row>
    <row r="6011" spans="2:7" ht="15" hidden="1" x14ac:dyDescent="0.25">
      <c r="B6011" s="4">
        <v>584632426</v>
      </c>
      <c r="C6011" s="4" t="s">
        <v>268</v>
      </c>
      <c r="D6011" s="4">
        <v>223</v>
      </c>
      <c r="E6011" s="4">
        <v>7</v>
      </c>
      <c r="F6011">
        <v>81</v>
      </c>
      <c r="G6011">
        <f t="shared" si="93"/>
        <v>112</v>
      </c>
    </row>
    <row r="6012" spans="2:7" ht="15" hidden="1" x14ac:dyDescent="0.25">
      <c r="B6012" s="4">
        <v>584632426</v>
      </c>
      <c r="C6012" s="4" t="s">
        <v>268</v>
      </c>
      <c r="D6012" s="4">
        <v>224</v>
      </c>
      <c r="E6012" s="4">
        <v>5</v>
      </c>
      <c r="F6012">
        <v>81</v>
      </c>
      <c r="G6012">
        <f t="shared" si="93"/>
        <v>96</v>
      </c>
    </row>
    <row r="6013" spans="2:7" ht="15" hidden="1" x14ac:dyDescent="0.25">
      <c r="B6013" s="4">
        <v>584632426</v>
      </c>
      <c r="C6013" s="4" t="s">
        <v>268</v>
      </c>
      <c r="D6013" s="4">
        <v>224</v>
      </c>
      <c r="E6013" s="4">
        <v>5</v>
      </c>
      <c r="F6013">
        <v>6</v>
      </c>
      <c r="G6013">
        <f t="shared" si="93"/>
        <v>96</v>
      </c>
    </row>
    <row r="6014" spans="2:7" ht="15" hidden="1" x14ac:dyDescent="0.25">
      <c r="B6014" s="4">
        <v>584632426</v>
      </c>
      <c r="C6014" s="4" t="s">
        <v>268</v>
      </c>
      <c r="D6014" s="4">
        <v>225</v>
      </c>
      <c r="E6014" s="4">
        <v>7</v>
      </c>
      <c r="F6014">
        <v>6</v>
      </c>
      <c r="G6014">
        <f t="shared" si="93"/>
        <v>112</v>
      </c>
    </row>
    <row r="6015" spans="2:7" ht="15" hidden="1" x14ac:dyDescent="0.25">
      <c r="B6015" s="4">
        <v>584632426</v>
      </c>
      <c r="C6015" s="4" t="s">
        <v>268</v>
      </c>
      <c r="D6015" s="4">
        <v>225</v>
      </c>
      <c r="E6015" s="4">
        <v>7</v>
      </c>
      <c r="F6015">
        <v>5</v>
      </c>
      <c r="G6015">
        <f t="shared" si="93"/>
        <v>112</v>
      </c>
    </row>
    <row r="6016" spans="2:7" ht="15" hidden="1" x14ac:dyDescent="0.25">
      <c r="B6016" s="4">
        <v>584632426</v>
      </c>
      <c r="C6016" s="4" t="s">
        <v>269</v>
      </c>
      <c r="D6016" s="4">
        <v>697</v>
      </c>
      <c r="E6016" s="4">
        <v>57</v>
      </c>
      <c r="F6016">
        <v>5</v>
      </c>
      <c r="G6016">
        <f t="shared" si="93"/>
        <v>512</v>
      </c>
    </row>
    <row r="6017" spans="2:7" ht="15" hidden="1" x14ac:dyDescent="0.25">
      <c r="B6017" s="4">
        <v>584632427</v>
      </c>
      <c r="C6017" s="4" t="s">
        <v>269</v>
      </c>
      <c r="D6017" s="4">
        <v>698</v>
      </c>
      <c r="E6017" s="4">
        <v>57</v>
      </c>
      <c r="F6017">
        <v>5</v>
      </c>
      <c r="G6017">
        <f t="shared" si="93"/>
        <v>512</v>
      </c>
    </row>
    <row r="6018" spans="2:7" ht="15" hidden="1" x14ac:dyDescent="0.25">
      <c r="B6018" s="4">
        <v>584632428</v>
      </c>
      <c r="C6018" s="4" t="s">
        <v>269</v>
      </c>
      <c r="D6018" s="4">
        <v>699</v>
      </c>
      <c r="E6018" s="4">
        <v>57</v>
      </c>
      <c r="F6018">
        <v>5</v>
      </c>
      <c r="G6018">
        <f t="shared" si="93"/>
        <v>512</v>
      </c>
    </row>
    <row r="6019" spans="2:7" ht="15" hidden="1" x14ac:dyDescent="0.25">
      <c r="B6019" s="4">
        <v>584632428</v>
      </c>
      <c r="C6019" s="4" t="s">
        <v>272</v>
      </c>
      <c r="D6019" s="4">
        <v>58</v>
      </c>
      <c r="E6019" s="4">
        <v>215</v>
      </c>
      <c r="F6019">
        <v>5</v>
      </c>
      <c r="G6019">
        <f t="shared" si="93"/>
        <v>1776</v>
      </c>
    </row>
    <row r="6020" spans="2:7" ht="15" hidden="1" x14ac:dyDescent="0.25">
      <c r="B6020" s="4">
        <v>584632429</v>
      </c>
      <c r="C6020" s="4" t="s">
        <v>269</v>
      </c>
      <c r="D6020" s="4">
        <v>700</v>
      </c>
      <c r="E6020" s="4">
        <v>57</v>
      </c>
      <c r="F6020">
        <v>5</v>
      </c>
      <c r="G6020">
        <f t="shared" ref="G6020:G6083" si="94">(E6020+7)*8</f>
        <v>512</v>
      </c>
    </row>
    <row r="6021" spans="2:7" ht="15" hidden="1" x14ac:dyDescent="0.25">
      <c r="B6021" s="4">
        <v>584632430</v>
      </c>
      <c r="C6021" s="4" t="s">
        <v>269</v>
      </c>
      <c r="D6021" s="4">
        <v>701</v>
      </c>
      <c r="E6021" s="4">
        <v>57</v>
      </c>
      <c r="F6021">
        <v>5</v>
      </c>
      <c r="G6021">
        <f t="shared" si="94"/>
        <v>512</v>
      </c>
    </row>
    <row r="6022" spans="2:7" ht="15" hidden="1" x14ac:dyDescent="0.25">
      <c r="B6022" s="4">
        <v>584632431</v>
      </c>
      <c r="C6022" s="4" t="s">
        <v>269</v>
      </c>
      <c r="D6022" s="4">
        <v>702</v>
      </c>
      <c r="E6022" s="4">
        <v>57</v>
      </c>
      <c r="F6022">
        <v>5</v>
      </c>
      <c r="G6022">
        <f t="shared" si="94"/>
        <v>512</v>
      </c>
    </row>
    <row r="6023" spans="2:7" ht="15" hidden="1" x14ac:dyDescent="0.25">
      <c r="B6023" s="4">
        <v>584632432</v>
      </c>
      <c r="C6023" s="4" t="s">
        <v>269</v>
      </c>
      <c r="D6023" s="4">
        <v>703</v>
      </c>
      <c r="E6023" s="4">
        <v>57</v>
      </c>
      <c r="F6023">
        <v>5</v>
      </c>
      <c r="G6023">
        <f t="shared" si="94"/>
        <v>512</v>
      </c>
    </row>
    <row r="6024" spans="2:7" ht="15" hidden="1" x14ac:dyDescent="0.25">
      <c r="B6024" s="4">
        <v>584632433</v>
      </c>
      <c r="C6024" s="4" t="s">
        <v>269</v>
      </c>
      <c r="D6024" s="4">
        <v>704</v>
      </c>
      <c r="E6024" s="4">
        <v>57</v>
      </c>
      <c r="F6024">
        <v>5</v>
      </c>
      <c r="G6024">
        <f t="shared" si="94"/>
        <v>512</v>
      </c>
    </row>
    <row r="6025" spans="2:7" ht="15" hidden="1" x14ac:dyDescent="0.25">
      <c r="B6025" s="4">
        <v>584632434</v>
      </c>
      <c r="C6025" s="4" t="s">
        <v>269</v>
      </c>
      <c r="D6025" s="4">
        <v>705</v>
      </c>
      <c r="E6025" s="4">
        <v>57</v>
      </c>
      <c r="F6025">
        <v>5</v>
      </c>
      <c r="G6025">
        <f t="shared" si="94"/>
        <v>512</v>
      </c>
    </row>
    <row r="6026" spans="2:7" ht="15" hidden="1" x14ac:dyDescent="0.25">
      <c r="B6026" s="4">
        <v>584632435</v>
      </c>
      <c r="C6026" s="4" t="s">
        <v>269</v>
      </c>
      <c r="D6026" s="4">
        <v>706</v>
      </c>
      <c r="E6026" s="4">
        <v>57</v>
      </c>
      <c r="F6026">
        <v>5</v>
      </c>
      <c r="G6026">
        <f t="shared" si="94"/>
        <v>512</v>
      </c>
    </row>
    <row r="6027" spans="2:7" ht="15" hidden="1" x14ac:dyDescent="0.25">
      <c r="B6027" s="4">
        <v>584632436</v>
      </c>
      <c r="C6027" s="4" t="s">
        <v>269</v>
      </c>
      <c r="D6027" s="4">
        <v>707</v>
      </c>
      <c r="E6027" s="4">
        <v>57</v>
      </c>
      <c r="F6027">
        <v>5</v>
      </c>
      <c r="G6027">
        <f t="shared" si="94"/>
        <v>512</v>
      </c>
    </row>
    <row r="6028" spans="2:7" ht="15" hidden="1" x14ac:dyDescent="0.25">
      <c r="B6028" s="4">
        <v>584632437</v>
      </c>
      <c r="C6028" s="4" t="s">
        <v>269</v>
      </c>
      <c r="D6028" s="4">
        <v>708</v>
      </c>
      <c r="E6028" s="4">
        <v>57</v>
      </c>
      <c r="F6028">
        <v>5</v>
      </c>
      <c r="G6028">
        <f t="shared" si="94"/>
        <v>512</v>
      </c>
    </row>
    <row r="6029" spans="2:7" ht="15" hidden="1" x14ac:dyDescent="0.25">
      <c r="B6029" s="4">
        <v>584632438</v>
      </c>
      <c r="C6029" s="4" t="s">
        <v>269</v>
      </c>
      <c r="D6029" s="4">
        <v>709</v>
      </c>
      <c r="E6029" s="4">
        <v>57</v>
      </c>
      <c r="F6029">
        <v>5</v>
      </c>
      <c r="G6029">
        <f t="shared" si="94"/>
        <v>512</v>
      </c>
    </row>
    <row r="6030" spans="2:7" ht="15" hidden="1" x14ac:dyDescent="0.25">
      <c r="B6030" s="4">
        <v>584632438</v>
      </c>
      <c r="C6030" s="4" t="s">
        <v>272</v>
      </c>
      <c r="D6030" s="4">
        <v>59</v>
      </c>
      <c r="E6030" s="4">
        <v>209</v>
      </c>
      <c r="F6030">
        <v>5</v>
      </c>
      <c r="G6030">
        <f t="shared" si="94"/>
        <v>1728</v>
      </c>
    </row>
    <row r="6031" spans="2:7" ht="15" hidden="1" x14ac:dyDescent="0.25">
      <c r="B6031" s="4">
        <v>584632439</v>
      </c>
      <c r="C6031" s="4" t="s">
        <v>269</v>
      </c>
      <c r="D6031" s="4">
        <v>710</v>
      </c>
      <c r="E6031" s="4">
        <v>57</v>
      </c>
      <c r="F6031">
        <v>5</v>
      </c>
      <c r="G6031">
        <f t="shared" si="94"/>
        <v>512</v>
      </c>
    </row>
    <row r="6032" spans="2:7" ht="15" hidden="1" x14ac:dyDescent="0.25">
      <c r="B6032" s="4">
        <v>584632440</v>
      </c>
      <c r="C6032" s="4" t="s">
        <v>269</v>
      </c>
      <c r="D6032" s="4">
        <v>711</v>
      </c>
      <c r="E6032" s="4">
        <v>57</v>
      </c>
      <c r="F6032">
        <v>5</v>
      </c>
      <c r="G6032">
        <f t="shared" si="94"/>
        <v>512</v>
      </c>
    </row>
    <row r="6033" spans="2:7" ht="15" hidden="1" x14ac:dyDescent="0.25">
      <c r="B6033" s="4">
        <v>584632441</v>
      </c>
      <c r="C6033" s="4" t="s">
        <v>269</v>
      </c>
      <c r="D6033" s="4">
        <v>712</v>
      </c>
      <c r="E6033" s="4">
        <v>57</v>
      </c>
      <c r="F6033">
        <v>5</v>
      </c>
      <c r="G6033">
        <f t="shared" si="94"/>
        <v>512</v>
      </c>
    </row>
    <row r="6034" spans="2:7" ht="15" hidden="1" x14ac:dyDescent="0.25">
      <c r="B6034" s="4">
        <v>584632442</v>
      </c>
      <c r="C6034" s="4" t="s">
        <v>269</v>
      </c>
      <c r="D6034" s="4">
        <v>713</v>
      </c>
      <c r="E6034" s="4">
        <v>57</v>
      </c>
      <c r="F6034">
        <v>5</v>
      </c>
      <c r="G6034">
        <f t="shared" si="94"/>
        <v>512</v>
      </c>
    </row>
    <row r="6035" spans="2:7" ht="15" hidden="1" x14ac:dyDescent="0.25">
      <c r="B6035" s="4">
        <v>584632443</v>
      </c>
      <c r="C6035" s="4" t="s">
        <v>269</v>
      </c>
      <c r="D6035" s="4">
        <v>714</v>
      </c>
      <c r="E6035" s="4">
        <v>57</v>
      </c>
      <c r="F6035">
        <v>5</v>
      </c>
      <c r="G6035">
        <f t="shared" si="94"/>
        <v>512</v>
      </c>
    </row>
    <row r="6036" spans="2:7" ht="15" hidden="1" x14ac:dyDescent="0.25">
      <c r="B6036" s="4">
        <v>584632444</v>
      </c>
      <c r="C6036" s="4" t="s">
        <v>269</v>
      </c>
      <c r="D6036" s="4">
        <v>715</v>
      </c>
      <c r="E6036" s="4">
        <v>57</v>
      </c>
      <c r="F6036">
        <v>5</v>
      </c>
      <c r="G6036">
        <f t="shared" si="94"/>
        <v>512</v>
      </c>
    </row>
    <row r="6037" spans="2:7" ht="15" hidden="1" x14ac:dyDescent="0.25">
      <c r="B6037" s="4">
        <v>584632445</v>
      </c>
      <c r="C6037" s="4" t="s">
        <v>269</v>
      </c>
      <c r="D6037" s="4">
        <v>716</v>
      </c>
      <c r="E6037" s="4">
        <v>57</v>
      </c>
      <c r="F6037">
        <v>5</v>
      </c>
      <c r="G6037">
        <f t="shared" si="94"/>
        <v>512</v>
      </c>
    </row>
    <row r="6038" spans="2:7" ht="15" hidden="1" x14ac:dyDescent="0.25">
      <c r="B6038" s="4">
        <v>584632446</v>
      </c>
      <c r="C6038" s="4" t="s">
        <v>269</v>
      </c>
      <c r="D6038" s="4">
        <v>717</v>
      </c>
      <c r="E6038" s="4">
        <v>57</v>
      </c>
      <c r="F6038">
        <v>5</v>
      </c>
      <c r="G6038">
        <f t="shared" si="94"/>
        <v>512</v>
      </c>
    </row>
    <row r="6039" spans="2:7" ht="15" hidden="1" x14ac:dyDescent="0.25">
      <c r="B6039" s="4">
        <v>584632447</v>
      </c>
      <c r="C6039" s="4" t="s">
        <v>269</v>
      </c>
      <c r="D6039" s="4">
        <v>718</v>
      </c>
      <c r="E6039" s="4">
        <v>57</v>
      </c>
      <c r="F6039">
        <v>5</v>
      </c>
      <c r="G6039">
        <f t="shared" si="94"/>
        <v>512</v>
      </c>
    </row>
    <row r="6040" spans="2:7" ht="15" hidden="1" x14ac:dyDescent="0.25">
      <c r="B6040" s="4">
        <v>584632448</v>
      </c>
      <c r="C6040" s="4" t="s">
        <v>269</v>
      </c>
      <c r="D6040" s="4">
        <v>719</v>
      </c>
      <c r="E6040" s="4">
        <v>57</v>
      </c>
      <c r="F6040">
        <v>5</v>
      </c>
      <c r="G6040">
        <f t="shared" si="94"/>
        <v>512</v>
      </c>
    </row>
    <row r="6041" spans="2:7" ht="15" x14ac:dyDescent="0.25">
      <c r="B6041" s="4">
        <v>584632448</v>
      </c>
      <c r="C6041" s="4" t="s">
        <v>270</v>
      </c>
      <c r="D6041" s="4">
        <v>2</v>
      </c>
      <c r="E6041" s="4">
        <v>1100</v>
      </c>
      <c r="F6041">
        <v>5</v>
      </c>
      <c r="G6041">
        <f t="shared" si="94"/>
        <v>8856</v>
      </c>
    </row>
    <row r="6042" spans="2:7" ht="15" x14ac:dyDescent="0.25">
      <c r="B6042" s="4">
        <v>584632448</v>
      </c>
      <c r="C6042" s="4" t="s">
        <v>271</v>
      </c>
      <c r="D6042" s="4">
        <v>2</v>
      </c>
      <c r="E6042" s="4">
        <v>1100</v>
      </c>
      <c r="F6042">
        <v>5</v>
      </c>
      <c r="G6042">
        <f t="shared" si="94"/>
        <v>8856</v>
      </c>
    </row>
    <row r="6043" spans="2:7" ht="15" hidden="1" x14ac:dyDescent="0.25">
      <c r="B6043" s="4">
        <v>584632449</v>
      </c>
      <c r="C6043" s="4" t="s">
        <v>269</v>
      </c>
      <c r="D6043" s="4">
        <v>720</v>
      </c>
      <c r="E6043" s="4">
        <v>57</v>
      </c>
      <c r="F6043">
        <v>5</v>
      </c>
      <c r="G6043">
        <f t="shared" si="94"/>
        <v>512</v>
      </c>
    </row>
    <row r="6044" spans="2:7" ht="15" hidden="1" x14ac:dyDescent="0.25">
      <c r="B6044" s="4">
        <v>584632449</v>
      </c>
      <c r="C6044" s="4" t="s">
        <v>272</v>
      </c>
      <c r="D6044" s="4">
        <v>60</v>
      </c>
      <c r="E6044" s="4">
        <v>209</v>
      </c>
      <c r="F6044">
        <v>5</v>
      </c>
      <c r="G6044">
        <f t="shared" si="94"/>
        <v>1728</v>
      </c>
    </row>
    <row r="6045" spans="2:7" ht="15" hidden="1" x14ac:dyDescent="0.25">
      <c r="B6045" s="4">
        <v>584632450</v>
      </c>
      <c r="C6045" s="4" t="s">
        <v>269</v>
      </c>
      <c r="D6045" s="4">
        <v>721</v>
      </c>
      <c r="E6045" s="4">
        <v>57</v>
      </c>
      <c r="F6045">
        <v>5</v>
      </c>
      <c r="G6045">
        <f t="shared" si="94"/>
        <v>512</v>
      </c>
    </row>
    <row r="6046" spans="2:7" ht="15" hidden="1" x14ac:dyDescent="0.25">
      <c r="B6046" s="4">
        <v>584632451</v>
      </c>
      <c r="C6046" s="4" t="s">
        <v>269</v>
      </c>
      <c r="D6046" s="4">
        <v>722</v>
      </c>
      <c r="E6046" s="4">
        <v>57</v>
      </c>
      <c r="F6046">
        <v>5</v>
      </c>
      <c r="G6046">
        <f t="shared" si="94"/>
        <v>512</v>
      </c>
    </row>
    <row r="6047" spans="2:7" ht="15" hidden="1" x14ac:dyDescent="0.25">
      <c r="B6047" s="4">
        <v>584632452</v>
      </c>
      <c r="C6047" s="4" t="s">
        <v>269</v>
      </c>
      <c r="D6047" s="4">
        <v>723</v>
      </c>
      <c r="E6047" s="4">
        <v>57</v>
      </c>
      <c r="F6047">
        <v>5</v>
      </c>
      <c r="G6047">
        <f t="shared" si="94"/>
        <v>512</v>
      </c>
    </row>
    <row r="6048" spans="2:7" ht="15" hidden="1" x14ac:dyDescent="0.25">
      <c r="B6048" s="4">
        <v>584632453</v>
      </c>
      <c r="C6048" s="4" t="s">
        <v>269</v>
      </c>
      <c r="D6048" s="4">
        <v>724</v>
      </c>
      <c r="E6048" s="4">
        <v>57</v>
      </c>
      <c r="F6048">
        <v>5</v>
      </c>
      <c r="G6048">
        <f t="shared" si="94"/>
        <v>512</v>
      </c>
    </row>
    <row r="6049" spans="2:7" ht="15" hidden="1" x14ac:dyDescent="0.25">
      <c r="B6049" s="4">
        <v>584632454</v>
      </c>
      <c r="C6049" s="4" t="s">
        <v>269</v>
      </c>
      <c r="D6049" s="4">
        <v>725</v>
      </c>
      <c r="E6049" s="4">
        <v>57</v>
      </c>
      <c r="F6049">
        <v>5</v>
      </c>
      <c r="G6049">
        <f t="shared" si="94"/>
        <v>512</v>
      </c>
    </row>
    <row r="6050" spans="2:7" ht="15" hidden="1" x14ac:dyDescent="0.25">
      <c r="B6050" s="4">
        <v>584632455</v>
      </c>
      <c r="C6050" s="4" t="s">
        <v>269</v>
      </c>
      <c r="D6050" s="4">
        <v>726</v>
      </c>
      <c r="E6050" s="4">
        <v>57</v>
      </c>
      <c r="F6050">
        <v>5</v>
      </c>
      <c r="G6050">
        <f t="shared" si="94"/>
        <v>512</v>
      </c>
    </row>
    <row r="6051" spans="2:7" ht="15" hidden="1" x14ac:dyDescent="0.25">
      <c r="B6051" s="4">
        <v>584632456</v>
      </c>
      <c r="C6051" s="4" t="s">
        <v>269</v>
      </c>
      <c r="D6051" s="4">
        <v>727</v>
      </c>
      <c r="E6051" s="4">
        <v>57</v>
      </c>
      <c r="F6051">
        <v>5</v>
      </c>
      <c r="G6051">
        <f t="shared" si="94"/>
        <v>512</v>
      </c>
    </row>
    <row r="6052" spans="2:7" ht="15" hidden="1" x14ac:dyDescent="0.25">
      <c r="B6052" s="4">
        <v>584632457</v>
      </c>
      <c r="C6052" s="4" t="s">
        <v>269</v>
      </c>
      <c r="D6052" s="4">
        <v>728</v>
      </c>
      <c r="E6052" s="4">
        <v>57</v>
      </c>
      <c r="F6052">
        <v>5</v>
      </c>
      <c r="G6052">
        <f t="shared" si="94"/>
        <v>512</v>
      </c>
    </row>
    <row r="6053" spans="2:7" ht="15" hidden="1" x14ac:dyDescent="0.25">
      <c r="B6053" s="4">
        <v>584632458</v>
      </c>
      <c r="C6053" s="4" t="s">
        <v>269</v>
      </c>
      <c r="D6053" s="4">
        <v>729</v>
      </c>
      <c r="E6053" s="4">
        <v>57</v>
      </c>
      <c r="F6053">
        <v>5</v>
      </c>
      <c r="G6053">
        <f t="shared" si="94"/>
        <v>512</v>
      </c>
    </row>
    <row r="6054" spans="2:7" ht="15" hidden="1" x14ac:dyDescent="0.25">
      <c r="B6054" s="4">
        <v>584632458</v>
      </c>
      <c r="C6054" s="4" t="s">
        <v>272</v>
      </c>
      <c r="D6054" s="4">
        <v>61</v>
      </c>
      <c r="E6054" s="4">
        <v>211</v>
      </c>
      <c r="F6054">
        <v>5</v>
      </c>
      <c r="G6054">
        <f t="shared" si="94"/>
        <v>1744</v>
      </c>
    </row>
    <row r="6055" spans="2:7" ht="15" hidden="1" x14ac:dyDescent="0.25">
      <c r="B6055" s="4">
        <v>584632459</v>
      </c>
      <c r="C6055" s="4" t="s">
        <v>269</v>
      </c>
      <c r="D6055" s="4">
        <v>730</v>
      </c>
      <c r="E6055" s="4">
        <v>57</v>
      </c>
      <c r="F6055">
        <v>5</v>
      </c>
      <c r="G6055">
        <f t="shared" si="94"/>
        <v>512</v>
      </c>
    </row>
    <row r="6056" spans="2:7" ht="15" hidden="1" x14ac:dyDescent="0.25">
      <c r="B6056" s="4">
        <v>584632460</v>
      </c>
      <c r="C6056" s="4" t="s">
        <v>269</v>
      </c>
      <c r="D6056" s="4">
        <v>731</v>
      </c>
      <c r="E6056" s="4">
        <v>57</v>
      </c>
      <c r="F6056">
        <v>5</v>
      </c>
      <c r="G6056">
        <f t="shared" si="94"/>
        <v>512</v>
      </c>
    </row>
    <row r="6057" spans="2:7" ht="15" hidden="1" x14ac:dyDescent="0.25">
      <c r="B6057" s="4">
        <v>584632461</v>
      </c>
      <c r="C6057" s="4" t="s">
        <v>269</v>
      </c>
      <c r="D6057" s="4">
        <v>732</v>
      </c>
      <c r="E6057" s="4">
        <v>57</v>
      </c>
      <c r="F6057">
        <v>5</v>
      </c>
      <c r="G6057">
        <f t="shared" si="94"/>
        <v>512</v>
      </c>
    </row>
    <row r="6058" spans="2:7" ht="15" hidden="1" x14ac:dyDescent="0.25">
      <c r="B6058" s="4">
        <v>584632462</v>
      </c>
      <c r="C6058" s="4" t="s">
        <v>269</v>
      </c>
      <c r="D6058" s="4">
        <v>733</v>
      </c>
      <c r="E6058" s="4">
        <v>57</v>
      </c>
      <c r="F6058">
        <v>5</v>
      </c>
      <c r="G6058">
        <f t="shared" si="94"/>
        <v>512</v>
      </c>
    </row>
    <row r="6059" spans="2:7" ht="15" hidden="1" x14ac:dyDescent="0.25">
      <c r="B6059" s="4">
        <v>584632463</v>
      </c>
      <c r="C6059" s="4" t="s">
        <v>269</v>
      </c>
      <c r="D6059" s="4">
        <v>734</v>
      </c>
      <c r="E6059" s="4">
        <v>57</v>
      </c>
      <c r="F6059">
        <v>5</v>
      </c>
      <c r="G6059">
        <f t="shared" si="94"/>
        <v>512</v>
      </c>
    </row>
    <row r="6060" spans="2:7" ht="15" hidden="1" x14ac:dyDescent="0.25">
      <c r="B6060" s="4">
        <v>584632464</v>
      </c>
      <c r="C6060" s="4" t="s">
        <v>269</v>
      </c>
      <c r="D6060" s="4">
        <v>735</v>
      </c>
      <c r="E6060" s="4">
        <v>57</v>
      </c>
      <c r="F6060">
        <v>5</v>
      </c>
      <c r="G6060">
        <f t="shared" si="94"/>
        <v>512</v>
      </c>
    </row>
    <row r="6061" spans="2:7" ht="15" hidden="1" x14ac:dyDescent="0.25">
      <c r="B6061" s="4">
        <v>584632465</v>
      </c>
      <c r="C6061" s="4" t="s">
        <v>269</v>
      </c>
      <c r="D6061" s="4">
        <v>736</v>
      </c>
      <c r="E6061" s="4">
        <v>57</v>
      </c>
      <c r="F6061">
        <v>5</v>
      </c>
      <c r="G6061">
        <f t="shared" si="94"/>
        <v>512</v>
      </c>
    </row>
    <row r="6062" spans="2:7" ht="15" hidden="1" x14ac:dyDescent="0.25">
      <c r="B6062" s="4">
        <v>584632466</v>
      </c>
      <c r="C6062" s="4" t="s">
        <v>269</v>
      </c>
      <c r="D6062" s="4">
        <v>737</v>
      </c>
      <c r="E6062" s="4">
        <v>57</v>
      </c>
      <c r="F6062">
        <v>5</v>
      </c>
      <c r="G6062">
        <f t="shared" si="94"/>
        <v>512</v>
      </c>
    </row>
    <row r="6063" spans="2:7" ht="15" hidden="1" x14ac:dyDescent="0.25">
      <c r="B6063" s="4">
        <v>584632467</v>
      </c>
      <c r="C6063" s="4" t="s">
        <v>269</v>
      </c>
      <c r="D6063" s="4">
        <v>738</v>
      </c>
      <c r="E6063" s="4">
        <v>57</v>
      </c>
      <c r="F6063">
        <v>5</v>
      </c>
      <c r="G6063">
        <f t="shared" si="94"/>
        <v>512</v>
      </c>
    </row>
    <row r="6064" spans="2:7" ht="15" hidden="1" x14ac:dyDescent="0.25">
      <c r="B6064" s="4">
        <v>584632468</v>
      </c>
      <c r="C6064" s="4" t="s">
        <v>269</v>
      </c>
      <c r="D6064" s="4">
        <v>739</v>
      </c>
      <c r="E6064" s="4">
        <v>57</v>
      </c>
      <c r="F6064">
        <v>5</v>
      </c>
      <c r="G6064">
        <f t="shared" si="94"/>
        <v>512</v>
      </c>
    </row>
    <row r="6065" spans="2:7" ht="15" hidden="1" x14ac:dyDescent="0.25">
      <c r="B6065" s="4">
        <v>584632468</v>
      </c>
      <c r="C6065" s="4" t="s">
        <v>272</v>
      </c>
      <c r="D6065" s="4">
        <v>62</v>
      </c>
      <c r="E6065" s="4">
        <v>209</v>
      </c>
      <c r="F6065">
        <v>5</v>
      </c>
      <c r="G6065">
        <f t="shared" si="94"/>
        <v>1728</v>
      </c>
    </row>
    <row r="6066" spans="2:7" ht="15" hidden="1" x14ac:dyDescent="0.25">
      <c r="B6066" s="4">
        <v>584632469</v>
      </c>
      <c r="C6066" s="4" t="s">
        <v>269</v>
      </c>
      <c r="D6066" s="4">
        <v>740</v>
      </c>
      <c r="E6066" s="4">
        <v>57</v>
      </c>
      <c r="F6066">
        <v>5</v>
      </c>
      <c r="G6066">
        <f t="shared" si="94"/>
        <v>512</v>
      </c>
    </row>
    <row r="6067" spans="2:7" ht="15" hidden="1" x14ac:dyDescent="0.25">
      <c r="B6067" s="4">
        <v>584632470</v>
      </c>
      <c r="C6067" s="4" t="s">
        <v>269</v>
      </c>
      <c r="D6067" s="4">
        <v>741</v>
      </c>
      <c r="E6067" s="4">
        <v>57</v>
      </c>
      <c r="F6067">
        <v>5</v>
      </c>
      <c r="G6067">
        <f t="shared" si="94"/>
        <v>512</v>
      </c>
    </row>
    <row r="6068" spans="2:7" ht="15" hidden="1" x14ac:dyDescent="0.25">
      <c r="B6068" s="4">
        <v>584632471</v>
      </c>
      <c r="C6068" s="4" t="s">
        <v>269</v>
      </c>
      <c r="D6068" s="4">
        <v>742</v>
      </c>
      <c r="E6068" s="4">
        <v>57</v>
      </c>
      <c r="F6068">
        <v>5</v>
      </c>
      <c r="G6068">
        <f t="shared" si="94"/>
        <v>512</v>
      </c>
    </row>
    <row r="6069" spans="2:7" ht="15" hidden="1" x14ac:dyDescent="0.25">
      <c r="B6069" s="4">
        <v>584632472</v>
      </c>
      <c r="C6069" s="4" t="s">
        <v>269</v>
      </c>
      <c r="D6069" s="4">
        <v>743</v>
      </c>
      <c r="E6069" s="4">
        <v>57</v>
      </c>
      <c r="F6069">
        <v>5</v>
      </c>
      <c r="G6069">
        <f t="shared" si="94"/>
        <v>512</v>
      </c>
    </row>
    <row r="6070" spans="2:7" ht="15" hidden="1" x14ac:dyDescent="0.25">
      <c r="B6070" s="4">
        <v>584632473</v>
      </c>
      <c r="C6070" s="4" t="s">
        <v>269</v>
      </c>
      <c r="D6070" s="4">
        <v>744</v>
      </c>
      <c r="E6070" s="4">
        <v>57</v>
      </c>
      <c r="F6070">
        <v>5</v>
      </c>
      <c r="G6070">
        <f t="shared" si="94"/>
        <v>512</v>
      </c>
    </row>
    <row r="6071" spans="2:7" ht="15" hidden="1" x14ac:dyDescent="0.25">
      <c r="B6071" s="4">
        <v>584632474</v>
      </c>
      <c r="C6071" s="4" t="s">
        <v>269</v>
      </c>
      <c r="D6071" s="4">
        <v>745</v>
      </c>
      <c r="E6071" s="4">
        <v>57</v>
      </c>
      <c r="F6071">
        <v>5</v>
      </c>
      <c r="G6071">
        <f t="shared" si="94"/>
        <v>512</v>
      </c>
    </row>
    <row r="6072" spans="2:7" ht="15" hidden="1" x14ac:dyDescent="0.25">
      <c r="B6072" s="4">
        <v>584632475</v>
      </c>
      <c r="C6072" s="4" t="s">
        <v>269</v>
      </c>
      <c r="D6072" s="4">
        <v>746</v>
      </c>
      <c r="E6072" s="4">
        <v>57</v>
      </c>
      <c r="F6072">
        <v>5</v>
      </c>
      <c r="G6072">
        <f t="shared" si="94"/>
        <v>512</v>
      </c>
    </row>
    <row r="6073" spans="2:7" ht="15" hidden="1" x14ac:dyDescent="0.25">
      <c r="B6073" s="4">
        <v>584632476</v>
      </c>
      <c r="C6073" s="4" t="s">
        <v>269</v>
      </c>
      <c r="D6073" s="4">
        <v>747</v>
      </c>
      <c r="E6073" s="4">
        <v>57</v>
      </c>
      <c r="F6073">
        <v>5</v>
      </c>
      <c r="G6073">
        <f t="shared" si="94"/>
        <v>512</v>
      </c>
    </row>
    <row r="6074" spans="2:7" ht="15" hidden="1" x14ac:dyDescent="0.25">
      <c r="B6074" s="4">
        <v>584632477</v>
      </c>
      <c r="C6074" s="4" t="s">
        <v>269</v>
      </c>
      <c r="D6074" s="4">
        <v>748</v>
      </c>
      <c r="E6074" s="4">
        <v>57</v>
      </c>
      <c r="F6074">
        <v>5</v>
      </c>
      <c r="G6074">
        <f t="shared" si="94"/>
        <v>512</v>
      </c>
    </row>
    <row r="6075" spans="2:7" ht="15" hidden="1" x14ac:dyDescent="0.25">
      <c r="B6075" s="4">
        <v>584632478</v>
      </c>
      <c r="C6075" s="4" t="s">
        <v>269</v>
      </c>
      <c r="D6075" s="4">
        <v>749</v>
      </c>
      <c r="E6075" s="4">
        <v>57</v>
      </c>
      <c r="F6075">
        <v>5</v>
      </c>
      <c r="G6075">
        <f t="shared" si="94"/>
        <v>512</v>
      </c>
    </row>
    <row r="6076" spans="2:7" ht="15" hidden="1" x14ac:dyDescent="0.25">
      <c r="B6076" s="4">
        <v>584632478</v>
      </c>
      <c r="C6076" s="4" t="s">
        <v>272</v>
      </c>
      <c r="D6076" s="4">
        <v>63</v>
      </c>
      <c r="E6076" s="4">
        <v>211</v>
      </c>
      <c r="F6076">
        <v>5</v>
      </c>
      <c r="G6076">
        <f t="shared" si="94"/>
        <v>1744</v>
      </c>
    </row>
    <row r="6077" spans="2:7" ht="15" hidden="1" x14ac:dyDescent="0.25">
      <c r="B6077" s="4">
        <v>584632479</v>
      </c>
      <c r="C6077" s="4" t="s">
        <v>269</v>
      </c>
      <c r="D6077" s="4">
        <v>750</v>
      </c>
      <c r="E6077" s="4">
        <v>57</v>
      </c>
      <c r="F6077">
        <v>5</v>
      </c>
      <c r="G6077">
        <f t="shared" si="94"/>
        <v>512</v>
      </c>
    </row>
    <row r="6078" spans="2:7" ht="15" hidden="1" x14ac:dyDescent="0.25">
      <c r="B6078" s="4">
        <v>584632480</v>
      </c>
      <c r="C6078" s="4" t="s">
        <v>269</v>
      </c>
      <c r="D6078" s="4">
        <v>751</v>
      </c>
      <c r="E6078" s="4">
        <v>57</v>
      </c>
      <c r="F6078">
        <v>5</v>
      </c>
      <c r="G6078">
        <f t="shared" si="94"/>
        <v>512</v>
      </c>
    </row>
    <row r="6079" spans="2:7" ht="15" hidden="1" x14ac:dyDescent="0.25">
      <c r="B6079" s="4">
        <v>584632481</v>
      </c>
      <c r="C6079" s="4" t="s">
        <v>269</v>
      </c>
      <c r="D6079" s="4">
        <v>752</v>
      </c>
      <c r="E6079" s="4">
        <v>57</v>
      </c>
      <c r="F6079">
        <v>5</v>
      </c>
      <c r="G6079">
        <f t="shared" si="94"/>
        <v>512</v>
      </c>
    </row>
    <row r="6080" spans="2:7" ht="15" hidden="1" x14ac:dyDescent="0.25">
      <c r="B6080" s="4">
        <v>584632482</v>
      </c>
      <c r="C6080" s="4" t="s">
        <v>269</v>
      </c>
      <c r="D6080" s="4">
        <v>753</v>
      </c>
      <c r="E6080" s="4">
        <v>57</v>
      </c>
      <c r="F6080">
        <v>5</v>
      </c>
      <c r="G6080">
        <f t="shared" si="94"/>
        <v>512</v>
      </c>
    </row>
    <row r="6081" spans="2:7" ht="15" hidden="1" x14ac:dyDescent="0.25">
      <c r="B6081" s="4">
        <v>584632483</v>
      </c>
      <c r="C6081" s="4" t="s">
        <v>269</v>
      </c>
      <c r="D6081" s="4">
        <v>754</v>
      </c>
      <c r="E6081" s="4">
        <v>57</v>
      </c>
      <c r="F6081">
        <v>5</v>
      </c>
      <c r="G6081">
        <f t="shared" si="94"/>
        <v>512</v>
      </c>
    </row>
    <row r="6082" spans="2:7" ht="15" hidden="1" x14ac:dyDescent="0.25">
      <c r="B6082" s="4">
        <v>584632484</v>
      </c>
      <c r="C6082" s="4" t="s">
        <v>269</v>
      </c>
      <c r="D6082" s="4">
        <v>755</v>
      </c>
      <c r="E6082" s="4">
        <v>57</v>
      </c>
      <c r="F6082">
        <v>5</v>
      </c>
      <c r="G6082">
        <f t="shared" si="94"/>
        <v>512</v>
      </c>
    </row>
    <row r="6083" spans="2:7" ht="15" hidden="1" x14ac:dyDescent="0.25">
      <c r="B6083" s="4">
        <v>584632485</v>
      </c>
      <c r="C6083" s="4" t="s">
        <v>269</v>
      </c>
      <c r="D6083" s="4">
        <v>756</v>
      </c>
      <c r="E6083" s="4">
        <v>57</v>
      </c>
      <c r="F6083">
        <v>5</v>
      </c>
      <c r="G6083">
        <f t="shared" si="94"/>
        <v>512</v>
      </c>
    </row>
    <row r="6084" spans="2:7" ht="15" hidden="1" x14ac:dyDescent="0.25">
      <c r="B6084" s="4">
        <v>584632486</v>
      </c>
      <c r="C6084" s="4" t="s">
        <v>269</v>
      </c>
      <c r="D6084" s="4">
        <v>757</v>
      </c>
      <c r="E6084" s="4">
        <v>57</v>
      </c>
      <c r="F6084">
        <v>5</v>
      </c>
      <c r="G6084">
        <f t="shared" ref="G6084:G6147" si="95">(E6084+7)*8</f>
        <v>512</v>
      </c>
    </row>
    <row r="6085" spans="2:7" ht="15" hidden="1" x14ac:dyDescent="0.25">
      <c r="B6085" s="4">
        <v>584632487</v>
      </c>
      <c r="C6085" s="4" t="s">
        <v>269</v>
      </c>
      <c r="D6085" s="4">
        <v>758</v>
      </c>
      <c r="E6085" s="4">
        <v>57</v>
      </c>
      <c r="F6085">
        <v>5</v>
      </c>
      <c r="G6085">
        <f t="shared" si="95"/>
        <v>512</v>
      </c>
    </row>
    <row r="6086" spans="2:7" ht="15" hidden="1" x14ac:dyDescent="0.25">
      <c r="B6086" s="4">
        <v>584632488</v>
      </c>
      <c r="C6086" s="4" t="s">
        <v>269</v>
      </c>
      <c r="D6086" s="4">
        <v>759</v>
      </c>
      <c r="E6086" s="4">
        <v>57</v>
      </c>
      <c r="F6086">
        <v>5</v>
      </c>
      <c r="G6086">
        <f t="shared" si="95"/>
        <v>512</v>
      </c>
    </row>
    <row r="6087" spans="2:7" ht="15" hidden="1" x14ac:dyDescent="0.25">
      <c r="B6087" s="4">
        <v>584632488</v>
      </c>
      <c r="C6087" s="4" t="s">
        <v>272</v>
      </c>
      <c r="D6087" s="4">
        <v>64</v>
      </c>
      <c r="E6087" s="4">
        <v>211</v>
      </c>
      <c r="F6087">
        <v>5</v>
      </c>
      <c r="G6087">
        <f t="shared" si="95"/>
        <v>1744</v>
      </c>
    </row>
    <row r="6088" spans="2:7" ht="15" hidden="1" x14ac:dyDescent="0.25">
      <c r="B6088" s="4">
        <v>584632489</v>
      </c>
      <c r="C6088" s="4" t="s">
        <v>269</v>
      </c>
      <c r="D6088" s="4">
        <v>760</v>
      </c>
      <c r="E6088" s="4">
        <v>57</v>
      </c>
      <c r="F6088">
        <v>5</v>
      </c>
      <c r="G6088">
        <f t="shared" si="95"/>
        <v>512</v>
      </c>
    </row>
    <row r="6089" spans="2:7" ht="15" hidden="1" x14ac:dyDescent="0.25">
      <c r="B6089" s="4">
        <v>584632490</v>
      </c>
      <c r="C6089" s="4" t="s">
        <v>269</v>
      </c>
      <c r="D6089" s="4">
        <v>761</v>
      </c>
      <c r="E6089" s="4">
        <v>57</v>
      </c>
      <c r="F6089">
        <v>5</v>
      </c>
      <c r="G6089">
        <f t="shared" si="95"/>
        <v>512</v>
      </c>
    </row>
    <row r="6090" spans="2:7" ht="15" hidden="1" x14ac:dyDescent="0.25">
      <c r="B6090" s="4">
        <v>584632491</v>
      </c>
      <c r="C6090" s="4" t="s">
        <v>269</v>
      </c>
      <c r="D6090" s="4">
        <v>762</v>
      </c>
      <c r="E6090" s="4">
        <v>57</v>
      </c>
      <c r="F6090">
        <v>5</v>
      </c>
      <c r="G6090">
        <f t="shared" si="95"/>
        <v>512</v>
      </c>
    </row>
    <row r="6091" spans="2:7" ht="15" hidden="1" x14ac:dyDescent="0.25">
      <c r="B6091" s="4">
        <v>584632492</v>
      </c>
      <c r="C6091" s="4" t="s">
        <v>269</v>
      </c>
      <c r="D6091" s="4">
        <v>763</v>
      </c>
      <c r="E6091" s="4">
        <v>57</v>
      </c>
      <c r="F6091">
        <v>5</v>
      </c>
      <c r="G6091">
        <f t="shared" si="95"/>
        <v>512</v>
      </c>
    </row>
    <row r="6092" spans="2:7" ht="15" hidden="1" x14ac:dyDescent="0.25">
      <c r="B6092" s="4">
        <v>584632493</v>
      </c>
      <c r="C6092" s="4" t="s">
        <v>269</v>
      </c>
      <c r="D6092" s="4">
        <v>764</v>
      </c>
      <c r="E6092" s="4">
        <v>57</v>
      </c>
      <c r="F6092">
        <v>5</v>
      </c>
      <c r="G6092">
        <f t="shared" si="95"/>
        <v>512</v>
      </c>
    </row>
    <row r="6093" spans="2:7" ht="15" hidden="1" x14ac:dyDescent="0.25">
      <c r="B6093" s="4">
        <v>584632494</v>
      </c>
      <c r="C6093" s="4" t="s">
        <v>269</v>
      </c>
      <c r="D6093" s="4">
        <v>765</v>
      </c>
      <c r="E6093" s="4">
        <v>57</v>
      </c>
      <c r="F6093">
        <v>5</v>
      </c>
      <c r="G6093">
        <f t="shared" si="95"/>
        <v>512</v>
      </c>
    </row>
    <row r="6094" spans="2:7" ht="15" hidden="1" x14ac:dyDescent="0.25">
      <c r="B6094" s="4">
        <v>584632495</v>
      </c>
      <c r="C6094" s="4" t="s">
        <v>269</v>
      </c>
      <c r="D6094" s="4">
        <v>766</v>
      </c>
      <c r="E6094" s="4">
        <v>57</v>
      </c>
      <c r="F6094">
        <v>5</v>
      </c>
      <c r="G6094">
        <f t="shared" si="95"/>
        <v>512</v>
      </c>
    </row>
    <row r="6095" spans="2:7" ht="15" hidden="1" x14ac:dyDescent="0.25">
      <c r="B6095" s="4">
        <v>584632496</v>
      </c>
      <c r="C6095" s="4" t="s">
        <v>269</v>
      </c>
      <c r="D6095" s="4">
        <v>767</v>
      </c>
      <c r="E6095" s="4">
        <v>57</v>
      </c>
      <c r="F6095">
        <v>5</v>
      </c>
      <c r="G6095">
        <f t="shared" si="95"/>
        <v>512</v>
      </c>
    </row>
    <row r="6096" spans="2:7" ht="15" hidden="1" x14ac:dyDescent="0.25">
      <c r="B6096" s="4">
        <v>584632497</v>
      </c>
      <c r="C6096" s="4" t="s">
        <v>269</v>
      </c>
      <c r="D6096" s="4">
        <v>768</v>
      </c>
      <c r="E6096" s="4">
        <v>57</v>
      </c>
      <c r="F6096">
        <v>5</v>
      </c>
      <c r="G6096">
        <f t="shared" si="95"/>
        <v>512</v>
      </c>
    </row>
    <row r="6097" spans="2:7" ht="15" hidden="1" x14ac:dyDescent="0.25">
      <c r="B6097" s="4">
        <v>584632498</v>
      </c>
      <c r="C6097" s="4" t="s">
        <v>269</v>
      </c>
      <c r="D6097" s="4">
        <v>769</v>
      </c>
      <c r="E6097" s="4">
        <v>57</v>
      </c>
      <c r="F6097">
        <v>5</v>
      </c>
      <c r="G6097">
        <f t="shared" si="95"/>
        <v>512</v>
      </c>
    </row>
    <row r="6098" spans="2:7" ht="15" hidden="1" x14ac:dyDescent="0.25">
      <c r="B6098" s="4">
        <v>584632498</v>
      </c>
      <c r="C6098" s="4" t="s">
        <v>272</v>
      </c>
      <c r="D6098" s="4">
        <v>65</v>
      </c>
      <c r="E6098" s="4">
        <v>213</v>
      </c>
      <c r="F6098">
        <v>5</v>
      </c>
      <c r="G6098">
        <f t="shared" si="95"/>
        <v>1760</v>
      </c>
    </row>
    <row r="6099" spans="2:7" ht="15" hidden="1" x14ac:dyDescent="0.25">
      <c r="B6099" s="4">
        <v>584632499</v>
      </c>
      <c r="C6099" s="4" t="s">
        <v>269</v>
      </c>
      <c r="D6099" s="4">
        <v>770</v>
      </c>
      <c r="E6099" s="4">
        <v>57</v>
      </c>
      <c r="F6099">
        <v>5</v>
      </c>
      <c r="G6099">
        <f t="shared" si="95"/>
        <v>512</v>
      </c>
    </row>
    <row r="6100" spans="2:7" ht="15" hidden="1" x14ac:dyDescent="0.25">
      <c r="B6100" s="4">
        <v>584632500</v>
      </c>
      <c r="C6100" s="4" t="s">
        <v>269</v>
      </c>
      <c r="D6100" s="4">
        <v>771</v>
      </c>
      <c r="E6100" s="4">
        <v>57</v>
      </c>
      <c r="F6100">
        <v>5</v>
      </c>
      <c r="G6100">
        <f t="shared" si="95"/>
        <v>512</v>
      </c>
    </row>
    <row r="6101" spans="2:7" ht="15" hidden="1" x14ac:dyDescent="0.25">
      <c r="B6101" s="4">
        <v>584632501</v>
      </c>
      <c r="C6101" s="4" t="s">
        <v>269</v>
      </c>
      <c r="D6101" s="4">
        <v>772</v>
      </c>
      <c r="E6101" s="4">
        <v>57</v>
      </c>
      <c r="F6101">
        <v>5</v>
      </c>
      <c r="G6101">
        <f t="shared" si="95"/>
        <v>512</v>
      </c>
    </row>
    <row r="6102" spans="2:7" ht="15" hidden="1" x14ac:dyDescent="0.25">
      <c r="B6102" s="4">
        <v>584632502</v>
      </c>
      <c r="C6102" s="4" t="s">
        <v>269</v>
      </c>
      <c r="D6102" s="4">
        <v>773</v>
      </c>
      <c r="E6102" s="4">
        <v>57</v>
      </c>
      <c r="F6102">
        <v>5</v>
      </c>
      <c r="G6102">
        <f t="shared" si="95"/>
        <v>512</v>
      </c>
    </row>
    <row r="6103" spans="2:7" ht="15" hidden="1" x14ac:dyDescent="0.25">
      <c r="B6103" s="4">
        <v>584632503</v>
      </c>
      <c r="C6103" s="4" t="s">
        <v>269</v>
      </c>
      <c r="D6103" s="4">
        <v>774</v>
      </c>
      <c r="E6103" s="4">
        <v>57</v>
      </c>
      <c r="F6103">
        <v>5</v>
      </c>
      <c r="G6103">
        <f t="shared" si="95"/>
        <v>512</v>
      </c>
    </row>
    <row r="6104" spans="2:7" ht="15" hidden="1" x14ac:dyDescent="0.25">
      <c r="B6104" s="4">
        <v>584632504</v>
      </c>
      <c r="C6104" s="4" t="s">
        <v>269</v>
      </c>
      <c r="D6104" s="4">
        <v>775</v>
      </c>
      <c r="E6104" s="4">
        <v>57</v>
      </c>
      <c r="F6104">
        <v>5</v>
      </c>
      <c r="G6104">
        <f t="shared" si="95"/>
        <v>512</v>
      </c>
    </row>
    <row r="6105" spans="2:7" ht="15" hidden="1" x14ac:dyDescent="0.25">
      <c r="B6105" s="4">
        <v>584632505</v>
      </c>
      <c r="C6105" s="4" t="s">
        <v>269</v>
      </c>
      <c r="D6105" s="4">
        <v>776</v>
      </c>
      <c r="E6105" s="4">
        <v>57</v>
      </c>
      <c r="F6105">
        <v>5</v>
      </c>
      <c r="G6105">
        <f t="shared" si="95"/>
        <v>512</v>
      </c>
    </row>
    <row r="6106" spans="2:7" ht="15" hidden="1" x14ac:dyDescent="0.25">
      <c r="B6106" s="4">
        <v>584632506</v>
      </c>
      <c r="C6106" s="4" t="s">
        <v>269</v>
      </c>
      <c r="D6106" s="4">
        <v>777</v>
      </c>
      <c r="E6106" s="4">
        <v>57</v>
      </c>
      <c r="F6106">
        <v>5</v>
      </c>
      <c r="G6106">
        <f t="shared" si="95"/>
        <v>512</v>
      </c>
    </row>
    <row r="6107" spans="2:7" ht="15" hidden="1" x14ac:dyDescent="0.25">
      <c r="B6107" s="4">
        <v>584632507</v>
      </c>
      <c r="C6107" s="4" t="s">
        <v>269</v>
      </c>
      <c r="D6107" s="4">
        <v>778</v>
      </c>
      <c r="E6107" s="4">
        <v>57</v>
      </c>
      <c r="F6107">
        <v>5</v>
      </c>
      <c r="G6107">
        <f t="shared" si="95"/>
        <v>512</v>
      </c>
    </row>
    <row r="6108" spans="2:7" ht="15" hidden="1" x14ac:dyDescent="0.25">
      <c r="B6108" s="4">
        <v>584632508</v>
      </c>
      <c r="C6108" s="4" t="s">
        <v>269</v>
      </c>
      <c r="D6108" s="4">
        <v>779</v>
      </c>
      <c r="E6108" s="4">
        <v>57</v>
      </c>
      <c r="F6108">
        <v>5</v>
      </c>
      <c r="G6108">
        <f t="shared" si="95"/>
        <v>512</v>
      </c>
    </row>
    <row r="6109" spans="2:7" ht="15" hidden="1" x14ac:dyDescent="0.25">
      <c r="B6109" s="4">
        <v>584632508</v>
      </c>
      <c r="C6109" s="4" t="s">
        <v>272</v>
      </c>
      <c r="D6109" s="4">
        <v>66</v>
      </c>
      <c r="E6109" s="4">
        <v>211</v>
      </c>
      <c r="F6109">
        <v>5</v>
      </c>
      <c r="G6109">
        <f t="shared" si="95"/>
        <v>1744</v>
      </c>
    </row>
    <row r="6110" spans="2:7" ht="15" hidden="1" x14ac:dyDescent="0.25">
      <c r="B6110" s="4">
        <v>584632509</v>
      </c>
      <c r="C6110" s="4" t="s">
        <v>269</v>
      </c>
      <c r="D6110" s="4">
        <v>780</v>
      </c>
      <c r="E6110" s="4">
        <v>57</v>
      </c>
      <c r="F6110">
        <v>5</v>
      </c>
      <c r="G6110">
        <f t="shared" si="95"/>
        <v>512</v>
      </c>
    </row>
    <row r="6111" spans="2:7" ht="15" hidden="1" x14ac:dyDescent="0.25">
      <c r="B6111" s="4">
        <v>584632510</v>
      </c>
      <c r="C6111" s="4" t="s">
        <v>269</v>
      </c>
      <c r="D6111" s="4">
        <v>781</v>
      </c>
      <c r="E6111" s="4">
        <v>57</v>
      </c>
      <c r="F6111">
        <v>5</v>
      </c>
      <c r="G6111">
        <f t="shared" si="95"/>
        <v>512</v>
      </c>
    </row>
    <row r="6112" spans="2:7" ht="15" hidden="1" x14ac:dyDescent="0.25">
      <c r="B6112" s="4">
        <v>584632511</v>
      </c>
      <c r="C6112" s="4" t="s">
        <v>269</v>
      </c>
      <c r="D6112" s="4">
        <v>782</v>
      </c>
      <c r="E6112" s="4">
        <v>57</v>
      </c>
      <c r="F6112">
        <v>5</v>
      </c>
      <c r="G6112">
        <f t="shared" si="95"/>
        <v>512</v>
      </c>
    </row>
    <row r="6113" spans="2:7" ht="15" hidden="1" x14ac:dyDescent="0.25">
      <c r="B6113" s="4">
        <v>584632512</v>
      </c>
      <c r="C6113" s="4" t="s">
        <v>269</v>
      </c>
      <c r="D6113" s="4">
        <v>783</v>
      </c>
      <c r="E6113" s="4">
        <v>57</v>
      </c>
      <c r="F6113">
        <v>5</v>
      </c>
      <c r="G6113">
        <f t="shared" si="95"/>
        <v>512</v>
      </c>
    </row>
    <row r="6114" spans="2:7" ht="15" hidden="1" x14ac:dyDescent="0.25">
      <c r="B6114" s="4">
        <v>584632513</v>
      </c>
      <c r="C6114" s="4" t="s">
        <v>269</v>
      </c>
      <c r="D6114" s="4">
        <v>784</v>
      </c>
      <c r="E6114" s="4">
        <v>57</v>
      </c>
      <c r="F6114">
        <v>5</v>
      </c>
      <c r="G6114">
        <f t="shared" si="95"/>
        <v>512</v>
      </c>
    </row>
    <row r="6115" spans="2:7" ht="15" hidden="1" x14ac:dyDescent="0.25">
      <c r="B6115" s="4">
        <v>584632514</v>
      </c>
      <c r="C6115" s="4" t="s">
        <v>269</v>
      </c>
      <c r="D6115" s="4">
        <v>785</v>
      </c>
      <c r="E6115" s="4">
        <v>57</v>
      </c>
      <c r="F6115">
        <v>5</v>
      </c>
      <c r="G6115">
        <f t="shared" si="95"/>
        <v>512</v>
      </c>
    </row>
    <row r="6116" spans="2:7" ht="15" hidden="1" x14ac:dyDescent="0.25">
      <c r="B6116" s="4">
        <v>584632515</v>
      </c>
      <c r="C6116" s="4" t="s">
        <v>269</v>
      </c>
      <c r="D6116" s="4">
        <v>786</v>
      </c>
      <c r="E6116" s="4">
        <v>57</v>
      </c>
      <c r="F6116">
        <v>5</v>
      </c>
      <c r="G6116">
        <f t="shared" si="95"/>
        <v>512</v>
      </c>
    </row>
    <row r="6117" spans="2:7" ht="15" hidden="1" x14ac:dyDescent="0.25">
      <c r="B6117" s="4">
        <v>584632516</v>
      </c>
      <c r="C6117" s="4" t="s">
        <v>269</v>
      </c>
      <c r="D6117" s="4">
        <v>787</v>
      </c>
      <c r="E6117" s="4">
        <v>57</v>
      </c>
      <c r="F6117">
        <v>5</v>
      </c>
      <c r="G6117">
        <f t="shared" si="95"/>
        <v>512</v>
      </c>
    </row>
    <row r="6118" spans="2:7" ht="15" hidden="1" x14ac:dyDescent="0.25">
      <c r="B6118" s="4">
        <v>584632517</v>
      </c>
      <c r="C6118" s="4" t="s">
        <v>269</v>
      </c>
      <c r="D6118" s="4">
        <v>788</v>
      </c>
      <c r="E6118" s="4">
        <v>57</v>
      </c>
      <c r="F6118">
        <v>5</v>
      </c>
      <c r="G6118">
        <f t="shared" si="95"/>
        <v>512</v>
      </c>
    </row>
    <row r="6119" spans="2:7" ht="15" hidden="1" x14ac:dyDescent="0.25">
      <c r="B6119" s="4">
        <v>584632518</v>
      </c>
      <c r="C6119" s="4" t="s">
        <v>269</v>
      </c>
      <c r="D6119" s="4">
        <v>789</v>
      </c>
      <c r="E6119" s="4">
        <v>57</v>
      </c>
      <c r="F6119">
        <v>5</v>
      </c>
      <c r="G6119">
        <f t="shared" si="95"/>
        <v>512</v>
      </c>
    </row>
    <row r="6120" spans="2:7" ht="15" hidden="1" x14ac:dyDescent="0.25">
      <c r="B6120" s="4">
        <v>584632518</v>
      </c>
      <c r="C6120" s="4" t="s">
        <v>272</v>
      </c>
      <c r="D6120" s="4">
        <v>67</v>
      </c>
      <c r="E6120" s="4">
        <v>207</v>
      </c>
      <c r="F6120">
        <v>5</v>
      </c>
      <c r="G6120">
        <f t="shared" si="95"/>
        <v>1712</v>
      </c>
    </row>
    <row r="6121" spans="2:7" ht="15" hidden="1" x14ac:dyDescent="0.25">
      <c r="B6121" s="4">
        <v>584632519</v>
      </c>
      <c r="C6121" s="4" t="s">
        <v>269</v>
      </c>
      <c r="D6121" s="4">
        <v>790</v>
      </c>
      <c r="E6121" s="4">
        <v>57</v>
      </c>
      <c r="F6121">
        <v>5</v>
      </c>
      <c r="G6121">
        <f t="shared" si="95"/>
        <v>512</v>
      </c>
    </row>
    <row r="6122" spans="2:7" ht="15" hidden="1" x14ac:dyDescent="0.25">
      <c r="B6122" s="4">
        <v>584632520</v>
      </c>
      <c r="C6122" s="4" t="s">
        <v>269</v>
      </c>
      <c r="D6122" s="4">
        <v>791</v>
      </c>
      <c r="E6122" s="4">
        <v>57</v>
      </c>
      <c r="F6122">
        <v>5</v>
      </c>
      <c r="G6122">
        <f t="shared" si="95"/>
        <v>512</v>
      </c>
    </row>
    <row r="6123" spans="2:7" ht="15" hidden="1" x14ac:dyDescent="0.25">
      <c r="B6123" s="4">
        <v>584632521</v>
      </c>
      <c r="C6123" s="4" t="s">
        <v>269</v>
      </c>
      <c r="D6123" s="4">
        <v>792</v>
      </c>
      <c r="E6123" s="4">
        <v>57</v>
      </c>
      <c r="F6123">
        <v>5</v>
      </c>
      <c r="G6123">
        <f t="shared" si="95"/>
        <v>512</v>
      </c>
    </row>
    <row r="6124" spans="2:7" ht="15" hidden="1" x14ac:dyDescent="0.25">
      <c r="B6124" s="4">
        <v>584632522</v>
      </c>
      <c r="C6124" s="4" t="s">
        <v>269</v>
      </c>
      <c r="D6124" s="4">
        <v>793</v>
      </c>
      <c r="E6124" s="4">
        <v>57</v>
      </c>
      <c r="F6124">
        <v>5</v>
      </c>
      <c r="G6124">
        <f t="shared" si="95"/>
        <v>512</v>
      </c>
    </row>
    <row r="6125" spans="2:7" ht="15" hidden="1" x14ac:dyDescent="0.25">
      <c r="B6125" s="4">
        <v>584632523</v>
      </c>
      <c r="C6125" s="4" t="s">
        <v>269</v>
      </c>
      <c r="D6125" s="4">
        <v>794</v>
      </c>
      <c r="E6125" s="4">
        <v>57</v>
      </c>
      <c r="F6125">
        <v>5</v>
      </c>
      <c r="G6125">
        <f t="shared" si="95"/>
        <v>512</v>
      </c>
    </row>
    <row r="6126" spans="2:7" ht="15" hidden="1" x14ac:dyDescent="0.25">
      <c r="B6126" s="4">
        <v>584632524</v>
      </c>
      <c r="C6126" s="4" t="s">
        <v>269</v>
      </c>
      <c r="D6126" s="4">
        <v>795</v>
      </c>
      <c r="E6126" s="4">
        <v>57</v>
      </c>
      <c r="F6126">
        <v>5</v>
      </c>
      <c r="G6126">
        <f t="shared" si="95"/>
        <v>512</v>
      </c>
    </row>
    <row r="6127" spans="2:7" ht="15" hidden="1" x14ac:dyDescent="0.25">
      <c r="B6127" s="4">
        <v>584632525</v>
      </c>
      <c r="C6127" s="4" t="s">
        <v>269</v>
      </c>
      <c r="D6127" s="4">
        <v>796</v>
      </c>
      <c r="E6127" s="4">
        <v>57</v>
      </c>
      <c r="F6127">
        <v>5</v>
      </c>
      <c r="G6127">
        <f t="shared" si="95"/>
        <v>512</v>
      </c>
    </row>
    <row r="6128" spans="2:7" ht="15" hidden="1" x14ac:dyDescent="0.25">
      <c r="B6128" s="4">
        <v>584632526</v>
      </c>
      <c r="C6128" s="4" t="s">
        <v>268</v>
      </c>
      <c r="D6128" s="4">
        <v>226</v>
      </c>
      <c r="E6128" s="4">
        <v>6</v>
      </c>
      <c r="F6128">
        <v>5</v>
      </c>
      <c r="G6128">
        <f t="shared" si="95"/>
        <v>104</v>
      </c>
    </row>
    <row r="6129" spans="2:7" ht="15" hidden="1" x14ac:dyDescent="0.25">
      <c r="B6129" s="4">
        <v>584632526</v>
      </c>
      <c r="C6129" s="4" t="s">
        <v>268</v>
      </c>
      <c r="D6129" s="4">
        <v>226</v>
      </c>
      <c r="E6129" s="4">
        <v>6</v>
      </c>
      <c r="F6129">
        <v>11</v>
      </c>
      <c r="G6129">
        <f t="shared" si="95"/>
        <v>104</v>
      </c>
    </row>
    <row r="6130" spans="2:7" ht="15" hidden="1" x14ac:dyDescent="0.25">
      <c r="B6130" s="4">
        <v>584632526</v>
      </c>
      <c r="C6130" s="4" t="s">
        <v>268</v>
      </c>
      <c r="D6130" s="4">
        <v>227</v>
      </c>
      <c r="E6130" s="4">
        <v>9</v>
      </c>
      <c r="F6130">
        <v>11</v>
      </c>
      <c r="G6130">
        <f t="shared" si="95"/>
        <v>128</v>
      </c>
    </row>
    <row r="6131" spans="2:7" ht="15" hidden="1" x14ac:dyDescent="0.25">
      <c r="B6131" s="4">
        <v>584632526</v>
      </c>
      <c r="C6131" s="4" t="s">
        <v>268</v>
      </c>
      <c r="D6131" s="4">
        <v>227</v>
      </c>
      <c r="E6131" s="4">
        <v>9</v>
      </c>
      <c r="F6131">
        <v>195</v>
      </c>
      <c r="G6131">
        <f t="shared" si="95"/>
        <v>128</v>
      </c>
    </row>
    <row r="6132" spans="2:7" ht="15" hidden="1" x14ac:dyDescent="0.25">
      <c r="B6132" s="4">
        <v>584632526</v>
      </c>
      <c r="C6132" s="4" t="s">
        <v>268</v>
      </c>
      <c r="D6132" s="4">
        <v>228</v>
      </c>
      <c r="E6132" s="4">
        <v>7</v>
      </c>
      <c r="F6132">
        <v>195</v>
      </c>
      <c r="G6132">
        <f t="shared" si="95"/>
        <v>112</v>
      </c>
    </row>
    <row r="6133" spans="2:7" ht="15" hidden="1" x14ac:dyDescent="0.25">
      <c r="B6133" s="4">
        <v>584632526</v>
      </c>
      <c r="C6133" s="4" t="s">
        <v>268</v>
      </c>
      <c r="D6133" s="4">
        <v>228</v>
      </c>
      <c r="E6133" s="4">
        <v>7</v>
      </c>
      <c r="F6133">
        <v>81</v>
      </c>
      <c r="G6133">
        <f t="shared" si="95"/>
        <v>112</v>
      </c>
    </row>
    <row r="6134" spans="2:7" ht="15" hidden="1" x14ac:dyDescent="0.25">
      <c r="B6134" s="4">
        <v>584632526</v>
      </c>
      <c r="C6134" s="4" t="s">
        <v>268</v>
      </c>
      <c r="D6134" s="4">
        <v>229</v>
      </c>
      <c r="E6134" s="4">
        <v>7</v>
      </c>
      <c r="F6134">
        <v>81</v>
      </c>
      <c r="G6134">
        <f t="shared" si="95"/>
        <v>112</v>
      </c>
    </row>
    <row r="6135" spans="2:7" ht="15" hidden="1" x14ac:dyDescent="0.25">
      <c r="B6135" s="4">
        <v>584632526</v>
      </c>
      <c r="C6135" s="4" t="s">
        <v>268</v>
      </c>
      <c r="D6135" s="4">
        <v>229</v>
      </c>
      <c r="E6135" s="4">
        <v>7</v>
      </c>
      <c r="F6135">
        <v>79</v>
      </c>
      <c r="G6135">
        <f t="shared" si="95"/>
        <v>112</v>
      </c>
    </row>
    <row r="6136" spans="2:7" ht="15" hidden="1" x14ac:dyDescent="0.25">
      <c r="B6136" s="4">
        <v>584632526</v>
      </c>
      <c r="C6136" s="4" t="s">
        <v>268</v>
      </c>
      <c r="D6136" s="4">
        <v>230</v>
      </c>
      <c r="E6136" s="4">
        <v>7</v>
      </c>
      <c r="F6136">
        <v>79</v>
      </c>
      <c r="G6136">
        <f t="shared" si="95"/>
        <v>112</v>
      </c>
    </row>
    <row r="6137" spans="2:7" ht="15" hidden="1" x14ac:dyDescent="0.25">
      <c r="B6137" s="4">
        <v>584632526</v>
      </c>
      <c r="C6137" s="4" t="s">
        <v>268</v>
      </c>
      <c r="D6137" s="4">
        <v>230</v>
      </c>
      <c r="E6137" s="4">
        <v>7</v>
      </c>
      <c r="F6137">
        <v>5</v>
      </c>
      <c r="G6137">
        <f t="shared" si="95"/>
        <v>112</v>
      </c>
    </row>
    <row r="6138" spans="2:7" ht="15" hidden="1" x14ac:dyDescent="0.25">
      <c r="B6138" s="4">
        <v>584632526</v>
      </c>
      <c r="C6138" s="4" t="s">
        <v>269</v>
      </c>
      <c r="D6138" s="4">
        <v>797</v>
      </c>
      <c r="E6138" s="4">
        <v>57</v>
      </c>
      <c r="F6138">
        <v>5</v>
      </c>
      <c r="G6138">
        <f t="shared" si="95"/>
        <v>512</v>
      </c>
    </row>
    <row r="6139" spans="2:7" ht="15" hidden="1" x14ac:dyDescent="0.25">
      <c r="B6139" s="4">
        <v>584632527</v>
      </c>
      <c r="C6139" s="4" t="s">
        <v>269</v>
      </c>
      <c r="D6139" s="4">
        <v>798</v>
      </c>
      <c r="E6139" s="4">
        <v>57</v>
      </c>
      <c r="F6139">
        <v>5</v>
      </c>
      <c r="G6139">
        <f t="shared" si="95"/>
        <v>512</v>
      </c>
    </row>
    <row r="6140" spans="2:7" ht="15" hidden="1" x14ac:dyDescent="0.25">
      <c r="B6140" s="4">
        <v>584632528</v>
      </c>
      <c r="C6140" s="4" t="s">
        <v>268</v>
      </c>
      <c r="D6140" s="4">
        <v>231</v>
      </c>
      <c r="E6140" s="4">
        <v>7</v>
      </c>
      <c r="F6140">
        <v>5</v>
      </c>
      <c r="G6140">
        <f t="shared" si="95"/>
        <v>112</v>
      </c>
    </row>
    <row r="6141" spans="2:7" ht="15" hidden="1" x14ac:dyDescent="0.25">
      <c r="B6141" s="4">
        <v>584632528</v>
      </c>
      <c r="C6141" s="4" t="s">
        <v>268</v>
      </c>
      <c r="D6141" s="4">
        <v>231</v>
      </c>
      <c r="E6141" s="4">
        <v>7</v>
      </c>
      <c r="F6141">
        <v>81</v>
      </c>
      <c r="G6141">
        <f t="shared" si="95"/>
        <v>112</v>
      </c>
    </row>
    <row r="6142" spans="2:7" ht="15" hidden="1" x14ac:dyDescent="0.25">
      <c r="B6142" s="4">
        <v>584632528</v>
      </c>
      <c r="C6142" s="4" t="s">
        <v>268</v>
      </c>
      <c r="D6142" s="4">
        <v>232</v>
      </c>
      <c r="E6142" s="4">
        <v>5</v>
      </c>
      <c r="F6142">
        <v>81</v>
      </c>
      <c r="G6142">
        <f t="shared" si="95"/>
        <v>96</v>
      </c>
    </row>
    <row r="6143" spans="2:7" ht="15" hidden="1" x14ac:dyDescent="0.25">
      <c r="B6143" s="4">
        <v>584632528</v>
      </c>
      <c r="C6143" s="4" t="s">
        <v>268</v>
      </c>
      <c r="D6143" s="4">
        <v>232</v>
      </c>
      <c r="E6143" s="4">
        <v>5</v>
      </c>
      <c r="F6143">
        <v>6</v>
      </c>
      <c r="G6143">
        <f t="shared" si="95"/>
        <v>96</v>
      </c>
    </row>
    <row r="6144" spans="2:7" ht="15" hidden="1" x14ac:dyDescent="0.25">
      <c r="B6144" s="4">
        <v>584632528</v>
      </c>
      <c r="C6144" s="4" t="s">
        <v>268</v>
      </c>
      <c r="D6144" s="4">
        <v>233</v>
      </c>
      <c r="E6144" s="4">
        <v>7</v>
      </c>
      <c r="F6144">
        <v>6</v>
      </c>
      <c r="G6144">
        <f t="shared" si="95"/>
        <v>112</v>
      </c>
    </row>
    <row r="6145" spans="2:7" ht="15" hidden="1" x14ac:dyDescent="0.25">
      <c r="B6145" s="4">
        <v>584632528</v>
      </c>
      <c r="C6145" s="4" t="s">
        <v>268</v>
      </c>
      <c r="D6145" s="4">
        <v>233</v>
      </c>
      <c r="E6145" s="4">
        <v>7</v>
      </c>
      <c r="F6145">
        <v>5</v>
      </c>
      <c r="G6145">
        <f t="shared" si="95"/>
        <v>112</v>
      </c>
    </row>
    <row r="6146" spans="2:7" ht="15" hidden="1" x14ac:dyDescent="0.25">
      <c r="B6146" s="4">
        <v>584632528</v>
      </c>
      <c r="C6146" s="4" t="s">
        <v>269</v>
      </c>
      <c r="D6146" s="4">
        <v>799</v>
      </c>
      <c r="E6146" s="4">
        <v>57</v>
      </c>
      <c r="F6146">
        <v>5</v>
      </c>
      <c r="G6146">
        <f t="shared" si="95"/>
        <v>512</v>
      </c>
    </row>
    <row r="6147" spans="2:7" ht="15" hidden="1" x14ac:dyDescent="0.25">
      <c r="B6147" s="4">
        <v>584632528</v>
      </c>
      <c r="C6147" s="4" t="s">
        <v>272</v>
      </c>
      <c r="D6147" s="4">
        <v>68</v>
      </c>
      <c r="E6147" s="4">
        <v>211</v>
      </c>
      <c r="F6147">
        <v>5</v>
      </c>
      <c r="G6147">
        <f t="shared" si="95"/>
        <v>1744</v>
      </c>
    </row>
    <row r="6148" spans="2:7" ht="15" hidden="1" x14ac:dyDescent="0.25">
      <c r="B6148" s="4">
        <v>584632529</v>
      </c>
      <c r="C6148" s="4" t="s">
        <v>269</v>
      </c>
      <c r="D6148" s="4">
        <v>800</v>
      </c>
      <c r="E6148" s="4">
        <v>57</v>
      </c>
      <c r="F6148">
        <v>5</v>
      </c>
      <c r="G6148">
        <f t="shared" ref="G6148:G6211" si="96">(E6148+7)*8</f>
        <v>512</v>
      </c>
    </row>
    <row r="6149" spans="2:7" ht="15" hidden="1" x14ac:dyDescent="0.25">
      <c r="B6149" s="4">
        <v>584632530</v>
      </c>
      <c r="C6149" s="4" t="s">
        <v>269</v>
      </c>
      <c r="D6149" s="4">
        <v>801</v>
      </c>
      <c r="E6149" s="4">
        <v>57</v>
      </c>
      <c r="F6149">
        <v>5</v>
      </c>
      <c r="G6149">
        <f t="shared" si="96"/>
        <v>512</v>
      </c>
    </row>
    <row r="6150" spans="2:7" ht="15" hidden="1" x14ac:dyDescent="0.25">
      <c r="B6150" s="4">
        <v>584632531</v>
      </c>
      <c r="C6150" s="4" t="s">
        <v>269</v>
      </c>
      <c r="D6150" s="4">
        <v>802</v>
      </c>
      <c r="E6150" s="4">
        <v>57</v>
      </c>
      <c r="F6150">
        <v>5</v>
      </c>
      <c r="G6150">
        <f t="shared" si="96"/>
        <v>512</v>
      </c>
    </row>
    <row r="6151" spans="2:7" ht="15" hidden="1" x14ac:dyDescent="0.25">
      <c r="B6151" s="4">
        <v>584632532</v>
      </c>
      <c r="C6151" s="4" t="s">
        <v>269</v>
      </c>
      <c r="D6151" s="4">
        <v>803</v>
      </c>
      <c r="E6151" s="4">
        <v>57</v>
      </c>
      <c r="F6151">
        <v>5</v>
      </c>
      <c r="G6151">
        <f t="shared" si="96"/>
        <v>512</v>
      </c>
    </row>
    <row r="6152" spans="2:7" ht="15" hidden="1" x14ac:dyDescent="0.25">
      <c r="B6152" s="4">
        <v>584632533</v>
      </c>
      <c r="C6152" s="4" t="s">
        <v>269</v>
      </c>
      <c r="D6152" s="4">
        <v>804</v>
      </c>
      <c r="E6152" s="4">
        <v>57</v>
      </c>
      <c r="F6152">
        <v>5</v>
      </c>
      <c r="G6152">
        <f t="shared" si="96"/>
        <v>512</v>
      </c>
    </row>
    <row r="6153" spans="2:7" ht="15" hidden="1" x14ac:dyDescent="0.25">
      <c r="B6153" s="4">
        <v>584632534</v>
      </c>
      <c r="C6153" s="4" t="s">
        <v>269</v>
      </c>
      <c r="D6153" s="4">
        <v>805</v>
      </c>
      <c r="E6153" s="4">
        <v>57</v>
      </c>
      <c r="F6153">
        <v>5</v>
      </c>
      <c r="G6153">
        <f t="shared" si="96"/>
        <v>512</v>
      </c>
    </row>
    <row r="6154" spans="2:7" ht="15" hidden="1" x14ac:dyDescent="0.25">
      <c r="B6154" s="4">
        <v>584632535</v>
      </c>
      <c r="C6154" s="4" t="s">
        <v>269</v>
      </c>
      <c r="D6154" s="4">
        <v>806</v>
      </c>
      <c r="E6154" s="4">
        <v>57</v>
      </c>
      <c r="F6154">
        <v>5</v>
      </c>
      <c r="G6154">
        <f t="shared" si="96"/>
        <v>512</v>
      </c>
    </row>
    <row r="6155" spans="2:7" ht="15" hidden="1" x14ac:dyDescent="0.25">
      <c r="B6155" s="4">
        <v>584632536</v>
      </c>
      <c r="C6155" s="4" t="s">
        <v>269</v>
      </c>
      <c r="D6155" s="4">
        <v>807</v>
      </c>
      <c r="E6155" s="4">
        <v>57</v>
      </c>
      <c r="F6155">
        <v>5</v>
      </c>
      <c r="G6155">
        <f t="shared" si="96"/>
        <v>512</v>
      </c>
    </row>
    <row r="6156" spans="2:7" ht="15" hidden="1" x14ac:dyDescent="0.25">
      <c r="B6156" s="4">
        <v>584632537</v>
      </c>
      <c r="C6156" s="4" t="s">
        <v>269</v>
      </c>
      <c r="D6156" s="4">
        <v>808</v>
      </c>
      <c r="E6156" s="4">
        <v>57</v>
      </c>
      <c r="F6156">
        <v>5</v>
      </c>
      <c r="G6156">
        <f t="shared" si="96"/>
        <v>512</v>
      </c>
    </row>
    <row r="6157" spans="2:7" ht="15" hidden="1" x14ac:dyDescent="0.25">
      <c r="B6157" s="4">
        <v>584632538</v>
      </c>
      <c r="C6157" s="4" t="s">
        <v>269</v>
      </c>
      <c r="D6157" s="4">
        <v>809</v>
      </c>
      <c r="E6157" s="4">
        <v>57</v>
      </c>
      <c r="F6157">
        <v>5</v>
      </c>
      <c r="G6157">
        <f t="shared" si="96"/>
        <v>512</v>
      </c>
    </row>
    <row r="6158" spans="2:7" ht="15" hidden="1" x14ac:dyDescent="0.25">
      <c r="B6158" s="4">
        <v>584632538</v>
      </c>
      <c r="C6158" s="4" t="s">
        <v>272</v>
      </c>
      <c r="D6158" s="4">
        <v>69</v>
      </c>
      <c r="E6158" s="4">
        <v>207</v>
      </c>
      <c r="F6158">
        <v>5</v>
      </c>
      <c r="G6158">
        <f t="shared" si="96"/>
        <v>1712</v>
      </c>
    </row>
    <row r="6159" spans="2:7" ht="15" hidden="1" x14ac:dyDescent="0.25">
      <c r="B6159" s="4">
        <v>584632539</v>
      </c>
      <c r="C6159" s="4" t="s">
        <v>269</v>
      </c>
      <c r="D6159" s="4">
        <v>810</v>
      </c>
      <c r="E6159" s="4">
        <v>57</v>
      </c>
      <c r="F6159">
        <v>5</v>
      </c>
      <c r="G6159">
        <f t="shared" si="96"/>
        <v>512</v>
      </c>
    </row>
    <row r="6160" spans="2:7" ht="15" hidden="1" x14ac:dyDescent="0.25">
      <c r="B6160" s="4">
        <v>584632540</v>
      </c>
      <c r="C6160" s="4" t="s">
        <v>269</v>
      </c>
      <c r="D6160" s="4">
        <v>811</v>
      </c>
      <c r="E6160" s="4">
        <v>57</v>
      </c>
      <c r="F6160">
        <v>5</v>
      </c>
      <c r="G6160">
        <f t="shared" si="96"/>
        <v>512</v>
      </c>
    </row>
    <row r="6161" spans="2:7" ht="15" hidden="1" x14ac:dyDescent="0.25">
      <c r="B6161" s="4">
        <v>584632541</v>
      </c>
      <c r="C6161" s="4" t="s">
        <v>269</v>
      </c>
      <c r="D6161" s="4">
        <v>812</v>
      </c>
      <c r="E6161" s="4">
        <v>57</v>
      </c>
      <c r="F6161">
        <v>5</v>
      </c>
      <c r="G6161">
        <f t="shared" si="96"/>
        <v>512</v>
      </c>
    </row>
    <row r="6162" spans="2:7" ht="15" hidden="1" x14ac:dyDescent="0.25">
      <c r="B6162" s="4">
        <v>584632542</v>
      </c>
      <c r="C6162" s="4" t="s">
        <v>269</v>
      </c>
      <c r="D6162" s="4">
        <v>813</v>
      </c>
      <c r="E6162" s="4">
        <v>57</v>
      </c>
      <c r="F6162">
        <v>5</v>
      </c>
      <c r="G6162">
        <f t="shared" si="96"/>
        <v>512</v>
      </c>
    </row>
    <row r="6163" spans="2:7" ht="15" hidden="1" x14ac:dyDescent="0.25">
      <c r="B6163" s="4">
        <v>584632543</v>
      </c>
      <c r="C6163" s="4" t="s">
        <v>269</v>
      </c>
      <c r="D6163" s="4">
        <v>814</v>
      </c>
      <c r="E6163" s="4">
        <v>57</v>
      </c>
      <c r="F6163">
        <v>5</v>
      </c>
      <c r="G6163">
        <f t="shared" si="96"/>
        <v>512</v>
      </c>
    </row>
    <row r="6164" spans="2:7" ht="15" hidden="1" x14ac:dyDescent="0.25">
      <c r="B6164" s="4">
        <v>584632544</v>
      </c>
      <c r="C6164" s="4" t="s">
        <v>269</v>
      </c>
      <c r="D6164" s="4">
        <v>815</v>
      </c>
      <c r="E6164" s="4">
        <v>57</v>
      </c>
      <c r="F6164">
        <v>5</v>
      </c>
      <c r="G6164">
        <f t="shared" si="96"/>
        <v>512</v>
      </c>
    </row>
    <row r="6165" spans="2:7" ht="15" hidden="1" x14ac:dyDescent="0.25">
      <c r="B6165" s="4">
        <v>584632545</v>
      </c>
      <c r="C6165" s="4" t="s">
        <v>269</v>
      </c>
      <c r="D6165" s="4">
        <v>816</v>
      </c>
      <c r="E6165" s="4">
        <v>57</v>
      </c>
      <c r="F6165">
        <v>5</v>
      </c>
      <c r="G6165">
        <f t="shared" si="96"/>
        <v>512</v>
      </c>
    </row>
    <row r="6166" spans="2:7" ht="15" hidden="1" x14ac:dyDescent="0.25">
      <c r="B6166" s="4">
        <v>584632546</v>
      </c>
      <c r="C6166" s="4" t="s">
        <v>269</v>
      </c>
      <c r="D6166" s="4">
        <v>817</v>
      </c>
      <c r="E6166" s="4">
        <v>57</v>
      </c>
      <c r="F6166">
        <v>5</v>
      </c>
      <c r="G6166">
        <f t="shared" si="96"/>
        <v>512</v>
      </c>
    </row>
    <row r="6167" spans="2:7" ht="15" hidden="1" x14ac:dyDescent="0.25">
      <c r="B6167" s="4">
        <v>584632547</v>
      </c>
      <c r="C6167" s="4" t="s">
        <v>269</v>
      </c>
      <c r="D6167" s="4">
        <v>818</v>
      </c>
      <c r="E6167" s="4">
        <v>57</v>
      </c>
      <c r="F6167">
        <v>5</v>
      </c>
      <c r="G6167">
        <f t="shared" si="96"/>
        <v>512</v>
      </c>
    </row>
    <row r="6168" spans="2:7" ht="15" hidden="1" x14ac:dyDescent="0.25">
      <c r="B6168" s="4">
        <v>584632548</v>
      </c>
      <c r="C6168" s="4" t="s">
        <v>269</v>
      </c>
      <c r="D6168" s="4">
        <v>819</v>
      </c>
      <c r="E6168" s="4">
        <v>57</v>
      </c>
      <c r="F6168">
        <v>5</v>
      </c>
      <c r="G6168">
        <f t="shared" si="96"/>
        <v>512</v>
      </c>
    </row>
    <row r="6169" spans="2:7" ht="15" hidden="1" x14ac:dyDescent="0.25">
      <c r="B6169" s="4">
        <v>584632548</v>
      </c>
      <c r="C6169" s="4" t="s">
        <v>272</v>
      </c>
      <c r="D6169" s="4">
        <v>70</v>
      </c>
      <c r="E6169" s="4">
        <v>211</v>
      </c>
      <c r="F6169">
        <v>5</v>
      </c>
      <c r="G6169">
        <f t="shared" si="96"/>
        <v>1744</v>
      </c>
    </row>
    <row r="6170" spans="2:7" ht="15" hidden="1" x14ac:dyDescent="0.25">
      <c r="B6170" s="4">
        <v>584632549</v>
      </c>
      <c r="C6170" s="4" t="s">
        <v>269</v>
      </c>
      <c r="D6170" s="4">
        <v>820</v>
      </c>
      <c r="E6170" s="4">
        <v>57</v>
      </c>
      <c r="F6170">
        <v>5</v>
      </c>
      <c r="G6170">
        <f t="shared" si="96"/>
        <v>512</v>
      </c>
    </row>
    <row r="6171" spans="2:7" ht="15" hidden="1" x14ac:dyDescent="0.25">
      <c r="B6171" s="4">
        <v>584632550</v>
      </c>
      <c r="C6171" s="4" t="s">
        <v>269</v>
      </c>
      <c r="D6171" s="4">
        <v>821</v>
      </c>
      <c r="E6171" s="4">
        <v>57</v>
      </c>
      <c r="F6171">
        <v>5</v>
      </c>
      <c r="G6171">
        <f t="shared" si="96"/>
        <v>512</v>
      </c>
    </row>
    <row r="6172" spans="2:7" ht="15" hidden="1" x14ac:dyDescent="0.25">
      <c r="B6172" s="4">
        <v>584632551</v>
      </c>
      <c r="C6172" s="4" t="s">
        <v>269</v>
      </c>
      <c r="D6172" s="4">
        <v>822</v>
      </c>
      <c r="E6172" s="4">
        <v>57</v>
      </c>
      <c r="F6172">
        <v>5</v>
      </c>
      <c r="G6172">
        <f t="shared" si="96"/>
        <v>512</v>
      </c>
    </row>
    <row r="6173" spans="2:7" ht="15" hidden="1" x14ac:dyDescent="0.25">
      <c r="B6173" s="4">
        <v>584632552</v>
      </c>
      <c r="C6173" s="4" t="s">
        <v>269</v>
      </c>
      <c r="D6173" s="4">
        <v>823</v>
      </c>
      <c r="E6173" s="4">
        <v>57</v>
      </c>
      <c r="F6173">
        <v>5</v>
      </c>
      <c r="G6173">
        <f t="shared" si="96"/>
        <v>512</v>
      </c>
    </row>
    <row r="6174" spans="2:7" ht="15" hidden="1" x14ac:dyDescent="0.25">
      <c r="B6174" s="4">
        <v>584632553</v>
      </c>
      <c r="C6174" s="4" t="s">
        <v>269</v>
      </c>
      <c r="D6174" s="4">
        <v>824</v>
      </c>
      <c r="E6174" s="4">
        <v>57</v>
      </c>
      <c r="F6174">
        <v>5</v>
      </c>
      <c r="G6174">
        <f t="shared" si="96"/>
        <v>512</v>
      </c>
    </row>
    <row r="6175" spans="2:7" ht="15" hidden="1" x14ac:dyDescent="0.25">
      <c r="B6175" s="4">
        <v>584632554</v>
      </c>
      <c r="C6175" s="4" t="s">
        <v>269</v>
      </c>
      <c r="D6175" s="4">
        <v>825</v>
      </c>
      <c r="E6175" s="4">
        <v>57</v>
      </c>
      <c r="F6175">
        <v>5</v>
      </c>
      <c r="G6175">
        <f t="shared" si="96"/>
        <v>512</v>
      </c>
    </row>
    <row r="6176" spans="2:7" ht="15" hidden="1" x14ac:dyDescent="0.25">
      <c r="B6176" s="4">
        <v>584632555</v>
      </c>
      <c r="C6176" s="4" t="s">
        <v>269</v>
      </c>
      <c r="D6176" s="4">
        <v>826</v>
      </c>
      <c r="E6176" s="4">
        <v>57</v>
      </c>
      <c r="F6176">
        <v>5</v>
      </c>
      <c r="G6176">
        <f t="shared" si="96"/>
        <v>512</v>
      </c>
    </row>
    <row r="6177" spans="2:7" ht="15" hidden="1" x14ac:dyDescent="0.25">
      <c r="B6177" s="4">
        <v>584632556</v>
      </c>
      <c r="C6177" s="4" t="s">
        <v>269</v>
      </c>
      <c r="D6177" s="4">
        <v>827</v>
      </c>
      <c r="E6177" s="4">
        <v>57</v>
      </c>
      <c r="F6177">
        <v>5</v>
      </c>
      <c r="G6177">
        <f t="shared" si="96"/>
        <v>512</v>
      </c>
    </row>
    <row r="6178" spans="2:7" ht="15" hidden="1" x14ac:dyDescent="0.25">
      <c r="B6178" s="4">
        <v>584632557</v>
      </c>
      <c r="C6178" s="4" t="s">
        <v>269</v>
      </c>
      <c r="D6178" s="4">
        <v>828</v>
      </c>
      <c r="E6178" s="4">
        <v>57</v>
      </c>
      <c r="F6178">
        <v>5</v>
      </c>
      <c r="G6178">
        <f t="shared" si="96"/>
        <v>512</v>
      </c>
    </row>
    <row r="6179" spans="2:7" ht="15" hidden="1" x14ac:dyDescent="0.25">
      <c r="B6179" s="4">
        <v>584632558</v>
      </c>
      <c r="C6179" s="4" t="s">
        <v>269</v>
      </c>
      <c r="D6179" s="4">
        <v>829</v>
      </c>
      <c r="E6179" s="4">
        <v>57</v>
      </c>
      <c r="F6179">
        <v>5</v>
      </c>
      <c r="G6179">
        <f t="shared" si="96"/>
        <v>512</v>
      </c>
    </row>
    <row r="6180" spans="2:7" ht="15" hidden="1" x14ac:dyDescent="0.25">
      <c r="B6180" s="4">
        <v>584632558</v>
      </c>
      <c r="C6180" s="4" t="s">
        <v>272</v>
      </c>
      <c r="D6180" s="4">
        <v>71</v>
      </c>
      <c r="E6180" s="4">
        <v>211</v>
      </c>
      <c r="F6180">
        <v>5</v>
      </c>
      <c r="G6180">
        <f t="shared" si="96"/>
        <v>1744</v>
      </c>
    </row>
    <row r="6181" spans="2:7" ht="15" hidden="1" x14ac:dyDescent="0.25">
      <c r="B6181" s="4">
        <v>584632559</v>
      </c>
      <c r="C6181" s="4" t="s">
        <v>269</v>
      </c>
      <c r="D6181" s="4">
        <v>830</v>
      </c>
      <c r="E6181" s="4">
        <v>57</v>
      </c>
      <c r="F6181">
        <v>5</v>
      </c>
      <c r="G6181">
        <f t="shared" si="96"/>
        <v>512</v>
      </c>
    </row>
    <row r="6182" spans="2:7" ht="15" hidden="1" x14ac:dyDescent="0.25">
      <c r="B6182" s="4">
        <v>584632560</v>
      </c>
      <c r="C6182" s="4" t="s">
        <v>269</v>
      </c>
      <c r="D6182" s="4">
        <v>831</v>
      </c>
      <c r="E6182" s="4">
        <v>57</v>
      </c>
      <c r="F6182">
        <v>5</v>
      </c>
      <c r="G6182">
        <f t="shared" si="96"/>
        <v>512</v>
      </c>
    </row>
    <row r="6183" spans="2:7" ht="15" hidden="1" x14ac:dyDescent="0.25">
      <c r="B6183" s="4">
        <v>584632561</v>
      </c>
      <c r="C6183" s="4" t="s">
        <v>269</v>
      </c>
      <c r="D6183" s="4">
        <v>832</v>
      </c>
      <c r="E6183" s="4">
        <v>57</v>
      </c>
      <c r="F6183">
        <v>5</v>
      </c>
      <c r="G6183">
        <f t="shared" si="96"/>
        <v>512</v>
      </c>
    </row>
    <row r="6184" spans="2:7" ht="15" hidden="1" x14ac:dyDescent="0.25">
      <c r="B6184" s="4">
        <v>584632562</v>
      </c>
      <c r="C6184" s="4" t="s">
        <v>269</v>
      </c>
      <c r="D6184" s="4">
        <v>833</v>
      </c>
      <c r="E6184" s="4">
        <v>57</v>
      </c>
      <c r="F6184">
        <v>5</v>
      </c>
      <c r="G6184">
        <f t="shared" si="96"/>
        <v>512</v>
      </c>
    </row>
    <row r="6185" spans="2:7" ht="15" hidden="1" x14ac:dyDescent="0.25">
      <c r="B6185" s="4">
        <v>584632563</v>
      </c>
      <c r="C6185" s="4" t="s">
        <v>269</v>
      </c>
      <c r="D6185" s="4">
        <v>834</v>
      </c>
      <c r="E6185" s="4">
        <v>57</v>
      </c>
      <c r="F6185">
        <v>5</v>
      </c>
      <c r="G6185">
        <f t="shared" si="96"/>
        <v>512</v>
      </c>
    </row>
    <row r="6186" spans="2:7" ht="15" hidden="1" x14ac:dyDescent="0.25">
      <c r="B6186" s="4">
        <v>584632564</v>
      </c>
      <c r="C6186" s="4" t="s">
        <v>269</v>
      </c>
      <c r="D6186" s="4">
        <v>835</v>
      </c>
      <c r="E6186" s="4">
        <v>57</v>
      </c>
      <c r="F6186">
        <v>5</v>
      </c>
      <c r="G6186">
        <f t="shared" si="96"/>
        <v>512</v>
      </c>
    </row>
    <row r="6187" spans="2:7" ht="15" hidden="1" x14ac:dyDescent="0.25">
      <c r="B6187" s="4">
        <v>584632565</v>
      </c>
      <c r="C6187" s="4" t="s">
        <v>269</v>
      </c>
      <c r="D6187" s="4">
        <v>836</v>
      </c>
      <c r="E6187" s="4">
        <v>57</v>
      </c>
      <c r="F6187">
        <v>5</v>
      </c>
      <c r="G6187">
        <f t="shared" si="96"/>
        <v>512</v>
      </c>
    </row>
    <row r="6188" spans="2:7" ht="15" hidden="1" x14ac:dyDescent="0.25">
      <c r="B6188" s="4">
        <v>584632566</v>
      </c>
      <c r="C6188" s="4" t="s">
        <v>269</v>
      </c>
      <c r="D6188" s="4">
        <v>837</v>
      </c>
      <c r="E6188" s="4">
        <v>57</v>
      </c>
      <c r="F6188">
        <v>5</v>
      </c>
      <c r="G6188">
        <f t="shared" si="96"/>
        <v>512</v>
      </c>
    </row>
    <row r="6189" spans="2:7" ht="15" hidden="1" x14ac:dyDescent="0.25">
      <c r="B6189" s="4">
        <v>584632567</v>
      </c>
      <c r="C6189" s="4" t="s">
        <v>269</v>
      </c>
      <c r="D6189" s="4">
        <v>838</v>
      </c>
      <c r="E6189" s="4">
        <v>57</v>
      </c>
      <c r="F6189">
        <v>5</v>
      </c>
      <c r="G6189">
        <f t="shared" si="96"/>
        <v>512</v>
      </c>
    </row>
    <row r="6190" spans="2:7" ht="15" hidden="1" x14ac:dyDescent="0.25">
      <c r="B6190" s="4">
        <v>584632568</v>
      </c>
      <c r="C6190" s="4" t="s">
        <v>269</v>
      </c>
      <c r="D6190" s="4">
        <v>839</v>
      </c>
      <c r="E6190" s="4">
        <v>57</v>
      </c>
      <c r="F6190">
        <v>5</v>
      </c>
      <c r="G6190">
        <f t="shared" si="96"/>
        <v>512</v>
      </c>
    </row>
    <row r="6191" spans="2:7" ht="15" hidden="1" x14ac:dyDescent="0.25">
      <c r="B6191" s="4">
        <v>584632568</v>
      </c>
      <c r="C6191" s="4" t="s">
        <v>272</v>
      </c>
      <c r="D6191" s="4">
        <v>72</v>
      </c>
      <c r="E6191" s="4">
        <v>209</v>
      </c>
      <c r="F6191">
        <v>5</v>
      </c>
      <c r="G6191">
        <f t="shared" si="96"/>
        <v>1728</v>
      </c>
    </row>
    <row r="6192" spans="2:7" ht="15" hidden="1" x14ac:dyDescent="0.25">
      <c r="B6192" s="4">
        <v>584632569</v>
      </c>
      <c r="C6192" s="4" t="s">
        <v>269</v>
      </c>
      <c r="D6192" s="4">
        <v>840</v>
      </c>
      <c r="E6192" s="4">
        <v>57</v>
      </c>
      <c r="F6192">
        <v>5</v>
      </c>
      <c r="G6192">
        <f t="shared" si="96"/>
        <v>512</v>
      </c>
    </row>
    <row r="6193" spans="2:7" ht="15" hidden="1" x14ac:dyDescent="0.25">
      <c r="B6193" s="4">
        <v>584632570</v>
      </c>
      <c r="C6193" s="4" t="s">
        <v>269</v>
      </c>
      <c r="D6193" s="4">
        <v>841</v>
      </c>
      <c r="E6193" s="4">
        <v>57</v>
      </c>
      <c r="F6193">
        <v>5</v>
      </c>
      <c r="G6193">
        <f t="shared" si="96"/>
        <v>512</v>
      </c>
    </row>
    <row r="6194" spans="2:7" ht="15" hidden="1" x14ac:dyDescent="0.25">
      <c r="B6194" s="4">
        <v>584632571</v>
      </c>
      <c r="C6194" s="4" t="s">
        <v>269</v>
      </c>
      <c r="D6194" s="4">
        <v>842</v>
      </c>
      <c r="E6194" s="4">
        <v>57</v>
      </c>
      <c r="F6194">
        <v>5</v>
      </c>
      <c r="G6194">
        <f t="shared" si="96"/>
        <v>512</v>
      </c>
    </row>
    <row r="6195" spans="2:7" ht="15" hidden="1" x14ac:dyDescent="0.25">
      <c r="B6195" s="4">
        <v>584632572</v>
      </c>
      <c r="C6195" s="4" t="s">
        <v>269</v>
      </c>
      <c r="D6195" s="4">
        <v>843</v>
      </c>
      <c r="E6195" s="4">
        <v>57</v>
      </c>
      <c r="F6195">
        <v>5</v>
      </c>
      <c r="G6195">
        <f t="shared" si="96"/>
        <v>512</v>
      </c>
    </row>
    <row r="6196" spans="2:7" ht="15" hidden="1" x14ac:dyDescent="0.25">
      <c r="B6196" s="4">
        <v>584632573</v>
      </c>
      <c r="C6196" s="4" t="s">
        <v>269</v>
      </c>
      <c r="D6196" s="4">
        <v>844</v>
      </c>
      <c r="E6196" s="4">
        <v>57</v>
      </c>
      <c r="F6196">
        <v>5</v>
      </c>
      <c r="G6196">
        <f t="shared" si="96"/>
        <v>512</v>
      </c>
    </row>
    <row r="6197" spans="2:7" ht="15" hidden="1" x14ac:dyDescent="0.25">
      <c r="B6197" s="4">
        <v>584632574</v>
      </c>
      <c r="C6197" s="4" t="s">
        <v>269</v>
      </c>
      <c r="D6197" s="4">
        <v>845</v>
      </c>
      <c r="E6197" s="4">
        <v>57</v>
      </c>
      <c r="F6197">
        <v>5</v>
      </c>
      <c r="G6197">
        <f t="shared" si="96"/>
        <v>512</v>
      </c>
    </row>
    <row r="6198" spans="2:7" ht="15" hidden="1" x14ac:dyDescent="0.25">
      <c r="B6198" s="4">
        <v>584632575</v>
      </c>
      <c r="C6198" s="4" t="s">
        <v>269</v>
      </c>
      <c r="D6198" s="4">
        <v>846</v>
      </c>
      <c r="E6198" s="4">
        <v>57</v>
      </c>
      <c r="F6198">
        <v>5</v>
      </c>
      <c r="G6198">
        <f t="shared" si="96"/>
        <v>512</v>
      </c>
    </row>
    <row r="6199" spans="2:7" ht="15" hidden="1" x14ac:dyDescent="0.25">
      <c r="B6199" s="4">
        <v>584632576</v>
      </c>
      <c r="C6199" s="4" t="s">
        <v>269</v>
      </c>
      <c r="D6199" s="4">
        <v>847</v>
      </c>
      <c r="E6199" s="4">
        <v>57</v>
      </c>
      <c r="F6199">
        <v>5</v>
      </c>
      <c r="G6199">
        <f t="shared" si="96"/>
        <v>512</v>
      </c>
    </row>
    <row r="6200" spans="2:7" ht="15" hidden="1" x14ac:dyDescent="0.25">
      <c r="B6200" s="4">
        <v>584632577</v>
      </c>
      <c r="C6200" s="4" t="s">
        <v>269</v>
      </c>
      <c r="D6200" s="4">
        <v>848</v>
      </c>
      <c r="E6200" s="4">
        <v>57</v>
      </c>
      <c r="F6200">
        <v>5</v>
      </c>
      <c r="G6200">
        <f t="shared" si="96"/>
        <v>512</v>
      </c>
    </row>
    <row r="6201" spans="2:7" ht="15" hidden="1" x14ac:dyDescent="0.25">
      <c r="B6201" s="4">
        <v>584632578</v>
      </c>
      <c r="C6201" s="4" t="s">
        <v>269</v>
      </c>
      <c r="D6201" s="4">
        <v>849</v>
      </c>
      <c r="E6201" s="4">
        <v>57</v>
      </c>
      <c r="F6201">
        <v>5</v>
      </c>
      <c r="G6201">
        <f t="shared" si="96"/>
        <v>512</v>
      </c>
    </row>
    <row r="6202" spans="2:7" ht="15" hidden="1" x14ac:dyDescent="0.25">
      <c r="B6202" s="4">
        <v>584632578</v>
      </c>
      <c r="C6202" s="4" t="s">
        <v>272</v>
      </c>
      <c r="D6202" s="4">
        <v>73</v>
      </c>
      <c r="E6202" s="4">
        <v>209</v>
      </c>
      <c r="F6202">
        <v>5</v>
      </c>
      <c r="G6202">
        <f t="shared" si="96"/>
        <v>1728</v>
      </c>
    </row>
    <row r="6203" spans="2:7" ht="15" hidden="1" x14ac:dyDescent="0.25">
      <c r="B6203" s="4">
        <v>584632579</v>
      </c>
      <c r="C6203" s="4" t="s">
        <v>269</v>
      </c>
      <c r="D6203" s="4">
        <v>850</v>
      </c>
      <c r="E6203" s="4">
        <v>57</v>
      </c>
      <c r="F6203">
        <v>5</v>
      </c>
      <c r="G6203">
        <f t="shared" si="96"/>
        <v>512</v>
      </c>
    </row>
    <row r="6204" spans="2:7" ht="15" hidden="1" x14ac:dyDescent="0.25">
      <c r="B6204" s="4">
        <v>584632580</v>
      </c>
      <c r="C6204" s="4" t="s">
        <v>269</v>
      </c>
      <c r="D6204" s="4">
        <v>851</v>
      </c>
      <c r="E6204" s="4">
        <v>57</v>
      </c>
      <c r="F6204">
        <v>5</v>
      </c>
      <c r="G6204">
        <f t="shared" si="96"/>
        <v>512</v>
      </c>
    </row>
    <row r="6205" spans="2:7" ht="15" hidden="1" x14ac:dyDescent="0.25">
      <c r="B6205" s="4">
        <v>584632581</v>
      </c>
      <c r="C6205" s="4" t="s">
        <v>269</v>
      </c>
      <c r="D6205" s="4">
        <v>852</v>
      </c>
      <c r="E6205" s="4">
        <v>57</v>
      </c>
      <c r="F6205">
        <v>5</v>
      </c>
      <c r="G6205">
        <f t="shared" si="96"/>
        <v>512</v>
      </c>
    </row>
    <row r="6206" spans="2:7" ht="15" hidden="1" x14ac:dyDescent="0.25">
      <c r="B6206" s="4">
        <v>584632582</v>
      </c>
      <c r="C6206" s="4" t="s">
        <v>269</v>
      </c>
      <c r="D6206" s="4">
        <v>853</v>
      </c>
      <c r="E6206" s="4">
        <v>57</v>
      </c>
      <c r="F6206">
        <v>5</v>
      </c>
      <c r="G6206">
        <f t="shared" si="96"/>
        <v>512</v>
      </c>
    </row>
    <row r="6207" spans="2:7" ht="15" hidden="1" x14ac:dyDescent="0.25">
      <c r="B6207" s="4">
        <v>584632583</v>
      </c>
      <c r="C6207" s="4" t="s">
        <v>269</v>
      </c>
      <c r="D6207" s="4">
        <v>854</v>
      </c>
      <c r="E6207" s="4">
        <v>57</v>
      </c>
      <c r="F6207">
        <v>5</v>
      </c>
      <c r="G6207">
        <f t="shared" si="96"/>
        <v>512</v>
      </c>
    </row>
    <row r="6208" spans="2:7" ht="15" hidden="1" x14ac:dyDescent="0.25">
      <c r="B6208" s="4">
        <v>584632584</v>
      </c>
      <c r="C6208" s="4" t="s">
        <v>269</v>
      </c>
      <c r="D6208" s="4">
        <v>855</v>
      </c>
      <c r="E6208" s="4">
        <v>57</v>
      </c>
      <c r="F6208">
        <v>5</v>
      </c>
      <c r="G6208">
        <f t="shared" si="96"/>
        <v>512</v>
      </c>
    </row>
    <row r="6209" spans="2:7" ht="15" hidden="1" x14ac:dyDescent="0.25">
      <c r="B6209" s="4">
        <v>584632585</v>
      </c>
      <c r="C6209" s="4" t="s">
        <v>269</v>
      </c>
      <c r="D6209" s="4">
        <v>856</v>
      </c>
      <c r="E6209" s="4">
        <v>57</v>
      </c>
      <c r="F6209">
        <v>5</v>
      </c>
      <c r="G6209">
        <f t="shared" si="96"/>
        <v>512</v>
      </c>
    </row>
    <row r="6210" spans="2:7" ht="15" hidden="1" x14ac:dyDescent="0.25">
      <c r="B6210" s="4">
        <v>584632586</v>
      </c>
      <c r="C6210" s="4" t="s">
        <v>269</v>
      </c>
      <c r="D6210" s="4">
        <v>857</v>
      </c>
      <c r="E6210" s="4">
        <v>57</v>
      </c>
      <c r="F6210">
        <v>5</v>
      </c>
      <c r="G6210">
        <f t="shared" si="96"/>
        <v>512</v>
      </c>
    </row>
    <row r="6211" spans="2:7" ht="15" hidden="1" x14ac:dyDescent="0.25">
      <c r="B6211" s="4">
        <v>584632587</v>
      </c>
      <c r="C6211" s="4" t="s">
        <v>269</v>
      </c>
      <c r="D6211" s="4">
        <v>858</v>
      </c>
      <c r="E6211" s="4">
        <v>57</v>
      </c>
      <c r="F6211">
        <v>5</v>
      </c>
      <c r="G6211">
        <f t="shared" si="96"/>
        <v>512</v>
      </c>
    </row>
    <row r="6212" spans="2:7" ht="15" hidden="1" x14ac:dyDescent="0.25">
      <c r="B6212" s="4">
        <v>584632588</v>
      </c>
      <c r="C6212" s="4" t="s">
        <v>269</v>
      </c>
      <c r="D6212" s="4">
        <v>859</v>
      </c>
      <c r="E6212" s="4">
        <v>57</v>
      </c>
      <c r="F6212">
        <v>5</v>
      </c>
      <c r="G6212">
        <f t="shared" ref="G6212:G6275" si="97">(E6212+7)*8</f>
        <v>512</v>
      </c>
    </row>
    <row r="6213" spans="2:7" ht="15" hidden="1" x14ac:dyDescent="0.25">
      <c r="B6213" s="4">
        <v>584632588</v>
      </c>
      <c r="C6213" s="4" t="s">
        <v>272</v>
      </c>
      <c r="D6213" s="4">
        <v>74</v>
      </c>
      <c r="E6213" s="4">
        <v>209</v>
      </c>
      <c r="F6213">
        <v>5</v>
      </c>
      <c r="G6213">
        <f t="shared" si="97"/>
        <v>1728</v>
      </c>
    </row>
    <row r="6214" spans="2:7" ht="15" hidden="1" x14ac:dyDescent="0.25">
      <c r="B6214" s="4">
        <v>584632589</v>
      </c>
      <c r="C6214" s="4" t="s">
        <v>269</v>
      </c>
      <c r="D6214" s="4">
        <v>860</v>
      </c>
      <c r="E6214" s="4">
        <v>57</v>
      </c>
      <c r="F6214">
        <v>5</v>
      </c>
      <c r="G6214">
        <f t="shared" si="97"/>
        <v>512</v>
      </c>
    </row>
    <row r="6215" spans="2:7" ht="15" hidden="1" x14ac:dyDescent="0.25">
      <c r="B6215" s="4">
        <v>584632590</v>
      </c>
      <c r="C6215" s="4" t="s">
        <v>269</v>
      </c>
      <c r="D6215" s="4">
        <v>861</v>
      </c>
      <c r="E6215" s="4">
        <v>57</v>
      </c>
      <c r="F6215">
        <v>5</v>
      </c>
      <c r="G6215">
        <f t="shared" si="97"/>
        <v>512</v>
      </c>
    </row>
    <row r="6216" spans="2:7" ht="15" hidden="1" x14ac:dyDescent="0.25">
      <c r="B6216" s="4">
        <v>584632591</v>
      </c>
      <c r="C6216" s="4" t="s">
        <v>269</v>
      </c>
      <c r="D6216" s="4">
        <v>862</v>
      </c>
      <c r="E6216" s="4">
        <v>57</v>
      </c>
      <c r="F6216">
        <v>5</v>
      </c>
      <c r="G6216">
        <f t="shared" si="97"/>
        <v>512</v>
      </c>
    </row>
    <row r="6217" spans="2:7" ht="15" hidden="1" x14ac:dyDescent="0.25">
      <c r="B6217" s="4">
        <v>584632592</v>
      </c>
      <c r="C6217" s="4" t="s">
        <v>269</v>
      </c>
      <c r="D6217" s="4">
        <v>863</v>
      </c>
      <c r="E6217" s="4">
        <v>57</v>
      </c>
      <c r="F6217">
        <v>5</v>
      </c>
      <c r="G6217">
        <f t="shared" si="97"/>
        <v>512</v>
      </c>
    </row>
    <row r="6218" spans="2:7" ht="15" hidden="1" x14ac:dyDescent="0.25">
      <c r="B6218" s="4">
        <v>584632593</v>
      </c>
      <c r="C6218" s="4" t="s">
        <v>269</v>
      </c>
      <c r="D6218" s="4">
        <v>864</v>
      </c>
      <c r="E6218" s="4">
        <v>57</v>
      </c>
      <c r="F6218">
        <v>5</v>
      </c>
      <c r="G6218">
        <f t="shared" si="97"/>
        <v>512</v>
      </c>
    </row>
    <row r="6219" spans="2:7" ht="15" hidden="1" x14ac:dyDescent="0.25">
      <c r="B6219" s="4">
        <v>584632594</v>
      </c>
      <c r="C6219" s="4" t="s">
        <v>273</v>
      </c>
      <c r="D6219" s="4">
        <v>5425</v>
      </c>
      <c r="E6219" s="4">
        <v>317</v>
      </c>
      <c r="F6219">
        <v>5</v>
      </c>
      <c r="G6219">
        <f t="shared" si="97"/>
        <v>2592</v>
      </c>
    </row>
    <row r="6220" spans="2:7" ht="15" hidden="1" x14ac:dyDescent="0.25">
      <c r="B6220" s="4">
        <v>584632594</v>
      </c>
      <c r="C6220" s="4" t="s">
        <v>269</v>
      </c>
      <c r="D6220" s="4">
        <v>865</v>
      </c>
      <c r="E6220" s="4">
        <v>57</v>
      </c>
      <c r="F6220">
        <v>5</v>
      </c>
      <c r="G6220">
        <f t="shared" si="97"/>
        <v>512</v>
      </c>
    </row>
    <row r="6221" spans="2:7" ht="15" hidden="1" x14ac:dyDescent="0.25">
      <c r="B6221" s="4">
        <v>584632595</v>
      </c>
      <c r="C6221" s="4" t="s">
        <v>269</v>
      </c>
      <c r="D6221" s="4">
        <v>866</v>
      </c>
      <c r="E6221" s="4">
        <v>57</v>
      </c>
      <c r="F6221">
        <v>5</v>
      </c>
      <c r="G6221">
        <f t="shared" si="97"/>
        <v>512</v>
      </c>
    </row>
    <row r="6222" spans="2:7" ht="15" hidden="1" x14ac:dyDescent="0.25">
      <c r="B6222" s="4">
        <v>584632596</v>
      </c>
      <c r="C6222" s="4" t="s">
        <v>269</v>
      </c>
      <c r="D6222" s="4">
        <v>867</v>
      </c>
      <c r="E6222" s="4">
        <v>57</v>
      </c>
      <c r="F6222">
        <v>5</v>
      </c>
      <c r="G6222">
        <f t="shared" si="97"/>
        <v>512</v>
      </c>
    </row>
    <row r="6223" spans="2:7" ht="15" hidden="1" x14ac:dyDescent="0.25">
      <c r="B6223" s="4">
        <v>584632597</v>
      </c>
      <c r="C6223" s="4" t="s">
        <v>269</v>
      </c>
      <c r="D6223" s="4">
        <v>868</v>
      </c>
      <c r="E6223" s="4">
        <v>57</v>
      </c>
      <c r="F6223">
        <v>5</v>
      </c>
      <c r="G6223">
        <f t="shared" si="97"/>
        <v>512</v>
      </c>
    </row>
    <row r="6224" spans="2:7" ht="15" hidden="1" x14ac:dyDescent="0.25">
      <c r="B6224" s="4">
        <v>584632598</v>
      </c>
      <c r="C6224" s="4" t="s">
        <v>269</v>
      </c>
      <c r="D6224" s="4">
        <v>869</v>
      </c>
      <c r="E6224" s="4">
        <v>57</v>
      </c>
      <c r="F6224">
        <v>5</v>
      </c>
      <c r="G6224">
        <f t="shared" si="97"/>
        <v>512</v>
      </c>
    </row>
    <row r="6225" spans="2:7" ht="15" hidden="1" x14ac:dyDescent="0.25">
      <c r="B6225" s="4">
        <v>584632598</v>
      </c>
      <c r="C6225" s="4" t="s">
        <v>272</v>
      </c>
      <c r="D6225" s="4">
        <v>75</v>
      </c>
      <c r="E6225" s="4">
        <v>211</v>
      </c>
      <c r="F6225">
        <v>5</v>
      </c>
      <c r="G6225">
        <f t="shared" si="97"/>
        <v>1744</v>
      </c>
    </row>
    <row r="6226" spans="2:7" ht="15" hidden="1" x14ac:dyDescent="0.25">
      <c r="B6226" s="4">
        <v>584632599</v>
      </c>
      <c r="C6226" s="4" t="s">
        <v>269</v>
      </c>
      <c r="D6226" s="4">
        <v>870</v>
      </c>
      <c r="E6226" s="4">
        <v>57</v>
      </c>
      <c r="F6226">
        <v>5</v>
      </c>
      <c r="G6226">
        <f t="shared" si="97"/>
        <v>512</v>
      </c>
    </row>
    <row r="6227" spans="2:7" ht="15" hidden="1" x14ac:dyDescent="0.25">
      <c r="B6227" s="4">
        <v>584632600</v>
      </c>
      <c r="C6227" s="4" t="s">
        <v>269</v>
      </c>
      <c r="D6227" s="4">
        <v>871</v>
      </c>
      <c r="E6227" s="4">
        <v>57</v>
      </c>
      <c r="F6227">
        <v>5</v>
      </c>
      <c r="G6227">
        <f t="shared" si="97"/>
        <v>512</v>
      </c>
    </row>
    <row r="6228" spans="2:7" ht="15" hidden="1" x14ac:dyDescent="0.25">
      <c r="B6228" s="4">
        <v>584632601</v>
      </c>
      <c r="C6228" s="4" t="s">
        <v>269</v>
      </c>
      <c r="D6228" s="4">
        <v>872</v>
      </c>
      <c r="E6228" s="4">
        <v>57</v>
      </c>
      <c r="F6228">
        <v>5</v>
      </c>
      <c r="G6228">
        <f t="shared" si="97"/>
        <v>512</v>
      </c>
    </row>
    <row r="6229" spans="2:7" ht="15" hidden="1" x14ac:dyDescent="0.25">
      <c r="B6229" s="4">
        <v>584632602</v>
      </c>
      <c r="C6229" s="4" t="s">
        <v>269</v>
      </c>
      <c r="D6229" s="4">
        <v>873</v>
      </c>
      <c r="E6229" s="4">
        <v>57</v>
      </c>
      <c r="F6229">
        <v>5</v>
      </c>
      <c r="G6229">
        <f t="shared" si="97"/>
        <v>512</v>
      </c>
    </row>
    <row r="6230" spans="2:7" ht="15" hidden="1" x14ac:dyDescent="0.25">
      <c r="B6230" s="4">
        <v>584632603</v>
      </c>
      <c r="C6230" s="4" t="s">
        <v>269</v>
      </c>
      <c r="D6230" s="4">
        <v>874</v>
      </c>
      <c r="E6230" s="4">
        <v>57</v>
      </c>
      <c r="F6230">
        <v>5</v>
      </c>
      <c r="G6230">
        <f t="shared" si="97"/>
        <v>512</v>
      </c>
    </row>
    <row r="6231" spans="2:7" ht="15" hidden="1" x14ac:dyDescent="0.25">
      <c r="B6231" s="4">
        <v>584632604</v>
      </c>
      <c r="C6231" s="4" t="s">
        <v>269</v>
      </c>
      <c r="D6231" s="4">
        <v>875</v>
      </c>
      <c r="E6231" s="4">
        <v>57</v>
      </c>
      <c r="F6231">
        <v>5</v>
      </c>
      <c r="G6231">
        <f t="shared" si="97"/>
        <v>512</v>
      </c>
    </row>
    <row r="6232" spans="2:7" ht="15" hidden="1" x14ac:dyDescent="0.25">
      <c r="B6232" s="4">
        <v>584632605</v>
      </c>
      <c r="C6232" s="4" t="s">
        <v>269</v>
      </c>
      <c r="D6232" s="4">
        <v>876</v>
      </c>
      <c r="E6232" s="4">
        <v>57</v>
      </c>
      <c r="F6232">
        <v>5</v>
      </c>
      <c r="G6232">
        <f t="shared" si="97"/>
        <v>512</v>
      </c>
    </row>
    <row r="6233" spans="2:7" ht="15" hidden="1" x14ac:dyDescent="0.25">
      <c r="B6233" s="4">
        <v>584632606</v>
      </c>
      <c r="C6233" s="4" t="s">
        <v>269</v>
      </c>
      <c r="D6233" s="4">
        <v>877</v>
      </c>
      <c r="E6233" s="4">
        <v>57</v>
      </c>
      <c r="F6233">
        <v>5</v>
      </c>
      <c r="G6233">
        <f t="shared" si="97"/>
        <v>512</v>
      </c>
    </row>
    <row r="6234" spans="2:7" ht="15" hidden="1" x14ac:dyDescent="0.25">
      <c r="B6234" s="4">
        <v>584632607</v>
      </c>
      <c r="C6234" s="4" t="s">
        <v>269</v>
      </c>
      <c r="D6234" s="4">
        <v>878</v>
      </c>
      <c r="E6234" s="4">
        <v>57</v>
      </c>
      <c r="F6234">
        <v>5</v>
      </c>
      <c r="G6234">
        <f t="shared" si="97"/>
        <v>512</v>
      </c>
    </row>
    <row r="6235" spans="2:7" ht="15" hidden="1" x14ac:dyDescent="0.25">
      <c r="B6235" s="4">
        <v>584632608</v>
      </c>
      <c r="C6235" s="4" t="s">
        <v>269</v>
      </c>
      <c r="D6235" s="4">
        <v>879</v>
      </c>
      <c r="E6235" s="4">
        <v>57</v>
      </c>
      <c r="F6235">
        <v>5</v>
      </c>
      <c r="G6235">
        <f t="shared" si="97"/>
        <v>512</v>
      </c>
    </row>
    <row r="6236" spans="2:7" ht="15" hidden="1" x14ac:dyDescent="0.25">
      <c r="B6236" s="4">
        <v>584632608</v>
      </c>
      <c r="C6236" s="4" t="s">
        <v>272</v>
      </c>
      <c r="D6236" s="4">
        <v>76</v>
      </c>
      <c r="E6236" s="4">
        <v>211</v>
      </c>
      <c r="F6236">
        <v>5</v>
      </c>
      <c r="G6236">
        <f t="shared" si="97"/>
        <v>1744</v>
      </c>
    </row>
    <row r="6237" spans="2:7" ht="15" hidden="1" x14ac:dyDescent="0.25">
      <c r="B6237" s="4">
        <v>584632609</v>
      </c>
      <c r="C6237" s="4" t="s">
        <v>269</v>
      </c>
      <c r="D6237" s="4">
        <v>880</v>
      </c>
      <c r="E6237" s="4">
        <v>57</v>
      </c>
      <c r="F6237">
        <v>5</v>
      </c>
      <c r="G6237">
        <f t="shared" si="97"/>
        <v>512</v>
      </c>
    </row>
    <row r="6238" spans="2:7" ht="15" hidden="1" x14ac:dyDescent="0.25">
      <c r="B6238" s="4">
        <v>584632610</v>
      </c>
      <c r="C6238" s="4" t="s">
        <v>269</v>
      </c>
      <c r="D6238" s="4">
        <v>881</v>
      </c>
      <c r="E6238" s="4">
        <v>57</v>
      </c>
      <c r="F6238">
        <v>5</v>
      </c>
      <c r="G6238">
        <f t="shared" si="97"/>
        <v>512</v>
      </c>
    </row>
    <row r="6239" spans="2:7" ht="15" hidden="1" x14ac:dyDescent="0.25">
      <c r="B6239" s="4">
        <v>584632611</v>
      </c>
      <c r="C6239" s="4" t="s">
        <v>269</v>
      </c>
      <c r="D6239" s="4">
        <v>882</v>
      </c>
      <c r="E6239" s="4">
        <v>57</v>
      </c>
      <c r="F6239">
        <v>5</v>
      </c>
      <c r="G6239">
        <f t="shared" si="97"/>
        <v>512</v>
      </c>
    </row>
    <row r="6240" spans="2:7" ht="15" hidden="1" x14ac:dyDescent="0.25">
      <c r="B6240" s="4">
        <v>584632612</v>
      </c>
      <c r="C6240" s="4" t="s">
        <v>269</v>
      </c>
      <c r="D6240" s="4">
        <v>883</v>
      </c>
      <c r="E6240" s="4">
        <v>57</v>
      </c>
      <c r="F6240">
        <v>5</v>
      </c>
      <c r="G6240">
        <f t="shared" si="97"/>
        <v>512</v>
      </c>
    </row>
    <row r="6241" spans="2:7" ht="15" hidden="1" x14ac:dyDescent="0.25">
      <c r="B6241" s="4">
        <v>584632613</v>
      </c>
      <c r="C6241" s="4" t="s">
        <v>269</v>
      </c>
      <c r="D6241" s="4">
        <v>884</v>
      </c>
      <c r="E6241" s="4">
        <v>57</v>
      </c>
      <c r="F6241">
        <v>5</v>
      </c>
      <c r="G6241">
        <f t="shared" si="97"/>
        <v>512</v>
      </c>
    </row>
    <row r="6242" spans="2:7" ht="15" hidden="1" x14ac:dyDescent="0.25">
      <c r="B6242" s="4">
        <v>584632614</v>
      </c>
      <c r="C6242" s="4" t="s">
        <v>269</v>
      </c>
      <c r="D6242" s="4">
        <v>885</v>
      </c>
      <c r="E6242" s="4">
        <v>57</v>
      </c>
      <c r="F6242">
        <v>5</v>
      </c>
      <c r="G6242">
        <f t="shared" si="97"/>
        <v>512</v>
      </c>
    </row>
    <row r="6243" spans="2:7" ht="15" hidden="1" x14ac:dyDescent="0.25">
      <c r="B6243" s="4">
        <v>584632615</v>
      </c>
      <c r="C6243" s="4" t="s">
        <v>269</v>
      </c>
      <c r="D6243" s="4">
        <v>886</v>
      </c>
      <c r="E6243" s="4">
        <v>57</v>
      </c>
      <c r="F6243">
        <v>5</v>
      </c>
      <c r="G6243">
        <f t="shared" si="97"/>
        <v>512</v>
      </c>
    </row>
    <row r="6244" spans="2:7" ht="15" hidden="1" x14ac:dyDescent="0.25">
      <c r="B6244" s="4">
        <v>584632616</v>
      </c>
      <c r="C6244" s="4" t="s">
        <v>269</v>
      </c>
      <c r="D6244" s="4">
        <v>887</v>
      </c>
      <c r="E6244" s="4">
        <v>57</v>
      </c>
      <c r="F6244">
        <v>5</v>
      </c>
      <c r="G6244">
        <f t="shared" si="97"/>
        <v>512</v>
      </c>
    </row>
    <row r="6245" spans="2:7" ht="15" hidden="1" x14ac:dyDescent="0.25">
      <c r="B6245" s="4">
        <v>584632617</v>
      </c>
      <c r="C6245" s="4" t="s">
        <v>269</v>
      </c>
      <c r="D6245" s="4">
        <v>888</v>
      </c>
      <c r="E6245" s="4">
        <v>57</v>
      </c>
      <c r="F6245">
        <v>5</v>
      </c>
      <c r="G6245">
        <f t="shared" si="97"/>
        <v>512</v>
      </c>
    </row>
    <row r="6246" spans="2:7" ht="15" hidden="1" x14ac:dyDescent="0.25">
      <c r="B6246" s="4">
        <v>584632618</v>
      </c>
      <c r="C6246" s="4" t="s">
        <v>269</v>
      </c>
      <c r="D6246" s="4">
        <v>889</v>
      </c>
      <c r="E6246" s="4">
        <v>57</v>
      </c>
      <c r="F6246">
        <v>5</v>
      </c>
      <c r="G6246">
        <f t="shared" si="97"/>
        <v>512</v>
      </c>
    </row>
    <row r="6247" spans="2:7" ht="15" hidden="1" x14ac:dyDescent="0.25">
      <c r="B6247" s="4">
        <v>584632618</v>
      </c>
      <c r="C6247" s="4" t="s">
        <v>272</v>
      </c>
      <c r="D6247" s="4">
        <v>77</v>
      </c>
      <c r="E6247" s="4">
        <v>209</v>
      </c>
      <c r="F6247">
        <v>5</v>
      </c>
      <c r="G6247">
        <f t="shared" si="97"/>
        <v>1728</v>
      </c>
    </row>
    <row r="6248" spans="2:7" ht="15" hidden="1" x14ac:dyDescent="0.25">
      <c r="B6248" s="4">
        <v>584632619</v>
      </c>
      <c r="C6248" s="4" t="s">
        <v>269</v>
      </c>
      <c r="D6248" s="4">
        <v>890</v>
      </c>
      <c r="E6248" s="4">
        <v>57</v>
      </c>
      <c r="F6248">
        <v>5</v>
      </c>
      <c r="G6248">
        <f t="shared" si="97"/>
        <v>512</v>
      </c>
    </row>
    <row r="6249" spans="2:7" ht="15" hidden="1" x14ac:dyDescent="0.25">
      <c r="B6249" s="4">
        <v>584632620</v>
      </c>
      <c r="C6249" s="4" t="s">
        <v>269</v>
      </c>
      <c r="D6249" s="4">
        <v>891</v>
      </c>
      <c r="E6249" s="4">
        <v>57</v>
      </c>
      <c r="F6249">
        <v>5</v>
      </c>
      <c r="G6249">
        <f t="shared" si="97"/>
        <v>512</v>
      </c>
    </row>
    <row r="6250" spans="2:7" ht="15" hidden="1" x14ac:dyDescent="0.25">
      <c r="B6250" s="4">
        <v>584632621</v>
      </c>
      <c r="C6250" s="4" t="s">
        <v>269</v>
      </c>
      <c r="D6250" s="4">
        <v>892</v>
      </c>
      <c r="E6250" s="4">
        <v>57</v>
      </c>
      <c r="F6250">
        <v>5</v>
      </c>
      <c r="G6250">
        <f t="shared" si="97"/>
        <v>512</v>
      </c>
    </row>
    <row r="6251" spans="2:7" ht="15" hidden="1" x14ac:dyDescent="0.25">
      <c r="B6251" s="4">
        <v>584632622</v>
      </c>
      <c r="C6251" s="4" t="s">
        <v>269</v>
      </c>
      <c r="D6251" s="4">
        <v>893</v>
      </c>
      <c r="E6251" s="4">
        <v>57</v>
      </c>
      <c r="F6251">
        <v>5</v>
      </c>
      <c r="G6251">
        <f t="shared" si="97"/>
        <v>512</v>
      </c>
    </row>
    <row r="6252" spans="2:7" ht="15" hidden="1" x14ac:dyDescent="0.25">
      <c r="B6252" s="4">
        <v>584632623</v>
      </c>
      <c r="C6252" s="4" t="s">
        <v>269</v>
      </c>
      <c r="D6252" s="4">
        <v>894</v>
      </c>
      <c r="E6252" s="4">
        <v>57</v>
      </c>
      <c r="F6252">
        <v>5</v>
      </c>
      <c r="G6252">
        <f t="shared" si="97"/>
        <v>512</v>
      </c>
    </row>
    <row r="6253" spans="2:7" ht="15" hidden="1" x14ac:dyDescent="0.25">
      <c r="B6253" s="4">
        <v>584632624</v>
      </c>
      <c r="C6253" s="4" t="s">
        <v>269</v>
      </c>
      <c r="D6253" s="4">
        <v>895</v>
      </c>
      <c r="E6253" s="4">
        <v>57</v>
      </c>
      <c r="F6253">
        <v>5</v>
      </c>
      <c r="G6253">
        <f t="shared" si="97"/>
        <v>512</v>
      </c>
    </row>
    <row r="6254" spans="2:7" ht="15" hidden="1" x14ac:dyDescent="0.25">
      <c r="B6254" s="4">
        <v>584632625</v>
      </c>
      <c r="C6254" s="4" t="s">
        <v>269</v>
      </c>
      <c r="D6254" s="4">
        <v>896</v>
      </c>
      <c r="E6254" s="4">
        <v>57</v>
      </c>
      <c r="F6254">
        <v>5</v>
      </c>
      <c r="G6254">
        <f t="shared" si="97"/>
        <v>512</v>
      </c>
    </row>
    <row r="6255" spans="2:7" ht="15" hidden="1" x14ac:dyDescent="0.25">
      <c r="B6255" s="4">
        <v>584632626</v>
      </c>
      <c r="C6255" s="4" t="s">
        <v>269</v>
      </c>
      <c r="D6255" s="4">
        <v>897</v>
      </c>
      <c r="E6255" s="4">
        <v>57</v>
      </c>
      <c r="F6255">
        <v>5</v>
      </c>
      <c r="G6255">
        <f t="shared" si="97"/>
        <v>512</v>
      </c>
    </row>
    <row r="6256" spans="2:7" ht="15" hidden="1" x14ac:dyDescent="0.25">
      <c r="B6256" s="4">
        <v>584632627</v>
      </c>
      <c r="C6256" s="4" t="s">
        <v>269</v>
      </c>
      <c r="D6256" s="4">
        <v>898</v>
      </c>
      <c r="E6256" s="4">
        <v>57</v>
      </c>
      <c r="F6256">
        <v>5</v>
      </c>
      <c r="G6256">
        <f t="shared" si="97"/>
        <v>512</v>
      </c>
    </row>
    <row r="6257" spans="2:7" ht="15" hidden="1" x14ac:dyDescent="0.25">
      <c r="B6257" s="4">
        <v>584632628</v>
      </c>
      <c r="C6257" s="4" t="s">
        <v>268</v>
      </c>
      <c r="D6257" s="4">
        <v>234</v>
      </c>
      <c r="E6257" s="4">
        <v>6</v>
      </c>
      <c r="F6257">
        <v>5</v>
      </c>
      <c r="G6257">
        <f t="shared" si="97"/>
        <v>104</v>
      </c>
    </row>
    <row r="6258" spans="2:7" ht="15" hidden="1" x14ac:dyDescent="0.25">
      <c r="B6258" s="4">
        <v>584632628</v>
      </c>
      <c r="C6258" s="4" t="s">
        <v>268</v>
      </c>
      <c r="D6258" s="4">
        <v>234</v>
      </c>
      <c r="E6258" s="4">
        <v>6</v>
      </c>
      <c r="F6258">
        <v>11</v>
      </c>
      <c r="G6258">
        <f t="shared" si="97"/>
        <v>104</v>
      </c>
    </row>
    <row r="6259" spans="2:7" ht="15" hidden="1" x14ac:dyDescent="0.25">
      <c r="B6259" s="4">
        <v>584632628</v>
      </c>
      <c r="C6259" s="4" t="s">
        <v>268</v>
      </c>
      <c r="D6259" s="4">
        <v>235</v>
      </c>
      <c r="E6259" s="4">
        <v>9</v>
      </c>
      <c r="F6259">
        <v>11</v>
      </c>
      <c r="G6259">
        <f t="shared" si="97"/>
        <v>128</v>
      </c>
    </row>
    <row r="6260" spans="2:7" ht="15" hidden="1" x14ac:dyDescent="0.25">
      <c r="B6260" s="4">
        <v>584632628</v>
      </c>
      <c r="C6260" s="4" t="s">
        <v>268</v>
      </c>
      <c r="D6260" s="4">
        <v>235</v>
      </c>
      <c r="E6260" s="4">
        <v>9</v>
      </c>
      <c r="F6260">
        <v>195</v>
      </c>
      <c r="G6260">
        <f t="shared" si="97"/>
        <v>128</v>
      </c>
    </row>
    <row r="6261" spans="2:7" ht="15" hidden="1" x14ac:dyDescent="0.25">
      <c r="B6261" s="4">
        <v>584632628</v>
      </c>
      <c r="C6261" s="4" t="s">
        <v>268</v>
      </c>
      <c r="D6261" s="4">
        <v>236</v>
      </c>
      <c r="E6261" s="4">
        <v>7</v>
      </c>
      <c r="F6261">
        <v>195</v>
      </c>
      <c r="G6261">
        <f t="shared" si="97"/>
        <v>112</v>
      </c>
    </row>
    <row r="6262" spans="2:7" ht="15" hidden="1" x14ac:dyDescent="0.25">
      <c r="B6262" s="4">
        <v>584632628</v>
      </c>
      <c r="C6262" s="4" t="s">
        <v>268</v>
      </c>
      <c r="D6262" s="4">
        <v>236</v>
      </c>
      <c r="E6262" s="4">
        <v>7</v>
      </c>
      <c r="F6262">
        <v>81</v>
      </c>
      <c r="G6262">
        <f t="shared" si="97"/>
        <v>112</v>
      </c>
    </row>
    <row r="6263" spans="2:7" ht="15" hidden="1" x14ac:dyDescent="0.25">
      <c r="B6263" s="4">
        <v>584632628</v>
      </c>
      <c r="C6263" s="4" t="s">
        <v>268</v>
      </c>
      <c r="D6263" s="4">
        <v>237</v>
      </c>
      <c r="E6263" s="4">
        <v>7</v>
      </c>
      <c r="F6263">
        <v>81</v>
      </c>
      <c r="G6263">
        <f t="shared" si="97"/>
        <v>112</v>
      </c>
    </row>
    <row r="6264" spans="2:7" ht="15" hidden="1" x14ac:dyDescent="0.25">
      <c r="B6264" s="4">
        <v>584632628</v>
      </c>
      <c r="C6264" s="4" t="s">
        <v>268</v>
      </c>
      <c r="D6264" s="4">
        <v>237</v>
      </c>
      <c r="E6264" s="4">
        <v>7</v>
      </c>
      <c r="F6264">
        <v>79</v>
      </c>
      <c r="G6264">
        <f t="shared" si="97"/>
        <v>112</v>
      </c>
    </row>
    <row r="6265" spans="2:7" ht="15" hidden="1" x14ac:dyDescent="0.25">
      <c r="B6265" s="4">
        <v>584632628</v>
      </c>
      <c r="C6265" s="4" t="s">
        <v>268</v>
      </c>
      <c r="D6265" s="4">
        <v>238</v>
      </c>
      <c r="E6265" s="4">
        <v>7</v>
      </c>
      <c r="F6265">
        <v>79</v>
      </c>
      <c r="G6265">
        <f t="shared" si="97"/>
        <v>112</v>
      </c>
    </row>
    <row r="6266" spans="2:7" ht="15" hidden="1" x14ac:dyDescent="0.25">
      <c r="B6266" s="4">
        <v>584632628</v>
      </c>
      <c r="C6266" s="4" t="s">
        <v>268</v>
      </c>
      <c r="D6266" s="4">
        <v>238</v>
      </c>
      <c r="E6266" s="4">
        <v>7</v>
      </c>
      <c r="F6266">
        <v>5</v>
      </c>
      <c r="G6266">
        <f t="shared" si="97"/>
        <v>112</v>
      </c>
    </row>
    <row r="6267" spans="2:7" ht="15" hidden="1" x14ac:dyDescent="0.25">
      <c r="B6267" s="4">
        <v>584632628</v>
      </c>
      <c r="C6267" s="4" t="s">
        <v>269</v>
      </c>
      <c r="D6267" s="4">
        <v>899</v>
      </c>
      <c r="E6267" s="4">
        <v>57</v>
      </c>
      <c r="F6267">
        <v>5</v>
      </c>
      <c r="G6267">
        <f t="shared" si="97"/>
        <v>512</v>
      </c>
    </row>
    <row r="6268" spans="2:7" ht="15" hidden="1" x14ac:dyDescent="0.25">
      <c r="B6268" s="4">
        <v>584632628</v>
      </c>
      <c r="C6268" s="4" t="s">
        <v>272</v>
      </c>
      <c r="D6268" s="4">
        <v>78</v>
      </c>
      <c r="E6268" s="4">
        <v>209</v>
      </c>
      <c r="F6268">
        <v>5</v>
      </c>
      <c r="G6268">
        <f t="shared" si="97"/>
        <v>1728</v>
      </c>
    </row>
    <row r="6269" spans="2:7" ht="15" hidden="1" x14ac:dyDescent="0.25">
      <c r="B6269" s="4">
        <v>584632629</v>
      </c>
      <c r="C6269" s="4" t="s">
        <v>269</v>
      </c>
      <c r="D6269" s="4">
        <v>900</v>
      </c>
      <c r="E6269" s="4">
        <v>57</v>
      </c>
      <c r="F6269">
        <v>5</v>
      </c>
      <c r="G6269">
        <f t="shared" si="97"/>
        <v>512</v>
      </c>
    </row>
    <row r="6270" spans="2:7" ht="15" hidden="1" x14ac:dyDescent="0.25">
      <c r="B6270" s="4">
        <v>584632630</v>
      </c>
      <c r="C6270" s="4" t="s">
        <v>268</v>
      </c>
      <c r="D6270" s="4">
        <v>239</v>
      </c>
      <c r="E6270" s="4">
        <v>7</v>
      </c>
      <c r="F6270">
        <v>5</v>
      </c>
      <c r="G6270">
        <f t="shared" si="97"/>
        <v>112</v>
      </c>
    </row>
    <row r="6271" spans="2:7" ht="15" hidden="1" x14ac:dyDescent="0.25">
      <c r="B6271" s="4">
        <v>584632630</v>
      </c>
      <c r="C6271" s="4" t="s">
        <v>268</v>
      </c>
      <c r="D6271" s="4">
        <v>239</v>
      </c>
      <c r="E6271" s="4">
        <v>7</v>
      </c>
      <c r="F6271">
        <v>81</v>
      </c>
      <c r="G6271">
        <f t="shared" si="97"/>
        <v>112</v>
      </c>
    </row>
    <row r="6272" spans="2:7" ht="15" hidden="1" x14ac:dyDescent="0.25">
      <c r="B6272" s="4">
        <v>584632630</v>
      </c>
      <c r="C6272" s="4" t="s">
        <v>268</v>
      </c>
      <c r="D6272" s="4">
        <v>240</v>
      </c>
      <c r="E6272" s="4">
        <v>5</v>
      </c>
      <c r="F6272">
        <v>81</v>
      </c>
      <c r="G6272">
        <f t="shared" si="97"/>
        <v>96</v>
      </c>
    </row>
    <row r="6273" spans="2:7" ht="15" hidden="1" x14ac:dyDescent="0.25">
      <c r="B6273" s="4">
        <v>584632630</v>
      </c>
      <c r="C6273" s="4" t="s">
        <v>268</v>
      </c>
      <c r="D6273" s="4">
        <v>240</v>
      </c>
      <c r="E6273" s="4">
        <v>5</v>
      </c>
      <c r="F6273">
        <v>6</v>
      </c>
      <c r="G6273">
        <f t="shared" si="97"/>
        <v>96</v>
      </c>
    </row>
    <row r="6274" spans="2:7" ht="15" hidden="1" x14ac:dyDescent="0.25">
      <c r="B6274" s="4">
        <v>584632630</v>
      </c>
      <c r="C6274" s="4" t="s">
        <v>268</v>
      </c>
      <c r="D6274" s="4">
        <v>241</v>
      </c>
      <c r="E6274" s="4">
        <v>7</v>
      </c>
      <c r="F6274">
        <v>6</v>
      </c>
      <c r="G6274">
        <f t="shared" si="97"/>
        <v>112</v>
      </c>
    </row>
    <row r="6275" spans="2:7" ht="15" hidden="1" x14ac:dyDescent="0.25">
      <c r="B6275" s="4">
        <v>584632630</v>
      </c>
      <c r="C6275" s="4" t="s">
        <v>268</v>
      </c>
      <c r="D6275" s="4">
        <v>241</v>
      </c>
      <c r="E6275" s="4">
        <v>7</v>
      </c>
      <c r="F6275">
        <v>5</v>
      </c>
      <c r="G6275">
        <f t="shared" si="97"/>
        <v>112</v>
      </c>
    </row>
    <row r="6276" spans="2:7" ht="15" hidden="1" x14ac:dyDescent="0.25">
      <c r="B6276" s="4">
        <v>584632630</v>
      </c>
      <c r="C6276" s="4" t="s">
        <v>269</v>
      </c>
      <c r="D6276" s="4">
        <v>901</v>
      </c>
      <c r="E6276" s="4">
        <v>57</v>
      </c>
      <c r="F6276">
        <v>5</v>
      </c>
      <c r="G6276">
        <f t="shared" ref="G6276:G6339" si="98">(E6276+7)*8</f>
        <v>512</v>
      </c>
    </row>
    <row r="6277" spans="2:7" ht="15" hidden="1" x14ac:dyDescent="0.25">
      <c r="B6277" s="4">
        <v>584632631</v>
      </c>
      <c r="C6277" s="4" t="s">
        <v>269</v>
      </c>
      <c r="D6277" s="4">
        <v>902</v>
      </c>
      <c r="E6277" s="4">
        <v>57</v>
      </c>
      <c r="F6277">
        <v>5</v>
      </c>
      <c r="G6277">
        <f t="shared" si="98"/>
        <v>512</v>
      </c>
    </row>
    <row r="6278" spans="2:7" ht="15" hidden="1" x14ac:dyDescent="0.25">
      <c r="B6278" s="4">
        <v>584632632</v>
      </c>
      <c r="C6278" s="4" t="s">
        <v>269</v>
      </c>
      <c r="D6278" s="4">
        <v>903</v>
      </c>
      <c r="E6278" s="4">
        <v>57</v>
      </c>
      <c r="F6278">
        <v>5</v>
      </c>
      <c r="G6278">
        <f t="shared" si="98"/>
        <v>512</v>
      </c>
    </row>
    <row r="6279" spans="2:7" ht="15" hidden="1" x14ac:dyDescent="0.25">
      <c r="B6279" s="4">
        <v>584632633</v>
      </c>
      <c r="C6279" s="4" t="s">
        <v>269</v>
      </c>
      <c r="D6279" s="4">
        <v>904</v>
      </c>
      <c r="E6279" s="4">
        <v>57</v>
      </c>
      <c r="F6279">
        <v>5</v>
      </c>
      <c r="G6279">
        <f t="shared" si="98"/>
        <v>512</v>
      </c>
    </row>
    <row r="6280" spans="2:7" ht="15" hidden="1" x14ac:dyDescent="0.25">
      <c r="B6280" s="4">
        <v>584632634</v>
      </c>
      <c r="C6280" s="4" t="s">
        <v>269</v>
      </c>
      <c r="D6280" s="4">
        <v>905</v>
      </c>
      <c r="E6280" s="4">
        <v>57</v>
      </c>
      <c r="F6280">
        <v>5</v>
      </c>
      <c r="G6280">
        <f t="shared" si="98"/>
        <v>512</v>
      </c>
    </row>
    <row r="6281" spans="2:7" ht="15" hidden="1" x14ac:dyDescent="0.25">
      <c r="B6281" s="4">
        <v>584632635</v>
      </c>
      <c r="C6281" s="4" t="s">
        <v>269</v>
      </c>
      <c r="D6281" s="4">
        <v>906</v>
      </c>
      <c r="E6281" s="4">
        <v>57</v>
      </c>
      <c r="F6281">
        <v>5</v>
      </c>
      <c r="G6281">
        <f t="shared" si="98"/>
        <v>512</v>
      </c>
    </row>
    <row r="6282" spans="2:7" ht="15" hidden="1" x14ac:dyDescent="0.25">
      <c r="B6282" s="4">
        <v>584632636</v>
      </c>
      <c r="C6282" s="4" t="s">
        <v>269</v>
      </c>
      <c r="D6282" s="4">
        <v>907</v>
      </c>
      <c r="E6282" s="4">
        <v>57</v>
      </c>
      <c r="F6282">
        <v>5</v>
      </c>
      <c r="G6282">
        <f t="shared" si="98"/>
        <v>512</v>
      </c>
    </row>
    <row r="6283" spans="2:7" ht="15" hidden="1" x14ac:dyDescent="0.25">
      <c r="B6283" s="4">
        <v>584632637</v>
      </c>
      <c r="C6283" s="4" t="s">
        <v>269</v>
      </c>
      <c r="D6283" s="4">
        <v>908</v>
      </c>
      <c r="E6283" s="4">
        <v>57</v>
      </c>
      <c r="F6283">
        <v>5</v>
      </c>
      <c r="G6283">
        <f t="shared" si="98"/>
        <v>512</v>
      </c>
    </row>
    <row r="6284" spans="2:7" ht="15" hidden="1" x14ac:dyDescent="0.25">
      <c r="B6284" s="4">
        <v>584632638</v>
      </c>
      <c r="C6284" s="4" t="s">
        <v>269</v>
      </c>
      <c r="D6284" s="4">
        <v>909</v>
      </c>
      <c r="E6284" s="4">
        <v>57</v>
      </c>
      <c r="F6284">
        <v>5</v>
      </c>
      <c r="G6284">
        <f t="shared" si="98"/>
        <v>512</v>
      </c>
    </row>
    <row r="6285" spans="2:7" ht="15" hidden="1" x14ac:dyDescent="0.25">
      <c r="B6285" s="4">
        <v>584632638</v>
      </c>
      <c r="C6285" s="4" t="s">
        <v>272</v>
      </c>
      <c r="D6285" s="4">
        <v>79</v>
      </c>
      <c r="E6285" s="4">
        <v>211</v>
      </c>
      <c r="F6285">
        <v>5</v>
      </c>
      <c r="G6285">
        <f t="shared" si="98"/>
        <v>1744</v>
      </c>
    </row>
    <row r="6286" spans="2:7" ht="15" hidden="1" x14ac:dyDescent="0.25">
      <c r="B6286" s="4">
        <v>584632639</v>
      </c>
      <c r="C6286" s="4" t="s">
        <v>269</v>
      </c>
      <c r="D6286" s="4">
        <v>910</v>
      </c>
      <c r="E6286" s="4">
        <v>57</v>
      </c>
      <c r="F6286">
        <v>5</v>
      </c>
      <c r="G6286">
        <f t="shared" si="98"/>
        <v>512</v>
      </c>
    </row>
    <row r="6287" spans="2:7" ht="15" hidden="1" x14ac:dyDescent="0.25">
      <c r="B6287" s="4">
        <v>584632640</v>
      </c>
      <c r="C6287" s="4" t="s">
        <v>269</v>
      </c>
      <c r="D6287" s="4">
        <v>911</v>
      </c>
      <c r="E6287" s="4">
        <v>57</v>
      </c>
      <c r="F6287">
        <v>5</v>
      </c>
      <c r="G6287">
        <f t="shared" si="98"/>
        <v>512</v>
      </c>
    </row>
    <row r="6288" spans="2:7" ht="15" hidden="1" x14ac:dyDescent="0.25">
      <c r="B6288" s="4">
        <v>584632641</v>
      </c>
      <c r="C6288" s="4" t="s">
        <v>269</v>
      </c>
      <c r="D6288" s="4">
        <v>912</v>
      </c>
      <c r="E6288" s="4">
        <v>57</v>
      </c>
      <c r="F6288">
        <v>5</v>
      </c>
      <c r="G6288">
        <f t="shared" si="98"/>
        <v>512</v>
      </c>
    </row>
    <row r="6289" spans="2:7" ht="15" hidden="1" x14ac:dyDescent="0.25">
      <c r="B6289" s="4">
        <v>584632642</v>
      </c>
      <c r="C6289" s="4" t="s">
        <v>269</v>
      </c>
      <c r="D6289" s="4">
        <v>913</v>
      </c>
      <c r="E6289" s="4">
        <v>57</v>
      </c>
      <c r="F6289">
        <v>5</v>
      </c>
      <c r="G6289">
        <f t="shared" si="98"/>
        <v>512</v>
      </c>
    </row>
    <row r="6290" spans="2:7" ht="15" hidden="1" x14ac:dyDescent="0.25">
      <c r="B6290" s="4">
        <v>584632643</v>
      </c>
      <c r="C6290" s="4" t="s">
        <v>269</v>
      </c>
      <c r="D6290" s="4">
        <v>914</v>
      </c>
      <c r="E6290" s="4">
        <v>57</v>
      </c>
      <c r="F6290">
        <v>5</v>
      </c>
      <c r="G6290">
        <f t="shared" si="98"/>
        <v>512</v>
      </c>
    </row>
    <row r="6291" spans="2:7" ht="15" hidden="1" x14ac:dyDescent="0.25">
      <c r="B6291" s="4">
        <v>584632644</v>
      </c>
      <c r="C6291" s="4" t="s">
        <v>269</v>
      </c>
      <c r="D6291" s="4">
        <v>915</v>
      </c>
      <c r="E6291" s="4">
        <v>57</v>
      </c>
      <c r="F6291">
        <v>5</v>
      </c>
      <c r="G6291">
        <f t="shared" si="98"/>
        <v>512</v>
      </c>
    </row>
    <row r="6292" spans="2:7" ht="15" hidden="1" x14ac:dyDescent="0.25">
      <c r="B6292" s="4">
        <v>584632645</v>
      </c>
      <c r="C6292" s="4" t="s">
        <v>269</v>
      </c>
      <c r="D6292" s="4">
        <v>916</v>
      </c>
      <c r="E6292" s="4">
        <v>57</v>
      </c>
      <c r="F6292">
        <v>5</v>
      </c>
      <c r="G6292">
        <f t="shared" si="98"/>
        <v>512</v>
      </c>
    </row>
    <row r="6293" spans="2:7" ht="15" hidden="1" x14ac:dyDescent="0.25">
      <c r="B6293" s="4">
        <v>584632646</v>
      </c>
      <c r="C6293" s="4" t="s">
        <v>269</v>
      </c>
      <c r="D6293" s="4">
        <v>917</v>
      </c>
      <c r="E6293" s="4">
        <v>57</v>
      </c>
      <c r="F6293">
        <v>5</v>
      </c>
      <c r="G6293">
        <f t="shared" si="98"/>
        <v>512</v>
      </c>
    </row>
    <row r="6294" spans="2:7" ht="15" hidden="1" x14ac:dyDescent="0.25">
      <c r="B6294" s="4">
        <v>584632647</v>
      </c>
      <c r="C6294" s="4" t="s">
        <v>269</v>
      </c>
      <c r="D6294" s="4">
        <v>918</v>
      </c>
      <c r="E6294" s="4">
        <v>57</v>
      </c>
      <c r="F6294">
        <v>5</v>
      </c>
      <c r="G6294">
        <f t="shared" si="98"/>
        <v>512</v>
      </c>
    </row>
    <row r="6295" spans="2:7" ht="15" hidden="1" x14ac:dyDescent="0.25">
      <c r="B6295" s="4">
        <v>584632648</v>
      </c>
      <c r="C6295" s="4" t="s">
        <v>269</v>
      </c>
      <c r="D6295" s="4">
        <v>919</v>
      </c>
      <c r="E6295" s="4">
        <v>57</v>
      </c>
      <c r="F6295">
        <v>5</v>
      </c>
      <c r="G6295">
        <f t="shared" si="98"/>
        <v>512</v>
      </c>
    </row>
    <row r="6296" spans="2:7" ht="15" hidden="1" x14ac:dyDescent="0.25">
      <c r="B6296" s="4">
        <v>584632648</v>
      </c>
      <c r="C6296" s="4" t="s">
        <v>272</v>
      </c>
      <c r="D6296" s="4">
        <v>80</v>
      </c>
      <c r="E6296" s="4">
        <v>209</v>
      </c>
      <c r="F6296">
        <v>5</v>
      </c>
      <c r="G6296">
        <f t="shared" si="98"/>
        <v>1728</v>
      </c>
    </row>
    <row r="6297" spans="2:7" ht="15" hidden="1" x14ac:dyDescent="0.25">
      <c r="B6297" s="4">
        <v>584632649</v>
      </c>
      <c r="C6297" s="4" t="s">
        <v>269</v>
      </c>
      <c r="D6297" s="4">
        <v>920</v>
      </c>
      <c r="E6297" s="4">
        <v>57</v>
      </c>
      <c r="F6297">
        <v>5</v>
      </c>
      <c r="G6297">
        <f t="shared" si="98"/>
        <v>512</v>
      </c>
    </row>
    <row r="6298" spans="2:7" ht="15" hidden="1" x14ac:dyDescent="0.25">
      <c r="B6298" s="4">
        <v>584632650</v>
      </c>
      <c r="C6298" s="4" t="s">
        <v>269</v>
      </c>
      <c r="D6298" s="4">
        <v>921</v>
      </c>
      <c r="E6298" s="4">
        <v>57</v>
      </c>
      <c r="F6298">
        <v>5</v>
      </c>
      <c r="G6298">
        <f t="shared" si="98"/>
        <v>512</v>
      </c>
    </row>
    <row r="6299" spans="2:7" ht="15" hidden="1" x14ac:dyDescent="0.25">
      <c r="B6299" s="4">
        <v>584632651</v>
      </c>
      <c r="C6299" s="4" t="s">
        <v>269</v>
      </c>
      <c r="D6299" s="4">
        <v>922</v>
      </c>
      <c r="E6299" s="4">
        <v>57</v>
      </c>
      <c r="F6299">
        <v>5</v>
      </c>
      <c r="G6299">
        <f t="shared" si="98"/>
        <v>512</v>
      </c>
    </row>
    <row r="6300" spans="2:7" ht="15" hidden="1" x14ac:dyDescent="0.25">
      <c r="B6300" s="4">
        <v>584632652</v>
      </c>
      <c r="C6300" s="4" t="s">
        <v>269</v>
      </c>
      <c r="D6300" s="4">
        <v>923</v>
      </c>
      <c r="E6300" s="4">
        <v>57</v>
      </c>
      <c r="F6300">
        <v>5</v>
      </c>
      <c r="G6300">
        <f t="shared" si="98"/>
        <v>512</v>
      </c>
    </row>
    <row r="6301" spans="2:7" ht="15" hidden="1" x14ac:dyDescent="0.25">
      <c r="B6301" s="4">
        <v>584632653</v>
      </c>
      <c r="C6301" s="4" t="s">
        <v>269</v>
      </c>
      <c r="D6301" s="4">
        <v>924</v>
      </c>
      <c r="E6301" s="4">
        <v>57</v>
      </c>
      <c r="F6301">
        <v>5</v>
      </c>
      <c r="G6301">
        <f t="shared" si="98"/>
        <v>512</v>
      </c>
    </row>
    <row r="6302" spans="2:7" ht="15" hidden="1" x14ac:dyDescent="0.25">
      <c r="B6302" s="4">
        <v>584632654</v>
      </c>
      <c r="C6302" s="4" t="s">
        <v>269</v>
      </c>
      <c r="D6302" s="4">
        <v>925</v>
      </c>
      <c r="E6302" s="4">
        <v>57</v>
      </c>
      <c r="F6302">
        <v>5</v>
      </c>
      <c r="G6302">
        <f t="shared" si="98"/>
        <v>512</v>
      </c>
    </row>
    <row r="6303" spans="2:7" ht="15" hidden="1" x14ac:dyDescent="0.25">
      <c r="B6303" s="4">
        <v>584632655</v>
      </c>
      <c r="C6303" s="4" t="s">
        <v>269</v>
      </c>
      <c r="D6303" s="4">
        <v>926</v>
      </c>
      <c r="E6303" s="4">
        <v>57</v>
      </c>
      <c r="F6303">
        <v>5</v>
      </c>
      <c r="G6303">
        <f t="shared" si="98"/>
        <v>512</v>
      </c>
    </row>
    <row r="6304" spans="2:7" ht="15" hidden="1" x14ac:dyDescent="0.25">
      <c r="B6304" s="4">
        <v>584632656</v>
      </c>
      <c r="C6304" s="4" t="s">
        <v>269</v>
      </c>
      <c r="D6304" s="4">
        <v>927</v>
      </c>
      <c r="E6304" s="4">
        <v>57</v>
      </c>
      <c r="F6304">
        <v>5</v>
      </c>
      <c r="G6304">
        <f t="shared" si="98"/>
        <v>512</v>
      </c>
    </row>
    <row r="6305" spans="2:7" ht="15" hidden="1" x14ac:dyDescent="0.25">
      <c r="B6305" s="4">
        <v>584632657</v>
      </c>
      <c r="C6305" s="4" t="s">
        <v>269</v>
      </c>
      <c r="D6305" s="4">
        <v>928</v>
      </c>
      <c r="E6305" s="4">
        <v>57</v>
      </c>
      <c r="F6305">
        <v>5</v>
      </c>
      <c r="G6305">
        <f t="shared" si="98"/>
        <v>512</v>
      </c>
    </row>
    <row r="6306" spans="2:7" ht="15" hidden="1" x14ac:dyDescent="0.25">
      <c r="B6306" s="4">
        <v>584632658</v>
      </c>
      <c r="C6306" s="4" t="s">
        <v>269</v>
      </c>
      <c r="D6306" s="4">
        <v>929</v>
      </c>
      <c r="E6306" s="4">
        <v>57</v>
      </c>
      <c r="F6306">
        <v>5</v>
      </c>
      <c r="G6306">
        <f t="shared" si="98"/>
        <v>512</v>
      </c>
    </row>
    <row r="6307" spans="2:7" ht="15" hidden="1" x14ac:dyDescent="0.25">
      <c r="B6307" s="4">
        <v>584632658</v>
      </c>
      <c r="C6307" s="4" t="s">
        <v>272</v>
      </c>
      <c r="D6307" s="4">
        <v>81</v>
      </c>
      <c r="E6307" s="4">
        <v>209</v>
      </c>
      <c r="F6307">
        <v>5</v>
      </c>
      <c r="G6307">
        <f t="shared" si="98"/>
        <v>1728</v>
      </c>
    </row>
    <row r="6308" spans="2:7" ht="15" hidden="1" x14ac:dyDescent="0.25">
      <c r="B6308" s="4">
        <v>584632659</v>
      </c>
      <c r="C6308" s="4" t="s">
        <v>269</v>
      </c>
      <c r="D6308" s="4">
        <v>930</v>
      </c>
      <c r="E6308" s="4">
        <v>57</v>
      </c>
      <c r="F6308">
        <v>5</v>
      </c>
      <c r="G6308">
        <f t="shared" si="98"/>
        <v>512</v>
      </c>
    </row>
    <row r="6309" spans="2:7" ht="15" hidden="1" x14ac:dyDescent="0.25">
      <c r="B6309" s="4">
        <v>584632660</v>
      </c>
      <c r="C6309" s="4" t="s">
        <v>269</v>
      </c>
      <c r="D6309" s="4">
        <v>931</v>
      </c>
      <c r="E6309" s="4">
        <v>57</v>
      </c>
      <c r="F6309">
        <v>5</v>
      </c>
      <c r="G6309">
        <f t="shared" si="98"/>
        <v>512</v>
      </c>
    </row>
    <row r="6310" spans="2:7" ht="15" hidden="1" x14ac:dyDescent="0.25">
      <c r="B6310" s="4">
        <v>584632661</v>
      </c>
      <c r="C6310" s="4" t="s">
        <v>269</v>
      </c>
      <c r="D6310" s="4">
        <v>932</v>
      </c>
      <c r="E6310" s="4">
        <v>57</v>
      </c>
      <c r="F6310">
        <v>5</v>
      </c>
      <c r="G6310">
        <f t="shared" si="98"/>
        <v>512</v>
      </c>
    </row>
    <row r="6311" spans="2:7" ht="15" hidden="1" x14ac:dyDescent="0.25">
      <c r="B6311" s="4">
        <v>584632662</v>
      </c>
      <c r="C6311" s="4" t="s">
        <v>269</v>
      </c>
      <c r="D6311" s="4">
        <v>933</v>
      </c>
      <c r="E6311" s="4">
        <v>57</v>
      </c>
      <c r="F6311">
        <v>5</v>
      </c>
      <c r="G6311">
        <f t="shared" si="98"/>
        <v>512</v>
      </c>
    </row>
    <row r="6312" spans="2:7" ht="15" hidden="1" x14ac:dyDescent="0.25">
      <c r="B6312" s="4">
        <v>584632663</v>
      </c>
      <c r="C6312" s="4" t="s">
        <v>269</v>
      </c>
      <c r="D6312" s="4">
        <v>934</v>
      </c>
      <c r="E6312" s="4">
        <v>57</v>
      </c>
      <c r="F6312">
        <v>5</v>
      </c>
      <c r="G6312">
        <f t="shared" si="98"/>
        <v>512</v>
      </c>
    </row>
    <row r="6313" spans="2:7" ht="15" hidden="1" x14ac:dyDescent="0.25">
      <c r="B6313" s="4">
        <v>584632664</v>
      </c>
      <c r="C6313" s="4" t="s">
        <v>269</v>
      </c>
      <c r="D6313" s="4">
        <v>935</v>
      </c>
      <c r="E6313" s="4">
        <v>57</v>
      </c>
      <c r="F6313">
        <v>5</v>
      </c>
      <c r="G6313">
        <f t="shared" si="98"/>
        <v>512</v>
      </c>
    </row>
    <row r="6314" spans="2:7" ht="15" hidden="1" x14ac:dyDescent="0.25">
      <c r="B6314" s="4">
        <v>584632665</v>
      </c>
      <c r="C6314" s="4" t="s">
        <v>269</v>
      </c>
      <c r="D6314" s="4">
        <v>936</v>
      </c>
      <c r="E6314" s="4">
        <v>57</v>
      </c>
      <c r="F6314">
        <v>5</v>
      </c>
      <c r="G6314">
        <f t="shared" si="98"/>
        <v>512</v>
      </c>
    </row>
    <row r="6315" spans="2:7" ht="15" hidden="1" x14ac:dyDescent="0.25">
      <c r="B6315" s="4">
        <v>584632666</v>
      </c>
      <c r="C6315" s="4" t="s">
        <v>269</v>
      </c>
      <c r="D6315" s="4">
        <v>937</v>
      </c>
      <c r="E6315" s="4">
        <v>57</v>
      </c>
      <c r="F6315">
        <v>5</v>
      </c>
      <c r="G6315">
        <f t="shared" si="98"/>
        <v>512</v>
      </c>
    </row>
    <row r="6316" spans="2:7" ht="15" hidden="1" x14ac:dyDescent="0.25">
      <c r="B6316" s="4">
        <v>584632667</v>
      </c>
      <c r="C6316" s="4" t="s">
        <v>269</v>
      </c>
      <c r="D6316" s="4">
        <v>938</v>
      </c>
      <c r="E6316" s="4">
        <v>57</v>
      </c>
      <c r="F6316">
        <v>5</v>
      </c>
      <c r="G6316">
        <f t="shared" si="98"/>
        <v>512</v>
      </c>
    </row>
    <row r="6317" spans="2:7" ht="15" hidden="1" x14ac:dyDescent="0.25">
      <c r="B6317" s="4">
        <v>584632668</v>
      </c>
      <c r="C6317" s="4" t="s">
        <v>269</v>
      </c>
      <c r="D6317" s="4">
        <v>939</v>
      </c>
      <c r="E6317" s="4">
        <v>57</v>
      </c>
      <c r="F6317">
        <v>5</v>
      </c>
      <c r="G6317">
        <f t="shared" si="98"/>
        <v>512</v>
      </c>
    </row>
    <row r="6318" spans="2:7" ht="15" hidden="1" x14ac:dyDescent="0.25">
      <c r="B6318" s="4">
        <v>584632668</v>
      </c>
      <c r="C6318" s="4" t="s">
        <v>272</v>
      </c>
      <c r="D6318" s="4">
        <v>82</v>
      </c>
      <c r="E6318" s="4">
        <v>209</v>
      </c>
      <c r="F6318">
        <v>5</v>
      </c>
      <c r="G6318">
        <f t="shared" si="98"/>
        <v>1728</v>
      </c>
    </row>
    <row r="6319" spans="2:7" ht="15" hidden="1" x14ac:dyDescent="0.25">
      <c r="B6319" s="4">
        <v>584632669</v>
      </c>
      <c r="C6319" s="4" t="s">
        <v>269</v>
      </c>
      <c r="D6319" s="4">
        <v>940</v>
      </c>
      <c r="E6319" s="4">
        <v>57</v>
      </c>
      <c r="F6319">
        <v>5</v>
      </c>
      <c r="G6319">
        <f t="shared" si="98"/>
        <v>512</v>
      </c>
    </row>
    <row r="6320" spans="2:7" ht="15" hidden="1" x14ac:dyDescent="0.25">
      <c r="B6320" s="4">
        <v>584632670</v>
      </c>
      <c r="C6320" s="4" t="s">
        <v>269</v>
      </c>
      <c r="D6320" s="4">
        <v>941</v>
      </c>
      <c r="E6320" s="4">
        <v>57</v>
      </c>
      <c r="F6320">
        <v>5</v>
      </c>
      <c r="G6320">
        <f t="shared" si="98"/>
        <v>512</v>
      </c>
    </row>
    <row r="6321" spans="2:7" ht="15" hidden="1" x14ac:dyDescent="0.25">
      <c r="B6321" s="4">
        <v>584632671</v>
      </c>
      <c r="C6321" s="4" t="s">
        <v>269</v>
      </c>
      <c r="D6321" s="4">
        <v>942</v>
      </c>
      <c r="E6321" s="4">
        <v>57</v>
      </c>
      <c r="F6321">
        <v>5</v>
      </c>
      <c r="G6321">
        <f t="shared" si="98"/>
        <v>512</v>
      </c>
    </row>
    <row r="6322" spans="2:7" ht="15" hidden="1" x14ac:dyDescent="0.25">
      <c r="B6322" s="4">
        <v>584632672</v>
      </c>
      <c r="C6322" s="4" t="s">
        <v>269</v>
      </c>
      <c r="D6322" s="4">
        <v>943</v>
      </c>
      <c r="E6322" s="4">
        <v>57</v>
      </c>
      <c r="F6322">
        <v>5</v>
      </c>
      <c r="G6322">
        <f t="shared" si="98"/>
        <v>512</v>
      </c>
    </row>
    <row r="6323" spans="2:7" ht="15" hidden="1" x14ac:dyDescent="0.25">
      <c r="B6323" s="4">
        <v>584632673</v>
      </c>
      <c r="C6323" s="4" t="s">
        <v>269</v>
      </c>
      <c r="D6323" s="4">
        <v>944</v>
      </c>
      <c r="E6323" s="4">
        <v>57</v>
      </c>
      <c r="F6323">
        <v>5</v>
      </c>
      <c r="G6323">
        <f t="shared" si="98"/>
        <v>512</v>
      </c>
    </row>
    <row r="6324" spans="2:7" ht="15" hidden="1" x14ac:dyDescent="0.25">
      <c r="B6324" s="4">
        <v>584632674</v>
      </c>
      <c r="C6324" s="4" t="s">
        <v>269</v>
      </c>
      <c r="D6324" s="4">
        <v>945</v>
      </c>
      <c r="E6324" s="4">
        <v>57</v>
      </c>
      <c r="F6324">
        <v>5</v>
      </c>
      <c r="G6324">
        <f t="shared" si="98"/>
        <v>512</v>
      </c>
    </row>
    <row r="6325" spans="2:7" ht="15" hidden="1" x14ac:dyDescent="0.25">
      <c r="B6325" s="4">
        <v>584632675</v>
      </c>
      <c r="C6325" s="4" t="s">
        <v>269</v>
      </c>
      <c r="D6325" s="4">
        <v>946</v>
      </c>
      <c r="E6325" s="4">
        <v>57</v>
      </c>
      <c r="F6325">
        <v>5</v>
      </c>
      <c r="G6325">
        <f t="shared" si="98"/>
        <v>512</v>
      </c>
    </row>
    <row r="6326" spans="2:7" ht="15" hidden="1" x14ac:dyDescent="0.25">
      <c r="B6326" s="4">
        <v>584632676</v>
      </c>
      <c r="C6326" s="4" t="s">
        <v>269</v>
      </c>
      <c r="D6326" s="4">
        <v>947</v>
      </c>
      <c r="E6326" s="4">
        <v>57</v>
      </c>
      <c r="F6326">
        <v>5</v>
      </c>
      <c r="G6326">
        <f t="shared" si="98"/>
        <v>512</v>
      </c>
    </row>
    <row r="6327" spans="2:7" ht="15" hidden="1" x14ac:dyDescent="0.25">
      <c r="B6327" s="4">
        <v>584632677</v>
      </c>
      <c r="C6327" s="4" t="s">
        <v>269</v>
      </c>
      <c r="D6327" s="4">
        <v>948</v>
      </c>
      <c r="E6327" s="4">
        <v>57</v>
      </c>
      <c r="F6327">
        <v>5</v>
      </c>
      <c r="G6327">
        <f t="shared" si="98"/>
        <v>512</v>
      </c>
    </row>
    <row r="6328" spans="2:7" ht="15" hidden="1" x14ac:dyDescent="0.25">
      <c r="B6328" s="4">
        <v>584632678</v>
      </c>
      <c r="C6328" s="4" t="s">
        <v>269</v>
      </c>
      <c r="D6328" s="4">
        <v>949</v>
      </c>
      <c r="E6328" s="4">
        <v>57</v>
      </c>
      <c r="F6328">
        <v>5</v>
      </c>
      <c r="G6328">
        <f t="shared" si="98"/>
        <v>512</v>
      </c>
    </row>
    <row r="6329" spans="2:7" ht="15" hidden="1" x14ac:dyDescent="0.25">
      <c r="B6329" s="4">
        <v>584632678</v>
      </c>
      <c r="C6329" s="4" t="s">
        <v>272</v>
      </c>
      <c r="D6329" s="4">
        <v>83</v>
      </c>
      <c r="E6329" s="4">
        <v>211</v>
      </c>
      <c r="F6329">
        <v>5</v>
      </c>
      <c r="G6329">
        <f t="shared" si="98"/>
        <v>1744</v>
      </c>
    </row>
    <row r="6330" spans="2:7" ht="15" hidden="1" x14ac:dyDescent="0.25">
      <c r="B6330" s="4">
        <v>584632679</v>
      </c>
      <c r="C6330" s="4" t="s">
        <v>269</v>
      </c>
      <c r="D6330" s="4">
        <v>950</v>
      </c>
      <c r="E6330" s="4">
        <v>57</v>
      </c>
      <c r="G6330">
        <f t="shared" si="98"/>
        <v>512</v>
      </c>
    </row>
    <row r="6331" spans="2:7" ht="15" hidden="1" x14ac:dyDescent="0.25">
      <c r="B6331" s="4">
        <v>584632680</v>
      </c>
      <c r="C6331" s="4" t="s">
        <v>269</v>
      </c>
      <c r="D6331" s="4">
        <v>951</v>
      </c>
      <c r="E6331" s="4">
        <v>57</v>
      </c>
      <c r="G6331">
        <f t="shared" si="98"/>
        <v>512</v>
      </c>
    </row>
    <row r="6332" spans="2:7" ht="15" hidden="1" x14ac:dyDescent="0.25">
      <c r="B6332" s="4">
        <v>584632681</v>
      </c>
      <c r="C6332" s="4" t="s">
        <v>269</v>
      </c>
      <c r="D6332" s="4">
        <v>952</v>
      </c>
      <c r="E6332" s="4">
        <v>57</v>
      </c>
      <c r="G6332">
        <f t="shared" si="98"/>
        <v>512</v>
      </c>
    </row>
    <row r="6333" spans="2:7" ht="15" hidden="1" x14ac:dyDescent="0.25">
      <c r="B6333" s="4">
        <v>584632682</v>
      </c>
      <c r="C6333" s="4" t="s">
        <v>269</v>
      </c>
      <c r="D6333" s="4">
        <v>953</v>
      </c>
      <c r="E6333" s="4">
        <v>57</v>
      </c>
      <c r="G6333">
        <f t="shared" si="98"/>
        <v>512</v>
      </c>
    </row>
    <row r="6334" spans="2:7" ht="15" hidden="1" x14ac:dyDescent="0.25">
      <c r="B6334" s="4">
        <v>584632683</v>
      </c>
      <c r="C6334" s="4" t="s">
        <v>269</v>
      </c>
      <c r="D6334" s="4">
        <v>954</v>
      </c>
      <c r="E6334" s="4">
        <v>57</v>
      </c>
      <c r="G6334">
        <f t="shared" si="98"/>
        <v>512</v>
      </c>
    </row>
    <row r="6335" spans="2:7" ht="15" hidden="1" x14ac:dyDescent="0.25">
      <c r="B6335" s="4">
        <v>584632684</v>
      </c>
      <c r="C6335" s="4" t="s">
        <v>269</v>
      </c>
      <c r="D6335" s="4">
        <v>955</v>
      </c>
      <c r="E6335" s="4">
        <v>57</v>
      </c>
      <c r="G6335">
        <f t="shared" si="98"/>
        <v>512</v>
      </c>
    </row>
    <row r="6336" spans="2:7" ht="15" hidden="1" x14ac:dyDescent="0.25">
      <c r="B6336" s="4">
        <v>584632685</v>
      </c>
      <c r="C6336" s="4" t="s">
        <v>269</v>
      </c>
      <c r="D6336" s="4">
        <v>956</v>
      </c>
      <c r="E6336" s="4">
        <v>57</v>
      </c>
      <c r="G6336">
        <f t="shared" si="98"/>
        <v>512</v>
      </c>
    </row>
    <row r="6337" spans="2:7" ht="15" hidden="1" x14ac:dyDescent="0.25">
      <c r="B6337" s="4">
        <v>584632686</v>
      </c>
      <c r="C6337" s="4" t="s">
        <v>269</v>
      </c>
      <c r="D6337" s="4">
        <v>957</v>
      </c>
      <c r="E6337" s="4">
        <v>57</v>
      </c>
      <c r="G6337">
        <f t="shared" si="98"/>
        <v>512</v>
      </c>
    </row>
    <row r="6338" spans="2:7" ht="15" hidden="1" x14ac:dyDescent="0.25">
      <c r="B6338" s="4">
        <v>584632687</v>
      </c>
      <c r="C6338" s="4" t="s">
        <v>269</v>
      </c>
      <c r="D6338" s="4">
        <v>958</v>
      </c>
      <c r="E6338" s="4">
        <v>57</v>
      </c>
      <c r="G6338">
        <f t="shared" si="98"/>
        <v>512</v>
      </c>
    </row>
    <row r="6339" spans="2:7" ht="15" hidden="1" x14ac:dyDescent="0.25">
      <c r="B6339" s="4">
        <v>584632688</v>
      </c>
      <c r="C6339" s="4" t="s">
        <v>269</v>
      </c>
      <c r="D6339" s="4">
        <v>959</v>
      </c>
      <c r="E6339" s="4">
        <v>57</v>
      </c>
      <c r="G6339">
        <f t="shared" si="98"/>
        <v>512</v>
      </c>
    </row>
    <row r="6340" spans="2:7" ht="15" hidden="1" x14ac:dyDescent="0.25">
      <c r="B6340" s="4">
        <v>584632688</v>
      </c>
      <c r="C6340" s="4" t="s">
        <v>272</v>
      </c>
      <c r="D6340" s="4">
        <v>84</v>
      </c>
      <c r="E6340" s="4">
        <v>209</v>
      </c>
      <c r="G6340">
        <f t="shared" ref="G6340:G6403" si="99">(E6340+7)*8</f>
        <v>1728</v>
      </c>
    </row>
    <row r="6341" spans="2:7" ht="15" hidden="1" x14ac:dyDescent="0.25">
      <c r="B6341" s="4">
        <v>584632689</v>
      </c>
      <c r="C6341" s="4" t="s">
        <v>269</v>
      </c>
      <c r="D6341" s="4">
        <v>960</v>
      </c>
      <c r="E6341" s="4">
        <v>57</v>
      </c>
      <c r="G6341">
        <f t="shared" si="99"/>
        <v>512</v>
      </c>
    </row>
    <row r="6342" spans="2:7" ht="15" hidden="1" x14ac:dyDescent="0.25">
      <c r="B6342" s="4">
        <v>584632690</v>
      </c>
      <c r="C6342" s="4" t="s">
        <v>269</v>
      </c>
      <c r="D6342" s="4">
        <v>961</v>
      </c>
      <c r="E6342" s="4">
        <v>57</v>
      </c>
      <c r="G6342">
        <f t="shared" si="99"/>
        <v>512</v>
      </c>
    </row>
    <row r="6343" spans="2:7" ht="15" hidden="1" x14ac:dyDescent="0.25">
      <c r="B6343" s="4">
        <v>584632691</v>
      </c>
      <c r="C6343" s="4" t="s">
        <v>269</v>
      </c>
      <c r="D6343" s="4">
        <v>962</v>
      </c>
      <c r="E6343" s="4">
        <v>57</v>
      </c>
      <c r="G6343">
        <f t="shared" si="99"/>
        <v>512</v>
      </c>
    </row>
    <row r="6344" spans="2:7" ht="15" hidden="1" x14ac:dyDescent="0.25">
      <c r="B6344" s="4">
        <v>584632692</v>
      </c>
      <c r="C6344" s="4" t="s">
        <v>269</v>
      </c>
      <c r="D6344" s="4">
        <v>963</v>
      </c>
      <c r="E6344" s="4">
        <v>57</v>
      </c>
      <c r="G6344">
        <f t="shared" si="99"/>
        <v>512</v>
      </c>
    </row>
    <row r="6345" spans="2:7" ht="15" hidden="1" x14ac:dyDescent="0.25">
      <c r="B6345" s="4">
        <v>584632693</v>
      </c>
      <c r="C6345" s="4" t="s">
        <v>269</v>
      </c>
      <c r="D6345" s="4">
        <v>964</v>
      </c>
      <c r="E6345" s="4">
        <v>57</v>
      </c>
      <c r="G6345">
        <f t="shared" si="99"/>
        <v>512</v>
      </c>
    </row>
    <row r="6346" spans="2:7" ht="15" hidden="1" x14ac:dyDescent="0.25">
      <c r="B6346" s="4">
        <v>584632694</v>
      </c>
      <c r="C6346" s="4" t="s">
        <v>269</v>
      </c>
      <c r="D6346" s="4">
        <v>965</v>
      </c>
      <c r="E6346" s="4">
        <v>57</v>
      </c>
      <c r="G6346">
        <f t="shared" si="99"/>
        <v>512</v>
      </c>
    </row>
    <row r="6347" spans="2:7" ht="15" hidden="1" x14ac:dyDescent="0.25">
      <c r="B6347" s="4">
        <v>584632695</v>
      </c>
      <c r="C6347" s="4" t="s">
        <v>269</v>
      </c>
      <c r="D6347" s="4">
        <v>966</v>
      </c>
      <c r="E6347" s="4">
        <v>57</v>
      </c>
      <c r="G6347">
        <f t="shared" si="99"/>
        <v>512</v>
      </c>
    </row>
    <row r="6348" spans="2:7" ht="15" hidden="1" x14ac:dyDescent="0.25">
      <c r="B6348" s="4">
        <v>584632696</v>
      </c>
      <c r="C6348" s="4" t="s">
        <v>269</v>
      </c>
      <c r="D6348" s="4">
        <v>967</v>
      </c>
      <c r="E6348" s="4">
        <v>57</v>
      </c>
      <c r="G6348">
        <f t="shared" si="99"/>
        <v>512</v>
      </c>
    </row>
    <row r="6349" spans="2:7" ht="15" hidden="1" x14ac:dyDescent="0.25">
      <c r="B6349" s="4">
        <v>584632697</v>
      </c>
      <c r="C6349" s="4" t="s">
        <v>269</v>
      </c>
      <c r="D6349" s="4">
        <v>968</v>
      </c>
      <c r="E6349" s="4">
        <v>57</v>
      </c>
      <c r="G6349">
        <f t="shared" si="99"/>
        <v>512</v>
      </c>
    </row>
    <row r="6350" spans="2:7" ht="15" hidden="1" x14ac:dyDescent="0.25">
      <c r="B6350" s="4">
        <v>584632698</v>
      </c>
      <c r="C6350" s="4" t="s">
        <v>269</v>
      </c>
      <c r="D6350" s="4">
        <v>969</v>
      </c>
      <c r="E6350" s="4">
        <v>57</v>
      </c>
      <c r="G6350">
        <f t="shared" si="99"/>
        <v>512</v>
      </c>
    </row>
    <row r="6351" spans="2:7" ht="15" hidden="1" x14ac:dyDescent="0.25">
      <c r="B6351" s="4">
        <v>584632698</v>
      </c>
      <c r="C6351" s="4" t="s">
        <v>272</v>
      </c>
      <c r="D6351" s="4">
        <v>85</v>
      </c>
      <c r="E6351" s="4">
        <v>209</v>
      </c>
      <c r="G6351">
        <f t="shared" si="99"/>
        <v>1728</v>
      </c>
    </row>
    <row r="6352" spans="2:7" ht="15" hidden="1" x14ac:dyDescent="0.25">
      <c r="B6352" s="4">
        <v>584632699</v>
      </c>
      <c r="C6352" s="4" t="s">
        <v>269</v>
      </c>
      <c r="D6352" s="4">
        <v>970</v>
      </c>
      <c r="E6352" s="4">
        <v>57</v>
      </c>
      <c r="G6352">
        <f t="shared" si="99"/>
        <v>512</v>
      </c>
    </row>
    <row r="6353" spans="2:7" ht="15" hidden="1" x14ac:dyDescent="0.25">
      <c r="B6353" s="4">
        <v>584632700</v>
      </c>
      <c r="C6353" s="4" t="s">
        <v>269</v>
      </c>
      <c r="D6353" s="4">
        <v>971</v>
      </c>
      <c r="E6353" s="4">
        <v>57</v>
      </c>
      <c r="G6353">
        <f t="shared" si="99"/>
        <v>512</v>
      </c>
    </row>
    <row r="6354" spans="2:7" ht="15" hidden="1" x14ac:dyDescent="0.25">
      <c r="B6354" s="4">
        <v>584632701</v>
      </c>
      <c r="C6354" s="4" t="s">
        <v>269</v>
      </c>
      <c r="D6354" s="4">
        <v>972</v>
      </c>
      <c r="E6354" s="4">
        <v>57</v>
      </c>
      <c r="G6354">
        <f t="shared" si="99"/>
        <v>512</v>
      </c>
    </row>
    <row r="6355" spans="2:7" ht="15" hidden="1" x14ac:dyDescent="0.25">
      <c r="B6355" s="4">
        <v>584632702</v>
      </c>
      <c r="C6355" s="4" t="s">
        <v>269</v>
      </c>
      <c r="D6355" s="4">
        <v>973</v>
      </c>
      <c r="E6355" s="4">
        <v>57</v>
      </c>
      <c r="G6355">
        <f t="shared" si="99"/>
        <v>512</v>
      </c>
    </row>
    <row r="6356" spans="2:7" ht="15" hidden="1" x14ac:dyDescent="0.25">
      <c r="B6356" s="4">
        <v>584632703</v>
      </c>
      <c r="C6356" s="4" t="s">
        <v>269</v>
      </c>
      <c r="D6356" s="4">
        <v>974</v>
      </c>
      <c r="E6356" s="4">
        <v>57</v>
      </c>
      <c r="G6356">
        <f t="shared" si="99"/>
        <v>512</v>
      </c>
    </row>
    <row r="6357" spans="2:7" ht="15" hidden="1" x14ac:dyDescent="0.25">
      <c r="B6357" s="4">
        <v>584632704</v>
      </c>
      <c r="C6357" s="4" t="s">
        <v>269</v>
      </c>
      <c r="D6357" s="4">
        <v>975</v>
      </c>
      <c r="E6357" s="4">
        <v>57</v>
      </c>
      <c r="G6357">
        <f t="shared" si="99"/>
        <v>512</v>
      </c>
    </row>
    <row r="6358" spans="2:7" ht="15" hidden="1" x14ac:dyDescent="0.25">
      <c r="B6358" s="4">
        <v>584632705</v>
      </c>
      <c r="C6358" s="4" t="s">
        <v>269</v>
      </c>
      <c r="D6358" s="4">
        <v>976</v>
      </c>
      <c r="E6358" s="4">
        <v>57</v>
      </c>
      <c r="G6358">
        <f t="shared" si="99"/>
        <v>512</v>
      </c>
    </row>
    <row r="6359" spans="2:7" ht="15" hidden="1" x14ac:dyDescent="0.25">
      <c r="B6359" s="4">
        <v>584632706</v>
      </c>
      <c r="C6359" s="4" t="s">
        <v>269</v>
      </c>
      <c r="D6359" s="4">
        <v>977</v>
      </c>
      <c r="E6359" s="4">
        <v>57</v>
      </c>
      <c r="G6359">
        <f t="shared" si="99"/>
        <v>512</v>
      </c>
    </row>
    <row r="6360" spans="2:7" ht="15" hidden="1" x14ac:dyDescent="0.25">
      <c r="B6360" s="4">
        <v>584632707</v>
      </c>
      <c r="C6360" s="4" t="s">
        <v>269</v>
      </c>
      <c r="D6360" s="4">
        <v>978</v>
      </c>
      <c r="E6360" s="4">
        <v>57</v>
      </c>
      <c r="G6360">
        <f t="shared" si="99"/>
        <v>512</v>
      </c>
    </row>
    <row r="6361" spans="2:7" ht="15" hidden="1" x14ac:dyDescent="0.25">
      <c r="B6361" s="4">
        <v>584632708</v>
      </c>
      <c r="C6361" s="4" t="s">
        <v>269</v>
      </c>
      <c r="D6361" s="4">
        <v>979</v>
      </c>
      <c r="E6361" s="4">
        <v>57</v>
      </c>
      <c r="G6361">
        <f t="shared" si="99"/>
        <v>512</v>
      </c>
    </row>
    <row r="6362" spans="2:7" ht="15" hidden="1" x14ac:dyDescent="0.25">
      <c r="B6362" s="4">
        <v>584632708</v>
      </c>
      <c r="C6362" s="4" t="s">
        <v>272</v>
      </c>
      <c r="D6362" s="4">
        <v>86</v>
      </c>
      <c r="E6362" s="4">
        <v>211</v>
      </c>
      <c r="G6362">
        <f t="shared" si="99"/>
        <v>1744</v>
      </c>
    </row>
    <row r="6363" spans="2:7" ht="15" hidden="1" x14ac:dyDescent="0.25">
      <c r="B6363" s="4">
        <v>584632709</v>
      </c>
      <c r="C6363" s="4" t="s">
        <v>269</v>
      </c>
      <c r="D6363" s="4">
        <v>980</v>
      </c>
      <c r="E6363" s="4">
        <v>57</v>
      </c>
      <c r="G6363">
        <f t="shared" si="99"/>
        <v>512</v>
      </c>
    </row>
    <row r="6364" spans="2:7" ht="15" hidden="1" x14ac:dyDescent="0.25">
      <c r="B6364" s="4">
        <v>584632710</v>
      </c>
      <c r="C6364" s="4" t="s">
        <v>269</v>
      </c>
      <c r="D6364" s="4">
        <v>981</v>
      </c>
      <c r="E6364" s="4">
        <v>57</v>
      </c>
      <c r="G6364">
        <f t="shared" si="99"/>
        <v>512</v>
      </c>
    </row>
    <row r="6365" spans="2:7" ht="15" hidden="1" x14ac:dyDescent="0.25">
      <c r="B6365" s="4">
        <v>584632711</v>
      </c>
      <c r="C6365" s="4" t="s">
        <v>269</v>
      </c>
      <c r="D6365" s="4">
        <v>982</v>
      </c>
      <c r="E6365" s="4">
        <v>57</v>
      </c>
      <c r="G6365">
        <f t="shared" si="99"/>
        <v>512</v>
      </c>
    </row>
    <row r="6366" spans="2:7" ht="15" hidden="1" x14ac:dyDescent="0.25">
      <c r="B6366" s="4">
        <v>584632712</v>
      </c>
      <c r="C6366" s="4" t="s">
        <v>269</v>
      </c>
      <c r="D6366" s="4">
        <v>983</v>
      </c>
      <c r="E6366" s="4">
        <v>57</v>
      </c>
      <c r="G6366">
        <f t="shared" si="99"/>
        <v>512</v>
      </c>
    </row>
    <row r="6367" spans="2:7" ht="15" hidden="1" x14ac:dyDescent="0.25">
      <c r="B6367" s="4">
        <v>584632713</v>
      </c>
      <c r="C6367" s="4" t="s">
        <v>269</v>
      </c>
      <c r="D6367" s="4">
        <v>984</v>
      </c>
      <c r="E6367" s="4">
        <v>57</v>
      </c>
      <c r="G6367">
        <f t="shared" si="99"/>
        <v>512</v>
      </c>
    </row>
    <row r="6368" spans="2:7" ht="15" hidden="1" x14ac:dyDescent="0.25">
      <c r="B6368" s="4">
        <v>584632714</v>
      </c>
      <c r="C6368" s="4" t="s">
        <v>269</v>
      </c>
      <c r="D6368" s="4">
        <v>985</v>
      </c>
      <c r="E6368" s="4">
        <v>57</v>
      </c>
      <c r="G6368">
        <f t="shared" si="99"/>
        <v>512</v>
      </c>
    </row>
    <row r="6369" spans="2:7" ht="15" hidden="1" x14ac:dyDescent="0.25">
      <c r="B6369" s="4">
        <v>584632715</v>
      </c>
      <c r="C6369" s="4" t="s">
        <v>269</v>
      </c>
      <c r="D6369" s="4">
        <v>986</v>
      </c>
      <c r="E6369" s="4">
        <v>57</v>
      </c>
      <c r="G6369">
        <f t="shared" si="99"/>
        <v>512</v>
      </c>
    </row>
    <row r="6370" spans="2:7" ht="15" hidden="1" x14ac:dyDescent="0.25">
      <c r="B6370" s="4">
        <v>584632716</v>
      </c>
      <c r="C6370" s="4" t="s">
        <v>269</v>
      </c>
      <c r="D6370" s="4">
        <v>987</v>
      </c>
      <c r="E6370" s="4">
        <v>57</v>
      </c>
      <c r="G6370">
        <f t="shared" si="99"/>
        <v>512</v>
      </c>
    </row>
    <row r="6371" spans="2:7" ht="15" hidden="1" x14ac:dyDescent="0.25">
      <c r="B6371" s="4">
        <v>584632717</v>
      </c>
      <c r="C6371" s="4" t="s">
        <v>269</v>
      </c>
      <c r="D6371" s="4">
        <v>988</v>
      </c>
      <c r="E6371" s="4">
        <v>57</v>
      </c>
      <c r="G6371">
        <f t="shared" si="99"/>
        <v>512</v>
      </c>
    </row>
    <row r="6372" spans="2:7" ht="15" hidden="1" x14ac:dyDescent="0.25">
      <c r="B6372" s="4">
        <v>584632718</v>
      </c>
      <c r="C6372" s="4" t="s">
        <v>269</v>
      </c>
      <c r="D6372" s="4">
        <v>989</v>
      </c>
      <c r="E6372" s="4">
        <v>57</v>
      </c>
      <c r="G6372">
        <f t="shared" si="99"/>
        <v>512</v>
      </c>
    </row>
    <row r="6373" spans="2:7" ht="15" hidden="1" x14ac:dyDescent="0.25">
      <c r="B6373" s="4">
        <v>584632718</v>
      </c>
      <c r="C6373" s="4" t="s">
        <v>272</v>
      </c>
      <c r="D6373" s="4">
        <v>87</v>
      </c>
      <c r="E6373" s="4">
        <v>211</v>
      </c>
      <c r="G6373">
        <f t="shared" si="99"/>
        <v>1744</v>
      </c>
    </row>
    <row r="6374" spans="2:7" ht="15" hidden="1" x14ac:dyDescent="0.25">
      <c r="B6374" s="4">
        <v>584632719</v>
      </c>
      <c r="C6374" s="4" t="s">
        <v>269</v>
      </c>
      <c r="D6374" s="4">
        <v>990</v>
      </c>
      <c r="E6374" s="4">
        <v>57</v>
      </c>
      <c r="G6374">
        <f t="shared" si="99"/>
        <v>512</v>
      </c>
    </row>
    <row r="6375" spans="2:7" ht="15" hidden="1" x14ac:dyDescent="0.25">
      <c r="B6375" s="4">
        <v>584632720</v>
      </c>
      <c r="C6375" s="4" t="s">
        <v>269</v>
      </c>
      <c r="D6375" s="4">
        <v>991</v>
      </c>
      <c r="E6375" s="4">
        <v>57</v>
      </c>
      <c r="G6375">
        <f t="shared" si="99"/>
        <v>512</v>
      </c>
    </row>
    <row r="6376" spans="2:7" ht="15" hidden="1" x14ac:dyDescent="0.25">
      <c r="B6376" s="4">
        <v>584632721</v>
      </c>
      <c r="C6376" s="4" t="s">
        <v>269</v>
      </c>
      <c r="D6376" s="4">
        <v>992</v>
      </c>
      <c r="E6376" s="4">
        <v>57</v>
      </c>
      <c r="G6376">
        <f t="shared" si="99"/>
        <v>512</v>
      </c>
    </row>
    <row r="6377" spans="2:7" ht="15" hidden="1" x14ac:dyDescent="0.25">
      <c r="B6377" s="4">
        <v>584632722</v>
      </c>
      <c r="C6377" s="4" t="s">
        <v>269</v>
      </c>
      <c r="D6377" s="4">
        <v>993</v>
      </c>
      <c r="E6377" s="4">
        <v>57</v>
      </c>
      <c r="G6377">
        <f t="shared" si="99"/>
        <v>512</v>
      </c>
    </row>
    <row r="6378" spans="2:7" ht="15" hidden="1" x14ac:dyDescent="0.25">
      <c r="B6378" s="4">
        <v>584632723</v>
      </c>
      <c r="C6378" s="4" t="s">
        <v>269</v>
      </c>
      <c r="D6378" s="4">
        <v>994</v>
      </c>
      <c r="E6378" s="4">
        <v>57</v>
      </c>
      <c r="G6378">
        <f t="shared" si="99"/>
        <v>512</v>
      </c>
    </row>
    <row r="6379" spans="2:7" ht="15" hidden="1" x14ac:dyDescent="0.25">
      <c r="B6379" s="4">
        <v>584632724</v>
      </c>
      <c r="C6379" s="4" t="s">
        <v>269</v>
      </c>
      <c r="D6379" s="4">
        <v>995</v>
      </c>
      <c r="E6379" s="4">
        <v>57</v>
      </c>
      <c r="G6379">
        <f t="shared" si="99"/>
        <v>512</v>
      </c>
    </row>
    <row r="6380" spans="2:7" ht="15" hidden="1" x14ac:dyDescent="0.25">
      <c r="B6380" s="4">
        <v>584632725</v>
      </c>
      <c r="C6380" s="4" t="s">
        <v>269</v>
      </c>
      <c r="D6380" s="4">
        <v>996</v>
      </c>
      <c r="E6380" s="4">
        <v>57</v>
      </c>
      <c r="G6380">
        <f t="shared" si="99"/>
        <v>512</v>
      </c>
    </row>
    <row r="6381" spans="2:7" ht="15" hidden="1" x14ac:dyDescent="0.25">
      <c r="B6381" s="4">
        <v>584632726</v>
      </c>
      <c r="C6381" s="4" t="s">
        <v>269</v>
      </c>
      <c r="D6381" s="4">
        <v>997</v>
      </c>
      <c r="E6381" s="4">
        <v>57</v>
      </c>
      <c r="G6381">
        <f t="shared" si="99"/>
        <v>512</v>
      </c>
    </row>
    <row r="6382" spans="2:7" ht="15" hidden="1" x14ac:dyDescent="0.25">
      <c r="B6382" s="4">
        <v>584632727</v>
      </c>
      <c r="C6382" s="4" t="s">
        <v>269</v>
      </c>
      <c r="D6382" s="4">
        <v>998</v>
      </c>
      <c r="E6382" s="4">
        <v>57</v>
      </c>
      <c r="G6382">
        <f t="shared" si="99"/>
        <v>512</v>
      </c>
    </row>
    <row r="6383" spans="2:7" ht="15" hidden="1" x14ac:dyDescent="0.25">
      <c r="B6383" s="4">
        <v>584632728</v>
      </c>
      <c r="C6383" s="4" t="s">
        <v>269</v>
      </c>
      <c r="D6383" s="4">
        <v>999</v>
      </c>
      <c r="E6383" s="4">
        <v>57</v>
      </c>
      <c r="G6383">
        <f t="shared" si="99"/>
        <v>512</v>
      </c>
    </row>
    <row r="6384" spans="2:7" ht="15" hidden="1" x14ac:dyDescent="0.25">
      <c r="B6384" s="4">
        <v>584632728</v>
      </c>
      <c r="C6384" s="4" t="s">
        <v>272</v>
      </c>
      <c r="D6384" s="4">
        <v>88</v>
      </c>
      <c r="E6384" s="4">
        <v>209</v>
      </c>
      <c r="G6384">
        <f t="shared" si="99"/>
        <v>1728</v>
      </c>
    </row>
    <row r="6385" spans="2:7" ht="15" hidden="1" x14ac:dyDescent="0.25">
      <c r="B6385" s="4">
        <v>584632729</v>
      </c>
      <c r="C6385" s="4" t="s">
        <v>269</v>
      </c>
      <c r="D6385" s="4">
        <v>1000</v>
      </c>
      <c r="E6385" s="4">
        <v>57</v>
      </c>
      <c r="G6385">
        <f t="shared" si="99"/>
        <v>512</v>
      </c>
    </row>
    <row r="6386" spans="2:7" ht="15" hidden="1" x14ac:dyDescent="0.25">
      <c r="B6386" s="4">
        <v>584632730</v>
      </c>
      <c r="C6386" s="4" t="s">
        <v>268</v>
      </c>
      <c r="D6386" s="4">
        <v>242</v>
      </c>
      <c r="E6386" s="4">
        <v>6</v>
      </c>
      <c r="G6386">
        <f t="shared" si="99"/>
        <v>104</v>
      </c>
    </row>
    <row r="6387" spans="2:7" ht="15" hidden="1" x14ac:dyDescent="0.25">
      <c r="B6387" s="4">
        <v>584632730</v>
      </c>
      <c r="C6387" s="4" t="s">
        <v>268</v>
      </c>
      <c r="D6387" s="4">
        <v>242</v>
      </c>
      <c r="E6387" s="4">
        <v>6</v>
      </c>
      <c r="G6387">
        <f t="shared" si="99"/>
        <v>104</v>
      </c>
    </row>
    <row r="6388" spans="2:7" ht="15" hidden="1" x14ac:dyDescent="0.25">
      <c r="B6388" s="4">
        <v>584632730</v>
      </c>
      <c r="C6388" s="4" t="s">
        <v>268</v>
      </c>
      <c r="D6388" s="4">
        <v>243</v>
      </c>
      <c r="E6388" s="4">
        <v>9</v>
      </c>
      <c r="G6388">
        <f t="shared" si="99"/>
        <v>128</v>
      </c>
    </row>
    <row r="6389" spans="2:7" ht="15" hidden="1" x14ac:dyDescent="0.25">
      <c r="B6389" s="4">
        <v>584632730</v>
      </c>
      <c r="C6389" s="4" t="s">
        <v>268</v>
      </c>
      <c r="D6389" s="4">
        <v>243</v>
      </c>
      <c r="E6389" s="4">
        <v>9</v>
      </c>
      <c r="G6389">
        <f t="shared" si="99"/>
        <v>128</v>
      </c>
    </row>
    <row r="6390" spans="2:7" ht="15" hidden="1" x14ac:dyDescent="0.25">
      <c r="B6390" s="4">
        <v>584632730</v>
      </c>
      <c r="C6390" s="4" t="s">
        <v>268</v>
      </c>
      <c r="D6390" s="4">
        <v>244</v>
      </c>
      <c r="E6390" s="4">
        <v>7</v>
      </c>
      <c r="G6390">
        <f t="shared" si="99"/>
        <v>112</v>
      </c>
    </row>
    <row r="6391" spans="2:7" ht="15" hidden="1" x14ac:dyDescent="0.25">
      <c r="B6391" s="4">
        <v>584632730</v>
      </c>
      <c r="C6391" s="4" t="s">
        <v>268</v>
      </c>
      <c r="D6391" s="4">
        <v>244</v>
      </c>
      <c r="E6391" s="4">
        <v>7</v>
      </c>
      <c r="G6391">
        <f t="shared" si="99"/>
        <v>112</v>
      </c>
    </row>
    <row r="6392" spans="2:7" ht="15" hidden="1" x14ac:dyDescent="0.25">
      <c r="B6392" s="4">
        <v>584632730</v>
      </c>
      <c r="C6392" s="4" t="s">
        <v>268</v>
      </c>
      <c r="D6392" s="4">
        <v>245</v>
      </c>
      <c r="E6392" s="4">
        <v>7</v>
      </c>
      <c r="G6392">
        <f t="shared" si="99"/>
        <v>112</v>
      </c>
    </row>
    <row r="6393" spans="2:7" ht="15" hidden="1" x14ac:dyDescent="0.25">
      <c r="B6393" s="4">
        <v>584632730</v>
      </c>
      <c r="C6393" s="4" t="s">
        <v>268</v>
      </c>
      <c r="D6393" s="4">
        <v>245</v>
      </c>
      <c r="E6393" s="4">
        <v>7</v>
      </c>
      <c r="G6393">
        <f t="shared" si="99"/>
        <v>112</v>
      </c>
    </row>
    <row r="6394" spans="2:7" ht="15" hidden="1" x14ac:dyDescent="0.25">
      <c r="B6394" s="4">
        <v>584632730</v>
      </c>
      <c r="C6394" s="4" t="s">
        <v>268</v>
      </c>
      <c r="D6394" s="4">
        <v>246</v>
      </c>
      <c r="E6394" s="4">
        <v>7</v>
      </c>
      <c r="G6394">
        <f t="shared" si="99"/>
        <v>112</v>
      </c>
    </row>
    <row r="6395" spans="2:7" ht="15" hidden="1" x14ac:dyDescent="0.25">
      <c r="B6395" s="4">
        <v>584632730</v>
      </c>
      <c r="C6395" s="4" t="s">
        <v>268</v>
      </c>
      <c r="D6395" s="4">
        <v>246</v>
      </c>
      <c r="E6395" s="4">
        <v>7</v>
      </c>
      <c r="G6395">
        <f t="shared" si="99"/>
        <v>112</v>
      </c>
    </row>
    <row r="6396" spans="2:7" ht="15" hidden="1" x14ac:dyDescent="0.25">
      <c r="B6396" s="4">
        <v>584632730</v>
      </c>
      <c r="C6396" s="4" t="s">
        <v>269</v>
      </c>
      <c r="D6396" s="4">
        <v>1001</v>
      </c>
      <c r="E6396" s="4">
        <v>57</v>
      </c>
      <c r="G6396">
        <f t="shared" si="99"/>
        <v>512</v>
      </c>
    </row>
    <row r="6397" spans="2:7" ht="15" hidden="1" x14ac:dyDescent="0.25">
      <c r="B6397" s="4">
        <v>584632731</v>
      </c>
      <c r="C6397" s="4" t="s">
        <v>269</v>
      </c>
      <c r="D6397" s="4">
        <v>1002</v>
      </c>
      <c r="E6397" s="4">
        <v>57</v>
      </c>
      <c r="G6397">
        <f t="shared" si="99"/>
        <v>512</v>
      </c>
    </row>
    <row r="6398" spans="2:7" ht="15" hidden="1" x14ac:dyDescent="0.25">
      <c r="B6398" s="4">
        <v>584632732</v>
      </c>
      <c r="C6398" s="4" t="s">
        <v>268</v>
      </c>
      <c r="D6398" s="4">
        <v>247</v>
      </c>
      <c r="E6398" s="4">
        <v>7</v>
      </c>
      <c r="G6398">
        <f t="shared" si="99"/>
        <v>112</v>
      </c>
    </row>
    <row r="6399" spans="2:7" ht="15" hidden="1" x14ac:dyDescent="0.25">
      <c r="B6399" s="4">
        <v>584632732</v>
      </c>
      <c r="C6399" s="4" t="s">
        <v>268</v>
      </c>
      <c r="D6399" s="4">
        <v>247</v>
      </c>
      <c r="E6399" s="4">
        <v>7</v>
      </c>
      <c r="G6399">
        <f t="shared" si="99"/>
        <v>112</v>
      </c>
    </row>
    <row r="6400" spans="2:7" ht="15" hidden="1" x14ac:dyDescent="0.25">
      <c r="B6400" s="4">
        <v>584632732</v>
      </c>
      <c r="C6400" s="4" t="s">
        <v>268</v>
      </c>
      <c r="D6400" s="4">
        <v>248</v>
      </c>
      <c r="E6400" s="4">
        <v>5</v>
      </c>
      <c r="G6400">
        <f t="shared" si="99"/>
        <v>96</v>
      </c>
    </row>
    <row r="6401" spans="2:7" ht="15" hidden="1" x14ac:dyDescent="0.25">
      <c r="B6401" s="4">
        <v>584632732</v>
      </c>
      <c r="C6401" s="4" t="s">
        <v>268</v>
      </c>
      <c r="D6401" s="4">
        <v>248</v>
      </c>
      <c r="E6401" s="4">
        <v>5</v>
      </c>
      <c r="G6401">
        <f t="shared" si="99"/>
        <v>96</v>
      </c>
    </row>
    <row r="6402" spans="2:7" ht="15" hidden="1" x14ac:dyDescent="0.25">
      <c r="B6402" s="4">
        <v>584632732</v>
      </c>
      <c r="C6402" s="4" t="s">
        <v>268</v>
      </c>
      <c r="D6402" s="4">
        <v>249</v>
      </c>
      <c r="E6402" s="4">
        <v>7</v>
      </c>
      <c r="G6402">
        <f t="shared" si="99"/>
        <v>112</v>
      </c>
    </row>
    <row r="6403" spans="2:7" ht="15" hidden="1" x14ac:dyDescent="0.25">
      <c r="B6403" s="4">
        <v>584632732</v>
      </c>
      <c r="C6403" s="4" t="s">
        <v>268</v>
      </c>
      <c r="D6403" s="4">
        <v>249</v>
      </c>
      <c r="E6403" s="4">
        <v>7</v>
      </c>
      <c r="G6403">
        <f t="shared" si="99"/>
        <v>112</v>
      </c>
    </row>
    <row r="6404" spans="2:7" ht="15" hidden="1" x14ac:dyDescent="0.25">
      <c r="B6404" s="4">
        <v>584632732</v>
      </c>
      <c r="C6404" s="4" t="s">
        <v>269</v>
      </c>
      <c r="D6404" s="4">
        <v>1003</v>
      </c>
      <c r="E6404" s="4">
        <v>57</v>
      </c>
      <c r="G6404">
        <f t="shared" ref="G6404:G6467" si="100">(E6404+7)*8</f>
        <v>512</v>
      </c>
    </row>
    <row r="6405" spans="2:7" ht="15" hidden="1" x14ac:dyDescent="0.25">
      <c r="B6405" s="4">
        <v>584632733</v>
      </c>
      <c r="C6405" s="4" t="s">
        <v>269</v>
      </c>
      <c r="D6405" s="4">
        <v>1004</v>
      </c>
      <c r="E6405" s="4">
        <v>57</v>
      </c>
      <c r="G6405">
        <f t="shared" si="100"/>
        <v>512</v>
      </c>
    </row>
    <row r="6406" spans="2:7" ht="15" hidden="1" x14ac:dyDescent="0.25">
      <c r="B6406" s="4">
        <v>584632734</v>
      </c>
      <c r="C6406" s="4" t="s">
        <v>269</v>
      </c>
      <c r="D6406" s="4">
        <v>1005</v>
      </c>
      <c r="E6406" s="4">
        <v>57</v>
      </c>
      <c r="G6406">
        <f t="shared" si="100"/>
        <v>512</v>
      </c>
    </row>
    <row r="6407" spans="2:7" ht="15" hidden="1" x14ac:dyDescent="0.25">
      <c r="B6407" s="4">
        <v>584632735</v>
      </c>
      <c r="C6407" s="4" t="s">
        <v>269</v>
      </c>
      <c r="D6407" s="4">
        <v>1006</v>
      </c>
      <c r="E6407" s="4">
        <v>57</v>
      </c>
      <c r="G6407">
        <f t="shared" si="100"/>
        <v>512</v>
      </c>
    </row>
    <row r="6408" spans="2:7" ht="15" hidden="1" x14ac:dyDescent="0.25">
      <c r="B6408" s="4">
        <v>584632736</v>
      </c>
      <c r="C6408" s="4" t="s">
        <v>269</v>
      </c>
      <c r="D6408" s="4">
        <v>1007</v>
      </c>
      <c r="E6408" s="4">
        <v>57</v>
      </c>
      <c r="G6408">
        <f t="shared" si="100"/>
        <v>512</v>
      </c>
    </row>
    <row r="6409" spans="2:7" ht="15" hidden="1" x14ac:dyDescent="0.25">
      <c r="B6409" s="4">
        <v>584632737</v>
      </c>
      <c r="C6409" s="4" t="s">
        <v>269</v>
      </c>
      <c r="D6409" s="4">
        <v>1008</v>
      </c>
      <c r="E6409" s="4">
        <v>57</v>
      </c>
      <c r="G6409">
        <f t="shared" si="100"/>
        <v>512</v>
      </c>
    </row>
    <row r="6410" spans="2:7" ht="15" hidden="1" x14ac:dyDescent="0.25">
      <c r="B6410" s="4">
        <v>584632738</v>
      </c>
      <c r="C6410" s="4" t="s">
        <v>269</v>
      </c>
      <c r="D6410" s="4">
        <v>1009</v>
      </c>
      <c r="E6410" s="4">
        <v>57</v>
      </c>
      <c r="G6410">
        <f t="shared" si="100"/>
        <v>512</v>
      </c>
    </row>
    <row r="6411" spans="2:7" ht="15" hidden="1" x14ac:dyDescent="0.25">
      <c r="B6411" s="4">
        <v>584632738</v>
      </c>
      <c r="C6411" s="4" t="s">
        <v>272</v>
      </c>
      <c r="D6411" s="4">
        <v>89</v>
      </c>
      <c r="E6411" s="4">
        <v>207</v>
      </c>
      <c r="G6411">
        <f t="shared" si="100"/>
        <v>1712</v>
      </c>
    </row>
    <row r="6412" spans="2:7" ht="15" hidden="1" x14ac:dyDescent="0.25">
      <c r="B6412" s="4">
        <v>584632739</v>
      </c>
      <c r="C6412" s="4" t="s">
        <v>269</v>
      </c>
      <c r="D6412" s="4">
        <v>1010</v>
      </c>
      <c r="E6412" s="4">
        <v>57</v>
      </c>
      <c r="G6412">
        <f t="shared" si="100"/>
        <v>512</v>
      </c>
    </row>
    <row r="6413" spans="2:7" ht="15" hidden="1" x14ac:dyDescent="0.25">
      <c r="B6413" s="4">
        <v>584632740</v>
      </c>
      <c r="C6413" s="4" t="s">
        <v>269</v>
      </c>
      <c r="D6413" s="4">
        <v>1011</v>
      </c>
      <c r="E6413" s="4">
        <v>57</v>
      </c>
      <c r="G6413">
        <f t="shared" si="100"/>
        <v>512</v>
      </c>
    </row>
    <row r="6414" spans="2:7" ht="15" hidden="1" x14ac:dyDescent="0.25">
      <c r="B6414" s="4">
        <v>584632741</v>
      </c>
      <c r="C6414" s="4" t="s">
        <v>269</v>
      </c>
      <c r="D6414" s="4">
        <v>1012</v>
      </c>
      <c r="E6414" s="4">
        <v>57</v>
      </c>
      <c r="G6414">
        <f t="shared" si="100"/>
        <v>512</v>
      </c>
    </row>
    <row r="6415" spans="2:7" ht="15" hidden="1" x14ac:dyDescent="0.25">
      <c r="B6415" s="4">
        <v>584632742</v>
      </c>
      <c r="C6415" s="4" t="s">
        <v>269</v>
      </c>
      <c r="D6415" s="4">
        <v>1013</v>
      </c>
      <c r="E6415" s="4">
        <v>57</v>
      </c>
      <c r="G6415">
        <f t="shared" si="100"/>
        <v>512</v>
      </c>
    </row>
    <row r="6416" spans="2:7" ht="15" hidden="1" x14ac:dyDescent="0.25">
      <c r="B6416" s="4">
        <v>584632743</v>
      </c>
      <c r="C6416" s="4" t="s">
        <v>269</v>
      </c>
      <c r="D6416" s="4">
        <v>1014</v>
      </c>
      <c r="E6416" s="4">
        <v>57</v>
      </c>
      <c r="G6416">
        <f t="shared" si="100"/>
        <v>512</v>
      </c>
    </row>
    <row r="6417" spans="2:7" ht="15" hidden="1" x14ac:dyDescent="0.25">
      <c r="B6417" s="4">
        <v>584632744</v>
      </c>
      <c r="C6417" s="4" t="s">
        <v>269</v>
      </c>
      <c r="D6417" s="4">
        <v>1015</v>
      </c>
      <c r="E6417" s="4">
        <v>57</v>
      </c>
      <c r="G6417">
        <f t="shared" si="100"/>
        <v>512</v>
      </c>
    </row>
    <row r="6418" spans="2:7" ht="15" hidden="1" x14ac:dyDescent="0.25">
      <c r="B6418" s="4">
        <v>584632745</v>
      </c>
      <c r="C6418" s="4" t="s">
        <v>269</v>
      </c>
      <c r="D6418" s="4">
        <v>1016</v>
      </c>
      <c r="E6418" s="4">
        <v>57</v>
      </c>
      <c r="G6418">
        <f t="shared" si="100"/>
        <v>512</v>
      </c>
    </row>
    <row r="6419" spans="2:7" ht="15" hidden="1" x14ac:dyDescent="0.25">
      <c r="B6419" s="4">
        <v>584632746</v>
      </c>
      <c r="C6419" s="4" t="s">
        <v>269</v>
      </c>
      <c r="D6419" s="4">
        <v>1017</v>
      </c>
      <c r="E6419" s="4">
        <v>57</v>
      </c>
      <c r="G6419">
        <f t="shared" si="100"/>
        <v>512</v>
      </c>
    </row>
    <row r="6420" spans="2:7" ht="15" hidden="1" x14ac:dyDescent="0.25">
      <c r="B6420" s="4">
        <v>584632747</v>
      </c>
      <c r="C6420" s="4" t="s">
        <v>269</v>
      </c>
      <c r="D6420" s="4">
        <v>1018</v>
      </c>
      <c r="E6420" s="4">
        <v>57</v>
      </c>
      <c r="G6420">
        <f t="shared" si="100"/>
        <v>512</v>
      </c>
    </row>
    <row r="6421" spans="2:7" ht="15" hidden="1" x14ac:dyDescent="0.25">
      <c r="B6421" s="4">
        <v>584632748</v>
      </c>
      <c r="C6421" s="4" t="s">
        <v>269</v>
      </c>
      <c r="D6421" s="4">
        <v>1019</v>
      </c>
      <c r="E6421" s="4">
        <v>57</v>
      </c>
      <c r="G6421">
        <f t="shared" si="100"/>
        <v>512</v>
      </c>
    </row>
    <row r="6422" spans="2:7" ht="15" x14ac:dyDescent="0.25">
      <c r="B6422" s="4">
        <v>584632748</v>
      </c>
      <c r="C6422" s="4" t="s">
        <v>270</v>
      </c>
      <c r="D6422" s="4">
        <v>3</v>
      </c>
      <c r="E6422" s="4">
        <v>1100</v>
      </c>
      <c r="G6422">
        <f t="shared" si="100"/>
        <v>8856</v>
      </c>
    </row>
    <row r="6423" spans="2:7" ht="15" x14ac:dyDescent="0.25">
      <c r="B6423" s="4">
        <v>584632748</v>
      </c>
      <c r="C6423" s="4" t="s">
        <v>271</v>
      </c>
      <c r="D6423" s="4">
        <v>3</v>
      </c>
      <c r="E6423" s="4">
        <v>1100</v>
      </c>
      <c r="G6423">
        <f t="shared" si="100"/>
        <v>8856</v>
      </c>
    </row>
    <row r="6424" spans="2:7" ht="15" hidden="1" x14ac:dyDescent="0.25">
      <c r="B6424" s="4">
        <v>584632749</v>
      </c>
      <c r="C6424" s="4" t="s">
        <v>269</v>
      </c>
      <c r="D6424" s="4">
        <v>1020</v>
      </c>
      <c r="E6424" s="4">
        <v>57</v>
      </c>
      <c r="G6424">
        <f t="shared" si="100"/>
        <v>512</v>
      </c>
    </row>
    <row r="6425" spans="2:7" ht="15" hidden="1" x14ac:dyDescent="0.25">
      <c r="B6425" s="4">
        <v>584632749</v>
      </c>
      <c r="C6425" s="4" t="s">
        <v>272</v>
      </c>
      <c r="D6425" s="4">
        <v>90</v>
      </c>
      <c r="E6425" s="4">
        <v>211</v>
      </c>
      <c r="G6425">
        <f t="shared" si="100"/>
        <v>1744</v>
      </c>
    </row>
    <row r="6426" spans="2:7" ht="15" hidden="1" x14ac:dyDescent="0.25">
      <c r="B6426" s="4">
        <v>584632750</v>
      </c>
      <c r="C6426" s="4" t="s">
        <v>269</v>
      </c>
      <c r="D6426" s="4">
        <v>1021</v>
      </c>
      <c r="E6426" s="4">
        <v>57</v>
      </c>
      <c r="G6426">
        <f t="shared" si="100"/>
        <v>512</v>
      </c>
    </row>
    <row r="6427" spans="2:7" ht="15" hidden="1" x14ac:dyDescent="0.25">
      <c r="B6427" s="4">
        <v>584632751</v>
      </c>
      <c r="C6427" s="4" t="s">
        <v>269</v>
      </c>
      <c r="D6427" s="4">
        <v>1022</v>
      </c>
      <c r="E6427" s="4">
        <v>57</v>
      </c>
      <c r="G6427">
        <f t="shared" si="100"/>
        <v>512</v>
      </c>
    </row>
    <row r="6428" spans="2:7" ht="15" hidden="1" x14ac:dyDescent="0.25">
      <c r="B6428" s="4">
        <v>584632752</v>
      </c>
      <c r="C6428" s="4" t="s">
        <v>269</v>
      </c>
      <c r="D6428" s="4">
        <v>1023</v>
      </c>
      <c r="E6428" s="4">
        <v>57</v>
      </c>
      <c r="G6428">
        <f t="shared" si="100"/>
        <v>512</v>
      </c>
    </row>
    <row r="6429" spans="2:7" ht="15" hidden="1" x14ac:dyDescent="0.25">
      <c r="B6429" s="4">
        <v>584632753</v>
      </c>
      <c r="C6429" s="4" t="s">
        <v>269</v>
      </c>
      <c r="D6429" s="4">
        <v>1024</v>
      </c>
      <c r="E6429" s="4">
        <v>57</v>
      </c>
      <c r="G6429">
        <f t="shared" si="100"/>
        <v>512</v>
      </c>
    </row>
    <row r="6430" spans="2:7" ht="15" hidden="1" x14ac:dyDescent="0.25">
      <c r="B6430" s="4">
        <v>584632754</v>
      </c>
      <c r="C6430" s="4" t="s">
        <v>269</v>
      </c>
      <c r="D6430" s="4">
        <v>1025</v>
      </c>
      <c r="E6430" s="4">
        <v>57</v>
      </c>
      <c r="G6430">
        <f t="shared" si="100"/>
        <v>512</v>
      </c>
    </row>
    <row r="6431" spans="2:7" ht="15" hidden="1" x14ac:dyDescent="0.25">
      <c r="B6431" s="4">
        <v>584632755</v>
      </c>
      <c r="C6431" s="4" t="s">
        <v>269</v>
      </c>
      <c r="D6431" s="4">
        <v>1026</v>
      </c>
      <c r="E6431" s="4">
        <v>57</v>
      </c>
      <c r="G6431">
        <f t="shared" si="100"/>
        <v>512</v>
      </c>
    </row>
    <row r="6432" spans="2:7" ht="15" hidden="1" x14ac:dyDescent="0.25">
      <c r="B6432" s="4">
        <v>584632756</v>
      </c>
      <c r="C6432" s="4" t="s">
        <v>269</v>
      </c>
      <c r="D6432" s="4">
        <v>1027</v>
      </c>
      <c r="E6432" s="4">
        <v>57</v>
      </c>
      <c r="G6432">
        <f t="shared" si="100"/>
        <v>512</v>
      </c>
    </row>
    <row r="6433" spans="2:7" ht="15" hidden="1" x14ac:dyDescent="0.25">
      <c r="B6433" s="4">
        <v>584632757</v>
      </c>
      <c r="C6433" s="4" t="s">
        <v>269</v>
      </c>
      <c r="D6433" s="4">
        <v>1028</v>
      </c>
      <c r="E6433" s="4">
        <v>57</v>
      </c>
      <c r="G6433">
        <f t="shared" si="100"/>
        <v>512</v>
      </c>
    </row>
    <row r="6434" spans="2:7" ht="15" hidden="1" x14ac:dyDescent="0.25">
      <c r="B6434" s="4">
        <v>584632758</v>
      </c>
      <c r="C6434" s="4" t="s">
        <v>269</v>
      </c>
      <c r="D6434" s="4">
        <v>1029</v>
      </c>
      <c r="E6434" s="4">
        <v>57</v>
      </c>
      <c r="G6434">
        <f t="shared" si="100"/>
        <v>512</v>
      </c>
    </row>
    <row r="6435" spans="2:7" ht="15" hidden="1" x14ac:dyDescent="0.25">
      <c r="B6435" s="4">
        <v>584632758</v>
      </c>
      <c r="C6435" s="4" t="s">
        <v>272</v>
      </c>
      <c r="D6435" s="4">
        <v>91</v>
      </c>
      <c r="E6435" s="4">
        <v>209</v>
      </c>
      <c r="G6435">
        <f t="shared" si="100"/>
        <v>1728</v>
      </c>
    </row>
    <row r="6436" spans="2:7" ht="15" hidden="1" x14ac:dyDescent="0.25">
      <c r="B6436" s="4">
        <v>584632759</v>
      </c>
      <c r="C6436" s="4" t="s">
        <v>269</v>
      </c>
      <c r="D6436" s="4">
        <v>1030</v>
      </c>
      <c r="E6436" s="4">
        <v>57</v>
      </c>
      <c r="G6436">
        <f t="shared" si="100"/>
        <v>512</v>
      </c>
    </row>
    <row r="6437" spans="2:7" ht="15" hidden="1" x14ac:dyDescent="0.25">
      <c r="B6437" s="4">
        <v>584632760</v>
      </c>
      <c r="C6437" s="4" t="s">
        <v>269</v>
      </c>
      <c r="D6437" s="4">
        <v>1031</v>
      </c>
      <c r="E6437" s="4">
        <v>57</v>
      </c>
      <c r="G6437">
        <f t="shared" si="100"/>
        <v>512</v>
      </c>
    </row>
    <row r="6438" spans="2:7" ht="15" hidden="1" x14ac:dyDescent="0.25">
      <c r="B6438" s="4">
        <v>584632761</v>
      </c>
      <c r="C6438" s="4" t="s">
        <v>269</v>
      </c>
      <c r="D6438" s="4">
        <v>1032</v>
      </c>
      <c r="E6438" s="4">
        <v>57</v>
      </c>
      <c r="G6438">
        <f t="shared" si="100"/>
        <v>512</v>
      </c>
    </row>
    <row r="6439" spans="2:7" ht="15" hidden="1" x14ac:dyDescent="0.25">
      <c r="B6439" s="4">
        <v>584632762</v>
      </c>
      <c r="C6439" s="4" t="s">
        <v>269</v>
      </c>
      <c r="D6439" s="4">
        <v>1033</v>
      </c>
      <c r="E6439" s="4">
        <v>57</v>
      </c>
      <c r="G6439">
        <f t="shared" si="100"/>
        <v>512</v>
      </c>
    </row>
    <row r="6440" spans="2:7" ht="15" hidden="1" x14ac:dyDescent="0.25">
      <c r="B6440" s="4">
        <v>584632763</v>
      </c>
      <c r="C6440" s="4" t="s">
        <v>269</v>
      </c>
      <c r="D6440" s="4">
        <v>1034</v>
      </c>
      <c r="E6440" s="4">
        <v>57</v>
      </c>
      <c r="G6440">
        <f t="shared" si="100"/>
        <v>512</v>
      </c>
    </row>
    <row r="6441" spans="2:7" ht="15" hidden="1" x14ac:dyDescent="0.25">
      <c r="B6441" s="4">
        <v>584632764</v>
      </c>
      <c r="C6441" s="4" t="s">
        <v>269</v>
      </c>
      <c r="D6441" s="4">
        <v>1035</v>
      </c>
      <c r="E6441" s="4">
        <v>57</v>
      </c>
      <c r="G6441">
        <f t="shared" si="100"/>
        <v>512</v>
      </c>
    </row>
    <row r="6442" spans="2:7" ht="15" hidden="1" x14ac:dyDescent="0.25">
      <c r="B6442" s="4">
        <v>584632765</v>
      </c>
      <c r="C6442" s="4" t="s">
        <v>269</v>
      </c>
      <c r="D6442" s="4">
        <v>1036</v>
      </c>
      <c r="E6442" s="4">
        <v>57</v>
      </c>
      <c r="G6442">
        <f t="shared" si="100"/>
        <v>512</v>
      </c>
    </row>
    <row r="6443" spans="2:7" ht="15" hidden="1" x14ac:dyDescent="0.25">
      <c r="B6443" s="4">
        <v>584632766</v>
      </c>
      <c r="C6443" s="4" t="s">
        <v>269</v>
      </c>
      <c r="D6443" s="4">
        <v>1037</v>
      </c>
      <c r="E6443" s="4">
        <v>57</v>
      </c>
      <c r="G6443">
        <f t="shared" si="100"/>
        <v>512</v>
      </c>
    </row>
    <row r="6444" spans="2:7" ht="15" hidden="1" x14ac:dyDescent="0.25">
      <c r="B6444" s="4">
        <v>584632767</v>
      </c>
      <c r="C6444" s="4" t="s">
        <v>269</v>
      </c>
      <c r="D6444" s="4">
        <v>1038</v>
      </c>
      <c r="E6444" s="4">
        <v>57</v>
      </c>
      <c r="G6444">
        <f t="shared" si="100"/>
        <v>512</v>
      </c>
    </row>
    <row r="6445" spans="2:7" ht="15" hidden="1" x14ac:dyDescent="0.25">
      <c r="B6445" s="4">
        <v>584632768</v>
      </c>
      <c r="C6445" s="4" t="s">
        <v>269</v>
      </c>
      <c r="D6445" s="4">
        <v>1039</v>
      </c>
      <c r="E6445" s="4">
        <v>57</v>
      </c>
      <c r="G6445">
        <f t="shared" si="100"/>
        <v>512</v>
      </c>
    </row>
    <row r="6446" spans="2:7" ht="15" hidden="1" x14ac:dyDescent="0.25">
      <c r="B6446" s="4">
        <v>584632768</v>
      </c>
      <c r="C6446" s="4" t="s">
        <v>272</v>
      </c>
      <c r="D6446" s="4">
        <v>92</v>
      </c>
      <c r="E6446" s="4">
        <v>211</v>
      </c>
      <c r="G6446">
        <f t="shared" si="100"/>
        <v>1744</v>
      </c>
    </row>
    <row r="6447" spans="2:7" ht="15" hidden="1" x14ac:dyDescent="0.25">
      <c r="B6447" s="4">
        <v>584632769</v>
      </c>
      <c r="C6447" s="4" t="s">
        <v>269</v>
      </c>
      <c r="D6447" s="4">
        <v>1040</v>
      </c>
      <c r="E6447" s="4">
        <v>57</v>
      </c>
      <c r="G6447">
        <f t="shared" si="100"/>
        <v>512</v>
      </c>
    </row>
    <row r="6448" spans="2:7" ht="15" hidden="1" x14ac:dyDescent="0.25">
      <c r="B6448" s="4">
        <v>584632770</v>
      </c>
      <c r="C6448" s="4" t="s">
        <v>269</v>
      </c>
      <c r="D6448" s="4">
        <v>1041</v>
      </c>
      <c r="E6448" s="4">
        <v>57</v>
      </c>
      <c r="G6448">
        <f t="shared" si="100"/>
        <v>512</v>
      </c>
    </row>
    <row r="6449" spans="2:7" ht="15" hidden="1" x14ac:dyDescent="0.25">
      <c r="B6449" s="4">
        <v>584632771</v>
      </c>
      <c r="C6449" s="4" t="s">
        <v>269</v>
      </c>
      <c r="D6449" s="4">
        <v>1042</v>
      </c>
      <c r="E6449" s="4">
        <v>57</v>
      </c>
      <c r="G6449">
        <f t="shared" si="100"/>
        <v>512</v>
      </c>
    </row>
    <row r="6450" spans="2:7" ht="15" hidden="1" x14ac:dyDescent="0.25">
      <c r="B6450" s="4">
        <v>584632772</v>
      </c>
      <c r="C6450" s="4" t="s">
        <v>269</v>
      </c>
      <c r="D6450" s="4">
        <v>1043</v>
      </c>
      <c r="E6450" s="4">
        <v>57</v>
      </c>
      <c r="G6450">
        <f t="shared" si="100"/>
        <v>512</v>
      </c>
    </row>
    <row r="6451" spans="2:7" ht="15" hidden="1" x14ac:dyDescent="0.25">
      <c r="B6451" s="4">
        <v>584632773</v>
      </c>
      <c r="C6451" s="4" t="s">
        <v>269</v>
      </c>
      <c r="D6451" s="4">
        <v>1044</v>
      </c>
      <c r="E6451" s="4">
        <v>57</v>
      </c>
      <c r="G6451">
        <f t="shared" si="100"/>
        <v>512</v>
      </c>
    </row>
    <row r="6452" spans="2:7" ht="15" hidden="1" x14ac:dyDescent="0.25">
      <c r="B6452" s="4">
        <v>584632774</v>
      </c>
      <c r="C6452" s="4" t="s">
        <v>269</v>
      </c>
      <c r="D6452" s="4">
        <v>1045</v>
      </c>
      <c r="E6452" s="4">
        <v>57</v>
      </c>
      <c r="G6452">
        <f t="shared" si="100"/>
        <v>512</v>
      </c>
    </row>
    <row r="6453" spans="2:7" ht="15" hidden="1" x14ac:dyDescent="0.25">
      <c r="B6453" s="4">
        <v>584632775</v>
      </c>
      <c r="C6453" s="4" t="s">
        <v>269</v>
      </c>
      <c r="D6453" s="4">
        <v>1046</v>
      </c>
      <c r="E6453" s="4">
        <v>57</v>
      </c>
      <c r="G6453">
        <f t="shared" si="100"/>
        <v>512</v>
      </c>
    </row>
    <row r="6454" spans="2:7" ht="15" hidden="1" x14ac:dyDescent="0.25">
      <c r="B6454" s="4">
        <v>584632776</v>
      </c>
      <c r="C6454" s="4" t="s">
        <v>269</v>
      </c>
      <c r="D6454" s="4">
        <v>1047</v>
      </c>
      <c r="E6454" s="4">
        <v>57</v>
      </c>
      <c r="G6454">
        <f t="shared" si="100"/>
        <v>512</v>
      </c>
    </row>
    <row r="6455" spans="2:7" ht="15" hidden="1" x14ac:dyDescent="0.25">
      <c r="B6455" s="4">
        <v>584632777</v>
      </c>
      <c r="C6455" s="4" t="s">
        <v>269</v>
      </c>
      <c r="D6455" s="4">
        <v>1048</v>
      </c>
      <c r="E6455" s="4">
        <v>57</v>
      </c>
      <c r="G6455">
        <f t="shared" si="100"/>
        <v>512</v>
      </c>
    </row>
    <row r="6456" spans="2:7" ht="15" hidden="1" x14ac:dyDescent="0.25">
      <c r="B6456" s="4">
        <v>584632778</v>
      </c>
      <c r="C6456" s="4" t="s">
        <v>269</v>
      </c>
      <c r="D6456" s="4">
        <v>1049</v>
      </c>
      <c r="E6456" s="4">
        <v>57</v>
      </c>
      <c r="G6456">
        <f t="shared" si="100"/>
        <v>512</v>
      </c>
    </row>
    <row r="6457" spans="2:7" ht="15" hidden="1" x14ac:dyDescent="0.25">
      <c r="B6457" s="4">
        <v>584632778</v>
      </c>
      <c r="C6457" s="4" t="s">
        <v>272</v>
      </c>
      <c r="D6457" s="4">
        <v>93</v>
      </c>
      <c r="E6457" s="4">
        <v>211</v>
      </c>
      <c r="G6457">
        <f t="shared" si="100"/>
        <v>1744</v>
      </c>
    </row>
    <row r="6458" spans="2:7" ht="15" hidden="1" x14ac:dyDescent="0.25">
      <c r="B6458" s="4">
        <v>584632779</v>
      </c>
      <c r="C6458" s="4" t="s">
        <v>269</v>
      </c>
      <c r="D6458" s="4">
        <v>1050</v>
      </c>
      <c r="E6458" s="4">
        <v>57</v>
      </c>
      <c r="G6458">
        <f t="shared" si="100"/>
        <v>512</v>
      </c>
    </row>
    <row r="6459" spans="2:7" ht="15" hidden="1" x14ac:dyDescent="0.25">
      <c r="B6459" s="4">
        <v>584632780</v>
      </c>
      <c r="C6459" s="4" t="s">
        <v>269</v>
      </c>
      <c r="D6459" s="4">
        <v>1051</v>
      </c>
      <c r="E6459" s="4">
        <v>57</v>
      </c>
      <c r="G6459">
        <f t="shared" si="100"/>
        <v>512</v>
      </c>
    </row>
    <row r="6460" spans="2:7" ht="15" hidden="1" x14ac:dyDescent="0.25">
      <c r="B6460" s="4">
        <v>584632781</v>
      </c>
      <c r="C6460" s="4" t="s">
        <v>269</v>
      </c>
      <c r="D6460" s="4">
        <v>1052</v>
      </c>
      <c r="E6460" s="4">
        <v>57</v>
      </c>
      <c r="G6460">
        <f t="shared" si="100"/>
        <v>512</v>
      </c>
    </row>
    <row r="6461" spans="2:7" ht="15" hidden="1" x14ac:dyDescent="0.25">
      <c r="B6461" s="4">
        <v>584632782</v>
      </c>
      <c r="C6461" s="4" t="s">
        <v>269</v>
      </c>
      <c r="D6461" s="4">
        <v>1053</v>
      </c>
      <c r="E6461" s="4">
        <v>57</v>
      </c>
      <c r="G6461">
        <f t="shared" si="100"/>
        <v>512</v>
      </c>
    </row>
    <row r="6462" spans="2:7" ht="15" hidden="1" x14ac:dyDescent="0.25">
      <c r="B6462" s="4">
        <v>584632783</v>
      </c>
      <c r="C6462" s="4" t="s">
        <v>269</v>
      </c>
      <c r="D6462" s="4">
        <v>1054</v>
      </c>
      <c r="E6462" s="4">
        <v>57</v>
      </c>
      <c r="G6462">
        <f t="shared" si="100"/>
        <v>512</v>
      </c>
    </row>
    <row r="6463" spans="2:7" ht="15" hidden="1" x14ac:dyDescent="0.25">
      <c r="B6463" s="4">
        <v>584632784</v>
      </c>
      <c r="C6463" s="4" t="s">
        <v>269</v>
      </c>
      <c r="D6463" s="4">
        <v>1055</v>
      </c>
      <c r="E6463" s="4">
        <v>57</v>
      </c>
      <c r="G6463">
        <f t="shared" si="100"/>
        <v>512</v>
      </c>
    </row>
    <row r="6464" spans="2:7" ht="15" hidden="1" x14ac:dyDescent="0.25">
      <c r="B6464" s="4">
        <v>584632785</v>
      </c>
      <c r="C6464" s="4" t="s">
        <v>269</v>
      </c>
      <c r="D6464" s="4">
        <v>1056</v>
      </c>
      <c r="E6464" s="4">
        <v>57</v>
      </c>
      <c r="G6464">
        <f t="shared" si="100"/>
        <v>512</v>
      </c>
    </row>
    <row r="6465" spans="2:7" ht="15" hidden="1" x14ac:dyDescent="0.25">
      <c r="B6465" s="4">
        <v>584632786</v>
      </c>
      <c r="C6465" s="4" t="s">
        <v>269</v>
      </c>
      <c r="D6465" s="4">
        <v>1057</v>
      </c>
      <c r="E6465" s="4">
        <v>57</v>
      </c>
      <c r="G6465">
        <f t="shared" si="100"/>
        <v>512</v>
      </c>
    </row>
    <row r="6466" spans="2:7" ht="15" hidden="1" x14ac:dyDescent="0.25">
      <c r="B6466" s="4">
        <v>584632787</v>
      </c>
      <c r="C6466" s="4" t="s">
        <v>269</v>
      </c>
      <c r="D6466" s="4">
        <v>1058</v>
      </c>
      <c r="E6466" s="4">
        <v>57</v>
      </c>
      <c r="G6466">
        <f t="shared" si="100"/>
        <v>512</v>
      </c>
    </row>
    <row r="6467" spans="2:7" ht="15" hidden="1" x14ac:dyDescent="0.25">
      <c r="B6467" s="4">
        <v>584632788</v>
      </c>
      <c r="C6467" s="4" t="s">
        <v>269</v>
      </c>
      <c r="D6467" s="4">
        <v>1059</v>
      </c>
      <c r="E6467" s="4">
        <v>57</v>
      </c>
      <c r="G6467">
        <f t="shared" si="100"/>
        <v>512</v>
      </c>
    </row>
    <row r="6468" spans="2:7" ht="15" hidden="1" x14ac:dyDescent="0.25">
      <c r="B6468" s="4">
        <v>584632788</v>
      </c>
      <c r="C6468" s="4" t="s">
        <v>272</v>
      </c>
      <c r="D6468" s="4">
        <v>94</v>
      </c>
      <c r="E6468" s="4">
        <v>211</v>
      </c>
      <c r="G6468">
        <f t="shared" ref="G6468:G6531" si="101">(E6468+7)*8</f>
        <v>1744</v>
      </c>
    </row>
    <row r="6469" spans="2:7" ht="15" hidden="1" x14ac:dyDescent="0.25">
      <c r="B6469" s="4">
        <v>584632789</v>
      </c>
      <c r="C6469" s="4" t="s">
        <v>269</v>
      </c>
      <c r="D6469" s="4">
        <v>1060</v>
      </c>
      <c r="E6469" s="4">
        <v>57</v>
      </c>
      <c r="G6469">
        <f t="shared" si="101"/>
        <v>512</v>
      </c>
    </row>
    <row r="6470" spans="2:7" ht="15" hidden="1" x14ac:dyDescent="0.25">
      <c r="B6470" s="4">
        <v>584632790</v>
      </c>
      <c r="C6470" s="4" t="s">
        <v>269</v>
      </c>
      <c r="D6470" s="4">
        <v>1061</v>
      </c>
      <c r="E6470" s="4">
        <v>57</v>
      </c>
      <c r="G6470">
        <f t="shared" si="101"/>
        <v>512</v>
      </c>
    </row>
    <row r="6471" spans="2:7" ht="15" hidden="1" x14ac:dyDescent="0.25">
      <c r="B6471" s="4">
        <v>584632791</v>
      </c>
      <c r="C6471" s="4" t="s">
        <v>269</v>
      </c>
      <c r="D6471" s="4">
        <v>1062</v>
      </c>
      <c r="E6471" s="4">
        <v>57</v>
      </c>
      <c r="G6471">
        <f t="shared" si="101"/>
        <v>512</v>
      </c>
    </row>
    <row r="6472" spans="2:7" ht="15" hidden="1" x14ac:dyDescent="0.25">
      <c r="B6472" s="4">
        <v>584632792</v>
      </c>
      <c r="C6472" s="4" t="s">
        <v>269</v>
      </c>
      <c r="D6472" s="4">
        <v>1063</v>
      </c>
      <c r="E6472" s="4">
        <v>57</v>
      </c>
      <c r="G6472">
        <f t="shared" si="101"/>
        <v>512</v>
      </c>
    </row>
    <row r="6473" spans="2:7" ht="15" hidden="1" x14ac:dyDescent="0.25">
      <c r="B6473" s="4">
        <v>584632793</v>
      </c>
      <c r="C6473" s="4" t="s">
        <v>269</v>
      </c>
      <c r="D6473" s="4">
        <v>1064</v>
      </c>
      <c r="E6473" s="4">
        <v>57</v>
      </c>
      <c r="G6473">
        <f t="shared" si="101"/>
        <v>512</v>
      </c>
    </row>
    <row r="6474" spans="2:7" ht="15" hidden="1" x14ac:dyDescent="0.25">
      <c r="B6474" s="4">
        <v>584632794</v>
      </c>
      <c r="C6474" s="4" t="s">
        <v>269</v>
      </c>
      <c r="D6474" s="4">
        <v>1065</v>
      </c>
      <c r="E6474" s="4">
        <v>57</v>
      </c>
      <c r="G6474">
        <f t="shared" si="101"/>
        <v>512</v>
      </c>
    </row>
    <row r="6475" spans="2:7" ht="15" hidden="1" x14ac:dyDescent="0.25">
      <c r="B6475" s="4">
        <v>584632795</v>
      </c>
      <c r="C6475" s="4" t="s">
        <v>269</v>
      </c>
      <c r="D6475" s="4">
        <v>1066</v>
      </c>
      <c r="E6475" s="4">
        <v>57</v>
      </c>
      <c r="G6475">
        <f t="shared" si="101"/>
        <v>512</v>
      </c>
    </row>
    <row r="6476" spans="2:7" ht="15" hidden="1" x14ac:dyDescent="0.25">
      <c r="B6476" s="4">
        <v>584632796</v>
      </c>
      <c r="C6476" s="4" t="s">
        <v>269</v>
      </c>
      <c r="D6476" s="4">
        <v>1067</v>
      </c>
      <c r="E6476" s="4">
        <v>57</v>
      </c>
      <c r="G6476">
        <f t="shared" si="101"/>
        <v>512</v>
      </c>
    </row>
    <row r="6477" spans="2:7" ht="15" hidden="1" x14ac:dyDescent="0.25">
      <c r="B6477" s="4">
        <v>584632797</v>
      </c>
      <c r="C6477" s="4" t="s">
        <v>269</v>
      </c>
      <c r="D6477" s="4">
        <v>1068</v>
      </c>
      <c r="E6477" s="4">
        <v>57</v>
      </c>
      <c r="G6477">
        <f t="shared" si="101"/>
        <v>512</v>
      </c>
    </row>
    <row r="6478" spans="2:7" ht="15" hidden="1" x14ac:dyDescent="0.25">
      <c r="B6478" s="4">
        <v>584632798</v>
      </c>
      <c r="C6478" s="4" t="s">
        <v>269</v>
      </c>
      <c r="D6478" s="4">
        <v>1069</v>
      </c>
      <c r="E6478" s="4">
        <v>57</v>
      </c>
      <c r="G6478">
        <f t="shared" si="101"/>
        <v>512</v>
      </c>
    </row>
    <row r="6479" spans="2:7" ht="15" hidden="1" x14ac:dyDescent="0.25">
      <c r="B6479" s="4">
        <v>584632798</v>
      </c>
      <c r="C6479" s="4" t="s">
        <v>272</v>
      </c>
      <c r="D6479" s="4">
        <v>95</v>
      </c>
      <c r="E6479" s="4">
        <v>207</v>
      </c>
      <c r="G6479">
        <f t="shared" si="101"/>
        <v>1712</v>
      </c>
    </row>
    <row r="6480" spans="2:7" ht="15" hidden="1" x14ac:dyDescent="0.25">
      <c r="B6480" s="4">
        <v>584632799</v>
      </c>
      <c r="C6480" s="4" t="s">
        <v>269</v>
      </c>
      <c r="D6480" s="4">
        <v>1070</v>
      </c>
      <c r="E6480" s="4">
        <v>57</v>
      </c>
      <c r="G6480">
        <f t="shared" si="101"/>
        <v>512</v>
      </c>
    </row>
    <row r="6481" spans="2:7" ht="15" hidden="1" x14ac:dyDescent="0.25">
      <c r="B6481" s="4">
        <v>584632800</v>
      </c>
      <c r="C6481" s="4" t="s">
        <v>269</v>
      </c>
      <c r="D6481" s="4">
        <v>1071</v>
      </c>
      <c r="E6481" s="4">
        <v>57</v>
      </c>
      <c r="G6481">
        <f t="shared" si="101"/>
        <v>512</v>
      </c>
    </row>
    <row r="6482" spans="2:7" ht="15" hidden="1" x14ac:dyDescent="0.25">
      <c r="B6482" s="4">
        <v>584632801</v>
      </c>
      <c r="C6482" s="4" t="s">
        <v>269</v>
      </c>
      <c r="D6482" s="4">
        <v>1072</v>
      </c>
      <c r="E6482" s="4">
        <v>57</v>
      </c>
      <c r="G6482">
        <f t="shared" si="101"/>
        <v>512</v>
      </c>
    </row>
    <row r="6483" spans="2:7" ht="15" hidden="1" x14ac:dyDescent="0.25">
      <c r="B6483" s="4">
        <v>584632802</v>
      </c>
      <c r="C6483" s="4" t="s">
        <v>269</v>
      </c>
      <c r="D6483" s="4">
        <v>1073</v>
      </c>
      <c r="E6483" s="4">
        <v>57</v>
      </c>
      <c r="G6483">
        <f t="shared" si="101"/>
        <v>512</v>
      </c>
    </row>
    <row r="6484" spans="2:7" ht="15" hidden="1" x14ac:dyDescent="0.25">
      <c r="B6484" s="4">
        <v>584632803</v>
      </c>
      <c r="C6484" s="4" t="s">
        <v>269</v>
      </c>
      <c r="D6484" s="4">
        <v>1074</v>
      </c>
      <c r="E6484" s="4">
        <v>57</v>
      </c>
      <c r="G6484">
        <f t="shared" si="101"/>
        <v>512</v>
      </c>
    </row>
    <row r="6485" spans="2:7" ht="15" hidden="1" x14ac:dyDescent="0.25">
      <c r="B6485" s="4">
        <v>584632804</v>
      </c>
      <c r="C6485" s="4" t="s">
        <v>269</v>
      </c>
      <c r="D6485" s="4">
        <v>1075</v>
      </c>
      <c r="E6485" s="4">
        <v>57</v>
      </c>
      <c r="G6485">
        <f t="shared" si="101"/>
        <v>512</v>
      </c>
    </row>
    <row r="6486" spans="2:7" ht="15" hidden="1" x14ac:dyDescent="0.25">
      <c r="B6486" s="4">
        <v>584632805</v>
      </c>
      <c r="C6486" s="4" t="s">
        <v>269</v>
      </c>
      <c r="D6486" s="4">
        <v>1076</v>
      </c>
      <c r="E6486" s="4">
        <v>57</v>
      </c>
      <c r="G6486">
        <f t="shared" si="101"/>
        <v>512</v>
      </c>
    </row>
    <row r="6487" spans="2:7" ht="15" hidden="1" x14ac:dyDescent="0.25">
      <c r="B6487" s="4">
        <v>584632806</v>
      </c>
      <c r="C6487" s="4" t="s">
        <v>269</v>
      </c>
      <c r="D6487" s="4">
        <v>1077</v>
      </c>
      <c r="E6487" s="4">
        <v>57</v>
      </c>
      <c r="G6487">
        <f t="shared" si="101"/>
        <v>512</v>
      </c>
    </row>
    <row r="6488" spans="2:7" ht="15" hidden="1" x14ac:dyDescent="0.25">
      <c r="B6488" s="4">
        <v>584632807</v>
      </c>
      <c r="C6488" s="4" t="s">
        <v>269</v>
      </c>
      <c r="D6488" s="4">
        <v>1078</v>
      </c>
      <c r="E6488" s="4">
        <v>57</v>
      </c>
      <c r="G6488">
        <f t="shared" si="101"/>
        <v>512</v>
      </c>
    </row>
    <row r="6489" spans="2:7" ht="15" hidden="1" x14ac:dyDescent="0.25">
      <c r="B6489" s="4">
        <v>584632808</v>
      </c>
      <c r="C6489" s="4" t="s">
        <v>269</v>
      </c>
      <c r="D6489" s="4">
        <v>1079</v>
      </c>
      <c r="E6489" s="4">
        <v>57</v>
      </c>
      <c r="G6489">
        <f t="shared" si="101"/>
        <v>512</v>
      </c>
    </row>
    <row r="6490" spans="2:7" ht="15" hidden="1" x14ac:dyDescent="0.25">
      <c r="B6490" s="4">
        <v>584632808</v>
      </c>
      <c r="C6490" s="4" t="s">
        <v>272</v>
      </c>
      <c r="D6490" s="4">
        <v>96</v>
      </c>
      <c r="E6490" s="4">
        <v>209</v>
      </c>
      <c r="G6490">
        <f t="shared" si="101"/>
        <v>1728</v>
      </c>
    </row>
    <row r="6491" spans="2:7" ht="15" hidden="1" x14ac:dyDescent="0.25">
      <c r="B6491" s="4">
        <v>584632809</v>
      </c>
      <c r="C6491" s="4" t="s">
        <v>269</v>
      </c>
      <c r="D6491" s="4">
        <v>1080</v>
      </c>
      <c r="E6491" s="4">
        <v>57</v>
      </c>
      <c r="G6491">
        <f t="shared" si="101"/>
        <v>512</v>
      </c>
    </row>
    <row r="6492" spans="2:7" ht="15" hidden="1" x14ac:dyDescent="0.25">
      <c r="B6492" s="4">
        <v>584632810</v>
      </c>
      <c r="C6492" s="4" t="s">
        <v>269</v>
      </c>
      <c r="D6492" s="4">
        <v>1081</v>
      </c>
      <c r="E6492" s="4">
        <v>57</v>
      </c>
      <c r="G6492">
        <f t="shared" si="101"/>
        <v>512</v>
      </c>
    </row>
    <row r="6493" spans="2:7" ht="15" hidden="1" x14ac:dyDescent="0.25">
      <c r="B6493" s="4">
        <v>584632811</v>
      </c>
      <c r="C6493" s="4" t="s">
        <v>269</v>
      </c>
      <c r="D6493" s="4">
        <v>1082</v>
      </c>
      <c r="E6493" s="4">
        <v>57</v>
      </c>
      <c r="G6493">
        <f t="shared" si="101"/>
        <v>512</v>
      </c>
    </row>
    <row r="6494" spans="2:7" ht="15" hidden="1" x14ac:dyDescent="0.25">
      <c r="B6494" s="4">
        <v>584632812</v>
      </c>
      <c r="C6494" s="4" t="s">
        <v>269</v>
      </c>
      <c r="D6494" s="4">
        <v>1083</v>
      </c>
      <c r="E6494" s="4">
        <v>57</v>
      </c>
      <c r="G6494">
        <f t="shared" si="101"/>
        <v>512</v>
      </c>
    </row>
    <row r="6495" spans="2:7" ht="15" hidden="1" x14ac:dyDescent="0.25">
      <c r="B6495" s="4">
        <v>584632813</v>
      </c>
      <c r="C6495" s="4" t="s">
        <v>269</v>
      </c>
      <c r="D6495" s="4">
        <v>1084</v>
      </c>
      <c r="E6495" s="4">
        <v>57</v>
      </c>
      <c r="G6495">
        <f t="shared" si="101"/>
        <v>512</v>
      </c>
    </row>
    <row r="6496" spans="2:7" ht="15" hidden="1" x14ac:dyDescent="0.25">
      <c r="B6496" s="4">
        <v>584632814</v>
      </c>
      <c r="C6496" s="4" t="s">
        <v>269</v>
      </c>
      <c r="D6496" s="4">
        <v>1085</v>
      </c>
      <c r="E6496" s="4">
        <v>57</v>
      </c>
      <c r="G6496">
        <f t="shared" si="101"/>
        <v>512</v>
      </c>
    </row>
    <row r="6497" spans="2:7" ht="15" hidden="1" x14ac:dyDescent="0.25">
      <c r="B6497" s="4">
        <v>584632815</v>
      </c>
      <c r="C6497" s="4" t="s">
        <v>269</v>
      </c>
      <c r="D6497" s="4">
        <v>1086</v>
      </c>
      <c r="E6497" s="4">
        <v>57</v>
      </c>
      <c r="G6497">
        <f t="shared" si="101"/>
        <v>512</v>
      </c>
    </row>
    <row r="6498" spans="2:7" ht="15" hidden="1" x14ac:dyDescent="0.25">
      <c r="B6498" s="4">
        <v>584632816</v>
      </c>
      <c r="C6498" s="4" t="s">
        <v>269</v>
      </c>
      <c r="D6498" s="4">
        <v>1087</v>
      </c>
      <c r="E6498" s="4">
        <v>57</v>
      </c>
      <c r="G6498">
        <f t="shared" si="101"/>
        <v>512</v>
      </c>
    </row>
    <row r="6499" spans="2:7" ht="15" hidden="1" x14ac:dyDescent="0.25">
      <c r="B6499" s="4">
        <v>584632817</v>
      </c>
      <c r="C6499" s="4" t="s">
        <v>269</v>
      </c>
      <c r="D6499" s="4">
        <v>1088</v>
      </c>
      <c r="E6499" s="4">
        <v>57</v>
      </c>
      <c r="G6499">
        <f t="shared" si="101"/>
        <v>512</v>
      </c>
    </row>
    <row r="6500" spans="2:7" ht="15" hidden="1" x14ac:dyDescent="0.25">
      <c r="B6500" s="4">
        <v>584632818</v>
      </c>
      <c r="C6500" s="4" t="s">
        <v>269</v>
      </c>
      <c r="D6500" s="4">
        <v>1089</v>
      </c>
      <c r="E6500" s="4">
        <v>57</v>
      </c>
      <c r="G6500">
        <f t="shared" si="101"/>
        <v>512</v>
      </c>
    </row>
    <row r="6501" spans="2:7" ht="15" hidden="1" x14ac:dyDescent="0.25">
      <c r="B6501" s="4">
        <v>584632818</v>
      </c>
      <c r="C6501" s="4" t="s">
        <v>272</v>
      </c>
      <c r="D6501" s="4">
        <v>97</v>
      </c>
      <c r="E6501" s="4">
        <v>211</v>
      </c>
      <c r="G6501">
        <f t="shared" si="101"/>
        <v>1744</v>
      </c>
    </row>
    <row r="6502" spans="2:7" ht="15" hidden="1" x14ac:dyDescent="0.25">
      <c r="B6502" s="4">
        <v>584632819</v>
      </c>
      <c r="C6502" s="4" t="s">
        <v>269</v>
      </c>
      <c r="D6502" s="4">
        <v>1090</v>
      </c>
      <c r="E6502" s="4">
        <v>57</v>
      </c>
      <c r="G6502">
        <f t="shared" si="101"/>
        <v>512</v>
      </c>
    </row>
    <row r="6503" spans="2:7" ht="15" hidden="1" x14ac:dyDescent="0.25">
      <c r="B6503" s="4">
        <v>584632820</v>
      </c>
      <c r="C6503" s="4" t="s">
        <v>269</v>
      </c>
      <c r="D6503" s="4">
        <v>1091</v>
      </c>
      <c r="E6503" s="4">
        <v>57</v>
      </c>
      <c r="G6503">
        <f t="shared" si="101"/>
        <v>512</v>
      </c>
    </row>
    <row r="6504" spans="2:7" ht="15" hidden="1" x14ac:dyDescent="0.25">
      <c r="B6504" s="4">
        <v>584632821</v>
      </c>
      <c r="C6504" s="4" t="s">
        <v>269</v>
      </c>
      <c r="D6504" s="4">
        <v>1092</v>
      </c>
      <c r="E6504" s="4">
        <v>57</v>
      </c>
      <c r="G6504">
        <f t="shared" si="101"/>
        <v>512</v>
      </c>
    </row>
    <row r="6505" spans="2:7" ht="15" hidden="1" x14ac:dyDescent="0.25">
      <c r="B6505" s="4">
        <v>584632822</v>
      </c>
      <c r="C6505" s="4" t="s">
        <v>269</v>
      </c>
      <c r="D6505" s="4">
        <v>1093</v>
      </c>
      <c r="E6505" s="4">
        <v>57</v>
      </c>
      <c r="G6505">
        <f t="shared" si="101"/>
        <v>512</v>
      </c>
    </row>
    <row r="6506" spans="2:7" ht="15" hidden="1" x14ac:dyDescent="0.25">
      <c r="B6506" s="4">
        <v>584632823</v>
      </c>
      <c r="C6506" s="4" t="s">
        <v>269</v>
      </c>
      <c r="D6506" s="4">
        <v>1094</v>
      </c>
      <c r="E6506" s="4">
        <v>57</v>
      </c>
      <c r="G6506">
        <f t="shared" si="101"/>
        <v>512</v>
      </c>
    </row>
    <row r="6507" spans="2:7" ht="15" hidden="1" x14ac:dyDescent="0.25">
      <c r="B6507" s="4">
        <v>584632824</v>
      </c>
      <c r="C6507" s="4" t="s">
        <v>269</v>
      </c>
      <c r="D6507" s="4">
        <v>1095</v>
      </c>
      <c r="E6507" s="4">
        <v>57</v>
      </c>
      <c r="G6507">
        <f t="shared" si="101"/>
        <v>512</v>
      </c>
    </row>
    <row r="6508" spans="2:7" ht="15" hidden="1" x14ac:dyDescent="0.25">
      <c r="B6508" s="4">
        <v>584632825</v>
      </c>
      <c r="C6508" s="4" t="s">
        <v>269</v>
      </c>
      <c r="D6508" s="4">
        <v>1096</v>
      </c>
      <c r="E6508" s="4">
        <v>57</v>
      </c>
      <c r="G6508">
        <f t="shared" si="101"/>
        <v>512</v>
      </c>
    </row>
    <row r="6509" spans="2:7" ht="15" hidden="1" x14ac:dyDescent="0.25">
      <c r="B6509" s="4">
        <v>584632826</v>
      </c>
      <c r="C6509" s="4" t="s">
        <v>269</v>
      </c>
      <c r="D6509" s="4">
        <v>1097</v>
      </c>
      <c r="E6509" s="4">
        <v>57</v>
      </c>
      <c r="G6509">
        <f t="shared" si="101"/>
        <v>512</v>
      </c>
    </row>
    <row r="6510" spans="2:7" ht="15" hidden="1" x14ac:dyDescent="0.25">
      <c r="B6510" s="4">
        <v>584632827</v>
      </c>
      <c r="C6510" s="4" t="s">
        <v>269</v>
      </c>
      <c r="D6510" s="4">
        <v>1098</v>
      </c>
      <c r="E6510" s="4">
        <v>57</v>
      </c>
      <c r="G6510">
        <f t="shared" si="101"/>
        <v>512</v>
      </c>
    </row>
    <row r="6511" spans="2:7" ht="15" hidden="1" x14ac:dyDescent="0.25">
      <c r="B6511" s="4">
        <v>584632828</v>
      </c>
      <c r="C6511" s="4" t="s">
        <v>269</v>
      </c>
      <c r="D6511" s="4">
        <v>1099</v>
      </c>
      <c r="E6511" s="4">
        <v>57</v>
      </c>
      <c r="G6511">
        <f t="shared" si="101"/>
        <v>512</v>
      </c>
    </row>
    <row r="6512" spans="2:7" ht="15" hidden="1" x14ac:dyDescent="0.25">
      <c r="B6512" s="4">
        <v>584632828</v>
      </c>
      <c r="C6512" s="4" t="s">
        <v>272</v>
      </c>
      <c r="D6512" s="4">
        <v>98</v>
      </c>
      <c r="E6512" s="4">
        <v>209</v>
      </c>
      <c r="G6512">
        <f t="shared" si="101"/>
        <v>1728</v>
      </c>
    </row>
    <row r="6513" spans="2:7" ht="15" hidden="1" x14ac:dyDescent="0.25">
      <c r="B6513" s="4">
        <v>584632829</v>
      </c>
      <c r="C6513" s="4" t="s">
        <v>269</v>
      </c>
      <c r="D6513" s="4">
        <v>1100</v>
      </c>
      <c r="E6513" s="4">
        <v>57</v>
      </c>
      <c r="G6513">
        <f t="shared" si="101"/>
        <v>512</v>
      </c>
    </row>
    <row r="6514" spans="2:7" ht="15" hidden="1" x14ac:dyDescent="0.25">
      <c r="B6514" s="4">
        <v>584632830</v>
      </c>
      <c r="C6514" s="4" t="s">
        <v>269</v>
      </c>
      <c r="D6514" s="4">
        <v>1101</v>
      </c>
      <c r="E6514" s="4">
        <v>57</v>
      </c>
      <c r="G6514">
        <f t="shared" si="101"/>
        <v>512</v>
      </c>
    </row>
    <row r="6515" spans="2:7" ht="15" hidden="1" x14ac:dyDescent="0.25">
      <c r="B6515" s="4">
        <v>584632831</v>
      </c>
      <c r="C6515" s="4" t="s">
        <v>269</v>
      </c>
      <c r="D6515" s="4">
        <v>1102</v>
      </c>
      <c r="E6515" s="4">
        <v>57</v>
      </c>
      <c r="G6515">
        <f t="shared" si="101"/>
        <v>512</v>
      </c>
    </row>
    <row r="6516" spans="2:7" ht="15" hidden="1" x14ac:dyDescent="0.25">
      <c r="B6516" s="4">
        <v>584632832</v>
      </c>
      <c r="C6516" s="4" t="s">
        <v>268</v>
      </c>
      <c r="D6516" s="4">
        <v>250</v>
      </c>
      <c r="E6516" s="4">
        <v>6</v>
      </c>
      <c r="G6516">
        <f t="shared" si="101"/>
        <v>104</v>
      </c>
    </row>
    <row r="6517" spans="2:7" ht="15" hidden="1" x14ac:dyDescent="0.25">
      <c r="B6517" s="4">
        <v>584632832</v>
      </c>
      <c r="C6517" s="4" t="s">
        <v>268</v>
      </c>
      <c r="D6517" s="4">
        <v>250</v>
      </c>
      <c r="E6517" s="4">
        <v>6</v>
      </c>
      <c r="G6517">
        <f t="shared" si="101"/>
        <v>104</v>
      </c>
    </row>
    <row r="6518" spans="2:7" ht="15" hidden="1" x14ac:dyDescent="0.25">
      <c r="B6518" s="4">
        <v>584632832</v>
      </c>
      <c r="C6518" s="4" t="s">
        <v>268</v>
      </c>
      <c r="D6518" s="4">
        <v>251</v>
      </c>
      <c r="E6518" s="4">
        <v>9</v>
      </c>
      <c r="G6518">
        <f t="shared" si="101"/>
        <v>128</v>
      </c>
    </row>
    <row r="6519" spans="2:7" ht="15" hidden="1" x14ac:dyDescent="0.25">
      <c r="B6519" s="4">
        <v>584632832</v>
      </c>
      <c r="C6519" s="4" t="s">
        <v>268</v>
      </c>
      <c r="D6519" s="4">
        <v>251</v>
      </c>
      <c r="E6519" s="4">
        <v>9</v>
      </c>
      <c r="G6519">
        <f t="shared" si="101"/>
        <v>128</v>
      </c>
    </row>
    <row r="6520" spans="2:7" ht="15" hidden="1" x14ac:dyDescent="0.25">
      <c r="B6520" s="4">
        <v>584632832</v>
      </c>
      <c r="C6520" s="4" t="s">
        <v>268</v>
      </c>
      <c r="D6520" s="4">
        <v>252</v>
      </c>
      <c r="E6520" s="4">
        <v>7</v>
      </c>
      <c r="G6520">
        <f t="shared" si="101"/>
        <v>112</v>
      </c>
    </row>
    <row r="6521" spans="2:7" ht="15" hidden="1" x14ac:dyDescent="0.25">
      <c r="B6521" s="4">
        <v>584632832</v>
      </c>
      <c r="C6521" s="4" t="s">
        <v>268</v>
      </c>
      <c r="D6521" s="4">
        <v>252</v>
      </c>
      <c r="E6521" s="4">
        <v>7</v>
      </c>
      <c r="G6521">
        <f t="shared" si="101"/>
        <v>112</v>
      </c>
    </row>
    <row r="6522" spans="2:7" ht="15" hidden="1" x14ac:dyDescent="0.25">
      <c r="B6522" s="4">
        <v>584632832</v>
      </c>
      <c r="C6522" s="4" t="s">
        <v>268</v>
      </c>
      <c r="D6522" s="4">
        <v>253</v>
      </c>
      <c r="E6522" s="4">
        <v>7</v>
      </c>
      <c r="G6522">
        <f t="shared" si="101"/>
        <v>112</v>
      </c>
    </row>
    <row r="6523" spans="2:7" ht="15" hidden="1" x14ac:dyDescent="0.25">
      <c r="B6523" s="4">
        <v>584632832</v>
      </c>
      <c r="C6523" s="4" t="s">
        <v>268</v>
      </c>
      <c r="D6523" s="4">
        <v>253</v>
      </c>
      <c r="E6523" s="4">
        <v>7</v>
      </c>
      <c r="G6523">
        <f t="shared" si="101"/>
        <v>112</v>
      </c>
    </row>
    <row r="6524" spans="2:7" ht="15" hidden="1" x14ac:dyDescent="0.25">
      <c r="B6524" s="4">
        <v>584632832</v>
      </c>
      <c r="C6524" s="4" t="s">
        <v>268</v>
      </c>
      <c r="D6524" s="4">
        <v>254</v>
      </c>
      <c r="E6524" s="4">
        <v>7</v>
      </c>
      <c r="G6524">
        <f t="shared" si="101"/>
        <v>112</v>
      </c>
    </row>
    <row r="6525" spans="2:7" ht="15" hidden="1" x14ac:dyDescent="0.25">
      <c r="B6525" s="4">
        <v>584632832</v>
      </c>
      <c r="C6525" s="4" t="s">
        <v>268</v>
      </c>
      <c r="D6525" s="4">
        <v>254</v>
      </c>
      <c r="E6525" s="4">
        <v>7</v>
      </c>
      <c r="G6525">
        <f t="shared" si="101"/>
        <v>112</v>
      </c>
    </row>
    <row r="6526" spans="2:7" ht="15" hidden="1" x14ac:dyDescent="0.25">
      <c r="B6526" s="4">
        <v>584632832</v>
      </c>
      <c r="C6526" s="4" t="s">
        <v>269</v>
      </c>
      <c r="D6526" s="4">
        <v>1103</v>
      </c>
      <c r="E6526" s="4">
        <v>57</v>
      </c>
      <c r="G6526">
        <f t="shared" si="101"/>
        <v>512</v>
      </c>
    </row>
    <row r="6527" spans="2:7" ht="15" hidden="1" x14ac:dyDescent="0.25">
      <c r="B6527" s="4">
        <v>584632833</v>
      </c>
      <c r="C6527" s="4" t="s">
        <v>269</v>
      </c>
      <c r="D6527" s="4">
        <v>1104</v>
      </c>
      <c r="E6527" s="4">
        <v>57</v>
      </c>
      <c r="G6527">
        <f t="shared" si="101"/>
        <v>512</v>
      </c>
    </row>
    <row r="6528" spans="2:7" ht="15" hidden="1" x14ac:dyDescent="0.25">
      <c r="B6528" s="4">
        <v>584632834</v>
      </c>
      <c r="C6528" s="4" t="s">
        <v>268</v>
      </c>
      <c r="D6528" s="4">
        <v>255</v>
      </c>
      <c r="E6528" s="4">
        <v>7</v>
      </c>
      <c r="G6528">
        <f t="shared" si="101"/>
        <v>112</v>
      </c>
    </row>
    <row r="6529" spans="2:7" ht="15" hidden="1" x14ac:dyDescent="0.25">
      <c r="B6529" s="4">
        <v>584632834</v>
      </c>
      <c r="C6529" s="4" t="s">
        <v>268</v>
      </c>
      <c r="D6529" s="4">
        <v>255</v>
      </c>
      <c r="E6529" s="4">
        <v>7</v>
      </c>
      <c r="G6529">
        <f t="shared" si="101"/>
        <v>112</v>
      </c>
    </row>
    <row r="6530" spans="2:7" ht="15" hidden="1" x14ac:dyDescent="0.25">
      <c r="B6530" s="4">
        <v>584632834</v>
      </c>
      <c r="C6530" s="4" t="s">
        <v>268</v>
      </c>
      <c r="D6530" s="4">
        <v>256</v>
      </c>
      <c r="E6530" s="4">
        <v>5</v>
      </c>
      <c r="G6530">
        <f t="shared" si="101"/>
        <v>96</v>
      </c>
    </row>
    <row r="6531" spans="2:7" ht="15" hidden="1" x14ac:dyDescent="0.25">
      <c r="B6531" s="4">
        <v>584632834</v>
      </c>
      <c r="C6531" s="4" t="s">
        <v>268</v>
      </c>
      <c r="D6531" s="4">
        <v>256</v>
      </c>
      <c r="E6531" s="4">
        <v>5</v>
      </c>
      <c r="G6531">
        <f t="shared" si="101"/>
        <v>96</v>
      </c>
    </row>
    <row r="6532" spans="2:7" ht="15" hidden="1" x14ac:dyDescent="0.25">
      <c r="B6532" s="4">
        <v>584632834</v>
      </c>
      <c r="C6532" s="4" t="s">
        <v>268</v>
      </c>
      <c r="D6532" s="4">
        <v>257</v>
      </c>
      <c r="E6532" s="4">
        <v>7</v>
      </c>
      <c r="G6532">
        <f t="shared" ref="G6532:G6595" si="102">(E6532+7)*8</f>
        <v>112</v>
      </c>
    </row>
    <row r="6533" spans="2:7" ht="15" hidden="1" x14ac:dyDescent="0.25">
      <c r="B6533" s="4">
        <v>584632834</v>
      </c>
      <c r="C6533" s="4" t="s">
        <v>268</v>
      </c>
      <c r="D6533" s="4">
        <v>257</v>
      </c>
      <c r="E6533" s="4">
        <v>7</v>
      </c>
      <c r="G6533">
        <f t="shared" si="102"/>
        <v>112</v>
      </c>
    </row>
    <row r="6534" spans="2:7" ht="15" hidden="1" x14ac:dyDescent="0.25">
      <c r="B6534" s="4">
        <v>584632834</v>
      </c>
      <c r="C6534" s="4" t="s">
        <v>269</v>
      </c>
      <c r="D6534" s="4">
        <v>1105</v>
      </c>
      <c r="E6534" s="4">
        <v>57</v>
      </c>
      <c r="G6534">
        <f t="shared" si="102"/>
        <v>512</v>
      </c>
    </row>
    <row r="6535" spans="2:7" ht="15" hidden="1" x14ac:dyDescent="0.25">
      <c r="B6535" s="4">
        <v>584632835</v>
      </c>
      <c r="C6535" s="4" t="s">
        <v>269</v>
      </c>
      <c r="D6535" s="4">
        <v>1106</v>
      </c>
      <c r="E6535" s="4">
        <v>57</v>
      </c>
      <c r="G6535">
        <f t="shared" si="102"/>
        <v>512</v>
      </c>
    </row>
    <row r="6536" spans="2:7" ht="15" hidden="1" x14ac:dyDescent="0.25">
      <c r="B6536" s="4">
        <v>584632836</v>
      </c>
      <c r="C6536" s="4" t="s">
        <v>269</v>
      </c>
      <c r="D6536" s="4">
        <v>1107</v>
      </c>
      <c r="E6536" s="4">
        <v>57</v>
      </c>
      <c r="G6536">
        <f t="shared" si="102"/>
        <v>512</v>
      </c>
    </row>
    <row r="6537" spans="2:7" ht="15" hidden="1" x14ac:dyDescent="0.25">
      <c r="B6537" s="4">
        <v>584632837</v>
      </c>
      <c r="C6537" s="4" t="s">
        <v>269</v>
      </c>
      <c r="D6537" s="4">
        <v>1108</v>
      </c>
      <c r="E6537" s="4">
        <v>57</v>
      </c>
      <c r="G6537">
        <f t="shared" si="102"/>
        <v>512</v>
      </c>
    </row>
    <row r="6538" spans="2:7" ht="15" hidden="1" x14ac:dyDescent="0.25">
      <c r="B6538" s="4">
        <v>584632838</v>
      </c>
      <c r="C6538" s="4" t="s">
        <v>269</v>
      </c>
      <c r="D6538" s="4">
        <v>1109</v>
      </c>
      <c r="E6538" s="4">
        <v>57</v>
      </c>
      <c r="G6538">
        <f t="shared" si="102"/>
        <v>512</v>
      </c>
    </row>
    <row r="6539" spans="2:7" ht="15" hidden="1" x14ac:dyDescent="0.25">
      <c r="B6539" s="4">
        <v>584632838</v>
      </c>
      <c r="C6539" s="4" t="s">
        <v>272</v>
      </c>
      <c r="D6539" s="4">
        <v>99</v>
      </c>
      <c r="E6539" s="4">
        <v>211</v>
      </c>
      <c r="G6539">
        <f t="shared" si="102"/>
        <v>1744</v>
      </c>
    </row>
    <row r="6540" spans="2:7" ht="15" hidden="1" x14ac:dyDescent="0.25">
      <c r="B6540" s="4">
        <v>584632839</v>
      </c>
      <c r="C6540" s="4" t="s">
        <v>269</v>
      </c>
      <c r="D6540" s="4">
        <v>1110</v>
      </c>
      <c r="E6540" s="4">
        <v>57</v>
      </c>
      <c r="G6540">
        <f t="shared" si="102"/>
        <v>512</v>
      </c>
    </row>
    <row r="6541" spans="2:7" ht="15" hidden="1" x14ac:dyDescent="0.25">
      <c r="B6541" s="4">
        <v>584632840</v>
      </c>
      <c r="C6541" s="4" t="s">
        <v>269</v>
      </c>
      <c r="D6541" s="4">
        <v>1111</v>
      </c>
      <c r="E6541" s="4">
        <v>57</v>
      </c>
      <c r="G6541">
        <f t="shared" si="102"/>
        <v>512</v>
      </c>
    </row>
    <row r="6542" spans="2:7" ht="15" hidden="1" x14ac:dyDescent="0.25">
      <c r="B6542" s="4">
        <v>584632841</v>
      </c>
      <c r="C6542" s="4" t="s">
        <v>269</v>
      </c>
      <c r="D6542" s="4">
        <v>1112</v>
      </c>
      <c r="E6542" s="4">
        <v>57</v>
      </c>
      <c r="G6542">
        <f t="shared" si="102"/>
        <v>512</v>
      </c>
    </row>
    <row r="6543" spans="2:7" ht="15" hidden="1" x14ac:dyDescent="0.25">
      <c r="B6543" s="4">
        <v>584632842</v>
      </c>
      <c r="C6543" s="4" t="s">
        <v>269</v>
      </c>
      <c r="D6543" s="4">
        <v>1113</v>
      </c>
      <c r="E6543" s="4">
        <v>57</v>
      </c>
      <c r="G6543">
        <f t="shared" si="102"/>
        <v>512</v>
      </c>
    </row>
    <row r="6544" spans="2:7" ht="15" hidden="1" x14ac:dyDescent="0.25">
      <c r="B6544" s="4">
        <v>584632843</v>
      </c>
      <c r="C6544" s="4" t="s">
        <v>269</v>
      </c>
      <c r="D6544" s="4">
        <v>1114</v>
      </c>
      <c r="E6544" s="4">
        <v>57</v>
      </c>
      <c r="G6544">
        <f t="shared" si="102"/>
        <v>512</v>
      </c>
    </row>
    <row r="6545" spans="2:7" ht="15" hidden="1" x14ac:dyDescent="0.25">
      <c r="B6545" s="4">
        <v>584632844</v>
      </c>
      <c r="C6545" s="4" t="s">
        <v>269</v>
      </c>
      <c r="D6545" s="4">
        <v>1115</v>
      </c>
      <c r="E6545" s="4">
        <v>57</v>
      </c>
      <c r="G6545">
        <f t="shared" si="102"/>
        <v>512</v>
      </c>
    </row>
    <row r="6546" spans="2:7" ht="15" hidden="1" x14ac:dyDescent="0.25">
      <c r="B6546" s="4">
        <v>584632845</v>
      </c>
      <c r="C6546" s="4" t="s">
        <v>269</v>
      </c>
      <c r="D6546" s="4">
        <v>1116</v>
      </c>
      <c r="E6546" s="4">
        <v>57</v>
      </c>
      <c r="G6546">
        <f t="shared" si="102"/>
        <v>512</v>
      </c>
    </row>
    <row r="6547" spans="2:7" ht="15" hidden="1" x14ac:dyDescent="0.25">
      <c r="B6547" s="4">
        <v>584632846</v>
      </c>
      <c r="C6547" s="4" t="s">
        <v>269</v>
      </c>
      <c r="D6547" s="4">
        <v>1117</v>
      </c>
      <c r="E6547" s="4">
        <v>57</v>
      </c>
      <c r="G6547">
        <f t="shared" si="102"/>
        <v>512</v>
      </c>
    </row>
    <row r="6548" spans="2:7" ht="15" hidden="1" x14ac:dyDescent="0.25">
      <c r="B6548" s="4">
        <v>584632847</v>
      </c>
      <c r="C6548" s="4" t="s">
        <v>269</v>
      </c>
      <c r="D6548" s="4">
        <v>1118</v>
      </c>
      <c r="E6548" s="4">
        <v>57</v>
      </c>
      <c r="G6548">
        <f t="shared" si="102"/>
        <v>512</v>
      </c>
    </row>
    <row r="6549" spans="2:7" ht="15" hidden="1" x14ac:dyDescent="0.25">
      <c r="B6549" s="4">
        <v>584632848</v>
      </c>
      <c r="C6549" s="4" t="s">
        <v>269</v>
      </c>
      <c r="D6549" s="4">
        <v>1119</v>
      </c>
      <c r="E6549" s="4">
        <v>57</v>
      </c>
      <c r="G6549">
        <f t="shared" si="102"/>
        <v>512</v>
      </c>
    </row>
    <row r="6550" spans="2:7" ht="15" hidden="1" x14ac:dyDescent="0.25">
      <c r="B6550" s="4">
        <v>584632848</v>
      </c>
      <c r="C6550" s="4" t="s">
        <v>272</v>
      </c>
      <c r="D6550" s="4">
        <v>100</v>
      </c>
      <c r="E6550" s="4">
        <v>209</v>
      </c>
      <c r="G6550">
        <f t="shared" si="102"/>
        <v>1728</v>
      </c>
    </row>
    <row r="6551" spans="2:7" ht="15" hidden="1" x14ac:dyDescent="0.25">
      <c r="B6551" s="4">
        <v>584632849</v>
      </c>
      <c r="C6551" s="4" t="s">
        <v>269</v>
      </c>
      <c r="D6551" s="4">
        <v>1120</v>
      </c>
      <c r="E6551" s="4">
        <v>57</v>
      </c>
      <c r="G6551">
        <f t="shared" si="102"/>
        <v>512</v>
      </c>
    </row>
    <row r="6552" spans="2:7" ht="15" hidden="1" x14ac:dyDescent="0.25">
      <c r="B6552" s="4">
        <v>584632850</v>
      </c>
      <c r="C6552" s="4" t="s">
        <v>269</v>
      </c>
      <c r="D6552" s="4">
        <v>1121</v>
      </c>
      <c r="E6552" s="4">
        <v>57</v>
      </c>
      <c r="G6552">
        <f t="shared" si="102"/>
        <v>512</v>
      </c>
    </row>
    <row r="6553" spans="2:7" ht="15" hidden="1" x14ac:dyDescent="0.25">
      <c r="B6553" s="4">
        <v>584632851</v>
      </c>
      <c r="C6553" s="4" t="s">
        <v>269</v>
      </c>
      <c r="D6553" s="4">
        <v>1122</v>
      </c>
      <c r="E6553" s="4">
        <v>57</v>
      </c>
      <c r="G6553">
        <f t="shared" si="102"/>
        <v>512</v>
      </c>
    </row>
    <row r="6554" spans="2:7" ht="15" hidden="1" x14ac:dyDescent="0.25">
      <c r="B6554" s="4">
        <v>584632852</v>
      </c>
      <c r="C6554" s="4" t="s">
        <v>269</v>
      </c>
      <c r="D6554" s="4">
        <v>1123</v>
      </c>
      <c r="E6554" s="4">
        <v>57</v>
      </c>
      <c r="G6554">
        <f t="shared" si="102"/>
        <v>512</v>
      </c>
    </row>
    <row r="6555" spans="2:7" ht="15" hidden="1" x14ac:dyDescent="0.25">
      <c r="B6555" s="4">
        <v>584632853</v>
      </c>
      <c r="C6555" s="4" t="s">
        <v>269</v>
      </c>
      <c r="D6555" s="4">
        <v>1124</v>
      </c>
      <c r="E6555" s="4">
        <v>57</v>
      </c>
      <c r="G6555">
        <f t="shared" si="102"/>
        <v>512</v>
      </c>
    </row>
    <row r="6556" spans="2:7" ht="15" hidden="1" x14ac:dyDescent="0.25">
      <c r="B6556" s="4">
        <v>584632854</v>
      </c>
      <c r="C6556" s="4" t="s">
        <v>269</v>
      </c>
      <c r="D6556" s="4">
        <v>1125</v>
      </c>
      <c r="E6556" s="4">
        <v>57</v>
      </c>
      <c r="G6556">
        <f t="shared" si="102"/>
        <v>512</v>
      </c>
    </row>
    <row r="6557" spans="2:7" ht="15" hidden="1" x14ac:dyDescent="0.25">
      <c r="B6557" s="4">
        <v>584632855</v>
      </c>
      <c r="C6557" s="4" t="s">
        <v>269</v>
      </c>
      <c r="D6557" s="4">
        <v>1126</v>
      </c>
      <c r="E6557" s="4">
        <v>57</v>
      </c>
      <c r="G6557">
        <f t="shared" si="102"/>
        <v>512</v>
      </c>
    </row>
    <row r="6558" spans="2:7" ht="15" hidden="1" x14ac:dyDescent="0.25">
      <c r="B6558" s="4">
        <v>584632856</v>
      </c>
      <c r="C6558" s="4" t="s">
        <v>269</v>
      </c>
      <c r="D6558" s="4">
        <v>1127</v>
      </c>
      <c r="E6558" s="4">
        <v>57</v>
      </c>
      <c r="G6558">
        <f t="shared" si="102"/>
        <v>512</v>
      </c>
    </row>
    <row r="6559" spans="2:7" ht="15" hidden="1" x14ac:dyDescent="0.25">
      <c r="B6559" s="4">
        <v>584632857</v>
      </c>
      <c r="C6559" s="4" t="s">
        <v>269</v>
      </c>
      <c r="D6559" s="4">
        <v>1128</v>
      </c>
      <c r="E6559" s="4">
        <v>57</v>
      </c>
      <c r="G6559">
        <f t="shared" si="102"/>
        <v>512</v>
      </c>
    </row>
    <row r="6560" spans="2:7" ht="15" hidden="1" x14ac:dyDescent="0.25">
      <c r="B6560" s="4">
        <v>584632858</v>
      </c>
      <c r="C6560" s="4" t="s">
        <v>269</v>
      </c>
      <c r="D6560" s="4">
        <v>1129</v>
      </c>
      <c r="E6560" s="4">
        <v>57</v>
      </c>
      <c r="G6560">
        <f t="shared" si="102"/>
        <v>512</v>
      </c>
    </row>
    <row r="6561" spans="2:7" ht="15" hidden="1" x14ac:dyDescent="0.25">
      <c r="B6561" s="4">
        <v>584632858</v>
      </c>
      <c r="C6561" s="4" t="s">
        <v>272</v>
      </c>
      <c r="D6561" s="4">
        <v>101</v>
      </c>
      <c r="E6561" s="4">
        <v>211</v>
      </c>
      <c r="G6561">
        <f t="shared" si="102"/>
        <v>1744</v>
      </c>
    </row>
    <row r="6562" spans="2:7" ht="15" hidden="1" x14ac:dyDescent="0.25">
      <c r="B6562" s="4">
        <v>584632859</v>
      </c>
      <c r="C6562" s="4" t="s">
        <v>269</v>
      </c>
      <c r="D6562" s="4">
        <v>1130</v>
      </c>
      <c r="E6562" s="4">
        <v>57</v>
      </c>
      <c r="G6562">
        <f t="shared" si="102"/>
        <v>512</v>
      </c>
    </row>
    <row r="6563" spans="2:7" ht="15" hidden="1" x14ac:dyDescent="0.25">
      <c r="B6563" s="4">
        <v>584632860</v>
      </c>
      <c r="C6563" s="4" t="s">
        <v>269</v>
      </c>
      <c r="D6563" s="4">
        <v>1131</v>
      </c>
      <c r="E6563" s="4">
        <v>57</v>
      </c>
      <c r="G6563">
        <f t="shared" si="102"/>
        <v>512</v>
      </c>
    </row>
    <row r="6564" spans="2:7" ht="15" hidden="1" x14ac:dyDescent="0.25">
      <c r="B6564" s="4">
        <v>584632861</v>
      </c>
      <c r="C6564" s="4" t="s">
        <v>269</v>
      </c>
      <c r="D6564" s="4">
        <v>1132</v>
      </c>
      <c r="E6564" s="4">
        <v>57</v>
      </c>
      <c r="G6564">
        <f t="shared" si="102"/>
        <v>512</v>
      </c>
    </row>
    <row r="6565" spans="2:7" ht="15" hidden="1" x14ac:dyDescent="0.25">
      <c r="B6565" s="4">
        <v>584632862</v>
      </c>
      <c r="C6565" s="4" t="s">
        <v>269</v>
      </c>
      <c r="D6565" s="4">
        <v>1133</v>
      </c>
      <c r="E6565" s="4">
        <v>57</v>
      </c>
      <c r="G6565">
        <f t="shared" si="102"/>
        <v>512</v>
      </c>
    </row>
    <row r="6566" spans="2:7" ht="15" hidden="1" x14ac:dyDescent="0.25">
      <c r="B6566" s="4">
        <v>584632863</v>
      </c>
      <c r="C6566" s="4" t="s">
        <v>269</v>
      </c>
      <c r="D6566" s="4">
        <v>1134</v>
      </c>
      <c r="E6566" s="4">
        <v>57</v>
      </c>
      <c r="G6566">
        <f t="shared" si="102"/>
        <v>512</v>
      </c>
    </row>
    <row r="6567" spans="2:7" ht="15" hidden="1" x14ac:dyDescent="0.25">
      <c r="B6567" s="4">
        <v>584632864</v>
      </c>
      <c r="C6567" s="4" t="s">
        <v>269</v>
      </c>
      <c r="D6567" s="4">
        <v>1135</v>
      </c>
      <c r="E6567" s="4">
        <v>57</v>
      </c>
      <c r="G6567">
        <f t="shared" si="102"/>
        <v>512</v>
      </c>
    </row>
    <row r="6568" spans="2:7" ht="15" hidden="1" x14ac:dyDescent="0.25">
      <c r="B6568" s="4">
        <v>584632865</v>
      </c>
      <c r="C6568" s="4" t="s">
        <v>269</v>
      </c>
      <c r="D6568" s="4">
        <v>1136</v>
      </c>
      <c r="E6568" s="4">
        <v>57</v>
      </c>
      <c r="G6568">
        <f t="shared" si="102"/>
        <v>512</v>
      </c>
    </row>
    <row r="6569" spans="2:7" ht="15" hidden="1" x14ac:dyDescent="0.25">
      <c r="B6569" s="4">
        <v>584632866</v>
      </c>
      <c r="C6569" s="4" t="s">
        <v>269</v>
      </c>
      <c r="D6569" s="4">
        <v>1137</v>
      </c>
      <c r="E6569" s="4">
        <v>57</v>
      </c>
      <c r="G6569">
        <f t="shared" si="102"/>
        <v>512</v>
      </c>
    </row>
    <row r="6570" spans="2:7" ht="15" hidden="1" x14ac:dyDescent="0.25">
      <c r="B6570" s="4">
        <v>584632867</v>
      </c>
      <c r="C6570" s="4" t="s">
        <v>269</v>
      </c>
      <c r="D6570" s="4">
        <v>1138</v>
      </c>
      <c r="E6570" s="4">
        <v>57</v>
      </c>
      <c r="G6570">
        <f t="shared" si="102"/>
        <v>512</v>
      </c>
    </row>
    <row r="6571" spans="2:7" ht="15" hidden="1" x14ac:dyDescent="0.25">
      <c r="B6571" s="4">
        <v>584632868</v>
      </c>
      <c r="C6571" s="4" t="s">
        <v>269</v>
      </c>
      <c r="D6571" s="4">
        <v>1139</v>
      </c>
      <c r="E6571" s="4">
        <v>57</v>
      </c>
      <c r="G6571">
        <f t="shared" si="102"/>
        <v>512</v>
      </c>
    </row>
    <row r="6572" spans="2:7" ht="15" hidden="1" x14ac:dyDescent="0.25">
      <c r="B6572" s="4">
        <v>584632868</v>
      </c>
      <c r="C6572" s="4" t="s">
        <v>272</v>
      </c>
      <c r="D6572" s="4">
        <v>102</v>
      </c>
      <c r="E6572" s="4">
        <v>211</v>
      </c>
      <c r="G6572">
        <f t="shared" si="102"/>
        <v>1744</v>
      </c>
    </row>
    <row r="6573" spans="2:7" ht="15" hidden="1" x14ac:dyDescent="0.25">
      <c r="B6573" s="4">
        <v>584632869</v>
      </c>
      <c r="C6573" s="4" t="s">
        <v>269</v>
      </c>
      <c r="D6573" s="4">
        <v>1140</v>
      </c>
      <c r="E6573" s="4">
        <v>57</v>
      </c>
      <c r="G6573">
        <f t="shared" si="102"/>
        <v>512</v>
      </c>
    </row>
    <row r="6574" spans="2:7" ht="15" hidden="1" x14ac:dyDescent="0.25">
      <c r="B6574" s="4">
        <v>584632870</v>
      </c>
      <c r="C6574" s="4" t="s">
        <v>269</v>
      </c>
      <c r="D6574" s="4">
        <v>1141</v>
      </c>
      <c r="E6574" s="4">
        <v>57</v>
      </c>
      <c r="G6574">
        <f t="shared" si="102"/>
        <v>512</v>
      </c>
    </row>
    <row r="6575" spans="2:7" ht="15" hidden="1" x14ac:dyDescent="0.25">
      <c r="B6575" s="4">
        <v>584632871</v>
      </c>
      <c r="C6575" s="4" t="s">
        <v>269</v>
      </c>
      <c r="D6575" s="4">
        <v>1142</v>
      </c>
      <c r="E6575" s="4">
        <v>57</v>
      </c>
      <c r="G6575">
        <f t="shared" si="102"/>
        <v>512</v>
      </c>
    </row>
    <row r="6576" spans="2:7" ht="15" hidden="1" x14ac:dyDescent="0.25">
      <c r="B6576" s="4">
        <v>584632872</v>
      </c>
      <c r="C6576" s="4" t="s">
        <v>269</v>
      </c>
      <c r="D6576" s="4">
        <v>1143</v>
      </c>
      <c r="E6576" s="4">
        <v>57</v>
      </c>
      <c r="G6576">
        <f t="shared" si="102"/>
        <v>512</v>
      </c>
    </row>
    <row r="6577" spans="2:7" ht="15" hidden="1" x14ac:dyDescent="0.25">
      <c r="B6577" s="4">
        <v>584632873</v>
      </c>
      <c r="C6577" s="4" t="s">
        <v>269</v>
      </c>
      <c r="D6577" s="4">
        <v>1144</v>
      </c>
      <c r="E6577" s="4">
        <v>57</v>
      </c>
      <c r="G6577">
        <f t="shared" si="102"/>
        <v>512</v>
      </c>
    </row>
    <row r="6578" spans="2:7" ht="15" hidden="1" x14ac:dyDescent="0.25">
      <c r="B6578" s="4">
        <v>584632874</v>
      </c>
      <c r="C6578" s="4" t="s">
        <v>269</v>
      </c>
      <c r="D6578" s="4">
        <v>1145</v>
      </c>
      <c r="E6578" s="4">
        <v>57</v>
      </c>
      <c r="G6578">
        <f t="shared" si="102"/>
        <v>512</v>
      </c>
    </row>
    <row r="6579" spans="2:7" ht="15" hidden="1" x14ac:dyDescent="0.25">
      <c r="B6579" s="4">
        <v>584632875</v>
      </c>
      <c r="C6579" s="4" t="s">
        <v>269</v>
      </c>
      <c r="D6579" s="4">
        <v>1146</v>
      </c>
      <c r="E6579" s="4">
        <v>57</v>
      </c>
      <c r="G6579">
        <f t="shared" si="102"/>
        <v>512</v>
      </c>
    </row>
    <row r="6580" spans="2:7" ht="15" hidden="1" x14ac:dyDescent="0.25">
      <c r="B6580" s="4">
        <v>584632876</v>
      </c>
      <c r="C6580" s="4" t="s">
        <v>269</v>
      </c>
      <c r="D6580" s="4">
        <v>1147</v>
      </c>
      <c r="E6580" s="4">
        <v>57</v>
      </c>
      <c r="G6580">
        <f t="shared" si="102"/>
        <v>512</v>
      </c>
    </row>
    <row r="6581" spans="2:7" ht="15" hidden="1" x14ac:dyDescent="0.25">
      <c r="B6581" s="4">
        <v>584632877</v>
      </c>
      <c r="C6581" s="4" t="s">
        <v>269</v>
      </c>
      <c r="D6581" s="4">
        <v>1148</v>
      </c>
      <c r="E6581" s="4">
        <v>57</v>
      </c>
      <c r="G6581">
        <f t="shared" si="102"/>
        <v>512</v>
      </c>
    </row>
    <row r="6582" spans="2:7" ht="15" hidden="1" x14ac:dyDescent="0.25">
      <c r="B6582" s="4">
        <v>584632878</v>
      </c>
      <c r="C6582" s="4" t="s">
        <v>269</v>
      </c>
      <c r="D6582" s="4">
        <v>1149</v>
      </c>
      <c r="E6582" s="4">
        <v>57</v>
      </c>
      <c r="G6582">
        <f t="shared" si="102"/>
        <v>512</v>
      </c>
    </row>
    <row r="6583" spans="2:7" ht="15" hidden="1" x14ac:dyDescent="0.25">
      <c r="B6583" s="4">
        <v>584632878</v>
      </c>
      <c r="C6583" s="4" t="s">
        <v>272</v>
      </c>
      <c r="D6583" s="4">
        <v>103</v>
      </c>
      <c r="E6583" s="4">
        <v>209</v>
      </c>
      <c r="G6583">
        <f t="shared" si="102"/>
        <v>1728</v>
      </c>
    </row>
    <row r="6584" spans="2:7" ht="15" hidden="1" x14ac:dyDescent="0.25">
      <c r="B6584" s="4">
        <v>584632879</v>
      </c>
      <c r="C6584" s="4" t="s">
        <v>269</v>
      </c>
      <c r="D6584" s="4">
        <v>1150</v>
      </c>
      <c r="E6584" s="4">
        <v>57</v>
      </c>
      <c r="G6584">
        <f t="shared" si="102"/>
        <v>512</v>
      </c>
    </row>
    <row r="6585" spans="2:7" ht="15" hidden="1" x14ac:dyDescent="0.25">
      <c r="B6585" s="4">
        <v>584632880</v>
      </c>
      <c r="C6585" s="4" t="s">
        <v>269</v>
      </c>
      <c r="D6585" s="4">
        <v>1151</v>
      </c>
      <c r="E6585" s="4">
        <v>57</v>
      </c>
      <c r="G6585">
        <f t="shared" si="102"/>
        <v>512</v>
      </c>
    </row>
    <row r="6586" spans="2:7" ht="15" hidden="1" x14ac:dyDescent="0.25">
      <c r="B6586" s="4">
        <v>584632881</v>
      </c>
      <c r="C6586" s="4" t="s">
        <v>269</v>
      </c>
      <c r="D6586" s="4">
        <v>1152</v>
      </c>
      <c r="E6586" s="4">
        <v>57</v>
      </c>
      <c r="G6586">
        <f t="shared" si="102"/>
        <v>512</v>
      </c>
    </row>
    <row r="6587" spans="2:7" ht="15" hidden="1" x14ac:dyDescent="0.25">
      <c r="B6587" s="4">
        <v>584632882</v>
      </c>
      <c r="C6587" s="4" t="s">
        <v>269</v>
      </c>
      <c r="D6587" s="4">
        <v>1153</v>
      </c>
      <c r="E6587" s="4">
        <v>57</v>
      </c>
      <c r="G6587">
        <f t="shared" si="102"/>
        <v>512</v>
      </c>
    </row>
    <row r="6588" spans="2:7" ht="15" hidden="1" x14ac:dyDescent="0.25">
      <c r="B6588" s="4">
        <v>584632883</v>
      </c>
      <c r="C6588" s="4" t="s">
        <v>269</v>
      </c>
      <c r="D6588" s="4">
        <v>1154</v>
      </c>
      <c r="E6588" s="4">
        <v>57</v>
      </c>
      <c r="G6588">
        <f t="shared" si="102"/>
        <v>512</v>
      </c>
    </row>
    <row r="6589" spans="2:7" ht="15" hidden="1" x14ac:dyDescent="0.25">
      <c r="B6589" s="4">
        <v>584632884</v>
      </c>
      <c r="C6589" s="4" t="s">
        <v>269</v>
      </c>
      <c r="D6589" s="4">
        <v>1155</v>
      </c>
      <c r="E6589" s="4">
        <v>57</v>
      </c>
      <c r="G6589">
        <f t="shared" si="102"/>
        <v>512</v>
      </c>
    </row>
    <row r="6590" spans="2:7" ht="15" hidden="1" x14ac:dyDescent="0.25">
      <c r="B6590" s="4">
        <v>584632885</v>
      </c>
      <c r="C6590" s="4" t="s">
        <v>269</v>
      </c>
      <c r="D6590" s="4">
        <v>1156</v>
      </c>
      <c r="E6590" s="4">
        <v>57</v>
      </c>
      <c r="G6590">
        <f t="shared" si="102"/>
        <v>512</v>
      </c>
    </row>
    <row r="6591" spans="2:7" ht="15" hidden="1" x14ac:dyDescent="0.25">
      <c r="B6591" s="4">
        <v>584632886</v>
      </c>
      <c r="C6591" s="4" t="s">
        <v>269</v>
      </c>
      <c r="D6591" s="4">
        <v>1157</v>
      </c>
      <c r="E6591" s="4">
        <v>57</v>
      </c>
      <c r="G6591">
        <f t="shared" si="102"/>
        <v>512</v>
      </c>
    </row>
    <row r="6592" spans="2:7" ht="15" hidden="1" x14ac:dyDescent="0.25">
      <c r="B6592" s="4">
        <v>584632887</v>
      </c>
      <c r="C6592" s="4" t="s">
        <v>269</v>
      </c>
      <c r="D6592" s="4">
        <v>1158</v>
      </c>
      <c r="E6592" s="4">
        <v>57</v>
      </c>
      <c r="G6592">
        <f t="shared" si="102"/>
        <v>512</v>
      </c>
    </row>
    <row r="6593" spans="2:7" ht="15" hidden="1" x14ac:dyDescent="0.25">
      <c r="B6593" s="4">
        <v>584632888</v>
      </c>
      <c r="C6593" s="4" t="s">
        <v>269</v>
      </c>
      <c r="D6593" s="4">
        <v>1159</v>
      </c>
      <c r="E6593" s="4">
        <v>57</v>
      </c>
      <c r="G6593">
        <f t="shared" si="102"/>
        <v>512</v>
      </c>
    </row>
    <row r="6594" spans="2:7" ht="15" hidden="1" x14ac:dyDescent="0.25">
      <c r="B6594" s="4">
        <v>584632888</v>
      </c>
      <c r="C6594" s="4" t="s">
        <v>272</v>
      </c>
      <c r="D6594" s="4">
        <v>104</v>
      </c>
      <c r="E6594" s="4">
        <v>211</v>
      </c>
      <c r="G6594">
        <f t="shared" si="102"/>
        <v>1744</v>
      </c>
    </row>
    <row r="6595" spans="2:7" ht="15" hidden="1" x14ac:dyDescent="0.25">
      <c r="B6595" s="4">
        <v>584632889</v>
      </c>
      <c r="C6595" s="4" t="s">
        <v>269</v>
      </c>
      <c r="D6595" s="4">
        <v>1160</v>
      </c>
      <c r="E6595" s="4">
        <v>57</v>
      </c>
      <c r="G6595">
        <f t="shared" si="102"/>
        <v>512</v>
      </c>
    </row>
    <row r="6596" spans="2:7" ht="15" hidden="1" x14ac:dyDescent="0.25">
      <c r="B6596" s="4">
        <v>584632890</v>
      </c>
      <c r="C6596" s="4" t="s">
        <v>269</v>
      </c>
      <c r="D6596" s="4">
        <v>1161</v>
      </c>
      <c r="E6596" s="4">
        <v>57</v>
      </c>
      <c r="G6596">
        <f t="shared" ref="G6596:G6659" si="103">(E6596+7)*8</f>
        <v>512</v>
      </c>
    </row>
    <row r="6597" spans="2:7" ht="15" hidden="1" x14ac:dyDescent="0.25">
      <c r="B6597" s="4">
        <v>584632891</v>
      </c>
      <c r="C6597" s="4" t="s">
        <v>269</v>
      </c>
      <c r="D6597" s="4">
        <v>1162</v>
      </c>
      <c r="E6597" s="4">
        <v>57</v>
      </c>
      <c r="G6597">
        <f t="shared" si="103"/>
        <v>512</v>
      </c>
    </row>
    <row r="6598" spans="2:7" ht="15" hidden="1" x14ac:dyDescent="0.25">
      <c r="B6598" s="4">
        <v>584632892</v>
      </c>
      <c r="C6598" s="4" t="s">
        <v>269</v>
      </c>
      <c r="D6598" s="4">
        <v>1163</v>
      </c>
      <c r="E6598" s="4">
        <v>57</v>
      </c>
      <c r="G6598">
        <f t="shared" si="103"/>
        <v>512</v>
      </c>
    </row>
    <row r="6599" spans="2:7" ht="15" hidden="1" x14ac:dyDescent="0.25">
      <c r="B6599" s="4">
        <v>584632893</v>
      </c>
      <c r="C6599" s="4" t="s">
        <v>269</v>
      </c>
      <c r="D6599" s="4">
        <v>1164</v>
      </c>
      <c r="E6599" s="4">
        <v>57</v>
      </c>
      <c r="G6599">
        <f t="shared" si="103"/>
        <v>512</v>
      </c>
    </row>
    <row r="6600" spans="2:7" ht="15" hidden="1" x14ac:dyDescent="0.25">
      <c r="B6600" s="4">
        <v>584632894</v>
      </c>
      <c r="C6600" s="4" t="s">
        <v>269</v>
      </c>
      <c r="D6600" s="4">
        <v>1165</v>
      </c>
      <c r="E6600" s="4">
        <v>57</v>
      </c>
      <c r="G6600">
        <f t="shared" si="103"/>
        <v>512</v>
      </c>
    </row>
    <row r="6601" spans="2:7" ht="15" hidden="1" x14ac:dyDescent="0.25">
      <c r="B6601" s="4">
        <v>584632895</v>
      </c>
      <c r="C6601" s="4" t="s">
        <v>269</v>
      </c>
      <c r="D6601" s="4">
        <v>1166</v>
      </c>
      <c r="E6601" s="4">
        <v>57</v>
      </c>
      <c r="G6601">
        <f t="shared" si="103"/>
        <v>512</v>
      </c>
    </row>
    <row r="6602" spans="2:7" ht="15" hidden="1" x14ac:dyDescent="0.25">
      <c r="B6602" s="4">
        <v>584632896</v>
      </c>
      <c r="C6602" s="4" t="s">
        <v>269</v>
      </c>
      <c r="D6602" s="4">
        <v>1167</v>
      </c>
      <c r="E6602" s="4">
        <v>57</v>
      </c>
      <c r="G6602">
        <f t="shared" si="103"/>
        <v>512</v>
      </c>
    </row>
    <row r="6603" spans="2:7" ht="15" hidden="1" x14ac:dyDescent="0.25">
      <c r="B6603" s="4">
        <v>584632897</v>
      </c>
      <c r="C6603" s="4" t="s">
        <v>269</v>
      </c>
      <c r="D6603" s="4">
        <v>1168</v>
      </c>
      <c r="E6603" s="4">
        <v>57</v>
      </c>
      <c r="G6603">
        <f t="shared" si="103"/>
        <v>512</v>
      </c>
    </row>
    <row r="6604" spans="2:7" ht="15" hidden="1" x14ac:dyDescent="0.25">
      <c r="B6604" s="4">
        <v>584632898</v>
      </c>
      <c r="C6604" s="4" t="s">
        <v>269</v>
      </c>
      <c r="D6604" s="4">
        <v>1169</v>
      </c>
      <c r="E6604" s="4">
        <v>57</v>
      </c>
      <c r="G6604">
        <f t="shared" si="103"/>
        <v>512</v>
      </c>
    </row>
    <row r="6605" spans="2:7" ht="15" hidden="1" x14ac:dyDescent="0.25">
      <c r="B6605" s="4">
        <v>584632898</v>
      </c>
      <c r="C6605" s="4" t="s">
        <v>272</v>
      </c>
      <c r="D6605" s="4">
        <v>105</v>
      </c>
      <c r="E6605" s="4">
        <v>209</v>
      </c>
      <c r="G6605">
        <f t="shared" si="103"/>
        <v>1728</v>
      </c>
    </row>
    <row r="6606" spans="2:7" ht="15" hidden="1" x14ac:dyDescent="0.25">
      <c r="B6606" s="4">
        <v>584632899</v>
      </c>
      <c r="C6606" s="4" t="s">
        <v>269</v>
      </c>
      <c r="D6606" s="4">
        <v>1170</v>
      </c>
      <c r="E6606" s="4">
        <v>57</v>
      </c>
      <c r="G6606">
        <f t="shared" si="103"/>
        <v>512</v>
      </c>
    </row>
    <row r="6607" spans="2:7" ht="15" hidden="1" x14ac:dyDescent="0.25">
      <c r="B6607" s="4">
        <v>584632900</v>
      </c>
      <c r="C6607" s="4" t="s">
        <v>269</v>
      </c>
      <c r="D6607" s="4">
        <v>1171</v>
      </c>
      <c r="E6607" s="4">
        <v>57</v>
      </c>
      <c r="G6607">
        <f t="shared" si="103"/>
        <v>512</v>
      </c>
    </row>
    <row r="6608" spans="2:7" ht="15" hidden="1" x14ac:dyDescent="0.25">
      <c r="B6608" s="4">
        <v>584632901</v>
      </c>
      <c r="C6608" s="4" t="s">
        <v>269</v>
      </c>
      <c r="D6608" s="4">
        <v>1172</v>
      </c>
      <c r="E6608" s="4">
        <v>57</v>
      </c>
      <c r="G6608">
        <f t="shared" si="103"/>
        <v>512</v>
      </c>
    </row>
    <row r="6609" spans="2:7" ht="15" hidden="1" x14ac:dyDescent="0.25">
      <c r="B6609" s="4">
        <v>584632902</v>
      </c>
      <c r="C6609" s="4" t="s">
        <v>269</v>
      </c>
      <c r="D6609" s="4">
        <v>1173</v>
      </c>
      <c r="E6609" s="4">
        <v>57</v>
      </c>
      <c r="G6609">
        <f t="shared" si="103"/>
        <v>512</v>
      </c>
    </row>
    <row r="6610" spans="2:7" ht="15" hidden="1" x14ac:dyDescent="0.25">
      <c r="B6610" s="4">
        <v>584632903</v>
      </c>
      <c r="C6610" s="4" t="s">
        <v>269</v>
      </c>
      <c r="D6610" s="4">
        <v>1174</v>
      </c>
      <c r="E6610" s="4">
        <v>57</v>
      </c>
      <c r="G6610">
        <f t="shared" si="103"/>
        <v>512</v>
      </c>
    </row>
    <row r="6611" spans="2:7" ht="15" hidden="1" x14ac:dyDescent="0.25">
      <c r="B6611" s="4">
        <v>584632904</v>
      </c>
      <c r="C6611" s="4" t="s">
        <v>269</v>
      </c>
      <c r="D6611" s="4">
        <v>1175</v>
      </c>
      <c r="E6611" s="4">
        <v>57</v>
      </c>
      <c r="G6611">
        <f t="shared" si="103"/>
        <v>512</v>
      </c>
    </row>
    <row r="6612" spans="2:7" ht="15" hidden="1" x14ac:dyDescent="0.25">
      <c r="B6612" s="4">
        <v>584632905</v>
      </c>
      <c r="C6612" s="4" t="s">
        <v>269</v>
      </c>
      <c r="D6612" s="4">
        <v>1176</v>
      </c>
      <c r="E6612" s="4">
        <v>57</v>
      </c>
      <c r="G6612">
        <f t="shared" si="103"/>
        <v>512</v>
      </c>
    </row>
    <row r="6613" spans="2:7" ht="15" hidden="1" x14ac:dyDescent="0.25">
      <c r="B6613" s="4">
        <v>584632906</v>
      </c>
      <c r="C6613" s="4" t="s">
        <v>269</v>
      </c>
      <c r="D6613" s="4">
        <v>1177</v>
      </c>
      <c r="E6613" s="4">
        <v>57</v>
      </c>
      <c r="G6613">
        <f t="shared" si="103"/>
        <v>512</v>
      </c>
    </row>
    <row r="6614" spans="2:7" ht="15" hidden="1" x14ac:dyDescent="0.25">
      <c r="B6614" s="4">
        <v>584632907</v>
      </c>
      <c r="C6614" s="4" t="s">
        <v>269</v>
      </c>
      <c r="D6614" s="4">
        <v>1178</v>
      </c>
      <c r="E6614" s="4">
        <v>57</v>
      </c>
      <c r="G6614">
        <f t="shared" si="103"/>
        <v>512</v>
      </c>
    </row>
    <row r="6615" spans="2:7" ht="15" hidden="1" x14ac:dyDescent="0.25">
      <c r="B6615" s="4">
        <v>584632908</v>
      </c>
      <c r="C6615" s="4" t="s">
        <v>269</v>
      </c>
      <c r="D6615" s="4">
        <v>1179</v>
      </c>
      <c r="E6615" s="4">
        <v>57</v>
      </c>
      <c r="G6615">
        <f t="shared" si="103"/>
        <v>512</v>
      </c>
    </row>
    <row r="6616" spans="2:7" ht="15" hidden="1" x14ac:dyDescent="0.25">
      <c r="B6616" s="4">
        <v>584632908</v>
      </c>
      <c r="C6616" s="4" t="s">
        <v>272</v>
      </c>
      <c r="D6616" s="4">
        <v>106</v>
      </c>
      <c r="E6616" s="4">
        <v>209</v>
      </c>
      <c r="G6616">
        <f t="shared" si="103"/>
        <v>1728</v>
      </c>
    </row>
    <row r="6617" spans="2:7" ht="15" hidden="1" x14ac:dyDescent="0.25">
      <c r="B6617" s="4">
        <v>584632909</v>
      </c>
      <c r="C6617" s="4" t="s">
        <v>269</v>
      </c>
      <c r="D6617" s="4">
        <v>1180</v>
      </c>
      <c r="E6617" s="4">
        <v>57</v>
      </c>
      <c r="G6617">
        <f t="shared" si="103"/>
        <v>512</v>
      </c>
    </row>
    <row r="6618" spans="2:7" ht="15" hidden="1" x14ac:dyDescent="0.25">
      <c r="B6618" s="4">
        <v>584632910</v>
      </c>
      <c r="C6618" s="4" t="s">
        <v>269</v>
      </c>
      <c r="D6618" s="4">
        <v>1181</v>
      </c>
      <c r="E6618" s="4">
        <v>57</v>
      </c>
      <c r="G6618">
        <f t="shared" si="103"/>
        <v>512</v>
      </c>
    </row>
    <row r="6619" spans="2:7" ht="15" hidden="1" x14ac:dyDescent="0.25">
      <c r="B6619" s="4">
        <v>584632911</v>
      </c>
      <c r="C6619" s="4" t="s">
        <v>269</v>
      </c>
      <c r="D6619" s="4">
        <v>1182</v>
      </c>
      <c r="E6619" s="4">
        <v>57</v>
      </c>
      <c r="G6619">
        <f t="shared" si="103"/>
        <v>512</v>
      </c>
    </row>
    <row r="6620" spans="2:7" ht="15" hidden="1" x14ac:dyDescent="0.25">
      <c r="B6620" s="4">
        <v>584632912</v>
      </c>
      <c r="C6620" s="4" t="s">
        <v>269</v>
      </c>
      <c r="D6620" s="4">
        <v>1183</v>
      </c>
      <c r="E6620" s="4">
        <v>57</v>
      </c>
      <c r="G6620">
        <f t="shared" si="103"/>
        <v>512</v>
      </c>
    </row>
    <row r="6621" spans="2:7" ht="15" hidden="1" x14ac:dyDescent="0.25">
      <c r="B6621" s="4">
        <v>584632913</v>
      </c>
      <c r="C6621" s="4" t="s">
        <v>269</v>
      </c>
      <c r="D6621" s="4">
        <v>1184</v>
      </c>
      <c r="E6621" s="4">
        <v>57</v>
      </c>
      <c r="G6621">
        <f t="shared" si="103"/>
        <v>512</v>
      </c>
    </row>
    <row r="6622" spans="2:7" ht="15" hidden="1" x14ac:dyDescent="0.25">
      <c r="B6622" s="4">
        <v>584632914</v>
      </c>
      <c r="C6622" s="4" t="s">
        <v>269</v>
      </c>
      <c r="D6622" s="4">
        <v>1185</v>
      </c>
      <c r="E6622" s="4">
        <v>57</v>
      </c>
      <c r="G6622">
        <f t="shared" si="103"/>
        <v>512</v>
      </c>
    </row>
    <row r="6623" spans="2:7" ht="15" hidden="1" x14ac:dyDescent="0.25">
      <c r="B6623" s="4">
        <v>584632915</v>
      </c>
      <c r="C6623" s="4" t="s">
        <v>269</v>
      </c>
      <c r="D6623" s="4">
        <v>1186</v>
      </c>
      <c r="E6623" s="4">
        <v>57</v>
      </c>
      <c r="G6623">
        <f t="shared" si="103"/>
        <v>512</v>
      </c>
    </row>
    <row r="6624" spans="2:7" ht="15" hidden="1" x14ac:dyDescent="0.25">
      <c r="B6624" s="4">
        <v>584632916</v>
      </c>
      <c r="C6624" s="4" t="s">
        <v>269</v>
      </c>
      <c r="D6624" s="4">
        <v>1187</v>
      </c>
      <c r="E6624" s="4">
        <v>57</v>
      </c>
      <c r="G6624">
        <f t="shared" si="103"/>
        <v>512</v>
      </c>
    </row>
    <row r="6625" spans="2:7" ht="15" hidden="1" x14ac:dyDescent="0.25">
      <c r="B6625" s="4">
        <v>584632917</v>
      </c>
      <c r="C6625" s="4" t="s">
        <v>269</v>
      </c>
      <c r="D6625" s="4">
        <v>1188</v>
      </c>
      <c r="E6625" s="4">
        <v>57</v>
      </c>
      <c r="G6625">
        <f t="shared" si="103"/>
        <v>512</v>
      </c>
    </row>
    <row r="6626" spans="2:7" ht="15" hidden="1" x14ac:dyDescent="0.25">
      <c r="B6626" s="4">
        <v>584632918</v>
      </c>
      <c r="C6626" s="4" t="s">
        <v>269</v>
      </c>
      <c r="D6626" s="4">
        <v>1189</v>
      </c>
      <c r="E6626" s="4">
        <v>57</v>
      </c>
      <c r="G6626">
        <f t="shared" si="103"/>
        <v>512</v>
      </c>
    </row>
    <row r="6627" spans="2:7" ht="15" hidden="1" x14ac:dyDescent="0.25">
      <c r="B6627" s="4">
        <v>584632918</v>
      </c>
      <c r="C6627" s="4" t="s">
        <v>272</v>
      </c>
      <c r="D6627" s="4">
        <v>107</v>
      </c>
      <c r="E6627" s="4">
        <v>209</v>
      </c>
      <c r="G6627">
        <f t="shared" si="103"/>
        <v>1728</v>
      </c>
    </row>
    <row r="6628" spans="2:7" ht="15" hidden="1" x14ac:dyDescent="0.25">
      <c r="B6628" s="4">
        <v>584632919</v>
      </c>
      <c r="C6628" s="4" t="s">
        <v>269</v>
      </c>
      <c r="D6628" s="4">
        <v>1190</v>
      </c>
      <c r="E6628" s="4">
        <v>57</v>
      </c>
      <c r="G6628">
        <f t="shared" si="103"/>
        <v>512</v>
      </c>
    </row>
    <row r="6629" spans="2:7" ht="15" hidden="1" x14ac:dyDescent="0.25">
      <c r="B6629" s="4">
        <v>584632920</v>
      </c>
      <c r="C6629" s="4" t="s">
        <v>269</v>
      </c>
      <c r="D6629" s="4">
        <v>1191</v>
      </c>
      <c r="E6629" s="4">
        <v>57</v>
      </c>
      <c r="G6629">
        <f t="shared" si="103"/>
        <v>512</v>
      </c>
    </row>
    <row r="6630" spans="2:7" ht="15" hidden="1" x14ac:dyDescent="0.25">
      <c r="B6630" s="4">
        <v>584632921</v>
      </c>
      <c r="C6630" s="4" t="s">
        <v>269</v>
      </c>
      <c r="D6630" s="4">
        <v>1192</v>
      </c>
      <c r="E6630" s="4">
        <v>57</v>
      </c>
      <c r="G6630">
        <f t="shared" si="103"/>
        <v>512</v>
      </c>
    </row>
    <row r="6631" spans="2:7" ht="15" hidden="1" x14ac:dyDescent="0.25">
      <c r="B6631" s="4">
        <v>584632922</v>
      </c>
      <c r="C6631" s="4" t="s">
        <v>269</v>
      </c>
      <c r="D6631" s="4">
        <v>1193</v>
      </c>
      <c r="E6631" s="4">
        <v>57</v>
      </c>
      <c r="G6631">
        <f t="shared" si="103"/>
        <v>512</v>
      </c>
    </row>
    <row r="6632" spans="2:7" ht="15" hidden="1" x14ac:dyDescent="0.25">
      <c r="B6632" s="4">
        <v>584632923</v>
      </c>
      <c r="C6632" s="4" t="s">
        <v>269</v>
      </c>
      <c r="D6632" s="4">
        <v>1194</v>
      </c>
      <c r="E6632" s="4">
        <v>57</v>
      </c>
      <c r="G6632">
        <f t="shared" si="103"/>
        <v>512</v>
      </c>
    </row>
    <row r="6633" spans="2:7" ht="15" hidden="1" x14ac:dyDescent="0.25">
      <c r="B6633" s="4">
        <v>584632924</v>
      </c>
      <c r="C6633" s="4" t="s">
        <v>269</v>
      </c>
      <c r="D6633" s="4">
        <v>1195</v>
      </c>
      <c r="E6633" s="4">
        <v>57</v>
      </c>
      <c r="G6633">
        <f t="shared" si="103"/>
        <v>512</v>
      </c>
    </row>
    <row r="6634" spans="2:7" ht="15" hidden="1" x14ac:dyDescent="0.25">
      <c r="B6634" s="4">
        <v>584632925</v>
      </c>
      <c r="C6634" s="4" t="s">
        <v>269</v>
      </c>
      <c r="D6634" s="4">
        <v>1196</v>
      </c>
      <c r="E6634" s="4">
        <v>57</v>
      </c>
      <c r="G6634">
        <f t="shared" si="103"/>
        <v>512</v>
      </c>
    </row>
    <row r="6635" spans="2:7" ht="15" hidden="1" x14ac:dyDescent="0.25">
      <c r="B6635" s="4">
        <v>584632926</v>
      </c>
      <c r="C6635" s="4" t="s">
        <v>269</v>
      </c>
      <c r="D6635" s="4">
        <v>1197</v>
      </c>
      <c r="E6635" s="4">
        <v>57</v>
      </c>
      <c r="G6635">
        <f t="shared" si="103"/>
        <v>512</v>
      </c>
    </row>
    <row r="6636" spans="2:7" ht="15" hidden="1" x14ac:dyDescent="0.25">
      <c r="B6636" s="4">
        <v>584632927</v>
      </c>
      <c r="C6636" s="4" t="s">
        <v>269</v>
      </c>
      <c r="D6636" s="4">
        <v>1198</v>
      </c>
      <c r="E6636" s="4">
        <v>57</v>
      </c>
      <c r="G6636">
        <f t="shared" si="103"/>
        <v>512</v>
      </c>
    </row>
    <row r="6637" spans="2:7" ht="15" hidden="1" x14ac:dyDescent="0.25">
      <c r="B6637" s="4">
        <v>584632928</v>
      </c>
      <c r="C6637" s="4" t="s">
        <v>269</v>
      </c>
      <c r="D6637" s="4">
        <v>1199</v>
      </c>
      <c r="E6637" s="4">
        <v>57</v>
      </c>
      <c r="G6637">
        <f t="shared" si="103"/>
        <v>512</v>
      </c>
    </row>
    <row r="6638" spans="2:7" ht="15" hidden="1" x14ac:dyDescent="0.25">
      <c r="B6638" s="4">
        <v>584632928</v>
      </c>
      <c r="C6638" s="4" t="s">
        <v>272</v>
      </c>
      <c r="D6638" s="4">
        <v>108</v>
      </c>
      <c r="E6638" s="4">
        <v>209</v>
      </c>
      <c r="G6638">
        <f t="shared" si="103"/>
        <v>1728</v>
      </c>
    </row>
    <row r="6639" spans="2:7" ht="15" hidden="1" x14ac:dyDescent="0.25">
      <c r="B6639" s="4">
        <v>584632929</v>
      </c>
      <c r="C6639" s="4" t="s">
        <v>269</v>
      </c>
      <c r="D6639" s="4">
        <v>1200</v>
      </c>
      <c r="E6639" s="4">
        <v>57</v>
      </c>
      <c r="G6639">
        <f t="shared" si="103"/>
        <v>512</v>
      </c>
    </row>
    <row r="6640" spans="2:7" ht="15" hidden="1" x14ac:dyDescent="0.25">
      <c r="B6640" s="4">
        <v>584632930</v>
      </c>
      <c r="C6640" s="4" t="s">
        <v>269</v>
      </c>
      <c r="D6640" s="4">
        <v>1201</v>
      </c>
      <c r="E6640" s="4">
        <v>57</v>
      </c>
      <c r="G6640">
        <f t="shared" si="103"/>
        <v>512</v>
      </c>
    </row>
    <row r="6641" spans="2:7" ht="15" hidden="1" x14ac:dyDescent="0.25">
      <c r="B6641" s="4">
        <v>584632931</v>
      </c>
      <c r="C6641" s="4" t="s">
        <v>269</v>
      </c>
      <c r="D6641" s="4">
        <v>1202</v>
      </c>
      <c r="E6641" s="4">
        <v>57</v>
      </c>
      <c r="G6641">
        <f t="shared" si="103"/>
        <v>512</v>
      </c>
    </row>
    <row r="6642" spans="2:7" ht="15" hidden="1" x14ac:dyDescent="0.25">
      <c r="B6642" s="4">
        <v>584632932</v>
      </c>
      <c r="C6642" s="4" t="s">
        <v>269</v>
      </c>
      <c r="D6642" s="4">
        <v>1203</v>
      </c>
      <c r="E6642" s="4">
        <v>57</v>
      </c>
      <c r="G6642">
        <f t="shared" si="103"/>
        <v>512</v>
      </c>
    </row>
    <row r="6643" spans="2:7" ht="15" hidden="1" x14ac:dyDescent="0.25">
      <c r="B6643" s="4">
        <v>584632933</v>
      </c>
      <c r="C6643" s="4" t="s">
        <v>269</v>
      </c>
      <c r="D6643" s="4">
        <v>1204</v>
      </c>
      <c r="E6643" s="4">
        <v>57</v>
      </c>
      <c r="G6643">
        <f t="shared" si="103"/>
        <v>512</v>
      </c>
    </row>
    <row r="6644" spans="2:7" ht="15" hidden="1" x14ac:dyDescent="0.25">
      <c r="B6644" s="4">
        <v>584632934</v>
      </c>
      <c r="C6644" s="4" t="s">
        <v>268</v>
      </c>
      <c r="D6644" s="4">
        <v>258</v>
      </c>
      <c r="E6644" s="4">
        <v>6</v>
      </c>
      <c r="G6644">
        <f t="shared" si="103"/>
        <v>104</v>
      </c>
    </row>
    <row r="6645" spans="2:7" ht="15" hidden="1" x14ac:dyDescent="0.25">
      <c r="B6645" s="4">
        <v>584632934</v>
      </c>
      <c r="C6645" s="4" t="s">
        <v>268</v>
      </c>
      <c r="D6645" s="4">
        <v>258</v>
      </c>
      <c r="E6645" s="4">
        <v>6</v>
      </c>
      <c r="G6645">
        <f t="shared" si="103"/>
        <v>104</v>
      </c>
    </row>
    <row r="6646" spans="2:7" ht="15" hidden="1" x14ac:dyDescent="0.25">
      <c r="B6646" s="4">
        <v>584632934</v>
      </c>
      <c r="C6646" s="4" t="s">
        <v>268</v>
      </c>
      <c r="D6646" s="4">
        <v>259</v>
      </c>
      <c r="E6646" s="4">
        <v>9</v>
      </c>
      <c r="G6646">
        <f t="shared" si="103"/>
        <v>128</v>
      </c>
    </row>
    <row r="6647" spans="2:7" ht="15" hidden="1" x14ac:dyDescent="0.25">
      <c r="B6647" s="4">
        <v>584632934</v>
      </c>
      <c r="C6647" s="4" t="s">
        <v>268</v>
      </c>
      <c r="D6647" s="4">
        <v>259</v>
      </c>
      <c r="E6647" s="4">
        <v>9</v>
      </c>
      <c r="G6647">
        <f t="shared" si="103"/>
        <v>128</v>
      </c>
    </row>
    <row r="6648" spans="2:7" ht="15" hidden="1" x14ac:dyDescent="0.25">
      <c r="B6648" s="4">
        <v>584632934</v>
      </c>
      <c r="C6648" s="4" t="s">
        <v>268</v>
      </c>
      <c r="D6648" s="4">
        <v>260</v>
      </c>
      <c r="E6648" s="4">
        <v>7</v>
      </c>
      <c r="G6648">
        <f t="shared" si="103"/>
        <v>112</v>
      </c>
    </row>
    <row r="6649" spans="2:7" ht="15" hidden="1" x14ac:dyDescent="0.25">
      <c r="B6649" s="4">
        <v>584632934</v>
      </c>
      <c r="C6649" s="4" t="s">
        <v>268</v>
      </c>
      <c r="D6649" s="4">
        <v>260</v>
      </c>
      <c r="E6649" s="4">
        <v>7</v>
      </c>
      <c r="G6649">
        <f t="shared" si="103"/>
        <v>112</v>
      </c>
    </row>
    <row r="6650" spans="2:7" ht="15" hidden="1" x14ac:dyDescent="0.25">
      <c r="B6650" s="4">
        <v>584632934</v>
      </c>
      <c r="C6650" s="4" t="s">
        <v>268</v>
      </c>
      <c r="D6650" s="4">
        <v>261</v>
      </c>
      <c r="E6650" s="4">
        <v>7</v>
      </c>
      <c r="G6650">
        <f t="shared" si="103"/>
        <v>112</v>
      </c>
    </row>
    <row r="6651" spans="2:7" ht="15" hidden="1" x14ac:dyDescent="0.25">
      <c r="B6651" s="4">
        <v>584632934</v>
      </c>
      <c r="C6651" s="4" t="s">
        <v>268</v>
      </c>
      <c r="D6651" s="4">
        <v>261</v>
      </c>
      <c r="E6651" s="4">
        <v>7</v>
      </c>
      <c r="G6651">
        <f t="shared" si="103"/>
        <v>112</v>
      </c>
    </row>
    <row r="6652" spans="2:7" ht="15" hidden="1" x14ac:dyDescent="0.25">
      <c r="B6652" s="4">
        <v>584632934</v>
      </c>
      <c r="C6652" s="4" t="s">
        <v>268</v>
      </c>
      <c r="D6652" s="4">
        <v>262</v>
      </c>
      <c r="E6652" s="4">
        <v>7</v>
      </c>
      <c r="G6652">
        <f t="shared" si="103"/>
        <v>112</v>
      </c>
    </row>
    <row r="6653" spans="2:7" ht="15" hidden="1" x14ac:dyDescent="0.25">
      <c r="B6653" s="4">
        <v>584632934</v>
      </c>
      <c r="C6653" s="4" t="s">
        <v>268</v>
      </c>
      <c r="D6653" s="4">
        <v>262</v>
      </c>
      <c r="E6653" s="4">
        <v>7</v>
      </c>
      <c r="G6653">
        <f t="shared" si="103"/>
        <v>112</v>
      </c>
    </row>
    <row r="6654" spans="2:7" ht="15" hidden="1" x14ac:dyDescent="0.25">
      <c r="B6654" s="4">
        <v>584632934</v>
      </c>
      <c r="C6654" s="4" t="s">
        <v>269</v>
      </c>
      <c r="D6654" s="4">
        <v>1205</v>
      </c>
      <c r="E6654" s="4">
        <v>57</v>
      </c>
      <c r="G6654">
        <f t="shared" si="103"/>
        <v>512</v>
      </c>
    </row>
    <row r="6655" spans="2:7" ht="15" hidden="1" x14ac:dyDescent="0.25">
      <c r="B6655" s="4">
        <v>584632935</v>
      </c>
      <c r="C6655" s="4" t="s">
        <v>269</v>
      </c>
      <c r="D6655" s="4">
        <v>1206</v>
      </c>
      <c r="E6655" s="4">
        <v>57</v>
      </c>
      <c r="G6655">
        <f t="shared" si="103"/>
        <v>512</v>
      </c>
    </row>
    <row r="6656" spans="2:7" ht="15" hidden="1" x14ac:dyDescent="0.25">
      <c r="B6656" s="4">
        <v>584632936</v>
      </c>
      <c r="C6656" s="4" t="s">
        <v>268</v>
      </c>
      <c r="D6656" s="4">
        <v>263</v>
      </c>
      <c r="E6656" s="4">
        <v>7</v>
      </c>
      <c r="G6656">
        <f t="shared" si="103"/>
        <v>112</v>
      </c>
    </row>
    <row r="6657" spans="2:7" ht="15" hidden="1" x14ac:dyDescent="0.25">
      <c r="B6657" s="4">
        <v>584632936</v>
      </c>
      <c r="C6657" s="4" t="s">
        <v>268</v>
      </c>
      <c r="D6657" s="4">
        <v>263</v>
      </c>
      <c r="E6657" s="4">
        <v>7</v>
      </c>
      <c r="G6657">
        <f t="shared" si="103"/>
        <v>112</v>
      </c>
    </row>
    <row r="6658" spans="2:7" ht="15" hidden="1" x14ac:dyDescent="0.25">
      <c r="B6658" s="4">
        <v>584632936</v>
      </c>
      <c r="C6658" s="4" t="s">
        <v>268</v>
      </c>
      <c r="D6658" s="4">
        <v>264</v>
      </c>
      <c r="E6658" s="4">
        <v>5</v>
      </c>
      <c r="G6658">
        <f t="shared" si="103"/>
        <v>96</v>
      </c>
    </row>
    <row r="6659" spans="2:7" ht="15" hidden="1" x14ac:dyDescent="0.25">
      <c r="B6659" s="4">
        <v>584632936</v>
      </c>
      <c r="C6659" s="4" t="s">
        <v>268</v>
      </c>
      <c r="D6659" s="4">
        <v>264</v>
      </c>
      <c r="E6659" s="4">
        <v>5</v>
      </c>
      <c r="G6659">
        <f t="shared" si="103"/>
        <v>96</v>
      </c>
    </row>
    <row r="6660" spans="2:7" ht="15" hidden="1" x14ac:dyDescent="0.25">
      <c r="B6660" s="4">
        <v>584632936</v>
      </c>
      <c r="C6660" s="4" t="s">
        <v>268</v>
      </c>
      <c r="D6660" s="4">
        <v>265</v>
      </c>
      <c r="E6660" s="4">
        <v>7</v>
      </c>
      <c r="G6660">
        <f t="shared" ref="G6660:G6723" si="104">(E6660+7)*8</f>
        <v>112</v>
      </c>
    </row>
    <row r="6661" spans="2:7" ht="15" hidden="1" x14ac:dyDescent="0.25">
      <c r="B6661" s="4">
        <v>584632936</v>
      </c>
      <c r="C6661" s="4" t="s">
        <v>268</v>
      </c>
      <c r="D6661" s="4">
        <v>265</v>
      </c>
      <c r="E6661" s="4">
        <v>7</v>
      </c>
      <c r="G6661">
        <f t="shared" si="104"/>
        <v>112</v>
      </c>
    </row>
    <row r="6662" spans="2:7" ht="15" hidden="1" x14ac:dyDescent="0.25">
      <c r="B6662" s="4">
        <v>584632936</v>
      </c>
      <c r="C6662" s="4" t="s">
        <v>269</v>
      </c>
      <c r="D6662" s="4">
        <v>1207</v>
      </c>
      <c r="E6662" s="4">
        <v>57</v>
      </c>
      <c r="G6662">
        <f t="shared" si="104"/>
        <v>512</v>
      </c>
    </row>
    <row r="6663" spans="2:7" ht="15" hidden="1" x14ac:dyDescent="0.25">
      <c r="B6663" s="4">
        <v>584632937</v>
      </c>
      <c r="C6663" s="4" t="s">
        <v>269</v>
      </c>
      <c r="D6663" s="4">
        <v>1208</v>
      </c>
      <c r="E6663" s="4">
        <v>57</v>
      </c>
      <c r="G6663">
        <f t="shared" si="104"/>
        <v>512</v>
      </c>
    </row>
    <row r="6664" spans="2:7" ht="15" hidden="1" x14ac:dyDescent="0.25">
      <c r="B6664" s="4">
        <v>584632938</v>
      </c>
      <c r="C6664" s="4" t="s">
        <v>269</v>
      </c>
      <c r="D6664" s="4">
        <v>1209</v>
      </c>
      <c r="E6664" s="4">
        <v>57</v>
      </c>
      <c r="G6664">
        <f t="shared" si="104"/>
        <v>512</v>
      </c>
    </row>
    <row r="6665" spans="2:7" ht="15" hidden="1" x14ac:dyDescent="0.25">
      <c r="B6665" s="4">
        <v>584632938</v>
      </c>
      <c r="C6665" s="4" t="s">
        <v>272</v>
      </c>
      <c r="D6665" s="4">
        <v>109</v>
      </c>
      <c r="E6665" s="4">
        <v>211</v>
      </c>
      <c r="G6665">
        <f t="shared" si="104"/>
        <v>1744</v>
      </c>
    </row>
    <row r="6666" spans="2:7" ht="15" hidden="1" x14ac:dyDescent="0.25">
      <c r="B6666" s="4">
        <v>584632939</v>
      </c>
      <c r="C6666" s="4" t="s">
        <v>269</v>
      </c>
      <c r="D6666" s="4">
        <v>1210</v>
      </c>
      <c r="E6666" s="4">
        <v>57</v>
      </c>
      <c r="G6666">
        <f t="shared" si="104"/>
        <v>512</v>
      </c>
    </row>
    <row r="6667" spans="2:7" ht="15" hidden="1" x14ac:dyDescent="0.25">
      <c r="B6667" s="4">
        <v>584632940</v>
      </c>
      <c r="C6667" s="4" t="s">
        <v>269</v>
      </c>
      <c r="D6667" s="4">
        <v>1211</v>
      </c>
      <c r="E6667" s="4">
        <v>57</v>
      </c>
      <c r="G6667">
        <f t="shared" si="104"/>
        <v>512</v>
      </c>
    </row>
    <row r="6668" spans="2:7" ht="15" hidden="1" x14ac:dyDescent="0.25">
      <c r="B6668" s="4">
        <v>584632941</v>
      </c>
      <c r="C6668" s="4" t="s">
        <v>269</v>
      </c>
      <c r="D6668" s="4">
        <v>1212</v>
      </c>
      <c r="E6668" s="4">
        <v>57</v>
      </c>
      <c r="G6668">
        <f t="shared" si="104"/>
        <v>512</v>
      </c>
    </row>
    <row r="6669" spans="2:7" ht="15" hidden="1" x14ac:dyDescent="0.25">
      <c r="B6669" s="4">
        <v>584632942</v>
      </c>
      <c r="C6669" s="4" t="s">
        <v>269</v>
      </c>
      <c r="D6669" s="4">
        <v>1213</v>
      </c>
      <c r="E6669" s="4">
        <v>57</v>
      </c>
      <c r="G6669">
        <f t="shared" si="104"/>
        <v>512</v>
      </c>
    </row>
    <row r="6670" spans="2:7" ht="15" hidden="1" x14ac:dyDescent="0.25">
      <c r="B6670" s="4">
        <v>584632943</v>
      </c>
      <c r="C6670" s="4" t="s">
        <v>269</v>
      </c>
      <c r="D6670" s="4">
        <v>1214</v>
      </c>
      <c r="E6670" s="4">
        <v>57</v>
      </c>
      <c r="G6670">
        <f t="shared" si="104"/>
        <v>512</v>
      </c>
    </row>
    <row r="6671" spans="2:7" ht="15" hidden="1" x14ac:dyDescent="0.25">
      <c r="B6671" s="4">
        <v>584632944</v>
      </c>
      <c r="C6671" s="4" t="s">
        <v>269</v>
      </c>
      <c r="D6671" s="4">
        <v>1215</v>
      </c>
      <c r="E6671" s="4">
        <v>57</v>
      </c>
      <c r="G6671">
        <f t="shared" si="104"/>
        <v>512</v>
      </c>
    </row>
    <row r="6672" spans="2:7" ht="15" hidden="1" x14ac:dyDescent="0.25">
      <c r="B6672" s="4">
        <v>584632945</v>
      </c>
      <c r="C6672" s="4" t="s">
        <v>269</v>
      </c>
      <c r="D6672" s="4">
        <v>1216</v>
      </c>
      <c r="E6672" s="4">
        <v>57</v>
      </c>
      <c r="G6672">
        <f t="shared" si="104"/>
        <v>512</v>
      </c>
    </row>
    <row r="6673" spans="2:7" ht="15" hidden="1" x14ac:dyDescent="0.25">
      <c r="B6673" s="4">
        <v>584632946</v>
      </c>
      <c r="C6673" s="4" t="s">
        <v>269</v>
      </c>
      <c r="D6673" s="4">
        <v>1217</v>
      </c>
      <c r="E6673" s="4">
        <v>57</v>
      </c>
      <c r="G6673">
        <f t="shared" si="104"/>
        <v>512</v>
      </c>
    </row>
    <row r="6674" spans="2:7" ht="15" hidden="1" x14ac:dyDescent="0.25">
      <c r="B6674" s="4">
        <v>584632947</v>
      </c>
      <c r="C6674" s="4" t="s">
        <v>269</v>
      </c>
      <c r="D6674" s="4">
        <v>1218</v>
      </c>
      <c r="E6674" s="4">
        <v>57</v>
      </c>
      <c r="G6674">
        <f t="shared" si="104"/>
        <v>512</v>
      </c>
    </row>
    <row r="6675" spans="2:7" ht="15" hidden="1" x14ac:dyDescent="0.25">
      <c r="B6675" s="4">
        <v>584632948</v>
      </c>
      <c r="C6675" s="4" t="s">
        <v>269</v>
      </c>
      <c r="D6675" s="4">
        <v>1219</v>
      </c>
      <c r="E6675" s="4">
        <v>57</v>
      </c>
      <c r="G6675">
        <f t="shared" si="104"/>
        <v>512</v>
      </c>
    </row>
    <row r="6676" spans="2:7" ht="15" hidden="1" x14ac:dyDescent="0.25">
      <c r="B6676" s="4">
        <v>584632948</v>
      </c>
      <c r="C6676" s="4" t="s">
        <v>272</v>
      </c>
      <c r="D6676" s="4">
        <v>110</v>
      </c>
      <c r="E6676" s="4">
        <v>211</v>
      </c>
      <c r="G6676">
        <f t="shared" si="104"/>
        <v>1744</v>
      </c>
    </row>
    <row r="6677" spans="2:7" ht="15" hidden="1" x14ac:dyDescent="0.25">
      <c r="B6677" s="4">
        <v>584632949</v>
      </c>
      <c r="C6677" s="4" t="s">
        <v>269</v>
      </c>
      <c r="D6677" s="4">
        <v>1220</v>
      </c>
      <c r="E6677" s="4">
        <v>57</v>
      </c>
      <c r="G6677">
        <f t="shared" si="104"/>
        <v>512</v>
      </c>
    </row>
    <row r="6678" spans="2:7" ht="15" hidden="1" x14ac:dyDescent="0.25">
      <c r="B6678" s="4">
        <v>584632950</v>
      </c>
      <c r="C6678" s="4" t="s">
        <v>269</v>
      </c>
      <c r="D6678" s="4">
        <v>1221</v>
      </c>
      <c r="E6678" s="4">
        <v>57</v>
      </c>
      <c r="G6678">
        <f t="shared" si="104"/>
        <v>512</v>
      </c>
    </row>
    <row r="6679" spans="2:7" ht="15" hidden="1" x14ac:dyDescent="0.25">
      <c r="B6679" s="4">
        <v>584632951</v>
      </c>
      <c r="C6679" s="4" t="s">
        <v>269</v>
      </c>
      <c r="D6679" s="4">
        <v>1222</v>
      </c>
      <c r="E6679" s="4">
        <v>57</v>
      </c>
      <c r="G6679">
        <f t="shared" si="104"/>
        <v>512</v>
      </c>
    </row>
    <row r="6680" spans="2:7" ht="15" hidden="1" x14ac:dyDescent="0.25">
      <c r="B6680" s="4">
        <v>584632952</v>
      </c>
      <c r="C6680" s="4" t="s">
        <v>269</v>
      </c>
      <c r="D6680" s="4">
        <v>1223</v>
      </c>
      <c r="E6680" s="4">
        <v>57</v>
      </c>
      <c r="G6680">
        <f t="shared" si="104"/>
        <v>512</v>
      </c>
    </row>
    <row r="6681" spans="2:7" ht="15" hidden="1" x14ac:dyDescent="0.25">
      <c r="B6681" s="4">
        <v>584632953</v>
      </c>
      <c r="C6681" s="4" t="s">
        <v>269</v>
      </c>
      <c r="D6681" s="4">
        <v>1224</v>
      </c>
      <c r="E6681" s="4">
        <v>57</v>
      </c>
      <c r="G6681">
        <f t="shared" si="104"/>
        <v>512</v>
      </c>
    </row>
    <row r="6682" spans="2:7" ht="15" hidden="1" x14ac:dyDescent="0.25">
      <c r="B6682" s="4">
        <v>584632954</v>
      </c>
      <c r="C6682" s="4" t="s">
        <v>269</v>
      </c>
      <c r="D6682" s="4">
        <v>1225</v>
      </c>
      <c r="E6682" s="4">
        <v>57</v>
      </c>
      <c r="G6682">
        <f t="shared" si="104"/>
        <v>512</v>
      </c>
    </row>
    <row r="6683" spans="2:7" ht="15" hidden="1" x14ac:dyDescent="0.25">
      <c r="B6683" s="4">
        <v>584632955</v>
      </c>
      <c r="C6683" s="4" t="s">
        <v>269</v>
      </c>
      <c r="D6683" s="4">
        <v>1226</v>
      </c>
      <c r="E6683" s="4">
        <v>57</v>
      </c>
      <c r="G6683">
        <f t="shared" si="104"/>
        <v>512</v>
      </c>
    </row>
    <row r="6684" spans="2:7" ht="15" hidden="1" x14ac:dyDescent="0.25">
      <c r="B6684" s="4">
        <v>584632956</v>
      </c>
      <c r="C6684" s="4" t="s">
        <v>269</v>
      </c>
      <c r="D6684" s="4">
        <v>1227</v>
      </c>
      <c r="E6684" s="4">
        <v>57</v>
      </c>
      <c r="G6684">
        <f t="shared" si="104"/>
        <v>512</v>
      </c>
    </row>
    <row r="6685" spans="2:7" ht="15" hidden="1" x14ac:dyDescent="0.25">
      <c r="B6685" s="4">
        <v>584632957</v>
      </c>
      <c r="C6685" s="4" t="s">
        <v>269</v>
      </c>
      <c r="D6685" s="4">
        <v>1228</v>
      </c>
      <c r="E6685" s="4">
        <v>57</v>
      </c>
      <c r="G6685">
        <f t="shared" si="104"/>
        <v>512</v>
      </c>
    </row>
    <row r="6686" spans="2:7" ht="15" hidden="1" x14ac:dyDescent="0.25">
      <c r="B6686" s="4">
        <v>584632958</v>
      </c>
      <c r="C6686" s="4" t="s">
        <v>269</v>
      </c>
      <c r="D6686" s="4">
        <v>1229</v>
      </c>
      <c r="E6686" s="4">
        <v>57</v>
      </c>
      <c r="G6686">
        <f t="shared" si="104"/>
        <v>512</v>
      </c>
    </row>
    <row r="6687" spans="2:7" ht="15" hidden="1" x14ac:dyDescent="0.25">
      <c r="B6687" s="4">
        <v>584632958</v>
      </c>
      <c r="C6687" s="4" t="s">
        <v>272</v>
      </c>
      <c r="D6687" s="4">
        <v>111</v>
      </c>
      <c r="E6687" s="4">
        <v>209</v>
      </c>
      <c r="G6687">
        <f t="shared" si="104"/>
        <v>1728</v>
      </c>
    </row>
    <row r="6688" spans="2:7" ht="15" hidden="1" x14ac:dyDescent="0.25">
      <c r="B6688" s="4">
        <v>584632959</v>
      </c>
      <c r="C6688" s="4" t="s">
        <v>269</v>
      </c>
      <c r="D6688" s="4">
        <v>1230</v>
      </c>
      <c r="E6688" s="4">
        <v>57</v>
      </c>
      <c r="G6688">
        <f t="shared" si="104"/>
        <v>512</v>
      </c>
    </row>
    <row r="6689" spans="2:7" ht="15" hidden="1" x14ac:dyDescent="0.25">
      <c r="B6689" s="4">
        <v>584632960</v>
      </c>
      <c r="C6689" s="4" t="s">
        <v>269</v>
      </c>
      <c r="D6689" s="4">
        <v>1231</v>
      </c>
      <c r="E6689" s="4">
        <v>57</v>
      </c>
      <c r="G6689">
        <f t="shared" si="104"/>
        <v>512</v>
      </c>
    </row>
    <row r="6690" spans="2:7" ht="15" hidden="1" x14ac:dyDescent="0.25">
      <c r="B6690" s="4">
        <v>584632961</v>
      </c>
      <c r="C6690" s="4" t="s">
        <v>269</v>
      </c>
      <c r="D6690" s="4">
        <v>1232</v>
      </c>
      <c r="E6690" s="4">
        <v>57</v>
      </c>
      <c r="G6690">
        <f t="shared" si="104"/>
        <v>512</v>
      </c>
    </row>
    <row r="6691" spans="2:7" ht="15" hidden="1" x14ac:dyDescent="0.25">
      <c r="B6691" s="4">
        <v>584632962</v>
      </c>
      <c r="C6691" s="4" t="s">
        <v>269</v>
      </c>
      <c r="D6691" s="4">
        <v>1233</v>
      </c>
      <c r="E6691" s="4">
        <v>57</v>
      </c>
      <c r="G6691">
        <f t="shared" si="104"/>
        <v>512</v>
      </c>
    </row>
    <row r="6692" spans="2:7" ht="15" hidden="1" x14ac:dyDescent="0.25">
      <c r="B6692" s="4">
        <v>584632963</v>
      </c>
      <c r="C6692" s="4" t="s">
        <v>269</v>
      </c>
      <c r="D6692" s="4">
        <v>1234</v>
      </c>
      <c r="E6692" s="4">
        <v>57</v>
      </c>
      <c r="G6692">
        <f t="shared" si="104"/>
        <v>512</v>
      </c>
    </row>
    <row r="6693" spans="2:7" ht="15" hidden="1" x14ac:dyDescent="0.25">
      <c r="B6693" s="4">
        <v>584632964</v>
      </c>
      <c r="C6693" s="4" t="s">
        <v>269</v>
      </c>
      <c r="D6693" s="4">
        <v>1235</v>
      </c>
      <c r="E6693" s="4">
        <v>57</v>
      </c>
      <c r="G6693">
        <f t="shared" si="104"/>
        <v>512</v>
      </c>
    </row>
    <row r="6694" spans="2:7" ht="15" hidden="1" x14ac:dyDescent="0.25">
      <c r="B6694" s="4">
        <v>584632965</v>
      </c>
      <c r="C6694" s="4" t="s">
        <v>269</v>
      </c>
      <c r="D6694" s="4">
        <v>1236</v>
      </c>
      <c r="E6694" s="4">
        <v>57</v>
      </c>
      <c r="G6694">
        <f t="shared" si="104"/>
        <v>512</v>
      </c>
    </row>
    <row r="6695" spans="2:7" ht="15" hidden="1" x14ac:dyDescent="0.25">
      <c r="B6695" s="4">
        <v>584632966</v>
      </c>
      <c r="C6695" s="4" t="s">
        <v>269</v>
      </c>
      <c r="D6695" s="4">
        <v>1237</v>
      </c>
      <c r="E6695" s="4">
        <v>57</v>
      </c>
      <c r="G6695">
        <f t="shared" si="104"/>
        <v>512</v>
      </c>
    </row>
    <row r="6696" spans="2:7" ht="15" hidden="1" x14ac:dyDescent="0.25">
      <c r="B6696" s="4">
        <v>584632967</v>
      </c>
      <c r="C6696" s="4" t="s">
        <v>269</v>
      </c>
      <c r="D6696" s="4">
        <v>1238</v>
      </c>
      <c r="E6696" s="4">
        <v>57</v>
      </c>
      <c r="G6696">
        <f t="shared" si="104"/>
        <v>512</v>
      </c>
    </row>
    <row r="6697" spans="2:7" ht="15" hidden="1" x14ac:dyDescent="0.25">
      <c r="B6697" s="4">
        <v>584632968</v>
      </c>
      <c r="C6697" s="4" t="s">
        <v>269</v>
      </c>
      <c r="D6697" s="4">
        <v>1239</v>
      </c>
      <c r="E6697" s="4">
        <v>57</v>
      </c>
      <c r="G6697">
        <f t="shared" si="104"/>
        <v>512</v>
      </c>
    </row>
    <row r="6698" spans="2:7" ht="15" hidden="1" x14ac:dyDescent="0.25">
      <c r="B6698" s="4">
        <v>584632968</v>
      </c>
      <c r="C6698" s="4" t="s">
        <v>272</v>
      </c>
      <c r="D6698" s="4">
        <v>112</v>
      </c>
      <c r="E6698" s="4">
        <v>209</v>
      </c>
      <c r="G6698">
        <f t="shared" si="104"/>
        <v>1728</v>
      </c>
    </row>
    <row r="6699" spans="2:7" ht="15" hidden="1" x14ac:dyDescent="0.25">
      <c r="B6699" s="4">
        <v>584632969</v>
      </c>
      <c r="C6699" s="4" t="s">
        <v>269</v>
      </c>
      <c r="D6699" s="4">
        <v>1240</v>
      </c>
      <c r="E6699" s="4">
        <v>57</v>
      </c>
      <c r="G6699">
        <f t="shared" si="104"/>
        <v>512</v>
      </c>
    </row>
    <row r="6700" spans="2:7" ht="15" hidden="1" x14ac:dyDescent="0.25">
      <c r="B6700" s="4">
        <v>584632970</v>
      </c>
      <c r="C6700" s="4" t="s">
        <v>269</v>
      </c>
      <c r="D6700" s="4">
        <v>1241</v>
      </c>
      <c r="E6700" s="4">
        <v>57</v>
      </c>
      <c r="G6700">
        <f t="shared" si="104"/>
        <v>512</v>
      </c>
    </row>
    <row r="6701" spans="2:7" ht="15" hidden="1" x14ac:dyDescent="0.25">
      <c r="B6701" s="4">
        <v>584632971</v>
      </c>
      <c r="C6701" s="4" t="s">
        <v>269</v>
      </c>
      <c r="D6701" s="4">
        <v>1242</v>
      </c>
      <c r="E6701" s="4">
        <v>57</v>
      </c>
      <c r="G6701">
        <f t="shared" si="104"/>
        <v>512</v>
      </c>
    </row>
    <row r="6702" spans="2:7" ht="15" hidden="1" x14ac:dyDescent="0.25">
      <c r="B6702" s="4">
        <v>584632972</v>
      </c>
      <c r="C6702" s="4" t="s">
        <v>269</v>
      </c>
      <c r="D6702" s="4">
        <v>1243</v>
      </c>
      <c r="E6702" s="4">
        <v>57</v>
      </c>
      <c r="G6702">
        <f t="shared" si="104"/>
        <v>512</v>
      </c>
    </row>
    <row r="6703" spans="2:7" ht="15" hidden="1" x14ac:dyDescent="0.25">
      <c r="B6703" s="4">
        <v>584632973</v>
      </c>
      <c r="C6703" s="4" t="s">
        <v>269</v>
      </c>
      <c r="D6703" s="4">
        <v>1244</v>
      </c>
      <c r="E6703" s="4">
        <v>57</v>
      </c>
      <c r="G6703">
        <f t="shared" si="104"/>
        <v>512</v>
      </c>
    </row>
    <row r="6704" spans="2:7" ht="15" hidden="1" x14ac:dyDescent="0.25">
      <c r="B6704" s="4">
        <v>584632974</v>
      </c>
      <c r="C6704" s="4" t="s">
        <v>269</v>
      </c>
      <c r="D6704" s="4">
        <v>1245</v>
      </c>
      <c r="E6704" s="4">
        <v>57</v>
      </c>
      <c r="G6704">
        <f t="shared" si="104"/>
        <v>512</v>
      </c>
    </row>
    <row r="6705" spans="2:7" ht="15" hidden="1" x14ac:dyDescent="0.25">
      <c r="B6705" s="4">
        <v>584632975</v>
      </c>
      <c r="C6705" s="4" t="s">
        <v>269</v>
      </c>
      <c r="D6705" s="4">
        <v>1246</v>
      </c>
      <c r="E6705" s="4">
        <v>57</v>
      </c>
      <c r="G6705">
        <f t="shared" si="104"/>
        <v>512</v>
      </c>
    </row>
    <row r="6706" spans="2:7" ht="15" hidden="1" x14ac:dyDescent="0.25">
      <c r="B6706" s="4">
        <v>584632976</v>
      </c>
      <c r="C6706" s="4" t="s">
        <v>269</v>
      </c>
      <c r="D6706" s="4">
        <v>1247</v>
      </c>
      <c r="E6706" s="4">
        <v>57</v>
      </c>
      <c r="G6706">
        <f t="shared" si="104"/>
        <v>512</v>
      </c>
    </row>
    <row r="6707" spans="2:7" ht="15" hidden="1" x14ac:dyDescent="0.25">
      <c r="B6707" s="4">
        <v>584632977</v>
      </c>
      <c r="C6707" s="4" t="s">
        <v>269</v>
      </c>
      <c r="D6707" s="4">
        <v>1248</v>
      </c>
      <c r="E6707" s="4">
        <v>57</v>
      </c>
      <c r="G6707">
        <f t="shared" si="104"/>
        <v>512</v>
      </c>
    </row>
    <row r="6708" spans="2:7" ht="15" hidden="1" x14ac:dyDescent="0.25">
      <c r="B6708" s="4">
        <v>584632978</v>
      </c>
      <c r="C6708" s="4" t="s">
        <v>269</v>
      </c>
      <c r="D6708" s="4">
        <v>1249</v>
      </c>
      <c r="E6708" s="4">
        <v>57</v>
      </c>
      <c r="G6708">
        <f t="shared" si="104"/>
        <v>512</v>
      </c>
    </row>
    <row r="6709" spans="2:7" ht="15" hidden="1" x14ac:dyDescent="0.25">
      <c r="B6709" s="4">
        <v>584632978</v>
      </c>
      <c r="C6709" s="4" t="s">
        <v>272</v>
      </c>
      <c r="D6709" s="4">
        <v>113</v>
      </c>
      <c r="E6709" s="4">
        <v>215</v>
      </c>
      <c r="G6709">
        <f t="shared" si="104"/>
        <v>1776</v>
      </c>
    </row>
    <row r="6710" spans="2:7" ht="15" hidden="1" x14ac:dyDescent="0.25">
      <c r="B6710" s="4">
        <v>584632979</v>
      </c>
      <c r="C6710" s="4" t="s">
        <v>269</v>
      </c>
      <c r="D6710" s="4">
        <v>1250</v>
      </c>
      <c r="E6710" s="4">
        <v>57</v>
      </c>
      <c r="G6710">
        <f t="shared" si="104"/>
        <v>512</v>
      </c>
    </row>
    <row r="6711" spans="2:7" ht="15" hidden="1" x14ac:dyDescent="0.25">
      <c r="B6711" s="4">
        <v>584632980</v>
      </c>
      <c r="C6711" s="4" t="s">
        <v>269</v>
      </c>
      <c r="D6711" s="4">
        <v>1251</v>
      </c>
      <c r="E6711" s="4">
        <v>57</v>
      </c>
      <c r="G6711">
        <f t="shared" si="104"/>
        <v>512</v>
      </c>
    </row>
    <row r="6712" spans="2:7" ht="15" hidden="1" x14ac:dyDescent="0.25">
      <c r="B6712" s="4">
        <v>584632981</v>
      </c>
      <c r="C6712" s="4" t="s">
        <v>269</v>
      </c>
      <c r="D6712" s="4">
        <v>1252</v>
      </c>
      <c r="E6712" s="4">
        <v>57</v>
      </c>
      <c r="G6712">
        <f t="shared" si="104"/>
        <v>512</v>
      </c>
    </row>
    <row r="6713" spans="2:7" ht="15" hidden="1" x14ac:dyDescent="0.25">
      <c r="B6713" s="4">
        <v>584632982</v>
      </c>
      <c r="C6713" s="4" t="s">
        <v>269</v>
      </c>
      <c r="D6713" s="4">
        <v>1253</v>
      </c>
      <c r="E6713" s="4">
        <v>57</v>
      </c>
      <c r="G6713">
        <f t="shared" si="104"/>
        <v>512</v>
      </c>
    </row>
    <row r="6714" spans="2:7" ht="15" hidden="1" x14ac:dyDescent="0.25">
      <c r="B6714" s="4">
        <v>584632983</v>
      </c>
      <c r="C6714" s="4" t="s">
        <v>269</v>
      </c>
      <c r="D6714" s="4">
        <v>1254</v>
      </c>
      <c r="E6714" s="4">
        <v>57</v>
      </c>
      <c r="G6714">
        <f t="shared" si="104"/>
        <v>512</v>
      </c>
    </row>
    <row r="6715" spans="2:7" ht="15" hidden="1" x14ac:dyDescent="0.25">
      <c r="B6715" s="4">
        <v>584632984</v>
      </c>
      <c r="C6715" s="4" t="s">
        <v>269</v>
      </c>
      <c r="D6715" s="4">
        <v>1255</v>
      </c>
      <c r="E6715" s="4">
        <v>57</v>
      </c>
      <c r="G6715">
        <f t="shared" si="104"/>
        <v>512</v>
      </c>
    </row>
    <row r="6716" spans="2:7" ht="15" hidden="1" x14ac:dyDescent="0.25">
      <c r="B6716" s="4">
        <v>584632985</v>
      </c>
      <c r="C6716" s="4" t="s">
        <v>269</v>
      </c>
      <c r="D6716" s="4">
        <v>1256</v>
      </c>
      <c r="E6716" s="4">
        <v>57</v>
      </c>
      <c r="G6716">
        <f t="shared" si="104"/>
        <v>512</v>
      </c>
    </row>
    <row r="6717" spans="2:7" ht="15" hidden="1" x14ac:dyDescent="0.25">
      <c r="B6717" s="4">
        <v>584632986</v>
      </c>
      <c r="C6717" s="4" t="s">
        <v>269</v>
      </c>
      <c r="D6717" s="4">
        <v>1257</v>
      </c>
      <c r="E6717" s="4">
        <v>57</v>
      </c>
      <c r="G6717">
        <f t="shared" si="104"/>
        <v>512</v>
      </c>
    </row>
    <row r="6718" spans="2:7" ht="15" hidden="1" x14ac:dyDescent="0.25">
      <c r="B6718" s="4">
        <v>584632987</v>
      </c>
      <c r="C6718" s="4" t="s">
        <v>269</v>
      </c>
      <c r="D6718" s="4">
        <v>1258</v>
      </c>
      <c r="E6718" s="4">
        <v>57</v>
      </c>
      <c r="G6718">
        <f t="shared" si="104"/>
        <v>512</v>
      </c>
    </row>
    <row r="6719" spans="2:7" ht="15" hidden="1" x14ac:dyDescent="0.25">
      <c r="B6719" s="4">
        <v>584632988</v>
      </c>
      <c r="C6719" s="4" t="s">
        <v>269</v>
      </c>
      <c r="D6719" s="4">
        <v>1259</v>
      </c>
      <c r="E6719" s="4">
        <v>57</v>
      </c>
      <c r="G6719">
        <f t="shared" si="104"/>
        <v>512</v>
      </c>
    </row>
    <row r="6720" spans="2:7" ht="15" hidden="1" x14ac:dyDescent="0.25">
      <c r="B6720" s="4">
        <v>584632988</v>
      </c>
      <c r="C6720" s="4" t="s">
        <v>272</v>
      </c>
      <c r="D6720" s="4">
        <v>114</v>
      </c>
      <c r="E6720" s="4">
        <v>211</v>
      </c>
      <c r="G6720">
        <f t="shared" si="104"/>
        <v>1744</v>
      </c>
    </row>
    <row r="6721" spans="2:7" ht="15" hidden="1" x14ac:dyDescent="0.25">
      <c r="B6721" s="4">
        <v>584632989</v>
      </c>
      <c r="C6721" s="4" t="s">
        <v>269</v>
      </c>
      <c r="D6721" s="4">
        <v>1260</v>
      </c>
      <c r="E6721" s="4">
        <v>57</v>
      </c>
      <c r="G6721">
        <f t="shared" si="104"/>
        <v>512</v>
      </c>
    </row>
    <row r="6722" spans="2:7" ht="15" hidden="1" x14ac:dyDescent="0.25">
      <c r="B6722" s="4">
        <v>584632990</v>
      </c>
      <c r="C6722" s="4" t="s">
        <v>269</v>
      </c>
      <c r="D6722" s="4">
        <v>1261</v>
      </c>
      <c r="E6722" s="4">
        <v>57</v>
      </c>
      <c r="G6722">
        <f t="shared" si="104"/>
        <v>512</v>
      </c>
    </row>
    <row r="6723" spans="2:7" ht="15" hidden="1" x14ac:dyDescent="0.25">
      <c r="B6723" s="4">
        <v>584632991</v>
      </c>
      <c r="C6723" s="4" t="s">
        <v>269</v>
      </c>
      <c r="D6723" s="4">
        <v>1262</v>
      </c>
      <c r="E6723" s="4">
        <v>57</v>
      </c>
      <c r="G6723">
        <f t="shared" si="104"/>
        <v>512</v>
      </c>
    </row>
    <row r="6724" spans="2:7" ht="15" hidden="1" x14ac:dyDescent="0.25">
      <c r="B6724" s="4">
        <v>584632992</v>
      </c>
      <c r="C6724" s="4" t="s">
        <v>269</v>
      </c>
      <c r="D6724" s="4">
        <v>1263</v>
      </c>
      <c r="E6724" s="4">
        <v>57</v>
      </c>
      <c r="G6724">
        <f t="shared" ref="G6724:G6787" si="105">(E6724+7)*8</f>
        <v>512</v>
      </c>
    </row>
    <row r="6725" spans="2:7" ht="15" hidden="1" x14ac:dyDescent="0.25">
      <c r="B6725" s="4">
        <v>584632993</v>
      </c>
      <c r="C6725" s="4" t="s">
        <v>269</v>
      </c>
      <c r="D6725" s="4">
        <v>1264</v>
      </c>
      <c r="E6725" s="4">
        <v>57</v>
      </c>
      <c r="G6725">
        <f t="shared" si="105"/>
        <v>512</v>
      </c>
    </row>
    <row r="6726" spans="2:7" ht="15" hidden="1" x14ac:dyDescent="0.25">
      <c r="B6726" s="4">
        <v>584632994</v>
      </c>
      <c r="C6726" s="4" t="s">
        <v>269</v>
      </c>
      <c r="D6726" s="4">
        <v>1265</v>
      </c>
      <c r="E6726" s="4">
        <v>57</v>
      </c>
      <c r="G6726">
        <f t="shared" si="105"/>
        <v>512</v>
      </c>
    </row>
    <row r="6727" spans="2:7" ht="15" hidden="1" x14ac:dyDescent="0.25">
      <c r="B6727" s="4">
        <v>584632995</v>
      </c>
      <c r="C6727" s="4" t="s">
        <v>269</v>
      </c>
      <c r="D6727" s="4">
        <v>1266</v>
      </c>
      <c r="E6727" s="4">
        <v>57</v>
      </c>
      <c r="G6727">
        <f t="shared" si="105"/>
        <v>512</v>
      </c>
    </row>
    <row r="6728" spans="2:7" ht="15" hidden="1" x14ac:dyDescent="0.25">
      <c r="B6728" s="4">
        <v>584632996</v>
      </c>
      <c r="C6728" s="4" t="s">
        <v>269</v>
      </c>
      <c r="D6728" s="4">
        <v>1267</v>
      </c>
      <c r="E6728" s="4">
        <v>57</v>
      </c>
      <c r="G6728">
        <f t="shared" si="105"/>
        <v>512</v>
      </c>
    </row>
    <row r="6729" spans="2:7" ht="15" hidden="1" x14ac:dyDescent="0.25">
      <c r="B6729" s="4">
        <v>584632997</v>
      </c>
      <c r="C6729" s="4" t="s">
        <v>269</v>
      </c>
      <c r="D6729" s="4">
        <v>1268</v>
      </c>
      <c r="E6729" s="4">
        <v>57</v>
      </c>
      <c r="G6729">
        <f t="shared" si="105"/>
        <v>512</v>
      </c>
    </row>
    <row r="6730" spans="2:7" ht="15" hidden="1" x14ac:dyDescent="0.25">
      <c r="B6730" s="4">
        <v>584632998</v>
      </c>
      <c r="C6730" s="4" t="s">
        <v>269</v>
      </c>
      <c r="D6730" s="4">
        <v>1269</v>
      </c>
      <c r="E6730" s="4">
        <v>57</v>
      </c>
      <c r="G6730">
        <f t="shared" si="105"/>
        <v>512</v>
      </c>
    </row>
    <row r="6731" spans="2:7" ht="15" hidden="1" x14ac:dyDescent="0.25">
      <c r="B6731" s="4">
        <v>584632998</v>
      </c>
      <c r="C6731" s="4" t="s">
        <v>272</v>
      </c>
      <c r="D6731" s="4">
        <v>115</v>
      </c>
      <c r="E6731" s="4">
        <v>211</v>
      </c>
      <c r="G6731">
        <f t="shared" si="105"/>
        <v>1744</v>
      </c>
    </row>
    <row r="6732" spans="2:7" ht="15" hidden="1" x14ac:dyDescent="0.25">
      <c r="B6732" s="4">
        <v>584632999</v>
      </c>
      <c r="C6732" s="4" t="s">
        <v>269</v>
      </c>
      <c r="D6732" s="4">
        <v>1270</v>
      </c>
      <c r="E6732" s="4">
        <v>57</v>
      </c>
      <c r="G6732">
        <f t="shared" si="105"/>
        <v>512</v>
      </c>
    </row>
    <row r="6733" spans="2:7" ht="15" hidden="1" x14ac:dyDescent="0.25">
      <c r="B6733" s="4">
        <v>584633000</v>
      </c>
      <c r="C6733" s="4" t="s">
        <v>269</v>
      </c>
      <c r="D6733" s="4">
        <v>1271</v>
      </c>
      <c r="E6733" s="4">
        <v>57</v>
      </c>
      <c r="G6733">
        <f t="shared" si="105"/>
        <v>512</v>
      </c>
    </row>
    <row r="6734" spans="2:7" ht="15" hidden="1" x14ac:dyDescent="0.25">
      <c r="B6734" s="4">
        <v>584633001</v>
      </c>
      <c r="C6734" s="4" t="s">
        <v>269</v>
      </c>
      <c r="D6734" s="4">
        <v>1272</v>
      </c>
      <c r="E6734" s="4">
        <v>57</v>
      </c>
      <c r="G6734">
        <f t="shared" si="105"/>
        <v>512</v>
      </c>
    </row>
    <row r="6735" spans="2:7" ht="15" hidden="1" x14ac:dyDescent="0.25">
      <c r="B6735" s="4">
        <v>584633002</v>
      </c>
      <c r="C6735" s="4" t="s">
        <v>269</v>
      </c>
      <c r="D6735" s="4">
        <v>1273</v>
      </c>
      <c r="E6735" s="4">
        <v>57</v>
      </c>
      <c r="G6735">
        <f t="shared" si="105"/>
        <v>512</v>
      </c>
    </row>
    <row r="6736" spans="2:7" ht="15" hidden="1" x14ac:dyDescent="0.25">
      <c r="B6736" s="4">
        <v>584633003</v>
      </c>
      <c r="C6736" s="4" t="s">
        <v>269</v>
      </c>
      <c r="D6736" s="4">
        <v>1274</v>
      </c>
      <c r="E6736" s="4">
        <v>57</v>
      </c>
      <c r="G6736">
        <f t="shared" si="105"/>
        <v>512</v>
      </c>
    </row>
    <row r="6737" spans="2:7" ht="15" hidden="1" x14ac:dyDescent="0.25">
      <c r="B6737" s="4">
        <v>584633004</v>
      </c>
      <c r="C6737" s="4" t="s">
        <v>269</v>
      </c>
      <c r="D6737" s="4">
        <v>1275</v>
      </c>
      <c r="E6737" s="4">
        <v>57</v>
      </c>
      <c r="G6737">
        <f t="shared" si="105"/>
        <v>512</v>
      </c>
    </row>
    <row r="6738" spans="2:7" ht="15" hidden="1" x14ac:dyDescent="0.25">
      <c r="B6738" s="4">
        <v>584633005</v>
      </c>
      <c r="C6738" s="4" t="s">
        <v>269</v>
      </c>
      <c r="D6738" s="4">
        <v>1276</v>
      </c>
      <c r="E6738" s="4">
        <v>57</v>
      </c>
      <c r="G6738">
        <f t="shared" si="105"/>
        <v>512</v>
      </c>
    </row>
    <row r="6739" spans="2:7" ht="15" hidden="1" x14ac:dyDescent="0.25">
      <c r="B6739" s="4">
        <v>584633006</v>
      </c>
      <c r="C6739" s="4" t="s">
        <v>269</v>
      </c>
      <c r="D6739" s="4">
        <v>1277</v>
      </c>
      <c r="E6739" s="4">
        <v>57</v>
      </c>
      <c r="G6739">
        <f t="shared" si="105"/>
        <v>512</v>
      </c>
    </row>
    <row r="6740" spans="2:7" ht="15" hidden="1" x14ac:dyDescent="0.25">
      <c r="B6740" s="4">
        <v>584633007</v>
      </c>
      <c r="C6740" s="4" t="s">
        <v>269</v>
      </c>
      <c r="D6740" s="4">
        <v>1278</v>
      </c>
      <c r="E6740" s="4">
        <v>57</v>
      </c>
      <c r="G6740">
        <f t="shared" si="105"/>
        <v>512</v>
      </c>
    </row>
    <row r="6741" spans="2:7" ht="15" hidden="1" x14ac:dyDescent="0.25">
      <c r="B6741" s="4">
        <v>584633008</v>
      </c>
      <c r="C6741" s="4" t="s">
        <v>269</v>
      </c>
      <c r="D6741" s="4">
        <v>1279</v>
      </c>
      <c r="E6741" s="4">
        <v>57</v>
      </c>
      <c r="G6741">
        <f t="shared" si="105"/>
        <v>512</v>
      </c>
    </row>
    <row r="6742" spans="2:7" ht="15" hidden="1" x14ac:dyDescent="0.25">
      <c r="B6742" s="4">
        <v>584633008</v>
      </c>
      <c r="C6742" s="4" t="s">
        <v>272</v>
      </c>
      <c r="D6742" s="4">
        <v>116</v>
      </c>
      <c r="E6742" s="4">
        <v>209</v>
      </c>
      <c r="G6742">
        <f t="shared" si="105"/>
        <v>1728</v>
      </c>
    </row>
    <row r="6743" spans="2:7" ht="15" hidden="1" x14ac:dyDescent="0.25">
      <c r="B6743" s="4">
        <v>584633009</v>
      </c>
      <c r="C6743" s="4" t="s">
        <v>269</v>
      </c>
      <c r="D6743" s="4">
        <v>1280</v>
      </c>
      <c r="E6743" s="4">
        <v>57</v>
      </c>
      <c r="G6743">
        <f t="shared" si="105"/>
        <v>512</v>
      </c>
    </row>
    <row r="6744" spans="2:7" ht="15" hidden="1" x14ac:dyDescent="0.25">
      <c r="B6744" s="4">
        <v>584633010</v>
      </c>
      <c r="C6744" s="4" t="s">
        <v>269</v>
      </c>
      <c r="D6744" s="4">
        <v>1281</v>
      </c>
      <c r="E6744" s="4">
        <v>57</v>
      </c>
      <c r="G6744">
        <f t="shared" si="105"/>
        <v>512</v>
      </c>
    </row>
    <row r="6745" spans="2:7" ht="15" hidden="1" x14ac:dyDescent="0.25">
      <c r="B6745" s="4">
        <v>584633011</v>
      </c>
      <c r="C6745" s="4" t="s">
        <v>269</v>
      </c>
      <c r="D6745" s="4">
        <v>1282</v>
      </c>
      <c r="E6745" s="4">
        <v>57</v>
      </c>
      <c r="G6745">
        <f t="shared" si="105"/>
        <v>512</v>
      </c>
    </row>
    <row r="6746" spans="2:7" ht="15" hidden="1" x14ac:dyDescent="0.25">
      <c r="B6746" s="4">
        <v>584633012</v>
      </c>
      <c r="C6746" s="4" t="s">
        <v>269</v>
      </c>
      <c r="D6746" s="4">
        <v>1283</v>
      </c>
      <c r="E6746" s="4">
        <v>57</v>
      </c>
      <c r="G6746">
        <f t="shared" si="105"/>
        <v>512</v>
      </c>
    </row>
    <row r="6747" spans="2:7" ht="15" hidden="1" x14ac:dyDescent="0.25">
      <c r="B6747" s="4">
        <v>584633013</v>
      </c>
      <c r="C6747" s="4" t="s">
        <v>269</v>
      </c>
      <c r="D6747" s="4">
        <v>1284</v>
      </c>
      <c r="E6747" s="4">
        <v>57</v>
      </c>
      <c r="G6747">
        <f t="shared" si="105"/>
        <v>512</v>
      </c>
    </row>
    <row r="6748" spans="2:7" ht="15" hidden="1" x14ac:dyDescent="0.25">
      <c r="B6748" s="4">
        <v>584633014</v>
      </c>
      <c r="C6748" s="4" t="s">
        <v>269</v>
      </c>
      <c r="D6748" s="4">
        <v>1285</v>
      </c>
      <c r="E6748" s="4">
        <v>57</v>
      </c>
      <c r="G6748">
        <f t="shared" si="105"/>
        <v>512</v>
      </c>
    </row>
    <row r="6749" spans="2:7" ht="15" hidden="1" x14ac:dyDescent="0.25">
      <c r="B6749" s="4">
        <v>584633015</v>
      </c>
      <c r="C6749" s="4" t="s">
        <v>269</v>
      </c>
      <c r="D6749" s="4">
        <v>1286</v>
      </c>
      <c r="E6749" s="4">
        <v>57</v>
      </c>
      <c r="G6749">
        <f t="shared" si="105"/>
        <v>512</v>
      </c>
    </row>
    <row r="6750" spans="2:7" ht="15" hidden="1" x14ac:dyDescent="0.25">
      <c r="B6750" s="4">
        <v>584633016</v>
      </c>
      <c r="C6750" s="4" t="s">
        <v>269</v>
      </c>
      <c r="D6750" s="4">
        <v>1287</v>
      </c>
      <c r="E6750" s="4">
        <v>57</v>
      </c>
      <c r="G6750">
        <f t="shared" si="105"/>
        <v>512</v>
      </c>
    </row>
    <row r="6751" spans="2:7" ht="15" hidden="1" x14ac:dyDescent="0.25">
      <c r="B6751" s="4">
        <v>584633017</v>
      </c>
      <c r="C6751" s="4" t="s">
        <v>269</v>
      </c>
      <c r="D6751" s="4">
        <v>1288</v>
      </c>
      <c r="E6751" s="4">
        <v>57</v>
      </c>
      <c r="G6751">
        <f t="shared" si="105"/>
        <v>512</v>
      </c>
    </row>
    <row r="6752" spans="2:7" ht="15" hidden="1" x14ac:dyDescent="0.25">
      <c r="B6752" s="4">
        <v>584633018</v>
      </c>
      <c r="C6752" s="4" t="s">
        <v>269</v>
      </c>
      <c r="D6752" s="4">
        <v>1289</v>
      </c>
      <c r="E6752" s="4">
        <v>57</v>
      </c>
      <c r="G6752">
        <f t="shared" si="105"/>
        <v>512</v>
      </c>
    </row>
    <row r="6753" spans="2:7" ht="15" hidden="1" x14ac:dyDescent="0.25">
      <c r="B6753" s="4">
        <v>584633018</v>
      </c>
      <c r="C6753" s="4" t="s">
        <v>272</v>
      </c>
      <c r="D6753" s="4">
        <v>117</v>
      </c>
      <c r="E6753" s="4">
        <v>209</v>
      </c>
      <c r="G6753">
        <f t="shared" si="105"/>
        <v>1728</v>
      </c>
    </row>
    <row r="6754" spans="2:7" ht="15" hidden="1" x14ac:dyDescent="0.25">
      <c r="B6754" s="4">
        <v>584633019</v>
      </c>
      <c r="C6754" s="4" t="s">
        <v>269</v>
      </c>
      <c r="D6754" s="4">
        <v>1290</v>
      </c>
      <c r="E6754" s="4">
        <v>57</v>
      </c>
      <c r="G6754">
        <f t="shared" si="105"/>
        <v>512</v>
      </c>
    </row>
    <row r="6755" spans="2:7" ht="15" hidden="1" x14ac:dyDescent="0.25">
      <c r="B6755" s="4">
        <v>584633020</v>
      </c>
      <c r="C6755" s="4" t="s">
        <v>269</v>
      </c>
      <c r="D6755" s="4">
        <v>1291</v>
      </c>
      <c r="E6755" s="4">
        <v>57</v>
      </c>
      <c r="G6755">
        <f t="shared" si="105"/>
        <v>512</v>
      </c>
    </row>
    <row r="6756" spans="2:7" ht="15" hidden="1" x14ac:dyDescent="0.25">
      <c r="B6756" s="4">
        <v>584633021</v>
      </c>
      <c r="C6756" s="4" t="s">
        <v>269</v>
      </c>
      <c r="D6756" s="4">
        <v>1292</v>
      </c>
      <c r="E6756" s="4">
        <v>57</v>
      </c>
      <c r="G6756">
        <f t="shared" si="105"/>
        <v>512</v>
      </c>
    </row>
    <row r="6757" spans="2:7" ht="15" hidden="1" x14ac:dyDescent="0.25">
      <c r="B6757" s="4">
        <v>584633022</v>
      </c>
      <c r="C6757" s="4" t="s">
        <v>269</v>
      </c>
      <c r="D6757" s="4">
        <v>1293</v>
      </c>
      <c r="E6757" s="4">
        <v>57</v>
      </c>
      <c r="G6757">
        <f t="shared" si="105"/>
        <v>512</v>
      </c>
    </row>
    <row r="6758" spans="2:7" ht="15" hidden="1" x14ac:dyDescent="0.25">
      <c r="B6758" s="4">
        <v>584633023</v>
      </c>
      <c r="C6758" s="4" t="s">
        <v>269</v>
      </c>
      <c r="D6758" s="4">
        <v>1294</v>
      </c>
      <c r="E6758" s="4">
        <v>57</v>
      </c>
      <c r="G6758">
        <f t="shared" si="105"/>
        <v>512</v>
      </c>
    </row>
    <row r="6759" spans="2:7" ht="15" hidden="1" x14ac:dyDescent="0.25">
      <c r="B6759" s="4">
        <v>584633024</v>
      </c>
      <c r="C6759" s="4" t="s">
        <v>269</v>
      </c>
      <c r="D6759" s="4">
        <v>1295</v>
      </c>
      <c r="E6759" s="4">
        <v>57</v>
      </c>
      <c r="G6759">
        <f t="shared" si="105"/>
        <v>512</v>
      </c>
    </row>
    <row r="6760" spans="2:7" ht="15" hidden="1" x14ac:dyDescent="0.25">
      <c r="B6760" s="4">
        <v>584633025</v>
      </c>
      <c r="C6760" s="4" t="s">
        <v>269</v>
      </c>
      <c r="D6760" s="4">
        <v>1296</v>
      </c>
      <c r="E6760" s="4">
        <v>57</v>
      </c>
      <c r="G6760">
        <f t="shared" si="105"/>
        <v>512</v>
      </c>
    </row>
    <row r="6761" spans="2:7" ht="15" hidden="1" x14ac:dyDescent="0.25">
      <c r="B6761" s="4">
        <v>584633026</v>
      </c>
      <c r="C6761" s="4" t="s">
        <v>269</v>
      </c>
      <c r="D6761" s="4">
        <v>1297</v>
      </c>
      <c r="E6761" s="4">
        <v>57</v>
      </c>
      <c r="G6761">
        <f t="shared" si="105"/>
        <v>512</v>
      </c>
    </row>
    <row r="6762" spans="2:7" ht="15" hidden="1" x14ac:dyDescent="0.25">
      <c r="B6762" s="4">
        <v>584633027</v>
      </c>
      <c r="C6762" s="4" t="s">
        <v>269</v>
      </c>
      <c r="D6762" s="4">
        <v>1298</v>
      </c>
      <c r="E6762" s="4">
        <v>57</v>
      </c>
      <c r="G6762">
        <f t="shared" si="105"/>
        <v>512</v>
      </c>
    </row>
    <row r="6763" spans="2:7" ht="15" hidden="1" x14ac:dyDescent="0.25">
      <c r="B6763" s="4">
        <v>584633028</v>
      </c>
      <c r="C6763" s="4" t="s">
        <v>269</v>
      </c>
      <c r="D6763" s="4">
        <v>1299</v>
      </c>
      <c r="E6763" s="4">
        <v>57</v>
      </c>
      <c r="G6763">
        <f t="shared" si="105"/>
        <v>512</v>
      </c>
    </row>
    <row r="6764" spans="2:7" ht="15" hidden="1" x14ac:dyDescent="0.25">
      <c r="B6764" s="4">
        <v>584633028</v>
      </c>
      <c r="C6764" s="4" t="s">
        <v>272</v>
      </c>
      <c r="D6764" s="4">
        <v>118</v>
      </c>
      <c r="E6764" s="4">
        <v>211</v>
      </c>
      <c r="G6764">
        <f t="shared" si="105"/>
        <v>1744</v>
      </c>
    </row>
    <row r="6765" spans="2:7" ht="15" hidden="1" x14ac:dyDescent="0.25">
      <c r="B6765" s="4">
        <v>584633029</v>
      </c>
      <c r="C6765" s="4" t="s">
        <v>269</v>
      </c>
      <c r="D6765" s="4">
        <v>1300</v>
      </c>
      <c r="E6765" s="4">
        <v>57</v>
      </c>
      <c r="G6765">
        <f t="shared" si="105"/>
        <v>512</v>
      </c>
    </row>
    <row r="6766" spans="2:7" ht="15" hidden="1" x14ac:dyDescent="0.25">
      <c r="B6766" s="4">
        <v>584633030</v>
      </c>
      <c r="C6766" s="4" t="s">
        <v>269</v>
      </c>
      <c r="D6766" s="4">
        <v>1301</v>
      </c>
      <c r="E6766" s="4">
        <v>57</v>
      </c>
      <c r="G6766">
        <f t="shared" si="105"/>
        <v>512</v>
      </c>
    </row>
    <row r="6767" spans="2:7" ht="15" hidden="1" x14ac:dyDescent="0.25">
      <c r="B6767" s="4">
        <v>584633031</v>
      </c>
      <c r="C6767" s="4" t="s">
        <v>269</v>
      </c>
      <c r="D6767" s="4">
        <v>1302</v>
      </c>
      <c r="E6767" s="4">
        <v>57</v>
      </c>
      <c r="G6767">
        <f t="shared" si="105"/>
        <v>512</v>
      </c>
    </row>
    <row r="6768" spans="2:7" ht="15" hidden="1" x14ac:dyDescent="0.25">
      <c r="B6768" s="4">
        <v>584633032</v>
      </c>
      <c r="C6768" s="4" t="s">
        <v>269</v>
      </c>
      <c r="D6768" s="4">
        <v>1303</v>
      </c>
      <c r="E6768" s="4">
        <v>57</v>
      </c>
      <c r="G6768">
        <f t="shared" si="105"/>
        <v>512</v>
      </c>
    </row>
    <row r="6769" spans="2:7" ht="15" hidden="1" x14ac:dyDescent="0.25">
      <c r="B6769" s="4">
        <v>584633033</v>
      </c>
      <c r="C6769" s="4" t="s">
        <v>269</v>
      </c>
      <c r="D6769" s="4">
        <v>1304</v>
      </c>
      <c r="E6769" s="4">
        <v>57</v>
      </c>
      <c r="G6769">
        <f t="shared" si="105"/>
        <v>512</v>
      </c>
    </row>
    <row r="6770" spans="2:7" ht="15" hidden="1" x14ac:dyDescent="0.25">
      <c r="B6770" s="4">
        <v>584633034</v>
      </c>
      <c r="C6770" s="4" t="s">
        <v>269</v>
      </c>
      <c r="D6770" s="4">
        <v>1305</v>
      </c>
      <c r="E6770" s="4">
        <v>57</v>
      </c>
      <c r="G6770">
        <f t="shared" si="105"/>
        <v>512</v>
      </c>
    </row>
    <row r="6771" spans="2:7" ht="15" hidden="1" x14ac:dyDescent="0.25">
      <c r="B6771" s="4">
        <v>584633035</v>
      </c>
      <c r="C6771" s="4" t="s">
        <v>269</v>
      </c>
      <c r="D6771" s="4">
        <v>1306</v>
      </c>
      <c r="E6771" s="4">
        <v>57</v>
      </c>
      <c r="G6771">
        <f t="shared" si="105"/>
        <v>512</v>
      </c>
    </row>
    <row r="6772" spans="2:7" ht="15" hidden="1" x14ac:dyDescent="0.25">
      <c r="B6772" s="4">
        <v>584633036</v>
      </c>
      <c r="C6772" s="4" t="s">
        <v>268</v>
      </c>
      <c r="D6772" s="4">
        <v>266</v>
      </c>
      <c r="E6772" s="4">
        <v>6</v>
      </c>
      <c r="G6772">
        <f t="shared" si="105"/>
        <v>104</v>
      </c>
    </row>
    <row r="6773" spans="2:7" ht="15" hidden="1" x14ac:dyDescent="0.25">
      <c r="B6773" s="4">
        <v>584633036</v>
      </c>
      <c r="C6773" s="4" t="s">
        <v>268</v>
      </c>
      <c r="D6773" s="4">
        <v>266</v>
      </c>
      <c r="E6773" s="4">
        <v>6</v>
      </c>
      <c r="G6773">
        <f t="shared" si="105"/>
        <v>104</v>
      </c>
    </row>
    <row r="6774" spans="2:7" ht="15" hidden="1" x14ac:dyDescent="0.25">
      <c r="B6774" s="4">
        <v>584633036</v>
      </c>
      <c r="C6774" s="4" t="s">
        <v>268</v>
      </c>
      <c r="D6774" s="4">
        <v>267</v>
      </c>
      <c r="E6774" s="4">
        <v>9</v>
      </c>
      <c r="G6774">
        <f t="shared" si="105"/>
        <v>128</v>
      </c>
    </row>
    <row r="6775" spans="2:7" ht="15" hidden="1" x14ac:dyDescent="0.25">
      <c r="B6775" s="4">
        <v>584633036</v>
      </c>
      <c r="C6775" s="4" t="s">
        <v>268</v>
      </c>
      <c r="D6775" s="4">
        <v>267</v>
      </c>
      <c r="E6775" s="4">
        <v>9</v>
      </c>
      <c r="G6775">
        <f t="shared" si="105"/>
        <v>128</v>
      </c>
    </row>
    <row r="6776" spans="2:7" ht="15" hidden="1" x14ac:dyDescent="0.25">
      <c r="B6776" s="4">
        <v>584633036</v>
      </c>
      <c r="C6776" s="4" t="s">
        <v>268</v>
      </c>
      <c r="D6776" s="4">
        <v>268</v>
      </c>
      <c r="E6776" s="4">
        <v>7</v>
      </c>
      <c r="G6776">
        <f t="shared" si="105"/>
        <v>112</v>
      </c>
    </row>
    <row r="6777" spans="2:7" ht="15" hidden="1" x14ac:dyDescent="0.25">
      <c r="B6777" s="4">
        <v>584633036</v>
      </c>
      <c r="C6777" s="4" t="s">
        <v>268</v>
      </c>
      <c r="D6777" s="4">
        <v>268</v>
      </c>
      <c r="E6777" s="4">
        <v>7</v>
      </c>
      <c r="G6777">
        <f t="shared" si="105"/>
        <v>112</v>
      </c>
    </row>
    <row r="6778" spans="2:7" ht="15" hidden="1" x14ac:dyDescent="0.25">
      <c r="B6778" s="4">
        <v>584633036</v>
      </c>
      <c r="C6778" s="4" t="s">
        <v>268</v>
      </c>
      <c r="D6778" s="4">
        <v>269</v>
      </c>
      <c r="E6778" s="4">
        <v>7</v>
      </c>
      <c r="G6778">
        <f t="shared" si="105"/>
        <v>112</v>
      </c>
    </row>
    <row r="6779" spans="2:7" ht="15" hidden="1" x14ac:dyDescent="0.25">
      <c r="B6779" s="4">
        <v>584633036</v>
      </c>
      <c r="C6779" s="4" t="s">
        <v>268</v>
      </c>
      <c r="D6779" s="4">
        <v>269</v>
      </c>
      <c r="E6779" s="4">
        <v>7</v>
      </c>
      <c r="G6779">
        <f t="shared" si="105"/>
        <v>112</v>
      </c>
    </row>
    <row r="6780" spans="2:7" ht="15" hidden="1" x14ac:dyDescent="0.25">
      <c r="B6780" s="4">
        <v>584633036</v>
      </c>
      <c r="C6780" s="4" t="s">
        <v>268</v>
      </c>
      <c r="D6780" s="4">
        <v>270</v>
      </c>
      <c r="E6780" s="4">
        <v>7</v>
      </c>
      <c r="G6780">
        <f t="shared" si="105"/>
        <v>112</v>
      </c>
    </row>
    <row r="6781" spans="2:7" ht="15" hidden="1" x14ac:dyDescent="0.25">
      <c r="B6781" s="4">
        <v>584633036</v>
      </c>
      <c r="C6781" s="4" t="s">
        <v>268</v>
      </c>
      <c r="D6781" s="4">
        <v>270</v>
      </c>
      <c r="E6781" s="4">
        <v>7</v>
      </c>
      <c r="G6781">
        <f t="shared" si="105"/>
        <v>112</v>
      </c>
    </row>
    <row r="6782" spans="2:7" ht="15" hidden="1" x14ac:dyDescent="0.25">
      <c r="B6782" s="4">
        <v>584633036</v>
      </c>
      <c r="C6782" s="4" t="s">
        <v>269</v>
      </c>
      <c r="D6782" s="4">
        <v>1307</v>
      </c>
      <c r="E6782" s="4">
        <v>57</v>
      </c>
      <c r="G6782">
        <f t="shared" si="105"/>
        <v>512</v>
      </c>
    </row>
    <row r="6783" spans="2:7" ht="15" hidden="1" x14ac:dyDescent="0.25">
      <c r="B6783" s="4">
        <v>584633037</v>
      </c>
      <c r="C6783" s="4" t="s">
        <v>269</v>
      </c>
      <c r="D6783" s="4">
        <v>1308</v>
      </c>
      <c r="E6783" s="4">
        <v>57</v>
      </c>
      <c r="G6783">
        <f t="shared" si="105"/>
        <v>512</v>
      </c>
    </row>
    <row r="6784" spans="2:7" ht="15" hidden="1" x14ac:dyDescent="0.25">
      <c r="B6784" s="4">
        <v>584633038</v>
      </c>
      <c r="C6784" s="4" t="s">
        <v>268</v>
      </c>
      <c r="D6784" s="4">
        <v>271</v>
      </c>
      <c r="E6784" s="4">
        <v>7</v>
      </c>
      <c r="G6784">
        <f t="shared" si="105"/>
        <v>112</v>
      </c>
    </row>
    <row r="6785" spans="2:7" ht="15" hidden="1" x14ac:dyDescent="0.25">
      <c r="B6785" s="4">
        <v>584633038</v>
      </c>
      <c r="C6785" s="4" t="s">
        <v>268</v>
      </c>
      <c r="D6785" s="4">
        <v>271</v>
      </c>
      <c r="E6785" s="4">
        <v>7</v>
      </c>
      <c r="G6785">
        <f t="shared" si="105"/>
        <v>112</v>
      </c>
    </row>
    <row r="6786" spans="2:7" ht="15" hidden="1" x14ac:dyDescent="0.25">
      <c r="B6786" s="4">
        <v>584633038</v>
      </c>
      <c r="C6786" s="4" t="s">
        <v>268</v>
      </c>
      <c r="D6786" s="4">
        <v>272</v>
      </c>
      <c r="E6786" s="4">
        <v>5</v>
      </c>
      <c r="G6786">
        <f t="shared" si="105"/>
        <v>96</v>
      </c>
    </row>
    <row r="6787" spans="2:7" ht="15" hidden="1" x14ac:dyDescent="0.25">
      <c r="B6787" s="4">
        <v>584633038</v>
      </c>
      <c r="C6787" s="4" t="s">
        <v>268</v>
      </c>
      <c r="D6787" s="4">
        <v>272</v>
      </c>
      <c r="E6787" s="4">
        <v>5</v>
      </c>
      <c r="G6787">
        <f t="shared" si="105"/>
        <v>96</v>
      </c>
    </row>
    <row r="6788" spans="2:7" ht="15" hidden="1" x14ac:dyDescent="0.25">
      <c r="B6788" s="4">
        <v>584633038</v>
      </c>
      <c r="C6788" s="4" t="s">
        <v>268</v>
      </c>
      <c r="D6788" s="4">
        <v>273</v>
      </c>
      <c r="E6788" s="4">
        <v>7</v>
      </c>
      <c r="G6788">
        <f t="shared" ref="G6788:G6851" si="106">(E6788+7)*8</f>
        <v>112</v>
      </c>
    </row>
    <row r="6789" spans="2:7" ht="15" hidden="1" x14ac:dyDescent="0.25">
      <c r="B6789" s="4">
        <v>584633038</v>
      </c>
      <c r="C6789" s="4" t="s">
        <v>268</v>
      </c>
      <c r="D6789" s="4">
        <v>273</v>
      </c>
      <c r="E6789" s="4">
        <v>7</v>
      </c>
      <c r="G6789">
        <f t="shared" si="106"/>
        <v>112</v>
      </c>
    </row>
    <row r="6790" spans="2:7" ht="15" hidden="1" x14ac:dyDescent="0.25">
      <c r="B6790" s="4">
        <v>584633038</v>
      </c>
      <c r="C6790" s="4" t="s">
        <v>269</v>
      </c>
      <c r="D6790" s="4">
        <v>1309</v>
      </c>
      <c r="E6790" s="4">
        <v>57</v>
      </c>
      <c r="G6790">
        <f t="shared" si="106"/>
        <v>512</v>
      </c>
    </row>
    <row r="6791" spans="2:7" ht="15" hidden="1" x14ac:dyDescent="0.25">
      <c r="B6791" s="4">
        <v>584633038</v>
      </c>
      <c r="C6791" s="4" t="s">
        <v>272</v>
      </c>
      <c r="D6791" s="4">
        <v>119</v>
      </c>
      <c r="E6791" s="4">
        <v>211</v>
      </c>
      <c r="G6791">
        <f t="shared" si="106"/>
        <v>1744</v>
      </c>
    </row>
    <row r="6792" spans="2:7" ht="15" hidden="1" x14ac:dyDescent="0.25">
      <c r="B6792" s="4">
        <v>584633039</v>
      </c>
      <c r="C6792" s="4" t="s">
        <v>269</v>
      </c>
      <c r="D6792" s="4">
        <v>1310</v>
      </c>
      <c r="E6792" s="4">
        <v>57</v>
      </c>
      <c r="G6792">
        <f t="shared" si="106"/>
        <v>512</v>
      </c>
    </row>
    <row r="6793" spans="2:7" ht="15" hidden="1" x14ac:dyDescent="0.25">
      <c r="B6793" s="4">
        <v>584633040</v>
      </c>
      <c r="C6793" s="4" t="s">
        <v>269</v>
      </c>
      <c r="D6793" s="4">
        <v>1311</v>
      </c>
      <c r="E6793" s="4">
        <v>57</v>
      </c>
      <c r="G6793">
        <f t="shared" si="106"/>
        <v>512</v>
      </c>
    </row>
    <row r="6794" spans="2:7" ht="15" hidden="1" x14ac:dyDescent="0.25">
      <c r="B6794" s="4">
        <v>584633041</v>
      </c>
      <c r="C6794" s="4" t="s">
        <v>269</v>
      </c>
      <c r="D6794" s="4">
        <v>1312</v>
      </c>
      <c r="E6794" s="4">
        <v>57</v>
      </c>
      <c r="G6794">
        <f t="shared" si="106"/>
        <v>512</v>
      </c>
    </row>
    <row r="6795" spans="2:7" ht="15" hidden="1" x14ac:dyDescent="0.25">
      <c r="B6795" s="4">
        <v>584633042</v>
      </c>
      <c r="C6795" s="4" t="s">
        <v>269</v>
      </c>
      <c r="D6795" s="4">
        <v>1313</v>
      </c>
      <c r="E6795" s="4">
        <v>57</v>
      </c>
      <c r="G6795">
        <f t="shared" si="106"/>
        <v>512</v>
      </c>
    </row>
    <row r="6796" spans="2:7" ht="15" hidden="1" x14ac:dyDescent="0.25">
      <c r="B6796" s="4">
        <v>584633043</v>
      </c>
      <c r="C6796" s="4" t="s">
        <v>269</v>
      </c>
      <c r="D6796" s="4">
        <v>1314</v>
      </c>
      <c r="E6796" s="4">
        <v>57</v>
      </c>
      <c r="G6796">
        <f t="shared" si="106"/>
        <v>512</v>
      </c>
    </row>
    <row r="6797" spans="2:7" ht="15" hidden="1" x14ac:dyDescent="0.25">
      <c r="B6797" s="4">
        <v>584633044</v>
      </c>
      <c r="C6797" s="4" t="s">
        <v>269</v>
      </c>
      <c r="D6797" s="4">
        <v>1315</v>
      </c>
      <c r="E6797" s="4">
        <v>57</v>
      </c>
      <c r="G6797">
        <f t="shared" si="106"/>
        <v>512</v>
      </c>
    </row>
    <row r="6798" spans="2:7" ht="15" hidden="1" x14ac:dyDescent="0.25">
      <c r="B6798" s="4">
        <v>584633045</v>
      </c>
      <c r="C6798" s="4" t="s">
        <v>269</v>
      </c>
      <c r="D6798" s="4">
        <v>1316</v>
      </c>
      <c r="E6798" s="4">
        <v>57</v>
      </c>
      <c r="G6798">
        <f t="shared" si="106"/>
        <v>512</v>
      </c>
    </row>
    <row r="6799" spans="2:7" ht="15" hidden="1" x14ac:dyDescent="0.25">
      <c r="B6799" s="4">
        <v>584633046</v>
      </c>
      <c r="C6799" s="4" t="s">
        <v>269</v>
      </c>
      <c r="D6799" s="4">
        <v>1317</v>
      </c>
      <c r="E6799" s="4">
        <v>57</v>
      </c>
      <c r="G6799">
        <f t="shared" si="106"/>
        <v>512</v>
      </c>
    </row>
    <row r="6800" spans="2:7" ht="15" hidden="1" x14ac:dyDescent="0.25">
      <c r="B6800" s="4">
        <v>584633047</v>
      </c>
      <c r="C6800" s="4" t="s">
        <v>269</v>
      </c>
      <c r="D6800" s="4">
        <v>1318</v>
      </c>
      <c r="E6800" s="4">
        <v>57</v>
      </c>
      <c r="G6800">
        <f t="shared" si="106"/>
        <v>512</v>
      </c>
    </row>
    <row r="6801" spans="2:7" ht="15" hidden="1" x14ac:dyDescent="0.25">
      <c r="B6801" s="4">
        <v>584633048</v>
      </c>
      <c r="C6801" s="4" t="s">
        <v>269</v>
      </c>
      <c r="D6801" s="4">
        <v>1319</v>
      </c>
      <c r="E6801" s="4">
        <v>57</v>
      </c>
      <c r="G6801">
        <f t="shared" si="106"/>
        <v>512</v>
      </c>
    </row>
    <row r="6802" spans="2:7" ht="15" x14ac:dyDescent="0.25">
      <c r="B6802" s="4">
        <v>584633048</v>
      </c>
      <c r="C6802" s="4" t="s">
        <v>270</v>
      </c>
      <c r="D6802" s="4">
        <v>4</v>
      </c>
      <c r="E6802" s="4">
        <v>1100</v>
      </c>
      <c r="G6802">
        <f t="shared" si="106"/>
        <v>8856</v>
      </c>
    </row>
    <row r="6803" spans="2:7" ht="15" x14ac:dyDescent="0.25">
      <c r="B6803" s="4">
        <v>584633048</v>
      </c>
      <c r="C6803" s="4" t="s">
        <v>271</v>
      </c>
      <c r="D6803" s="4">
        <v>4</v>
      </c>
      <c r="E6803" s="4">
        <v>1100</v>
      </c>
      <c r="G6803">
        <f t="shared" si="106"/>
        <v>8856</v>
      </c>
    </row>
    <row r="6804" spans="2:7" ht="15" hidden="1" x14ac:dyDescent="0.25">
      <c r="B6804" s="4">
        <v>584633049</v>
      </c>
      <c r="C6804" s="4" t="s">
        <v>269</v>
      </c>
      <c r="D6804" s="4">
        <v>1320</v>
      </c>
      <c r="E6804" s="4">
        <v>57</v>
      </c>
      <c r="G6804">
        <f t="shared" si="106"/>
        <v>512</v>
      </c>
    </row>
    <row r="6805" spans="2:7" ht="15" hidden="1" x14ac:dyDescent="0.25">
      <c r="B6805" s="4">
        <v>584633049</v>
      </c>
      <c r="C6805" s="4" t="s">
        <v>272</v>
      </c>
      <c r="D6805" s="4">
        <v>120</v>
      </c>
      <c r="E6805" s="4">
        <v>215</v>
      </c>
      <c r="G6805">
        <f t="shared" si="106"/>
        <v>1776</v>
      </c>
    </row>
    <row r="6806" spans="2:7" ht="15" hidden="1" x14ac:dyDescent="0.25">
      <c r="B6806" s="4">
        <v>584633050</v>
      </c>
      <c r="C6806" s="4" t="s">
        <v>269</v>
      </c>
      <c r="D6806" s="4">
        <v>1321</v>
      </c>
      <c r="E6806" s="4">
        <v>57</v>
      </c>
      <c r="G6806">
        <f t="shared" si="106"/>
        <v>512</v>
      </c>
    </row>
    <row r="6807" spans="2:7" ht="15" hidden="1" x14ac:dyDescent="0.25">
      <c r="B6807" s="4">
        <v>584633051</v>
      </c>
      <c r="C6807" s="4" t="s">
        <v>269</v>
      </c>
      <c r="D6807" s="4">
        <v>1322</v>
      </c>
      <c r="E6807" s="4">
        <v>57</v>
      </c>
      <c r="G6807">
        <f t="shared" si="106"/>
        <v>512</v>
      </c>
    </row>
    <row r="6808" spans="2:7" ht="15" hidden="1" x14ac:dyDescent="0.25">
      <c r="B6808" s="4">
        <v>584633052</v>
      </c>
      <c r="C6808" s="4" t="s">
        <v>269</v>
      </c>
      <c r="D6808" s="4">
        <v>1323</v>
      </c>
      <c r="E6808" s="4">
        <v>57</v>
      </c>
      <c r="G6808">
        <f t="shared" si="106"/>
        <v>512</v>
      </c>
    </row>
    <row r="6809" spans="2:7" ht="15" hidden="1" x14ac:dyDescent="0.25">
      <c r="B6809" s="4">
        <v>584633053</v>
      </c>
      <c r="C6809" s="4" t="s">
        <v>269</v>
      </c>
      <c r="D6809" s="4">
        <v>1324</v>
      </c>
      <c r="E6809" s="4">
        <v>57</v>
      </c>
      <c r="G6809">
        <f t="shared" si="106"/>
        <v>512</v>
      </c>
    </row>
    <row r="6810" spans="2:7" ht="15" hidden="1" x14ac:dyDescent="0.25">
      <c r="B6810" s="4">
        <v>584633054</v>
      </c>
      <c r="C6810" s="4" t="s">
        <v>269</v>
      </c>
      <c r="D6810" s="4">
        <v>1325</v>
      </c>
      <c r="E6810" s="4">
        <v>57</v>
      </c>
      <c r="G6810">
        <f t="shared" si="106"/>
        <v>512</v>
      </c>
    </row>
    <row r="6811" spans="2:7" ht="15" hidden="1" x14ac:dyDescent="0.25">
      <c r="B6811" s="4">
        <v>584633055</v>
      </c>
      <c r="C6811" s="4" t="s">
        <v>269</v>
      </c>
      <c r="D6811" s="4">
        <v>1326</v>
      </c>
      <c r="E6811" s="4">
        <v>57</v>
      </c>
      <c r="G6811">
        <f t="shared" si="106"/>
        <v>512</v>
      </c>
    </row>
    <row r="6812" spans="2:7" ht="15" hidden="1" x14ac:dyDescent="0.25">
      <c r="B6812" s="4">
        <v>584633056</v>
      </c>
      <c r="C6812" s="4" t="s">
        <v>269</v>
      </c>
      <c r="D6812" s="4">
        <v>1327</v>
      </c>
      <c r="E6812" s="4">
        <v>57</v>
      </c>
      <c r="G6812">
        <f t="shared" si="106"/>
        <v>512</v>
      </c>
    </row>
    <row r="6813" spans="2:7" ht="15" hidden="1" x14ac:dyDescent="0.25">
      <c r="B6813" s="4">
        <v>584633057</v>
      </c>
      <c r="C6813" s="4" t="s">
        <v>269</v>
      </c>
      <c r="D6813" s="4">
        <v>1328</v>
      </c>
      <c r="E6813" s="4">
        <v>57</v>
      </c>
      <c r="G6813">
        <f t="shared" si="106"/>
        <v>512</v>
      </c>
    </row>
    <row r="6814" spans="2:7" ht="15" hidden="1" x14ac:dyDescent="0.25">
      <c r="B6814" s="4">
        <v>584633058</v>
      </c>
      <c r="C6814" s="4" t="s">
        <v>269</v>
      </c>
      <c r="D6814" s="4">
        <v>1329</v>
      </c>
      <c r="E6814" s="4">
        <v>57</v>
      </c>
      <c r="G6814">
        <f t="shared" si="106"/>
        <v>512</v>
      </c>
    </row>
    <row r="6815" spans="2:7" ht="15" hidden="1" x14ac:dyDescent="0.25">
      <c r="B6815" s="4">
        <v>584633058</v>
      </c>
      <c r="C6815" s="4" t="s">
        <v>272</v>
      </c>
      <c r="D6815" s="4">
        <v>121</v>
      </c>
      <c r="E6815" s="4">
        <v>209</v>
      </c>
      <c r="G6815">
        <f t="shared" si="106"/>
        <v>1728</v>
      </c>
    </row>
    <row r="6816" spans="2:7" ht="15" hidden="1" x14ac:dyDescent="0.25">
      <c r="B6816" s="4">
        <v>584633059</v>
      </c>
      <c r="C6816" s="4" t="s">
        <v>269</v>
      </c>
      <c r="D6816" s="4">
        <v>1330</v>
      </c>
      <c r="E6816" s="4">
        <v>57</v>
      </c>
      <c r="G6816">
        <f t="shared" si="106"/>
        <v>512</v>
      </c>
    </row>
    <row r="6817" spans="2:7" ht="15" hidden="1" x14ac:dyDescent="0.25">
      <c r="B6817" s="4">
        <v>584633060</v>
      </c>
      <c r="C6817" s="4" t="s">
        <v>269</v>
      </c>
      <c r="D6817" s="4">
        <v>1331</v>
      </c>
      <c r="E6817" s="4">
        <v>57</v>
      </c>
      <c r="G6817">
        <f t="shared" si="106"/>
        <v>512</v>
      </c>
    </row>
    <row r="6818" spans="2:7" ht="15" hidden="1" x14ac:dyDescent="0.25">
      <c r="B6818" s="4">
        <v>584633061</v>
      </c>
      <c r="C6818" s="4" t="s">
        <v>269</v>
      </c>
      <c r="D6818" s="4">
        <v>1332</v>
      </c>
      <c r="E6818" s="4">
        <v>57</v>
      </c>
      <c r="G6818">
        <f t="shared" si="106"/>
        <v>512</v>
      </c>
    </row>
    <row r="6819" spans="2:7" ht="15" hidden="1" x14ac:dyDescent="0.25">
      <c r="B6819" s="4">
        <v>584633062</v>
      </c>
      <c r="C6819" s="4" t="s">
        <v>269</v>
      </c>
      <c r="D6819" s="4">
        <v>1333</v>
      </c>
      <c r="E6819" s="4">
        <v>57</v>
      </c>
      <c r="G6819">
        <f t="shared" si="106"/>
        <v>512</v>
      </c>
    </row>
    <row r="6820" spans="2:7" ht="15" hidden="1" x14ac:dyDescent="0.25">
      <c r="B6820" s="4">
        <v>584633063</v>
      </c>
      <c r="C6820" s="4" t="s">
        <v>269</v>
      </c>
      <c r="D6820" s="4">
        <v>1334</v>
      </c>
      <c r="E6820" s="4">
        <v>57</v>
      </c>
      <c r="G6820">
        <f t="shared" si="106"/>
        <v>512</v>
      </c>
    </row>
    <row r="6821" spans="2:7" ht="15" hidden="1" x14ac:dyDescent="0.25">
      <c r="B6821" s="4">
        <v>584633064</v>
      </c>
      <c r="C6821" s="4" t="s">
        <v>269</v>
      </c>
      <c r="D6821" s="4">
        <v>1335</v>
      </c>
      <c r="E6821" s="4">
        <v>57</v>
      </c>
      <c r="G6821">
        <f t="shared" si="106"/>
        <v>512</v>
      </c>
    </row>
    <row r="6822" spans="2:7" ht="15" hidden="1" x14ac:dyDescent="0.25">
      <c r="B6822" s="4">
        <v>584633065</v>
      </c>
      <c r="C6822" s="4" t="s">
        <v>269</v>
      </c>
      <c r="D6822" s="4">
        <v>1336</v>
      </c>
      <c r="E6822" s="4">
        <v>57</v>
      </c>
      <c r="G6822">
        <f t="shared" si="106"/>
        <v>512</v>
      </c>
    </row>
    <row r="6823" spans="2:7" ht="15" hidden="1" x14ac:dyDescent="0.25">
      <c r="B6823" s="4">
        <v>584633066</v>
      </c>
      <c r="C6823" s="4" t="s">
        <v>269</v>
      </c>
      <c r="D6823" s="4">
        <v>1337</v>
      </c>
      <c r="E6823" s="4">
        <v>57</v>
      </c>
      <c r="G6823">
        <f t="shared" si="106"/>
        <v>512</v>
      </c>
    </row>
    <row r="6824" spans="2:7" ht="15" hidden="1" x14ac:dyDescent="0.25">
      <c r="B6824" s="4">
        <v>584633067</v>
      </c>
      <c r="C6824" s="4" t="s">
        <v>269</v>
      </c>
      <c r="D6824" s="4">
        <v>1338</v>
      </c>
      <c r="E6824" s="4">
        <v>57</v>
      </c>
      <c r="G6824">
        <f t="shared" si="106"/>
        <v>512</v>
      </c>
    </row>
    <row r="6825" spans="2:7" ht="15" hidden="1" x14ac:dyDescent="0.25">
      <c r="B6825" s="4">
        <v>584633068</v>
      </c>
      <c r="C6825" s="4" t="s">
        <v>269</v>
      </c>
      <c r="D6825" s="4">
        <v>1339</v>
      </c>
      <c r="E6825" s="4">
        <v>57</v>
      </c>
      <c r="G6825">
        <f t="shared" si="106"/>
        <v>512</v>
      </c>
    </row>
    <row r="6826" spans="2:7" ht="15" hidden="1" x14ac:dyDescent="0.25">
      <c r="B6826" s="4">
        <v>584633068</v>
      </c>
      <c r="C6826" s="4" t="s">
        <v>272</v>
      </c>
      <c r="D6826" s="4">
        <v>122</v>
      </c>
      <c r="E6826" s="4">
        <v>209</v>
      </c>
      <c r="G6826">
        <f t="shared" si="106"/>
        <v>1728</v>
      </c>
    </row>
    <row r="6827" spans="2:7" ht="15" hidden="1" x14ac:dyDescent="0.25">
      <c r="B6827" s="4">
        <v>584633069</v>
      </c>
      <c r="C6827" s="4" t="s">
        <v>269</v>
      </c>
      <c r="D6827" s="4">
        <v>1340</v>
      </c>
      <c r="E6827" s="4">
        <v>57</v>
      </c>
      <c r="G6827">
        <f t="shared" si="106"/>
        <v>512</v>
      </c>
    </row>
    <row r="6828" spans="2:7" ht="15" hidden="1" x14ac:dyDescent="0.25">
      <c r="B6828" s="4">
        <v>584633070</v>
      </c>
      <c r="C6828" s="4" t="s">
        <v>269</v>
      </c>
      <c r="D6828" s="4">
        <v>1341</v>
      </c>
      <c r="E6828" s="4">
        <v>57</v>
      </c>
      <c r="G6828">
        <f t="shared" si="106"/>
        <v>512</v>
      </c>
    </row>
    <row r="6829" spans="2:7" ht="15" hidden="1" x14ac:dyDescent="0.25">
      <c r="B6829" s="4">
        <v>584633071</v>
      </c>
      <c r="C6829" s="4" t="s">
        <v>269</v>
      </c>
      <c r="D6829" s="4">
        <v>1342</v>
      </c>
      <c r="E6829" s="4">
        <v>57</v>
      </c>
      <c r="G6829">
        <f t="shared" si="106"/>
        <v>512</v>
      </c>
    </row>
    <row r="6830" spans="2:7" ht="15" hidden="1" x14ac:dyDescent="0.25">
      <c r="B6830" s="4">
        <v>584633072</v>
      </c>
      <c r="C6830" s="4" t="s">
        <v>269</v>
      </c>
      <c r="D6830" s="4">
        <v>1343</v>
      </c>
      <c r="E6830" s="4">
        <v>57</v>
      </c>
      <c r="G6830">
        <f t="shared" si="106"/>
        <v>512</v>
      </c>
    </row>
    <row r="6831" spans="2:7" ht="15" hidden="1" x14ac:dyDescent="0.25">
      <c r="B6831" s="4">
        <v>584633073</v>
      </c>
      <c r="C6831" s="4" t="s">
        <v>269</v>
      </c>
      <c r="D6831" s="4">
        <v>1344</v>
      </c>
      <c r="E6831" s="4">
        <v>57</v>
      </c>
      <c r="G6831">
        <f t="shared" si="106"/>
        <v>512</v>
      </c>
    </row>
    <row r="6832" spans="2:7" ht="15" hidden="1" x14ac:dyDescent="0.25">
      <c r="B6832" s="4">
        <v>584633074</v>
      </c>
      <c r="C6832" s="4" t="s">
        <v>269</v>
      </c>
      <c r="D6832" s="4">
        <v>1345</v>
      </c>
      <c r="E6832" s="4">
        <v>57</v>
      </c>
      <c r="G6832">
        <f t="shared" si="106"/>
        <v>512</v>
      </c>
    </row>
    <row r="6833" spans="2:7" ht="15" hidden="1" x14ac:dyDescent="0.25">
      <c r="B6833" s="4">
        <v>584633075</v>
      </c>
      <c r="C6833" s="4" t="s">
        <v>269</v>
      </c>
      <c r="D6833" s="4">
        <v>1346</v>
      </c>
      <c r="E6833" s="4">
        <v>57</v>
      </c>
      <c r="G6833">
        <f t="shared" si="106"/>
        <v>512</v>
      </c>
    </row>
    <row r="6834" spans="2:7" ht="15" hidden="1" x14ac:dyDescent="0.25">
      <c r="B6834" s="4">
        <v>584633076</v>
      </c>
      <c r="C6834" s="4" t="s">
        <v>269</v>
      </c>
      <c r="D6834" s="4">
        <v>1347</v>
      </c>
      <c r="E6834" s="4">
        <v>57</v>
      </c>
      <c r="G6834">
        <f t="shared" si="106"/>
        <v>512</v>
      </c>
    </row>
    <row r="6835" spans="2:7" ht="15" hidden="1" x14ac:dyDescent="0.25">
      <c r="B6835" s="4">
        <v>584633077</v>
      </c>
      <c r="C6835" s="4" t="s">
        <v>269</v>
      </c>
      <c r="D6835" s="4">
        <v>1348</v>
      </c>
      <c r="E6835" s="4">
        <v>57</v>
      </c>
      <c r="G6835">
        <f t="shared" si="106"/>
        <v>512</v>
      </c>
    </row>
    <row r="6836" spans="2:7" ht="15" hidden="1" x14ac:dyDescent="0.25">
      <c r="B6836" s="4">
        <v>584633078</v>
      </c>
      <c r="C6836" s="4" t="s">
        <v>269</v>
      </c>
      <c r="D6836" s="4">
        <v>1349</v>
      </c>
      <c r="E6836" s="4">
        <v>57</v>
      </c>
      <c r="G6836">
        <f t="shared" si="106"/>
        <v>512</v>
      </c>
    </row>
    <row r="6837" spans="2:7" ht="15" hidden="1" x14ac:dyDescent="0.25">
      <c r="B6837" s="4">
        <v>584633078</v>
      </c>
      <c r="C6837" s="4" t="s">
        <v>272</v>
      </c>
      <c r="D6837" s="4">
        <v>123</v>
      </c>
      <c r="E6837" s="4">
        <v>209</v>
      </c>
      <c r="G6837">
        <f t="shared" si="106"/>
        <v>1728</v>
      </c>
    </row>
    <row r="6838" spans="2:7" ht="15" hidden="1" x14ac:dyDescent="0.25">
      <c r="B6838" s="4">
        <v>584633079</v>
      </c>
      <c r="C6838" s="4" t="s">
        <v>269</v>
      </c>
      <c r="D6838" s="4">
        <v>1350</v>
      </c>
      <c r="E6838" s="4">
        <v>57</v>
      </c>
      <c r="G6838">
        <f t="shared" si="106"/>
        <v>512</v>
      </c>
    </row>
    <row r="6839" spans="2:7" ht="15" hidden="1" x14ac:dyDescent="0.25">
      <c r="B6839" s="4">
        <v>584633080</v>
      </c>
      <c r="C6839" s="4" t="s">
        <v>269</v>
      </c>
      <c r="D6839" s="4">
        <v>1351</v>
      </c>
      <c r="E6839" s="4">
        <v>57</v>
      </c>
      <c r="G6839">
        <f t="shared" si="106"/>
        <v>512</v>
      </c>
    </row>
    <row r="6840" spans="2:7" ht="15" hidden="1" x14ac:dyDescent="0.25">
      <c r="B6840" s="4">
        <v>584633081</v>
      </c>
      <c r="C6840" s="4" t="s">
        <v>269</v>
      </c>
      <c r="D6840" s="4">
        <v>1352</v>
      </c>
      <c r="E6840" s="4">
        <v>57</v>
      </c>
      <c r="G6840">
        <f t="shared" si="106"/>
        <v>512</v>
      </c>
    </row>
    <row r="6841" spans="2:7" ht="15" hidden="1" x14ac:dyDescent="0.25">
      <c r="B6841" s="4">
        <v>584633082</v>
      </c>
      <c r="C6841" s="4" t="s">
        <v>269</v>
      </c>
      <c r="D6841" s="4">
        <v>1353</v>
      </c>
      <c r="E6841" s="4">
        <v>57</v>
      </c>
      <c r="G6841">
        <f t="shared" si="106"/>
        <v>512</v>
      </c>
    </row>
    <row r="6842" spans="2:7" ht="15" hidden="1" x14ac:dyDescent="0.25">
      <c r="B6842" s="4">
        <v>584633083</v>
      </c>
      <c r="C6842" s="4" t="s">
        <v>269</v>
      </c>
      <c r="D6842" s="4">
        <v>1354</v>
      </c>
      <c r="E6842" s="4">
        <v>57</v>
      </c>
      <c r="G6842">
        <f t="shared" si="106"/>
        <v>512</v>
      </c>
    </row>
    <row r="6843" spans="2:7" ht="15" hidden="1" x14ac:dyDescent="0.25">
      <c r="B6843" s="4">
        <v>584633084</v>
      </c>
      <c r="C6843" s="4" t="s">
        <v>269</v>
      </c>
      <c r="D6843" s="4">
        <v>1355</v>
      </c>
      <c r="E6843" s="4">
        <v>57</v>
      </c>
      <c r="G6843">
        <f t="shared" si="106"/>
        <v>512</v>
      </c>
    </row>
    <row r="6844" spans="2:7" ht="15" hidden="1" x14ac:dyDescent="0.25">
      <c r="B6844" s="4">
        <v>584633085</v>
      </c>
      <c r="C6844" s="4" t="s">
        <v>269</v>
      </c>
      <c r="D6844" s="4">
        <v>1356</v>
      </c>
      <c r="E6844" s="4">
        <v>57</v>
      </c>
      <c r="G6844">
        <f t="shared" si="106"/>
        <v>512</v>
      </c>
    </row>
    <row r="6845" spans="2:7" ht="15" hidden="1" x14ac:dyDescent="0.25">
      <c r="B6845" s="4">
        <v>584633086</v>
      </c>
      <c r="C6845" s="4" t="s">
        <v>269</v>
      </c>
      <c r="D6845" s="4">
        <v>1357</v>
      </c>
      <c r="E6845" s="4">
        <v>57</v>
      </c>
      <c r="G6845">
        <f t="shared" si="106"/>
        <v>512</v>
      </c>
    </row>
    <row r="6846" spans="2:7" ht="15" hidden="1" x14ac:dyDescent="0.25">
      <c r="B6846" s="4">
        <v>584633087</v>
      </c>
      <c r="C6846" s="4" t="s">
        <v>269</v>
      </c>
      <c r="D6846" s="4">
        <v>1358</v>
      </c>
      <c r="E6846" s="4">
        <v>57</v>
      </c>
      <c r="G6846">
        <f t="shared" si="106"/>
        <v>512</v>
      </c>
    </row>
    <row r="6847" spans="2:7" ht="15" hidden="1" x14ac:dyDescent="0.25">
      <c r="B6847" s="4">
        <v>584633088</v>
      </c>
      <c r="C6847" s="4" t="s">
        <v>269</v>
      </c>
      <c r="D6847" s="4">
        <v>1359</v>
      </c>
      <c r="E6847" s="4">
        <v>57</v>
      </c>
      <c r="G6847">
        <f t="shared" si="106"/>
        <v>512</v>
      </c>
    </row>
    <row r="6848" spans="2:7" ht="15" hidden="1" x14ac:dyDescent="0.25">
      <c r="B6848" s="4">
        <v>584633088</v>
      </c>
      <c r="C6848" s="4" t="s">
        <v>272</v>
      </c>
      <c r="D6848" s="4">
        <v>124</v>
      </c>
      <c r="E6848" s="4">
        <v>211</v>
      </c>
      <c r="G6848">
        <f t="shared" si="106"/>
        <v>1744</v>
      </c>
    </row>
    <row r="6849" spans="2:7" ht="15" hidden="1" x14ac:dyDescent="0.25">
      <c r="B6849" s="4">
        <v>584633089</v>
      </c>
      <c r="C6849" s="4" t="s">
        <v>269</v>
      </c>
      <c r="D6849" s="4">
        <v>1360</v>
      </c>
      <c r="E6849" s="4">
        <v>57</v>
      </c>
      <c r="G6849">
        <f t="shared" si="106"/>
        <v>512</v>
      </c>
    </row>
    <row r="6850" spans="2:7" ht="15" hidden="1" x14ac:dyDescent="0.25">
      <c r="B6850" s="4">
        <v>584633090</v>
      </c>
      <c r="C6850" s="4" t="s">
        <v>269</v>
      </c>
      <c r="D6850" s="4">
        <v>1361</v>
      </c>
      <c r="E6850" s="4">
        <v>57</v>
      </c>
      <c r="G6850">
        <f t="shared" si="106"/>
        <v>512</v>
      </c>
    </row>
    <row r="6851" spans="2:7" ht="15" hidden="1" x14ac:dyDescent="0.25">
      <c r="B6851" s="4">
        <v>584633091</v>
      </c>
      <c r="C6851" s="4" t="s">
        <v>269</v>
      </c>
      <c r="D6851" s="4">
        <v>1362</v>
      </c>
      <c r="E6851" s="4">
        <v>57</v>
      </c>
      <c r="G6851">
        <f t="shared" si="106"/>
        <v>512</v>
      </c>
    </row>
    <row r="6852" spans="2:7" ht="15" hidden="1" x14ac:dyDescent="0.25">
      <c r="B6852" s="4">
        <v>584633092</v>
      </c>
      <c r="C6852" s="4" t="s">
        <v>269</v>
      </c>
      <c r="D6852" s="4">
        <v>1363</v>
      </c>
      <c r="E6852" s="4">
        <v>57</v>
      </c>
      <c r="G6852">
        <f t="shared" ref="G6852:G6915" si="107">(E6852+7)*8</f>
        <v>512</v>
      </c>
    </row>
    <row r="6853" spans="2:7" ht="15" hidden="1" x14ac:dyDescent="0.25">
      <c r="B6853" s="4">
        <v>584633093</v>
      </c>
      <c r="C6853" s="4" t="s">
        <v>269</v>
      </c>
      <c r="D6853" s="4">
        <v>1364</v>
      </c>
      <c r="E6853" s="4">
        <v>57</v>
      </c>
      <c r="G6853">
        <f t="shared" si="107"/>
        <v>512</v>
      </c>
    </row>
    <row r="6854" spans="2:7" ht="15" hidden="1" x14ac:dyDescent="0.25">
      <c r="B6854" s="4">
        <v>584633094</v>
      </c>
      <c r="C6854" s="4" t="s">
        <v>269</v>
      </c>
      <c r="D6854" s="4">
        <v>1365</v>
      </c>
      <c r="E6854" s="4">
        <v>57</v>
      </c>
      <c r="G6854">
        <f t="shared" si="107"/>
        <v>512</v>
      </c>
    </row>
    <row r="6855" spans="2:7" ht="15" hidden="1" x14ac:dyDescent="0.25">
      <c r="B6855" s="4">
        <v>584633095</v>
      </c>
      <c r="C6855" s="4" t="s">
        <v>269</v>
      </c>
      <c r="D6855" s="4">
        <v>1366</v>
      </c>
      <c r="E6855" s="4">
        <v>57</v>
      </c>
      <c r="G6855">
        <f t="shared" si="107"/>
        <v>512</v>
      </c>
    </row>
    <row r="6856" spans="2:7" ht="15" hidden="1" x14ac:dyDescent="0.25">
      <c r="B6856" s="4">
        <v>584633096</v>
      </c>
      <c r="C6856" s="4" t="s">
        <v>269</v>
      </c>
      <c r="D6856" s="4">
        <v>1367</v>
      </c>
      <c r="E6856" s="4">
        <v>57</v>
      </c>
      <c r="G6856">
        <f t="shared" si="107"/>
        <v>512</v>
      </c>
    </row>
    <row r="6857" spans="2:7" ht="15" hidden="1" x14ac:dyDescent="0.25">
      <c r="B6857" s="4">
        <v>584633097</v>
      </c>
      <c r="C6857" s="4" t="s">
        <v>269</v>
      </c>
      <c r="D6857" s="4">
        <v>1368</v>
      </c>
      <c r="E6857" s="4">
        <v>57</v>
      </c>
      <c r="G6857">
        <f t="shared" si="107"/>
        <v>512</v>
      </c>
    </row>
    <row r="6858" spans="2:7" ht="15" hidden="1" x14ac:dyDescent="0.25">
      <c r="B6858" s="4">
        <v>584633098</v>
      </c>
      <c r="C6858" s="4" t="s">
        <v>269</v>
      </c>
      <c r="D6858" s="4">
        <v>1369</v>
      </c>
      <c r="E6858" s="4">
        <v>57</v>
      </c>
      <c r="G6858">
        <f t="shared" si="107"/>
        <v>512</v>
      </c>
    </row>
    <row r="6859" spans="2:7" ht="15" hidden="1" x14ac:dyDescent="0.25">
      <c r="B6859" s="4">
        <v>584633098</v>
      </c>
      <c r="C6859" s="4" t="s">
        <v>272</v>
      </c>
      <c r="D6859" s="4">
        <v>125</v>
      </c>
      <c r="E6859" s="4">
        <v>209</v>
      </c>
      <c r="G6859">
        <f t="shared" si="107"/>
        <v>1728</v>
      </c>
    </row>
    <row r="6860" spans="2:7" ht="15" hidden="1" x14ac:dyDescent="0.25">
      <c r="B6860" s="4">
        <v>584633099</v>
      </c>
      <c r="C6860" s="4" t="s">
        <v>269</v>
      </c>
      <c r="D6860" s="4">
        <v>1370</v>
      </c>
      <c r="E6860" s="4">
        <v>57</v>
      </c>
      <c r="G6860">
        <f t="shared" si="107"/>
        <v>512</v>
      </c>
    </row>
    <row r="6861" spans="2:7" ht="15" hidden="1" x14ac:dyDescent="0.25">
      <c r="B6861" s="4">
        <v>584633100</v>
      </c>
      <c r="C6861" s="4" t="s">
        <v>269</v>
      </c>
      <c r="D6861" s="4">
        <v>1371</v>
      </c>
      <c r="E6861" s="4">
        <v>57</v>
      </c>
      <c r="G6861">
        <f t="shared" si="107"/>
        <v>512</v>
      </c>
    </row>
    <row r="6862" spans="2:7" ht="15" hidden="1" x14ac:dyDescent="0.25">
      <c r="B6862" s="4">
        <v>584633101</v>
      </c>
      <c r="C6862" s="4" t="s">
        <v>269</v>
      </c>
      <c r="D6862" s="4">
        <v>1372</v>
      </c>
      <c r="E6862" s="4">
        <v>57</v>
      </c>
      <c r="G6862">
        <f t="shared" si="107"/>
        <v>512</v>
      </c>
    </row>
    <row r="6863" spans="2:7" ht="15" hidden="1" x14ac:dyDescent="0.25">
      <c r="B6863" s="4">
        <v>584633102</v>
      </c>
      <c r="C6863" s="4" t="s">
        <v>269</v>
      </c>
      <c r="D6863" s="4">
        <v>1373</v>
      </c>
      <c r="E6863" s="4">
        <v>57</v>
      </c>
      <c r="G6863">
        <f t="shared" si="107"/>
        <v>512</v>
      </c>
    </row>
    <row r="6864" spans="2:7" ht="15" hidden="1" x14ac:dyDescent="0.25">
      <c r="B6864" s="4">
        <v>584633103</v>
      </c>
      <c r="C6864" s="4" t="s">
        <v>269</v>
      </c>
      <c r="D6864" s="4">
        <v>1374</v>
      </c>
      <c r="E6864" s="4">
        <v>57</v>
      </c>
      <c r="G6864">
        <f t="shared" si="107"/>
        <v>512</v>
      </c>
    </row>
    <row r="6865" spans="2:7" ht="15" hidden="1" x14ac:dyDescent="0.25">
      <c r="B6865" s="4">
        <v>584633104</v>
      </c>
      <c r="C6865" s="4" t="s">
        <v>269</v>
      </c>
      <c r="D6865" s="4">
        <v>1375</v>
      </c>
      <c r="E6865" s="4">
        <v>57</v>
      </c>
      <c r="G6865">
        <f t="shared" si="107"/>
        <v>512</v>
      </c>
    </row>
    <row r="6866" spans="2:7" ht="15" hidden="1" x14ac:dyDescent="0.25">
      <c r="B6866" s="4">
        <v>584633105</v>
      </c>
      <c r="C6866" s="4" t="s">
        <v>269</v>
      </c>
      <c r="D6866" s="4">
        <v>1376</v>
      </c>
      <c r="E6866" s="4">
        <v>57</v>
      </c>
      <c r="G6866">
        <f t="shared" si="107"/>
        <v>512</v>
      </c>
    </row>
    <row r="6867" spans="2:7" ht="15" hidden="1" x14ac:dyDescent="0.25">
      <c r="B6867" s="4">
        <v>584633106</v>
      </c>
      <c r="C6867" s="4" t="s">
        <v>269</v>
      </c>
      <c r="D6867" s="4">
        <v>1377</v>
      </c>
      <c r="E6867" s="4">
        <v>57</v>
      </c>
      <c r="G6867">
        <f t="shared" si="107"/>
        <v>512</v>
      </c>
    </row>
    <row r="6868" spans="2:7" ht="15" hidden="1" x14ac:dyDescent="0.25">
      <c r="B6868" s="4">
        <v>584633107</v>
      </c>
      <c r="C6868" s="4" t="s">
        <v>269</v>
      </c>
      <c r="D6868" s="4">
        <v>1378</v>
      </c>
      <c r="E6868" s="4">
        <v>57</v>
      </c>
      <c r="G6868">
        <f t="shared" si="107"/>
        <v>512</v>
      </c>
    </row>
    <row r="6869" spans="2:7" ht="15" hidden="1" x14ac:dyDescent="0.25">
      <c r="B6869" s="4">
        <v>584633108</v>
      </c>
      <c r="C6869" s="4" t="s">
        <v>269</v>
      </c>
      <c r="D6869" s="4">
        <v>1379</v>
      </c>
      <c r="E6869" s="4">
        <v>57</v>
      </c>
      <c r="G6869">
        <f t="shared" si="107"/>
        <v>512</v>
      </c>
    </row>
    <row r="6870" spans="2:7" ht="15" hidden="1" x14ac:dyDescent="0.25">
      <c r="B6870" s="4">
        <v>584633108</v>
      </c>
      <c r="C6870" s="4" t="s">
        <v>272</v>
      </c>
      <c r="D6870" s="4">
        <v>126</v>
      </c>
      <c r="E6870" s="4">
        <v>215</v>
      </c>
      <c r="G6870">
        <f t="shared" si="107"/>
        <v>1776</v>
      </c>
    </row>
    <row r="6871" spans="2:7" ht="15" hidden="1" x14ac:dyDescent="0.25">
      <c r="B6871" s="4">
        <v>584633109</v>
      </c>
      <c r="C6871" s="4" t="s">
        <v>269</v>
      </c>
      <c r="D6871" s="4">
        <v>1380</v>
      </c>
      <c r="E6871" s="4">
        <v>57</v>
      </c>
      <c r="G6871">
        <f t="shared" si="107"/>
        <v>512</v>
      </c>
    </row>
    <row r="6872" spans="2:7" ht="15" hidden="1" x14ac:dyDescent="0.25">
      <c r="B6872" s="4">
        <v>584633110</v>
      </c>
      <c r="C6872" s="4" t="s">
        <v>269</v>
      </c>
      <c r="D6872" s="4">
        <v>1381</v>
      </c>
      <c r="E6872" s="4">
        <v>57</v>
      </c>
      <c r="G6872">
        <f t="shared" si="107"/>
        <v>512</v>
      </c>
    </row>
    <row r="6873" spans="2:7" ht="15" hidden="1" x14ac:dyDescent="0.25">
      <c r="B6873" s="4">
        <v>584633111</v>
      </c>
      <c r="C6873" s="4" t="s">
        <v>269</v>
      </c>
      <c r="D6873" s="4">
        <v>1382</v>
      </c>
      <c r="E6873" s="4">
        <v>57</v>
      </c>
      <c r="G6873">
        <f t="shared" si="107"/>
        <v>512</v>
      </c>
    </row>
    <row r="6874" spans="2:7" ht="15" hidden="1" x14ac:dyDescent="0.25">
      <c r="B6874" s="4">
        <v>584633112</v>
      </c>
      <c r="C6874" s="4" t="s">
        <v>269</v>
      </c>
      <c r="D6874" s="4">
        <v>1383</v>
      </c>
      <c r="E6874" s="4">
        <v>57</v>
      </c>
      <c r="G6874">
        <f t="shared" si="107"/>
        <v>512</v>
      </c>
    </row>
    <row r="6875" spans="2:7" ht="15" hidden="1" x14ac:dyDescent="0.25">
      <c r="B6875" s="4">
        <v>584633113</v>
      </c>
      <c r="C6875" s="4" t="s">
        <v>269</v>
      </c>
      <c r="D6875" s="4">
        <v>1384</v>
      </c>
      <c r="E6875" s="4">
        <v>57</v>
      </c>
      <c r="G6875">
        <f t="shared" si="107"/>
        <v>512</v>
      </c>
    </row>
    <row r="6876" spans="2:7" ht="15" hidden="1" x14ac:dyDescent="0.25">
      <c r="B6876" s="4">
        <v>584633114</v>
      </c>
      <c r="C6876" s="4" t="s">
        <v>269</v>
      </c>
      <c r="D6876" s="4">
        <v>1385</v>
      </c>
      <c r="E6876" s="4">
        <v>57</v>
      </c>
      <c r="G6876">
        <f t="shared" si="107"/>
        <v>512</v>
      </c>
    </row>
    <row r="6877" spans="2:7" ht="15" hidden="1" x14ac:dyDescent="0.25">
      <c r="B6877" s="4">
        <v>584633115</v>
      </c>
      <c r="C6877" s="4" t="s">
        <v>269</v>
      </c>
      <c r="D6877" s="4">
        <v>1386</v>
      </c>
      <c r="E6877" s="4">
        <v>57</v>
      </c>
      <c r="G6877">
        <f t="shared" si="107"/>
        <v>512</v>
      </c>
    </row>
    <row r="6878" spans="2:7" ht="15" hidden="1" x14ac:dyDescent="0.25">
      <c r="B6878" s="4">
        <v>584633116</v>
      </c>
      <c r="C6878" s="4" t="s">
        <v>269</v>
      </c>
      <c r="D6878" s="4">
        <v>1387</v>
      </c>
      <c r="E6878" s="4">
        <v>57</v>
      </c>
      <c r="G6878">
        <f t="shared" si="107"/>
        <v>512</v>
      </c>
    </row>
    <row r="6879" spans="2:7" ht="15" hidden="1" x14ac:dyDescent="0.25">
      <c r="B6879" s="4">
        <v>584633117</v>
      </c>
      <c r="C6879" s="4" t="s">
        <v>269</v>
      </c>
      <c r="D6879" s="4">
        <v>1388</v>
      </c>
      <c r="E6879" s="4">
        <v>57</v>
      </c>
      <c r="G6879">
        <f t="shared" si="107"/>
        <v>512</v>
      </c>
    </row>
    <row r="6880" spans="2:7" ht="15" hidden="1" x14ac:dyDescent="0.25">
      <c r="B6880" s="4">
        <v>584633118</v>
      </c>
      <c r="C6880" s="4" t="s">
        <v>269</v>
      </c>
      <c r="D6880" s="4">
        <v>1389</v>
      </c>
      <c r="E6880" s="4">
        <v>57</v>
      </c>
      <c r="G6880">
        <f t="shared" si="107"/>
        <v>512</v>
      </c>
    </row>
    <row r="6881" spans="2:7" ht="15" hidden="1" x14ac:dyDescent="0.25">
      <c r="B6881" s="4">
        <v>584633118</v>
      </c>
      <c r="C6881" s="4" t="s">
        <v>272</v>
      </c>
      <c r="D6881" s="4">
        <v>127</v>
      </c>
      <c r="E6881" s="4">
        <v>209</v>
      </c>
      <c r="G6881">
        <f t="shared" si="107"/>
        <v>1728</v>
      </c>
    </row>
    <row r="6882" spans="2:7" ht="15" hidden="1" x14ac:dyDescent="0.25">
      <c r="B6882" s="4">
        <v>584633119</v>
      </c>
      <c r="C6882" s="4" t="s">
        <v>269</v>
      </c>
      <c r="D6882" s="4">
        <v>1390</v>
      </c>
      <c r="E6882" s="4">
        <v>57</v>
      </c>
      <c r="G6882">
        <f t="shared" si="107"/>
        <v>512</v>
      </c>
    </row>
    <row r="6883" spans="2:7" ht="15" hidden="1" x14ac:dyDescent="0.25">
      <c r="B6883" s="4">
        <v>584633120</v>
      </c>
      <c r="C6883" s="4" t="s">
        <v>269</v>
      </c>
      <c r="D6883" s="4">
        <v>1391</v>
      </c>
      <c r="E6883" s="4">
        <v>57</v>
      </c>
      <c r="G6883">
        <f t="shared" si="107"/>
        <v>512</v>
      </c>
    </row>
    <row r="6884" spans="2:7" ht="15" hidden="1" x14ac:dyDescent="0.25">
      <c r="B6884" s="4">
        <v>584633121</v>
      </c>
      <c r="C6884" s="4" t="s">
        <v>269</v>
      </c>
      <c r="D6884" s="4">
        <v>1392</v>
      </c>
      <c r="E6884" s="4">
        <v>57</v>
      </c>
      <c r="G6884">
        <f t="shared" si="107"/>
        <v>512</v>
      </c>
    </row>
    <row r="6885" spans="2:7" ht="15" hidden="1" x14ac:dyDescent="0.25">
      <c r="B6885" s="4">
        <v>584633122</v>
      </c>
      <c r="C6885" s="4" t="s">
        <v>269</v>
      </c>
      <c r="D6885" s="4">
        <v>1393</v>
      </c>
      <c r="E6885" s="4">
        <v>57</v>
      </c>
      <c r="G6885">
        <f t="shared" si="107"/>
        <v>512</v>
      </c>
    </row>
    <row r="6886" spans="2:7" ht="15" hidden="1" x14ac:dyDescent="0.25">
      <c r="B6886" s="4">
        <v>584633123</v>
      </c>
      <c r="C6886" s="4" t="s">
        <v>269</v>
      </c>
      <c r="D6886" s="4">
        <v>1394</v>
      </c>
      <c r="E6886" s="4">
        <v>57</v>
      </c>
      <c r="G6886">
        <f t="shared" si="107"/>
        <v>512</v>
      </c>
    </row>
    <row r="6887" spans="2:7" ht="15" hidden="1" x14ac:dyDescent="0.25">
      <c r="B6887" s="4">
        <v>584633124</v>
      </c>
      <c r="C6887" s="4" t="s">
        <v>269</v>
      </c>
      <c r="D6887" s="4">
        <v>1395</v>
      </c>
      <c r="E6887" s="4">
        <v>57</v>
      </c>
      <c r="G6887">
        <f t="shared" si="107"/>
        <v>512</v>
      </c>
    </row>
    <row r="6888" spans="2:7" ht="15" hidden="1" x14ac:dyDescent="0.25">
      <c r="B6888" s="4">
        <v>584633125</v>
      </c>
      <c r="C6888" s="4" t="s">
        <v>269</v>
      </c>
      <c r="D6888" s="4">
        <v>1396</v>
      </c>
      <c r="E6888" s="4">
        <v>57</v>
      </c>
      <c r="G6888">
        <f t="shared" si="107"/>
        <v>512</v>
      </c>
    </row>
    <row r="6889" spans="2:7" ht="15" hidden="1" x14ac:dyDescent="0.25">
      <c r="B6889" s="4">
        <v>584633126</v>
      </c>
      <c r="C6889" s="4" t="s">
        <v>269</v>
      </c>
      <c r="D6889" s="4">
        <v>1397</v>
      </c>
      <c r="E6889" s="4">
        <v>57</v>
      </c>
      <c r="G6889">
        <f t="shared" si="107"/>
        <v>512</v>
      </c>
    </row>
    <row r="6890" spans="2:7" ht="15" hidden="1" x14ac:dyDescent="0.25">
      <c r="B6890" s="4">
        <v>584633127</v>
      </c>
      <c r="C6890" s="4" t="s">
        <v>269</v>
      </c>
      <c r="D6890" s="4">
        <v>1398</v>
      </c>
      <c r="E6890" s="4">
        <v>57</v>
      </c>
      <c r="G6890">
        <f t="shared" si="107"/>
        <v>512</v>
      </c>
    </row>
    <row r="6891" spans="2:7" ht="15" hidden="1" x14ac:dyDescent="0.25">
      <c r="B6891" s="4">
        <v>584633128</v>
      </c>
      <c r="C6891" s="4" t="s">
        <v>269</v>
      </c>
      <c r="D6891" s="4">
        <v>1399</v>
      </c>
      <c r="E6891" s="4">
        <v>57</v>
      </c>
      <c r="G6891">
        <f t="shared" si="107"/>
        <v>512</v>
      </c>
    </row>
    <row r="6892" spans="2:7" ht="15" hidden="1" x14ac:dyDescent="0.25">
      <c r="B6892" s="4">
        <v>584633128</v>
      </c>
      <c r="C6892" s="4" t="s">
        <v>272</v>
      </c>
      <c r="D6892" s="4">
        <v>128</v>
      </c>
      <c r="E6892" s="4">
        <v>213</v>
      </c>
      <c r="G6892">
        <f t="shared" si="107"/>
        <v>1760</v>
      </c>
    </row>
    <row r="6893" spans="2:7" ht="15" hidden="1" x14ac:dyDescent="0.25">
      <c r="B6893" s="4">
        <v>584633129</v>
      </c>
      <c r="C6893" s="4" t="s">
        <v>269</v>
      </c>
      <c r="D6893" s="4">
        <v>1400</v>
      </c>
      <c r="E6893" s="4">
        <v>57</v>
      </c>
      <c r="G6893">
        <f t="shared" si="107"/>
        <v>512</v>
      </c>
    </row>
    <row r="6894" spans="2:7" ht="15" hidden="1" x14ac:dyDescent="0.25">
      <c r="B6894" s="4">
        <v>584633130</v>
      </c>
      <c r="C6894" s="4" t="s">
        <v>269</v>
      </c>
      <c r="D6894" s="4">
        <v>1401</v>
      </c>
      <c r="E6894" s="4">
        <v>57</v>
      </c>
      <c r="G6894">
        <f t="shared" si="107"/>
        <v>512</v>
      </c>
    </row>
    <row r="6895" spans="2:7" ht="15" hidden="1" x14ac:dyDescent="0.25">
      <c r="B6895" s="4">
        <v>584633131</v>
      </c>
      <c r="C6895" s="4" t="s">
        <v>269</v>
      </c>
      <c r="D6895" s="4">
        <v>1402</v>
      </c>
      <c r="E6895" s="4">
        <v>57</v>
      </c>
      <c r="G6895">
        <f t="shared" si="107"/>
        <v>512</v>
      </c>
    </row>
    <row r="6896" spans="2:7" ht="15" hidden="1" x14ac:dyDescent="0.25">
      <c r="B6896" s="4">
        <v>584633132</v>
      </c>
      <c r="C6896" s="4" t="s">
        <v>269</v>
      </c>
      <c r="D6896" s="4">
        <v>1403</v>
      </c>
      <c r="E6896" s="4">
        <v>57</v>
      </c>
      <c r="G6896">
        <f t="shared" si="107"/>
        <v>512</v>
      </c>
    </row>
    <row r="6897" spans="2:7" ht="15" hidden="1" x14ac:dyDescent="0.25">
      <c r="B6897" s="4">
        <v>584633133</v>
      </c>
      <c r="C6897" s="4" t="s">
        <v>269</v>
      </c>
      <c r="D6897" s="4">
        <v>1404</v>
      </c>
      <c r="E6897" s="4">
        <v>57</v>
      </c>
      <c r="G6897">
        <f t="shared" si="107"/>
        <v>512</v>
      </c>
    </row>
    <row r="6898" spans="2:7" ht="15" hidden="1" x14ac:dyDescent="0.25">
      <c r="B6898" s="4">
        <v>584633134</v>
      </c>
      <c r="C6898" s="4" t="s">
        <v>269</v>
      </c>
      <c r="D6898" s="4">
        <v>1405</v>
      </c>
      <c r="E6898" s="4">
        <v>57</v>
      </c>
      <c r="G6898">
        <f t="shared" si="107"/>
        <v>512</v>
      </c>
    </row>
    <row r="6899" spans="2:7" ht="15" hidden="1" x14ac:dyDescent="0.25">
      <c r="B6899" s="4">
        <v>584633135</v>
      </c>
      <c r="C6899" s="4" t="s">
        <v>269</v>
      </c>
      <c r="D6899" s="4">
        <v>1406</v>
      </c>
      <c r="E6899" s="4">
        <v>57</v>
      </c>
      <c r="G6899">
        <f t="shared" si="107"/>
        <v>512</v>
      </c>
    </row>
    <row r="6900" spans="2:7" ht="15" hidden="1" x14ac:dyDescent="0.25">
      <c r="B6900" s="4">
        <v>584633136</v>
      </c>
      <c r="C6900" s="4" t="s">
        <v>269</v>
      </c>
      <c r="D6900" s="4">
        <v>1407</v>
      </c>
      <c r="E6900" s="4">
        <v>57</v>
      </c>
      <c r="G6900">
        <f t="shared" si="107"/>
        <v>512</v>
      </c>
    </row>
    <row r="6901" spans="2:7" ht="15" hidden="1" x14ac:dyDescent="0.25">
      <c r="B6901" s="4">
        <v>584633137</v>
      </c>
      <c r="C6901" s="4" t="s">
        <v>269</v>
      </c>
      <c r="D6901" s="4">
        <v>1408</v>
      </c>
      <c r="E6901" s="4">
        <v>57</v>
      </c>
      <c r="G6901">
        <f t="shared" si="107"/>
        <v>512</v>
      </c>
    </row>
    <row r="6902" spans="2:7" ht="15" hidden="1" x14ac:dyDescent="0.25">
      <c r="B6902" s="4">
        <v>584633138</v>
      </c>
      <c r="C6902" s="4" t="s">
        <v>268</v>
      </c>
      <c r="D6902" s="4">
        <v>274</v>
      </c>
      <c r="E6902" s="4">
        <v>6</v>
      </c>
      <c r="G6902">
        <f t="shared" si="107"/>
        <v>104</v>
      </c>
    </row>
    <row r="6903" spans="2:7" ht="15" hidden="1" x14ac:dyDescent="0.25">
      <c r="B6903" s="4">
        <v>584633138</v>
      </c>
      <c r="C6903" s="4" t="s">
        <v>268</v>
      </c>
      <c r="D6903" s="4">
        <v>274</v>
      </c>
      <c r="E6903" s="4">
        <v>6</v>
      </c>
      <c r="G6903">
        <f t="shared" si="107"/>
        <v>104</v>
      </c>
    </row>
    <row r="6904" spans="2:7" ht="15" hidden="1" x14ac:dyDescent="0.25">
      <c r="B6904" s="4">
        <v>584633138</v>
      </c>
      <c r="C6904" s="4" t="s">
        <v>268</v>
      </c>
      <c r="D6904" s="4">
        <v>275</v>
      </c>
      <c r="E6904" s="4">
        <v>9</v>
      </c>
      <c r="G6904">
        <f t="shared" si="107"/>
        <v>128</v>
      </c>
    </row>
    <row r="6905" spans="2:7" ht="15" hidden="1" x14ac:dyDescent="0.25">
      <c r="B6905" s="4">
        <v>584633138</v>
      </c>
      <c r="C6905" s="4" t="s">
        <v>268</v>
      </c>
      <c r="D6905" s="4">
        <v>275</v>
      </c>
      <c r="E6905" s="4">
        <v>9</v>
      </c>
      <c r="G6905">
        <f t="shared" si="107"/>
        <v>128</v>
      </c>
    </row>
    <row r="6906" spans="2:7" ht="15" hidden="1" x14ac:dyDescent="0.25">
      <c r="B6906" s="4">
        <v>584633138</v>
      </c>
      <c r="C6906" s="4" t="s">
        <v>268</v>
      </c>
      <c r="D6906" s="4">
        <v>276</v>
      </c>
      <c r="E6906" s="4">
        <v>7</v>
      </c>
      <c r="G6906">
        <f t="shared" si="107"/>
        <v>112</v>
      </c>
    </row>
    <row r="6907" spans="2:7" ht="15" hidden="1" x14ac:dyDescent="0.25">
      <c r="B6907" s="4">
        <v>584633138</v>
      </c>
      <c r="C6907" s="4" t="s">
        <v>268</v>
      </c>
      <c r="D6907" s="4">
        <v>276</v>
      </c>
      <c r="E6907" s="4">
        <v>7</v>
      </c>
      <c r="G6907">
        <f t="shared" si="107"/>
        <v>112</v>
      </c>
    </row>
    <row r="6908" spans="2:7" ht="15" hidden="1" x14ac:dyDescent="0.25">
      <c r="B6908" s="4">
        <v>584633138</v>
      </c>
      <c r="C6908" s="4" t="s">
        <v>268</v>
      </c>
      <c r="D6908" s="4">
        <v>277</v>
      </c>
      <c r="E6908" s="4">
        <v>7</v>
      </c>
      <c r="G6908">
        <f t="shared" si="107"/>
        <v>112</v>
      </c>
    </row>
    <row r="6909" spans="2:7" ht="15" hidden="1" x14ac:dyDescent="0.25">
      <c r="B6909" s="4">
        <v>584633138</v>
      </c>
      <c r="C6909" s="4" t="s">
        <v>268</v>
      </c>
      <c r="D6909" s="4">
        <v>277</v>
      </c>
      <c r="E6909" s="4">
        <v>7</v>
      </c>
      <c r="G6909">
        <f t="shared" si="107"/>
        <v>112</v>
      </c>
    </row>
    <row r="6910" spans="2:7" ht="15" hidden="1" x14ac:dyDescent="0.25">
      <c r="B6910" s="4">
        <v>584633138</v>
      </c>
      <c r="C6910" s="4" t="s">
        <v>268</v>
      </c>
      <c r="D6910" s="4">
        <v>278</v>
      </c>
      <c r="E6910" s="4">
        <v>7</v>
      </c>
      <c r="G6910">
        <f t="shared" si="107"/>
        <v>112</v>
      </c>
    </row>
    <row r="6911" spans="2:7" ht="15" hidden="1" x14ac:dyDescent="0.25">
      <c r="B6911" s="4">
        <v>584633138</v>
      </c>
      <c r="C6911" s="4" t="s">
        <v>268</v>
      </c>
      <c r="D6911" s="4">
        <v>278</v>
      </c>
      <c r="E6911" s="4">
        <v>7</v>
      </c>
      <c r="G6911">
        <f t="shared" si="107"/>
        <v>112</v>
      </c>
    </row>
    <row r="6912" spans="2:7" ht="15" hidden="1" x14ac:dyDescent="0.25">
      <c r="B6912" s="4">
        <v>584633138</v>
      </c>
      <c r="C6912" s="4" t="s">
        <v>269</v>
      </c>
      <c r="D6912" s="4">
        <v>1409</v>
      </c>
      <c r="E6912" s="4">
        <v>57</v>
      </c>
      <c r="G6912">
        <f t="shared" si="107"/>
        <v>512</v>
      </c>
    </row>
    <row r="6913" spans="2:7" ht="15" hidden="1" x14ac:dyDescent="0.25">
      <c r="B6913" s="4">
        <v>584633138</v>
      </c>
      <c r="C6913" s="4" t="s">
        <v>272</v>
      </c>
      <c r="D6913" s="4">
        <v>129</v>
      </c>
      <c r="E6913" s="4">
        <v>209</v>
      </c>
      <c r="G6913">
        <f t="shared" si="107"/>
        <v>1728</v>
      </c>
    </row>
    <row r="6914" spans="2:7" ht="15" hidden="1" x14ac:dyDescent="0.25">
      <c r="B6914" s="4">
        <v>584633139</v>
      </c>
      <c r="C6914" s="4" t="s">
        <v>269</v>
      </c>
      <c r="D6914" s="4">
        <v>1410</v>
      </c>
      <c r="E6914" s="4">
        <v>57</v>
      </c>
      <c r="G6914">
        <f t="shared" si="107"/>
        <v>512</v>
      </c>
    </row>
    <row r="6915" spans="2:7" ht="15" hidden="1" x14ac:dyDescent="0.25">
      <c r="B6915" s="4">
        <v>584633140</v>
      </c>
      <c r="C6915" s="4" t="s">
        <v>268</v>
      </c>
      <c r="D6915" s="4">
        <v>279</v>
      </c>
      <c r="E6915" s="4">
        <v>7</v>
      </c>
      <c r="G6915">
        <f t="shared" si="107"/>
        <v>112</v>
      </c>
    </row>
    <row r="6916" spans="2:7" ht="15" hidden="1" x14ac:dyDescent="0.25">
      <c r="B6916" s="4">
        <v>584633140</v>
      </c>
      <c r="C6916" s="4" t="s">
        <v>268</v>
      </c>
      <c r="D6916" s="4">
        <v>279</v>
      </c>
      <c r="E6916" s="4">
        <v>7</v>
      </c>
      <c r="G6916">
        <f t="shared" ref="G6916:G6979" si="108">(E6916+7)*8</f>
        <v>112</v>
      </c>
    </row>
    <row r="6917" spans="2:7" ht="15" hidden="1" x14ac:dyDescent="0.25">
      <c r="B6917" s="4">
        <v>584633140</v>
      </c>
      <c r="C6917" s="4" t="s">
        <v>268</v>
      </c>
      <c r="D6917" s="4">
        <v>280</v>
      </c>
      <c r="E6917" s="4">
        <v>5</v>
      </c>
      <c r="G6917">
        <f t="shared" si="108"/>
        <v>96</v>
      </c>
    </row>
    <row r="6918" spans="2:7" ht="15" hidden="1" x14ac:dyDescent="0.25">
      <c r="B6918" s="4">
        <v>584633140</v>
      </c>
      <c r="C6918" s="4" t="s">
        <v>268</v>
      </c>
      <c r="D6918" s="4">
        <v>280</v>
      </c>
      <c r="E6918" s="4">
        <v>5</v>
      </c>
      <c r="G6918">
        <f t="shared" si="108"/>
        <v>96</v>
      </c>
    </row>
    <row r="6919" spans="2:7" ht="15" hidden="1" x14ac:dyDescent="0.25">
      <c r="B6919" s="4">
        <v>584633140</v>
      </c>
      <c r="C6919" s="4" t="s">
        <v>268</v>
      </c>
      <c r="D6919" s="4">
        <v>281</v>
      </c>
      <c r="E6919" s="4">
        <v>7</v>
      </c>
      <c r="G6919">
        <f t="shared" si="108"/>
        <v>112</v>
      </c>
    </row>
    <row r="6920" spans="2:7" ht="15" hidden="1" x14ac:dyDescent="0.25">
      <c r="B6920" s="4">
        <v>584633140</v>
      </c>
      <c r="C6920" s="4" t="s">
        <v>268</v>
      </c>
      <c r="D6920" s="4">
        <v>281</v>
      </c>
      <c r="E6920" s="4">
        <v>7</v>
      </c>
      <c r="G6920">
        <f t="shared" si="108"/>
        <v>112</v>
      </c>
    </row>
    <row r="6921" spans="2:7" ht="15" hidden="1" x14ac:dyDescent="0.25">
      <c r="B6921" s="4">
        <v>584633140</v>
      </c>
      <c r="C6921" s="4" t="s">
        <v>269</v>
      </c>
      <c r="D6921" s="4">
        <v>1411</v>
      </c>
      <c r="E6921" s="4">
        <v>57</v>
      </c>
      <c r="G6921">
        <f t="shared" si="108"/>
        <v>512</v>
      </c>
    </row>
    <row r="6922" spans="2:7" ht="15" hidden="1" x14ac:dyDescent="0.25">
      <c r="B6922" s="4">
        <v>584633141</v>
      </c>
      <c r="C6922" s="4" t="s">
        <v>269</v>
      </c>
      <c r="D6922" s="4">
        <v>1412</v>
      </c>
      <c r="E6922" s="4">
        <v>57</v>
      </c>
      <c r="G6922">
        <f t="shared" si="108"/>
        <v>512</v>
      </c>
    </row>
    <row r="6923" spans="2:7" ht="15" hidden="1" x14ac:dyDescent="0.25">
      <c r="B6923" s="4">
        <v>584633142</v>
      </c>
      <c r="C6923" s="4" t="s">
        <v>269</v>
      </c>
      <c r="D6923" s="4">
        <v>1413</v>
      </c>
      <c r="E6923" s="4">
        <v>57</v>
      </c>
      <c r="G6923">
        <f t="shared" si="108"/>
        <v>512</v>
      </c>
    </row>
    <row r="6924" spans="2:7" ht="15" hidden="1" x14ac:dyDescent="0.25">
      <c r="B6924" s="4">
        <v>584633143</v>
      </c>
      <c r="C6924" s="4" t="s">
        <v>269</v>
      </c>
      <c r="D6924" s="4">
        <v>1414</v>
      </c>
      <c r="E6924" s="4">
        <v>57</v>
      </c>
      <c r="G6924">
        <f t="shared" si="108"/>
        <v>512</v>
      </c>
    </row>
    <row r="6925" spans="2:7" ht="15" hidden="1" x14ac:dyDescent="0.25">
      <c r="B6925" s="4">
        <v>584633144</v>
      </c>
      <c r="C6925" s="4" t="s">
        <v>269</v>
      </c>
      <c r="D6925" s="4">
        <v>1415</v>
      </c>
      <c r="E6925" s="4">
        <v>57</v>
      </c>
      <c r="G6925">
        <f t="shared" si="108"/>
        <v>512</v>
      </c>
    </row>
    <row r="6926" spans="2:7" ht="15" hidden="1" x14ac:dyDescent="0.25">
      <c r="B6926" s="4">
        <v>584633145</v>
      </c>
      <c r="C6926" s="4" t="s">
        <v>269</v>
      </c>
      <c r="D6926" s="4">
        <v>1416</v>
      </c>
      <c r="E6926" s="4">
        <v>57</v>
      </c>
      <c r="G6926">
        <f t="shared" si="108"/>
        <v>512</v>
      </c>
    </row>
    <row r="6927" spans="2:7" ht="15" hidden="1" x14ac:dyDescent="0.25">
      <c r="B6927" s="4">
        <v>584633146</v>
      </c>
      <c r="C6927" s="4" t="s">
        <v>269</v>
      </c>
      <c r="D6927" s="4">
        <v>1417</v>
      </c>
      <c r="E6927" s="4">
        <v>57</v>
      </c>
      <c r="G6927">
        <f t="shared" si="108"/>
        <v>512</v>
      </c>
    </row>
    <row r="6928" spans="2:7" ht="15" hidden="1" x14ac:dyDescent="0.25">
      <c r="B6928" s="4">
        <v>584633147</v>
      </c>
      <c r="C6928" s="4" t="s">
        <v>269</v>
      </c>
      <c r="D6928" s="4">
        <v>1418</v>
      </c>
      <c r="E6928" s="4">
        <v>57</v>
      </c>
      <c r="G6928">
        <f t="shared" si="108"/>
        <v>512</v>
      </c>
    </row>
    <row r="6929" spans="2:7" ht="15" hidden="1" x14ac:dyDescent="0.25">
      <c r="B6929" s="4">
        <v>584633148</v>
      </c>
      <c r="C6929" s="4" t="s">
        <v>269</v>
      </c>
      <c r="D6929" s="4">
        <v>1419</v>
      </c>
      <c r="E6929" s="4">
        <v>57</v>
      </c>
      <c r="G6929">
        <f t="shared" si="108"/>
        <v>512</v>
      </c>
    </row>
    <row r="6930" spans="2:7" ht="15" hidden="1" x14ac:dyDescent="0.25">
      <c r="B6930" s="4">
        <v>584633148</v>
      </c>
      <c r="C6930" s="4" t="s">
        <v>272</v>
      </c>
      <c r="D6930" s="4">
        <v>130</v>
      </c>
      <c r="E6930" s="4">
        <v>213</v>
      </c>
      <c r="G6930">
        <f t="shared" si="108"/>
        <v>1760</v>
      </c>
    </row>
    <row r="6931" spans="2:7" ht="15" hidden="1" x14ac:dyDescent="0.25">
      <c r="B6931" s="4">
        <v>584633149</v>
      </c>
      <c r="C6931" s="4" t="s">
        <v>269</v>
      </c>
      <c r="D6931" s="4">
        <v>1420</v>
      </c>
      <c r="E6931" s="4">
        <v>57</v>
      </c>
      <c r="G6931">
        <f t="shared" si="108"/>
        <v>512</v>
      </c>
    </row>
    <row r="6932" spans="2:7" ht="15" hidden="1" x14ac:dyDescent="0.25">
      <c r="B6932" s="4">
        <v>584633150</v>
      </c>
      <c r="C6932" s="4" t="s">
        <v>269</v>
      </c>
      <c r="D6932" s="4">
        <v>1421</v>
      </c>
      <c r="E6932" s="4">
        <v>57</v>
      </c>
      <c r="G6932">
        <f t="shared" si="108"/>
        <v>512</v>
      </c>
    </row>
    <row r="6933" spans="2:7" ht="15" hidden="1" x14ac:dyDescent="0.25">
      <c r="B6933" s="4">
        <v>584633151</v>
      </c>
      <c r="C6933" s="4" t="s">
        <v>269</v>
      </c>
      <c r="D6933" s="4">
        <v>1422</v>
      </c>
      <c r="E6933" s="4">
        <v>57</v>
      </c>
      <c r="G6933">
        <f t="shared" si="108"/>
        <v>512</v>
      </c>
    </row>
    <row r="6934" spans="2:7" ht="15" hidden="1" x14ac:dyDescent="0.25">
      <c r="B6934" s="4">
        <v>584633152</v>
      </c>
      <c r="C6934" s="4" t="s">
        <v>269</v>
      </c>
      <c r="D6934" s="4">
        <v>1423</v>
      </c>
      <c r="E6934" s="4">
        <v>57</v>
      </c>
      <c r="G6934">
        <f t="shared" si="108"/>
        <v>512</v>
      </c>
    </row>
    <row r="6935" spans="2:7" ht="15" hidden="1" x14ac:dyDescent="0.25">
      <c r="B6935" s="4">
        <v>584633153</v>
      </c>
      <c r="C6935" s="4" t="s">
        <v>269</v>
      </c>
      <c r="D6935" s="4">
        <v>1424</v>
      </c>
      <c r="E6935" s="4">
        <v>57</v>
      </c>
      <c r="G6935">
        <f t="shared" si="108"/>
        <v>512</v>
      </c>
    </row>
    <row r="6936" spans="2:7" ht="15" hidden="1" x14ac:dyDescent="0.25">
      <c r="B6936" s="4">
        <v>584633154</v>
      </c>
      <c r="C6936" s="4" t="s">
        <v>269</v>
      </c>
      <c r="D6936" s="4">
        <v>1425</v>
      </c>
      <c r="E6936" s="4">
        <v>57</v>
      </c>
      <c r="G6936">
        <f t="shared" si="108"/>
        <v>512</v>
      </c>
    </row>
    <row r="6937" spans="2:7" ht="15" hidden="1" x14ac:dyDescent="0.25">
      <c r="B6937" s="4">
        <v>584633155</v>
      </c>
      <c r="C6937" s="4" t="s">
        <v>269</v>
      </c>
      <c r="D6937" s="4">
        <v>1426</v>
      </c>
      <c r="E6937" s="4">
        <v>57</v>
      </c>
      <c r="G6937">
        <f t="shared" si="108"/>
        <v>512</v>
      </c>
    </row>
    <row r="6938" spans="2:7" ht="15" hidden="1" x14ac:dyDescent="0.25">
      <c r="B6938" s="4">
        <v>584633156</v>
      </c>
      <c r="C6938" s="4" t="s">
        <v>269</v>
      </c>
      <c r="D6938" s="4">
        <v>1427</v>
      </c>
      <c r="E6938" s="4">
        <v>57</v>
      </c>
      <c r="G6938">
        <f t="shared" si="108"/>
        <v>512</v>
      </c>
    </row>
    <row r="6939" spans="2:7" ht="15" hidden="1" x14ac:dyDescent="0.25">
      <c r="B6939" s="4">
        <v>584633157</v>
      </c>
      <c r="C6939" s="4" t="s">
        <v>269</v>
      </c>
      <c r="D6939" s="4">
        <v>1428</v>
      </c>
      <c r="E6939" s="4">
        <v>57</v>
      </c>
      <c r="G6939">
        <f t="shared" si="108"/>
        <v>512</v>
      </c>
    </row>
    <row r="6940" spans="2:7" ht="15" hidden="1" x14ac:dyDescent="0.25">
      <c r="B6940" s="4">
        <v>584633158</v>
      </c>
      <c r="C6940" s="4" t="s">
        <v>269</v>
      </c>
      <c r="D6940" s="4">
        <v>1429</v>
      </c>
      <c r="E6940" s="4">
        <v>57</v>
      </c>
      <c r="G6940">
        <f t="shared" si="108"/>
        <v>512</v>
      </c>
    </row>
    <row r="6941" spans="2:7" ht="15" hidden="1" x14ac:dyDescent="0.25">
      <c r="B6941" s="4">
        <v>584633158</v>
      </c>
      <c r="C6941" s="4" t="s">
        <v>272</v>
      </c>
      <c r="D6941" s="4">
        <v>131</v>
      </c>
      <c r="E6941" s="4">
        <v>215</v>
      </c>
      <c r="G6941">
        <f t="shared" si="108"/>
        <v>1776</v>
      </c>
    </row>
    <row r="6942" spans="2:7" ht="15" hidden="1" x14ac:dyDescent="0.25">
      <c r="B6942" s="4">
        <v>584633159</v>
      </c>
      <c r="C6942" s="4" t="s">
        <v>269</v>
      </c>
      <c r="D6942" s="4">
        <v>1430</v>
      </c>
      <c r="E6942" s="4">
        <v>57</v>
      </c>
      <c r="G6942">
        <f t="shared" si="108"/>
        <v>512</v>
      </c>
    </row>
    <row r="6943" spans="2:7" ht="15" hidden="1" x14ac:dyDescent="0.25">
      <c r="B6943" s="4">
        <v>584633160</v>
      </c>
      <c r="C6943" s="4" t="s">
        <v>269</v>
      </c>
      <c r="D6943" s="4">
        <v>1431</v>
      </c>
      <c r="E6943" s="4">
        <v>57</v>
      </c>
      <c r="G6943">
        <f t="shared" si="108"/>
        <v>512</v>
      </c>
    </row>
    <row r="6944" spans="2:7" ht="15" hidden="1" x14ac:dyDescent="0.25">
      <c r="B6944" s="4">
        <v>584633161</v>
      </c>
      <c r="C6944" s="4" t="s">
        <v>269</v>
      </c>
      <c r="D6944" s="4">
        <v>1432</v>
      </c>
      <c r="E6944" s="4">
        <v>57</v>
      </c>
      <c r="G6944">
        <f t="shared" si="108"/>
        <v>512</v>
      </c>
    </row>
    <row r="6945" spans="2:7" ht="15" hidden="1" x14ac:dyDescent="0.25">
      <c r="B6945" s="4">
        <v>584633162</v>
      </c>
      <c r="C6945" s="4" t="s">
        <v>269</v>
      </c>
      <c r="D6945" s="4">
        <v>1433</v>
      </c>
      <c r="E6945" s="4">
        <v>57</v>
      </c>
      <c r="G6945">
        <f t="shared" si="108"/>
        <v>512</v>
      </c>
    </row>
    <row r="6946" spans="2:7" ht="15" hidden="1" x14ac:dyDescent="0.25">
      <c r="B6946" s="4">
        <v>584633163</v>
      </c>
      <c r="C6946" s="4" t="s">
        <v>269</v>
      </c>
      <c r="D6946" s="4">
        <v>1434</v>
      </c>
      <c r="E6946" s="4">
        <v>57</v>
      </c>
      <c r="G6946">
        <f t="shared" si="108"/>
        <v>512</v>
      </c>
    </row>
    <row r="6947" spans="2:7" ht="15" hidden="1" x14ac:dyDescent="0.25">
      <c r="B6947" s="4">
        <v>584633164</v>
      </c>
      <c r="C6947" s="4" t="s">
        <v>269</v>
      </c>
      <c r="D6947" s="4">
        <v>1435</v>
      </c>
      <c r="E6947" s="4">
        <v>57</v>
      </c>
      <c r="G6947">
        <f t="shared" si="108"/>
        <v>512</v>
      </c>
    </row>
    <row r="6948" spans="2:7" ht="15" hidden="1" x14ac:dyDescent="0.25">
      <c r="B6948" s="4">
        <v>584633165</v>
      </c>
      <c r="C6948" s="4" t="s">
        <v>269</v>
      </c>
      <c r="D6948" s="4">
        <v>1436</v>
      </c>
      <c r="E6948" s="4">
        <v>57</v>
      </c>
      <c r="G6948">
        <f t="shared" si="108"/>
        <v>512</v>
      </c>
    </row>
    <row r="6949" spans="2:7" ht="15" hidden="1" x14ac:dyDescent="0.25">
      <c r="B6949" s="4">
        <v>584633166</v>
      </c>
      <c r="C6949" s="4" t="s">
        <v>269</v>
      </c>
      <c r="D6949" s="4">
        <v>1437</v>
      </c>
      <c r="E6949" s="4">
        <v>57</v>
      </c>
      <c r="G6949">
        <f t="shared" si="108"/>
        <v>512</v>
      </c>
    </row>
    <row r="6950" spans="2:7" ht="15" hidden="1" x14ac:dyDescent="0.25">
      <c r="B6950" s="4">
        <v>584633167</v>
      </c>
      <c r="C6950" s="4" t="s">
        <v>269</v>
      </c>
      <c r="D6950" s="4">
        <v>1438</v>
      </c>
      <c r="E6950" s="4">
        <v>57</v>
      </c>
      <c r="G6950">
        <f t="shared" si="108"/>
        <v>512</v>
      </c>
    </row>
    <row r="6951" spans="2:7" ht="15" hidden="1" x14ac:dyDescent="0.25">
      <c r="B6951" s="4">
        <v>584633168</v>
      </c>
      <c r="C6951" s="4" t="s">
        <v>269</v>
      </c>
      <c r="D6951" s="4">
        <v>1439</v>
      </c>
      <c r="E6951" s="4">
        <v>57</v>
      </c>
      <c r="G6951">
        <f t="shared" si="108"/>
        <v>512</v>
      </c>
    </row>
    <row r="6952" spans="2:7" ht="15" hidden="1" x14ac:dyDescent="0.25">
      <c r="B6952" s="4">
        <v>584633168</v>
      </c>
      <c r="C6952" s="4" t="s">
        <v>272</v>
      </c>
      <c r="D6952" s="4">
        <v>132</v>
      </c>
      <c r="E6952" s="4">
        <v>211</v>
      </c>
      <c r="G6952">
        <f t="shared" si="108"/>
        <v>1744</v>
      </c>
    </row>
    <row r="6953" spans="2:7" ht="15" hidden="1" x14ac:dyDescent="0.25">
      <c r="B6953" s="4">
        <v>584633169</v>
      </c>
      <c r="C6953" s="4" t="s">
        <v>269</v>
      </c>
      <c r="D6953" s="4">
        <v>1440</v>
      </c>
      <c r="E6953" s="4">
        <v>57</v>
      </c>
      <c r="G6953">
        <f t="shared" si="108"/>
        <v>512</v>
      </c>
    </row>
    <row r="6954" spans="2:7" ht="15" hidden="1" x14ac:dyDescent="0.25">
      <c r="B6954" s="4">
        <v>584633170</v>
      </c>
      <c r="C6954" s="4" t="s">
        <v>269</v>
      </c>
      <c r="D6954" s="4">
        <v>1441</v>
      </c>
      <c r="E6954" s="4">
        <v>57</v>
      </c>
      <c r="G6954">
        <f t="shared" si="108"/>
        <v>512</v>
      </c>
    </row>
    <row r="6955" spans="2:7" ht="15" hidden="1" x14ac:dyDescent="0.25">
      <c r="B6955" s="4">
        <v>584633171</v>
      </c>
      <c r="C6955" s="4" t="s">
        <v>269</v>
      </c>
      <c r="D6955" s="4">
        <v>1442</v>
      </c>
      <c r="E6955" s="4">
        <v>57</v>
      </c>
      <c r="G6955">
        <f t="shared" si="108"/>
        <v>512</v>
      </c>
    </row>
    <row r="6956" spans="2:7" ht="15" hidden="1" x14ac:dyDescent="0.25">
      <c r="B6956" s="4">
        <v>584633172</v>
      </c>
      <c r="C6956" s="4" t="s">
        <v>269</v>
      </c>
      <c r="D6956" s="4">
        <v>1443</v>
      </c>
      <c r="E6956" s="4">
        <v>57</v>
      </c>
      <c r="G6956">
        <f t="shared" si="108"/>
        <v>512</v>
      </c>
    </row>
    <row r="6957" spans="2:7" ht="15" hidden="1" x14ac:dyDescent="0.25">
      <c r="B6957" s="4">
        <v>584633173</v>
      </c>
      <c r="C6957" s="4" t="s">
        <v>269</v>
      </c>
      <c r="D6957" s="4">
        <v>1444</v>
      </c>
      <c r="E6957" s="4">
        <v>57</v>
      </c>
      <c r="G6957">
        <f t="shared" si="108"/>
        <v>512</v>
      </c>
    </row>
    <row r="6958" spans="2:7" ht="15" hidden="1" x14ac:dyDescent="0.25">
      <c r="B6958" s="4">
        <v>584633174</v>
      </c>
      <c r="C6958" s="4" t="s">
        <v>269</v>
      </c>
      <c r="D6958" s="4">
        <v>1445</v>
      </c>
      <c r="E6958" s="4">
        <v>57</v>
      </c>
      <c r="G6958">
        <f t="shared" si="108"/>
        <v>512</v>
      </c>
    </row>
    <row r="6959" spans="2:7" ht="15" hidden="1" x14ac:dyDescent="0.25">
      <c r="B6959" s="4">
        <v>584633175</v>
      </c>
      <c r="C6959" s="4" t="s">
        <v>269</v>
      </c>
      <c r="D6959" s="4">
        <v>1446</v>
      </c>
      <c r="E6959" s="4">
        <v>57</v>
      </c>
      <c r="G6959">
        <f t="shared" si="108"/>
        <v>512</v>
      </c>
    </row>
    <row r="6960" spans="2:7" ht="15" hidden="1" x14ac:dyDescent="0.25">
      <c r="B6960" s="4">
        <v>584633176</v>
      </c>
      <c r="C6960" s="4" t="s">
        <v>269</v>
      </c>
      <c r="D6960" s="4">
        <v>1447</v>
      </c>
      <c r="E6960" s="4">
        <v>57</v>
      </c>
      <c r="G6960">
        <f t="shared" si="108"/>
        <v>512</v>
      </c>
    </row>
    <row r="6961" spans="2:7" ht="15" hidden="1" x14ac:dyDescent="0.25">
      <c r="B6961" s="4">
        <v>584633177</v>
      </c>
      <c r="C6961" s="4" t="s">
        <v>269</v>
      </c>
      <c r="D6961" s="4">
        <v>1448</v>
      </c>
      <c r="E6961" s="4">
        <v>57</v>
      </c>
      <c r="G6961">
        <f t="shared" si="108"/>
        <v>512</v>
      </c>
    </row>
    <row r="6962" spans="2:7" ht="15" hidden="1" x14ac:dyDescent="0.25">
      <c r="B6962" s="4">
        <v>584633178</v>
      </c>
      <c r="C6962" s="4" t="s">
        <v>269</v>
      </c>
      <c r="D6962" s="4">
        <v>1449</v>
      </c>
      <c r="E6962" s="4">
        <v>57</v>
      </c>
      <c r="G6962">
        <f t="shared" si="108"/>
        <v>512</v>
      </c>
    </row>
    <row r="6963" spans="2:7" ht="15" hidden="1" x14ac:dyDescent="0.25">
      <c r="B6963" s="4">
        <v>584633178</v>
      </c>
      <c r="C6963" s="4" t="s">
        <v>272</v>
      </c>
      <c r="D6963" s="4">
        <v>133</v>
      </c>
      <c r="E6963" s="4">
        <v>219</v>
      </c>
      <c r="G6963">
        <f t="shared" si="108"/>
        <v>1808</v>
      </c>
    </row>
    <row r="6964" spans="2:7" ht="15" hidden="1" x14ac:dyDescent="0.25">
      <c r="B6964" s="4">
        <v>584633179</v>
      </c>
      <c r="C6964" s="4" t="s">
        <v>269</v>
      </c>
      <c r="D6964" s="4">
        <v>1450</v>
      </c>
      <c r="E6964" s="4">
        <v>57</v>
      </c>
      <c r="G6964">
        <f t="shared" si="108"/>
        <v>512</v>
      </c>
    </row>
    <row r="6965" spans="2:7" ht="15" hidden="1" x14ac:dyDescent="0.25">
      <c r="B6965" s="4">
        <v>584633180</v>
      </c>
      <c r="C6965" s="4" t="s">
        <v>269</v>
      </c>
      <c r="D6965" s="4">
        <v>1451</v>
      </c>
      <c r="E6965" s="4">
        <v>57</v>
      </c>
      <c r="G6965">
        <f t="shared" si="108"/>
        <v>512</v>
      </c>
    </row>
    <row r="6966" spans="2:7" ht="15" hidden="1" x14ac:dyDescent="0.25">
      <c r="B6966" s="4">
        <v>584633181</v>
      </c>
      <c r="C6966" s="4" t="s">
        <v>269</v>
      </c>
      <c r="D6966" s="4">
        <v>1452</v>
      </c>
      <c r="E6966" s="4">
        <v>57</v>
      </c>
      <c r="G6966">
        <f t="shared" si="108"/>
        <v>512</v>
      </c>
    </row>
    <row r="6967" spans="2:7" ht="15" hidden="1" x14ac:dyDescent="0.25">
      <c r="B6967" s="4">
        <v>584633182</v>
      </c>
      <c r="C6967" s="4" t="s">
        <v>269</v>
      </c>
      <c r="D6967" s="4">
        <v>1453</v>
      </c>
      <c r="E6967" s="4">
        <v>57</v>
      </c>
      <c r="G6967">
        <f t="shared" si="108"/>
        <v>512</v>
      </c>
    </row>
    <row r="6968" spans="2:7" ht="15" hidden="1" x14ac:dyDescent="0.25">
      <c r="B6968" s="4">
        <v>584633183</v>
      </c>
      <c r="C6968" s="4" t="s">
        <v>269</v>
      </c>
      <c r="D6968" s="4">
        <v>1454</v>
      </c>
      <c r="E6968" s="4">
        <v>57</v>
      </c>
      <c r="G6968">
        <f t="shared" si="108"/>
        <v>512</v>
      </c>
    </row>
    <row r="6969" spans="2:7" ht="15" hidden="1" x14ac:dyDescent="0.25">
      <c r="B6969" s="4">
        <v>584633184</v>
      </c>
      <c r="C6969" s="4" t="s">
        <v>269</v>
      </c>
      <c r="D6969" s="4">
        <v>1455</v>
      </c>
      <c r="E6969" s="4">
        <v>57</v>
      </c>
      <c r="G6969">
        <f t="shared" si="108"/>
        <v>512</v>
      </c>
    </row>
    <row r="6970" spans="2:7" ht="15" hidden="1" x14ac:dyDescent="0.25">
      <c r="B6970" s="4">
        <v>584633185</v>
      </c>
      <c r="C6970" s="4" t="s">
        <v>269</v>
      </c>
      <c r="D6970" s="4">
        <v>1456</v>
      </c>
      <c r="E6970" s="4">
        <v>57</v>
      </c>
      <c r="G6970">
        <f t="shared" si="108"/>
        <v>512</v>
      </c>
    </row>
    <row r="6971" spans="2:7" ht="15" hidden="1" x14ac:dyDescent="0.25">
      <c r="B6971" s="4">
        <v>584633186</v>
      </c>
      <c r="C6971" s="4" t="s">
        <v>269</v>
      </c>
      <c r="D6971" s="4">
        <v>1457</v>
      </c>
      <c r="E6971" s="4">
        <v>57</v>
      </c>
      <c r="G6971">
        <f t="shared" si="108"/>
        <v>512</v>
      </c>
    </row>
    <row r="6972" spans="2:7" ht="15" hidden="1" x14ac:dyDescent="0.25">
      <c r="B6972" s="4">
        <v>584633187</v>
      </c>
      <c r="C6972" s="4" t="s">
        <v>269</v>
      </c>
      <c r="D6972" s="4">
        <v>1458</v>
      </c>
      <c r="E6972" s="4">
        <v>57</v>
      </c>
      <c r="G6972">
        <f t="shared" si="108"/>
        <v>512</v>
      </c>
    </row>
    <row r="6973" spans="2:7" ht="15" hidden="1" x14ac:dyDescent="0.25">
      <c r="B6973" s="4">
        <v>584633188</v>
      </c>
      <c r="C6973" s="4" t="s">
        <v>269</v>
      </c>
      <c r="D6973" s="4">
        <v>1459</v>
      </c>
      <c r="E6973" s="4">
        <v>57</v>
      </c>
      <c r="G6973">
        <f t="shared" si="108"/>
        <v>512</v>
      </c>
    </row>
    <row r="6974" spans="2:7" ht="15" hidden="1" x14ac:dyDescent="0.25">
      <c r="B6974" s="4">
        <v>584633188</v>
      </c>
      <c r="C6974" s="4" t="s">
        <v>272</v>
      </c>
      <c r="D6974" s="4">
        <v>134</v>
      </c>
      <c r="E6974" s="4">
        <v>217</v>
      </c>
      <c r="G6974">
        <f t="shared" si="108"/>
        <v>1792</v>
      </c>
    </row>
    <row r="6975" spans="2:7" ht="15" hidden="1" x14ac:dyDescent="0.25">
      <c r="B6975" s="4">
        <v>584633189</v>
      </c>
      <c r="C6975" s="4" t="s">
        <v>269</v>
      </c>
      <c r="D6975" s="4">
        <v>1460</v>
      </c>
      <c r="E6975" s="4">
        <v>57</v>
      </c>
      <c r="G6975">
        <f t="shared" si="108"/>
        <v>512</v>
      </c>
    </row>
    <row r="6976" spans="2:7" ht="15" hidden="1" x14ac:dyDescent="0.25">
      <c r="B6976" s="4">
        <v>584633190</v>
      </c>
      <c r="C6976" s="4" t="s">
        <v>269</v>
      </c>
      <c r="D6976" s="4">
        <v>1461</v>
      </c>
      <c r="E6976" s="4">
        <v>57</v>
      </c>
      <c r="G6976">
        <f t="shared" si="108"/>
        <v>512</v>
      </c>
    </row>
    <row r="6977" spans="2:7" ht="15" hidden="1" x14ac:dyDescent="0.25">
      <c r="B6977" s="4">
        <v>584633191</v>
      </c>
      <c r="C6977" s="4" t="s">
        <v>269</v>
      </c>
      <c r="D6977" s="4">
        <v>1462</v>
      </c>
      <c r="E6977" s="4">
        <v>57</v>
      </c>
      <c r="G6977">
        <f t="shared" si="108"/>
        <v>512</v>
      </c>
    </row>
    <row r="6978" spans="2:7" ht="15" hidden="1" x14ac:dyDescent="0.25">
      <c r="B6978" s="4">
        <v>584633192</v>
      </c>
      <c r="C6978" s="4" t="s">
        <v>269</v>
      </c>
      <c r="D6978" s="4">
        <v>1463</v>
      </c>
      <c r="E6978" s="4">
        <v>57</v>
      </c>
      <c r="G6978">
        <f t="shared" si="108"/>
        <v>512</v>
      </c>
    </row>
    <row r="6979" spans="2:7" ht="15" hidden="1" x14ac:dyDescent="0.25">
      <c r="B6979" s="4">
        <v>584633193</v>
      </c>
      <c r="C6979" s="4" t="s">
        <v>269</v>
      </c>
      <c r="D6979" s="4">
        <v>1464</v>
      </c>
      <c r="E6979" s="4">
        <v>57</v>
      </c>
      <c r="G6979">
        <f t="shared" si="108"/>
        <v>512</v>
      </c>
    </row>
    <row r="6980" spans="2:7" ht="15" hidden="1" x14ac:dyDescent="0.25">
      <c r="B6980" s="4">
        <v>584633194</v>
      </c>
      <c r="C6980" s="4" t="s">
        <v>269</v>
      </c>
      <c r="D6980" s="4">
        <v>1465</v>
      </c>
      <c r="E6980" s="4">
        <v>57</v>
      </c>
      <c r="G6980">
        <f t="shared" ref="G6980:G7043" si="109">(E6980+7)*8</f>
        <v>512</v>
      </c>
    </row>
    <row r="6981" spans="2:7" ht="15" hidden="1" x14ac:dyDescent="0.25">
      <c r="B6981" s="4">
        <v>584633195</v>
      </c>
      <c r="C6981" s="4" t="s">
        <v>269</v>
      </c>
      <c r="D6981" s="4">
        <v>1466</v>
      </c>
      <c r="E6981" s="4">
        <v>57</v>
      </c>
      <c r="G6981">
        <f t="shared" si="109"/>
        <v>512</v>
      </c>
    </row>
    <row r="6982" spans="2:7" ht="15" hidden="1" x14ac:dyDescent="0.25">
      <c r="B6982" s="4">
        <v>584633196</v>
      </c>
      <c r="C6982" s="4" t="s">
        <v>269</v>
      </c>
      <c r="D6982" s="4">
        <v>1467</v>
      </c>
      <c r="E6982" s="4">
        <v>57</v>
      </c>
      <c r="G6982">
        <f t="shared" si="109"/>
        <v>512</v>
      </c>
    </row>
    <row r="6983" spans="2:7" ht="15" hidden="1" x14ac:dyDescent="0.25">
      <c r="B6983" s="4">
        <v>584633197</v>
      </c>
      <c r="C6983" s="4" t="s">
        <v>269</v>
      </c>
      <c r="D6983" s="4">
        <v>1468</v>
      </c>
      <c r="E6983" s="4">
        <v>57</v>
      </c>
      <c r="G6983">
        <f t="shared" si="109"/>
        <v>512</v>
      </c>
    </row>
    <row r="6984" spans="2:7" ht="15" hidden="1" x14ac:dyDescent="0.25">
      <c r="B6984" s="4">
        <v>584633198</v>
      </c>
      <c r="C6984" s="4" t="s">
        <v>269</v>
      </c>
      <c r="D6984" s="4">
        <v>1469</v>
      </c>
      <c r="E6984" s="4">
        <v>57</v>
      </c>
      <c r="G6984">
        <f t="shared" si="109"/>
        <v>512</v>
      </c>
    </row>
    <row r="6985" spans="2:7" ht="15" hidden="1" x14ac:dyDescent="0.25">
      <c r="B6985" s="4">
        <v>584633198</v>
      </c>
      <c r="C6985" s="4" t="s">
        <v>272</v>
      </c>
      <c r="D6985" s="4">
        <v>135</v>
      </c>
      <c r="E6985" s="4">
        <v>215</v>
      </c>
      <c r="G6985">
        <f t="shared" si="109"/>
        <v>1776</v>
      </c>
    </row>
    <row r="6986" spans="2:7" ht="15" hidden="1" x14ac:dyDescent="0.25">
      <c r="B6986" s="4">
        <v>584633199</v>
      </c>
      <c r="C6986" s="4" t="s">
        <v>269</v>
      </c>
      <c r="D6986" s="4">
        <v>1470</v>
      </c>
      <c r="E6986" s="4">
        <v>57</v>
      </c>
      <c r="G6986">
        <f t="shared" si="109"/>
        <v>512</v>
      </c>
    </row>
    <row r="6987" spans="2:7" ht="15" hidden="1" x14ac:dyDescent="0.25">
      <c r="B6987" s="4">
        <v>584633200</v>
      </c>
      <c r="C6987" s="4" t="s">
        <v>269</v>
      </c>
      <c r="D6987" s="4">
        <v>1471</v>
      </c>
      <c r="E6987" s="4">
        <v>57</v>
      </c>
      <c r="G6987">
        <f t="shared" si="109"/>
        <v>512</v>
      </c>
    </row>
    <row r="6988" spans="2:7" ht="15" hidden="1" x14ac:dyDescent="0.25">
      <c r="B6988" s="4">
        <v>584633201</v>
      </c>
      <c r="C6988" s="4" t="s">
        <v>269</v>
      </c>
      <c r="D6988" s="4">
        <v>1472</v>
      </c>
      <c r="E6988" s="4">
        <v>57</v>
      </c>
      <c r="G6988">
        <f t="shared" si="109"/>
        <v>512</v>
      </c>
    </row>
    <row r="6989" spans="2:7" ht="15" hidden="1" x14ac:dyDescent="0.25">
      <c r="B6989" s="4">
        <v>584633202</v>
      </c>
      <c r="C6989" s="4" t="s">
        <v>269</v>
      </c>
      <c r="D6989" s="4">
        <v>1473</v>
      </c>
      <c r="E6989" s="4">
        <v>57</v>
      </c>
      <c r="G6989">
        <f t="shared" si="109"/>
        <v>512</v>
      </c>
    </row>
    <row r="6990" spans="2:7" ht="15" hidden="1" x14ac:dyDescent="0.25">
      <c r="B6990" s="4">
        <v>584633203</v>
      </c>
      <c r="C6990" s="4" t="s">
        <v>269</v>
      </c>
      <c r="D6990" s="4">
        <v>1474</v>
      </c>
      <c r="E6990" s="4">
        <v>57</v>
      </c>
      <c r="G6990">
        <f t="shared" si="109"/>
        <v>512</v>
      </c>
    </row>
    <row r="6991" spans="2:7" ht="15" hidden="1" x14ac:dyDescent="0.25">
      <c r="B6991" s="4">
        <v>584633204</v>
      </c>
      <c r="C6991" s="4" t="s">
        <v>269</v>
      </c>
      <c r="D6991" s="4">
        <v>1475</v>
      </c>
      <c r="E6991" s="4">
        <v>57</v>
      </c>
      <c r="G6991">
        <f t="shared" si="109"/>
        <v>512</v>
      </c>
    </row>
    <row r="6992" spans="2:7" ht="15" hidden="1" x14ac:dyDescent="0.25">
      <c r="B6992" s="4">
        <v>584633205</v>
      </c>
      <c r="C6992" s="4" t="s">
        <v>269</v>
      </c>
      <c r="D6992" s="4">
        <v>1476</v>
      </c>
      <c r="E6992" s="4">
        <v>57</v>
      </c>
      <c r="G6992">
        <f t="shared" si="109"/>
        <v>512</v>
      </c>
    </row>
    <row r="6993" spans="2:7" ht="15" hidden="1" x14ac:dyDescent="0.25">
      <c r="B6993" s="4">
        <v>584633206</v>
      </c>
      <c r="C6993" s="4" t="s">
        <v>269</v>
      </c>
      <c r="D6993" s="4">
        <v>1477</v>
      </c>
      <c r="E6993" s="4">
        <v>57</v>
      </c>
      <c r="G6993">
        <f t="shared" si="109"/>
        <v>512</v>
      </c>
    </row>
    <row r="6994" spans="2:7" ht="15" hidden="1" x14ac:dyDescent="0.25">
      <c r="B6994" s="4">
        <v>584633207</v>
      </c>
      <c r="C6994" s="4" t="s">
        <v>269</v>
      </c>
      <c r="D6994" s="4">
        <v>1478</v>
      </c>
      <c r="E6994" s="4">
        <v>57</v>
      </c>
      <c r="G6994">
        <f t="shared" si="109"/>
        <v>512</v>
      </c>
    </row>
    <row r="6995" spans="2:7" ht="15" hidden="1" x14ac:dyDescent="0.25">
      <c r="B6995" s="4">
        <v>584633208</v>
      </c>
      <c r="C6995" s="4" t="s">
        <v>269</v>
      </c>
      <c r="D6995" s="4">
        <v>1479</v>
      </c>
      <c r="E6995" s="4">
        <v>57</v>
      </c>
      <c r="G6995">
        <f t="shared" si="109"/>
        <v>512</v>
      </c>
    </row>
    <row r="6996" spans="2:7" ht="15" hidden="1" x14ac:dyDescent="0.25">
      <c r="B6996" s="4">
        <v>584633208</v>
      </c>
      <c r="C6996" s="4" t="s">
        <v>272</v>
      </c>
      <c r="D6996" s="4">
        <v>136</v>
      </c>
      <c r="E6996" s="4">
        <v>219</v>
      </c>
      <c r="G6996">
        <f t="shared" si="109"/>
        <v>1808</v>
      </c>
    </row>
    <row r="6997" spans="2:7" ht="15" hidden="1" x14ac:dyDescent="0.25">
      <c r="B6997" s="4">
        <v>584633209</v>
      </c>
      <c r="C6997" s="4" t="s">
        <v>269</v>
      </c>
      <c r="D6997" s="4">
        <v>1480</v>
      </c>
      <c r="E6997" s="4">
        <v>57</v>
      </c>
      <c r="G6997">
        <f t="shared" si="109"/>
        <v>512</v>
      </c>
    </row>
    <row r="6998" spans="2:7" ht="15" hidden="1" x14ac:dyDescent="0.25">
      <c r="B6998" s="4">
        <v>584633210</v>
      </c>
      <c r="C6998" s="4" t="s">
        <v>269</v>
      </c>
      <c r="D6998" s="4">
        <v>1481</v>
      </c>
      <c r="E6998" s="4">
        <v>57</v>
      </c>
      <c r="G6998">
        <f t="shared" si="109"/>
        <v>512</v>
      </c>
    </row>
    <row r="6999" spans="2:7" ht="15" hidden="1" x14ac:dyDescent="0.25">
      <c r="B6999" s="4">
        <v>584633211</v>
      </c>
      <c r="C6999" s="4" t="s">
        <v>269</v>
      </c>
      <c r="D6999" s="4">
        <v>1482</v>
      </c>
      <c r="E6999" s="4">
        <v>57</v>
      </c>
      <c r="G6999">
        <f t="shared" si="109"/>
        <v>512</v>
      </c>
    </row>
    <row r="7000" spans="2:7" ht="15" hidden="1" x14ac:dyDescent="0.25">
      <c r="B7000" s="4">
        <v>584633212</v>
      </c>
      <c r="C7000" s="4" t="s">
        <v>269</v>
      </c>
      <c r="D7000" s="4">
        <v>1483</v>
      </c>
      <c r="E7000" s="4">
        <v>57</v>
      </c>
      <c r="G7000">
        <f t="shared" si="109"/>
        <v>512</v>
      </c>
    </row>
    <row r="7001" spans="2:7" ht="15" hidden="1" x14ac:dyDescent="0.25">
      <c r="B7001" s="4">
        <v>584633213</v>
      </c>
      <c r="C7001" s="4" t="s">
        <v>269</v>
      </c>
      <c r="D7001" s="4">
        <v>1484</v>
      </c>
      <c r="E7001" s="4">
        <v>57</v>
      </c>
      <c r="G7001">
        <f t="shared" si="109"/>
        <v>512</v>
      </c>
    </row>
    <row r="7002" spans="2:7" ht="15" hidden="1" x14ac:dyDescent="0.25">
      <c r="B7002" s="4">
        <v>584633214</v>
      </c>
      <c r="C7002" s="4" t="s">
        <v>269</v>
      </c>
      <c r="D7002" s="4">
        <v>1485</v>
      </c>
      <c r="E7002" s="4">
        <v>57</v>
      </c>
      <c r="G7002">
        <f t="shared" si="109"/>
        <v>512</v>
      </c>
    </row>
    <row r="7003" spans="2:7" ht="15" hidden="1" x14ac:dyDescent="0.25">
      <c r="B7003" s="4">
        <v>584633215</v>
      </c>
      <c r="C7003" s="4" t="s">
        <v>269</v>
      </c>
      <c r="D7003" s="4">
        <v>1486</v>
      </c>
      <c r="E7003" s="4">
        <v>57</v>
      </c>
      <c r="G7003">
        <f t="shared" si="109"/>
        <v>512</v>
      </c>
    </row>
    <row r="7004" spans="2:7" ht="15" hidden="1" x14ac:dyDescent="0.25">
      <c r="B7004" s="4">
        <v>584633216</v>
      </c>
      <c r="C7004" s="4" t="s">
        <v>269</v>
      </c>
      <c r="D7004" s="4">
        <v>1487</v>
      </c>
      <c r="E7004" s="4">
        <v>57</v>
      </c>
      <c r="G7004">
        <f t="shared" si="109"/>
        <v>512</v>
      </c>
    </row>
    <row r="7005" spans="2:7" ht="15" hidden="1" x14ac:dyDescent="0.25">
      <c r="B7005" s="4">
        <v>584633217</v>
      </c>
      <c r="C7005" s="4" t="s">
        <v>269</v>
      </c>
      <c r="D7005" s="4">
        <v>1488</v>
      </c>
      <c r="E7005" s="4">
        <v>57</v>
      </c>
      <c r="G7005">
        <f t="shared" si="109"/>
        <v>512</v>
      </c>
    </row>
    <row r="7006" spans="2:7" ht="15" hidden="1" x14ac:dyDescent="0.25">
      <c r="B7006" s="4">
        <v>584633218</v>
      </c>
      <c r="C7006" s="4" t="s">
        <v>269</v>
      </c>
      <c r="D7006" s="4">
        <v>1489</v>
      </c>
      <c r="E7006" s="4">
        <v>57</v>
      </c>
      <c r="G7006">
        <f t="shared" si="109"/>
        <v>512</v>
      </c>
    </row>
    <row r="7007" spans="2:7" ht="15" hidden="1" x14ac:dyDescent="0.25">
      <c r="B7007" s="4">
        <v>584633218</v>
      </c>
      <c r="C7007" s="4" t="s">
        <v>272</v>
      </c>
      <c r="D7007" s="4">
        <v>137</v>
      </c>
      <c r="E7007" s="4">
        <v>209</v>
      </c>
      <c r="G7007">
        <f t="shared" si="109"/>
        <v>1728</v>
      </c>
    </row>
    <row r="7008" spans="2:7" ht="15" hidden="1" x14ac:dyDescent="0.25">
      <c r="B7008" s="4">
        <v>584633219</v>
      </c>
      <c r="C7008" s="4" t="s">
        <v>269</v>
      </c>
      <c r="D7008" s="4">
        <v>1490</v>
      </c>
      <c r="E7008" s="4">
        <v>57</v>
      </c>
      <c r="G7008">
        <f t="shared" si="109"/>
        <v>512</v>
      </c>
    </row>
    <row r="7009" spans="2:7" ht="15" hidden="1" x14ac:dyDescent="0.25">
      <c r="B7009" s="4">
        <v>584633220</v>
      </c>
      <c r="C7009" s="4" t="s">
        <v>269</v>
      </c>
      <c r="D7009" s="4">
        <v>1491</v>
      </c>
      <c r="E7009" s="4">
        <v>57</v>
      </c>
      <c r="G7009">
        <f t="shared" si="109"/>
        <v>512</v>
      </c>
    </row>
    <row r="7010" spans="2:7" ht="15" hidden="1" x14ac:dyDescent="0.25">
      <c r="B7010" s="4">
        <v>584633221</v>
      </c>
      <c r="C7010" s="4" t="s">
        <v>269</v>
      </c>
      <c r="D7010" s="4">
        <v>1492</v>
      </c>
      <c r="E7010" s="4">
        <v>57</v>
      </c>
      <c r="G7010">
        <f t="shared" si="109"/>
        <v>512</v>
      </c>
    </row>
    <row r="7011" spans="2:7" ht="15" hidden="1" x14ac:dyDescent="0.25">
      <c r="B7011" s="4">
        <v>584633222</v>
      </c>
      <c r="C7011" s="4" t="s">
        <v>269</v>
      </c>
      <c r="D7011" s="4">
        <v>1493</v>
      </c>
      <c r="E7011" s="4">
        <v>57</v>
      </c>
      <c r="G7011">
        <f t="shared" si="109"/>
        <v>512</v>
      </c>
    </row>
    <row r="7012" spans="2:7" ht="15" hidden="1" x14ac:dyDescent="0.25">
      <c r="B7012" s="4">
        <v>584633223</v>
      </c>
      <c r="C7012" s="4" t="s">
        <v>269</v>
      </c>
      <c r="D7012" s="4">
        <v>1494</v>
      </c>
      <c r="E7012" s="4">
        <v>57</v>
      </c>
      <c r="G7012">
        <f t="shared" si="109"/>
        <v>512</v>
      </c>
    </row>
    <row r="7013" spans="2:7" ht="15" hidden="1" x14ac:dyDescent="0.25">
      <c r="B7013" s="4">
        <v>584633224</v>
      </c>
      <c r="C7013" s="4" t="s">
        <v>269</v>
      </c>
      <c r="D7013" s="4">
        <v>1495</v>
      </c>
      <c r="E7013" s="4">
        <v>57</v>
      </c>
      <c r="G7013">
        <f t="shared" si="109"/>
        <v>512</v>
      </c>
    </row>
    <row r="7014" spans="2:7" ht="15" hidden="1" x14ac:dyDescent="0.25">
      <c r="B7014" s="4">
        <v>584633225</v>
      </c>
      <c r="C7014" s="4" t="s">
        <v>269</v>
      </c>
      <c r="D7014" s="4">
        <v>1496</v>
      </c>
      <c r="E7014" s="4">
        <v>57</v>
      </c>
      <c r="G7014">
        <f t="shared" si="109"/>
        <v>512</v>
      </c>
    </row>
    <row r="7015" spans="2:7" ht="15" hidden="1" x14ac:dyDescent="0.25">
      <c r="B7015" s="4">
        <v>584633226</v>
      </c>
      <c r="C7015" s="4" t="s">
        <v>269</v>
      </c>
      <c r="D7015" s="4">
        <v>1497</v>
      </c>
      <c r="E7015" s="4">
        <v>57</v>
      </c>
      <c r="G7015">
        <f t="shared" si="109"/>
        <v>512</v>
      </c>
    </row>
    <row r="7016" spans="2:7" ht="15" hidden="1" x14ac:dyDescent="0.25">
      <c r="B7016" s="4">
        <v>584633227</v>
      </c>
      <c r="C7016" s="4" t="s">
        <v>269</v>
      </c>
      <c r="D7016" s="4">
        <v>1498</v>
      </c>
      <c r="E7016" s="4">
        <v>57</v>
      </c>
      <c r="G7016">
        <f t="shared" si="109"/>
        <v>512</v>
      </c>
    </row>
    <row r="7017" spans="2:7" ht="15" hidden="1" x14ac:dyDescent="0.25">
      <c r="B7017" s="4">
        <v>584633228</v>
      </c>
      <c r="C7017" s="4" t="s">
        <v>269</v>
      </c>
      <c r="D7017" s="4">
        <v>1499</v>
      </c>
      <c r="E7017" s="4">
        <v>57</v>
      </c>
      <c r="G7017">
        <f t="shared" si="109"/>
        <v>512</v>
      </c>
    </row>
    <row r="7018" spans="2:7" ht="15" hidden="1" x14ac:dyDescent="0.25">
      <c r="B7018" s="4">
        <v>584633228</v>
      </c>
      <c r="C7018" s="4" t="s">
        <v>272</v>
      </c>
      <c r="D7018" s="4">
        <v>138</v>
      </c>
      <c r="E7018" s="4">
        <v>215</v>
      </c>
      <c r="G7018">
        <f t="shared" si="109"/>
        <v>1776</v>
      </c>
    </row>
    <row r="7019" spans="2:7" ht="15" hidden="1" x14ac:dyDescent="0.25">
      <c r="B7019" s="4">
        <v>584633229</v>
      </c>
      <c r="C7019" s="4" t="s">
        <v>269</v>
      </c>
      <c r="D7019" s="4">
        <v>1500</v>
      </c>
      <c r="E7019" s="4">
        <v>57</v>
      </c>
      <c r="G7019">
        <f t="shared" si="109"/>
        <v>512</v>
      </c>
    </row>
    <row r="7020" spans="2:7" ht="15" hidden="1" x14ac:dyDescent="0.25">
      <c r="B7020" s="4">
        <v>584633230</v>
      </c>
      <c r="C7020" s="4" t="s">
        <v>269</v>
      </c>
      <c r="D7020" s="4">
        <v>1501</v>
      </c>
      <c r="E7020" s="4">
        <v>57</v>
      </c>
      <c r="G7020">
        <f t="shared" si="109"/>
        <v>512</v>
      </c>
    </row>
    <row r="7021" spans="2:7" ht="15" hidden="1" x14ac:dyDescent="0.25">
      <c r="B7021" s="4">
        <v>584633231</v>
      </c>
      <c r="C7021" s="4" t="s">
        <v>269</v>
      </c>
      <c r="D7021" s="4">
        <v>1502</v>
      </c>
      <c r="E7021" s="4">
        <v>57</v>
      </c>
      <c r="G7021">
        <f t="shared" si="109"/>
        <v>512</v>
      </c>
    </row>
    <row r="7022" spans="2:7" ht="15" hidden="1" x14ac:dyDescent="0.25">
      <c r="B7022" s="4">
        <v>584633232</v>
      </c>
      <c r="C7022" s="4" t="s">
        <v>269</v>
      </c>
      <c r="D7022" s="4">
        <v>1503</v>
      </c>
      <c r="E7022" s="4">
        <v>57</v>
      </c>
      <c r="G7022">
        <f t="shared" si="109"/>
        <v>512</v>
      </c>
    </row>
    <row r="7023" spans="2:7" ht="15" hidden="1" x14ac:dyDescent="0.25">
      <c r="B7023" s="4">
        <v>584633233</v>
      </c>
      <c r="C7023" s="4" t="s">
        <v>269</v>
      </c>
      <c r="D7023" s="4">
        <v>1504</v>
      </c>
      <c r="E7023" s="4">
        <v>57</v>
      </c>
      <c r="G7023">
        <f t="shared" si="109"/>
        <v>512</v>
      </c>
    </row>
    <row r="7024" spans="2:7" ht="15" hidden="1" x14ac:dyDescent="0.25">
      <c r="B7024" s="4">
        <v>584633234</v>
      </c>
      <c r="C7024" s="4" t="s">
        <v>269</v>
      </c>
      <c r="D7024" s="4">
        <v>1505</v>
      </c>
      <c r="E7024" s="4">
        <v>57</v>
      </c>
      <c r="G7024">
        <f t="shared" si="109"/>
        <v>512</v>
      </c>
    </row>
    <row r="7025" spans="2:7" ht="15" hidden="1" x14ac:dyDescent="0.25">
      <c r="B7025" s="4">
        <v>584633235</v>
      </c>
      <c r="C7025" s="4" t="s">
        <v>269</v>
      </c>
      <c r="D7025" s="4">
        <v>1506</v>
      </c>
      <c r="E7025" s="4">
        <v>57</v>
      </c>
      <c r="G7025">
        <f t="shared" si="109"/>
        <v>512</v>
      </c>
    </row>
    <row r="7026" spans="2:7" ht="15" hidden="1" x14ac:dyDescent="0.25">
      <c r="B7026" s="4">
        <v>584633236</v>
      </c>
      <c r="C7026" s="4" t="s">
        <v>269</v>
      </c>
      <c r="D7026" s="4">
        <v>1507</v>
      </c>
      <c r="E7026" s="4">
        <v>57</v>
      </c>
      <c r="G7026">
        <f t="shared" si="109"/>
        <v>512</v>
      </c>
    </row>
    <row r="7027" spans="2:7" ht="15" hidden="1" x14ac:dyDescent="0.25">
      <c r="B7027" s="4">
        <v>584633237</v>
      </c>
      <c r="C7027" s="4" t="s">
        <v>269</v>
      </c>
      <c r="D7027" s="4">
        <v>1508</v>
      </c>
      <c r="E7027" s="4">
        <v>57</v>
      </c>
      <c r="G7027">
        <f t="shared" si="109"/>
        <v>512</v>
      </c>
    </row>
    <row r="7028" spans="2:7" ht="15" hidden="1" x14ac:dyDescent="0.25">
      <c r="B7028" s="4">
        <v>584633238</v>
      </c>
      <c r="C7028" s="4" t="s">
        <v>269</v>
      </c>
      <c r="D7028" s="4">
        <v>1509</v>
      </c>
      <c r="E7028" s="4">
        <v>57</v>
      </c>
      <c r="G7028">
        <f t="shared" si="109"/>
        <v>512</v>
      </c>
    </row>
    <row r="7029" spans="2:7" ht="15" hidden="1" x14ac:dyDescent="0.25">
      <c r="B7029" s="4">
        <v>584633238</v>
      </c>
      <c r="C7029" s="4" t="s">
        <v>272</v>
      </c>
      <c r="D7029" s="4">
        <v>139</v>
      </c>
      <c r="E7029" s="4">
        <v>209</v>
      </c>
      <c r="G7029">
        <f t="shared" si="109"/>
        <v>1728</v>
      </c>
    </row>
    <row r="7030" spans="2:7" ht="15" hidden="1" x14ac:dyDescent="0.25">
      <c r="B7030" s="4">
        <v>584633239</v>
      </c>
      <c r="C7030" s="4" t="s">
        <v>269</v>
      </c>
      <c r="D7030" s="4">
        <v>1510</v>
      </c>
      <c r="E7030" s="4">
        <v>57</v>
      </c>
      <c r="G7030">
        <f t="shared" si="109"/>
        <v>512</v>
      </c>
    </row>
    <row r="7031" spans="2:7" ht="15" hidden="1" x14ac:dyDescent="0.25">
      <c r="B7031" s="4">
        <v>584633240</v>
      </c>
      <c r="C7031" s="4" t="s">
        <v>268</v>
      </c>
      <c r="D7031" s="4">
        <v>282</v>
      </c>
      <c r="E7031" s="4">
        <v>6</v>
      </c>
      <c r="G7031">
        <f t="shared" si="109"/>
        <v>104</v>
      </c>
    </row>
    <row r="7032" spans="2:7" ht="15" hidden="1" x14ac:dyDescent="0.25">
      <c r="B7032" s="4">
        <v>584633240</v>
      </c>
      <c r="C7032" s="4" t="s">
        <v>268</v>
      </c>
      <c r="D7032" s="4">
        <v>282</v>
      </c>
      <c r="E7032" s="4">
        <v>6</v>
      </c>
      <c r="G7032">
        <f t="shared" si="109"/>
        <v>104</v>
      </c>
    </row>
    <row r="7033" spans="2:7" ht="15" hidden="1" x14ac:dyDescent="0.25">
      <c r="B7033" s="4">
        <v>584633240</v>
      </c>
      <c r="C7033" s="4" t="s">
        <v>268</v>
      </c>
      <c r="D7033" s="4">
        <v>283</v>
      </c>
      <c r="E7033" s="4">
        <v>9</v>
      </c>
      <c r="G7033">
        <f t="shared" si="109"/>
        <v>128</v>
      </c>
    </row>
    <row r="7034" spans="2:7" ht="15" hidden="1" x14ac:dyDescent="0.25">
      <c r="B7034" s="4">
        <v>584633240</v>
      </c>
      <c r="C7034" s="4" t="s">
        <v>268</v>
      </c>
      <c r="D7034" s="4">
        <v>283</v>
      </c>
      <c r="E7034" s="4">
        <v>9</v>
      </c>
      <c r="G7034">
        <f t="shared" si="109"/>
        <v>128</v>
      </c>
    </row>
    <row r="7035" spans="2:7" ht="15" hidden="1" x14ac:dyDescent="0.25">
      <c r="B7035" s="4">
        <v>584633240</v>
      </c>
      <c r="C7035" s="4" t="s">
        <v>268</v>
      </c>
      <c r="D7035" s="4">
        <v>284</v>
      </c>
      <c r="E7035" s="4">
        <v>7</v>
      </c>
      <c r="G7035">
        <f t="shared" si="109"/>
        <v>112</v>
      </c>
    </row>
    <row r="7036" spans="2:7" ht="15" hidden="1" x14ac:dyDescent="0.25">
      <c r="B7036" s="4">
        <v>584633240</v>
      </c>
      <c r="C7036" s="4" t="s">
        <v>268</v>
      </c>
      <c r="D7036" s="4">
        <v>284</v>
      </c>
      <c r="E7036" s="4">
        <v>7</v>
      </c>
      <c r="G7036">
        <f t="shared" si="109"/>
        <v>112</v>
      </c>
    </row>
    <row r="7037" spans="2:7" ht="15" hidden="1" x14ac:dyDescent="0.25">
      <c r="B7037" s="4">
        <v>584633240</v>
      </c>
      <c r="C7037" s="4" t="s">
        <v>268</v>
      </c>
      <c r="D7037" s="4">
        <v>285</v>
      </c>
      <c r="E7037" s="4">
        <v>7</v>
      </c>
      <c r="G7037">
        <f t="shared" si="109"/>
        <v>112</v>
      </c>
    </row>
    <row r="7038" spans="2:7" ht="15" hidden="1" x14ac:dyDescent="0.25">
      <c r="B7038" s="4">
        <v>584633240</v>
      </c>
      <c r="C7038" s="4" t="s">
        <v>268</v>
      </c>
      <c r="D7038" s="4">
        <v>285</v>
      </c>
      <c r="E7038" s="4">
        <v>7</v>
      </c>
      <c r="G7038">
        <f t="shared" si="109"/>
        <v>112</v>
      </c>
    </row>
    <row r="7039" spans="2:7" ht="15" hidden="1" x14ac:dyDescent="0.25">
      <c r="B7039" s="4">
        <v>584633240</v>
      </c>
      <c r="C7039" s="4" t="s">
        <v>268</v>
      </c>
      <c r="D7039" s="4">
        <v>286</v>
      </c>
      <c r="E7039" s="4">
        <v>7</v>
      </c>
      <c r="G7039">
        <f t="shared" si="109"/>
        <v>112</v>
      </c>
    </row>
    <row r="7040" spans="2:7" ht="15" hidden="1" x14ac:dyDescent="0.25">
      <c r="B7040" s="4">
        <v>584633240</v>
      </c>
      <c r="C7040" s="4" t="s">
        <v>268</v>
      </c>
      <c r="D7040" s="4">
        <v>286</v>
      </c>
      <c r="E7040" s="4">
        <v>7</v>
      </c>
      <c r="G7040">
        <f t="shared" si="109"/>
        <v>112</v>
      </c>
    </row>
    <row r="7041" spans="2:7" ht="15" hidden="1" x14ac:dyDescent="0.25">
      <c r="B7041" s="4">
        <v>584633240</v>
      </c>
      <c r="C7041" s="4" t="s">
        <v>269</v>
      </c>
      <c r="D7041" s="4">
        <v>1511</v>
      </c>
      <c r="E7041" s="4">
        <v>57</v>
      </c>
      <c r="G7041">
        <f t="shared" si="109"/>
        <v>512</v>
      </c>
    </row>
    <row r="7042" spans="2:7" ht="15" hidden="1" x14ac:dyDescent="0.25">
      <c r="B7042" s="4">
        <v>584633241</v>
      </c>
      <c r="C7042" s="4" t="s">
        <v>269</v>
      </c>
      <c r="D7042" s="4">
        <v>1512</v>
      </c>
      <c r="E7042" s="4">
        <v>57</v>
      </c>
      <c r="G7042">
        <f t="shared" si="109"/>
        <v>512</v>
      </c>
    </row>
    <row r="7043" spans="2:7" ht="15" hidden="1" x14ac:dyDescent="0.25">
      <c r="B7043" s="4">
        <v>584633242</v>
      </c>
      <c r="C7043" s="4" t="s">
        <v>268</v>
      </c>
      <c r="D7043" s="4">
        <v>287</v>
      </c>
      <c r="E7043" s="4">
        <v>7</v>
      </c>
      <c r="G7043">
        <f t="shared" si="109"/>
        <v>112</v>
      </c>
    </row>
    <row r="7044" spans="2:7" ht="15" hidden="1" x14ac:dyDescent="0.25">
      <c r="B7044" s="4">
        <v>584633242</v>
      </c>
      <c r="C7044" s="4" t="s">
        <v>268</v>
      </c>
      <c r="D7044" s="4">
        <v>287</v>
      </c>
      <c r="E7044" s="4">
        <v>7</v>
      </c>
      <c r="G7044">
        <f t="shared" ref="G7044:G7107" si="110">(E7044+7)*8</f>
        <v>112</v>
      </c>
    </row>
    <row r="7045" spans="2:7" ht="15" hidden="1" x14ac:dyDescent="0.25">
      <c r="B7045" s="4">
        <v>584633242</v>
      </c>
      <c r="C7045" s="4" t="s">
        <v>268</v>
      </c>
      <c r="D7045" s="4">
        <v>288</v>
      </c>
      <c r="E7045" s="4">
        <v>5</v>
      </c>
      <c r="G7045">
        <f t="shared" si="110"/>
        <v>96</v>
      </c>
    </row>
    <row r="7046" spans="2:7" ht="15" hidden="1" x14ac:dyDescent="0.25">
      <c r="B7046" s="4">
        <v>584633242</v>
      </c>
      <c r="C7046" s="4" t="s">
        <v>268</v>
      </c>
      <c r="D7046" s="4">
        <v>288</v>
      </c>
      <c r="E7046" s="4">
        <v>5</v>
      </c>
      <c r="G7046">
        <f t="shared" si="110"/>
        <v>96</v>
      </c>
    </row>
    <row r="7047" spans="2:7" ht="15" hidden="1" x14ac:dyDescent="0.25">
      <c r="B7047" s="4">
        <v>584633242</v>
      </c>
      <c r="C7047" s="4" t="s">
        <v>268</v>
      </c>
      <c r="D7047" s="4">
        <v>289</v>
      </c>
      <c r="E7047" s="4">
        <v>7</v>
      </c>
      <c r="G7047">
        <f t="shared" si="110"/>
        <v>112</v>
      </c>
    </row>
    <row r="7048" spans="2:7" ht="15" hidden="1" x14ac:dyDescent="0.25">
      <c r="B7048" s="4">
        <v>584633242</v>
      </c>
      <c r="C7048" s="4" t="s">
        <v>268</v>
      </c>
      <c r="D7048" s="4">
        <v>289</v>
      </c>
      <c r="E7048" s="4">
        <v>7</v>
      </c>
      <c r="G7048">
        <f t="shared" si="110"/>
        <v>112</v>
      </c>
    </row>
    <row r="7049" spans="2:7" ht="15" hidden="1" x14ac:dyDescent="0.25">
      <c r="B7049" s="4">
        <v>584633242</v>
      </c>
      <c r="C7049" s="4" t="s">
        <v>269</v>
      </c>
      <c r="D7049" s="4">
        <v>1513</v>
      </c>
      <c r="E7049" s="4">
        <v>57</v>
      </c>
      <c r="G7049">
        <f t="shared" si="110"/>
        <v>512</v>
      </c>
    </row>
    <row r="7050" spans="2:7" ht="15" hidden="1" x14ac:dyDescent="0.25">
      <c r="B7050" s="4">
        <v>584633243</v>
      </c>
      <c r="C7050" s="4" t="s">
        <v>269</v>
      </c>
      <c r="D7050" s="4">
        <v>1514</v>
      </c>
      <c r="E7050" s="4">
        <v>57</v>
      </c>
      <c r="G7050">
        <f t="shared" si="110"/>
        <v>512</v>
      </c>
    </row>
    <row r="7051" spans="2:7" ht="15" hidden="1" x14ac:dyDescent="0.25">
      <c r="B7051" s="4">
        <v>584633244</v>
      </c>
      <c r="C7051" s="4" t="s">
        <v>269</v>
      </c>
      <c r="D7051" s="4">
        <v>1515</v>
      </c>
      <c r="E7051" s="4">
        <v>57</v>
      </c>
      <c r="G7051">
        <f t="shared" si="110"/>
        <v>512</v>
      </c>
    </row>
    <row r="7052" spans="2:7" ht="15" hidden="1" x14ac:dyDescent="0.25">
      <c r="B7052" s="4">
        <v>584633245</v>
      </c>
      <c r="C7052" s="4" t="s">
        <v>269</v>
      </c>
      <c r="D7052" s="4">
        <v>1516</v>
      </c>
      <c r="E7052" s="4">
        <v>57</v>
      </c>
      <c r="G7052">
        <f t="shared" si="110"/>
        <v>512</v>
      </c>
    </row>
    <row r="7053" spans="2:7" ht="15" hidden="1" x14ac:dyDescent="0.25">
      <c r="B7053" s="4">
        <v>584633246</v>
      </c>
      <c r="C7053" s="4" t="s">
        <v>269</v>
      </c>
      <c r="D7053" s="4">
        <v>1517</v>
      </c>
      <c r="E7053" s="4">
        <v>57</v>
      </c>
      <c r="G7053">
        <f t="shared" si="110"/>
        <v>512</v>
      </c>
    </row>
    <row r="7054" spans="2:7" ht="15" hidden="1" x14ac:dyDescent="0.25">
      <c r="B7054" s="4">
        <v>584633247</v>
      </c>
      <c r="C7054" s="4" t="s">
        <v>269</v>
      </c>
      <c r="D7054" s="4">
        <v>1518</v>
      </c>
      <c r="E7054" s="4">
        <v>57</v>
      </c>
      <c r="G7054">
        <f t="shared" si="110"/>
        <v>512</v>
      </c>
    </row>
    <row r="7055" spans="2:7" ht="15" hidden="1" x14ac:dyDescent="0.25">
      <c r="B7055" s="4">
        <v>584633248</v>
      </c>
      <c r="C7055" s="4" t="s">
        <v>269</v>
      </c>
      <c r="D7055" s="4">
        <v>1519</v>
      </c>
      <c r="E7055" s="4">
        <v>57</v>
      </c>
      <c r="G7055">
        <f t="shared" si="110"/>
        <v>512</v>
      </c>
    </row>
    <row r="7056" spans="2:7" ht="15" hidden="1" x14ac:dyDescent="0.25">
      <c r="B7056" s="4">
        <v>584633248</v>
      </c>
      <c r="C7056" s="4" t="s">
        <v>272</v>
      </c>
      <c r="D7056" s="4">
        <v>140</v>
      </c>
      <c r="E7056" s="4">
        <v>217</v>
      </c>
      <c r="G7056">
        <f t="shared" si="110"/>
        <v>1792</v>
      </c>
    </row>
    <row r="7057" spans="2:7" ht="15" hidden="1" x14ac:dyDescent="0.25">
      <c r="B7057" s="4">
        <v>584633249</v>
      </c>
      <c r="C7057" s="4" t="s">
        <v>269</v>
      </c>
      <c r="D7057" s="4">
        <v>1520</v>
      </c>
      <c r="E7057" s="4">
        <v>57</v>
      </c>
      <c r="G7057">
        <f t="shared" si="110"/>
        <v>512</v>
      </c>
    </row>
    <row r="7058" spans="2:7" ht="15" hidden="1" x14ac:dyDescent="0.25">
      <c r="B7058" s="4">
        <v>584633250</v>
      </c>
      <c r="C7058" s="4" t="s">
        <v>269</v>
      </c>
      <c r="D7058" s="4">
        <v>1521</v>
      </c>
      <c r="E7058" s="4">
        <v>57</v>
      </c>
      <c r="G7058">
        <f t="shared" si="110"/>
        <v>512</v>
      </c>
    </row>
    <row r="7059" spans="2:7" ht="15" hidden="1" x14ac:dyDescent="0.25">
      <c r="B7059" s="4">
        <v>584633251</v>
      </c>
      <c r="C7059" s="4" t="s">
        <v>269</v>
      </c>
      <c r="D7059" s="4">
        <v>1522</v>
      </c>
      <c r="E7059" s="4">
        <v>57</v>
      </c>
      <c r="G7059">
        <f t="shared" si="110"/>
        <v>512</v>
      </c>
    </row>
    <row r="7060" spans="2:7" ht="15" hidden="1" x14ac:dyDescent="0.25">
      <c r="B7060" s="4">
        <v>584633252</v>
      </c>
      <c r="C7060" s="4" t="s">
        <v>269</v>
      </c>
      <c r="D7060" s="4">
        <v>1523</v>
      </c>
      <c r="E7060" s="4">
        <v>57</v>
      </c>
      <c r="G7060">
        <f t="shared" si="110"/>
        <v>512</v>
      </c>
    </row>
    <row r="7061" spans="2:7" ht="15" hidden="1" x14ac:dyDescent="0.25">
      <c r="B7061" s="4">
        <v>584633253</v>
      </c>
      <c r="C7061" s="4" t="s">
        <v>269</v>
      </c>
      <c r="D7061" s="4">
        <v>1524</v>
      </c>
      <c r="E7061" s="4">
        <v>57</v>
      </c>
      <c r="G7061">
        <f t="shared" si="110"/>
        <v>512</v>
      </c>
    </row>
    <row r="7062" spans="2:7" ht="15" hidden="1" x14ac:dyDescent="0.25">
      <c r="B7062" s="4">
        <v>584633254</v>
      </c>
      <c r="C7062" s="4" t="s">
        <v>269</v>
      </c>
      <c r="D7062" s="4">
        <v>1525</v>
      </c>
      <c r="E7062" s="4">
        <v>57</v>
      </c>
      <c r="G7062">
        <f t="shared" si="110"/>
        <v>512</v>
      </c>
    </row>
    <row r="7063" spans="2:7" ht="15" hidden="1" x14ac:dyDescent="0.25">
      <c r="B7063" s="4">
        <v>584633255</v>
      </c>
      <c r="C7063" s="4" t="s">
        <v>269</v>
      </c>
      <c r="D7063" s="4">
        <v>1526</v>
      </c>
      <c r="E7063" s="4">
        <v>57</v>
      </c>
      <c r="G7063">
        <f t="shared" si="110"/>
        <v>512</v>
      </c>
    </row>
    <row r="7064" spans="2:7" ht="15" hidden="1" x14ac:dyDescent="0.25">
      <c r="B7064" s="4">
        <v>584633256</v>
      </c>
      <c r="C7064" s="4" t="s">
        <v>269</v>
      </c>
      <c r="D7064" s="4">
        <v>1527</v>
      </c>
      <c r="E7064" s="4">
        <v>57</v>
      </c>
      <c r="G7064">
        <f t="shared" si="110"/>
        <v>512</v>
      </c>
    </row>
    <row r="7065" spans="2:7" ht="15" hidden="1" x14ac:dyDescent="0.25">
      <c r="B7065" s="4">
        <v>584633257</v>
      </c>
      <c r="C7065" s="4" t="s">
        <v>269</v>
      </c>
      <c r="D7065" s="4">
        <v>1528</v>
      </c>
      <c r="E7065" s="4">
        <v>57</v>
      </c>
      <c r="G7065">
        <f t="shared" si="110"/>
        <v>512</v>
      </c>
    </row>
    <row r="7066" spans="2:7" ht="15" hidden="1" x14ac:dyDescent="0.25">
      <c r="B7066" s="4">
        <v>584633258</v>
      </c>
      <c r="C7066" s="4" t="s">
        <v>269</v>
      </c>
      <c r="D7066" s="4">
        <v>1529</v>
      </c>
      <c r="E7066" s="4">
        <v>57</v>
      </c>
      <c r="G7066">
        <f t="shared" si="110"/>
        <v>512</v>
      </c>
    </row>
    <row r="7067" spans="2:7" ht="15" hidden="1" x14ac:dyDescent="0.25">
      <c r="B7067" s="4">
        <v>584633258</v>
      </c>
      <c r="C7067" s="4" t="s">
        <v>272</v>
      </c>
      <c r="D7067" s="4">
        <v>141</v>
      </c>
      <c r="E7067" s="4">
        <v>219</v>
      </c>
      <c r="G7067">
        <f t="shared" si="110"/>
        <v>1808</v>
      </c>
    </row>
    <row r="7068" spans="2:7" ht="15" hidden="1" x14ac:dyDescent="0.25">
      <c r="B7068" s="4">
        <v>584633259</v>
      </c>
      <c r="C7068" s="4" t="s">
        <v>269</v>
      </c>
      <c r="D7068" s="4">
        <v>1530</v>
      </c>
      <c r="E7068" s="4">
        <v>57</v>
      </c>
      <c r="G7068">
        <f t="shared" si="110"/>
        <v>512</v>
      </c>
    </row>
    <row r="7069" spans="2:7" ht="15" hidden="1" x14ac:dyDescent="0.25">
      <c r="B7069" s="4">
        <v>584633260</v>
      </c>
      <c r="C7069" s="4" t="s">
        <v>269</v>
      </c>
      <c r="D7069" s="4">
        <v>1531</v>
      </c>
      <c r="E7069" s="4">
        <v>57</v>
      </c>
      <c r="G7069">
        <f t="shared" si="110"/>
        <v>512</v>
      </c>
    </row>
    <row r="7070" spans="2:7" ht="15" hidden="1" x14ac:dyDescent="0.25">
      <c r="B7070" s="4">
        <v>584633261</v>
      </c>
      <c r="C7070" s="4" t="s">
        <v>269</v>
      </c>
      <c r="D7070" s="4">
        <v>1532</v>
      </c>
      <c r="E7070" s="4">
        <v>57</v>
      </c>
      <c r="G7070">
        <f t="shared" si="110"/>
        <v>512</v>
      </c>
    </row>
    <row r="7071" spans="2:7" ht="15" hidden="1" x14ac:dyDescent="0.25">
      <c r="B7071" s="4">
        <v>584633262</v>
      </c>
      <c r="C7071" s="4" t="s">
        <v>269</v>
      </c>
      <c r="D7071" s="4">
        <v>1533</v>
      </c>
      <c r="E7071" s="4">
        <v>57</v>
      </c>
      <c r="G7071">
        <f t="shared" si="110"/>
        <v>512</v>
      </c>
    </row>
    <row r="7072" spans="2:7" ht="15" hidden="1" x14ac:dyDescent="0.25">
      <c r="B7072" s="4">
        <v>584633263</v>
      </c>
      <c r="C7072" s="4" t="s">
        <v>269</v>
      </c>
      <c r="D7072" s="4">
        <v>1534</v>
      </c>
      <c r="E7072" s="4">
        <v>57</v>
      </c>
      <c r="G7072">
        <f t="shared" si="110"/>
        <v>512</v>
      </c>
    </row>
    <row r="7073" spans="2:7" ht="15" hidden="1" x14ac:dyDescent="0.25">
      <c r="B7073" s="4">
        <v>584633264</v>
      </c>
      <c r="C7073" s="4" t="s">
        <v>269</v>
      </c>
      <c r="D7073" s="4">
        <v>1535</v>
      </c>
      <c r="E7073" s="4">
        <v>57</v>
      </c>
      <c r="G7073">
        <f t="shared" si="110"/>
        <v>512</v>
      </c>
    </row>
    <row r="7074" spans="2:7" ht="15" hidden="1" x14ac:dyDescent="0.25">
      <c r="B7074" s="4">
        <v>584633265</v>
      </c>
      <c r="C7074" s="4" t="s">
        <v>269</v>
      </c>
      <c r="D7074" s="4">
        <v>1536</v>
      </c>
      <c r="E7074" s="4">
        <v>57</v>
      </c>
      <c r="G7074">
        <f t="shared" si="110"/>
        <v>512</v>
      </c>
    </row>
    <row r="7075" spans="2:7" ht="15" hidden="1" x14ac:dyDescent="0.25">
      <c r="B7075" s="4">
        <v>584633266</v>
      </c>
      <c r="C7075" s="4" t="s">
        <v>269</v>
      </c>
      <c r="D7075" s="4">
        <v>1537</v>
      </c>
      <c r="E7075" s="4">
        <v>57</v>
      </c>
      <c r="G7075">
        <f t="shared" si="110"/>
        <v>512</v>
      </c>
    </row>
    <row r="7076" spans="2:7" ht="15" hidden="1" x14ac:dyDescent="0.25">
      <c r="B7076" s="4">
        <v>584633267</v>
      </c>
      <c r="C7076" s="4" t="s">
        <v>269</v>
      </c>
      <c r="D7076" s="4">
        <v>1538</v>
      </c>
      <c r="E7076" s="4">
        <v>57</v>
      </c>
      <c r="G7076">
        <f t="shared" si="110"/>
        <v>512</v>
      </c>
    </row>
    <row r="7077" spans="2:7" ht="15" hidden="1" x14ac:dyDescent="0.25">
      <c r="B7077" s="4">
        <v>584633268</v>
      </c>
      <c r="C7077" s="4" t="s">
        <v>269</v>
      </c>
      <c r="D7077" s="4">
        <v>1539</v>
      </c>
      <c r="E7077" s="4">
        <v>57</v>
      </c>
      <c r="G7077">
        <f t="shared" si="110"/>
        <v>512</v>
      </c>
    </row>
    <row r="7078" spans="2:7" ht="15" hidden="1" x14ac:dyDescent="0.25">
      <c r="B7078" s="4">
        <v>584633268</v>
      </c>
      <c r="C7078" s="4" t="s">
        <v>272</v>
      </c>
      <c r="D7078" s="4">
        <v>142</v>
      </c>
      <c r="E7078" s="4">
        <v>213</v>
      </c>
      <c r="G7078">
        <f t="shared" si="110"/>
        <v>1760</v>
      </c>
    </row>
    <row r="7079" spans="2:7" ht="15" hidden="1" x14ac:dyDescent="0.25">
      <c r="B7079" s="4">
        <v>584633269</v>
      </c>
      <c r="C7079" s="4" t="s">
        <v>269</v>
      </c>
      <c r="D7079" s="4">
        <v>1540</v>
      </c>
      <c r="E7079" s="4">
        <v>57</v>
      </c>
      <c r="G7079">
        <f t="shared" si="110"/>
        <v>512</v>
      </c>
    </row>
    <row r="7080" spans="2:7" ht="15" hidden="1" x14ac:dyDescent="0.25">
      <c r="B7080" s="4">
        <v>584633270</v>
      </c>
      <c r="C7080" s="4" t="s">
        <v>269</v>
      </c>
      <c r="D7080" s="4">
        <v>1541</v>
      </c>
      <c r="E7080" s="4">
        <v>57</v>
      </c>
      <c r="G7080">
        <f t="shared" si="110"/>
        <v>512</v>
      </c>
    </row>
    <row r="7081" spans="2:7" ht="15" hidden="1" x14ac:dyDescent="0.25">
      <c r="B7081" s="4">
        <v>584633271</v>
      </c>
      <c r="C7081" s="4" t="s">
        <v>269</v>
      </c>
      <c r="D7081" s="4">
        <v>1542</v>
      </c>
      <c r="E7081" s="4">
        <v>57</v>
      </c>
      <c r="G7081">
        <f t="shared" si="110"/>
        <v>512</v>
      </c>
    </row>
    <row r="7082" spans="2:7" ht="15" hidden="1" x14ac:dyDescent="0.25">
      <c r="B7082" s="4">
        <v>584633272</v>
      </c>
      <c r="C7082" s="4" t="s">
        <v>269</v>
      </c>
      <c r="D7082" s="4">
        <v>1543</v>
      </c>
      <c r="E7082" s="4">
        <v>57</v>
      </c>
      <c r="G7082">
        <f t="shared" si="110"/>
        <v>512</v>
      </c>
    </row>
    <row r="7083" spans="2:7" ht="15" hidden="1" x14ac:dyDescent="0.25">
      <c r="B7083" s="4">
        <v>584633273</v>
      </c>
      <c r="C7083" s="4" t="s">
        <v>269</v>
      </c>
      <c r="D7083" s="4">
        <v>1544</v>
      </c>
      <c r="E7083" s="4">
        <v>57</v>
      </c>
      <c r="G7083">
        <f t="shared" si="110"/>
        <v>512</v>
      </c>
    </row>
    <row r="7084" spans="2:7" ht="15" hidden="1" x14ac:dyDescent="0.25">
      <c r="B7084" s="4">
        <v>584633274</v>
      </c>
      <c r="C7084" s="4" t="s">
        <v>269</v>
      </c>
      <c r="D7084" s="4">
        <v>1545</v>
      </c>
      <c r="E7084" s="4">
        <v>57</v>
      </c>
      <c r="G7084">
        <f t="shared" si="110"/>
        <v>512</v>
      </c>
    </row>
    <row r="7085" spans="2:7" ht="15" hidden="1" x14ac:dyDescent="0.25">
      <c r="B7085" s="4">
        <v>584633275</v>
      </c>
      <c r="C7085" s="4" t="s">
        <v>269</v>
      </c>
      <c r="D7085" s="4">
        <v>1546</v>
      </c>
      <c r="E7085" s="4">
        <v>57</v>
      </c>
      <c r="G7085">
        <f t="shared" si="110"/>
        <v>512</v>
      </c>
    </row>
    <row r="7086" spans="2:7" ht="15" hidden="1" x14ac:dyDescent="0.25">
      <c r="B7086" s="4">
        <v>584633276</v>
      </c>
      <c r="C7086" s="4" t="s">
        <v>269</v>
      </c>
      <c r="D7086" s="4">
        <v>1547</v>
      </c>
      <c r="E7086" s="4">
        <v>57</v>
      </c>
      <c r="G7086">
        <f t="shared" si="110"/>
        <v>512</v>
      </c>
    </row>
    <row r="7087" spans="2:7" ht="15" hidden="1" x14ac:dyDescent="0.25">
      <c r="B7087" s="4">
        <v>584633277</v>
      </c>
      <c r="C7087" s="4" t="s">
        <v>269</v>
      </c>
      <c r="D7087" s="4">
        <v>1548</v>
      </c>
      <c r="E7087" s="4">
        <v>57</v>
      </c>
      <c r="G7087">
        <f t="shared" si="110"/>
        <v>512</v>
      </c>
    </row>
    <row r="7088" spans="2:7" ht="15" hidden="1" x14ac:dyDescent="0.25">
      <c r="B7088" s="4">
        <v>584633278</v>
      </c>
      <c r="C7088" s="4" t="s">
        <v>269</v>
      </c>
      <c r="D7088" s="4">
        <v>1549</v>
      </c>
      <c r="E7088" s="4">
        <v>57</v>
      </c>
      <c r="G7088">
        <f t="shared" si="110"/>
        <v>512</v>
      </c>
    </row>
    <row r="7089" spans="2:7" ht="15" hidden="1" x14ac:dyDescent="0.25">
      <c r="B7089" s="4">
        <v>584633278</v>
      </c>
      <c r="C7089" s="4" t="s">
        <v>272</v>
      </c>
      <c r="D7089" s="4">
        <v>143</v>
      </c>
      <c r="E7089" s="4">
        <v>211</v>
      </c>
      <c r="G7089">
        <f t="shared" si="110"/>
        <v>1744</v>
      </c>
    </row>
    <row r="7090" spans="2:7" ht="15" hidden="1" x14ac:dyDescent="0.25">
      <c r="B7090" s="4">
        <v>584633279</v>
      </c>
      <c r="C7090" s="4" t="s">
        <v>269</v>
      </c>
      <c r="D7090" s="4">
        <v>1550</v>
      </c>
      <c r="E7090" s="4">
        <v>57</v>
      </c>
      <c r="G7090">
        <f t="shared" si="110"/>
        <v>512</v>
      </c>
    </row>
    <row r="7091" spans="2:7" ht="15" hidden="1" x14ac:dyDescent="0.25">
      <c r="B7091" s="4">
        <v>584633280</v>
      </c>
      <c r="C7091" s="4" t="s">
        <v>269</v>
      </c>
      <c r="D7091" s="4">
        <v>1551</v>
      </c>
      <c r="E7091" s="4">
        <v>57</v>
      </c>
      <c r="G7091">
        <f t="shared" si="110"/>
        <v>512</v>
      </c>
    </row>
    <row r="7092" spans="2:7" ht="15" hidden="1" x14ac:dyDescent="0.25">
      <c r="B7092" s="4">
        <v>584633281</v>
      </c>
      <c r="C7092" s="4" t="s">
        <v>269</v>
      </c>
      <c r="D7092" s="4">
        <v>1552</v>
      </c>
      <c r="E7092" s="4">
        <v>57</v>
      </c>
      <c r="G7092">
        <f t="shared" si="110"/>
        <v>512</v>
      </c>
    </row>
    <row r="7093" spans="2:7" ht="15" hidden="1" x14ac:dyDescent="0.25">
      <c r="B7093" s="4">
        <v>584633282</v>
      </c>
      <c r="C7093" s="4" t="s">
        <v>269</v>
      </c>
      <c r="D7093" s="4">
        <v>1553</v>
      </c>
      <c r="E7093" s="4">
        <v>57</v>
      </c>
      <c r="G7093">
        <f t="shared" si="110"/>
        <v>512</v>
      </c>
    </row>
    <row r="7094" spans="2:7" ht="15" hidden="1" x14ac:dyDescent="0.25">
      <c r="B7094" s="4">
        <v>584633283</v>
      </c>
      <c r="C7094" s="4" t="s">
        <v>269</v>
      </c>
      <c r="D7094" s="4">
        <v>1554</v>
      </c>
      <c r="E7094" s="4">
        <v>57</v>
      </c>
      <c r="G7094">
        <f t="shared" si="110"/>
        <v>512</v>
      </c>
    </row>
    <row r="7095" spans="2:7" ht="15" hidden="1" x14ac:dyDescent="0.25">
      <c r="B7095" s="4">
        <v>584633284</v>
      </c>
      <c r="C7095" s="4" t="s">
        <v>269</v>
      </c>
      <c r="D7095" s="4">
        <v>1555</v>
      </c>
      <c r="E7095" s="4">
        <v>57</v>
      </c>
      <c r="G7095">
        <f t="shared" si="110"/>
        <v>512</v>
      </c>
    </row>
    <row r="7096" spans="2:7" ht="15" hidden="1" x14ac:dyDescent="0.25">
      <c r="B7096" s="4">
        <v>584633285</v>
      </c>
      <c r="C7096" s="4" t="s">
        <v>269</v>
      </c>
      <c r="D7096" s="4">
        <v>1556</v>
      </c>
      <c r="E7096" s="4">
        <v>57</v>
      </c>
      <c r="G7096">
        <f t="shared" si="110"/>
        <v>512</v>
      </c>
    </row>
    <row r="7097" spans="2:7" ht="15" hidden="1" x14ac:dyDescent="0.25">
      <c r="B7097" s="4">
        <v>584633286</v>
      </c>
      <c r="C7097" s="4" t="s">
        <v>269</v>
      </c>
      <c r="D7097" s="4">
        <v>1557</v>
      </c>
      <c r="E7097" s="4">
        <v>57</v>
      </c>
      <c r="G7097">
        <f t="shared" si="110"/>
        <v>512</v>
      </c>
    </row>
    <row r="7098" spans="2:7" ht="15" hidden="1" x14ac:dyDescent="0.25">
      <c r="B7098" s="4">
        <v>584633287</v>
      </c>
      <c r="C7098" s="4" t="s">
        <v>269</v>
      </c>
      <c r="D7098" s="4">
        <v>1558</v>
      </c>
      <c r="E7098" s="4">
        <v>57</v>
      </c>
      <c r="G7098">
        <f t="shared" si="110"/>
        <v>512</v>
      </c>
    </row>
    <row r="7099" spans="2:7" ht="15" hidden="1" x14ac:dyDescent="0.25">
      <c r="B7099" s="4">
        <v>584633288</v>
      </c>
      <c r="C7099" s="4" t="s">
        <v>269</v>
      </c>
      <c r="D7099" s="4">
        <v>1559</v>
      </c>
      <c r="E7099" s="4">
        <v>57</v>
      </c>
      <c r="G7099">
        <f t="shared" si="110"/>
        <v>512</v>
      </c>
    </row>
    <row r="7100" spans="2:7" ht="15" hidden="1" x14ac:dyDescent="0.25">
      <c r="B7100" s="4">
        <v>584633288</v>
      </c>
      <c r="C7100" s="4" t="s">
        <v>272</v>
      </c>
      <c r="D7100" s="4">
        <v>144</v>
      </c>
      <c r="E7100" s="4">
        <v>227</v>
      </c>
      <c r="G7100">
        <f t="shared" si="110"/>
        <v>1872</v>
      </c>
    </row>
    <row r="7101" spans="2:7" ht="15" hidden="1" x14ac:dyDescent="0.25">
      <c r="B7101" s="4">
        <v>584633289</v>
      </c>
      <c r="C7101" s="4" t="s">
        <v>269</v>
      </c>
      <c r="D7101" s="4">
        <v>1560</v>
      </c>
      <c r="E7101" s="4">
        <v>57</v>
      </c>
      <c r="G7101">
        <f t="shared" si="110"/>
        <v>512</v>
      </c>
    </row>
    <row r="7102" spans="2:7" ht="15" hidden="1" x14ac:dyDescent="0.25">
      <c r="B7102" s="4">
        <v>584633290</v>
      </c>
      <c r="C7102" s="4" t="s">
        <v>269</v>
      </c>
      <c r="D7102" s="4">
        <v>1561</v>
      </c>
      <c r="E7102" s="4">
        <v>57</v>
      </c>
      <c r="G7102">
        <f t="shared" si="110"/>
        <v>512</v>
      </c>
    </row>
    <row r="7103" spans="2:7" ht="15" hidden="1" x14ac:dyDescent="0.25">
      <c r="B7103" s="4">
        <v>584633291</v>
      </c>
      <c r="C7103" s="4" t="s">
        <v>269</v>
      </c>
      <c r="D7103" s="4">
        <v>1562</v>
      </c>
      <c r="E7103" s="4">
        <v>57</v>
      </c>
      <c r="G7103">
        <f t="shared" si="110"/>
        <v>512</v>
      </c>
    </row>
    <row r="7104" spans="2:7" ht="15" hidden="1" x14ac:dyDescent="0.25">
      <c r="B7104" s="4">
        <v>584633292</v>
      </c>
      <c r="C7104" s="4" t="s">
        <v>269</v>
      </c>
      <c r="D7104" s="4">
        <v>1563</v>
      </c>
      <c r="E7104" s="4">
        <v>57</v>
      </c>
      <c r="G7104">
        <f t="shared" si="110"/>
        <v>512</v>
      </c>
    </row>
    <row r="7105" spans="2:7" ht="15" hidden="1" x14ac:dyDescent="0.25">
      <c r="B7105" s="4">
        <v>584633293</v>
      </c>
      <c r="C7105" s="4" t="s">
        <v>269</v>
      </c>
      <c r="D7105" s="4">
        <v>1564</v>
      </c>
      <c r="E7105" s="4">
        <v>57</v>
      </c>
      <c r="G7105">
        <f t="shared" si="110"/>
        <v>512</v>
      </c>
    </row>
    <row r="7106" spans="2:7" ht="15" hidden="1" x14ac:dyDescent="0.25">
      <c r="B7106" s="4">
        <v>584633294</v>
      </c>
      <c r="C7106" s="4" t="s">
        <v>269</v>
      </c>
      <c r="D7106" s="4">
        <v>1565</v>
      </c>
      <c r="E7106" s="4">
        <v>57</v>
      </c>
      <c r="G7106">
        <f t="shared" si="110"/>
        <v>512</v>
      </c>
    </row>
    <row r="7107" spans="2:7" ht="15" hidden="1" x14ac:dyDescent="0.25">
      <c r="B7107" s="4">
        <v>584633295</v>
      </c>
      <c r="C7107" s="4" t="s">
        <v>269</v>
      </c>
      <c r="D7107" s="4">
        <v>1566</v>
      </c>
      <c r="E7107" s="4">
        <v>57</v>
      </c>
      <c r="G7107">
        <f t="shared" si="110"/>
        <v>512</v>
      </c>
    </row>
    <row r="7108" spans="2:7" ht="15" hidden="1" x14ac:dyDescent="0.25">
      <c r="B7108" s="4">
        <v>584633296</v>
      </c>
      <c r="C7108" s="4" t="s">
        <v>269</v>
      </c>
      <c r="D7108" s="4">
        <v>1567</v>
      </c>
      <c r="E7108" s="4">
        <v>57</v>
      </c>
      <c r="G7108">
        <f t="shared" ref="G7108:G7171" si="111">(E7108+7)*8</f>
        <v>512</v>
      </c>
    </row>
    <row r="7109" spans="2:7" ht="15" hidden="1" x14ac:dyDescent="0.25">
      <c r="B7109" s="4">
        <v>584633297</v>
      </c>
      <c r="C7109" s="4" t="s">
        <v>269</v>
      </c>
      <c r="D7109" s="4">
        <v>1568</v>
      </c>
      <c r="E7109" s="4">
        <v>57</v>
      </c>
      <c r="G7109">
        <f t="shared" si="111"/>
        <v>512</v>
      </c>
    </row>
    <row r="7110" spans="2:7" ht="15" hidden="1" x14ac:dyDescent="0.25">
      <c r="B7110" s="4">
        <v>584633298</v>
      </c>
      <c r="C7110" s="4" t="s">
        <v>269</v>
      </c>
      <c r="D7110" s="4">
        <v>1569</v>
      </c>
      <c r="E7110" s="4">
        <v>57</v>
      </c>
      <c r="G7110">
        <f t="shared" si="111"/>
        <v>512</v>
      </c>
    </row>
    <row r="7111" spans="2:7" ht="15" hidden="1" x14ac:dyDescent="0.25">
      <c r="B7111" s="4">
        <v>584633298</v>
      </c>
      <c r="C7111" s="4" t="s">
        <v>272</v>
      </c>
      <c r="D7111" s="4">
        <v>145</v>
      </c>
      <c r="E7111" s="4">
        <v>217</v>
      </c>
      <c r="G7111">
        <f t="shared" si="111"/>
        <v>1792</v>
      </c>
    </row>
    <row r="7112" spans="2:7" ht="15" hidden="1" x14ac:dyDescent="0.25">
      <c r="B7112" s="4">
        <v>584633299</v>
      </c>
      <c r="C7112" s="4" t="s">
        <v>269</v>
      </c>
      <c r="D7112" s="4">
        <v>1570</v>
      </c>
      <c r="E7112" s="4">
        <v>57</v>
      </c>
      <c r="G7112">
        <f t="shared" si="111"/>
        <v>512</v>
      </c>
    </row>
    <row r="7113" spans="2:7" ht="15" hidden="1" x14ac:dyDescent="0.25">
      <c r="B7113" s="4">
        <v>584633300</v>
      </c>
      <c r="C7113" s="4" t="s">
        <v>269</v>
      </c>
      <c r="D7113" s="4">
        <v>1571</v>
      </c>
      <c r="E7113" s="4">
        <v>57</v>
      </c>
      <c r="G7113">
        <f t="shared" si="111"/>
        <v>512</v>
      </c>
    </row>
    <row r="7114" spans="2:7" ht="15" hidden="1" x14ac:dyDescent="0.25">
      <c r="B7114" s="4">
        <v>584633301</v>
      </c>
      <c r="C7114" s="4" t="s">
        <v>269</v>
      </c>
      <c r="D7114" s="4">
        <v>1572</v>
      </c>
      <c r="E7114" s="4">
        <v>57</v>
      </c>
      <c r="G7114">
        <f t="shared" si="111"/>
        <v>512</v>
      </c>
    </row>
    <row r="7115" spans="2:7" ht="15" hidden="1" x14ac:dyDescent="0.25">
      <c r="B7115" s="4">
        <v>584633302</v>
      </c>
      <c r="C7115" s="4" t="s">
        <v>269</v>
      </c>
      <c r="D7115" s="4">
        <v>1573</v>
      </c>
      <c r="E7115" s="4">
        <v>57</v>
      </c>
      <c r="G7115">
        <f t="shared" si="111"/>
        <v>512</v>
      </c>
    </row>
    <row r="7116" spans="2:7" ht="15" hidden="1" x14ac:dyDescent="0.25">
      <c r="B7116" s="4">
        <v>584633303</v>
      </c>
      <c r="C7116" s="4" t="s">
        <v>269</v>
      </c>
      <c r="D7116" s="4">
        <v>1574</v>
      </c>
      <c r="E7116" s="4">
        <v>57</v>
      </c>
      <c r="G7116">
        <f t="shared" si="111"/>
        <v>512</v>
      </c>
    </row>
    <row r="7117" spans="2:7" ht="15" hidden="1" x14ac:dyDescent="0.25">
      <c r="B7117" s="4">
        <v>584633304</v>
      </c>
      <c r="C7117" s="4" t="s">
        <v>269</v>
      </c>
      <c r="D7117" s="4">
        <v>1575</v>
      </c>
      <c r="E7117" s="4">
        <v>57</v>
      </c>
      <c r="G7117">
        <f t="shared" si="111"/>
        <v>512</v>
      </c>
    </row>
    <row r="7118" spans="2:7" ht="15" hidden="1" x14ac:dyDescent="0.25">
      <c r="B7118" s="4">
        <v>584633305</v>
      </c>
      <c r="C7118" s="4" t="s">
        <v>269</v>
      </c>
      <c r="D7118" s="4">
        <v>1576</v>
      </c>
      <c r="E7118" s="4">
        <v>57</v>
      </c>
      <c r="G7118">
        <f t="shared" si="111"/>
        <v>512</v>
      </c>
    </row>
    <row r="7119" spans="2:7" ht="15" hidden="1" x14ac:dyDescent="0.25">
      <c r="B7119" s="4">
        <v>584633306</v>
      </c>
      <c r="C7119" s="4" t="s">
        <v>269</v>
      </c>
      <c r="D7119" s="4">
        <v>1577</v>
      </c>
      <c r="E7119" s="4">
        <v>57</v>
      </c>
      <c r="G7119">
        <f t="shared" si="111"/>
        <v>512</v>
      </c>
    </row>
    <row r="7120" spans="2:7" ht="15" hidden="1" x14ac:dyDescent="0.25">
      <c r="B7120" s="4">
        <v>584633307</v>
      </c>
      <c r="C7120" s="4" t="s">
        <v>269</v>
      </c>
      <c r="D7120" s="4">
        <v>1578</v>
      </c>
      <c r="E7120" s="4">
        <v>57</v>
      </c>
      <c r="G7120">
        <f t="shared" si="111"/>
        <v>512</v>
      </c>
    </row>
    <row r="7121" spans="2:7" ht="15" hidden="1" x14ac:dyDescent="0.25">
      <c r="B7121" s="4">
        <v>584633308</v>
      </c>
      <c r="C7121" s="4" t="s">
        <v>269</v>
      </c>
      <c r="D7121" s="4">
        <v>1579</v>
      </c>
      <c r="E7121" s="4">
        <v>57</v>
      </c>
      <c r="G7121">
        <f t="shared" si="111"/>
        <v>512</v>
      </c>
    </row>
    <row r="7122" spans="2:7" ht="15" hidden="1" x14ac:dyDescent="0.25">
      <c r="B7122" s="4">
        <v>584633308</v>
      </c>
      <c r="C7122" s="4" t="s">
        <v>272</v>
      </c>
      <c r="D7122" s="4">
        <v>146</v>
      </c>
      <c r="E7122" s="4">
        <v>219</v>
      </c>
      <c r="G7122">
        <f t="shared" si="111"/>
        <v>1808</v>
      </c>
    </row>
    <row r="7123" spans="2:7" ht="15" hidden="1" x14ac:dyDescent="0.25">
      <c r="B7123" s="4">
        <v>584633309</v>
      </c>
      <c r="C7123" s="4" t="s">
        <v>269</v>
      </c>
      <c r="D7123" s="4">
        <v>1580</v>
      </c>
      <c r="E7123" s="4">
        <v>57</v>
      </c>
      <c r="G7123">
        <f t="shared" si="111"/>
        <v>512</v>
      </c>
    </row>
    <row r="7124" spans="2:7" ht="15" hidden="1" x14ac:dyDescent="0.25">
      <c r="B7124" s="4">
        <v>584633310</v>
      </c>
      <c r="C7124" s="4" t="s">
        <v>269</v>
      </c>
      <c r="D7124" s="4">
        <v>1581</v>
      </c>
      <c r="E7124" s="4">
        <v>57</v>
      </c>
      <c r="G7124">
        <f t="shared" si="111"/>
        <v>512</v>
      </c>
    </row>
    <row r="7125" spans="2:7" ht="15" hidden="1" x14ac:dyDescent="0.25">
      <c r="B7125" s="4">
        <v>584633311</v>
      </c>
      <c r="C7125" s="4" t="s">
        <v>269</v>
      </c>
      <c r="D7125" s="4">
        <v>1582</v>
      </c>
      <c r="E7125" s="4">
        <v>57</v>
      </c>
      <c r="G7125">
        <f t="shared" si="111"/>
        <v>512</v>
      </c>
    </row>
    <row r="7126" spans="2:7" ht="15" hidden="1" x14ac:dyDescent="0.25">
      <c r="B7126" s="4">
        <v>584633312</v>
      </c>
      <c r="C7126" s="4" t="s">
        <v>269</v>
      </c>
      <c r="D7126" s="4">
        <v>1583</v>
      </c>
      <c r="E7126" s="4">
        <v>57</v>
      </c>
      <c r="G7126">
        <f t="shared" si="111"/>
        <v>512</v>
      </c>
    </row>
    <row r="7127" spans="2:7" ht="15" hidden="1" x14ac:dyDescent="0.25">
      <c r="B7127" s="4">
        <v>584633313</v>
      </c>
      <c r="C7127" s="4" t="s">
        <v>269</v>
      </c>
      <c r="D7127" s="4">
        <v>1584</v>
      </c>
      <c r="E7127" s="4">
        <v>57</v>
      </c>
      <c r="G7127">
        <f t="shared" si="111"/>
        <v>512</v>
      </c>
    </row>
    <row r="7128" spans="2:7" ht="15" hidden="1" x14ac:dyDescent="0.25">
      <c r="B7128" s="4">
        <v>584633314</v>
      </c>
      <c r="C7128" s="4" t="s">
        <v>269</v>
      </c>
      <c r="D7128" s="4">
        <v>1585</v>
      </c>
      <c r="E7128" s="4">
        <v>57</v>
      </c>
      <c r="G7128">
        <f t="shared" si="111"/>
        <v>512</v>
      </c>
    </row>
    <row r="7129" spans="2:7" ht="15" hidden="1" x14ac:dyDescent="0.25">
      <c r="B7129" s="4">
        <v>584633315</v>
      </c>
      <c r="C7129" s="4" t="s">
        <v>269</v>
      </c>
      <c r="D7129" s="4">
        <v>1586</v>
      </c>
      <c r="E7129" s="4">
        <v>57</v>
      </c>
      <c r="G7129">
        <f t="shared" si="111"/>
        <v>512</v>
      </c>
    </row>
    <row r="7130" spans="2:7" ht="15" hidden="1" x14ac:dyDescent="0.25">
      <c r="B7130" s="4">
        <v>584633316</v>
      </c>
      <c r="C7130" s="4" t="s">
        <v>269</v>
      </c>
      <c r="D7130" s="4">
        <v>1587</v>
      </c>
      <c r="E7130" s="4">
        <v>57</v>
      </c>
      <c r="G7130">
        <f t="shared" si="111"/>
        <v>512</v>
      </c>
    </row>
    <row r="7131" spans="2:7" ht="15" hidden="1" x14ac:dyDescent="0.25">
      <c r="B7131" s="4">
        <v>584633317</v>
      </c>
      <c r="C7131" s="4" t="s">
        <v>269</v>
      </c>
      <c r="D7131" s="4">
        <v>1588</v>
      </c>
      <c r="E7131" s="4">
        <v>57</v>
      </c>
      <c r="G7131">
        <f t="shared" si="111"/>
        <v>512</v>
      </c>
    </row>
    <row r="7132" spans="2:7" ht="15" hidden="1" x14ac:dyDescent="0.25">
      <c r="B7132" s="4">
        <v>584633318</v>
      </c>
      <c r="C7132" s="4" t="s">
        <v>269</v>
      </c>
      <c r="D7132" s="4">
        <v>1589</v>
      </c>
      <c r="E7132" s="4">
        <v>57</v>
      </c>
      <c r="G7132">
        <f t="shared" si="111"/>
        <v>512</v>
      </c>
    </row>
    <row r="7133" spans="2:7" ht="15" hidden="1" x14ac:dyDescent="0.25">
      <c r="B7133" s="4">
        <v>584633318</v>
      </c>
      <c r="C7133" s="4" t="s">
        <v>272</v>
      </c>
      <c r="D7133" s="4">
        <v>147</v>
      </c>
      <c r="E7133" s="4">
        <v>209</v>
      </c>
      <c r="G7133">
        <f t="shared" si="111"/>
        <v>1728</v>
      </c>
    </row>
    <row r="7134" spans="2:7" ht="15" hidden="1" x14ac:dyDescent="0.25">
      <c r="B7134" s="4">
        <v>584633319</v>
      </c>
      <c r="C7134" s="4" t="s">
        <v>269</v>
      </c>
      <c r="D7134" s="4">
        <v>1590</v>
      </c>
      <c r="E7134" s="4">
        <v>57</v>
      </c>
      <c r="G7134">
        <f t="shared" si="111"/>
        <v>512</v>
      </c>
    </row>
    <row r="7135" spans="2:7" ht="15" hidden="1" x14ac:dyDescent="0.25">
      <c r="B7135" s="4">
        <v>584633320</v>
      </c>
      <c r="C7135" s="4" t="s">
        <v>269</v>
      </c>
      <c r="D7135" s="4">
        <v>1591</v>
      </c>
      <c r="E7135" s="4">
        <v>57</v>
      </c>
      <c r="G7135">
        <f t="shared" si="111"/>
        <v>512</v>
      </c>
    </row>
    <row r="7136" spans="2:7" ht="15" hidden="1" x14ac:dyDescent="0.25">
      <c r="B7136" s="4">
        <v>584633321</v>
      </c>
      <c r="C7136" s="4" t="s">
        <v>269</v>
      </c>
      <c r="D7136" s="4">
        <v>1592</v>
      </c>
      <c r="E7136" s="4">
        <v>57</v>
      </c>
      <c r="G7136">
        <f t="shared" si="111"/>
        <v>512</v>
      </c>
    </row>
    <row r="7137" spans="2:7" ht="15" hidden="1" x14ac:dyDescent="0.25">
      <c r="B7137" s="4">
        <v>584633322</v>
      </c>
      <c r="C7137" s="4" t="s">
        <v>269</v>
      </c>
      <c r="D7137" s="4">
        <v>1593</v>
      </c>
      <c r="E7137" s="4">
        <v>57</v>
      </c>
      <c r="G7137">
        <f t="shared" si="111"/>
        <v>512</v>
      </c>
    </row>
    <row r="7138" spans="2:7" ht="15" hidden="1" x14ac:dyDescent="0.25">
      <c r="B7138" s="4">
        <v>584633323</v>
      </c>
      <c r="C7138" s="4" t="s">
        <v>269</v>
      </c>
      <c r="D7138" s="4">
        <v>1594</v>
      </c>
      <c r="E7138" s="4">
        <v>57</v>
      </c>
      <c r="G7138">
        <f t="shared" si="111"/>
        <v>512</v>
      </c>
    </row>
    <row r="7139" spans="2:7" ht="15" hidden="1" x14ac:dyDescent="0.25">
      <c r="B7139" s="4">
        <v>584633324</v>
      </c>
      <c r="C7139" s="4" t="s">
        <v>269</v>
      </c>
      <c r="D7139" s="4">
        <v>1595</v>
      </c>
      <c r="E7139" s="4">
        <v>57</v>
      </c>
      <c r="G7139">
        <f t="shared" si="111"/>
        <v>512</v>
      </c>
    </row>
    <row r="7140" spans="2:7" ht="15" hidden="1" x14ac:dyDescent="0.25">
      <c r="B7140" s="4">
        <v>584633325</v>
      </c>
      <c r="C7140" s="4" t="s">
        <v>269</v>
      </c>
      <c r="D7140" s="4">
        <v>1596</v>
      </c>
      <c r="E7140" s="4">
        <v>57</v>
      </c>
      <c r="G7140">
        <f t="shared" si="111"/>
        <v>512</v>
      </c>
    </row>
    <row r="7141" spans="2:7" ht="15" hidden="1" x14ac:dyDescent="0.25">
      <c r="B7141" s="4">
        <v>584633326</v>
      </c>
      <c r="C7141" s="4" t="s">
        <v>269</v>
      </c>
      <c r="D7141" s="4">
        <v>1597</v>
      </c>
      <c r="E7141" s="4">
        <v>57</v>
      </c>
      <c r="G7141">
        <f t="shared" si="111"/>
        <v>512</v>
      </c>
    </row>
    <row r="7142" spans="2:7" ht="15" hidden="1" x14ac:dyDescent="0.25">
      <c r="B7142" s="4">
        <v>584633327</v>
      </c>
      <c r="C7142" s="4" t="s">
        <v>269</v>
      </c>
      <c r="D7142" s="4">
        <v>1598</v>
      </c>
      <c r="E7142" s="4">
        <v>57</v>
      </c>
      <c r="G7142">
        <f t="shared" si="111"/>
        <v>512</v>
      </c>
    </row>
    <row r="7143" spans="2:7" ht="15" hidden="1" x14ac:dyDescent="0.25">
      <c r="B7143" s="4">
        <v>584633328</v>
      </c>
      <c r="C7143" s="4" t="s">
        <v>269</v>
      </c>
      <c r="D7143" s="4">
        <v>1599</v>
      </c>
      <c r="E7143" s="4">
        <v>57</v>
      </c>
      <c r="G7143">
        <f t="shared" si="111"/>
        <v>512</v>
      </c>
    </row>
    <row r="7144" spans="2:7" ht="15" hidden="1" x14ac:dyDescent="0.25">
      <c r="B7144" s="4">
        <v>584633328</v>
      </c>
      <c r="C7144" s="4" t="s">
        <v>272</v>
      </c>
      <c r="D7144" s="4">
        <v>148</v>
      </c>
      <c r="E7144" s="4">
        <v>215</v>
      </c>
      <c r="G7144">
        <f t="shared" si="111"/>
        <v>1776</v>
      </c>
    </row>
    <row r="7145" spans="2:7" ht="15" hidden="1" x14ac:dyDescent="0.25">
      <c r="B7145" s="4">
        <v>584633329</v>
      </c>
      <c r="C7145" s="4" t="s">
        <v>269</v>
      </c>
      <c r="D7145" s="4">
        <v>1600</v>
      </c>
      <c r="E7145" s="4">
        <v>57</v>
      </c>
      <c r="G7145">
        <f t="shared" si="111"/>
        <v>512</v>
      </c>
    </row>
    <row r="7146" spans="2:7" ht="15" hidden="1" x14ac:dyDescent="0.25">
      <c r="B7146" s="4">
        <v>584633330</v>
      </c>
      <c r="C7146" s="4" t="s">
        <v>269</v>
      </c>
      <c r="D7146" s="4">
        <v>1601</v>
      </c>
      <c r="E7146" s="4">
        <v>57</v>
      </c>
      <c r="G7146">
        <f t="shared" si="111"/>
        <v>512</v>
      </c>
    </row>
    <row r="7147" spans="2:7" ht="15" hidden="1" x14ac:dyDescent="0.25">
      <c r="B7147" s="4">
        <v>584633331</v>
      </c>
      <c r="C7147" s="4" t="s">
        <v>269</v>
      </c>
      <c r="D7147" s="4">
        <v>1602</v>
      </c>
      <c r="E7147" s="4">
        <v>57</v>
      </c>
      <c r="G7147">
        <f t="shared" si="111"/>
        <v>512</v>
      </c>
    </row>
    <row r="7148" spans="2:7" ht="15" hidden="1" x14ac:dyDescent="0.25">
      <c r="B7148" s="4">
        <v>584633332</v>
      </c>
      <c r="C7148" s="4" t="s">
        <v>269</v>
      </c>
      <c r="D7148" s="4">
        <v>1603</v>
      </c>
      <c r="E7148" s="4">
        <v>57</v>
      </c>
      <c r="G7148">
        <f t="shared" si="111"/>
        <v>512</v>
      </c>
    </row>
    <row r="7149" spans="2:7" ht="15" hidden="1" x14ac:dyDescent="0.25">
      <c r="B7149" s="4">
        <v>584633333</v>
      </c>
      <c r="C7149" s="4" t="s">
        <v>269</v>
      </c>
      <c r="D7149" s="4">
        <v>1604</v>
      </c>
      <c r="E7149" s="4">
        <v>57</v>
      </c>
      <c r="G7149">
        <f t="shared" si="111"/>
        <v>512</v>
      </c>
    </row>
    <row r="7150" spans="2:7" ht="15" hidden="1" x14ac:dyDescent="0.25">
      <c r="B7150" s="4">
        <v>584633334</v>
      </c>
      <c r="C7150" s="4" t="s">
        <v>269</v>
      </c>
      <c r="D7150" s="4">
        <v>1605</v>
      </c>
      <c r="E7150" s="4">
        <v>57</v>
      </c>
      <c r="G7150">
        <f t="shared" si="111"/>
        <v>512</v>
      </c>
    </row>
    <row r="7151" spans="2:7" ht="15" hidden="1" x14ac:dyDescent="0.25">
      <c r="B7151" s="4">
        <v>584633335</v>
      </c>
      <c r="C7151" s="4" t="s">
        <v>269</v>
      </c>
      <c r="D7151" s="4">
        <v>1606</v>
      </c>
      <c r="E7151" s="4">
        <v>57</v>
      </c>
      <c r="G7151">
        <f t="shared" si="111"/>
        <v>512</v>
      </c>
    </row>
    <row r="7152" spans="2:7" ht="15" hidden="1" x14ac:dyDescent="0.25">
      <c r="B7152" s="4">
        <v>584633336</v>
      </c>
      <c r="C7152" s="4" t="s">
        <v>269</v>
      </c>
      <c r="D7152" s="4">
        <v>1607</v>
      </c>
      <c r="E7152" s="4">
        <v>57</v>
      </c>
      <c r="G7152">
        <f t="shared" si="111"/>
        <v>512</v>
      </c>
    </row>
    <row r="7153" spans="2:7" ht="15" hidden="1" x14ac:dyDescent="0.25">
      <c r="B7153" s="4">
        <v>584633337</v>
      </c>
      <c r="C7153" s="4" t="s">
        <v>269</v>
      </c>
      <c r="D7153" s="4">
        <v>1608</v>
      </c>
      <c r="E7153" s="4">
        <v>57</v>
      </c>
      <c r="G7153">
        <f t="shared" si="111"/>
        <v>512</v>
      </c>
    </row>
    <row r="7154" spans="2:7" ht="15" hidden="1" x14ac:dyDescent="0.25">
      <c r="B7154" s="4">
        <v>584633338</v>
      </c>
      <c r="C7154" s="4" t="s">
        <v>269</v>
      </c>
      <c r="D7154" s="4">
        <v>1609</v>
      </c>
      <c r="E7154" s="4">
        <v>57</v>
      </c>
      <c r="G7154">
        <f t="shared" si="111"/>
        <v>512</v>
      </c>
    </row>
    <row r="7155" spans="2:7" ht="15" hidden="1" x14ac:dyDescent="0.25">
      <c r="B7155" s="4">
        <v>584633338</v>
      </c>
      <c r="C7155" s="4" t="s">
        <v>272</v>
      </c>
      <c r="D7155" s="4">
        <v>149</v>
      </c>
      <c r="E7155" s="4">
        <v>211</v>
      </c>
      <c r="G7155">
        <f t="shared" si="111"/>
        <v>1744</v>
      </c>
    </row>
    <row r="7156" spans="2:7" ht="15" hidden="1" x14ac:dyDescent="0.25">
      <c r="B7156" s="4">
        <v>584633339</v>
      </c>
      <c r="C7156" s="4" t="s">
        <v>269</v>
      </c>
      <c r="D7156" s="4">
        <v>1610</v>
      </c>
      <c r="E7156" s="4">
        <v>57</v>
      </c>
      <c r="G7156">
        <f t="shared" si="111"/>
        <v>512</v>
      </c>
    </row>
    <row r="7157" spans="2:7" ht="15" hidden="1" x14ac:dyDescent="0.25">
      <c r="B7157" s="4">
        <v>584633340</v>
      </c>
      <c r="C7157" s="4" t="s">
        <v>269</v>
      </c>
      <c r="D7157" s="4">
        <v>1611</v>
      </c>
      <c r="E7157" s="4">
        <v>57</v>
      </c>
      <c r="G7157">
        <f t="shared" si="111"/>
        <v>512</v>
      </c>
    </row>
    <row r="7158" spans="2:7" ht="15" hidden="1" x14ac:dyDescent="0.25">
      <c r="B7158" s="4">
        <v>584633341</v>
      </c>
      <c r="C7158" s="4" t="s">
        <v>269</v>
      </c>
      <c r="D7158" s="4">
        <v>1612</v>
      </c>
      <c r="E7158" s="4">
        <v>57</v>
      </c>
      <c r="G7158">
        <f t="shared" si="111"/>
        <v>512</v>
      </c>
    </row>
    <row r="7159" spans="2:7" ht="15" hidden="1" x14ac:dyDescent="0.25">
      <c r="B7159" s="4">
        <v>584633342</v>
      </c>
      <c r="C7159" s="4" t="s">
        <v>268</v>
      </c>
      <c r="D7159" s="4">
        <v>290</v>
      </c>
      <c r="E7159" s="4">
        <v>9</v>
      </c>
      <c r="G7159">
        <f t="shared" si="111"/>
        <v>128</v>
      </c>
    </row>
    <row r="7160" spans="2:7" ht="15" hidden="1" x14ac:dyDescent="0.25">
      <c r="B7160" s="4">
        <v>584633342</v>
      </c>
      <c r="C7160" s="4" t="s">
        <v>268</v>
      </c>
      <c r="D7160" s="4">
        <v>290</v>
      </c>
      <c r="E7160" s="4">
        <v>9</v>
      </c>
      <c r="G7160">
        <f t="shared" si="111"/>
        <v>128</v>
      </c>
    </row>
    <row r="7161" spans="2:7" ht="15" hidden="1" x14ac:dyDescent="0.25">
      <c r="B7161" s="4">
        <v>584633342</v>
      </c>
      <c r="C7161" s="4" t="s">
        <v>268</v>
      </c>
      <c r="D7161" s="4">
        <v>291</v>
      </c>
      <c r="E7161" s="4">
        <v>7</v>
      </c>
      <c r="G7161">
        <f t="shared" si="111"/>
        <v>112</v>
      </c>
    </row>
    <row r="7162" spans="2:7" ht="15" hidden="1" x14ac:dyDescent="0.25">
      <c r="B7162" s="4">
        <v>584633342</v>
      </c>
      <c r="C7162" s="4" t="s">
        <v>268</v>
      </c>
      <c r="D7162" s="4">
        <v>291</v>
      </c>
      <c r="E7162" s="4">
        <v>7</v>
      </c>
      <c r="G7162">
        <f t="shared" si="111"/>
        <v>112</v>
      </c>
    </row>
    <row r="7163" spans="2:7" ht="15" hidden="1" x14ac:dyDescent="0.25">
      <c r="B7163" s="4">
        <v>584633342</v>
      </c>
      <c r="C7163" s="4" t="s">
        <v>269</v>
      </c>
      <c r="D7163" s="4">
        <v>1613</v>
      </c>
      <c r="E7163" s="4">
        <v>57</v>
      </c>
      <c r="G7163">
        <f t="shared" si="111"/>
        <v>512</v>
      </c>
    </row>
    <row r="7164" spans="2:7" ht="15" hidden="1" x14ac:dyDescent="0.25">
      <c r="B7164" s="4">
        <v>584633343</v>
      </c>
      <c r="C7164" s="4" t="s">
        <v>268</v>
      </c>
      <c r="D7164" s="4">
        <v>292</v>
      </c>
      <c r="E7164" s="4">
        <v>9</v>
      </c>
      <c r="G7164">
        <f t="shared" si="111"/>
        <v>128</v>
      </c>
    </row>
    <row r="7165" spans="2:7" ht="15" hidden="1" x14ac:dyDescent="0.25">
      <c r="B7165" s="4">
        <v>584633343</v>
      </c>
      <c r="C7165" s="4" t="s">
        <v>268</v>
      </c>
      <c r="D7165" s="4">
        <v>292</v>
      </c>
      <c r="E7165" s="4">
        <v>9</v>
      </c>
      <c r="G7165">
        <f t="shared" si="111"/>
        <v>128</v>
      </c>
    </row>
    <row r="7166" spans="2:7" ht="15" hidden="1" x14ac:dyDescent="0.25">
      <c r="B7166" s="4">
        <v>584633343</v>
      </c>
      <c r="C7166" s="4" t="s">
        <v>268</v>
      </c>
      <c r="D7166" s="4">
        <v>293</v>
      </c>
      <c r="E7166" s="4">
        <v>7</v>
      </c>
      <c r="G7166">
        <f t="shared" si="111"/>
        <v>112</v>
      </c>
    </row>
    <row r="7167" spans="2:7" ht="15" hidden="1" x14ac:dyDescent="0.25">
      <c r="B7167" s="4">
        <v>584633343</v>
      </c>
      <c r="C7167" s="4" t="s">
        <v>268</v>
      </c>
      <c r="D7167" s="4">
        <v>293</v>
      </c>
      <c r="E7167" s="4">
        <v>7</v>
      </c>
      <c r="G7167">
        <f t="shared" si="111"/>
        <v>112</v>
      </c>
    </row>
    <row r="7168" spans="2:7" ht="15" hidden="1" x14ac:dyDescent="0.25">
      <c r="B7168" s="4">
        <v>584633343</v>
      </c>
      <c r="C7168" s="4" t="s">
        <v>269</v>
      </c>
      <c r="D7168" s="4">
        <v>1614</v>
      </c>
      <c r="E7168" s="4">
        <v>57</v>
      </c>
      <c r="G7168">
        <f t="shared" si="111"/>
        <v>512</v>
      </c>
    </row>
    <row r="7169" spans="2:7" ht="15" hidden="1" x14ac:dyDescent="0.25">
      <c r="B7169" s="4">
        <v>584633344</v>
      </c>
      <c r="C7169" s="4" t="s">
        <v>268</v>
      </c>
      <c r="D7169" s="4">
        <v>294</v>
      </c>
      <c r="E7169" s="4">
        <v>9</v>
      </c>
      <c r="G7169">
        <f t="shared" si="111"/>
        <v>128</v>
      </c>
    </row>
    <row r="7170" spans="2:7" ht="15" hidden="1" x14ac:dyDescent="0.25">
      <c r="B7170" s="4">
        <v>584633344</v>
      </c>
      <c r="C7170" s="4" t="s">
        <v>268</v>
      </c>
      <c r="D7170" s="4">
        <v>294</v>
      </c>
      <c r="E7170" s="4">
        <v>9</v>
      </c>
      <c r="G7170">
        <f t="shared" si="111"/>
        <v>128</v>
      </c>
    </row>
    <row r="7171" spans="2:7" ht="15" hidden="1" x14ac:dyDescent="0.25">
      <c r="B7171" s="4">
        <v>584633344</v>
      </c>
      <c r="C7171" s="4" t="s">
        <v>268</v>
      </c>
      <c r="D7171" s="4">
        <v>295</v>
      </c>
      <c r="E7171" s="4">
        <v>7</v>
      </c>
      <c r="G7171">
        <f t="shared" si="111"/>
        <v>112</v>
      </c>
    </row>
    <row r="7172" spans="2:7" ht="15" hidden="1" x14ac:dyDescent="0.25">
      <c r="B7172" s="4">
        <v>584633344</v>
      </c>
      <c r="C7172" s="4" t="s">
        <v>268</v>
      </c>
      <c r="D7172" s="4">
        <v>295</v>
      </c>
      <c r="E7172" s="4">
        <v>7</v>
      </c>
      <c r="G7172">
        <f t="shared" ref="G7172:G7235" si="112">(E7172+7)*8</f>
        <v>112</v>
      </c>
    </row>
    <row r="7173" spans="2:7" ht="15" hidden="1" x14ac:dyDescent="0.25">
      <c r="B7173" s="4">
        <v>584633344</v>
      </c>
      <c r="C7173" s="4" t="s">
        <v>269</v>
      </c>
      <c r="D7173" s="4">
        <v>1615</v>
      </c>
      <c r="E7173" s="4">
        <v>57</v>
      </c>
      <c r="G7173">
        <f t="shared" si="112"/>
        <v>512</v>
      </c>
    </row>
    <row r="7174" spans="2:7" ht="15" hidden="1" x14ac:dyDescent="0.25">
      <c r="B7174" s="4">
        <v>584633345</v>
      </c>
      <c r="C7174" s="4" t="s">
        <v>268</v>
      </c>
      <c r="D7174" s="4">
        <v>296</v>
      </c>
      <c r="E7174" s="4">
        <v>7</v>
      </c>
      <c r="G7174">
        <f t="shared" si="112"/>
        <v>112</v>
      </c>
    </row>
    <row r="7175" spans="2:7" ht="15" hidden="1" x14ac:dyDescent="0.25">
      <c r="B7175" s="4">
        <v>584633345</v>
      </c>
      <c r="C7175" s="4" t="s">
        <v>268</v>
      </c>
      <c r="D7175" s="4">
        <v>296</v>
      </c>
      <c r="E7175" s="4">
        <v>7</v>
      </c>
      <c r="G7175">
        <f t="shared" si="112"/>
        <v>112</v>
      </c>
    </row>
    <row r="7176" spans="2:7" ht="15" hidden="1" x14ac:dyDescent="0.25">
      <c r="B7176" s="4">
        <v>584633345</v>
      </c>
      <c r="C7176" s="4" t="s">
        <v>268</v>
      </c>
      <c r="D7176" s="4">
        <v>297</v>
      </c>
      <c r="E7176" s="4">
        <v>5</v>
      </c>
      <c r="G7176">
        <f t="shared" si="112"/>
        <v>96</v>
      </c>
    </row>
    <row r="7177" spans="2:7" ht="15" hidden="1" x14ac:dyDescent="0.25">
      <c r="B7177" s="4">
        <v>584633345</v>
      </c>
      <c r="C7177" s="4" t="s">
        <v>268</v>
      </c>
      <c r="D7177" s="4">
        <v>297</v>
      </c>
      <c r="E7177" s="4">
        <v>5</v>
      </c>
      <c r="G7177">
        <f t="shared" si="112"/>
        <v>96</v>
      </c>
    </row>
    <row r="7178" spans="2:7" ht="15" x14ac:dyDescent="0.25">
      <c r="B7178" s="4">
        <v>584633348</v>
      </c>
      <c r="C7178" s="4" t="s">
        <v>270</v>
      </c>
      <c r="D7178" s="4">
        <v>5</v>
      </c>
      <c r="E7178" s="4">
        <v>1100</v>
      </c>
      <c r="G7178">
        <f t="shared" si="112"/>
        <v>8856</v>
      </c>
    </row>
    <row r="7179" spans="2:7" ht="15" x14ac:dyDescent="0.25">
      <c r="B7179" s="4">
        <v>584633348</v>
      </c>
      <c r="C7179" s="4" t="s">
        <v>271</v>
      </c>
      <c r="D7179" s="4">
        <v>5</v>
      </c>
      <c r="E7179" s="4">
        <v>1100</v>
      </c>
      <c r="G7179">
        <f t="shared" si="112"/>
        <v>8856</v>
      </c>
    </row>
    <row r="7180" spans="2:7" ht="15" hidden="1" x14ac:dyDescent="0.25">
      <c r="B7180" s="4">
        <v>584633349</v>
      </c>
      <c r="C7180" s="4" t="s">
        <v>272</v>
      </c>
      <c r="D7180" s="4">
        <v>150</v>
      </c>
      <c r="E7180" s="4">
        <v>213</v>
      </c>
      <c r="G7180">
        <f t="shared" si="112"/>
        <v>1760</v>
      </c>
    </row>
    <row r="7181" spans="2:7" ht="15" hidden="1" x14ac:dyDescent="0.25">
      <c r="B7181" s="4">
        <v>584633566</v>
      </c>
      <c r="C7181" s="4" t="s">
        <v>268</v>
      </c>
      <c r="D7181" s="4">
        <v>298</v>
      </c>
      <c r="E7181" s="4">
        <v>9</v>
      </c>
      <c r="G7181">
        <f t="shared" si="112"/>
        <v>128</v>
      </c>
    </row>
    <row r="7182" spans="2:7" ht="15" hidden="1" x14ac:dyDescent="0.25">
      <c r="B7182" s="4">
        <v>584633566</v>
      </c>
      <c r="C7182" s="4" t="s">
        <v>268</v>
      </c>
      <c r="D7182" s="4">
        <v>298</v>
      </c>
      <c r="E7182" s="4">
        <v>9</v>
      </c>
      <c r="G7182">
        <f t="shared" si="112"/>
        <v>128</v>
      </c>
    </row>
    <row r="7183" spans="2:7" ht="15" hidden="1" x14ac:dyDescent="0.25">
      <c r="B7183" s="4">
        <v>584633569</v>
      </c>
      <c r="C7183" s="4" t="s">
        <v>268</v>
      </c>
      <c r="D7183" s="4">
        <v>299</v>
      </c>
      <c r="E7183" s="4">
        <v>9</v>
      </c>
      <c r="G7183">
        <f t="shared" si="112"/>
        <v>128</v>
      </c>
    </row>
    <row r="7184" spans="2:7" ht="15" hidden="1" x14ac:dyDescent="0.25">
      <c r="B7184" s="4">
        <v>584633569</v>
      </c>
      <c r="C7184" s="4" t="s">
        <v>268</v>
      </c>
      <c r="D7184" s="4">
        <v>299</v>
      </c>
      <c r="E7184" s="4">
        <v>9</v>
      </c>
      <c r="G7184">
        <f t="shared" si="112"/>
        <v>128</v>
      </c>
    </row>
    <row r="7185" spans="2:7" ht="15" hidden="1" x14ac:dyDescent="0.25">
      <c r="B7185" s="4">
        <v>584633572</v>
      </c>
      <c r="C7185" s="4" t="s">
        <v>268</v>
      </c>
      <c r="D7185" s="4">
        <v>300</v>
      </c>
      <c r="E7185" s="4">
        <v>9</v>
      </c>
      <c r="G7185">
        <f t="shared" si="112"/>
        <v>128</v>
      </c>
    </row>
    <row r="7186" spans="2:7" ht="15" hidden="1" x14ac:dyDescent="0.25">
      <c r="B7186" s="4">
        <v>584633572</v>
      </c>
      <c r="C7186" s="4" t="s">
        <v>268</v>
      </c>
      <c r="D7186" s="4">
        <v>300</v>
      </c>
      <c r="E7186" s="4">
        <v>9</v>
      </c>
      <c r="G7186">
        <f t="shared" si="112"/>
        <v>128</v>
      </c>
    </row>
    <row r="7187" spans="2:7" ht="15" hidden="1" x14ac:dyDescent="0.25">
      <c r="B7187" s="4">
        <v>584633575</v>
      </c>
      <c r="C7187" s="4" t="s">
        <v>268</v>
      </c>
      <c r="D7187" s="4">
        <v>301</v>
      </c>
      <c r="E7187" s="4">
        <v>7</v>
      </c>
      <c r="G7187">
        <f t="shared" si="112"/>
        <v>112</v>
      </c>
    </row>
    <row r="7188" spans="2:7" ht="15" hidden="1" x14ac:dyDescent="0.25">
      <c r="B7188" s="4">
        <v>584633575</v>
      </c>
      <c r="C7188" s="4" t="s">
        <v>268</v>
      </c>
      <c r="D7188" s="4">
        <v>301</v>
      </c>
      <c r="E7188" s="4">
        <v>7</v>
      </c>
      <c r="G7188">
        <f t="shared" si="112"/>
        <v>112</v>
      </c>
    </row>
    <row r="7189" spans="2:7" ht="15" hidden="1" x14ac:dyDescent="0.25">
      <c r="B7189" s="4">
        <v>584634176</v>
      </c>
      <c r="C7189" s="4" t="s">
        <v>268</v>
      </c>
      <c r="D7189" s="4">
        <v>302</v>
      </c>
      <c r="E7189" s="4">
        <v>6</v>
      </c>
      <c r="G7189">
        <f t="shared" si="112"/>
        <v>104</v>
      </c>
    </row>
    <row r="7190" spans="2:7" ht="15" hidden="1" x14ac:dyDescent="0.25">
      <c r="B7190" s="4">
        <v>584634176</v>
      </c>
      <c r="C7190" s="4" t="s">
        <v>268</v>
      </c>
      <c r="D7190" s="4">
        <v>302</v>
      </c>
      <c r="E7190" s="4">
        <v>6</v>
      </c>
      <c r="G7190">
        <f t="shared" si="112"/>
        <v>104</v>
      </c>
    </row>
    <row r="7191" spans="2:7" ht="15" hidden="1" x14ac:dyDescent="0.25">
      <c r="B7191" s="4">
        <v>584634176</v>
      </c>
      <c r="C7191" s="4" t="s">
        <v>268</v>
      </c>
      <c r="D7191" s="4">
        <v>303</v>
      </c>
      <c r="E7191" s="4">
        <v>13</v>
      </c>
      <c r="G7191">
        <f t="shared" si="112"/>
        <v>160</v>
      </c>
    </row>
    <row r="7192" spans="2:7" ht="15" hidden="1" x14ac:dyDescent="0.25">
      <c r="B7192" s="4">
        <v>584634176</v>
      </c>
      <c r="C7192" s="4" t="s">
        <v>268</v>
      </c>
      <c r="D7192" s="4">
        <v>303</v>
      </c>
      <c r="E7192" s="4">
        <v>13</v>
      </c>
      <c r="G7192">
        <f t="shared" si="112"/>
        <v>160</v>
      </c>
    </row>
    <row r="7193" spans="2:7" ht="15" hidden="1" x14ac:dyDescent="0.25">
      <c r="B7193" s="4">
        <v>584634176</v>
      </c>
      <c r="C7193" s="4" t="s">
        <v>268</v>
      </c>
      <c r="D7193" s="4">
        <v>304</v>
      </c>
      <c r="E7193" s="4">
        <v>13</v>
      </c>
      <c r="G7193">
        <f t="shared" si="112"/>
        <v>160</v>
      </c>
    </row>
    <row r="7194" spans="2:7" ht="15" hidden="1" x14ac:dyDescent="0.25">
      <c r="B7194" s="4">
        <v>584634176</v>
      </c>
      <c r="C7194" s="4" t="s">
        <v>268</v>
      </c>
      <c r="D7194" s="4">
        <v>304</v>
      </c>
      <c r="E7194" s="4">
        <v>13</v>
      </c>
      <c r="G7194">
        <f t="shared" si="112"/>
        <v>160</v>
      </c>
    </row>
    <row r="7195" spans="2:7" ht="15" hidden="1" x14ac:dyDescent="0.25">
      <c r="B7195" s="4">
        <v>584634176</v>
      </c>
      <c r="C7195" s="4" t="s">
        <v>268</v>
      </c>
      <c r="D7195" s="4">
        <v>305</v>
      </c>
      <c r="E7195" s="4">
        <v>13</v>
      </c>
      <c r="G7195">
        <f t="shared" si="112"/>
        <v>160</v>
      </c>
    </row>
    <row r="7196" spans="2:7" ht="15" hidden="1" x14ac:dyDescent="0.25">
      <c r="B7196" s="4">
        <v>584634176</v>
      </c>
      <c r="C7196" s="4" t="s">
        <v>268</v>
      </c>
      <c r="D7196" s="4">
        <v>305</v>
      </c>
      <c r="E7196" s="4">
        <v>13</v>
      </c>
      <c r="G7196">
        <f t="shared" si="112"/>
        <v>160</v>
      </c>
    </row>
    <row r="7197" spans="2:7" ht="15" hidden="1" x14ac:dyDescent="0.25">
      <c r="B7197" s="4">
        <v>584634176</v>
      </c>
      <c r="C7197" s="4" t="s">
        <v>268</v>
      </c>
      <c r="D7197" s="4">
        <v>306</v>
      </c>
      <c r="E7197" s="4">
        <v>13</v>
      </c>
      <c r="G7197">
        <f t="shared" si="112"/>
        <v>160</v>
      </c>
    </row>
    <row r="7198" spans="2:7" ht="15" hidden="1" x14ac:dyDescent="0.25">
      <c r="B7198" s="4">
        <v>584634176</v>
      </c>
      <c r="C7198" s="4" t="s">
        <v>268</v>
      </c>
      <c r="D7198" s="4">
        <v>306</v>
      </c>
      <c r="E7198" s="4">
        <v>13</v>
      </c>
      <c r="G7198">
        <f t="shared" si="112"/>
        <v>160</v>
      </c>
    </row>
    <row r="7199" spans="2:7" ht="15" hidden="1" x14ac:dyDescent="0.25">
      <c r="B7199" s="4">
        <v>584634176</v>
      </c>
      <c r="C7199" s="4" t="s">
        <v>268</v>
      </c>
      <c r="D7199" s="4">
        <v>307</v>
      </c>
      <c r="E7199" s="4">
        <v>13</v>
      </c>
      <c r="G7199">
        <f t="shared" si="112"/>
        <v>160</v>
      </c>
    </row>
    <row r="7200" spans="2:7" ht="15" hidden="1" x14ac:dyDescent="0.25">
      <c r="B7200" s="4">
        <v>584634176</v>
      </c>
      <c r="C7200" s="4" t="s">
        <v>268</v>
      </c>
      <c r="D7200" s="4">
        <v>307</v>
      </c>
      <c r="E7200" s="4">
        <v>13</v>
      </c>
      <c r="G7200">
        <f t="shared" si="112"/>
        <v>160</v>
      </c>
    </row>
    <row r="7201" spans="2:7" ht="15" hidden="1" x14ac:dyDescent="0.25">
      <c r="B7201" s="4">
        <v>584634176</v>
      </c>
      <c r="C7201" s="4" t="s">
        <v>268</v>
      </c>
      <c r="D7201" s="4">
        <v>308</v>
      </c>
      <c r="E7201" s="4">
        <v>13</v>
      </c>
      <c r="G7201">
        <f t="shared" si="112"/>
        <v>160</v>
      </c>
    </row>
    <row r="7202" spans="2:7" ht="15" hidden="1" x14ac:dyDescent="0.25">
      <c r="B7202" s="4">
        <v>584634176</v>
      </c>
      <c r="C7202" s="4" t="s">
        <v>268</v>
      </c>
      <c r="D7202" s="4">
        <v>308</v>
      </c>
      <c r="E7202" s="4">
        <v>13</v>
      </c>
      <c r="G7202">
        <f t="shared" si="112"/>
        <v>160</v>
      </c>
    </row>
    <row r="7203" spans="2:7" ht="15" hidden="1" x14ac:dyDescent="0.25">
      <c r="B7203" s="4">
        <v>584634176</v>
      </c>
      <c r="C7203" s="4" t="s">
        <v>268</v>
      </c>
      <c r="D7203" s="4">
        <v>309</v>
      </c>
      <c r="E7203" s="4">
        <v>13</v>
      </c>
      <c r="G7203">
        <f t="shared" si="112"/>
        <v>160</v>
      </c>
    </row>
    <row r="7204" spans="2:7" ht="15" hidden="1" x14ac:dyDescent="0.25">
      <c r="B7204" s="4">
        <v>584634176</v>
      </c>
      <c r="C7204" s="4" t="s">
        <v>268</v>
      </c>
      <c r="D7204" s="4">
        <v>309</v>
      </c>
      <c r="E7204" s="4">
        <v>13</v>
      </c>
      <c r="G7204">
        <f t="shared" si="112"/>
        <v>160</v>
      </c>
    </row>
    <row r="7205" spans="2:7" ht="15" hidden="1" x14ac:dyDescent="0.25">
      <c r="B7205" s="4">
        <v>584634176</v>
      </c>
      <c r="C7205" s="4" t="s">
        <v>268</v>
      </c>
      <c r="D7205" s="4">
        <v>310</v>
      </c>
      <c r="E7205" s="4">
        <v>13</v>
      </c>
      <c r="G7205">
        <f t="shared" si="112"/>
        <v>160</v>
      </c>
    </row>
    <row r="7206" spans="2:7" ht="15" hidden="1" x14ac:dyDescent="0.25">
      <c r="B7206" s="4">
        <v>584634176</v>
      </c>
      <c r="C7206" s="4" t="s">
        <v>268</v>
      </c>
      <c r="D7206" s="4">
        <v>310</v>
      </c>
      <c r="E7206" s="4">
        <v>13</v>
      </c>
      <c r="G7206">
        <f t="shared" si="112"/>
        <v>160</v>
      </c>
    </row>
    <row r="7207" spans="2:7" ht="15" hidden="1" x14ac:dyDescent="0.25">
      <c r="B7207" s="4">
        <v>584634176</v>
      </c>
      <c r="C7207" s="4" t="s">
        <v>268</v>
      </c>
      <c r="D7207" s="4">
        <v>311</v>
      </c>
      <c r="E7207" s="4">
        <v>13</v>
      </c>
      <c r="G7207">
        <f t="shared" si="112"/>
        <v>160</v>
      </c>
    </row>
    <row r="7208" spans="2:7" ht="15" hidden="1" x14ac:dyDescent="0.25">
      <c r="B7208" s="4">
        <v>584634176</v>
      </c>
      <c r="C7208" s="4" t="s">
        <v>268</v>
      </c>
      <c r="D7208" s="4">
        <v>311</v>
      </c>
      <c r="E7208" s="4">
        <v>13</v>
      </c>
      <c r="G7208">
        <f t="shared" si="112"/>
        <v>160</v>
      </c>
    </row>
    <row r="7209" spans="2:7" ht="15" hidden="1" x14ac:dyDescent="0.25">
      <c r="B7209" s="4">
        <v>584634176</v>
      </c>
      <c r="C7209" s="4" t="s">
        <v>268</v>
      </c>
      <c r="D7209" s="4">
        <v>312</v>
      </c>
      <c r="E7209" s="4">
        <v>13</v>
      </c>
      <c r="G7209">
        <f t="shared" si="112"/>
        <v>160</v>
      </c>
    </row>
    <row r="7210" spans="2:7" ht="15" hidden="1" x14ac:dyDescent="0.25">
      <c r="B7210" s="4">
        <v>584634176</v>
      </c>
      <c r="C7210" s="4" t="s">
        <v>268</v>
      </c>
      <c r="D7210" s="4">
        <v>312</v>
      </c>
      <c r="E7210" s="4">
        <v>13</v>
      </c>
      <c r="G7210">
        <f t="shared" si="112"/>
        <v>160</v>
      </c>
    </row>
    <row r="7211" spans="2:7" ht="15" hidden="1" x14ac:dyDescent="0.25">
      <c r="B7211" s="4">
        <v>584634176</v>
      </c>
      <c r="C7211" s="4" t="s">
        <v>268</v>
      </c>
      <c r="D7211" s="4">
        <v>313</v>
      </c>
      <c r="E7211" s="4">
        <v>13</v>
      </c>
      <c r="G7211">
        <f t="shared" si="112"/>
        <v>160</v>
      </c>
    </row>
    <row r="7212" spans="2:7" ht="15" hidden="1" x14ac:dyDescent="0.25">
      <c r="B7212" s="4">
        <v>584634176</v>
      </c>
      <c r="C7212" s="4" t="s">
        <v>268</v>
      </c>
      <c r="D7212" s="4">
        <v>313</v>
      </c>
      <c r="E7212" s="4">
        <v>13</v>
      </c>
      <c r="G7212">
        <f t="shared" si="112"/>
        <v>160</v>
      </c>
    </row>
    <row r="7213" spans="2:7" ht="15" hidden="1" x14ac:dyDescent="0.25">
      <c r="G7213">
        <f t="shared" si="112"/>
        <v>56</v>
      </c>
    </row>
    <row r="7214" spans="2:7" ht="15" hidden="1" x14ac:dyDescent="0.25">
      <c r="B7214" s="4">
        <v>584634176</v>
      </c>
      <c r="C7214" s="4" t="s">
        <v>268</v>
      </c>
      <c r="D7214" s="4">
        <v>314</v>
      </c>
      <c r="E7214" s="4">
        <v>13</v>
      </c>
      <c r="G7214">
        <f t="shared" si="112"/>
        <v>160</v>
      </c>
    </row>
    <row r="7215" spans="2:7" ht="15" hidden="1" x14ac:dyDescent="0.25">
      <c r="B7215" s="4">
        <v>584634176</v>
      </c>
      <c r="C7215" s="4" t="s">
        <v>268</v>
      </c>
      <c r="D7215" s="4">
        <v>314</v>
      </c>
      <c r="E7215" s="4">
        <v>13</v>
      </c>
      <c r="G7215">
        <f t="shared" si="112"/>
        <v>160</v>
      </c>
    </row>
    <row r="7216" spans="2:7" ht="15" hidden="1" x14ac:dyDescent="0.25">
      <c r="B7216" s="4">
        <v>584634176</v>
      </c>
      <c r="C7216" s="4" t="s">
        <v>268</v>
      </c>
      <c r="D7216" s="4">
        <v>315</v>
      </c>
      <c r="E7216" s="4">
        <v>7</v>
      </c>
      <c r="G7216">
        <f t="shared" si="112"/>
        <v>112</v>
      </c>
    </row>
    <row r="7217" spans="2:7" ht="15" hidden="1" x14ac:dyDescent="0.25">
      <c r="B7217" s="4">
        <v>584634176</v>
      </c>
      <c r="C7217" s="4" t="s">
        <v>268</v>
      </c>
      <c r="D7217" s="4">
        <v>315</v>
      </c>
      <c r="E7217" s="4">
        <v>7</v>
      </c>
      <c r="G7217">
        <f t="shared" si="112"/>
        <v>112</v>
      </c>
    </row>
    <row r="7218" spans="2:7" ht="15" hidden="1" x14ac:dyDescent="0.25">
      <c r="B7218" s="4">
        <v>584634236</v>
      </c>
      <c r="C7218" s="4" t="s">
        <v>268</v>
      </c>
      <c r="D7218" s="4">
        <v>316</v>
      </c>
      <c r="E7218" s="4">
        <v>13</v>
      </c>
      <c r="G7218">
        <f t="shared" si="112"/>
        <v>160</v>
      </c>
    </row>
    <row r="7219" spans="2:7" ht="15" hidden="1" x14ac:dyDescent="0.25">
      <c r="B7219" s="4">
        <v>584634236</v>
      </c>
      <c r="C7219" s="4" t="s">
        <v>268</v>
      </c>
      <c r="D7219" s="4">
        <v>316</v>
      </c>
      <c r="E7219" s="4">
        <v>13</v>
      </c>
      <c r="G7219">
        <f t="shared" si="112"/>
        <v>160</v>
      </c>
    </row>
    <row r="7220" spans="2:7" ht="15" hidden="1" x14ac:dyDescent="0.25">
      <c r="B7220" s="4">
        <v>584634236</v>
      </c>
      <c r="C7220" s="4" t="s">
        <v>268</v>
      </c>
      <c r="D7220" s="4">
        <v>317</v>
      </c>
      <c r="E7220" s="4">
        <v>7</v>
      </c>
      <c r="G7220">
        <f t="shared" si="112"/>
        <v>112</v>
      </c>
    </row>
    <row r="7221" spans="2:7" ht="15" hidden="1" x14ac:dyDescent="0.25">
      <c r="B7221" s="4">
        <v>584634236</v>
      </c>
      <c r="C7221" s="4" t="s">
        <v>268</v>
      </c>
      <c r="D7221" s="4">
        <v>317</v>
      </c>
      <c r="E7221" s="4">
        <v>7</v>
      </c>
      <c r="G7221">
        <f t="shared" si="112"/>
        <v>112</v>
      </c>
    </row>
    <row r="7222" spans="2:7" ht="15" hidden="1" x14ac:dyDescent="0.25">
      <c r="B7222" s="4">
        <v>584634596</v>
      </c>
      <c r="C7222" s="4" t="s">
        <v>268</v>
      </c>
      <c r="D7222" s="4">
        <v>318</v>
      </c>
      <c r="E7222" s="4">
        <v>7</v>
      </c>
      <c r="G7222">
        <f t="shared" si="112"/>
        <v>112</v>
      </c>
    </row>
    <row r="7223" spans="2:7" ht="15" hidden="1" x14ac:dyDescent="0.25">
      <c r="B7223" s="4">
        <v>584634596</v>
      </c>
      <c r="C7223" s="4" t="s">
        <v>268</v>
      </c>
      <c r="D7223" s="4">
        <v>318</v>
      </c>
      <c r="E7223" s="4">
        <v>7</v>
      </c>
      <c r="G7223">
        <f t="shared" si="112"/>
        <v>112</v>
      </c>
    </row>
    <row r="7224" spans="2:7" ht="15" hidden="1" x14ac:dyDescent="0.25">
      <c r="B7224" s="4">
        <v>584634596</v>
      </c>
      <c r="C7224" s="4" t="s">
        <v>268</v>
      </c>
      <c r="D7224" s="4">
        <v>319</v>
      </c>
      <c r="E7224" s="4">
        <v>13</v>
      </c>
      <c r="G7224">
        <f t="shared" si="112"/>
        <v>160</v>
      </c>
    </row>
    <row r="7225" spans="2:7" ht="15" hidden="1" x14ac:dyDescent="0.25">
      <c r="B7225" s="4">
        <v>584634596</v>
      </c>
      <c r="C7225" s="4" t="s">
        <v>268</v>
      </c>
      <c r="D7225" s="4">
        <v>319</v>
      </c>
      <c r="E7225" s="4">
        <v>13</v>
      </c>
      <c r="G7225">
        <f t="shared" si="112"/>
        <v>160</v>
      </c>
    </row>
    <row r="7226" spans="2:7" ht="15" hidden="1" x14ac:dyDescent="0.25">
      <c r="B7226" s="4">
        <v>584634596</v>
      </c>
      <c r="C7226" s="4" t="s">
        <v>268</v>
      </c>
      <c r="D7226" s="4">
        <v>320</v>
      </c>
      <c r="E7226" s="4">
        <v>7</v>
      </c>
      <c r="G7226">
        <f t="shared" si="112"/>
        <v>112</v>
      </c>
    </row>
    <row r="7227" spans="2:7" ht="15" hidden="1" x14ac:dyDescent="0.25">
      <c r="B7227" s="4">
        <v>584634596</v>
      </c>
      <c r="C7227" s="4" t="s">
        <v>268</v>
      </c>
      <c r="D7227" s="4">
        <v>320</v>
      </c>
      <c r="E7227" s="4">
        <v>7</v>
      </c>
      <c r="G7227">
        <f t="shared" si="112"/>
        <v>112</v>
      </c>
    </row>
    <row r="7228" spans="2:7" ht="15" hidden="1" x14ac:dyDescent="0.25">
      <c r="B7228" s="4">
        <v>584634644</v>
      </c>
      <c r="C7228" s="4" t="s">
        <v>275</v>
      </c>
      <c r="D7228" s="4">
        <v>171</v>
      </c>
      <c r="E7228" s="4">
        <v>150</v>
      </c>
      <c r="G7228">
        <f t="shared" si="112"/>
        <v>1256</v>
      </c>
    </row>
    <row r="7229" spans="2:7" ht="15" hidden="1" x14ac:dyDescent="0.25">
      <c r="B7229" s="4">
        <v>584634647</v>
      </c>
      <c r="C7229" s="4" t="s">
        <v>275</v>
      </c>
      <c r="D7229" s="4">
        <v>172</v>
      </c>
      <c r="E7229" s="4">
        <v>152</v>
      </c>
      <c r="G7229">
        <f t="shared" si="112"/>
        <v>1272</v>
      </c>
    </row>
    <row r="7230" spans="2:7" ht="15" hidden="1" x14ac:dyDescent="0.25">
      <c r="B7230" s="4">
        <v>584634649</v>
      </c>
      <c r="C7230" s="4" t="s">
        <v>276</v>
      </c>
      <c r="D7230" s="4">
        <v>0</v>
      </c>
      <c r="E7230" s="4">
        <v>205</v>
      </c>
      <c r="G7230">
        <f t="shared" si="112"/>
        <v>1696</v>
      </c>
    </row>
    <row r="7231" spans="2:7" ht="15" hidden="1" x14ac:dyDescent="0.25">
      <c r="B7231" s="4">
        <v>584634650</v>
      </c>
      <c r="C7231" s="4" t="s">
        <v>275</v>
      </c>
      <c r="D7231" s="4">
        <v>173</v>
      </c>
      <c r="E7231" s="4">
        <v>148</v>
      </c>
      <c r="G7231">
        <f t="shared" si="112"/>
        <v>1240</v>
      </c>
    </row>
    <row r="7232" spans="2:7" ht="15" hidden="1" x14ac:dyDescent="0.25">
      <c r="B7232" s="4">
        <v>584634653</v>
      </c>
      <c r="C7232" s="4" t="s">
        <v>275</v>
      </c>
      <c r="D7232" s="4">
        <v>174</v>
      </c>
      <c r="E7232" s="4">
        <v>152</v>
      </c>
      <c r="G7232">
        <f t="shared" si="112"/>
        <v>1272</v>
      </c>
    </row>
    <row r="7233" spans="2:7" ht="15" hidden="1" x14ac:dyDescent="0.25">
      <c r="B7233" s="4">
        <v>584634656</v>
      </c>
      <c r="C7233" s="4" t="s">
        <v>275</v>
      </c>
      <c r="D7233" s="4">
        <v>175</v>
      </c>
      <c r="E7233" s="4">
        <v>150</v>
      </c>
      <c r="G7233">
        <f t="shared" si="112"/>
        <v>1256</v>
      </c>
    </row>
    <row r="7234" spans="2:7" ht="15" hidden="1" x14ac:dyDescent="0.25">
      <c r="B7234" s="4">
        <v>584634659</v>
      </c>
      <c r="C7234" s="4" t="s">
        <v>275</v>
      </c>
      <c r="D7234" s="4">
        <v>176</v>
      </c>
      <c r="E7234" s="4">
        <v>148</v>
      </c>
      <c r="G7234">
        <f t="shared" si="112"/>
        <v>1240</v>
      </c>
    </row>
    <row r="7235" spans="2:7" ht="15" hidden="1" x14ac:dyDescent="0.25">
      <c r="B7235" s="4">
        <v>584634662</v>
      </c>
      <c r="C7235" s="4" t="s">
        <v>275</v>
      </c>
      <c r="D7235" s="4">
        <v>177</v>
      </c>
      <c r="E7235" s="4">
        <v>146</v>
      </c>
      <c r="G7235">
        <f t="shared" si="112"/>
        <v>1224</v>
      </c>
    </row>
    <row r="7236" spans="2:7" ht="15" hidden="1" x14ac:dyDescent="0.25">
      <c r="B7236" s="4">
        <v>584634665</v>
      </c>
      <c r="C7236" s="4" t="s">
        <v>275</v>
      </c>
      <c r="D7236" s="4">
        <v>178</v>
      </c>
      <c r="E7236" s="4">
        <v>154</v>
      </c>
      <c r="G7236">
        <f t="shared" ref="G7236:G7299" si="113">(E7236+7)*8</f>
        <v>1288</v>
      </c>
    </row>
    <row r="7237" spans="2:7" ht="15" hidden="1" x14ac:dyDescent="0.25">
      <c r="B7237" s="4">
        <v>584634668</v>
      </c>
      <c r="C7237" s="4" t="s">
        <v>275</v>
      </c>
      <c r="D7237" s="4">
        <v>179</v>
      </c>
      <c r="E7237" s="4">
        <v>148</v>
      </c>
      <c r="G7237">
        <f t="shared" si="113"/>
        <v>1240</v>
      </c>
    </row>
    <row r="7238" spans="2:7" ht="15" hidden="1" x14ac:dyDescent="0.25">
      <c r="B7238" s="4">
        <v>584634671</v>
      </c>
      <c r="C7238" s="4" t="s">
        <v>275</v>
      </c>
      <c r="D7238" s="4">
        <v>180</v>
      </c>
      <c r="E7238" s="4">
        <v>150</v>
      </c>
      <c r="G7238">
        <f t="shared" si="113"/>
        <v>1256</v>
      </c>
    </row>
    <row r="7239" spans="2:7" ht="15" hidden="1" x14ac:dyDescent="0.25">
      <c r="B7239" s="4">
        <v>584634672</v>
      </c>
      <c r="C7239" s="4" t="s">
        <v>277</v>
      </c>
      <c r="D7239" s="4">
        <v>0</v>
      </c>
      <c r="E7239" s="4">
        <v>59</v>
      </c>
      <c r="G7239">
        <f t="shared" si="113"/>
        <v>528</v>
      </c>
    </row>
    <row r="7240" spans="2:7" ht="15" hidden="1" x14ac:dyDescent="0.25">
      <c r="B7240" s="4">
        <v>584634674</v>
      </c>
      <c r="C7240" s="4" t="s">
        <v>275</v>
      </c>
      <c r="D7240" s="4">
        <v>181</v>
      </c>
      <c r="E7240" s="4">
        <v>150</v>
      </c>
      <c r="G7240">
        <f t="shared" si="113"/>
        <v>1256</v>
      </c>
    </row>
    <row r="7241" spans="2:7" ht="15" hidden="1" x14ac:dyDescent="0.25">
      <c r="B7241" s="4">
        <v>584634677</v>
      </c>
      <c r="C7241" s="4" t="s">
        <v>275</v>
      </c>
      <c r="D7241" s="4">
        <v>182</v>
      </c>
      <c r="E7241" s="4">
        <v>146</v>
      </c>
      <c r="G7241">
        <f t="shared" si="113"/>
        <v>1224</v>
      </c>
    </row>
    <row r="7242" spans="2:7" ht="15" hidden="1" x14ac:dyDescent="0.25">
      <c r="B7242" s="4">
        <v>584634680</v>
      </c>
      <c r="C7242" s="4" t="s">
        <v>275</v>
      </c>
      <c r="D7242" s="4">
        <v>183</v>
      </c>
      <c r="E7242" s="4">
        <v>146</v>
      </c>
      <c r="G7242">
        <f t="shared" si="113"/>
        <v>1224</v>
      </c>
    </row>
    <row r="7243" spans="2:7" ht="15" hidden="1" x14ac:dyDescent="0.25">
      <c r="B7243" s="4">
        <v>584634683</v>
      </c>
      <c r="C7243" s="4" t="s">
        <v>275</v>
      </c>
      <c r="D7243" s="4">
        <v>184</v>
      </c>
      <c r="E7243" s="4">
        <v>146</v>
      </c>
      <c r="G7243">
        <f t="shared" si="113"/>
        <v>1224</v>
      </c>
    </row>
    <row r="7244" spans="2:7" ht="15" hidden="1" x14ac:dyDescent="0.25">
      <c r="B7244" s="4">
        <v>584634686</v>
      </c>
      <c r="C7244" s="4" t="s">
        <v>275</v>
      </c>
      <c r="D7244" s="4">
        <v>185</v>
      </c>
      <c r="E7244" s="4">
        <v>148</v>
      </c>
      <c r="G7244">
        <f t="shared" si="113"/>
        <v>1240</v>
      </c>
    </row>
    <row r="7245" spans="2:7" ht="15" hidden="1" x14ac:dyDescent="0.25">
      <c r="B7245" s="4">
        <v>584634689</v>
      </c>
      <c r="C7245" s="4" t="s">
        <v>275</v>
      </c>
      <c r="D7245" s="4">
        <v>186</v>
      </c>
      <c r="E7245" s="4">
        <v>150</v>
      </c>
      <c r="G7245">
        <f t="shared" si="113"/>
        <v>1256</v>
      </c>
    </row>
    <row r="7246" spans="2:7" ht="15" hidden="1" x14ac:dyDescent="0.25">
      <c r="B7246" s="4">
        <v>584634692</v>
      </c>
      <c r="C7246" s="4" t="s">
        <v>275</v>
      </c>
      <c r="D7246" s="4">
        <v>187</v>
      </c>
      <c r="E7246" s="4">
        <v>146</v>
      </c>
      <c r="G7246">
        <f t="shared" si="113"/>
        <v>1224</v>
      </c>
    </row>
    <row r="7247" spans="2:7" ht="15" hidden="1" x14ac:dyDescent="0.25">
      <c r="B7247" s="4">
        <v>584634695</v>
      </c>
      <c r="C7247" s="4" t="s">
        <v>273</v>
      </c>
      <c r="D7247" s="4">
        <v>7526</v>
      </c>
      <c r="E7247" s="4">
        <v>317</v>
      </c>
      <c r="G7247">
        <f t="shared" si="113"/>
        <v>2592</v>
      </c>
    </row>
    <row r="7248" spans="2:7" ht="15" hidden="1" x14ac:dyDescent="0.25">
      <c r="B7248" s="4">
        <v>584634695</v>
      </c>
      <c r="C7248" s="4" t="s">
        <v>275</v>
      </c>
      <c r="D7248" s="4">
        <v>188</v>
      </c>
      <c r="E7248" s="4">
        <v>154</v>
      </c>
      <c r="G7248">
        <f t="shared" si="113"/>
        <v>1288</v>
      </c>
    </row>
    <row r="7249" spans="2:7" ht="15" hidden="1" x14ac:dyDescent="0.25">
      <c r="B7249" s="4">
        <v>584634698</v>
      </c>
      <c r="C7249" s="4" t="s">
        <v>275</v>
      </c>
      <c r="D7249" s="4">
        <v>189</v>
      </c>
      <c r="E7249" s="4">
        <v>154</v>
      </c>
      <c r="G7249">
        <f t="shared" si="113"/>
        <v>1288</v>
      </c>
    </row>
    <row r="7250" spans="2:7" ht="15" hidden="1" x14ac:dyDescent="0.25">
      <c r="B7250" s="4">
        <v>584634701</v>
      </c>
      <c r="C7250" s="4" t="s">
        <v>275</v>
      </c>
      <c r="D7250" s="4">
        <v>190</v>
      </c>
      <c r="E7250" s="4">
        <v>146</v>
      </c>
      <c r="G7250">
        <f t="shared" si="113"/>
        <v>1224</v>
      </c>
    </row>
    <row r="7251" spans="2:7" ht="15" hidden="1" x14ac:dyDescent="0.25">
      <c r="B7251" s="4">
        <v>584634704</v>
      </c>
      <c r="C7251" s="4" t="s">
        <v>275</v>
      </c>
      <c r="D7251" s="4">
        <v>191</v>
      </c>
      <c r="E7251" s="4">
        <v>146</v>
      </c>
      <c r="G7251">
        <f t="shared" si="113"/>
        <v>1224</v>
      </c>
    </row>
    <row r="7252" spans="2:7" ht="15" hidden="1" x14ac:dyDescent="0.25">
      <c r="B7252" s="4">
        <v>584634707</v>
      </c>
      <c r="C7252" s="4" t="s">
        <v>275</v>
      </c>
      <c r="D7252" s="4">
        <v>192</v>
      </c>
      <c r="E7252" s="4">
        <v>146</v>
      </c>
      <c r="G7252">
        <f t="shared" si="113"/>
        <v>1224</v>
      </c>
    </row>
    <row r="7253" spans="2:7" ht="15" hidden="1" x14ac:dyDescent="0.25">
      <c r="B7253" s="4">
        <v>584634710</v>
      </c>
      <c r="C7253" s="4" t="s">
        <v>275</v>
      </c>
      <c r="D7253" s="4">
        <v>193</v>
      </c>
      <c r="E7253" s="4">
        <v>144</v>
      </c>
      <c r="G7253">
        <f t="shared" si="113"/>
        <v>1208</v>
      </c>
    </row>
    <row r="7254" spans="2:7" ht="15" hidden="1" x14ac:dyDescent="0.25">
      <c r="B7254" s="4">
        <v>584634713</v>
      </c>
      <c r="C7254" s="4" t="s">
        <v>275</v>
      </c>
      <c r="D7254" s="4">
        <v>194</v>
      </c>
      <c r="E7254" s="4">
        <v>150</v>
      </c>
      <c r="G7254">
        <f t="shared" si="113"/>
        <v>1256</v>
      </c>
    </row>
    <row r="7255" spans="2:7" ht="15" hidden="1" x14ac:dyDescent="0.25">
      <c r="B7255" s="4">
        <v>584634716</v>
      </c>
      <c r="C7255" s="4" t="s">
        <v>275</v>
      </c>
      <c r="D7255" s="4">
        <v>195</v>
      </c>
      <c r="E7255" s="4">
        <v>152</v>
      </c>
      <c r="G7255">
        <f t="shared" si="113"/>
        <v>1272</v>
      </c>
    </row>
    <row r="7256" spans="2:7" ht="15" hidden="1" x14ac:dyDescent="0.25">
      <c r="B7256" s="4">
        <v>584634719</v>
      </c>
      <c r="C7256" s="4" t="s">
        <v>275</v>
      </c>
      <c r="D7256" s="4">
        <v>196</v>
      </c>
      <c r="E7256" s="4">
        <v>146</v>
      </c>
      <c r="G7256">
        <f t="shared" si="113"/>
        <v>1224</v>
      </c>
    </row>
    <row r="7257" spans="2:7" ht="15" hidden="1" x14ac:dyDescent="0.25">
      <c r="B7257" s="4">
        <v>584634722</v>
      </c>
      <c r="C7257" s="4" t="s">
        <v>275</v>
      </c>
      <c r="D7257" s="4">
        <v>197</v>
      </c>
      <c r="E7257" s="4">
        <v>146</v>
      </c>
      <c r="G7257">
        <f t="shared" si="113"/>
        <v>1224</v>
      </c>
    </row>
    <row r="7258" spans="2:7" ht="15" hidden="1" x14ac:dyDescent="0.25">
      <c r="B7258" s="4">
        <v>584634725</v>
      </c>
      <c r="C7258" s="4" t="s">
        <v>275</v>
      </c>
      <c r="D7258" s="4">
        <v>198</v>
      </c>
      <c r="E7258" s="4">
        <v>150</v>
      </c>
      <c r="G7258">
        <f t="shared" si="113"/>
        <v>1256</v>
      </c>
    </row>
    <row r="7259" spans="2:7" ht="15" hidden="1" x14ac:dyDescent="0.25">
      <c r="B7259" s="4">
        <v>584634728</v>
      </c>
      <c r="C7259" s="4" t="s">
        <v>275</v>
      </c>
      <c r="D7259" s="4">
        <v>199</v>
      </c>
      <c r="E7259" s="4">
        <v>146</v>
      </c>
      <c r="G7259">
        <f t="shared" si="113"/>
        <v>1224</v>
      </c>
    </row>
    <row r="7260" spans="2:7" ht="15" hidden="1" x14ac:dyDescent="0.25">
      <c r="B7260" s="4">
        <v>584634731</v>
      </c>
      <c r="C7260" s="4" t="s">
        <v>275</v>
      </c>
      <c r="D7260" s="4">
        <v>200</v>
      </c>
      <c r="E7260" s="4">
        <v>148</v>
      </c>
      <c r="G7260">
        <f t="shared" si="113"/>
        <v>1240</v>
      </c>
    </row>
    <row r="7261" spans="2:7" ht="15" hidden="1" x14ac:dyDescent="0.25">
      <c r="B7261" s="4">
        <v>584634734</v>
      </c>
      <c r="C7261" s="4" t="s">
        <v>275</v>
      </c>
      <c r="D7261" s="4">
        <v>201</v>
      </c>
      <c r="E7261" s="4">
        <v>150</v>
      </c>
      <c r="G7261">
        <f t="shared" si="113"/>
        <v>1256</v>
      </c>
    </row>
    <row r="7262" spans="2:7" ht="15" hidden="1" x14ac:dyDescent="0.25">
      <c r="B7262" s="4">
        <v>584634737</v>
      </c>
      <c r="C7262" s="4" t="s">
        <v>275</v>
      </c>
      <c r="D7262" s="4">
        <v>202</v>
      </c>
      <c r="E7262" s="4">
        <v>150</v>
      </c>
      <c r="G7262">
        <f t="shared" si="113"/>
        <v>1256</v>
      </c>
    </row>
    <row r="7263" spans="2:7" ht="15" hidden="1" x14ac:dyDescent="0.25">
      <c r="B7263" s="4">
        <v>584634740</v>
      </c>
      <c r="C7263" s="4" t="s">
        <v>275</v>
      </c>
      <c r="D7263" s="4">
        <v>203</v>
      </c>
      <c r="E7263" s="4">
        <v>154</v>
      </c>
      <c r="G7263">
        <f t="shared" si="113"/>
        <v>1288</v>
      </c>
    </row>
    <row r="7264" spans="2:7" ht="15" hidden="1" x14ac:dyDescent="0.25">
      <c r="B7264" s="4">
        <v>584634743</v>
      </c>
      <c r="C7264" s="4" t="s">
        <v>275</v>
      </c>
      <c r="D7264" s="4">
        <v>204</v>
      </c>
      <c r="E7264" s="4">
        <v>146</v>
      </c>
      <c r="G7264">
        <f t="shared" si="113"/>
        <v>1224</v>
      </c>
    </row>
    <row r="7265" spans="2:7" ht="15" hidden="1" x14ac:dyDescent="0.25">
      <c r="B7265" s="4">
        <v>584634746</v>
      </c>
      <c r="C7265" s="4" t="s">
        <v>275</v>
      </c>
      <c r="D7265" s="4">
        <v>205</v>
      </c>
      <c r="E7265" s="4">
        <v>150</v>
      </c>
      <c r="G7265">
        <f t="shared" si="113"/>
        <v>1256</v>
      </c>
    </row>
    <row r="7266" spans="2:7" ht="15" hidden="1" x14ac:dyDescent="0.25">
      <c r="B7266" s="4">
        <v>584634749</v>
      </c>
      <c r="C7266" s="4" t="s">
        <v>275</v>
      </c>
      <c r="D7266" s="4">
        <v>206</v>
      </c>
      <c r="E7266" s="4">
        <v>152</v>
      </c>
      <c r="G7266">
        <f t="shared" si="113"/>
        <v>1272</v>
      </c>
    </row>
    <row r="7267" spans="2:7" ht="15" hidden="1" x14ac:dyDescent="0.25">
      <c r="B7267" s="4">
        <v>584634752</v>
      </c>
      <c r="C7267" s="4" t="s">
        <v>275</v>
      </c>
      <c r="D7267" s="4">
        <v>207</v>
      </c>
      <c r="E7267" s="4">
        <v>150</v>
      </c>
      <c r="G7267">
        <f t="shared" si="113"/>
        <v>1256</v>
      </c>
    </row>
    <row r="7268" spans="2:7" ht="15" hidden="1" x14ac:dyDescent="0.25">
      <c r="B7268" s="4">
        <v>584634755</v>
      </c>
      <c r="C7268" s="4" t="s">
        <v>275</v>
      </c>
      <c r="D7268" s="4">
        <v>208</v>
      </c>
      <c r="E7268" s="4">
        <v>150</v>
      </c>
      <c r="G7268">
        <f t="shared" si="113"/>
        <v>1256</v>
      </c>
    </row>
    <row r="7269" spans="2:7" ht="15" hidden="1" x14ac:dyDescent="0.25">
      <c r="B7269" s="4">
        <v>584634758</v>
      </c>
      <c r="C7269" s="4" t="s">
        <v>275</v>
      </c>
      <c r="D7269" s="4">
        <v>209</v>
      </c>
      <c r="E7269" s="4">
        <v>146</v>
      </c>
      <c r="G7269">
        <f t="shared" si="113"/>
        <v>1224</v>
      </c>
    </row>
    <row r="7270" spans="2:7" ht="15" hidden="1" x14ac:dyDescent="0.25">
      <c r="B7270" s="4">
        <v>584634761</v>
      </c>
      <c r="C7270" s="4" t="s">
        <v>275</v>
      </c>
      <c r="D7270" s="4">
        <v>210</v>
      </c>
      <c r="E7270" s="4">
        <v>146</v>
      </c>
      <c r="G7270">
        <f t="shared" si="113"/>
        <v>1224</v>
      </c>
    </row>
    <row r="7271" spans="2:7" ht="15" hidden="1" x14ac:dyDescent="0.25">
      <c r="B7271" s="4">
        <v>584634764</v>
      </c>
      <c r="C7271" s="4" t="s">
        <v>275</v>
      </c>
      <c r="D7271" s="4">
        <v>211</v>
      </c>
      <c r="E7271" s="4">
        <v>144</v>
      </c>
      <c r="G7271">
        <f t="shared" si="113"/>
        <v>1208</v>
      </c>
    </row>
    <row r="7272" spans="2:7" ht="15" hidden="1" x14ac:dyDescent="0.25">
      <c r="B7272" s="4">
        <v>584634767</v>
      </c>
      <c r="C7272" s="4" t="s">
        <v>275</v>
      </c>
      <c r="D7272" s="4">
        <v>212</v>
      </c>
      <c r="E7272" s="4">
        <v>146</v>
      </c>
      <c r="G7272">
        <f t="shared" si="113"/>
        <v>1224</v>
      </c>
    </row>
    <row r="7273" spans="2:7" ht="15" hidden="1" x14ac:dyDescent="0.25">
      <c r="B7273" s="4">
        <v>584634770</v>
      </c>
      <c r="C7273" s="4" t="s">
        <v>275</v>
      </c>
      <c r="D7273" s="4">
        <v>213</v>
      </c>
      <c r="E7273" s="4">
        <v>148</v>
      </c>
      <c r="G7273">
        <f t="shared" si="113"/>
        <v>1240</v>
      </c>
    </row>
    <row r="7274" spans="2:7" ht="15" hidden="1" x14ac:dyDescent="0.25">
      <c r="B7274" s="4">
        <v>584634773</v>
      </c>
      <c r="C7274" s="4" t="s">
        <v>275</v>
      </c>
      <c r="D7274" s="4">
        <v>214</v>
      </c>
      <c r="E7274" s="4">
        <v>146</v>
      </c>
      <c r="G7274">
        <f t="shared" si="113"/>
        <v>1224</v>
      </c>
    </row>
    <row r="7275" spans="2:7" ht="15" hidden="1" x14ac:dyDescent="0.25">
      <c r="B7275" s="4">
        <v>584634776</v>
      </c>
      <c r="C7275" s="4" t="s">
        <v>275</v>
      </c>
      <c r="D7275" s="4">
        <v>215</v>
      </c>
      <c r="E7275" s="4">
        <v>150</v>
      </c>
      <c r="G7275">
        <f t="shared" si="113"/>
        <v>1256</v>
      </c>
    </row>
    <row r="7276" spans="2:7" ht="15" hidden="1" x14ac:dyDescent="0.25">
      <c r="B7276" s="4">
        <v>584634779</v>
      </c>
      <c r="C7276" s="4" t="s">
        <v>275</v>
      </c>
      <c r="D7276" s="4">
        <v>216</v>
      </c>
      <c r="E7276" s="4">
        <v>148</v>
      </c>
      <c r="G7276">
        <f t="shared" si="113"/>
        <v>1240</v>
      </c>
    </row>
    <row r="7277" spans="2:7" ht="15" hidden="1" x14ac:dyDescent="0.25">
      <c r="B7277" s="4">
        <v>584634782</v>
      </c>
      <c r="C7277" s="4" t="s">
        <v>275</v>
      </c>
      <c r="D7277" s="4">
        <v>217</v>
      </c>
      <c r="E7277" s="4">
        <v>146</v>
      </c>
      <c r="G7277">
        <f t="shared" si="113"/>
        <v>1224</v>
      </c>
    </row>
    <row r="7278" spans="2:7" ht="15" hidden="1" x14ac:dyDescent="0.25">
      <c r="B7278" s="4">
        <v>584634785</v>
      </c>
      <c r="C7278" s="4" t="s">
        <v>275</v>
      </c>
      <c r="D7278" s="4">
        <v>218</v>
      </c>
      <c r="E7278" s="4">
        <v>152</v>
      </c>
      <c r="G7278">
        <f t="shared" si="113"/>
        <v>1272</v>
      </c>
    </row>
    <row r="7279" spans="2:7" ht="15" hidden="1" x14ac:dyDescent="0.25">
      <c r="B7279" s="4">
        <v>584634787</v>
      </c>
      <c r="C7279" s="4" t="s">
        <v>276</v>
      </c>
      <c r="D7279" s="4">
        <v>1</v>
      </c>
      <c r="E7279" s="4">
        <v>205</v>
      </c>
      <c r="G7279">
        <f t="shared" si="113"/>
        <v>1696</v>
      </c>
    </row>
    <row r="7280" spans="2:7" ht="15" hidden="1" x14ac:dyDescent="0.25">
      <c r="B7280" s="4">
        <v>584634788</v>
      </c>
      <c r="C7280" s="4" t="s">
        <v>275</v>
      </c>
      <c r="D7280" s="4">
        <v>219</v>
      </c>
      <c r="E7280" s="4">
        <v>146</v>
      </c>
      <c r="G7280">
        <f t="shared" si="113"/>
        <v>1224</v>
      </c>
    </row>
    <row r="7281" spans="2:7" ht="15" hidden="1" x14ac:dyDescent="0.25">
      <c r="B7281" s="4">
        <v>584634791</v>
      </c>
      <c r="C7281" s="4" t="s">
        <v>275</v>
      </c>
      <c r="D7281" s="4">
        <v>220</v>
      </c>
      <c r="E7281" s="4">
        <v>146</v>
      </c>
      <c r="G7281">
        <f t="shared" si="113"/>
        <v>1224</v>
      </c>
    </row>
    <row r="7282" spans="2:7" ht="15" hidden="1" x14ac:dyDescent="0.25">
      <c r="B7282" s="4">
        <v>584634794</v>
      </c>
      <c r="C7282" s="4" t="s">
        <v>275</v>
      </c>
      <c r="D7282" s="4">
        <v>221</v>
      </c>
      <c r="E7282" s="4">
        <v>146</v>
      </c>
      <c r="G7282">
        <f t="shared" si="113"/>
        <v>1224</v>
      </c>
    </row>
    <row r="7283" spans="2:7" ht="15" hidden="1" x14ac:dyDescent="0.25">
      <c r="B7283" s="4">
        <v>584634797</v>
      </c>
      <c r="C7283" s="4" t="s">
        <v>275</v>
      </c>
      <c r="D7283" s="4">
        <v>222</v>
      </c>
      <c r="E7283" s="4">
        <v>146</v>
      </c>
      <c r="G7283">
        <f t="shared" si="113"/>
        <v>1224</v>
      </c>
    </row>
    <row r="7284" spans="2:7" ht="15" hidden="1" x14ac:dyDescent="0.25">
      <c r="B7284" s="4">
        <v>584634800</v>
      </c>
      <c r="C7284" s="4" t="s">
        <v>275</v>
      </c>
      <c r="D7284" s="4">
        <v>223</v>
      </c>
      <c r="E7284" s="4">
        <v>146</v>
      </c>
      <c r="G7284">
        <f t="shared" si="113"/>
        <v>1224</v>
      </c>
    </row>
    <row r="7285" spans="2:7" ht="15" hidden="1" x14ac:dyDescent="0.25">
      <c r="B7285" s="4">
        <v>584634803</v>
      </c>
      <c r="C7285" s="4" t="s">
        <v>275</v>
      </c>
      <c r="D7285" s="4">
        <v>224</v>
      </c>
      <c r="E7285" s="4">
        <v>150</v>
      </c>
      <c r="G7285">
        <f t="shared" si="113"/>
        <v>1256</v>
      </c>
    </row>
    <row r="7286" spans="2:7" ht="15" hidden="1" x14ac:dyDescent="0.25">
      <c r="B7286" s="4">
        <v>584634806</v>
      </c>
      <c r="C7286" s="4" t="s">
        <v>275</v>
      </c>
      <c r="D7286" s="4">
        <v>225</v>
      </c>
      <c r="E7286" s="4">
        <v>150</v>
      </c>
      <c r="G7286">
        <f t="shared" si="113"/>
        <v>1256</v>
      </c>
    </row>
    <row r="7287" spans="2:7" ht="15" hidden="1" x14ac:dyDescent="0.25">
      <c r="B7287" s="4">
        <v>584634809</v>
      </c>
      <c r="C7287" s="4" t="s">
        <v>275</v>
      </c>
      <c r="D7287" s="4">
        <v>226</v>
      </c>
      <c r="E7287" s="4">
        <v>146</v>
      </c>
      <c r="G7287">
        <f t="shared" si="113"/>
        <v>1224</v>
      </c>
    </row>
    <row r="7288" spans="2:7" ht="15" hidden="1" x14ac:dyDescent="0.25">
      <c r="B7288" s="4">
        <v>584634810</v>
      </c>
      <c r="C7288" s="4" t="s">
        <v>277</v>
      </c>
      <c r="D7288" s="4">
        <v>1</v>
      </c>
      <c r="E7288" s="4">
        <v>53</v>
      </c>
      <c r="G7288">
        <f t="shared" si="113"/>
        <v>480</v>
      </c>
    </row>
    <row r="7289" spans="2:7" ht="15" hidden="1" x14ac:dyDescent="0.25">
      <c r="B7289" s="4">
        <v>584634812</v>
      </c>
      <c r="C7289" s="4" t="s">
        <v>275</v>
      </c>
      <c r="D7289" s="4">
        <v>227</v>
      </c>
      <c r="E7289" s="4">
        <v>150</v>
      </c>
      <c r="G7289">
        <f t="shared" si="113"/>
        <v>1256</v>
      </c>
    </row>
    <row r="7290" spans="2:7" ht="15" hidden="1" x14ac:dyDescent="0.25">
      <c r="B7290" s="4">
        <v>584634815</v>
      </c>
      <c r="C7290" s="4" t="s">
        <v>275</v>
      </c>
      <c r="D7290" s="4">
        <v>228</v>
      </c>
      <c r="E7290" s="4">
        <v>150</v>
      </c>
      <c r="G7290">
        <f t="shared" si="113"/>
        <v>1256</v>
      </c>
    </row>
    <row r="7291" spans="2:7" ht="15" hidden="1" x14ac:dyDescent="0.25">
      <c r="B7291" s="4">
        <v>584634818</v>
      </c>
      <c r="C7291" s="4" t="s">
        <v>275</v>
      </c>
      <c r="D7291" s="4">
        <v>229</v>
      </c>
      <c r="E7291" s="4">
        <v>154</v>
      </c>
      <c r="G7291">
        <f t="shared" si="113"/>
        <v>1288</v>
      </c>
    </row>
    <row r="7292" spans="2:7" ht="15" hidden="1" x14ac:dyDescent="0.25">
      <c r="B7292" s="4">
        <v>584634821</v>
      </c>
      <c r="C7292" s="4" t="s">
        <v>275</v>
      </c>
      <c r="D7292" s="4">
        <v>230</v>
      </c>
      <c r="E7292" s="4">
        <v>146</v>
      </c>
      <c r="G7292">
        <f t="shared" si="113"/>
        <v>1224</v>
      </c>
    </row>
    <row r="7293" spans="2:7" ht="15" hidden="1" x14ac:dyDescent="0.25">
      <c r="B7293" s="4">
        <v>584634824</v>
      </c>
      <c r="C7293" s="4" t="s">
        <v>275</v>
      </c>
      <c r="D7293" s="4">
        <v>231</v>
      </c>
      <c r="E7293" s="4">
        <v>146</v>
      </c>
      <c r="G7293">
        <f t="shared" si="113"/>
        <v>1224</v>
      </c>
    </row>
    <row r="7294" spans="2:7" ht="15" hidden="1" x14ac:dyDescent="0.25">
      <c r="B7294" s="4">
        <v>584634827</v>
      </c>
      <c r="C7294" s="4" t="s">
        <v>275</v>
      </c>
      <c r="D7294" s="4">
        <v>232</v>
      </c>
      <c r="E7294" s="4">
        <v>150</v>
      </c>
      <c r="G7294">
        <f t="shared" si="113"/>
        <v>1256</v>
      </c>
    </row>
    <row r="7295" spans="2:7" ht="15" hidden="1" x14ac:dyDescent="0.25">
      <c r="B7295" s="4">
        <v>584634830</v>
      </c>
      <c r="C7295" s="4" t="s">
        <v>275</v>
      </c>
      <c r="D7295" s="4">
        <v>233</v>
      </c>
      <c r="E7295" s="4">
        <v>150</v>
      </c>
      <c r="G7295">
        <f t="shared" si="113"/>
        <v>1256</v>
      </c>
    </row>
    <row r="7296" spans="2:7" ht="15" hidden="1" x14ac:dyDescent="0.25">
      <c r="B7296" s="4">
        <v>584634833</v>
      </c>
      <c r="C7296" s="4" t="s">
        <v>275</v>
      </c>
      <c r="D7296" s="4">
        <v>234</v>
      </c>
      <c r="E7296" s="4">
        <v>148</v>
      </c>
      <c r="G7296">
        <f t="shared" si="113"/>
        <v>1240</v>
      </c>
    </row>
    <row r="7297" spans="2:7" ht="15" hidden="1" x14ac:dyDescent="0.25">
      <c r="B7297" s="4">
        <v>584634836</v>
      </c>
      <c r="C7297" s="4" t="s">
        <v>275</v>
      </c>
      <c r="D7297" s="4">
        <v>235</v>
      </c>
      <c r="E7297" s="4">
        <v>150</v>
      </c>
      <c r="G7297">
        <f t="shared" si="113"/>
        <v>1256</v>
      </c>
    </row>
    <row r="7298" spans="2:7" ht="15" hidden="1" x14ac:dyDescent="0.25">
      <c r="B7298" s="4">
        <v>584634839</v>
      </c>
      <c r="C7298" s="4" t="s">
        <v>275</v>
      </c>
      <c r="D7298" s="4">
        <v>236</v>
      </c>
      <c r="E7298" s="4">
        <v>150</v>
      </c>
      <c r="G7298">
        <f t="shared" si="113"/>
        <v>1256</v>
      </c>
    </row>
    <row r="7299" spans="2:7" ht="15" hidden="1" x14ac:dyDescent="0.25">
      <c r="B7299" s="4">
        <v>584634842</v>
      </c>
      <c r="C7299" s="4" t="s">
        <v>275</v>
      </c>
      <c r="D7299" s="4">
        <v>237</v>
      </c>
      <c r="E7299" s="4">
        <v>146</v>
      </c>
      <c r="G7299">
        <f t="shared" si="113"/>
        <v>1224</v>
      </c>
    </row>
    <row r="7300" spans="2:7" ht="15" hidden="1" x14ac:dyDescent="0.25">
      <c r="B7300" s="4">
        <v>584634845</v>
      </c>
      <c r="C7300" s="4" t="s">
        <v>275</v>
      </c>
      <c r="D7300" s="4">
        <v>238</v>
      </c>
      <c r="E7300" s="4">
        <v>150</v>
      </c>
      <c r="G7300">
        <f t="shared" ref="G7300:G7363" si="114">(E7300+7)*8</f>
        <v>1256</v>
      </c>
    </row>
    <row r="7301" spans="2:7" ht="15" hidden="1" x14ac:dyDescent="0.25">
      <c r="B7301" s="4">
        <v>584634848</v>
      </c>
      <c r="C7301" s="4" t="s">
        <v>275</v>
      </c>
      <c r="D7301" s="4">
        <v>239</v>
      </c>
      <c r="E7301" s="4">
        <v>146</v>
      </c>
      <c r="G7301">
        <f t="shared" si="114"/>
        <v>1224</v>
      </c>
    </row>
    <row r="7302" spans="2:7" ht="15" hidden="1" x14ac:dyDescent="0.25">
      <c r="B7302" s="4">
        <v>584634851</v>
      </c>
      <c r="C7302" s="4" t="s">
        <v>275</v>
      </c>
      <c r="D7302" s="4">
        <v>240</v>
      </c>
      <c r="E7302" s="4">
        <v>146</v>
      </c>
      <c r="G7302">
        <f t="shared" si="114"/>
        <v>1224</v>
      </c>
    </row>
    <row r="7303" spans="2:7" ht="15" hidden="1" x14ac:dyDescent="0.25">
      <c r="B7303" s="4">
        <v>584634854</v>
      </c>
      <c r="C7303" s="4" t="s">
        <v>275</v>
      </c>
      <c r="D7303" s="4">
        <v>241</v>
      </c>
      <c r="E7303" s="4">
        <v>146</v>
      </c>
      <c r="G7303">
        <f t="shared" si="114"/>
        <v>1224</v>
      </c>
    </row>
    <row r="7304" spans="2:7" ht="15" hidden="1" x14ac:dyDescent="0.25">
      <c r="B7304" s="4">
        <v>584634857</v>
      </c>
      <c r="C7304" s="4" t="s">
        <v>275</v>
      </c>
      <c r="D7304" s="4">
        <v>242</v>
      </c>
      <c r="E7304" s="4">
        <v>146</v>
      </c>
      <c r="G7304">
        <f t="shared" si="114"/>
        <v>1224</v>
      </c>
    </row>
    <row r="7305" spans="2:7" ht="15" hidden="1" x14ac:dyDescent="0.25">
      <c r="B7305" s="4">
        <v>584634860</v>
      </c>
      <c r="C7305" s="4" t="s">
        <v>275</v>
      </c>
      <c r="D7305" s="4">
        <v>243</v>
      </c>
      <c r="E7305" s="4">
        <v>146</v>
      </c>
      <c r="G7305">
        <f t="shared" si="114"/>
        <v>1224</v>
      </c>
    </row>
    <row r="7306" spans="2:7" ht="15" hidden="1" x14ac:dyDescent="0.25">
      <c r="B7306" s="4">
        <v>584634863</v>
      </c>
      <c r="C7306" s="4" t="s">
        <v>275</v>
      </c>
      <c r="D7306" s="4">
        <v>244</v>
      </c>
      <c r="E7306" s="4">
        <v>146</v>
      </c>
      <c r="G7306">
        <f t="shared" si="114"/>
        <v>1224</v>
      </c>
    </row>
    <row r="7307" spans="2:7" ht="15" hidden="1" x14ac:dyDescent="0.25">
      <c r="B7307" s="4">
        <v>584634866</v>
      </c>
      <c r="C7307" s="4" t="s">
        <v>275</v>
      </c>
      <c r="D7307" s="4">
        <v>245</v>
      </c>
      <c r="E7307" s="4">
        <v>150</v>
      </c>
      <c r="G7307">
        <f t="shared" si="114"/>
        <v>1256</v>
      </c>
    </row>
    <row r="7308" spans="2:7" ht="15" hidden="1" x14ac:dyDescent="0.25">
      <c r="B7308" s="4">
        <v>584634869</v>
      </c>
      <c r="C7308" s="4" t="s">
        <v>275</v>
      </c>
      <c r="D7308" s="4">
        <v>246</v>
      </c>
      <c r="E7308" s="4">
        <v>152</v>
      </c>
      <c r="G7308">
        <f t="shared" si="114"/>
        <v>1272</v>
      </c>
    </row>
    <row r="7309" spans="2:7" ht="15" hidden="1" x14ac:dyDescent="0.25">
      <c r="B7309" s="4">
        <v>584634872</v>
      </c>
      <c r="C7309" s="4" t="s">
        <v>275</v>
      </c>
      <c r="D7309" s="4">
        <v>247</v>
      </c>
      <c r="E7309" s="4">
        <v>146</v>
      </c>
      <c r="G7309">
        <f t="shared" si="114"/>
        <v>1224</v>
      </c>
    </row>
    <row r="7310" spans="2:7" ht="15" hidden="1" x14ac:dyDescent="0.25">
      <c r="B7310" s="4">
        <v>584634875</v>
      </c>
      <c r="C7310" s="4" t="s">
        <v>275</v>
      </c>
      <c r="D7310" s="4">
        <v>248</v>
      </c>
      <c r="E7310" s="4">
        <v>146</v>
      </c>
      <c r="G7310">
        <f t="shared" si="114"/>
        <v>1224</v>
      </c>
    </row>
    <row r="7311" spans="2:7" ht="15" hidden="1" x14ac:dyDescent="0.25">
      <c r="B7311" s="4">
        <v>584634878</v>
      </c>
      <c r="C7311" s="4" t="s">
        <v>275</v>
      </c>
      <c r="D7311" s="4">
        <v>249</v>
      </c>
      <c r="E7311" s="4">
        <v>150</v>
      </c>
      <c r="G7311">
        <f t="shared" si="114"/>
        <v>1256</v>
      </c>
    </row>
    <row r="7312" spans="2:7" ht="15" hidden="1" x14ac:dyDescent="0.25">
      <c r="B7312" s="4">
        <v>584634881</v>
      </c>
      <c r="C7312" s="4" t="s">
        <v>275</v>
      </c>
      <c r="D7312" s="4">
        <v>250</v>
      </c>
      <c r="E7312" s="4">
        <v>152</v>
      </c>
      <c r="G7312">
        <f t="shared" si="114"/>
        <v>1272</v>
      </c>
    </row>
    <row r="7313" spans="2:7" ht="15" hidden="1" x14ac:dyDescent="0.25">
      <c r="B7313" s="4">
        <v>584634884</v>
      </c>
      <c r="C7313" s="4" t="s">
        <v>275</v>
      </c>
      <c r="D7313" s="4">
        <v>251</v>
      </c>
      <c r="E7313" s="4">
        <v>150</v>
      </c>
      <c r="G7313">
        <f t="shared" si="114"/>
        <v>1256</v>
      </c>
    </row>
    <row r="7314" spans="2:7" ht="15" hidden="1" x14ac:dyDescent="0.25">
      <c r="B7314" s="4">
        <v>584634887</v>
      </c>
      <c r="C7314" s="4" t="s">
        <v>275</v>
      </c>
      <c r="D7314" s="4">
        <v>252</v>
      </c>
      <c r="E7314" s="4">
        <v>150</v>
      </c>
      <c r="G7314">
        <f t="shared" si="114"/>
        <v>1256</v>
      </c>
    </row>
    <row r="7315" spans="2:7" ht="15" hidden="1" x14ac:dyDescent="0.25">
      <c r="B7315" s="4">
        <v>584634890</v>
      </c>
      <c r="C7315" s="4" t="s">
        <v>275</v>
      </c>
      <c r="D7315" s="4">
        <v>253</v>
      </c>
      <c r="E7315" s="4">
        <v>148</v>
      </c>
      <c r="G7315">
        <f t="shared" si="114"/>
        <v>1240</v>
      </c>
    </row>
    <row r="7316" spans="2:7" ht="15" hidden="1" x14ac:dyDescent="0.25">
      <c r="B7316" s="4">
        <v>584634893</v>
      </c>
      <c r="C7316" s="4" t="s">
        <v>275</v>
      </c>
      <c r="D7316" s="4">
        <v>254</v>
      </c>
      <c r="E7316" s="4">
        <v>146</v>
      </c>
      <c r="G7316">
        <f t="shared" si="114"/>
        <v>1224</v>
      </c>
    </row>
    <row r="7317" spans="2:7" ht="15" hidden="1" x14ac:dyDescent="0.25">
      <c r="B7317" s="4">
        <v>584634896</v>
      </c>
      <c r="C7317" s="4" t="s">
        <v>275</v>
      </c>
      <c r="D7317" s="4">
        <v>255</v>
      </c>
      <c r="E7317" s="4">
        <v>146</v>
      </c>
      <c r="G7317">
        <f t="shared" si="114"/>
        <v>1224</v>
      </c>
    </row>
    <row r="7318" spans="2:7" ht="15" hidden="1" x14ac:dyDescent="0.25">
      <c r="B7318" s="4">
        <v>584634899</v>
      </c>
      <c r="C7318" s="4" t="s">
        <v>275</v>
      </c>
      <c r="D7318" s="4">
        <v>256</v>
      </c>
      <c r="E7318" s="4">
        <v>158</v>
      </c>
      <c r="G7318">
        <f t="shared" si="114"/>
        <v>1320</v>
      </c>
    </row>
    <row r="7319" spans="2:7" ht="15" hidden="1" x14ac:dyDescent="0.25">
      <c r="B7319" s="4">
        <v>584634902</v>
      </c>
      <c r="C7319" s="4" t="s">
        <v>275</v>
      </c>
      <c r="D7319" s="4">
        <v>257</v>
      </c>
      <c r="E7319" s="4">
        <v>154</v>
      </c>
      <c r="G7319">
        <f t="shared" si="114"/>
        <v>1288</v>
      </c>
    </row>
    <row r="7320" spans="2:7" ht="15" hidden="1" x14ac:dyDescent="0.25">
      <c r="B7320" s="4">
        <v>584634905</v>
      </c>
      <c r="C7320" s="4" t="s">
        <v>275</v>
      </c>
      <c r="D7320" s="4">
        <v>258</v>
      </c>
      <c r="E7320" s="4">
        <v>150</v>
      </c>
      <c r="G7320">
        <f t="shared" si="114"/>
        <v>1256</v>
      </c>
    </row>
    <row r="7321" spans="2:7" ht="15" hidden="1" x14ac:dyDescent="0.25">
      <c r="B7321" s="4">
        <v>584634908</v>
      </c>
      <c r="C7321" s="4" t="s">
        <v>275</v>
      </c>
      <c r="D7321" s="4">
        <v>259</v>
      </c>
      <c r="E7321" s="4">
        <v>146</v>
      </c>
      <c r="G7321">
        <f t="shared" si="114"/>
        <v>1224</v>
      </c>
    </row>
    <row r="7322" spans="2:7" ht="15" hidden="1" x14ac:dyDescent="0.25">
      <c r="B7322" s="4">
        <v>584634911</v>
      </c>
      <c r="C7322" s="4" t="s">
        <v>275</v>
      </c>
      <c r="D7322" s="4">
        <v>260</v>
      </c>
      <c r="E7322" s="4">
        <v>146</v>
      </c>
      <c r="G7322">
        <f t="shared" si="114"/>
        <v>1224</v>
      </c>
    </row>
    <row r="7323" spans="2:7" ht="15" hidden="1" x14ac:dyDescent="0.25">
      <c r="B7323" s="4">
        <v>584634914</v>
      </c>
      <c r="C7323" s="4" t="s">
        <v>275</v>
      </c>
      <c r="D7323" s="4">
        <v>261</v>
      </c>
      <c r="E7323" s="4">
        <v>148</v>
      </c>
      <c r="G7323">
        <f t="shared" si="114"/>
        <v>1240</v>
      </c>
    </row>
    <row r="7324" spans="2:7" ht="15" hidden="1" x14ac:dyDescent="0.25">
      <c r="B7324" s="4">
        <v>584634917</v>
      </c>
      <c r="C7324" s="4" t="s">
        <v>275</v>
      </c>
      <c r="D7324" s="4">
        <v>262</v>
      </c>
      <c r="E7324" s="4">
        <v>146</v>
      </c>
      <c r="G7324">
        <f t="shared" si="114"/>
        <v>1224</v>
      </c>
    </row>
    <row r="7325" spans="2:7" ht="15" hidden="1" x14ac:dyDescent="0.25">
      <c r="B7325" s="4">
        <v>584634920</v>
      </c>
      <c r="C7325" s="4" t="s">
        <v>275</v>
      </c>
      <c r="D7325" s="4">
        <v>263</v>
      </c>
      <c r="E7325" s="4">
        <v>148</v>
      </c>
      <c r="G7325">
        <f t="shared" si="114"/>
        <v>1240</v>
      </c>
    </row>
    <row r="7326" spans="2:7" ht="15" hidden="1" x14ac:dyDescent="0.25">
      <c r="B7326" s="4">
        <v>584634923</v>
      </c>
      <c r="C7326" s="4" t="s">
        <v>275</v>
      </c>
      <c r="D7326" s="4">
        <v>264</v>
      </c>
      <c r="E7326" s="4">
        <v>154</v>
      </c>
      <c r="G7326">
        <f t="shared" si="114"/>
        <v>1288</v>
      </c>
    </row>
    <row r="7327" spans="2:7" ht="15" hidden="1" x14ac:dyDescent="0.25">
      <c r="B7327" s="4">
        <v>584634925</v>
      </c>
      <c r="C7327" s="4" t="s">
        <v>276</v>
      </c>
      <c r="D7327" s="4">
        <v>2</v>
      </c>
      <c r="E7327" s="4">
        <v>193</v>
      </c>
      <c r="G7327">
        <f t="shared" si="114"/>
        <v>1600</v>
      </c>
    </row>
    <row r="7328" spans="2:7" ht="15" hidden="1" x14ac:dyDescent="0.25">
      <c r="B7328" s="4">
        <v>584634926</v>
      </c>
      <c r="C7328" s="4" t="s">
        <v>275</v>
      </c>
      <c r="D7328" s="4">
        <v>265</v>
      </c>
      <c r="E7328" s="4">
        <v>146</v>
      </c>
      <c r="G7328">
        <f t="shared" si="114"/>
        <v>1224</v>
      </c>
    </row>
    <row r="7329" spans="2:7" ht="15" hidden="1" x14ac:dyDescent="0.25">
      <c r="B7329" s="4">
        <v>584634929</v>
      </c>
      <c r="C7329" s="4" t="s">
        <v>275</v>
      </c>
      <c r="D7329" s="4">
        <v>266</v>
      </c>
      <c r="E7329" s="4">
        <v>148</v>
      </c>
      <c r="G7329">
        <f t="shared" si="114"/>
        <v>1240</v>
      </c>
    </row>
    <row r="7330" spans="2:7" ht="15" hidden="1" x14ac:dyDescent="0.25">
      <c r="B7330" s="4">
        <v>584634932</v>
      </c>
      <c r="C7330" s="4" t="s">
        <v>275</v>
      </c>
      <c r="D7330" s="4">
        <v>267</v>
      </c>
      <c r="E7330" s="4">
        <v>150</v>
      </c>
      <c r="G7330">
        <f t="shared" si="114"/>
        <v>1256</v>
      </c>
    </row>
    <row r="7331" spans="2:7" ht="15" hidden="1" x14ac:dyDescent="0.25">
      <c r="B7331" s="4">
        <v>584634935</v>
      </c>
      <c r="C7331" s="4" t="s">
        <v>275</v>
      </c>
      <c r="D7331" s="4">
        <v>268</v>
      </c>
      <c r="E7331" s="4">
        <v>154</v>
      </c>
      <c r="G7331">
        <f t="shared" si="114"/>
        <v>1288</v>
      </c>
    </row>
    <row r="7332" spans="2:7" ht="15" hidden="1" x14ac:dyDescent="0.25">
      <c r="B7332" s="4">
        <v>584634938</v>
      </c>
      <c r="C7332" s="4" t="s">
        <v>275</v>
      </c>
      <c r="D7332" s="4">
        <v>269</v>
      </c>
      <c r="E7332" s="4">
        <v>146</v>
      </c>
      <c r="G7332">
        <f t="shared" si="114"/>
        <v>1224</v>
      </c>
    </row>
    <row r="7333" spans="2:7" ht="15" hidden="1" x14ac:dyDescent="0.25">
      <c r="B7333" s="4">
        <v>584634941</v>
      </c>
      <c r="C7333" s="4" t="s">
        <v>275</v>
      </c>
      <c r="D7333" s="4">
        <v>270</v>
      </c>
      <c r="E7333" s="4">
        <v>148</v>
      </c>
      <c r="G7333">
        <f t="shared" si="114"/>
        <v>1240</v>
      </c>
    </row>
    <row r="7334" spans="2:7" ht="15" hidden="1" x14ac:dyDescent="0.25">
      <c r="B7334" s="4">
        <v>584634944</v>
      </c>
      <c r="C7334" s="4" t="s">
        <v>275</v>
      </c>
      <c r="D7334" s="4">
        <v>271</v>
      </c>
      <c r="E7334" s="4">
        <v>150</v>
      </c>
      <c r="G7334">
        <f t="shared" si="114"/>
        <v>1256</v>
      </c>
    </row>
    <row r="7335" spans="2:7" ht="15" hidden="1" x14ac:dyDescent="0.25">
      <c r="B7335" s="4">
        <v>584634947</v>
      </c>
      <c r="C7335" s="4" t="s">
        <v>275</v>
      </c>
      <c r="D7335" s="4">
        <v>272</v>
      </c>
      <c r="E7335" s="4">
        <v>154</v>
      </c>
      <c r="G7335">
        <f t="shared" si="114"/>
        <v>1288</v>
      </c>
    </row>
    <row r="7336" spans="2:7" ht="15" hidden="1" x14ac:dyDescent="0.25">
      <c r="B7336" s="4">
        <v>584634948</v>
      </c>
      <c r="C7336" s="4" t="s">
        <v>277</v>
      </c>
      <c r="D7336" s="4">
        <v>2</v>
      </c>
      <c r="E7336" s="4">
        <v>53</v>
      </c>
      <c r="G7336">
        <f t="shared" si="114"/>
        <v>480</v>
      </c>
    </row>
    <row r="7337" spans="2:7" ht="15" hidden="1" x14ac:dyDescent="0.25">
      <c r="B7337" s="4">
        <v>584634950</v>
      </c>
      <c r="C7337" s="4" t="s">
        <v>275</v>
      </c>
      <c r="D7337" s="4">
        <v>273</v>
      </c>
      <c r="E7337" s="4">
        <v>152</v>
      </c>
      <c r="G7337">
        <f t="shared" si="114"/>
        <v>1272</v>
      </c>
    </row>
    <row r="7338" spans="2:7" ht="15" hidden="1" x14ac:dyDescent="0.25">
      <c r="B7338" s="4">
        <v>584634953</v>
      </c>
      <c r="C7338" s="4" t="s">
        <v>275</v>
      </c>
      <c r="D7338" s="4">
        <v>274</v>
      </c>
      <c r="E7338" s="4">
        <v>152</v>
      </c>
      <c r="G7338">
        <f t="shared" si="114"/>
        <v>1272</v>
      </c>
    </row>
    <row r="7339" spans="2:7" ht="15" hidden="1" x14ac:dyDescent="0.25">
      <c r="B7339" s="4">
        <v>584634956</v>
      </c>
      <c r="C7339" s="4" t="s">
        <v>278</v>
      </c>
      <c r="D7339" s="4">
        <v>0</v>
      </c>
      <c r="E7339" s="4">
        <v>59</v>
      </c>
      <c r="G7339">
        <f t="shared" si="114"/>
        <v>528</v>
      </c>
    </row>
    <row r="7340" spans="2:7" ht="15" hidden="1" x14ac:dyDescent="0.25">
      <c r="B7340" s="4">
        <v>584634956</v>
      </c>
      <c r="C7340" s="4" t="s">
        <v>268</v>
      </c>
      <c r="D7340" s="4">
        <v>321</v>
      </c>
      <c r="E7340" s="4">
        <v>13</v>
      </c>
      <c r="G7340">
        <f t="shared" si="114"/>
        <v>160</v>
      </c>
    </row>
    <row r="7341" spans="2:7" ht="15" hidden="1" x14ac:dyDescent="0.25">
      <c r="B7341" s="4">
        <v>584634956</v>
      </c>
      <c r="C7341" s="4" t="s">
        <v>268</v>
      </c>
      <c r="D7341" s="4">
        <v>321</v>
      </c>
      <c r="E7341" s="4">
        <v>13</v>
      </c>
      <c r="G7341">
        <f t="shared" si="114"/>
        <v>160</v>
      </c>
    </row>
    <row r="7342" spans="2:7" ht="15" hidden="1" x14ac:dyDescent="0.25">
      <c r="B7342" s="4">
        <v>584634956</v>
      </c>
      <c r="C7342" s="4" t="s">
        <v>268</v>
      </c>
      <c r="D7342" s="4">
        <v>322</v>
      </c>
      <c r="E7342" s="4">
        <v>7</v>
      </c>
      <c r="G7342">
        <f t="shared" si="114"/>
        <v>112</v>
      </c>
    </row>
    <row r="7343" spans="2:7" ht="15" hidden="1" x14ac:dyDescent="0.25">
      <c r="B7343" s="4">
        <v>584634956</v>
      </c>
      <c r="C7343" s="4" t="s">
        <v>268</v>
      </c>
      <c r="D7343" s="4">
        <v>322</v>
      </c>
      <c r="E7343" s="4">
        <v>7</v>
      </c>
      <c r="G7343">
        <f t="shared" si="114"/>
        <v>112</v>
      </c>
    </row>
    <row r="7344" spans="2:7" ht="15" hidden="1" x14ac:dyDescent="0.25">
      <c r="B7344" s="4">
        <v>584634956</v>
      </c>
      <c r="C7344" s="4" t="s">
        <v>268</v>
      </c>
      <c r="D7344" s="4">
        <v>323</v>
      </c>
      <c r="E7344" s="4">
        <v>13</v>
      </c>
      <c r="G7344">
        <f t="shared" si="114"/>
        <v>160</v>
      </c>
    </row>
    <row r="7345" spans="2:7" ht="15" hidden="1" x14ac:dyDescent="0.25">
      <c r="B7345" s="4">
        <v>584634956</v>
      </c>
      <c r="C7345" s="4" t="s">
        <v>268</v>
      </c>
      <c r="D7345" s="4">
        <v>323</v>
      </c>
      <c r="E7345" s="4">
        <v>13</v>
      </c>
      <c r="G7345">
        <f t="shared" si="114"/>
        <v>160</v>
      </c>
    </row>
    <row r="7346" spans="2:7" ht="15" hidden="1" x14ac:dyDescent="0.25">
      <c r="B7346" s="4">
        <v>584634956</v>
      </c>
      <c r="C7346" s="4" t="s">
        <v>268</v>
      </c>
      <c r="D7346" s="4">
        <v>324</v>
      </c>
      <c r="E7346" s="4">
        <v>7</v>
      </c>
      <c r="G7346">
        <f t="shared" si="114"/>
        <v>112</v>
      </c>
    </row>
    <row r="7347" spans="2:7" ht="15" hidden="1" x14ac:dyDescent="0.25">
      <c r="B7347" s="4">
        <v>584634956</v>
      </c>
      <c r="C7347" s="4" t="s">
        <v>268</v>
      </c>
      <c r="D7347" s="4">
        <v>324</v>
      </c>
      <c r="E7347" s="4">
        <v>7</v>
      </c>
      <c r="G7347">
        <f t="shared" si="114"/>
        <v>112</v>
      </c>
    </row>
    <row r="7348" spans="2:7" ht="15" hidden="1" x14ac:dyDescent="0.25">
      <c r="B7348" s="4">
        <v>584634956</v>
      </c>
      <c r="C7348" s="4" t="s">
        <v>275</v>
      </c>
      <c r="D7348" s="4">
        <v>275</v>
      </c>
      <c r="E7348" s="4">
        <v>150</v>
      </c>
      <c r="G7348">
        <f t="shared" si="114"/>
        <v>1256</v>
      </c>
    </row>
    <row r="7349" spans="2:7" ht="15" hidden="1" x14ac:dyDescent="0.25">
      <c r="B7349" s="4">
        <v>584634959</v>
      </c>
      <c r="C7349" s="4" t="s">
        <v>275</v>
      </c>
      <c r="D7349" s="4">
        <v>276</v>
      </c>
      <c r="E7349" s="4">
        <v>148</v>
      </c>
      <c r="G7349">
        <f t="shared" si="114"/>
        <v>1240</v>
      </c>
    </row>
    <row r="7350" spans="2:7" ht="15" hidden="1" x14ac:dyDescent="0.25">
      <c r="B7350" s="4">
        <v>584634962</v>
      </c>
      <c r="C7350" s="4" t="s">
        <v>275</v>
      </c>
      <c r="D7350" s="4">
        <v>277</v>
      </c>
      <c r="E7350" s="4">
        <v>148</v>
      </c>
      <c r="G7350">
        <f t="shared" si="114"/>
        <v>1240</v>
      </c>
    </row>
    <row r="7351" spans="2:7" ht="15" hidden="1" x14ac:dyDescent="0.25">
      <c r="B7351" s="4">
        <v>584634965</v>
      </c>
      <c r="C7351" s="4" t="s">
        <v>275</v>
      </c>
      <c r="D7351" s="4">
        <v>278</v>
      </c>
      <c r="E7351" s="4">
        <v>150</v>
      </c>
      <c r="G7351">
        <f t="shared" si="114"/>
        <v>1256</v>
      </c>
    </row>
    <row r="7352" spans="2:7" ht="15" hidden="1" x14ac:dyDescent="0.25">
      <c r="B7352" s="4">
        <v>584634968</v>
      </c>
      <c r="C7352" s="4" t="s">
        <v>275</v>
      </c>
      <c r="D7352" s="4">
        <v>279</v>
      </c>
      <c r="E7352" s="4">
        <v>146</v>
      </c>
      <c r="G7352">
        <f t="shared" si="114"/>
        <v>1224</v>
      </c>
    </row>
    <row r="7353" spans="2:7" ht="15" hidden="1" x14ac:dyDescent="0.25">
      <c r="B7353" s="4">
        <v>584634971</v>
      </c>
      <c r="C7353" s="4" t="s">
        <v>275</v>
      </c>
      <c r="D7353" s="4">
        <v>280</v>
      </c>
      <c r="E7353" s="4">
        <v>150</v>
      </c>
      <c r="G7353">
        <f t="shared" si="114"/>
        <v>1256</v>
      </c>
    </row>
    <row r="7354" spans="2:7" ht="15" hidden="1" x14ac:dyDescent="0.25">
      <c r="B7354" s="4">
        <v>584634974</v>
      </c>
      <c r="C7354" s="4" t="s">
        <v>275</v>
      </c>
      <c r="D7354" s="4">
        <v>281</v>
      </c>
      <c r="E7354" s="4">
        <v>156</v>
      </c>
      <c r="G7354">
        <f t="shared" si="114"/>
        <v>1304</v>
      </c>
    </row>
    <row r="7355" spans="2:7" ht="15" hidden="1" x14ac:dyDescent="0.25">
      <c r="B7355" s="4">
        <v>584634977</v>
      </c>
      <c r="C7355" s="4" t="s">
        <v>275</v>
      </c>
      <c r="D7355" s="4">
        <v>282</v>
      </c>
      <c r="E7355" s="4">
        <v>150</v>
      </c>
      <c r="G7355">
        <f t="shared" si="114"/>
        <v>1256</v>
      </c>
    </row>
    <row r="7356" spans="2:7" ht="15" hidden="1" x14ac:dyDescent="0.25">
      <c r="B7356" s="4">
        <v>584634980</v>
      </c>
      <c r="C7356" s="4" t="s">
        <v>275</v>
      </c>
      <c r="D7356" s="4">
        <v>283</v>
      </c>
      <c r="E7356" s="4">
        <v>146</v>
      </c>
      <c r="G7356">
        <f t="shared" si="114"/>
        <v>1224</v>
      </c>
    </row>
    <row r="7357" spans="2:7" ht="15" hidden="1" x14ac:dyDescent="0.25">
      <c r="B7357" s="4">
        <v>584634983</v>
      </c>
      <c r="C7357" s="4" t="s">
        <v>275</v>
      </c>
      <c r="D7357" s="4">
        <v>284</v>
      </c>
      <c r="E7357" s="4">
        <v>150</v>
      </c>
      <c r="G7357">
        <f t="shared" si="114"/>
        <v>1256</v>
      </c>
    </row>
    <row r="7358" spans="2:7" ht="15" hidden="1" x14ac:dyDescent="0.25">
      <c r="B7358" s="4">
        <v>584634986</v>
      </c>
      <c r="C7358" s="4" t="s">
        <v>275</v>
      </c>
      <c r="D7358" s="4">
        <v>285</v>
      </c>
      <c r="E7358" s="4">
        <v>154</v>
      </c>
      <c r="G7358">
        <f t="shared" si="114"/>
        <v>1288</v>
      </c>
    </row>
    <row r="7359" spans="2:7" ht="15" hidden="1" x14ac:dyDescent="0.25">
      <c r="B7359" s="4">
        <v>584634989</v>
      </c>
      <c r="C7359" s="4" t="s">
        <v>275</v>
      </c>
      <c r="D7359" s="4">
        <v>286</v>
      </c>
      <c r="E7359" s="4">
        <v>146</v>
      </c>
      <c r="G7359">
        <f t="shared" si="114"/>
        <v>1224</v>
      </c>
    </row>
    <row r="7360" spans="2:7" ht="15" hidden="1" x14ac:dyDescent="0.25">
      <c r="B7360" s="4">
        <v>584634992</v>
      </c>
      <c r="C7360" s="4" t="s">
        <v>275</v>
      </c>
      <c r="D7360" s="4">
        <v>287</v>
      </c>
      <c r="E7360" s="4">
        <v>152</v>
      </c>
      <c r="G7360">
        <f t="shared" si="114"/>
        <v>1272</v>
      </c>
    </row>
    <row r="7361" spans="2:7" ht="15" hidden="1" x14ac:dyDescent="0.25">
      <c r="B7361" s="4">
        <v>584634995</v>
      </c>
      <c r="C7361" s="4" t="s">
        <v>275</v>
      </c>
      <c r="D7361" s="4">
        <v>288</v>
      </c>
      <c r="E7361" s="4">
        <v>146</v>
      </c>
      <c r="G7361">
        <f t="shared" si="114"/>
        <v>1224</v>
      </c>
    </row>
    <row r="7362" spans="2:7" ht="15" hidden="1" x14ac:dyDescent="0.25">
      <c r="B7362" s="4">
        <v>584634998</v>
      </c>
      <c r="C7362" s="4" t="s">
        <v>275</v>
      </c>
      <c r="D7362" s="4">
        <v>289</v>
      </c>
      <c r="E7362" s="4">
        <v>148</v>
      </c>
      <c r="G7362">
        <f t="shared" si="114"/>
        <v>1240</v>
      </c>
    </row>
    <row r="7363" spans="2:7" ht="15" hidden="1" x14ac:dyDescent="0.25">
      <c r="B7363" s="4">
        <v>584635001</v>
      </c>
      <c r="C7363" s="4" t="s">
        <v>275</v>
      </c>
      <c r="D7363" s="4">
        <v>290</v>
      </c>
      <c r="E7363" s="4">
        <v>148</v>
      </c>
      <c r="G7363">
        <f t="shared" si="114"/>
        <v>1240</v>
      </c>
    </row>
    <row r="7364" spans="2:7" ht="15" hidden="1" x14ac:dyDescent="0.25">
      <c r="B7364" s="4">
        <v>584635004</v>
      </c>
      <c r="C7364" s="4" t="s">
        <v>275</v>
      </c>
      <c r="D7364" s="4">
        <v>291</v>
      </c>
      <c r="E7364" s="4">
        <v>146</v>
      </c>
      <c r="G7364">
        <f t="shared" ref="G7364:G7427" si="115">(E7364+7)*8</f>
        <v>1224</v>
      </c>
    </row>
    <row r="7365" spans="2:7" ht="15" hidden="1" x14ac:dyDescent="0.25">
      <c r="B7365" s="4">
        <v>584635007</v>
      </c>
      <c r="C7365" s="4" t="s">
        <v>275</v>
      </c>
      <c r="D7365" s="4">
        <v>292</v>
      </c>
      <c r="E7365" s="4">
        <v>150</v>
      </c>
      <c r="G7365">
        <f t="shared" si="115"/>
        <v>1256</v>
      </c>
    </row>
    <row r="7366" spans="2:7" ht="15" hidden="1" x14ac:dyDescent="0.25">
      <c r="B7366" s="4">
        <v>584635010</v>
      </c>
      <c r="C7366" s="4" t="s">
        <v>275</v>
      </c>
      <c r="D7366" s="4">
        <v>293</v>
      </c>
      <c r="E7366" s="4">
        <v>154</v>
      </c>
      <c r="G7366">
        <f t="shared" si="115"/>
        <v>1288</v>
      </c>
    </row>
    <row r="7367" spans="2:7" ht="15" hidden="1" x14ac:dyDescent="0.25">
      <c r="B7367" s="4">
        <v>584635013</v>
      </c>
      <c r="C7367" s="4" t="s">
        <v>275</v>
      </c>
      <c r="D7367" s="4">
        <v>294</v>
      </c>
      <c r="E7367" s="4">
        <v>146</v>
      </c>
      <c r="G7367">
        <f t="shared" si="115"/>
        <v>1224</v>
      </c>
    </row>
    <row r="7368" spans="2:7" ht="15" hidden="1" x14ac:dyDescent="0.25">
      <c r="B7368" s="4">
        <v>584635016</v>
      </c>
      <c r="C7368" s="4" t="s">
        <v>275</v>
      </c>
      <c r="D7368" s="4">
        <v>295</v>
      </c>
      <c r="E7368" s="4">
        <v>150</v>
      </c>
      <c r="G7368">
        <f t="shared" si="115"/>
        <v>1256</v>
      </c>
    </row>
    <row r="7369" spans="2:7" ht="15" hidden="1" x14ac:dyDescent="0.25">
      <c r="B7369" s="4">
        <v>584635019</v>
      </c>
      <c r="C7369" s="4" t="s">
        <v>275</v>
      </c>
      <c r="D7369" s="4">
        <v>296</v>
      </c>
      <c r="E7369" s="4">
        <v>150</v>
      </c>
      <c r="G7369">
        <f t="shared" si="115"/>
        <v>1256</v>
      </c>
    </row>
    <row r="7370" spans="2:7" ht="15" hidden="1" x14ac:dyDescent="0.25">
      <c r="B7370" s="4">
        <v>584635022</v>
      </c>
      <c r="C7370" s="4" t="s">
        <v>275</v>
      </c>
      <c r="D7370" s="4">
        <v>297</v>
      </c>
      <c r="E7370" s="4">
        <v>148</v>
      </c>
      <c r="G7370">
        <f t="shared" si="115"/>
        <v>1240</v>
      </c>
    </row>
    <row r="7371" spans="2:7" ht="15" hidden="1" x14ac:dyDescent="0.25">
      <c r="B7371" s="4">
        <v>584635025</v>
      </c>
      <c r="C7371" s="4" t="s">
        <v>275</v>
      </c>
      <c r="D7371" s="4">
        <v>298</v>
      </c>
      <c r="E7371" s="4">
        <v>154</v>
      </c>
      <c r="G7371">
        <f t="shared" si="115"/>
        <v>1288</v>
      </c>
    </row>
    <row r="7372" spans="2:7" ht="15" hidden="1" x14ac:dyDescent="0.25">
      <c r="B7372" s="4">
        <v>584635028</v>
      </c>
      <c r="C7372" s="4" t="s">
        <v>275</v>
      </c>
      <c r="D7372" s="4">
        <v>299</v>
      </c>
      <c r="E7372" s="4">
        <v>150</v>
      </c>
      <c r="G7372">
        <f t="shared" si="115"/>
        <v>1256</v>
      </c>
    </row>
    <row r="7373" spans="2:7" ht="15" hidden="1" x14ac:dyDescent="0.25">
      <c r="B7373" s="4">
        <v>584635031</v>
      </c>
      <c r="C7373" s="4" t="s">
        <v>275</v>
      </c>
      <c r="D7373" s="4">
        <v>300</v>
      </c>
      <c r="E7373" s="4">
        <v>148</v>
      </c>
      <c r="G7373">
        <f t="shared" si="115"/>
        <v>1240</v>
      </c>
    </row>
    <row r="7374" spans="2:7" ht="15" hidden="1" x14ac:dyDescent="0.25">
      <c r="B7374" s="4">
        <v>584635034</v>
      </c>
      <c r="C7374" s="4" t="s">
        <v>275</v>
      </c>
      <c r="D7374" s="4">
        <v>301</v>
      </c>
      <c r="E7374" s="4">
        <v>148</v>
      </c>
      <c r="G7374">
        <f t="shared" si="115"/>
        <v>1240</v>
      </c>
    </row>
    <row r="7375" spans="2:7" ht="15" hidden="1" x14ac:dyDescent="0.25">
      <c r="B7375" s="4">
        <v>584635037</v>
      </c>
      <c r="C7375" s="4" t="s">
        <v>275</v>
      </c>
      <c r="D7375" s="4">
        <v>302</v>
      </c>
      <c r="E7375" s="4">
        <v>150</v>
      </c>
      <c r="G7375">
        <f t="shared" si="115"/>
        <v>1256</v>
      </c>
    </row>
    <row r="7376" spans="2:7" ht="15" hidden="1" x14ac:dyDescent="0.25">
      <c r="B7376" s="4">
        <v>584635040</v>
      </c>
      <c r="C7376" s="4" t="s">
        <v>275</v>
      </c>
      <c r="D7376" s="4">
        <v>303</v>
      </c>
      <c r="E7376" s="4">
        <v>156</v>
      </c>
      <c r="G7376">
        <f t="shared" si="115"/>
        <v>1304</v>
      </c>
    </row>
    <row r="7377" spans="2:7" ht="15" hidden="1" x14ac:dyDescent="0.25">
      <c r="B7377" s="4">
        <v>584635043</v>
      </c>
      <c r="C7377" s="4" t="s">
        <v>275</v>
      </c>
      <c r="D7377" s="4">
        <v>304</v>
      </c>
      <c r="E7377" s="4">
        <v>154</v>
      </c>
      <c r="G7377">
        <f t="shared" si="115"/>
        <v>1288</v>
      </c>
    </row>
    <row r="7378" spans="2:7" ht="15" hidden="1" x14ac:dyDescent="0.25">
      <c r="B7378" s="4">
        <v>584635046</v>
      </c>
      <c r="C7378" s="4" t="s">
        <v>275</v>
      </c>
      <c r="D7378" s="4">
        <v>305</v>
      </c>
      <c r="E7378" s="4">
        <v>148</v>
      </c>
      <c r="G7378">
        <f t="shared" si="115"/>
        <v>1240</v>
      </c>
    </row>
    <row r="7379" spans="2:7" ht="15" hidden="1" x14ac:dyDescent="0.25">
      <c r="B7379" s="4">
        <v>584635049</v>
      </c>
      <c r="C7379" s="4" t="s">
        <v>275</v>
      </c>
      <c r="D7379" s="4">
        <v>306</v>
      </c>
      <c r="E7379" s="4">
        <v>146</v>
      </c>
      <c r="G7379">
        <f t="shared" si="115"/>
        <v>1224</v>
      </c>
    </row>
    <row r="7380" spans="2:7" ht="15" hidden="1" x14ac:dyDescent="0.25">
      <c r="B7380" s="4">
        <v>584635052</v>
      </c>
      <c r="C7380" s="4" t="s">
        <v>275</v>
      </c>
      <c r="D7380" s="4">
        <v>307</v>
      </c>
      <c r="E7380" s="4">
        <v>150</v>
      </c>
      <c r="G7380">
        <f t="shared" si="115"/>
        <v>1256</v>
      </c>
    </row>
    <row r="7381" spans="2:7" ht="15" hidden="1" x14ac:dyDescent="0.25">
      <c r="B7381" s="4">
        <v>584635055</v>
      </c>
      <c r="C7381" s="4" t="s">
        <v>275</v>
      </c>
      <c r="D7381" s="4">
        <v>308</v>
      </c>
      <c r="E7381" s="4">
        <v>146</v>
      </c>
      <c r="G7381">
        <f t="shared" si="115"/>
        <v>1224</v>
      </c>
    </row>
    <row r="7382" spans="2:7" ht="15" hidden="1" x14ac:dyDescent="0.25">
      <c r="B7382" s="4">
        <v>584635058</v>
      </c>
      <c r="C7382" s="4" t="s">
        <v>275</v>
      </c>
      <c r="D7382" s="4">
        <v>309</v>
      </c>
      <c r="E7382" s="4">
        <v>146</v>
      </c>
      <c r="G7382">
        <f t="shared" si="115"/>
        <v>1224</v>
      </c>
    </row>
    <row r="7383" spans="2:7" ht="15" hidden="1" x14ac:dyDescent="0.25">
      <c r="B7383" s="4">
        <v>584635061</v>
      </c>
      <c r="C7383" s="4" t="s">
        <v>275</v>
      </c>
      <c r="D7383" s="4">
        <v>310</v>
      </c>
      <c r="E7383" s="4">
        <v>146</v>
      </c>
      <c r="G7383">
        <f t="shared" si="115"/>
        <v>1224</v>
      </c>
    </row>
    <row r="7384" spans="2:7" ht="15" hidden="1" x14ac:dyDescent="0.25">
      <c r="B7384" s="4">
        <v>584635064</v>
      </c>
      <c r="C7384" s="4" t="s">
        <v>275</v>
      </c>
      <c r="D7384" s="4">
        <v>311</v>
      </c>
      <c r="E7384" s="4">
        <v>150</v>
      </c>
      <c r="G7384">
        <f t="shared" si="115"/>
        <v>1256</v>
      </c>
    </row>
    <row r="7385" spans="2:7" ht="15" hidden="1" x14ac:dyDescent="0.25">
      <c r="B7385" s="4">
        <v>584635067</v>
      </c>
      <c r="C7385" s="4" t="s">
        <v>275</v>
      </c>
      <c r="D7385" s="4">
        <v>312</v>
      </c>
      <c r="E7385" s="4">
        <v>146</v>
      </c>
      <c r="G7385">
        <f t="shared" si="115"/>
        <v>1224</v>
      </c>
    </row>
    <row r="7386" spans="2:7" ht="15" hidden="1" x14ac:dyDescent="0.25">
      <c r="B7386" s="4">
        <v>584635070</v>
      </c>
      <c r="C7386" s="4" t="s">
        <v>275</v>
      </c>
      <c r="D7386" s="4">
        <v>313</v>
      </c>
      <c r="E7386" s="4">
        <v>148</v>
      </c>
      <c r="G7386">
        <f t="shared" si="115"/>
        <v>1240</v>
      </c>
    </row>
    <row r="7387" spans="2:7" ht="15" hidden="1" x14ac:dyDescent="0.25">
      <c r="B7387" s="4">
        <v>584635073</v>
      </c>
      <c r="C7387" s="4" t="s">
        <v>275</v>
      </c>
      <c r="D7387" s="4">
        <v>314</v>
      </c>
      <c r="E7387" s="4">
        <v>150</v>
      </c>
      <c r="G7387">
        <f t="shared" si="115"/>
        <v>1256</v>
      </c>
    </row>
    <row r="7388" spans="2:7" ht="15" hidden="1" x14ac:dyDescent="0.25">
      <c r="B7388" s="4">
        <v>584635076</v>
      </c>
      <c r="C7388" s="4" t="s">
        <v>275</v>
      </c>
      <c r="D7388" s="4">
        <v>315</v>
      </c>
      <c r="E7388" s="4">
        <v>150</v>
      </c>
      <c r="G7388">
        <f t="shared" si="115"/>
        <v>1256</v>
      </c>
    </row>
    <row r="7389" spans="2:7" ht="15" hidden="1" x14ac:dyDescent="0.25">
      <c r="B7389" s="4">
        <v>584635079</v>
      </c>
      <c r="C7389" s="4" t="s">
        <v>275</v>
      </c>
      <c r="D7389" s="4">
        <v>316</v>
      </c>
      <c r="E7389" s="4">
        <v>148</v>
      </c>
      <c r="G7389">
        <f t="shared" si="115"/>
        <v>1240</v>
      </c>
    </row>
    <row r="7390" spans="2:7" ht="15" hidden="1" x14ac:dyDescent="0.25">
      <c r="B7390" s="4">
        <v>584635082</v>
      </c>
      <c r="C7390" s="4" t="s">
        <v>275</v>
      </c>
      <c r="D7390" s="4">
        <v>317</v>
      </c>
      <c r="E7390" s="4">
        <v>152</v>
      </c>
      <c r="G7390">
        <f t="shared" si="115"/>
        <v>1272</v>
      </c>
    </row>
    <row r="7391" spans="2:7" ht="15" hidden="1" x14ac:dyDescent="0.25">
      <c r="B7391" s="4">
        <v>584635085</v>
      </c>
      <c r="C7391" s="4" t="s">
        <v>275</v>
      </c>
      <c r="D7391" s="4">
        <v>318</v>
      </c>
      <c r="E7391" s="4">
        <v>150</v>
      </c>
      <c r="G7391">
        <f t="shared" si="115"/>
        <v>1256</v>
      </c>
    </row>
    <row r="7392" spans="2:7" ht="15" hidden="1" x14ac:dyDescent="0.25">
      <c r="B7392" s="4">
        <v>584635088</v>
      </c>
      <c r="C7392" s="4" t="s">
        <v>275</v>
      </c>
      <c r="D7392" s="4">
        <v>319</v>
      </c>
      <c r="E7392" s="4">
        <v>148</v>
      </c>
      <c r="G7392">
        <f t="shared" si="115"/>
        <v>1240</v>
      </c>
    </row>
    <row r="7393" spans="2:7" ht="15" hidden="1" x14ac:dyDescent="0.25">
      <c r="B7393" s="4">
        <v>584635091</v>
      </c>
      <c r="C7393" s="4" t="s">
        <v>275</v>
      </c>
      <c r="D7393" s="4">
        <v>320</v>
      </c>
      <c r="E7393" s="4">
        <v>146</v>
      </c>
      <c r="G7393">
        <f t="shared" si="115"/>
        <v>1224</v>
      </c>
    </row>
    <row r="7394" spans="2:7" ht="15" hidden="1" x14ac:dyDescent="0.25">
      <c r="B7394" s="4">
        <v>584635094</v>
      </c>
      <c r="C7394" s="4" t="s">
        <v>275</v>
      </c>
      <c r="D7394" s="4">
        <v>321</v>
      </c>
      <c r="E7394" s="4">
        <v>154</v>
      </c>
      <c r="G7394">
        <f t="shared" si="115"/>
        <v>1288</v>
      </c>
    </row>
    <row r="7395" spans="2:7" ht="15" hidden="1" x14ac:dyDescent="0.25">
      <c r="B7395" s="4">
        <v>584635097</v>
      </c>
      <c r="C7395" s="4" t="s">
        <v>275</v>
      </c>
      <c r="D7395" s="4">
        <v>322</v>
      </c>
      <c r="E7395" s="4">
        <v>146</v>
      </c>
      <c r="G7395">
        <f t="shared" si="115"/>
        <v>1224</v>
      </c>
    </row>
    <row r="7396" spans="2:7" ht="15" hidden="1" x14ac:dyDescent="0.25">
      <c r="B7396" s="4">
        <v>584635100</v>
      </c>
      <c r="C7396" s="4" t="s">
        <v>275</v>
      </c>
      <c r="D7396" s="4">
        <v>323</v>
      </c>
      <c r="E7396" s="4">
        <v>152</v>
      </c>
      <c r="G7396">
        <f t="shared" si="115"/>
        <v>1272</v>
      </c>
    </row>
    <row r="7397" spans="2:7" ht="15" hidden="1" x14ac:dyDescent="0.25">
      <c r="B7397" s="4">
        <v>584635103</v>
      </c>
      <c r="C7397" s="4" t="s">
        <v>275</v>
      </c>
      <c r="D7397" s="4">
        <v>324</v>
      </c>
      <c r="E7397" s="4">
        <v>154</v>
      </c>
      <c r="G7397">
        <f t="shared" si="115"/>
        <v>1288</v>
      </c>
    </row>
    <row r="7398" spans="2:7" ht="15" hidden="1" x14ac:dyDescent="0.25">
      <c r="B7398" s="4">
        <v>584635106</v>
      </c>
      <c r="C7398" s="4" t="s">
        <v>275</v>
      </c>
      <c r="D7398" s="4">
        <v>325</v>
      </c>
      <c r="E7398" s="4">
        <v>150</v>
      </c>
      <c r="G7398">
        <f t="shared" si="115"/>
        <v>1256</v>
      </c>
    </row>
    <row r="7399" spans="2:7" ht="15" hidden="1" x14ac:dyDescent="0.25">
      <c r="B7399" s="4">
        <v>584635109</v>
      </c>
      <c r="C7399" s="4" t="s">
        <v>275</v>
      </c>
      <c r="D7399" s="4">
        <v>326</v>
      </c>
      <c r="E7399" s="4">
        <v>154</v>
      </c>
      <c r="G7399">
        <f t="shared" si="115"/>
        <v>1288</v>
      </c>
    </row>
    <row r="7400" spans="2:7" ht="15" hidden="1" x14ac:dyDescent="0.25">
      <c r="B7400" s="4">
        <v>584635112</v>
      </c>
      <c r="C7400" s="4" t="s">
        <v>275</v>
      </c>
      <c r="D7400" s="4">
        <v>327</v>
      </c>
      <c r="E7400" s="4">
        <v>146</v>
      </c>
      <c r="G7400">
        <f t="shared" si="115"/>
        <v>1224</v>
      </c>
    </row>
    <row r="7401" spans="2:7" ht="15" hidden="1" x14ac:dyDescent="0.25">
      <c r="B7401" s="4">
        <v>584635115</v>
      </c>
      <c r="C7401" s="4" t="s">
        <v>275</v>
      </c>
      <c r="D7401" s="4">
        <v>328</v>
      </c>
      <c r="E7401" s="4">
        <v>148</v>
      </c>
      <c r="G7401">
        <f t="shared" si="115"/>
        <v>1240</v>
      </c>
    </row>
    <row r="7402" spans="2:7" ht="15" hidden="1" x14ac:dyDescent="0.25">
      <c r="B7402" s="4">
        <v>584635118</v>
      </c>
      <c r="C7402" s="4" t="s">
        <v>275</v>
      </c>
      <c r="D7402" s="4">
        <v>329</v>
      </c>
      <c r="E7402" s="4">
        <v>146</v>
      </c>
      <c r="G7402">
        <f t="shared" si="115"/>
        <v>1224</v>
      </c>
    </row>
    <row r="7403" spans="2:7" ht="15" hidden="1" x14ac:dyDescent="0.25">
      <c r="B7403" s="4">
        <v>584635121</v>
      </c>
      <c r="C7403" s="4" t="s">
        <v>275</v>
      </c>
      <c r="D7403" s="4">
        <v>330</v>
      </c>
      <c r="E7403" s="4">
        <v>146</v>
      </c>
      <c r="G7403">
        <f t="shared" si="115"/>
        <v>1224</v>
      </c>
    </row>
    <row r="7404" spans="2:7" ht="15" hidden="1" x14ac:dyDescent="0.25">
      <c r="B7404" s="4">
        <v>584635124</v>
      </c>
      <c r="C7404" s="4" t="s">
        <v>275</v>
      </c>
      <c r="D7404" s="4">
        <v>331</v>
      </c>
      <c r="E7404" s="4">
        <v>148</v>
      </c>
      <c r="G7404">
        <f t="shared" si="115"/>
        <v>1240</v>
      </c>
    </row>
    <row r="7405" spans="2:7" ht="15" hidden="1" x14ac:dyDescent="0.25">
      <c r="B7405" s="4">
        <v>584635127</v>
      </c>
      <c r="C7405" s="4" t="s">
        <v>275</v>
      </c>
      <c r="D7405" s="4">
        <v>332</v>
      </c>
      <c r="E7405" s="4">
        <v>150</v>
      </c>
      <c r="G7405">
        <f t="shared" si="115"/>
        <v>1256</v>
      </c>
    </row>
    <row r="7406" spans="2:7" ht="15" hidden="1" x14ac:dyDescent="0.25">
      <c r="B7406" s="4">
        <v>584635130</v>
      </c>
      <c r="C7406" s="4" t="s">
        <v>275</v>
      </c>
      <c r="D7406" s="4">
        <v>333</v>
      </c>
      <c r="E7406" s="4">
        <v>150</v>
      </c>
      <c r="G7406">
        <f t="shared" si="115"/>
        <v>1256</v>
      </c>
    </row>
    <row r="7407" spans="2:7" ht="15" hidden="1" x14ac:dyDescent="0.25">
      <c r="B7407" s="4">
        <v>584635133</v>
      </c>
      <c r="C7407" s="4" t="s">
        <v>275</v>
      </c>
      <c r="D7407" s="4">
        <v>334</v>
      </c>
      <c r="E7407" s="4">
        <v>150</v>
      </c>
      <c r="G7407">
        <f t="shared" si="115"/>
        <v>1256</v>
      </c>
    </row>
    <row r="7408" spans="2:7" ht="15" hidden="1" x14ac:dyDescent="0.25">
      <c r="B7408" s="4">
        <v>584635136</v>
      </c>
      <c r="C7408" s="4" t="s">
        <v>275</v>
      </c>
      <c r="D7408" s="4">
        <v>335</v>
      </c>
      <c r="E7408" s="4">
        <v>156</v>
      </c>
      <c r="G7408">
        <f t="shared" si="115"/>
        <v>1304</v>
      </c>
    </row>
    <row r="7409" spans="2:7" ht="15" hidden="1" x14ac:dyDescent="0.25">
      <c r="B7409" s="4">
        <v>584635139</v>
      </c>
      <c r="C7409" s="4" t="s">
        <v>275</v>
      </c>
      <c r="D7409" s="4">
        <v>336</v>
      </c>
      <c r="E7409" s="4">
        <v>146</v>
      </c>
      <c r="G7409">
        <f t="shared" si="115"/>
        <v>1224</v>
      </c>
    </row>
    <row r="7410" spans="2:7" ht="15" hidden="1" x14ac:dyDescent="0.25">
      <c r="B7410" s="4">
        <v>584635142</v>
      </c>
      <c r="C7410" s="4" t="s">
        <v>275</v>
      </c>
      <c r="D7410" s="4">
        <v>337</v>
      </c>
      <c r="E7410" s="4">
        <v>150</v>
      </c>
      <c r="G7410">
        <f t="shared" si="115"/>
        <v>1256</v>
      </c>
    </row>
    <row r="7411" spans="2:7" ht="15" hidden="1" x14ac:dyDescent="0.25">
      <c r="B7411" s="4">
        <v>584635144</v>
      </c>
      <c r="C7411" s="4" t="s">
        <v>269</v>
      </c>
      <c r="D7411" s="4">
        <v>1616</v>
      </c>
      <c r="E7411" s="4">
        <v>57</v>
      </c>
      <c r="G7411">
        <f t="shared" si="115"/>
        <v>512</v>
      </c>
    </row>
    <row r="7412" spans="2:7" ht="15" hidden="1" x14ac:dyDescent="0.25">
      <c r="B7412" s="4">
        <v>584635145</v>
      </c>
      <c r="C7412" s="4" t="s">
        <v>275</v>
      </c>
      <c r="D7412" s="4">
        <v>338</v>
      </c>
      <c r="E7412" s="4">
        <v>150</v>
      </c>
      <c r="G7412">
        <f t="shared" si="115"/>
        <v>1256</v>
      </c>
    </row>
    <row r="7413" spans="2:7" ht="15" hidden="1" x14ac:dyDescent="0.25">
      <c r="B7413" s="4">
        <v>584635148</v>
      </c>
      <c r="C7413" s="4" t="s">
        <v>275</v>
      </c>
      <c r="D7413" s="4">
        <v>339</v>
      </c>
      <c r="E7413" s="4">
        <v>146</v>
      </c>
      <c r="G7413">
        <f t="shared" si="115"/>
        <v>1224</v>
      </c>
    </row>
    <row r="7414" spans="2:7" ht="15" hidden="1" x14ac:dyDescent="0.25">
      <c r="B7414" s="4">
        <v>584635151</v>
      </c>
      <c r="C7414" s="4" t="s">
        <v>275</v>
      </c>
      <c r="D7414" s="4">
        <v>340</v>
      </c>
      <c r="E7414" s="4">
        <v>148</v>
      </c>
      <c r="G7414">
        <f t="shared" si="115"/>
        <v>1240</v>
      </c>
    </row>
    <row r="7415" spans="2:7" ht="15" hidden="1" x14ac:dyDescent="0.25">
      <c r="B7415" s="4">
        <v>584635154</v>
      </c>
      <c r="C7415" s="4" t="s">
        <v>275</v>
      </c>
      <c r="D7415" s="4">
        <v>341</v>
      </c>
      <c r="E7415" s="4">
        <v>152</v>
      </c>
      <c r="G7415">
        <f t="shared" si="115"/>
        <v>1272</v>
      </c>
    </row>
    <row r="7416" spans="2:7" ht="15" hidden="1" x14ac:dyDescent="0.25">
      <c r="B7416" s="4">
        <v>584635157</v>
      </c>
      <c r="C7416" s="4" t="s">
        <v>275</v>
      </c>
      <c r="D7416" s="4">
        <v>342</v>
      </c>
      <c r="E7416" s="4">
        <v>150</v>
      </c>
      <c r="G7416">
        <f t="shared" si="115"/>
        <v>1256</v>
      </c>
    </row>
    <row r="7417" spans="2:7" ht="15" hidden="1" x14ac:dyDescent="0.25">
      <c r="B7417" s="4">
        <v>584635160</v>
      </c>
      <c r="C7417" s="4" t="s">
        <v>275</v>
      </c>
      <c r="D7417" s="4">
        <v>343</v>
      </c>
      <c r="E7417" s="4">
        <v>150</v>
      </c>
      <c r="G7417">
        <f t="shared" si="115"/>
        <v>1256</v>
      </c>
    </row>
    <row r="7418" spans="2:7" ht="15" hidden="1" x14ac:dyDescent="0.25">
      <c r="B7418" s="4">
        <v>584635163</v>
      </c>
      <c r="C7418" s="4" t="s">
        <v>275</v>
      </c>
      <c r="D7418" s="4">
        <v>344</v>
      </c>
      <c r="E7418" s="4">
        <v>146</v>
      </c>
      <c r="G7418">
        <f t="shared" si="115"/>
        <v>1224</v>
      </c>
    </row>
    <row r="7419" spans="2:7" ht="15" hidden="1" x14ac:dyDescent="0.25">
      <c r="B7419" s="4">
        <v>584635166</v>
      </c>
      <c r="C7419" s="4" t="s">
        <v>275</v>
      </c>
      <c r="D7419" s="4">
        <v>345</v>
      </c>
      <c r="E7419" s="4">
        <v>158</v>
      </c>
      <c r="G7419">
        <f t="shared" si="115"/>
        <v>1320</v>
      </c>
    </row>
    <row r="7420" spans="2:7" ht="15" hidden="1" x14ac:dyDescent="0.25">
      <c r="B7420" s="4">
        <v>584635169</v>
      </c>
      <c r="C7420" s="4" t="s">
        <v>275</v>
      </c>
      <c r="D7420" s="4">
        <v>346</v>
      </c>
      <c r="E7420" s="4">
        <v>156</v>
      </c>
      <c r="G7420">
        <f t="shared" si="115"/>
        <v>1304</v>
      </c>
    </row>
    <row r="7421" spans="2:7" ht="15" hidden="1" x14ac:dyDescent="0.25">
      <c r="B7421" s="4">
        <v>584635172</v>
      </c>
      <c r="C7421" s="4" t="s">
        <v>275</v>
      </c>
      <c r="D7421" s="4">
        <v>347</v>
      </c>
      <c r="E7421" s="4">
        <v>150</v>
      </c>
      <c r="G7421">
        <f t="shared" si="115"/>
        <v>1256</v>
      </c>
    </row>
    <row r="7422" spans="2:7" ht="15" hidden="1" x14ac:dyDescent="0.25">
      <c r="B7422" s="4">
        <v>584635175</v>
      </c>
      <c r="C7422" s="4" t="s">
        <v>275</v>
      </c>
      <c r="D7422" s="4">
        <v>348</v>
      </c>
      <c r="E7422" s="4">
        <v>152</v>
      </c>
      <c r="G7422">
        <f t="shared" si="115"/>
        <v>1272</v>
      </c>
    </row>
    <row r="7423" spans="2:7" ht="15" hidden="1" x14ac:dyDescent="0.25">
      <c r="B7423" s="4">
        <v>584635178</v>
      </c>
      <c r="C7423" s="4" t="s">
        <v>275</v>
      </c>
      <c r="D7423" s="4">
        <v>349</v>
      </c>
      <c r="E7423" s="4">
        <v>150</v>
      </c>
      <c r="G7423">
        <f t="shared" si="115"/>
        <v>1256</v>
      </c>
    </row>
    <row r="7424" spans="2:7" ht="15" hidden="1" x14ac:dyDescent="0.25">
      <c r="B7424" s="4">
        <v>584635178</v>
      </c>
      <c r="C7424" s="4" t="s">
        <v>276</v>
      </c>
      <c r="D7424" s="4">
        <v>3</v>
      </c>
      <c r="E7424" s="4">
        <v>213</v>
      </c>
      <c r="G7424">
        <f t="shared" si="115"/>
        <v>1760</v>
      </c>
    </row>
    <row r="7425" spans="2:7" ht="15" hidden="1" x14ac:dyDescent="0.25">
      <c r="B7425" s="4">
        <v>584635181</v>
      </c>
      <c r="C7425" s="4" t="s">
        <v>275</v>
      </c>
      <c r="D7425" s="4">
        <v>350</v>
      </c>
      <c r="E7425" s="4">
        <v>150</v>
      </c>
      <c r="G7425">
        <f t="shared" si="115"/>
        <v>1256</v>
      </c>
    </row>
    <row r="7426" spans="2:7" ht="15" hidden="1" x14ac:dyDescent="0.25">
      <c r="B7426" s="4">
        <v>584635184</v>
      </c>
      <c r="C7426" s="4" t="s">
        <v>275</v>
      </c>
      <c r="D7426" s="4">
        <v>351</v>
      </c>
      <c r="E7426" s="4">
        <v>148</v>
      </c>
      <c r="G7426">
        <f t="shared" si="115"/>
        <v>1240</v>
      </c>
    </row>
    <row r="7427" spans="2:7" ht="15" hidden="1" x14ac:dyDescent="0.25">
      <c r="B7427" s="4">
        <v>584635187</v>
      </c>
      <c r="C7427" s="4" t="s">
        <v>275</v>
      </c>
      <c r="D7427" s="4">
        <v>352</v>
      </c>
      <c r="E7427" s="4">
        <v>146</v>
      </c>
      <c r="G7427">
        <f t="shared" si="115"/>
        <v>1224</v>
      </c>
    </row>
    <row r="7428" spans="2:7" ht="15" hidden="1" x14ac:dyDescent="0.25">
      <c r="B7428" s="4">
        <v>584635190</v>
      </c>
      <c r="C7428" s="4" t="s">
        <v>275</v>
      </c>
      <c r="D7428" s="4">
        <v>353</v>
      </c>
      <c r="E7428" s="4">
        <v>150</v>
      </c>
      <c r="G7428">
        <f t="shared" ref="G7428:G7491" si="116">(E7428+7)*8</f>
        <v>1256</v>
      </c>
    </row>
    <row r="7429" spans="2:7" ht="15" hidden="1" x14ac:dyDescent="0.25">
      <c r="B7429" s="4">
        <v>584635193</v>
      </c>
      <c r="C7429" s="4" t="s">
        <v>275</v>
      </c>
      <c r="D7429" s="4">
        <v>354</v>
      </c>
      <c r="E7429" s="4">
        <v>146</v>
      </c>
      <c r="G7429">
        <f t="shared" si="116"/>
        <v>1224</v>
      </c>
    </row>
    <row r="7430" spans="2:7" ht="15" hidden="1" x14ac:dyDescent="0.25">
      <c r="B7430" s="4">
        <v>584635196</v>
      </c>
      <c r="C7430" s="4" t="s">
        <v>275</v>
      </c>
      <c r="D7430" s="4">
        <v>355</v>
      </c>
      <c r="E7430" s="4">
        <v>148</v>
      </c>
      <c r="G7430">
        <f t="shared" si="116"/>
        <v>1240</v>
      </c>
    </row>
    <row r="7431" spans="2:7" ht="15" hidden="1" x14ac:dyDescent="0.25">
      <c r="B7431" s="4">
        <v>584635199</v>
      </c>
      <c r="C7431" s="4" t="s">
        <v>275</v>
      </c>
      <c r="D7431" s="4">
        <v>356</v>
      </c>
      <c r="E7431" s="4">
        <v>150</v>
      </c>
      <c r="G7431">
        <f t="shared" si="116"/>
        <v>1256</v>
      </c>
    </row>
    <row r="7432" spans="2:7" ht="15" hidden="1" x14ac:dyDescent="0.25">
      <c r="B7432" s="4">
        <v>584635201</v>
      </c>
      <c r="C7432" s="4" t="s">
        <v>277</v>
      </c>
      <c r="D7432" s="4">
        <v>3</v>
      </c>
      <c r="E7432" s="4">
        <v>53</v>
      </c>
      <c r="G7432">
        <f t="shared" si="116"/>
        <v>480</v>
      </c>
    </row>
    <row r="7433" spans="2:7" ht="15" hidden="1" x14ac:dyDescent="0.25">
      <c r="B7433" s="4">
        <v>584635202</v>
      </c>
      <c r="C7433" s="4" t="s">
        <v>275</v>
      </c>
      <c r="D7433" s="4">
        <v>357</v>
      </c>
      <c r="E7433" s="4">
        <v>152</v>
      </c>
      <c r="G7433">
        <f t="shared" si="116"/>
        <v>1272</v>
      </c>
    </row>
    <row r="7434" spans="2:7" ht="15" hidden="1" x14ac:dyDescent="0.25">
      <c r="B7434" s="4">
        <v>584635205</v>
      </c>
      <c r="C7434" s="4" t="s">
        <v>275</v>
      </c>
      <c r="D7434" s="4">
        <v>358</v>
      </c>
      <c r="E7434" s="4">
        <v>146</v>
      </c>
      <c r="G7434">
        <f t="shared" si="116"/>
        <v>1224</v>
      </c>
    </row>
    <row r="7435" spans="2:7" ht="15" hidden="1" x14ac:dyDescent="0.25">
      <c r="B7435" s="4">
        <v>584635208</v>
      </c>
      <c r="C7435" s="4" t="s">
        <v>275</v>
      </c>
      <c r="D7435" s="4">
        <v>359</v>
      </c>
      <c r="E7435" s="4">
        <v>154</v>
      </c>
      <c r="G7435">
        <f t="shared" si="116"/>
        <v>1288</v>
      </c>
    </row>
    <row r="7436" spans="2:7" ht="15" hidden="1" x14ac:dyDescent="0.25">
      <c r="B7436" s="4">
        <v>584635211</v>
      </c>
      <c r="C7436" s="4" t="s">
        <v>275</v>
      </c>
      <c r="D7436" s="4">
        <v>360</v>
      </c>
      <c r="E7436" s="4">
        <v>150</v>
      </c>
      <c r="G7436">
        <f t="shared" si="116"/>
        <v>1256</v>
      </c>
    </row>
    <row r="7437" spans="2:7" ht="15" hidden="1" x14ac:dyDescent="0.25">
      <c r="B7437" s="4">
        <v>584635214</v>
      </c>
      <c r="C7437" s="4" t="s">
        <v>275</v>
      </c>
      <c r="D7437" s="4">
        <v>361</v>
      </c>
      <c r="E7437" s="4">
        <v>150</v>
      </c>
      <c r="G7437">
        <f t="shared" si="116"/>
        <v>1256</v>
      </c>
    </row>
    <row r="7438" spans="2:7" ht="15" hidden="1" x14ac:dyDescent="0.25">
      <c r="B7438" s="4">
        <v>584635217</v>
      </c>
      <c r="C7438" s="4" t="s">
        <v>275</v>
      </c>
      <c r="D7438" s="4">
        <v>362</v>
      </c>
      <c r="E7438" s="4">
        <v>152</v>
      </c>
      <c r="G7438">
        <f t="shared" si="116"/>
        <v>1272</v>
      </c>
    </row>
    <row r="7439" spans="2:7" ht="15" hidden="1" x14ac:dyDescent="0.25">
      <c r="B7439" s="4">
        <v>584635220</v>
      </c>
      <c r="C7439" s="4" t="s">
        <v>275</v>
      </c>
      <c r="D7439" s="4">
        <v>363</v>
      </c>
      <c r="E7439" s="4">
        <v>146</v>
      </c>
      <c r="G7439">
        <f t="shared" si="116"/>
        <v>1224</v>
      </c>
    </row>
    <row r="7440" spans="2:7" ht="15" hidden="1" x14ac:dyDescent="0.25">
      <c r="B7440" s="4">
        <v>584635223</v>
      </c>
      <c r="C7440" s="4" t="s">
        <v>275</v>
      </c>
      <c r="D7440" s="4">
        <v>364</v>
      </c>
      <c r="E7440" s="4">
        <v>150</v>
      </c>
      <c r="G7440">
        <f t="shared" si="116"/>
        <v>1256</v>
      </c>
    </row>
    <row r="7441" spans="2:7" ht="15" hidden="1" x14ac:dyDescent="0.25">
      <c r="B7441" s="4">
        <v>584635226</v>
      </c>
      <c r="C7441" s="4" t="s">
        <v>275</v>
      </c>
      <c r="D7441" s="4">
        <v>365</v>
      </c>
      <c r="E7441" s="4">
        <v>146</v>
      </c>
      <c r="G7441">
        <f t="shared" si="116"/>
        <v>1224</v>
      </c>
    </row>
    <row r="7442" spans="2:7" ht="15" hidden="1" x14ac:dyDescent="0.25">
      <c r="B7442" s="4">
        <v>584635229</v>
      </c>
      <c r="C7442" s="4" t="s">
        <v>275</v>
      </c>
      <c r="D7442" s="4">
        <v>366</v>
      </c>
      <c r="E7442" s="4">
        <v>148</v>
      </c>
      <c r="G7442">
        <f t="shared" si="116"/>
        <v>1240</v>
      </c>
    </row>
    <row r="7443" spans="2:7" ht="15" hidden="1" x14ac:dyDescent="0.25">
      <c r="B7443" s="4">
        <v>584635232</v>
      </c>
      <c r="C7443" s="4" t="s">
        <v>275</v>
      </c>
      <c r="D7443" s="4">
        <v>367</v>
      </c>
      <c r="E7443" s="4">
        <v>150</v>
      </c>
      <c r="G7443">
        <f t="shared" si="116"/>
        <v>1256</v>
      </c>
    </row>
    <row r="7444" spans="2:7" ht="15" hidden="1" x14ac:dyDescent="0.25">
      <c r="B7444" s="4">
        <v>584635235</v>
      </c>
      <c r="C7444" s="4" t="s">
        <v>275</v>
      </c>
      <c r="D7444" s="4">
        <v>368</v>
      </c>
      <c r="E7444" s="4">
        <v>152</v>
      </c>
      <c r="G7444">
        <f t="shared" si="116"/>
        <v>1272</v>
      </c>
    </row>
    <row r="7445" spans="2:7" ht="15" hidden="1" x14ac:dyDescent="0.25">
      <c r="B7445" s="4">
        <v>584635238</v>
      </c>
      <c r="C7445" s="4" t="s">
        <v>275</v>
      </c>
      <c r="D7445" s="4">
        <v>369</v>
      </c>
      <c r="E7445" s="4">
        <v>152</v>
      </c>
      <c r="G7445">
        <f t="shared" si="116"/>
        <v>1272</v>
      </c>
    </row>
    <row r="7446" spans="2:7" ht="15" hidden="1" x14ac:dyDescent="0.25">
      <c r="B7446" s="4">
        <v>584635241</v>
      </c>
      <c r="C7446" s="4" t="s">
        <v>275</v>
      </c>
      <c r="D7446" s="4">
        <v>370</v>
      </c>
      <c r="E7446" s="4">
        <v>146</v>
      </c>
      <c r="G7446">
        <f t="shared" si="116"/>
        <v>1224</v>
      </c>
    </row>
    <row r="7447" spans="2:7" ht="15" hidden="1" x14ac:dyDescent="0.25">
      <c r="B7447" s="4">
        <v>584635244</v>
      </c>
      <c r="C7447" s="4" t="s">
        <v>275</v>
      </c>
      <c r="D7447" s="4">
        <v>371</v>
      </c>
      <c r="E7447" s="4">
        <v>146</v>
      </c>
      <c r="G7447">
        <f t="shared" si="116"/>
        <v>1224</v>
      </c>
    </row>
    <row r="7448" spans="2:7" ht="15" hidden="1" x14ac:dyDescent="0.25">
      <c r="B7448" s="4">
        <v>584635247</v>
      </c>
      <c r="C7448" s="4" t="s">
        <v>275</v>
      </c>
      <c r="D7448" s="4">
        <v>372</v>
      </c>
      <c r="E7448" s="4">
        <v>150</v>
      </c>
      <c r="G7448">
        <f t="shared" si="116"/>
        <v>1256</v>
      </c>
    </row>
    <row r="7449" spans="2:7" ht="15" hidden="1" x14ac:dyDescent="0.25">
      <c r="B7449" s="4">
        <v>584635250</v>
      </c>
      <c r="C7449" s="4" t="s">
        <v>275</v>
      </c>
      <c r="D7449" s="4">
        <v>373</v>
      </c>
      <c r="E7449" s="4">
        <v>150</v>
      </c>
      <c r="G7449">
        <f t="shared" si="116"/>
        <v>1256</v>
      </c>
    </row>
    <row r="7450" spans="2:7" ht="15" hidden="1" x14ac:dyDescent="0.25">
      <c r="B7450" s="4">
        <v>584635253</v>
      </c>
      <c r="C7450" s="4" t="s">
        <v>275</v>
      </c>
      <c r="D7450" s="4">
        <v>374</v>
      </c>
      <c r="E7450" s="4">
        <v>146</v>
      </c>
      <c r="G7450">
        <f t="shared" si="116"/>
        <v>1224</v>
      </c>
    </row>
    <row r="7451" spans="2:7" ht="15" hidden="1" x14ac:dyDescent="0.25">
      <c r="B7451" s="4">
        <v>584635256</v>
      </c>
      <c r="C7451" s="4" t="s">
        <v>275</v>
      </c>
      <c r="D7451" s="4">
        <v>375</v>
      </c>
      <c r="E7451" s="4">
        <v>152</v>
      </c>
      <c r="G7451">
        <f t="shared" si="116"/>
        <v>1272</v>
      </c>
    </row>
    <row r="7452" spans="2:7" ht="15" hidden="1" x14ac:dyDescent="0.25">
      <c r="B7452" s="4">
        <v>584635259</v>
      </c>
      <c r="C7452" s="4" t="s">
        <v>275</v>
      </c>
      <c r="D7452" s="4">
        <v>376</v>
      </c>
      <c r="E7452" s="4">
        <v>146</v>
      </c>
      <c r="G7452">
        <f t="shared" si="116"/>
        <v>1224</v>
      </c>
    </row>
    <row r="7453" spans="2:7" ht="15" hidden="1" x14ac:dyDescent="0.25">
      <c r="B7453" s="4">
        <v>584635262</v>
      </c>
      <c r="C7453" s="4" t="s">
        <v>275</v>
      </c>
      <c r="D7453" s="4">
        <v>377</v>
      </c>
      <c r="E7453" s="4">
        <v>154</v>
      </c>
      <c r="G7453">
        <f t="shared" si="116"/>
        <v>1288</v>
      </c>
    </row>
    <row r="7454" spans="2:7" ht="15" hidden="1" x14ac:dyDescent="0.25">
      <c r="B7454" s="4">
        <v>584635265</v>
      </c>
      <c r="C7454" s="4" t="s">
        <v>275</v>
      </c>
      <c r="D7454" s="4">
        <v>378</v>
      </c>
      <c r="E7454" s="4">
        <v>152</v>
      </c>
      <c r="G7454">
        <f t="shared" si="116"/>
        <v>1272</v>
      </c>
    </row>
    <row r="7455" spans="2:7" ht="15" hidden="1" x14ac:dyDescent="0.25">
      <c r="B7455" s="4">
        <v>584635268</v>
      </c>
      <c r="C7455" s="4" t="s">
        <v>275</v>
      </c>
      <c r="D7455" s="4">
        <v>379</v>
      </c>
      <c r="E7455" s="4">
        <v>146</v>
      </c>
      <c r="G7455">
        <f t="shared" si="116"/>
        <v>1224</v>
      </c>
    </row>
    <row r="7456" spans="2:7" ht="15" hidden="1" x14ac:dyDescent="0.25">
      <c r="B7456" s="4">
        <v>584635271</v>
      </c>
      <c r="C7456" s="4" t="s">
        <v>275</v>
      </c>
      <c r="D7456" s="4">
        <v>380</v>
      </c>
      <c r="E7456" s="4">
        <v>146</v>
      </c>
      <c r="G7456">
        <f t="shared" si="116"/>
        <v>1224</v>
      </c>
    </row>
    <row r="7457" spans="2:7" ht="15" hidden="1" x14ac:dyDescent="0.25">
      <c r="B7457" s="4">
        <v>584635274</v>
      </c>
      <c r="C7457" s="4" t="s">
        <v>275</v>
      </c>
      <c r="D7457" s="4">
        <v>381</v>
      </c>
      <c r="E7457" s="4">
        <v>146</v>
      </c>
      <c r="G7457">
        <f t="shared" si="116"/>
        <v>1224</v>
      </c>
    </row>
    <row r="7458" spans="2:7" ht="15" hidden="1" x14ac:dyDescent="0.25">
      <c r="B7458" s="4">
        <v>584635277</v>
      </c>
      <c r="C7458" s="4" t="s">
        <v>275</v>
      </c>
      <c r="D7458" s="4">
        <v>382</v>
      </c>
      <c r="E7458" s="4">
        <v>150</v>
      </c>
      <c r="G7458">
        <f t="shared" si="116"/>
        <v>1256</v>
      </c>
    </row>
    <row r="7459" spans="2:7" ht="15" hidden="1" x14ac:dyDescent="0.25">
      <c r="B7459" s="4">
        <v>584635280</v>
      </c>
      <c r="C7459" s="4" t="s">
        <v>275</v>
      </c>
      <c r="D7459" s="4">
        <v>383</v>
      </c>
      <c r="E7459" s="4">
        <v>146</v>
      </c>
      <c r="G7459">
        <f t="shared" si="116"/>
        <v>1224</v>
      </c>
    </row>
    <row r="7460" spans="2:7" ht="15" hidden="1" x14ac:dyDescent="0.25">
      <c r="B7460" s="4">
        <v>584635283</v>
      </c>
      <c r="C7460" s="4" t="s">
        <v>275</v>
      </c>
      <c r="D7460" s="4">
        <v>384</v>
      </c>
      <c r="E7460" s="4">
        <v>146</v>
      </c>
      <c r="G7460">
        <f t="shared" si="116"/>
        <v>1224</v>
      </c>
    </row>
    <row r="7461" spans="2:7" ht="15" hidden="1" x14ac:dyDescent="0.25">
      <c r="B7461" s="4">
        <v>584635286</v>
      </c>
      <c r="C7461" s="4" t="s">
        <v>275</v>
      </c>
      <c r="D7461" s="4">
        <v>385</v>
      </c>
      <c r="E7461" s="4">
        <v>146</v>
      </c>
      <c r="G7461">
        <f t="shared" si="116"/>
        <v>1224</v>
      </c>
    </row>
    <row r="7462" spans="2:7" ht="15" hidden="1" x14ac:dyDescent="0.25">
      <c r="B7462" s="4">
        <v>584635289</v>
      </c>
      <c r="C7462" s="4" t="s">
        <v>275</v>
      </c>
      <c r="D7462" s="4">
        <v>386</v>
      </c>
      <c r="E7462" s="4">
        <v>146</v>
      </c>
      <c r="G7462">
        <f t="shared" si="116"/>
        <v>1224</v>
      </c>
    </row>
    <row r="7463" spans="2:7" ht="15" hidden="1" x14ac:dyDescent="0.25">
      <c r="B7463" s="4">
        <v>584635292</v>
      </c>
      <c r="C7463" s="4" t="s">
        <v>275</v>
      </c>
      <c r="D7463" s="4">
        <v>387</v>
      </c>
      <c r="E7463" s="4">
        <v>152</v>
      </c>
      <c r="G7463">
        <f t="shared" si="116"/>
        <v>1272</v>
      </c>
    </row>
    <row r="7464" spans="2:7" ht="15" hidden="1" x14ac:dyDescent="0.25">
      <c r="B7464" s="4">
        <v>584635295</v>
      </c>
      <c r="C7464" s="4" t="s">
        <v>275</v>
      </c>
      <c r="D7464" s="4">
        <v>388</v>
      </c>
      <c r="E7464" s="4">
        <v>146</v>
      </c>
      <c r="G7464">
        <f t="shared" si="116"/>
        <v>1224</v>
      </c>
    </row>
    <row r="7465" spans="2:7" ht="15" hidden="1" x14ac:dyDescent="0.25">
      <c r="B7465" s="4">
        <v>584635298</v>
      </c>
      <c r="C7465" s="4" t="s">
        <v>275</v>
      </c>
      <c r="D7465" s="4">
        <v>389</v>
      </c>
      <c r="E7465" s="4">
        <v>150</v>
      </c>
      <c r="G7465">
        <f t="shared" si="116"/>
        <v>1256</v>
      </c>
    </row>
    <row r="7466" spans="2:7" ht="15" hidden="1" x14ac:dyDescent="0.25">
      <c r="B7466" s="4">
        <v>584635301</v>
      </c>
      <c r="C7466" s="4" t="s">
        <v>275</v>
      </c>
      <c r="D7466" s="4">
        <v>390</v>
      </c>
      <c r="E7466" s="4">
        <v>148</v>
      </c>
      <c r="G7466">
        <f t="shared" si="116"/>
        <v>1240</v>
      </c>
    </row>
    <row r="7467" spans="2:7" ht="15" hidden="1" x14ac:dyDescent="0.25">
      <c r="B7467" s="4">
        <v>584635304</v>
      </c>
      <c r="C7467" s="4" t="s">
        <v>275</v>
      </c>
      <c r="D7467" s="4">
        <v>391</v>
      </c>
      <c r="E7467" s="4">
        <v>146</v>
      </c>
      <c r="G7467">
        <f t="shared" si="116"/>
        <v>1224</v>
      </c>
    </row>
    <row r="7468" spans="2:7" ht="15" hidden="1" x14ac:dyDescent="0.25">
      <c r="B7468" s="4">
        <v>584635307</v>
      </c>
      <c r="C7468" s="4" t="s">
        <v>275</v>
      </c>
      <c r="D7468" s="4">
        <v>392</v>
      </c>
      <c r="E7468" s="4">
        <v>146</v>
      </c>
      <c r="G7468">
        <f t="shared" si="116"/>
        <v>1224</v>
      </c>
    </row>
    <row r="7469" spans="2:7" ht="15" hidden="1" x14ac:dyDescent="0.25">
      <c r="B7469" s="4">
        <v>584635310</v>
      </c>
      <c r="C7469" s="4" t="s">
        <v>275</v>
      </c>
      <c r="D7469" s="4">
        <v>393</v>
      </c>
      <c r="E7469" s="4">
        <v>150</v>
      </c>
      <c r="G7469">
        <f t="shared" si="116"/>
        <v>1256</v>
      </c>
    </row>
    <row r="7470" spans="2:7" ht="15" hidden="1" x14ac:dyDescent="0.25">
      <c r="B7470" s="4">
        <v>584635313</v>
      </c>
      <c r="C7470" s="4" t="s">
        <v>275</v>
      </c>
      <c r="D7470" s="4">
        <v>394</v>
      </c>
      <c r="E7470" s="4">
        <v>146</v>
      </c>
      <c r="G7470">
        <f t="shared" si="116"/>
        <v>1224</v>
      </c>
    </row>
    <row r="7471" spans="2:7" ht="15" hidden="1" x14ac:dyDescent="0.25">
      <c r="B7471" s="4">
        <v>584635316</v>
      </c>
      <c r="C7471" s="4" t="s">
        <v>275</v>
      </c>
      <c r="D7471" s="4">
        <v>395</v>
      </c>
      <c r="E7471" s="4">
        <v>156</v>
      </c>
      <c r="G7471">
        <f t="shared" si="116"/>
        <v>1304</v>
      </c>
    </row>
    <row r="7472" spans="2:7" ht="15" hidden="1" x14ac:dyDescent="0.25">
      <c r="B7472" s="4">
        <v>584635316</v>
      </c>
      <c r="C7472" s="4" t="s">
        <v>276</v>
      </c>
      <c r="D7472" s="4">
        <v>4</v>
      </c>
      <c r="E7472" s="4">
        <v>193</v>
      </c>
      <c r="G7472">
        <f t="shared" si="116"/>
        <v>1600</v>
      </c>
    </row>
    <row r="7473" spans="2:7" ht="15" hidden="1" x14ac:dyDescent="0.25">
      <c r="B7473" s="4">
        <v>584635319</v>
      </c>
      <c r="C7473" s="4" t="s">
        <v>275</v>
      </c>
      <c r="D7473" s="4">
        <v>396</v>
      </c>
      <c r="E7473" s="4">
        <v>150</v>
      </c>
      <c r="G7473">
        <f t="shared" si="116"/>
        <v>1256</v>
      </c>
    </row>
    <row r="7474" spans="2:7" ht="15" hidden="1" x14ac:dyDescent="0.25">
      <c r="B7474" s="4">
        <v>584635322</v>
      </c>
      <c r="C7474" s="4" t="s">
        <v>275</v>
      </c>
      <c r="D7474" s="4">
        <v>397</v>
      </c>
      <c r="E7474" s="4">
        <v>152</v>
      </c>
      <c r="G7474">
        <f t="shared" si="116"/>
        <v>1272</v>
      </c>
    </row>
    <row r="7475" spans="2:7" ht="15" hidden="1" x14ac:dyDescent="0.25">
      <c r="B7475" s="4">
        <v>584635325</v>
      </c>
      <c r="C7475" s="4" t="s">
        <v>275</v>
      </c>
      <c r="D7475" s="4">
        <v>398</v>
      </c>
      <c r="E7475" s="4">
        <v>154</v>
      </c>
      <c r="G7475">
        <f t="shared" si="116"/>
        <v>1288</v>
      </c>
    </row>
    <row r="7476" spans="2:7" ht="15" hidden="1" x14ac:dyDescent="0.25">
      <c r="B7476" s="4">
        <v>584635328</v>
      </c>
      <c r="C7476" s="4" t="s">
        <v>275</v>
      </c>
      <c r="D7476" s="4">
        <v>399</v>
      </c>
      <c r="E7476" s="4">
        <v>146</v>
      </c>
      <c r="G7476">
        <f t="shared" si="116"/>
        <v>1224</v>
      </c>
    </row>
    <row r="7477" spans="2:7" ht="15" hidden="1" x14ac:dyDescent="0.25">
      <c r="B7477" s="4">
        <v>584635331</v>
      </c>
      <c r="C7477" s="4" t="s">
        <v>275</v>
      </c>
      <c r="D7477" s="4">
        <v>400</v>
      </c>
      <c r="E7477" s="4">
        <v>148</v>
      </c>
      <c r="G7477">
        <f t="shared" si="116"/>
        <v>1240</v>
      </c>
    </row>
    <row r="7478" spans="2:7" ht="15" hidden="1" x14ac:dyDescent="0.25">
      <c r="B7478" s="4">
        <v>584635334</v>
      </c>
      <c r="C7478" s="4" t="s">
        <v>275</v>
      </c>
      <c r="D7478" s="4">
        <v>401</v>
      </c>
      <c r="E7478" s="4">
        <v>152</v>
      </c>
      <c r="G7478">
        <f t="shared" si="116"/>
        <v>1272</v>
      </c>
    </row>
    <row r="7479" spans="2:7" ht="15" hidden="1" x14ac:dyDescent="0.25">
      <c r="B7479" s="4">
        <v>584635337</v>
      </c>
      <c r="C7479" s="4" t="s">
        <v>275</v>
      </c>
      <c r="D7479" s="4">
        <v>402</v>
      </c>
      <c r="E7479" s="4">
        <v>146</v>
      </c>
      <c r="G7479">
        <f t="shared" si="116"/>
        <v>1224</v>
      </c>
    </row>
    <row r="7480" spans="2:7" ht="15" hidden="1" x14ac:dyDescent="0.25">
      <c r="B7480" s="4">
        <v>584635339</v>
      </c>
      <c r="C7480" s="4" t="s">
        <v>277</v>
      </c>
      <c r="D7480" s="4">
        <v>4</v>
      </c>
      <c r="E7480" s="4">
        <v>55</v>
      </c>
      <c r="G7480">
        <f t="shared" si="116"/>
        <v>496</v>
      </c>
    </row>
    <row r="7481" spans="2:7" ht="15" hidden="1" x14ac:dyDescent="0.25">
      <c r="B7481" s="4">
        <v>584635340</v>
      </c>
      <c r="C7481" s="4" t="s">
        <v>275</v>
      </c>
      <c r="D7481" s="4">
        <v>403</v>
      </c>
      <c r="E7481" s="4">
        <v>146</v>
      </c>
      <c r="G7481">
        <f t="shared" si="116"/>
        <v>1224</v>
      </c>
    </row>
    <row r="7482" spans="2:7" ht="15" hidden="1" x14ac:dyDescent="0.25">
      <c r="B7482" s="4">
        <v>584635343</v>
      </c>
      <c r="C7482" s="4" t="s">
        <v>275</v>
      </c>
      <c r="D7482" s="4">
        <v>404</v>
      </c>
      <c r="E7482" s="4">
        <v>150</v>
      </c>
      <c r="G7482">
        <f t="shared" si="116"/>
        <v>1256</v>
      </c>
    </row>
    <row r="7483" spans="2:7" ht="15" hidden="1" x14ac:dyDescent="0.25">
      <c r="B7483" s="4">
        <v>584635346</v>
      </c>
      <c r="C7483" s="4" t="s">
        <v>275</v>
      </c>
      <c r="D7483" s="4">
        <v>405</v>
      </c>
      <c r="E7483" s="4">
        <v>154</v>
      </c>
      <c r="G7483">
        <f t="shared" si="116"/>
        <v>1288</v>
      </c>
    </row>
    <row r="7484" spans="2:7" ht="15" hidden="1" x14ac:dyDescent="0.25">
      <c r="B7484" s="4">
        <v>584635349</v>
      </c>
      <c r="C7484" s="4" t="s">
        <v>275</v>
      </c>
      <c r="D7484" s="4">
        <v>406</v>
      </c>
      <c r="E7484" s="4">
        <v>154</v>
      </c>
      <c r="G7484">
        <f t="shared" si="116"/>
        <v>1288</v>
      </c>
    </row>
    <row r="7485" spans="2:7" ht="15" hidden="1" x14ac:dyDescent="0.25">
      <c r="B7485" s="4">
        <v>584635352</v>
      </c>
      <c r="C7485" s="4" t="s">
        <v>275</v>
      </c>
      <c r="D7485" s="4">
        <v>407</v>
      </c>
      <c r="E7485" s="4">
        <v>148</v>
      </c>
      <c r="G7485">
        <f t="shared" si="116"/>
        <v>1240</v>
      </c>
    </row>
    <row r="7486" spans="2:7" ht="15" hidden="1" x14ac:dyDescent="0.25">
      <c r="B7486" s="4">
        <v>584635355</v>
      </c>
      <c r="C7486" s="4" t="s">
        <v>275</v>
      </c>
      <c r="D7486" s="4">
        <v>408</v>
      </c>
      <c r="E7486" s="4">
        <v>154</v>
      </c>
      <c r="G7486">
        <f t="shared" si="116"/>
        <v>1288</v>
      </c>
    </row>
    <row r="7487" spans="2:7" ht="15" hidden="1" x14ac:dyDescent="0.25">
      <c r="B7487" s="4">
        <v>584635358</v>
      </c>
      <c r="C7487" s="4" t="s">
        <v>275</v>
      </c>
      <c r="D7487" s="4">
        <v>409</v>
      </c>
      <c r="E7487" s="4">
        <v>148</v>
      </c>
      <c r="G7487">
        <f t="shared" si="116"/>
        <v>1240</v>
      </c>
    </row>
    <row r="7488" spans="2:7" ht="15" hidden="1" x14ac:dyDescent="0.25">
      <c r="B7488" s="4">
        <v>584635361</v>
      </c>
      <c r="C7488" s="4" t="s">
        <v>275</v>
      </c>
      <c r="D7488" s="4">
        <v>410</v>
      </c>
      <c r="E7488" s="4">
        <v>152</v>
      </c>
      <c r="G7488">
        <f t="shared" si="116"/>
        <v>1272</v>
      </c>
    </row>
    <row r="7489" spans="2:7" ht="15" hidden="1" x14ac:dyDescent="0.25">
      <c r="B7489" s="4">
        <v>584635364</v>
      </c>
      <c r="C7489" s="4" t="s">
        <v>275</v>
      </c>
      <c r="D7489" s="4">
        <v>411</v>
      </c>
      <c r="E7489" s="4">
        <v>150</v>
      </c>
      <c r="G7489">
        <f t="shared" si="116"/>
        <v>1256</v>
      </c>
    </row>
    <row r="7490" spans="2:7" ht="15" hidden="1" x14ac:dyDescent="0.25">
      <c r="B7490" s="4">
        <v>584635367</v>
      </c>
      <c r="C7490" s="4" t="s">
        <v>275</v>
      </c>
      <c r="D7490" s="4">
        <v>412</v>
      </c>
      <c r="E7490" s="4">
        <v>148</v>
      </c>
      <c r="G7490">
        <f t="shared" si="116"/>
        <v>1240</v>
      </c>
    </row>
    <row r="7491" spans="2:7" ht="15" hidden="1" x14ac:dyDescent="0.25">
      <c r="B7491" s="4">
        <v>584635370</v>
      </c>
      <c r="C7491" s="4" t="s">
        <v>275</v>
      </c>
      <c r="D7491" s="4">
        <v>413</v>
      </c>
      <c r="E7491" s="4">
        <v>152</v>
      </c>
      <c r="G7491">
        <f t="shared" si="116"/>
        <v>1272</v>
      </c>
    </row>
    <row r="7492" spans="2:7" ht="15" hidden="1" x14ac:dyDescent="0.25">
      <c r="B7492" s="4">
        <v>584635373</v>
      </c>
      <c r="C7492" s="4" t="s">
        <v>275</v>
      </c>
      <c r="D7492" s="4">
        <v>414</v>
      </c>
      <c r="E7492" s="4">
        <v>152</v>
      </c>
      <c r="G7492">
        <f t="shared" ref="G7492:G7555" si="117">(E7492+7)*8</f>
        <v>1272</v>
      </c>
    </row>
    <row r="7493" spans="2:7" ht="15" hidden="1" x14ac:dyDescent="0.25">
      <c r="B7493" s="4">
        <v>584635376</v>
      </c>
      <c r="C7493" s="4" t="s">
        <v>275</v>
      </c>
      <c r="D7493" s="4">
        <v>415</v>
      </c>
      <c r="E7493" s="4">
        <v>150</v>
      </c>
      <c r="G7493">
        <f t="shared" si="117"/>
        <v>1256</v>
      </c>
    </row>
    <row r="7494" spans="2:7" ht="15" hidden="1" x14ac:dyDescent="0.25">
      <c r="B7494" s="4">
        <v>584635379</v>
      </c>
      <c r="C7494" s="4" t="s">
        <v>275</v>
      </c>
      <c r="D7494" s="4">
        <v>416</v>
      </c>
      <c r="E7494" s="4">
        <v>146</v>
      </c>
      <c r="G7494">
        <f t="shared" si="117"/>
        <v>1224</v>
      </c>
    </row>
    <row r="7495" spans="2:7" ht="15" hidden="1" x14ac:dyDescent="0.25">
      <c r="B7495" s="4">
        <v>584635382</v>
      </c>
      <c r="C7495" s="4" t="s">
        <v>275</v>
      </c>
      <c r="D7495" s="4">
        <v>417</v>
      </c>
      <c r="E7495" s="4">
        <v>152</v>
      </c>
      <c r="G7495">
        <f t="shared" si="117"/>
        <v>1272</v>
      </c>
    </row>
    <row r="7496" spans="2:7" ht="15" hidden="1" x14ac:dyDescent="0.25">
      <c r="B7496" s="4">
        <v>584635385</v>
      </c>
      <c r="C7496" s="4" t="s">
        <v>275</v>
      </c>
      <c r="D7496" s="4">
        <v>418</v>
      </c>
      <c r="E7496" s="4">
        <v>154</v>
      </c>
      <c r="G7496">
        <f t="shared" si="117"/>
        <v>1288</v>
      </c>
    </row>
    <row r="7497" spans="2:7" ht="15" hidden="1" x14ac:dyDescent="0.25">
      <c r="B7497" s="4">
        <v>584635388</v>
      </c>
      <c r="C7497" s="4" t="s">
        <v>275</v>
      </c>
      <c r="D7497" s="4">
        <v>419</v>
      </c>
      <c r="E7497" s="4">
        <v>152</v>
      </c>
      <c r="G7497">
        <f t="shared" si="117"/>
        <v>1272</v>
      </c>
    </row>
    <row r="7498" spans="2:7" ht="15" hidden="1" x14ac:dyDescent="0.25">
      <c r="B7498" s="4">
        <v>584635391</v>
      </c>
      <c r="C7498" s="4" t="s">
        <v>275</v>
      </c>
      <c r="D7498" s="4">
        <v>420</v>
      </c>
      <c r="E7498" s="4">
        <v>152</v>
      </c>
      <c r="G7498">
        <f t="shared" si="117"/>
        <v>1272</v>
      </c>
    </row>
    <row r="7499" spans="2:7" ht="15" hidden="1" x14ac:dyDescent="0.25">
      <c r="B7499" s="4">
        <v>584635394</v>
      </c>
      <c r="C7499" s="4" t="s">
        <v>275</v>
      </c>
      <c r="D7499" s="4">
        <v>421</v>
      </c>
      <c r="E7499" s="4">
        <v>146</v>
      </c>
      <c r="G7499">
        <f t="shared" si="117"/>
        <v>1224</v>
      </c>
    </row>
    <row r="7500" spans="2:7" ht="15" hidden="1" x14ac:dyDescent="0.25">
      <c r="B7500" s="4">
        <v>584635397</v>
      </c>
      <c r="C7500" s="4" t="s">
        <v>275</v>
      </c>
      <c r="D7500" s="4">
        <v>422</v>
      </c>
      <c r="E7500" s="4">
        <v>150</v>
      </c>
      <c r="G7500">
        <f t="shared" si="117"/>
        <v>1256</v>
      </c>
    </row>
    <row r="7501" spans="2:7" ht="15" hidden="1" x14ac:dyDescent="0.25">
      <c r="B7501" s="4">
        <v>584635400</v>
      </c>
      <c r="C7501" s="4" t="s">
        <v>275</v>
      </c>
      <c r="D7501" s="4">
        <v>423</v>
      </c>
      <c r="E7501" s="4">
        <v>146</v>
      </c>
      <c r="G7501">
        <f t="shared" si="117"/>
        <v>1224</v>
      </c>
    </row>
    <row r="7502" spans="2:7" ht="15" hidden="1" x14ac:dyDescent="0.25">
      <c r="B7502" s="4">
        <v>584635403</v>
      </c>
      <c r="C7502" s="4" t="s">
        <v>275</v>
      </c>
      <c r="D7502" s="4">
        <v>424</v>
      </c>
      <c r="E7502" s="4">
        <v>152</v>
      </c>
      <c r="G7502">
        <f t="shared" si="117"/>
        <v>1272</v>
      </c>
    </row>
    <row r="7503" spans="2:7" ht="15" hidden="1" x14ac:dyDescent="0.25">
      <c r="B7503" s="4">
        <v>584635406</v>
      </c>
      <c r="C7503" s="4" t="s">
        <v>275</v>
      </c>
      <c r="D7503" s="4">
        <v>425</v>
      </c>
      <c r="E7503" s="4">
        <v>148</v>
      </c>
      <c r="G7503">
        <f t="shared" si="117"/>
        <v>1240</v>
      </c>
    </row>
    <row r="7504" spans="2:7" ht="15" hidden="1" x14ac:dyDescent="0.25">
      <c r="B7504" s="4">
        <v>584635409</v>
      </c>
      <c r="C7504" s="4" t="s">
        <v>275</v>
      </c>
      <c r="D7504" s="4">
        <v>426</v>
      </c>
      <c r="E7504" s="4">
        <v>148</v>
      </c>
      <c r="G7504">
        <f t="shared" si="117"/>
        <v>1240</v>
      </c>
    </row>
    <row r="7505" spans="2:7" ht="15" hidden="1" x14ac:dyDescent="0.25">
      <c r="B7505" s="4">
        <v>584635412</v>
      </c>
      <c r="C7505" s="4" t="s">
        <v>275</v>
      </c>
      <c r="D7505" s="4">
        <v>427</v>
      </c>
      <c r="E7505" s="4">
        <v>152</v>
      </c>
      <c r="G7505">
        <f t="shared" si="117"/>
        <v>1272</v>
      </c>
    </row>
    <row r="7506" spans="2:7" ht="15" hidden="1" x14ac:dyDescent="0.25">
      <c r="B7506" s="4">
        <v>584635415</v>
      </c>
      <c r="C7506" s="4" t="s">
        <v>275</v>
      </c>
      <c r="D7506" s="4">
        <v>428</v>
      </c>
      <c r="E7506" s="4">
        <v>150</v>
      </c>
      <c r="G7506">
        <f t="shared" si="117"/>
        <v>1256</v>
      </c>
    </row>
    <row r="7507" spans="2:7" ht="15" hidden="1" x14ac:dyDescent="0.25">
      <c r="B7507" s="4">
        <v>584635418</v>
      </c>
      <c r="C7507" s="4" t="s">
        <v>275</v>
      </c>
      <c r="D7507" s="4">
        <v>429</v>
      </c>
      <c r="E7507" s="4">
        <v>148</v>
      </c>
      <c r="G7507">
        <f t="shared" si="117"/>
        <v>1240</v>
      </c>
    </row>
    <row r="7508" spans="2:7" ht="15" hidden="1" x14ac:dyDescent="0.25">
      <c r="B7508" s="4">
        <v>584635421</v>
      </c>
      <c r="C7508" s="4" t="s">
        <v>275</v>
      </c>
      <c r="D7508" s="4">
        <v>430</v>
      </c>
      <c r="E7508" s="4">
        <v>152</v>
      </c>
      <c r="G7508">
        <f t="shared" si="117"/>
        <v>1272</v>
      </c>
    </row>
    <row r="7509" spans="2:7" ht="15" hidden="1" x14ac:dyDescent="0.25">
      <c r="B7509" s="4">
        <v>584635424</v>
      </c>
      <c r="C7509" s="4" t="s">
        <v>275</v>
      </c>
      <c r="D7509" s="4">
        <v>431</v>
      </c>
      <c r="E7509" s="4">
        <v>146</v>
      </c>
      <c r="G7509">
        <f t="shared" si="117"/>
        <v>1224</v>
      </c>
    </row>
    <row r="7510" spans="2:7" ht="15" hidden="1" x14ac:dyDescent="0.25">
      <c r="B7510" s="4">
        <v>584635427</v>
      </c>
      <c r="C7510" s="4" t="s">
        <v>275</v>
      </c>
      <c r="D7510" s="4">
        <v>432</v>
      </c>
      <c r="E7510" s="4">
        <v>148</v>
      </c>
      <c r="G7510">
        <f t="shared" si="117"/>
        <v>1240</v>
      </c>
    </row>
    <row r="7511" spans="2:7" ht="15" hidden="1" x14ac:dyDescent="0.25">
      <c r="B7511" s="4">
        <v>584635430</v>
      </c>
      <c r="C7511" s="4" t="s">
        <v>275</v>
      </c>
      <c r="D7511" s="4">
        <v>433</v>
      </c>
      <c r="E7511" s="4">
        <v>148</v>
      </c>
      <c r="G7511">
        <f t="shared" si="117"/>
        <v>1240</v>
      </c>
    </row>
    <row r="7512" spans="2:7" ht="15" hidden="1" x14ac:dyDescent="0.25">
      <c r="B7512" s="4">
        <v>584635433</v>
      </c>
      <c r="C7512" s="4" t="s">
        <v>275</v>
      </c>
      <c r="D7512" s="4">
        <v>434</v>
      </c>
      <c r="E7512" s="4">
        <v>150</v>
      </c>
      <c r="G7512">
        <f t="shared" si="117"/>
        <v>1256</v>
      </c>
    </row>
    <row r="7513" spans="2:7" ht="15" hidden="1" x14ac:dyDescent="0.25">
      <c r="B7513" s="4">
        <v>584635436</v>
      </c>
      <c r="C7513" s="4" t="s">
        <v>275</v>
      </c>
      <c r="D7513" s="4">
        <v>435</v>
      </c>
      <c r="E7513" s="4">
        <v>150</v>
      </c>
      <c r="G7513">
        <f t="shared" si="117"/>
        <v>1256</v>
      </c>
    </row>
    <row r="7514" spans="2:7" ht="15" hidden="1" x14ac:dyDescent="0.25">
      <c r="B7514" s="4">
        <v>584635439</v>
      </c>
      <c r="C7514" s="4" t="s">
        <v>275</v>
      </c>
      <c r="D7514" s="4">
        <v>436</v>
      </c>
      <c r="E7514" s="4">
        <v>146</v>
      </c>
      <c r="G7514">
        <f t="shared" si="117"/>
        <v>1224</v>
      </c>
    </row>
    <row r="7515" spans="2:7" ht="15" hidden="1" x14ac:dyDescent="0.25">
      <c r="B7515" s="4">
        <v>584635442</v>
      </c>
      <c r="C7515" s="4" t="s">
        <v>275</v>
      </c>
      <c r="D7515" s="4">
        <v>437</v>
      </c>
      <c r="E7515" s="4">
        <v>148</v>
      </c>
      <c r="G7515">
        <f t="shared" si="117"/>
        <v>1240</v>
      </c>
    </row>
    <row r="7516" spans="2:7" ht="15" hidden="1" x14ac:dyDescent="0.25">
      <c r="B7516" s="4">
        <v>584635445</v>
      </c>
      <c r="C7516" s="4" t="s">
        <v>275</v>
      </c>
      <c r="D7516" s="4">
        <v>438</v>
      </c>
      <c r="E7516" s="4">
        <v>148</v>
      </c>
      <c r="G7516">
        <f t="shared" si="117"/>
        <v>1240</v>
      </c>
    </row>
    <row r="7517" spans="2:7" ht="15" hidden="1" x14ac:dyDescent="0.25">
      <c r="B7517" s="4">
        <v>584635448</v>
      </c>
      <c r="C7517" s="4" t="s">
        <v>275</v>
      </c>
      <c r="D7517" s="4">
        <v>439</v>
      </c>
      <c r="E7517" s="4">
        <v>146</v>
      </c>
      <c r="G7517">
        <f t="shared" si="117"/>
        <v>1224</v>
      </c>
    </row>
    <row r="7518" spans="2:7" ht="15" hidden="1" x14ac:dyDescent="0.25">
      <c r="B7518" s="4">
        <v>584635451</v>
      </c>
      <c r="C7518" s="4" t="s">
        <v>275</v>
      </c>
      <c r="D7518" s="4">
        <v>440</v>
      </c>
      <c r="E7518" s="4">
        <v>148</v>
      </c>
      <c r="G7518">
        <f t="shared" si="117"/>
        <v>1240</v>
      </c>
    </row>
    <row r="7519" spans="2:7" ht="15" hidden="1" x14ac:dyDescent="0.25">
      <c r="B7519" s="4">
        <v>584635454</v>
      </c>
      <c r="C7519" s="4" t="s">
        <v>275</v>
      </c>
      <c r="D7519" s="4">
        <v>441</v>
      </c>
      <c r="E7519" s="4">
        <v>150</v>
      </c>
      <c r="G7519">
        <f t="shared" si="117"/>
        <v>1256</v>
      </c>
    </row>
    <row r="7520" spans="2:7" ht="15" hidden="1" x14ac:dyDescent="0.25">
      <c r="B7520" s="4">
        <v>584635457</v>
      </c>
      <c r="C7520" s="4" t="s">
        <v>275</v>
      </c>
      <c r="D7520" s="4">
        <v>442</v>
      </c>
      <c r="E7520" s="4">
        <v>152</v>
      </c>
      <c r="G7520">
        <f t="shared" si="117"/>
        <v>1272</v>
      </c>
    </row>
    <row r="7521" spans="2:7" ht="15" hidden="1" x14ac:dyDescent="0.25">
      <c r="B7521" s="4">
        <v>584635460</v>
      </c>
      <c r="C7521" s="4" t="s">
        <v>275</v>
      </c>
      <c r="D7521" s="4">
        <v>443</v>
      </c>
      <c r="E7521" s="4">
        <v>146</v>
      </c>
      <c r="G7521">
        <f t="shared" si="117"/>
        <v>1224</v>
      </c>
    </row>
    <row r="7522" spans="2:7" ht="15" hidden="1" x14ac:dyDescent="0.25">
      <c r="B7522" s="4">
        <v>584635463</v>
      </c>
      <c r="C7522" s="4" t="s">
        <v>275</v>
      </c>
      <c r="D7522" s="4">
        <v>444</v>
      </c>
      <c r="E7522" s="4">
        <v>146</v>
      </c>
      <c r="G7522">
        <f t="shared" si="117"/>
        <v>1224</v>
      </c>
    </row>
    <row r="7523" spans="2:7" ht="15" hidden="1" x14ac:dyDescent="0.25">
      <c r="B7523" s="4">
        <v>584635466</v>
      </c>
      <c r="C7523" s="4" t="s">
        <v>275</v>
      </c>
      <c r="D7523" s="4">
        <v>445</v>
      </c>
      <c r="E7523" s="4">
        <v>152</v>
      </c>
      <c r="G7523">
        <f t="shared" si="117"/>
        <v>1272</v>
      </c>
    </row>
    <row r="7524" spans="2:7" ht="15" hidden="1" x14ac:dyDescent="0.25">
      <c r="B7524" s="4">
        <v>584635469</v>
      </c>
      <c r="C7524" s="4" t="s">
        <v>275</v>
      </c>
      <c r="D7524" s="4">
        <v>446</v>
      </c>
      <c r="E7524" s="4">
        <v>146</v>
      </c>
      <c r="G7524">
        <f t="shared" si="117"/>
        <v>1224</v>
      </c>
    </row>
    <row r="7525" spans="2:7" ht="15" hidden="1" x14ac:dyDescent="0.25">
      <c r="B7525" s="4">
        <v>584635472</v>
      </c>
      <c r="C7525" s="4" t="s">
        <v>275</v>
      </c>
      <c r="D7525" s="4">
        <v>447</v>
      </c>
      <c r="E7525" s="4">
        <v>148</v>
      </c>
      <c r="G7525">
        <f t="shared" si="117"/>
        <v>1240</v>
      </c>
    </row>
    <row r="7526" spans="2:7" ht="15" hidden="1" x14ac:dyDescent="0.25">
      <c r="B7526" s="4">
        <v>584635475</v>
      </c>
      <c r="C7526" s="4" t="s">
        <v>275</v>
      </c>
      <c r="D7526" s="4">
        <v>448</v>
      </c>
      <c r="E7526" s="4">
        <v>152</v>
      </c>
      <c r="G7526">
        <f t="shared" si="117"/>
        <v>1272</v>
      </c>
    </row>
    <row r="7527" spans="2:7" ht="15" hidden="1" x14ac:dyDescent="0.25">
      <c r="B7527" s="4">
        <v>584635478</v>
      </c>
      <c r="C7527" s="4" t="s">
        <v>275</v>
      </c>
      <c r="D7527" s="4">
        <v>449</v>
      </c>
      <c r="E7527" s="4">
        <v>146</v>
      </c>
      <c r="G7527">
        <f t="shared" si="117"/>
        <v>1224</v>
      </c>
    </row>
    <row r="7528" spans="2:7" ht="15" hidden="1" x14ac:dyDescent="0.25">
      <c r="B7528" s="4">
        <v>584635481</v>
      </c>
      <c r="C7528" s="4" t="s">
        <v>275</v>
      </c>
      <c r="D7528" s="4">
        <v>450</v>
      </c>
      <c r="E7528" s="4">
        <v>146</v>
      </c>
      <c r="G7528">
        <f t="shared" si="117"/>
        <v>1224</v>
      </c>
    </row>
    <row r="7529" spans="2:7" ht="15" hidden="1" x14ac:dyDescent="0.25">
      <c r="B7529" s="4">
        <v>584635484</v>
      </c>
      <c r="C7529" s="4" t="s">
        <v>275</v>
      </c>
      <c r="D7529" s="4">
        <v>451</v>
      </c>
      <c r="E7529" s="4">
        <v>152</v>
      </c>
      <c r="G7529">
        <f t="shared" si="117"/>
        <v>1272</v>
      </c>
    </row>
    <row r="7530" spans="2:7" ht="15" hidden="1" x14ac:dyDescent="0.25">
      <c r="B7530" s="4">
        <v>584635487</v>
      </c>
      <c r="C7530" s="4" t="s">
        <v>275</v>
      </c>
      <c r="D7530" s="4">
        <v>452</v>
      </c>
      <c r="E7530" s="4">
        <v>146</v>
      </c>
      <c r="G7530">
        <f t="shared" si="117"/>
        <v>1224</v>
      </c>
    </row>
    <row r="7531" spans="2:7" ht="15" hidden="1" x14ac:dyDescent="0.25">
      <c r="B7531" s="4">
        <v>584635490</v>
      </c>
      <c r="C7531" s="4" t="s">
        <v>275</v>
      </c>
      <c r="D7531" s="4">
        <v>453</v>
      </c>
      <c r="E7531" s="4">
        <v>148</v>
      </c>
      <c r="G7531">
        <f t="shared" si="117"/>
        <v>1240</v>
      </c>
    </row>
    <row r="7532" spans="2:7" ht="15" hidden="1" x14ac:dyDescent="0.25">
      <c r="B7532" s="4">
        <v>584635493</v>
      </c>
      <c r="C7532" s="4" t="s">
        <v>275</v>
      </c>
      <c r="D7532" s="4">
        <v>454</v>
      </c>
      <c r="E7532" s="4">
        <v>146</v>
      </c>
      <c r="G7532">
        <f t="shared" si="117"/>
        <v>1224</v>
      </c>
    </row>
    <row r="7533" spans="2:7" ht="15" hidden="1" x14ac:dyDescent="0.25">
      <c r="B7533" s="4">
        <v>584635496</v>
      </c>
      <c r="C7533" s="4" t="s">
        <v>275</v>
      </c>
      <c r="D7533" s="4">
        <v>455</v>
      </c>
      <c r="E7533" s="4">
        <v>156</v>
      </c>
      <c r="G7533">
        <f t="shared" si="117"/>
        <v>1304</v>
      </c>
    </row>
    <row r="7534" spans="2:7" ht="15" hidden="1" x14ac:dyDescent="0.25">
      <c r="B7534" s="4">
        <v>584635499</v>
      </c>
      <c r="C7534" s="4" t="s">
        <v>275</v>
      </c>
      <c r="D7534" s="4">
        <v>456</v>
      </c>
      <c r="E7534" s="4">
        <v>148</v>
      </c>
      <c r="G7534">
        <f t="shared" si="117"/>
        <v>1240</v>
      </c>
    </row>
    <row r="7535" spans="2:7" ht="15" hidden="1" x14ac:dyDescent="0.25">
      <c r="B7535" s="4">
        <v>584635502</v>
      </c>
      <c r="C7535" s="4" t="s">
        <v>275</v>
      </c>
      <c r="D7535" s="4">
        <v>457</v>
      </c>
      <c r="E7535" s="4">
        <v>148</v>
      </c>
      <c r="G7535">
        <f t="shared" si="117"/>
        <v>1240</v>
      </c>
    </row>
    <row r="7536" spans="2:7" ht="15" hidden="1" x14ac:dyDescent="0.25">
      <c r="B7536" s="4">
        <v>584635505</v>
      </c>
      <c r="C7536" s="4" t="s">
        <v>275</v>
      </c>
      <c r="D7536" s="4">
        <v>458</v>
      </c>
      <c r="E7536" s="4">
        <v>146</v>
      </c>
      <c r="G7536">
        <f t="shared" si="117"/>
        <v>1224</v>
      </c>
    </row>
    <row r="7537" spans="2:7" ht="15" hidden="1" x14ac:dyDescent="0.25">
      <c r="B7537" s="4">
        <v>584635508</v>
      </c>
      <c r="C7537" s="4" t="s">
        <v>275</v>
      </c>
      <c r="D7537" s="4">
        <v>459</v>
      </c>
      <c r="E7537" s="4">
        <v>150</v>
      </c>
      <c r="G7537">
        <f t="shared" si="117"/>
        <v>1256</v>
      </c>
    </row>
    <row r="7538" spans="2:7" ht="15" hidden="1" x14ac:dyDescent="0.25">
      <c r="B7538" s="4">
        <v>584635511</v>
      </c>
      <c r="C7538" s="4" t="s">
        <v>275</v>
      </c>
      <c r="D7538" s="4">
        <v>460</v>
      </c>
      <c r="E7538" s="4">
        <v>162</v>
      </c>
      <c r="G7538">
        <f t="shared" si="117"/>
        <v>1352</v>
      </c>
    </row>
    <row r="7539" spans="2:7" ht="15" hidden="1" x14ac:dyDescent="0.25">
      <c r="B7539" s="4">
        <v>584635514</v>
      </c>
      <c r="C7539" s="4" t="s">
        <v>275</v>
      </c>
      <c r="D7539" s="4">
        <v>461</v>
      </c>
      <c r="E7539" s="4">
        <v>156</v>
      </c>
      <c r="G7539">
        <f t="shared" si="117"/>
        <v>1304</v>
      </c>
    </row>
    <row r="7540" spans="2:7" ht="15" hidden="1" x14ac:dyDescent="0.25">
      <c r="B7540" s="4">
        <v>584635517</v>
      </c>
      <c r="C7540" s="4" t="s">
        <v>275</v>
      </c>
      <c r="D7540" s="4">
        <v>462</v>
      </c>
      <c r="E7540" s="4">
        <v>156</v>
      </c>
      <c r="G7540">
        <f t="shared" si="117"/>
        <v>1304</v>
      </c>
    </row>
    <row r="7541" spans="2:7" ht="15" hidden="1" x14ac:dyDescent="0.25">
      <c r="B7541" s="4">
        <v>584635520</v>
      </c>
      <c r="C7541" s="4" t="s">
        <v>275</v>
      </c>
      <c r="D7541" s="4">
        <v>463</v>
      </c>
      <c r="E7541" s="4">
        <v>152</v>
      </c>
      <c r="G7541">
        <f t="shared" si="117"/>
        <v>1272</v>
      </c>
    </row>
    <row r="7542" spans="2:7" ht="15" hidden="1" x14ac:dyDescent="0.25">
      <c r="B7542" s="4">
        <v>584635523</v>
      </c>
      <c r="C7542" s="4" t="s">
        <v>275</v>
      </c>
      <c r="D7542" s="4">
        <v>464</v>
      </c>
      <c r="E7542" s="4">
        <v>148</v>
      </c>
      <c r="G7542">
        <f t="shared" si="117"/>
        <v>1240</v>
      </c>
    </row>
    <row r="7543" spans="2:7" ht="15" hidden="1" x14ac:dyDescent="0.25">
      <c r="B7543" s="4">
        <v>584635526</v>
      </c>
      <c r="C7543" s="4" t="s">
        <v>275</v>
      </c>
      <c r="D7543" s="4">
        <v>465</v>
      </c>
      <c r="E7543" s="4">
        <v>148</v>
      </c>
      <c r="G7543">
        <f t="shared" si="117"/>
        <v>1240</v>
      </c>
    </row>
    <row r="7544" spans="2:7" ht="15" hidden="1" x14ac:dyDescent="0.25">
      <c r="B7544" s="4">
        <v>584635529</v>
      </c>
      <c r="C7544" s="4" t="s">
        <v>275</v>
      </c>
      <c r="D7544" s="4">
        <v>466</v>
      </c>
      <c r="E7544" s="4">
        <v>156</v>
      </c>
      <c r="G7544">
        <f t="shared" si="117"/>
        <v>1304</v>
      </c>
    </row>
    <row r="7545" spans="2:7" ht="15" hidden="1" x14ac:dyDescent="0.25">
      <c r="B7545" s="4">
        <v>584635532</v>
      </c>
      <c r="C7545" s="4" t="s">
        <v>275</v>
      </c>
      <c r="D7545" s="4">
        <v>467</v>
      </c>
      <c r="E7545" s="4">
        <v>148</v>
      </c>
      <c r="G7545">
        <f t="shared" si="117"/>
        <v>1240</v>
      </c>
    </row>
    <row r="7546" spans="2:7" ht="15" hidden="1" x14ac:dyDescent="0.25">
      <c r="B7546" s="4">
        <v>584635535</v>
      </c>
      <c r="C7546" s="4" t="s">
        <v>275</v>
      </c>
      <c r="D7546" s="4">
        <v>468</v>
      </c>
      <c r="E7546" s="4">
        <v>152</v>
      </c>
      <c r="G7546">
        <f t="shared" si="117"/>
        <v>1272</v>
      </c>
    </row>
    <row r="7547" spans="2:7" ht="15" hidden="1" x14ac:dyDescent="0.25">
      <c r="B7547" s="4">
        <v>584635538</v>
      </c>
      <c r="C7547" s="4" t="s">
        <v>275</v>
      </c>
      <c r="D7547" s="4">
        <v>469</v>
      </c>
      <c r="E7547" s="4">
        <v>148</v>
      </c>
      <c r="G7547">
        <f t="shared" si="117"/>
        <v>1240</v>
      </c>
    </row>
    <row r="7548" spans="2:7" ht="15" hidden="1" x14ac:dyDescent="0.25">
      <c r="B7548" s="4">
        <v>584635541</v>
      </c>
      <c r="C7548" s="4" t="s">
        <v>275</v>
      </c>
      <c r="D7548" s="4">
        <v>470</v>
      </c>
      <c r="E7548" s="4">
        <v>150</v>
      </c>
      <c r="G7548">
        <f t="shared" si="117"/>
        <v>1256</v>
      </c>
    </row>
    <row r="7549" spans="2:7" ht="15" hidden="1" x14ac:dyDescent="0.25">
      <c r="B7549" s="4">
        <v>584635544</v>
      </c>
      <c r="C7549" s="4" t="s">
        <v>275</v>
      </c>
      <c r="D7549" s="4">
        <v>471</v>
      </c>
      <c r="E7549" s="4">
        <v>146</v>
      </c>
      <c r="G7549">
        <f t="shared" si="117"/>
        <v>1224</v>
      </c>
    </row>
    <row r="7550" spans="2:7" ht="15" hidden="1" x14ac:dyDescent="0.25">
      <c r="B7550" s="4">
        <v>584635547</v>
      </c>
      <c r="C7550" s="4" t="s">
        <v>275</v>
      </c>
      <c r="D7550" s="4">
        <v>472</v>
      </c>
      <c r="E7550" s="4">
        <v>146</v>
      </c>
      <c r="G7550">
        <f t="shared" si="117"/>
        <v>1224</v>
      </c>
    </row>
    <row r="7551" spans="2:7" ht="15" hidden="1" x14ac:dyDescent="0.25">
      <c r="B7551" s="4">
        <v>584635550</v>
      </c>
      <c r="C7551" s="4" t="s">
        <v>275</v>
      </c>
      <c r="D7551" s="4">
        <v>473</v>
      </c>
      <c r="E7551" s="4">
        <v>158</v>
      </c>
      <c r="G7551">
        <f t="shared" si="117"/>
        <v>1320</v>
      </c>
    </row>
    <row r="7552" spans="2:7" ht="15" hidden="1" x14ac:dyDescent="0.25">
      <c r="B7552" s="4">
        <v>584635553</v>
      </c>
      <c r="C7552" s="4" t="s">
        <v>275</v>
      </c>
      <c r="D7552" s="4">
        <v>474</v>
      </c>
      <c r="E7552" s="4">
        <v>150</v>
      </c>
      <c r="G7552">
        <f t="shared" si="117"/>
        <v>1256</v>
      </c>
    </row>
    <row r="7553" spans="2:7" ht="15" hidden="1" x14ac:dyDescent="0.25">
      <c r="B7553" s="4">
        <v>584635556</v>
      </c>
      <c r="C7553" s="4" t="s">
        <v>268</v>
      </c>
      <c r="D7553" s="4">
        <v>325</v>
      </c>
      <c r="E7553" s="4">
        <v>13</v>
      </c>
      <c r="G7553">
        <f t="shared" si="117"/>
        <v>160</v>
      </c>
    </row>
    <row r="7554" spans="2:7" ht="15" hidden="1" x14ac:dyDescent="0.25">
      <c r="B7554" s="4">
        <v>584635556</v>
      </c>
      <c r="C7554" s="4" t="s">
        <v>268</v>
      </c>
      <c r="D7554" s="4">
        <v>325</v>
      </c>
      <c r="E7554" s="4">
        <v>13</v>
      </c>
      <c r="G7554">
        <f t="shared" si="117"/>
        <v>160</v>
      </c>
    </row>
    <row r="7555" spans="2:7" ht="15" hidden="1" x14ac:dyDescent="0.25">
      <c r="B7555" s="4">
        <v>584635556</v>
      </c>
      <c r="C7555" s="4" t="s">
        <v>268</v>
      </c>
      <c r="D7555" s="4">
        <v>326</v>
      </c>
      <c r="E7555" s="4">
        <v>7</v>
      </c>
      <c r="G7555">
        <f t="shared" si="117"/>
        <v>112</v>
      </c>
    </row>
    <row r="7556" spans="2:7" ht="15" hidden="1" x14ac:dyDescent="0.25">
      <c r="B7556" s="4">
        <v>584635556</v>
      </c>
      <c r="C7556" s="4" t="s">
        <v>268</v>
      </c>
      <c r="D7556" s="4">
        <v>326</v>
      </c>
      <c r="E7556" s="4">
        <v>7</v>
      </c>
      <c r="G7556">
        <f t="shared" ref="G7556:G7619" si="118">(E7556+7)*8</f>
        <v>112</v>
      </c>
    </row>
    <row r="7557" spans="2:7" ht="15" hidden="1" x14ac:dyDescent="0.25">
      <c r="B7557" s="4">
        <v>584635569</v>
      </c>
      <c r="C7557" s="4" t="s">
        <v>276</v>
      </c>
      <c r="D7557" s="4">
        <v>5</v>
      </c>
      <c r="E7557" s="4">
        <v>197</v>
      </c>
      <c r="G7557">
        <f t="shared" si="118"/>
        <v>1632</v>
      </c>
    </row>
    <row r="7558" spans="2:7" ht="15" hidden="1" x14ac:dyDescent="0.25">
      <c r="B7558" s="4">
        <v>584635592</v>
      </c>
      <c r="C7558" s="4" t="s">
        <v>277</v>
      </c>
      <c r="D7558" s="4">
        <v>5</v>
      </c>
      <c r="E7558" s="4">
        <v>57</v>
      </c>
      <c r="G7558">
        <f t="shared" si="118"/>
        <v>512</v>
      </c>
    </row>
    <row r="7559" spans="2:7" ht="15" hidden="1" x14ac:dyDescent="0.25">
      <c r="B7559" s="4">
        <v>584635730</v>
      </c>
      <c r="C7559" s="4" t="s">
        <v>276</v>
      </c>
      <c r="D7559" s="4">
        <v>6</v>
      </c>
      <c r="E7559" s="4">
        <v>207</v>
      </c>
      <c r="G7559">
        <f t="shared" si="118"/>
        <v>1712</v>
      </c>
    </row>
    <row r="7560" spans="2:7" ht="15" hidden="1" x14ac:dyDescent="0.25">
      <c r="B7560" s="4">
        <v>584635753</v>
      </c>
      <c r="C7560" s="4" t="s">
        <v>277</v>
      </c>
      <c r="D7560" s="4">
        <v>6</v>
      </c>
      <c r="E7560" s="4">
        <v>53</v>
      </c>
      <c r="G7560">
        <f t="shared" si="118"/>
        <v>480</v>
      </c>
    </row>
    <row r="7561" spans="2:7" ht="15" hidden="1" x14ac:dyDescent="0.25">
      <c r="B7561" s="4">
        <v>584635983</v>
      </c>
      <c r="C7561" s="4" t="s">
        <v>276</v>
      </c>
      <c r="D7561" s="4">
        <v>7</v>
      </c>
      <c r="E7561" s="4">
        <v>207</v>
      </c>
      <c r="G7561">
        <f t="shared" si="118"/>
        <v>1712</v>
      </c>
    </row>
    <row r="7562" spans="2:7" ht="15" hidden="1" x14ac:dyDescent="0.25">
      <c r="B7562" s="4">
        <v>584636006</v>
      </c>
      <c r="C7562" s="4" t="s">
        <v>277</v>
      </c>
      <c r="D7562" s="4">
        <v>7</v>
      </c>
      <c r="E7562" s="4">
        <v>51</v>
      </c>
      <c r="G7562">
        <f t="shared" si="118"/>
        <v>464</v>
      </c>
    </row>
    <row r="7563" spans="2:7" ht="15" hidden="1" x14ac:dyDescent="0.25">
      <c r="B7563" s="4">
        <v>584636121</v>
      </c>
      <c r="C7563" s="4" t="s">
        <v>276</v>
      </c>
      <c r="D7563" s="4">
        <v>8</v>
      </c>
      <c r="E7563" s="4">
        <v>219</v>
      </c>
      <c r="G7563">
        <f t="shared" si="118"/>
        <v>1808</v>
      </c>
    </row>
    <row r="7564" spans="2:7" ht="15" hidden="1" x14ac:dyDescent="0.25">
      <c r="B7564" s="4">
        <v>584636144</v>
      </c>
      <c r="C7564" s="4" t="s">
        <v>277</v>
      </c>
      <c r="D7564" s="4">
        <v>8</v>
      </c>
      <c r="E7564" s="4">
        <v>53</v>
      </c>
      <c r="G7564">
        <f t="shared" si="118"/>
        <v>480</v>
      </c>
    </row>
    <row r="7565" spans="2:7" ht="15" hidden="1" x14ac:dyDescent="0.25">
      <c r="B7565" s="4">
        <v>584636374</v>
      </c>
      <c r="C7565" s="4" t="s">
        <v>276</v>
      </c>
      <c r="D7565" s="4">
        <v>9</v>
      </c>
      <c r="E7565" s="4">
        <v>199</v>
      </c>
      <c r="G7565">
        <f t="shared" si="118"/>
        <v>1648</v>
      </c>
    </row>
    <row r="7566" spans="2:7" ht="15" hidden="1" x14ac:dyDescent="0.25">
      <c r="B7566" s="4">
        <v>584636397</v>
      </c>
      <c r="C7566" s="4" t="s">
        <v>277</v>
      </c>
      <c r="D7566" s="4">
        <v>9</v>
      </c>
      <c r="E7566" s="4">
        <v>53</v>
      </c>
      <c r="G7566">
        <f t="shared" si="118"/>
        <v>480</v>
      </c>
    </row>
    <row r="7567" spans="2:7" ht="15" hidden="1" x14ac:dyDescent="0.25">
      <c r="B7567" s="4">
        <v>584636512</v>
      </c>
      <c r="C7567" s="4" t="s">
        <v>276</v>
      </c>
      <c r="D7567" s="4">
        <v>10</v>
      </c>
      <c r="E7567" s="4">
        <v>189</v>
      </c>
      <c r="G7567">
        <f t="shared" si="118"/>
        <v>1568</v>
      </c>
    </row>
    <row r="7568" spans="2:7" ht="15" hidden="1" x14ac:dyDescent="0.25">
      <c r="B7568" s="4">
        <v>584636535</v>
      </c>
      <c r="C7568" s="4" t="s">
        <v>277</v>
      </c>
      <c r="D7568" s="4">
        <v>10</v>
      </c>
      <c r="E7568" s="4">
        <v>53</v>
      </c>
      <c r="G7568">
        <f t="shared" si="118"/>
        <v>480</v>
      </c>
    </row>
    <row r="7569" spans="2:7" ht="15" hidden="1" x14ac:dyDescent="0.25">
      <c r="B7569" s="4">
        <v>584636650</v>
      </c>
      <c r="C7569" s="4" t="s">
        <v>276</v>
      </c>
      <c r="D7569" s="4">
        <v>11</v>
      </c>
      <c r="E7569" s="4">
        <v>193</v>
      </c>
      <c r="G7569">
        <f t="shared" si="118"/>
        <v>1600</v>
      </c>
    </row>
    <row r="7570" spans="2:7" ht="15" hidden="1" x14ac:dyDescent="0.25">
      <c r="B7570" s="4">
        <v>584636673</v>
      </c>
      <c r="C7570" s="4" t="s">
        <v>277</v>
      </c>
      <c r="D7570" s="4">
        <v>11</v>
      </c>
      <c r="E7570" s="4">
        <v>53</v>
      </c>
      <c r="G7570">
        <f t="shared" si="118"/>
        <v>480</v>
      </c>
    </row>
    <row r="7571" spans="2:7" ht="15" hidden="1" x14ac:dyDescent="0.25">
      <c r="B7571" s="4">
        <v>584636796</v>
      </c>
      <c r="C7571" s="4" t="s">
        <v>273</v>
      </c>
      <c r="D7571" s="4">
        <v>9627</v>
      </c>
      <c r="E7571" s="4">
        <v>317</v>
      </c>
      <c r="G7571">
        <f t="shared" si="118"/>
        <v>2592</v>
      </c>
    </row>
    <row r="7572" spans="2:7" ht="15" hidden="1" x14ac:dyDescent="0.25">
      <c r="B7572" s="4">
        <v>584636903</v>
      </c>
      <c r="C7572" s="4" t="s">
        <v>276</v>
      </c>
      <c r="D7572" s="4">
        <v>12</v>
      </c>
      <c r="E7572" s="4">
        <v>197</v>
      </c>
      <c r="G7572">
        <f t="shared" si="118"/>
        <v>1632</v>
      </c>
    </row>
    <row r="7573" spans="2:7" ht="15" hidden="1" x14ac:dyDescent="0.25">
      <c r="B7573" s="4">
        <v>584636926</v>
      </c>
      <c r="C7573" s="4" t="s">
        <v>277</v>
      </c>
      <c r="D7573" s="4">
        <v>12</v>
      </c>
      <c r="E7573" s="4">
        <v>55</v>
      </c>
      <c r="G7573">
        <f t="shared" si="118"/>
        <v>496</v>
      </c>
    </row>
    <row r="7574" spans="2:7" ht="15" hidden="1" x14ac:dyDescent="0.25">
      <c r="B7574" s="4">
        <v>584636944</v>
      </c>
      <c r="C7574" s="4" t="s">
        <v>269</v>
      </c>
      <c r="D7574" s="4">
        <v>1617</v>
      </c>
      <c r="E7574" s="4">
        <v>57</v>
      </c>
      <c r="G7574">
        <f t="shared" si="118"/>
        <v>512</v>
      </c>
    </row>
    <row r="7575" spans="2:7" ht="15" hidden="1" x14ac:dyDescent="0.25">
      <c r="B7575" s="4">
        <v>584636948</v>
      </c>
      <c r="C7575" s="4" t="s">
        <v>272</v>
      </c>
      <c r="D7575" s="4">
        <v>151</v>
      </c>
      <c r="E7575" s="4">
        <v>375</v>
      </c>
      <c r="G7575">
        <f t="shared" si="118"/>
        <v>3056</v>
      </c>
    </row>
    <row r="7576" spans="2:7" ht="15" hidden="1" x14ac:dyDescent="0.25">
      <c r="B7576" s="4">
        <v>584637048</v>
      </c>
      <c r="C7576" s="4" t="s">
        <v>272</v>
      </c>
      <c r="D7576" s="4">
        <v>152</v>
      </c>
      <c r="E7576" s="4">
        <v>247</v>
      </c>
      <c r="G7576">
        <f t="shared" si="118"/>
        <v>2032</v>
      </c>
    </row>
    <row r="7577" spans="2:7" ht="15" hidden="1" x14ac:dyDescent="0.25">
      <c r="B7577" s="4">
        <v>584637064</v>
      </c>
      <c r="C7577" s="4" t="s">
        <v>276</v>
      </c>
      <c r="D7577" s="4">
        <v>13</v>
      </c>
      <c r="E7577" s="4">
        <v>221</v>
      </c>
      <c r="G7577">
        <f t="shared" si="118"/>
        <v>1824</v>
      </c>
    </row>
    <row r="7578" spans="2:7" ht="15" hidden="1" x14ac:dyDescent="0.25">
      <c r="B7578" s="4">
        <v>584637087</v>
      </c>
      <c r="C7578" s="4" t="s">
        <v>277</v>
      </c>
      <c r="D7578" s="4">
        <v>13</v>
      </c>
      <c r="E7578" s="4">
        <v>55</v>
      </c>
      <c r="G7578">
        <f t="shared" si="118"/>
        <v>496</v>
      </c>
    </row>
    <row r="7579" spans="2:7" ht="15" hidden="1" x14ac:dyDescent="0.25">
      <c r="B7579" s="4">
        <v>584637148</v>
      </c>
      <c r="C7579" s="4" t="s">
        <v>272</v>
      </c>
      <c r="D7579" s="4">
        <v>153</v>
      </c>
      <c r="E7579" s="4">
        <v>245</v>
      </c>
      <c r="G7579">
        <f t="shared" si="118"/>
        <v>2016</v>
      </c>
    </row>
    <row r="7580" spans="2:7" ht="15" hidden="1" x14ac:dyDescent="0.25">
      <c r="B7580" s="4">
        <v>584637248</v>
      </c>
      <c r="C7580" s="4" t="s">
        <v>272</v>
      </c>
      <c r="D7580" s="4">
        <v>154</v>
      </c>
      <c r="E7580" s="4">
        <v>253</v>
      </c>
      <c r="G7580">
        <f t="shared" si="118"/>
        <v>2080</v>
      </c>
    </row>
    <row r="7581" spans="2:7" ht="15" hidden="1" x14ac:dyDescent="0.25">
      <c r="B7581" s="4">
        <v>584637317</v>
      </c>
      <c r="C7581" s="4" t="s">
        <v>276</v>
      </c>
      <c r="D7581" s="4">
        <v>14</v>
      </c>
      <c r="E7581" s="4">
        <v>201</v>
      </c>
      <c r="G7581">
        <f t="shared" si="118"/>
        <v>1664</v>
      </c>
    </row>
    <row r="7582" spans="2:7" ht="15" hidden="1" x14ac:dyDescent="0.25">
      <c r="B7582" s="4">
        <v>584637340</v>
      </c>
      <c r="C7582" s="4" t="s">
        <v>277</v>
      </c>
      <c r="D7582" s="4">
        <v>14</v>
      </c>
      <c r="E7582" s="4">
        <v>57</v>
      </c>
      <c r="G7582">
        <f t="shared" si="118"/>
        <v>512</v>
      </c>
    </row>
    <row r="7583" spans="2:7" ht="15" hidden="1" x14ac:dyDescent="0.25">
      <c r="B7583" s="4">
        <v>584637348</v>
      </c>
      <c r="C7583" s="4" t="s">
        <v>272</v>
      </c>
      <c r="D7583" s="4">
        <v>155</v>
      </c>
      <c r="E7583" s="4">
        <v>263</v>
      </c>
      <c r="G7583">
        <f t="shared" si="118"/>
        <v>2160</v>
      </c>
    </row>
    <row r="7584" spans="2:7" ht="15" hidden="1" x14ac:dyDescent="0.25">
      <c r="B7584" s="4">
        <v>584637448</v>
      </c>
      <c r="C7584" s="4" t="s">
        <v>272</v>
      </c>
      <c r="D7584" s="4">
        <v>156</v>
      </c>
      <c r="E7584" s="4">
        <v>267</v>
      </c>
      <c r="G7584">
        <f t="shared" si="118"/>
        <v>2192</v>
      </c>
    </row>
    <row r="7585" spans="2:7" ht="15" hidden="1" x14ac:dyDescent="0.25">
      <c r="B7585" s="4">
        <v>584637455</v>
      </c>
      <c r="C7585" s="4" t="s">
        <v>276</v>
      </c>
      <c r="D7585" s="4">
        <v>15</v>
      </c>
      <c r="E7585" s="4">
        <v>213</v>
      </c>
      <c r="G7585">
        <f t="shared" si="118"/>
        <v>1760</v>
      </c>
    </row>
    <row r="7586" spans="2:7" ht="15" hidden="1" x14ac:dyDescent="0.25">
      <c r="B7586" s="4">
        <v>584637478</v>
      </c>
      <c r="C7586" s="4" t="s">
        <v>277</v>
      </c>
      <c r="D7586" s="4">
        <v>15</v>
      </c>
      <c r="E7586" s="4">
        <v>55</v>
      </c>
      <c r="G7586">
        <f t="shared" si="118"/>
        <v>496</v>
      </c>
    </row>
    <row r="7587" spans="2:7" ht="15" hidden="1" x14ac:dyDescent="0.25">
      <c r="B7587" s="4">
        <v>584637548</v>
      </c>
      <c r="C7587" s="4" t="s">
        <v>272</v>
      </c>
      <c r="D7587" s="4">
        <v>157</v>
      </c>
      <c r="E7587" s="4">
        <v>257</v>
      </c>
      <c r="G7587">
        <f t="shared" si="118"/>
        <v>2112</v>
      </c>
    </row>
    <row r="7588" spans="2:7" ht="15" hidden="1" x14ac:dyDescent="0.25">
      <c r="B7588" s="4">
        <v>584637648</v>
      </c>
      <c r="C7588" s="4" t="s">
        <v>272</v>
      </c>
      <c r="D7588" s="4">
        <v>158</v>
      </c>
      <c r="E7588" s="4">
        <v>259</v>
      </c>
      <c r="G7588">
        <f t="shared" si="118"/>
        <v>2128</v>
      </c>
    </row>
    <row r="7589" spans="2:7" ht="15" hidden="1" x14ac:dyDescent="0.25">
      <c r="B7589" s="4">
        <v>584637708</v>
      </c>
      <c r="C7589" s="4" t="s">
        <v>276</v>
      </c>
      <c r="D7589" s="4">
        <v>16</v>
      </c>
      <c r="E7589" s="4">
        <v>203</v>
      </c>
      <c r="G7589">
        <f t="shared" si="118"/>
        <v>1680</v>
      </c>
    </row>
    <row r="7590" spans="2:7" ht="15" hidden="1" x14ac:dyDescent="0.25">
      <c r="B7590" s="4">
        <v>584637731</v>
      </c>
      <c r="C7590" s="4" t="s">
        <v>277</v>
      </c>
      <c r="D7590" s="4">
        <v>16</v>
      </c>
      <c r="E7590" s="4">
        <v>57</v>
      </c>
      <c r="G7590">
        <f t="shared" si="118"/>
        <v>512</v>
      </c>
    </row>
    <row r="7591" spans="2:7" ht="15" hidden="1" x14ac:dyDescent="0.25">
      <c r="B7591" s="4">
        <v>584637748</v>
      </c>
      <c r="C7591" s="4" t="s">
        <v>272</v>
      </c>
      <c r="D7591" s="4">
        <v>159</v>
      </c>
      <c r="E7591" s="4">
        <v>257</v>
      </c>
      <c r="G7591">
        <f t="shared" si="118"/>
        <v>2112</v>
      </c>
    </row>
    <row r="7592" spans="2:7" ht="15" hidden="1" x14ac:dyDescent="0.25">
      <c r="B7592" s="4">
        <v>584637776</v>
      </c>
      <c r="C7592" s="4" t="s">
        <v>268</v>
      </c>
      <c r="D7592" s="4">
        <v>327</v>
      </c>
      <c r="E7592" s="4">
        <v>6</v>
      </c>
      <c r="G7592">
        <f t="shared" si="118"/>
        <v>104</v>
      </c>
    </row>
    <row r="7593" spans="2:7" ht="15" hidden="1" x14ac:dyDescent="0.25">
      <c r="B7593" s="4">
        <v>584637776</v>
      </c>
      <c r="C7593" s="4" t="s">
        <v>268</v>
      </c>
      <c r="D7593" s="4">
        <v>327</v>
      </c>
      <c r="E7593" s="4">
        <v>6</v>
      </c>
      <c r="G7593">
        <f t="shared" si="118"/>
        <v>104</v>
      </c>
    </row>
    <row r="7594" spans="2:7" ht="15" hidden="1" x14ac:dyDescent="0.25">
      <c r="B7594" s="4">
        <v>584637776</v>
      </c>
      <c r="C7594" s="4" t="s">
        <v>268</v>
      </c>
      <c r="D7594" s="4">
        <v>328</v>
      </c>
      <c r="E7594" s="4">
        <v>6</v>
      </c>
      <c r="G7594">
        <f t="shared" si="118"/>
        <v>104</v>
      </c>
    </row>
    <row r="7595" spans="2:7" ht="15" hidden="1" x14ac:dyDescent="0.25">
      <c r="B7595" s="4">
        <v>584637776</v>
      </c>
      <c r="C7595" s="4" t="s">
        <v>268</v>
      </c>
      <c r="D7595" s="4">
        <v>328</v>
      </c>
      <c r="E7595" s="4">
        <v>6</v>
      </c>
      <c r="G7595">
        <f t="shared" si="118"/>
        <v>104</v>
      </c>
    </row>
    <row r="7596" spans="2:7" ht="15" hidden="1" x14ac:dyDescent="0.25">
      <c r="B7596" s="4">
        <v>584637776</v>
      </c>
      <c r="C7596" s="4" t="s">
        <v>268</v>
      </c>
      <c r="D7596" s="4">
        <v>329</v>
      </c>
      <c r="E7596" s="4">
        <v>15</v>
      </c>
      <c r="G7596">
        <f t="shared" si="118"/>
        <v>176</v>
      </c>
    </row>
    <row r="7597" spans="2:7" ht="15" hidden="1" x14ac:dyDescent="0.25">
      <c r="B7597" s="4">
        <v>584637776</v>
      </c>
      <c r="C7597" s="4" t="s">
        <v>268</v>
      </c>
      <c r="D7597" s="4">
        <v>329</v>
      </c>
      <c r="E7597" s="4">
        <v>15</v>
      </c>
      <c r="G7597">
        <f t="shared" si="118"/>
        <v>176</v>
      </c>
    </row>
    <row r="7598" spans="2:7" ht="15" hidden="1" x14ac:dyDescent="0.25">
      <c r="B7598" s="4">
        <v>584637776</v>
      </c>
      <c r="C7598" s="4" t="s">
        <v>268</v>
      </c>
      <c r="D7598" s="4">
        <v>330</v>
      </c>
      <c r="E7598" s="4">
        <v>6</v>
      </c>
      <c r="G7598">
        <f t="shared" si="118"/>
        <v>104</v>
      </c>
    </row>
    <row r="7599" spans="2:7" ht="15" hidden="1" x14ac:dyDescent="0.25">
      <c r="B7599" s="4">
        <v>584637776</v>
      </c>
      <c r="C7599" s="4" t="s">
        <v>268</v>
      </c>
      <c r="D7599" s="4">
        <v>330</v>
      </c>
      <c r="E7599" s="4">
        <v>6</v>
      </c>
      <c r="G7599">
        <f t="shared" si="118"/>
        <v>104</v>
      </c>
    </row>
    <row r="7600" spans="2:7" ht="15" hidden="1" x14ac:dyDescent="0.25">
      <c r="B7600" s="4">
        <v>584637776</v>
      </c>
      <c r="C7600" s="4" t="s">
        <v>268</v>
      </c>
      <c r="D7600" s="4">
        <v>331</v>
      </c>
      <c r="E7600" s="4">
        <v>5</v>
      </c>
      <c r="G7600">
        <f t="shared" si="118"/>
        <v>96</v>
      </c>
    </row>
    <row r="7601" spans="2:7" ht="15" hidden="1" x14ac:dyDescent="0.25">
      <c r="B7601" s="4">
        <v>584637776</v>
      </c>
      <c r="C7601" s="4" t="s">
        <v>268</v>
      </c>
      <c r="D7601" s="4">
        <v>331</v>
      </c>
      <c r="E7601" s="4">
        <v>5</v>
      </c>
      <c r="G7601">
        <f t="shared" si="118"/>
        <v>96</v>
      </c>
    </row>
    <row r="7602" spans="2:7" ht="15" hidden="1" x14ac:dyDescent="0.25">
      <c r="B7602" s="4">
        <v>584637846</v>
      </c>
      <c r="C7602" s="4" t="s">
        <v>279</v>
      </c>
      <c r="D7602" s="4">
        <v>17</v>
      </c>
      <c r="E7602" s="4">
        <v>217</v>
      </c>
      <c r="G7602">
        <f t="shared" si="118"/>
        <v>1792</v>
      </c>
    </row>
    <row r="7603" spans="2:7" ht="15" hidden="1" x14ac:dyDescent="0.25">
      <c r="B7603" s="4">
        <v>584637848</v>
      </c>
      <c r="C7603" s="4" t="s">
        <v>272</v>
      </c>
      <c r="D7603" s="4">
        <v>160</v>
      </c>
      <c r="E7603" s="4">
        <v>267</v>
      </c>
      <c r="G7603">
        <f t="shared" si="118"/>
        <v>2192</v>
      </c>
    </row>
    <row r="7604" spans="2:7" ht="15" hidden="1" x14ac:dyDescent="0.25">
      <c r="B7604" s="4">
        <v>584637869</v>
      </c>
      <c r="C7604" s="4" t="s">
        <v>277</v>
      </c>
      <c r="D7604" s="4">
        <v>17</v>
      </c>
      <c r="E7604" s="4">
        <v>53</v>
      </c>
      <c r="G7604">
        <f t="shared" si="118"/>
        <v>480</v>
      </c>
    </row>
    <row r="7605" spans="2:7" ht="15" hidden="1" x14ac:dyDescent="0.25">
      <c r="B7605" s="4">
        <v>584637948</v>
      </c>
      <c r="C7605" s="4" t="s">
        <v>272</v>
      </c>
      <c r="D7605" s="4">
        <v>161</v>
      </c>
      <c r="E7605" s="4">
        <v>257</v>
      </c>
      <c r="G7605">
        <f t="shared" si="118"/>
        <v>2112</v>
      </c>
    </row>
    <row r="7606" spans="2:7" ht="15" hidden="1" x14ac:dyDescent="0.25">
      <c r="B7606" s="4">
        <v>584638048</v>
      </c>
      <c r="C7606" s="4" t="s">
        <v>272</v>
      </c>
      <c r="D7606" s="4">
        <v>162</v>
      </c>
      <c r="E7606" s="4">
        <v>259</v>
      </c>
      <c r="G7606">
        <f t="shared" si="118"/>
        <v>2128</v>
      </c>
    </row>
    <row r="7607" spans="2:7" ht="15" hidden="1" x14ac:dyDescent="0.25">
      <c r="B7607" s="4">
        <v>584638099</v>
      </c>
      <c r="C7607" s="4" t="s">
        <v>279</v>
      </c>
      <c r="D7607" s="4">
        <v>18</v>
      </c>
      <c r="E7607" s="4">
        <v>207</v>
      </c>
      <c r="G7607">
        <f t="shared" si="118"/>
        <v>1712</v>
      </c>
    </row>
    <row r="7608" spans="2:7" ht="15" hidden="1" x14ac:dyDescent="0.25">
      <c r="B7608" s="4">
        <v>584638122</v>
      </c>
      <c r="C7608" s="4" t="s">
        <v>277</v>
      </c>
      <c r="D7608" s="4">
        <v>18</v>
      </c>
      <c r="E7608" s="4">
        <v>55</v>
      </c>
      <c r="G7608">
        <f t="shared" si="118"/>
        <v>496</v>
      </c>
    </row>
    <row r="7609" spans="2:7" ht="15" hidden="1" x14ac:dyDescent="0.25">
      <c r="B7609" s="4">
        <v>584638148</v>
      </c>
      <c r="C7609" s="4" t="s">
        <v>272</v>
      </c>
      <c r="D7609" s="4">
        <v>163</v>
      </c>
      <c r="E7609" s="4">
        <v>249</v>
      </c>
      <c r="G7609">
        <f t="shared" si="118"/>
        <v>2048</v>
      </c>
    </row>
    <row r="7610" spans="2:7" ht="15" hidden="1" x14ac:dyDescent="0.25">
      <c r="B7610" s="4">
        <v>584638237</v>
      </c>
      <c r="C7610" s="4" t="s">
        <v>279</v>
      </c>
      <c r="D7610" s="4">
        <v>19</v>
      </c>
      <c r="E7610" s="4">
        <v>201</v>
      </c>
      <c r="G7610">
        <f t="shared" si="118"/>
        <v>1664</v>
      </c>
    </row>
    <row r="7611" spans="2:7" ht="15" hidden="1" x14ac:dyDescent="0.25">
      <c r="B7611" s="4">
        <v>584638248</v>
      </c>
      <c r="C7611" s="4" t="s">
        <v>272</v>
      </c>
      <c r="D7611" s="4">
        <v>164</v>
      </c>
      <c r="E7611" s="4">
        <v>265</v>
      </c>
      <c r="G7611">
        <f t="shared" si="118"/>
        <v>2176</v>
      </c>
    </row>
    <row r="7612" spans="2:7" ht="15" hidden="1" x14ac:dyDescent="0.25">
      <c r="B7612" s="4">
        <v>584638260</v>
      </c>
      <c r="C7612" s="4" t="s">
        <v>277</v>
      </c>
      <c r="D7612" s="4">
        <v>19</v>
      </c>
      <c r="E7612" s="4">
        <v>55</v>
      </c>
      <c r="G7612">
        <f t="shared" si="118"/>
        <v>496</v>
      </c>
    </row>
    <row r="7613" spans="2:7" ht="15" hidden="1" x14ac:dyDescent="0.25">
      <c r="B7613" s="4">
        <v>584638348</v>
      </c>
      <c r="C7613" s="4" t="s">
        <v>272</v>
      </c>
      <c r="D7613" s="4">
        <v>165</v>
      </c>
      <c r="E7613" s="4">
        <v>265</v>
      </c>
      <c r="G7613">
        <f t="shared" si="118"/>
        <v>2176</v>
      </c>
    </row>
    <row r="7614" spans="2:7" ht="15" hidden="1" x14ac:dyDescent="0.25">
      <c r="B7614" s="4">
        <v>584638398</v>
      </c>
      <c r="C7614" s="4" t="s">
        <v>279</v>
      </c>
      <c r="D7614" s="4">
        <v>20</v>
      </c>
      <c r="E7614" s="4">
        <v>195</v>
      </c>
      <c r="G7614">
        <f t="shared" si="118"/>
        <v>1616</v>
      </c>
    </row>
    <row r="7615" spans="2:7" ht="15" hidden="1" x14ac:dyDescent="0.25">
      <c r="B7615" s="4">
        <v>584638421</v>
      </c>
      <c r="C7615" s="4" t="s">
        <v>277</v>
      </c>
      <c r="D7615" s="4">
        <v>20</v>
      </c>
      <c r="E7615" s="4">
        <v>61</v>
      </c>
      <c r="G7615">
        <f t="shared" si="118"/>
        <v>544</v>
      </c>
    </row>
    <row r="7616" spans="2:7" ht="15" hidden="1" x14ac:dyDescent="0.25">
      <c r="B7616" s="4">
        <v>584638448</v>
      </c>
      <c r="C7616" s="4" t="s">
        <v>272</v>
      </c>
      <c r="D7616" s="4">
        <v>166</v>
      </c>
      <c r="E7616" s="4">
        <v>265</v>
      </c>
      <c r="G7616">
        <f t="shared" si="118"/>
        <v>2176</v>
      </c>
    </row>
    <row r="7617" spans="2:7" ht="15" hidden="1" x14ac:dyDescent="0.25">
      <c r="B7617" s="4">
        <v>584638548</v>
      </c>
      <c r="C7617" s="4" t="s">
        <v>272</v>
      </c>
      <c r="D7617" s="4">
        <v>167</v>
      </c>
      <c r="E7617" s="4">
        <v>257</v>
      </c>
      <c r="G7617">
        <f t="shared" si="118"/>
        <v>2112</v>
      </c>
    </row>
    <row r="7618" spans="2:7" ht="15" hidden="1" x14ac:dyDescent="0.25">
      <c r="B7618" s="4">
        <v>584638628</v>
      </c>
      <c r="C7618" s="4" t="s">
        <v>279</v>
      </c>
      <c r="D7618" s="4">
        <v>21</v>
      </c>
      <c r="E7618" s="4">
        <v>217</v>
      </c>
      <c r="G7618">
        <f t="shared" si="118"/>
        <v>1792</v>
      </c>
    </row>
    <row r="7619" spans="2:7" ht="15" hidden="1" x14ac:dyDescent="0.25">
      <c r="B7619" s="4">
        <v>584638648</v>
      </c>
      <c r="C7619" s="4" t="s">
        <v>272</v>
      </c>
      <c r="D7619" s="4">
        <v>168</v>
      </c>
      <c r="E7619" s="4">
        <v>257</v>
      </c>
      <c r="G7619">
        <f t="shared" si="118"/>
        <v>2112</v>
      </c>
    </row>
    <row r="7620" spans="2:7" ht="15" hidden="1" x14ac:dyDescent="0.25">
      <c r="B7620" s="4">
        <v>584638651</v>
      </c>
      <c r="C7620" s="4" t="s">
        <v>277</v>
      </c>
      <c r="D7620" s="4">
        <v>21</v>
      </c>
      <c r="E7620" s="4">
        <v>55</v>
      </c>
      <c r="G7620">
        <f t="shared" ref="G7620:G7683" si="119">(E7620+7)*8</f>
        <v>496</v>
      </c>
    </row>
    <row r="7621" spans="2:7" ht="15" hidden="1" x14ac:dyDescent="0.25">
      <c r="B7621" s="4">
        <v>584638744</v>
      </c>
      <c r="C7621" s="4" t="s">
        <v>269</v>
      </c>
      <c r="D7621" s="4">
        <v>1618</v>
      </c>
      <c r="E7621" s="4">
        <v>57</v>
      </c>
      <c r="G7621">
        <f t="shared" si="119"/>
        <v>512</v>
      </c>
    </row>
    <row r="7622" spans="2:7" ht="15" hidden="1" x14ac:dyDescent="0.25">
      <c r="B7622" s="4">
        <v>584638748</v>
      </c>
      <c r="C7622" s="4" t="s">
        <v>272</v>
      </c>
      <c r="D7622" s="4">
        <v>169</v>
      </c>
      <c r="E7622" s="4">
        <v>263</v>
      </c>
      <c r="G7622">
        <f t="shared" si="119"/>
        <v>2160</v>
      </c>
    </row>
    <row r="7623" spans="2:7" ht="15" hidden="1" x14ac:dyDescent="0.25">
      <c r="B7623" s="4">
        <v>584638789</v>
      </c>
      <c r="C7623" s="4" t="s">
        <v>279</v>
      </c>
      <c r="D7623" s="4">
        <v>22</v>
      </c>
      <c r="E7623" s="4">
        <v>205</v>
      </c>
      <c r="G7623">
        <f t="shared" si="119"/>
        <v>1696</v>
      </c>
    </row>
    <row r="7624" spans="2:7" ht="15" hidden="1" x14ac:dyDescent="0.25">
      <c r="B7624" s="4">
        <v>584638812</v>
      </c>
      <c r="C7624" s="4" t="s">
        <v>277</v>
      </c>
      <c r="D7624" s="4">
        <v>22</v>
      </c>
      <c r="E7624" s="4">
        <v>55</v>
      </c>
      <c r="G7624">
        <f t="shared" si="119"/>
        <v>496</v>
      </c>
    </row>
    <row r="7625" spans="2:7" ht="15" hidden="1" x14ac:dyDescent="0.25">
      <c r="B7625" s="4">
        <v>584638848</v>
      </c>
      <c r="C7625" s="4" t="s">
        <v>272</v>
      </c>
      <c r="D7625" s="4">
        <v>170</v>
      </c>
      <c r="E7625" s="4">
        <v>263</v>
      </c>
      <c r="G7625">
        <f t="shared" si="119"/>
        <v>2160</v>
      </c>
    </row>
    <row r="7626" spans="2:7" ht="15" hidden="1" x14ac:dyDescent="0.25">
      <c r="B7626" s="4">
        <v>584638897</v>
      </c>
      <c r="C7626" s="4" t="s">
        <v>273</v>
      </c>
      <c r="D7626" s="4">
        <v>11728</v>
      </c>
      <c r="E7626" s="4">
        <v>317</v>
      </c>
      <c r="G7626">
        <f t="shared" si="119"/>
        <v>2592</v>
      </c>
    </row>
    <row r="7627" spans="2:7" ht="15" hidden="1" x14ac:dyDescent="0.25">
      <c r="B7627" s="4">
        <v>584638948</v>
      </c>
      <c r="C7627" s="4" t="s">
        <v>272</v>
      </c>
      <c r="D7627" s="4">
        <v>171</v>
      </c>
      <c r="E7627" s="4">
        <v>259</v>
      </c>
      <c r="G7627">
        <f t="shared" si="119"/>
        <v>2128</v>
      </c>
    </row>
    <row r="7628" spans="2:7" ht="15" hidden="1" x14ac:dyDescent="0.25">
      <c r="B7628" s="4">
        <v>584639042</v>
      </c>
      <c r="C7628" s="4" t="s">
        <v>279</v>
      </c>
      <c r="D7628" s="4">
        <v>23</v>
      </c>
      <c r="E7628" s="4">
        <v>221</v>
      </c>
      <c r="G7628">
        <f t="shared" si="119"/>
        <v>1824</v>
      </c>
    </row>
    <row r="7629" spans="2:7" ht="15" hidden="1" x14ac:dyDescent="0.25">
      <c r="B7629" s="4">
        <v>584639048</v>
      </c>
      <c r="C7629" s="4" t="s">
        <v>272</v>
      </c>
      <c r="D7629" s="4">
        <v>172</v>
      </c>
      <c r="E7629" s="4">
        <v>269</v>
      </c>
      <c r="G7629">
        <f t="shared" si="119"/>
        <v>2208</v>
      </c>
    </row>
    <row r="7630" spans="2:7" ht="15" hidden="1" x14ac:dyDescent="0.25">
      <c r="B7630" s="4">
        <v>584639065</v>
      </c>
      <c r="C7630" s="4" t="s">
        <v>277</v>
      </c>
      <c r="D7630" s="4">
        <v>23</v>
      </c>
      <c r="E7630" s="4">
        <v>55</v>
      </c>
      <c r="G7630">
        <f t="shared" si="119"/>
        <v>496</v>
      </c>
    </row>
    <row r="7631" spans="2:7" ht="15" hidden="1" x14ac:dyDescent="0.25">
      <c r="B7631" s="4">
        <v>584639148</v>
      </c>
      <c r="C7631" s="4" t="s">
        <v>272</v>
      </c>
      <c r="D7631" s="4">
        <v>173</v>
      </c>
      <c r="E7631" s="4">
        <v>265</v>
      </c>
      <c r="G7631">
        <f t="shared" si="119"/>
        <v>2176</v>
      </c>
    </row>
    <row r="7632" spans="2:7" ht="15" hidden="1" x14ac:dyDescent="0.25">
      <c r="B7632" s="4">
        <v>584639180</v>
      </c>
      <c r="C7632" s="4" t="s">
        <v>279</v>
      </c>
      <c r="D7632" s="4">
        <v>24</v>
      </c>
      <c r="E7632" s="4">
        <v>207</v>
      </c>
      <c r="G7632">
        <f t="shared" si="119"/>
        <v>1712</v>
      </c>
    </row>
    <row r="7633" spans="2:7" ht="15" hidden="1" x14ac:dyDescent="0.25">
      <c r="B7633" s="4">
        <v>584639203</v>
      </c>
      <c r="C7633" s="4" t="s">
        <v>277</v>
      </c>
      <c r="D7633" s="4">
        <v>24</v>
      </c>
      <c r="E7633" s="4">
        <v>55</v>
      </c>
      <c r="G7633">
        <f t="shared" si="119"/>
        <v>496</v>
      </c>
    </row>
    <row r="7634" spans="2:7" ht="15" hidden="1" x14ac:dyDescent="0.25">
      <c r="B7634" s="4">
        <v>584639248</v>
      </c>
      <c r="C7634" s="4" t="s">
        <v>272</v>
      </c>
      <c r="D7634" s="4">
        <v>174</v>
      </c>
      <c r="E7634" s="4">
        <v>263</v>
      </c>
      <c r="G7634">
        <f t="shared" si="119"/>
        <v>2160</v>
      </c>
    </row>
    <row r="7635" spans="2:7" ht="15" hidden="1" x14ac:dyDescent="0.25">
      <c r="B7635" s="4">
        <v>584639348</v>
      </c>
      <c r="C7635" s="4" t="s">
        <v>272</v>
      </c>
      <c r="D7635" s="4">
        <v>175</v>
      </c>
      <c r="E7635" s="4">
        <v>263</v>
      </c>
      <c r="G7635">
        <f t="shared" si="119"/>
        <v>2160</v>
      </c>
    </row>
    <row r="7636" spans="2:7" ht="15" hidden="1" x14ac:dyDescent="0.25">
      <c r="B7636" s="4">
        <v>584639433</v>
      </c>
      <c r="C7636" s="4" t="s">
        <v>279</v>
      </c>
      <c r="D7636" s="4">
        <v>25</v>
      </c>
      <c r="E7636" s="4">
        <v>193</v>
      </c>
      <c r="G7636">
        <f t="shared" si="119"/>
        <v>1600</v>
      </c>
    </row>
    <row r="7637" spans="2:7" ht="15" hidden="1" x14ac:dyDescent="0.25">
      <c r="B7637" s="4">
        <v>584639448</v>
      </c>
      <c r="C7637" s="4" t="s">
        <v>272</v>
      </c>
      <c r="D7637" s="4">
        <v>176</v>
      </c>
      <c r="E7637" s="4">
        <v>265</v>
      </c>
      <c r="G7637">
        <f t="shared" si="119"/>
        <v>2176</v>
      </c>
    </row>
    <row r="7638" spans="2:7" ht="15" hidden="1" x14ac:dyDescent="0.25">
      <c r="B7638" s="4">
        <v>584639456</v>
      </c>
      <c r="C7638" s="4" t="s">
        <v>277</v>
      </c>
      <c r="D7638" s="4">
        <v>25</v>
      </c>
      <c r="E7638" s="4">
        <v>57</v>
      </c>
      <c r="G7638">
        <f t="shared" si="119"/>
        <v>512</v>
      </c>
    </row>
    <row r="7639" spans="2:7" ht="15" hidden="1" x14ac:dyDescent="0.25">
      <c r="B7639" s="4">
        <v>584639548</v>
      </c>
      <c r="C7639" s="4" t="s">
        <v>272</v>
      </c>
      <c r="D7639" s="4">
        <v>177</v>
      </c>
      <c r="E7639" s="4">
        <v>259</v>
      </c>
      <c r="G7639">
        <f t="shared" si="119"/>
        <v>2128</v>
      </c>
    </row>
    <row r="7640" spans="2:7" ht="15" hidden="1" x14ac:dyDescent="0.25">
      <c r="B7640" s="4">
        <v>584639571</v>
      </c>
      <c r="C7640" s="4" t="s">
        <v>279</v>
      </c>
      <c r="D7640" s="4">
        <v>26</v>
      </c>
      <c r="E7640" s="4">
        <v>217</v>
      </c>
      <c r="G7640">
        <f t="shared" si="119"/>
        <v>1792</v>
      </c>
    </row>
    <row r="7641" spans="2:7" ht="15" hidden="1" x14ac:dyDescent="0.25">
      <c r="B7641" s="4">
        <v>584639594</v>
      </c>
      <c r="C7641" s="4" t="s">
        <v>277</v>
      </c>
      <c r="D7641" s="4">
        <v>26</v>
      </c>
      <c r="E7641" s="4">
        <v>59</v>
      </c>
      <c r="G7641">
        <f t="shared" si="119"/>
        <v>528</v>
      </c>
    </row>
    <row r="7642" spans="2:7" ht="15" hidden="1" x14ac:dyDescent="0.25">
      <c r="B7642" s="4">
        <v>584639648</v>
      </c>
      <c r="C7642" s="4" t="s">
        <v>272</v>
      </c>
      <c r="D7642" s="4">
        <v>178</v>
      </c>
      <c r="E7642" s="4">
        <v>275</v>
      </c>
      <c r="G7642">
        <f t="shared" si="119"/>
        <v>2256</v>
      </c>
    </row>
    <row r="7643" spans="2:7" ht="15" hidden="1" x14ac:dyDescent="0.25">
      <c r="B7643" s="4">
        <v>584639748</v>
      </c>
      <c r="C7643" s="4" t="s">
        <v>272</v>
      </c>
      <c r="D7643" s="4">
        <v>179</v>
      </c>
      <c r="E7643" s="4">
        <v>263</v>
      </c>
      <c r="G7643">
        <f t="shared" si="119"/>
        <v>2160</v>
      </c>
    </row>
    <row r="7644" spans="2:7" ht="15" hidden="1" x14ac:dyDescent="0.25">
      <c r="B7644" s="4">
        <v>584639801</v>
      </c>
      <c r="C7644" s="4" t="s">
        <v>279</v>
      </c>
      <c r="D7644" s="4">
        <v>27</v>
      </c>
      <c r="E7644" s="4">
        <v>231</v>
      </c>
      <c r="G7644">
        <f t="shared" si="119"/>
        <v>1904</v>
      </c>
    </row>
    <row r="7645" spans="2:7" ht="15" hidden="1" x14ac:dyDescent="0.25">
      <c r="B7645" s="4">
        <v>584639824</v>
      </c>
      <c r="C7645" s="4" t="s">
        <v>277</v>
      </c>
      <c r="D7645" s="4">
        <v>27</v>
      </c>
      <c r="E7645" s="4">
        <v>57</v>
      </c>
      <c r="G7645">
        <f t="shared" si="119"/>
        <v>512</v>
      </c>
    </row>
    <row r="7646" spans="2:7" ht="15" hidden="1" x14ac:dyDescent="0.25">
      <c r="B7646" s="4">
        <v>584639848</v>
      </c>
      <c r="C7646" s="4" t="s">
        <v>272</v>
      </c>
      <c r="D7646" s="4">
        <v>180</v>
      </c>
      <c r="E7646" s="4">
        <v>253</v>
      </c>
      <c r="G7646">
        <f t="shared" si="119"/>
        <v>2080</v>
      </c>
    </row>
    <row r="7647" spans="2:7" ht="15" hidden="1" x14ac:dyDescent="0.25">
      <c r="B7647" s="4">
        <v>584639939</v>
      </c>
      <c r="C7647" s="4" t="s">
        <v>279</v>
      </c>
      <c r="D7647" s="4">
        <v>28</v>
      </c>
      <c r="E7647" s="4">
        <v>201</v>
      </c>
      <c r="G7647">
        <f t="shared" si="119"/>
        <v>1664</v>
      </c>
    </row>
    <row r="7648" spans="2:7" ht="15" hidden="1" x14ac:dyDescent="0.25">
      <c r="B7648" s="4">
        <v>584639948</v>
      </c>
      <c r="C7648" s="4" t="s">
        <v>272</v>
      </c>
      <c r="D7648" s="4">
        <v>181</v>
      </c>
      <c r="E7648" s="4">
        <v>267</v>
      </c>
      <c r="G7648">
        <f t="shared" si="119"/>
        <v>2192</v>
      </c>
    </row>
    <row r="7649" spans="2:7" ht="15" hidden="1" x14ac:dyDescent="0.25">
      <c r="B7649" s="4">
        <v>584639962</v>
      </c>
      <c r="C7649" s="4" t="s">
        <v>277</v>
      </c>
      <c r="D7649" s="4">
        <v>28</v>
      </c>
      <c r="E7649" s="4">
        <v>59</v>
      </c>
      <c r="G7649">
        <f t="shared" si="119"/>
        <v>528</v>
      </c>
    </row>
    <row r="7650" spans="2:7" ht="15" hidden="1" x14ac:dyDescent="0.25">
      <c r="B7650" s="4">
        <v>584640048</v>
      </c>
      <c r="C7650" s="4" t="s">
        <v>272</v>
      </c>
      <c r="D7650" s="4">
        <v>182</v>
      </c>
      <c r="E7650" s="4">
        <v>259</v>
      </c>
      <c r="G7650">
        <f t="shared" si="119"/>
        <v>2128</v>
      </c>
    </row>
    <row r="7651" spans="2:7" ht="15" hidden="1" x14ac:dyDescent="0.25">
      <c r="B7651" s="4">
        <v>584640148</v>
      </c>
      <c r="C7651" s="4" t="s">
        <v>272</v>
      </c>
      <c r="D7651" s="4">
        <v>183</v>
      </c>
      <c r="E7651" s="4">
        <v>267</v>
      </c>
      <c r="G7651">
        <f t="shared" si="119"/>
        <v>2192</v>
      </c>
    </row>
    <row r="7652" spans="2:7" ht="15" hidden="1" x14ac:dyDescent="0.25">
      <c r="B7652" s="4">
        <v>584640192</v>
      </c>
      <c r="C7652" s="4" t="s">
        <v>279</v>
      </c>
      <c r="D7652" s="4">
        <v>29</v>
      </c>
      <c r="E7652" s="4">
        <v>213</v>
      </c>
      <c r="G7652">
        <f t="shared" si="119"/>
        <v>1760</v>
      </c>
    </row>
    <row r="7653" spans="2:7" ht="15" hidden="1" x14ac:dyDescent="0.25">
      <c r="B7653" s="4">
        <v>584640215</v>
      </c>
      <c r="C7653" s="4" t="s">
        <v>277</v>
      </c>
      <c r="D7653" s="4">
        <v>29</v>
      </c>
      <c r="E7653" s="4">
        <v>55</v>
      </c>
      <c r="G7653">
        <f t="shared" si="119"/>
        <v>496</v>
      </c>
    </row>
    <row r="7654" spans="2:7" ht="15" hidden="1" x14ac:dyDescent="0.25">
      <c r="B7654" s="4">
        <v>584640248</v>
      </c>
      <c r="C7654" s="4" t="s">
        <v>272</v>
      </c>
      <c r="D7654" s="4">
        <v>184</v>
      </c>
      <c r="E7654" s="4">
        <v>253</v>
      </c>
      <c r="G7654">
        <f t="shared" si="119"/>
        <v>2080</v>
      </c>
    </row>
    <row r="7655" spans="2:7" ht="15" hidden="1" x14ac:dyDescent="0.25">
      <c r="B7655" s="4">
        <v>584640330</v>
      </c>
      <c r="C7655" s="4" t="s">
        <v>279</v>
      </c>
      <c r="D7655" s="4">
        <v>30</v>
      </c>
      <c r="E7655" s="4">
        <v>217</v>
      </c>
      <c r="G7655">
        <f t="shared" si="119"/>
        <v>1792</v>
      </c>
    </row>
    <row r="7656" spans="2:7" ht="15" hidden="1" x14ac:dyDescent="0.25">
      <c r="B7656" s="4">
        <v>584640348</v>
      </c>
      <c r="C7656" s="4" t="s">
        <v>272</v>
      </c>
      <c r="D7656" s="4">
        <v>185</v>
      </c>
      <c r="E7656" s="4">
        <v>265</v>
      </c>
      <c r="G7656">
        <f t="shared" si="119"/>
        <v>2176</v>
      </c>
    </row>
    <row r="7657" spans="2:7" ht="15" hidden="1" x14ac:dyDescent="0.25">
      <c r="B7657" s="4">
        <v>584640353</v>
      </c>
      <c r="C7657" s="4" t="s">
        <v>277</v>
      </c>
      <c r="D7657" s="4">
        <v>30</v>
      </c>
      <c r="E7657" s="4">
        <v>55</v>
      </c>
      <c r="G7657">
        <f t="shared" si="119"/>
        <v>496</v>
      </c>
    </row>
    <row r="7658" spans="2:7" ht="15" hidden="1" x14ac:dyDescent="0.25">
      <c r="B7658" s="4">
        <v>584640448</v>
      </c>
      <c r="C7658" s="4" t="s">
        <v>272</v>
      </c>
      <c r="D7658" s="4">
        <v>186</v>
      </c>
      <c r="E7658" s="4">
        <v>259</v>
      </c>
      <c r="G7658">
        <f t="shared" si="119"/>
        <v>2128</v>
      </c>
    </row>
    <row r="7659" spans="2:7" ht="15" hidden="1" x14ac:dyDescent="0.25">
      <c r="B7659" s="4">
        <v>584640544</v>
      </c>
      <c r="C7659" s="4" t="s">
        <v>269</v>
      </c>
      <c r="D7659" s="4">
        <v>1619</v>
      </c>
      <c r="E7659" s="4">
        <v>57</v>
      </c>
      <c r="G7659">
        <f t="shared" si="119"/>
        <v>512</v>
      </c>
    </row>
    <row r="7660" spans="2:7" ht="15" x14ac:dyDescent="0.25">
      <c r="B7660" s="4">
        <v>584640548</v>
      </c>
      <c r="C7660" s="4" t="s">
        <v>270</v>
      </c>
      <c r="D7660" s="4">
        <v>6</v>
      </c>
      <c r="E7660" s="4">
        <v>1340</v>
      </c>
      <c r="G7660">
        <f t="shared" si="119"/>
        <v>10776</v>
      </c>
    </row>
    <row r="7661" spans="2:7" ht="15" x14ac:dyDescent="0.25">
      <c r="B7661" s="4">
        <v>584640548</v>
      </c>
      <c r="C7661" s="4" t="s">
        <v>271</v>
      </c>
      <c r="D7661" s="4">
        <v>6</v>
      </c>
      <c r="E7661" s="4">
        <v>1340</v>
      </c>
      <c r="G7661">
        <f t="shared" si="119"/>
        <v>10776</v>
      </c>
    </row>
    <row r="7662" spans="2:7" ht="15" hidden="1" x14ac:dyDescent="0.25">
      <c r="B7662" s="4">
        <v>584640549</v>
      </c>
      <c r="C7662" s="4" t="s">
        <v>272</v>
      </c>
      <c r="D7662" s="4">
        <v>187</v>
      </c>
      <c r="E7662" s="4">
        <v>269</v>
      </c>
      <c r="G7662">
        <f t="shared" si="119"/>
        <v>2208</v>
      </c>
    </row>
    <row r="7663" spans="2:7" ht="15" hidden="1" x14ac:dyDescent="0.25">
      <c r="B7663" s="4">
        <v>584640583</v>
      </c>
      <c r="C7663" s="4" t="s">
        <v>279</v>
      </c>
      <c r="D7663" s="4">
        <v>31</v>
      </c>
      <c r="E7663" s="4">
        <v>217</v>
      </c>
      <c r="G7663">
        <f t="shared" si="119"/>
        <v>1792</v>
      </c>
    </row>
    <row r="7664" spans="2:7" ht="15" hidden="1" x14ac:dyDescent="0.25">
      <c r="B7664" s="4">
        <v>584640606</v>
      </c>
      <c r="C7664" s="4" t="s">
        <v>277</v>
      </c>
      <c r="D7664" s="4">
        <v>31</v>
      </c>
      <c r="E7664" s="4">
        <v>57</v>
      </c>
      <c r="G7664">
        <f t="shared" si="119"/>
        <v>512</v>
      </c>
    </row>
    <row r="7665" spans="2:7" ht="15" hidden="1" x14ac:dyDescent="0.25">
      <c r="B7665" s="4">
        <v>584640648</v>
      </c>
      <c r="C7665" s="4" t="s">
        <v>272</v>
      </c>
      <c r="D7665" s="4">
        <v>188</v>
      </c>
      <c r="E7665" s="4">
        <v>259</v>
      </c>
      <c r="G7665">
        <f t="shared" si="119"/>
        <v>2128</v>
      </c>
    </row>
    <row r="7666" spans="2:7" ht="15" hidden="1" x14ac:dyDescent="0.25">
      <c r="B7666" s="4">
        <v>584640721</v>
      </c>
      <c r="C7666" s="4" t="s">
        <v>279</v>
      </c>
      <c r="D7666" s="4">
        <v>32</v>
      </c>
      <c r="E7666" s="4">
        <v>213</v>
      </c>
      <c r="G7666">
        <f t="shared" si="119"/>
        <v>1760</v>
      </c>
    </row>
    <row r="7667" spans="2:7" ht="15" hidden="1" x14ac:dyDescent="0.25">
      <c r="B7667" s="4">
        <v>584640744</v>
      </c>
      <c r="C7667" s="4" t="s">
        <v>277</v>
      </c>
      <c r="D7667" s="4">
        <v>32</v>
      </c>
      <c r="E7667" s="4">
        <v>53</v>
      </c>
      <c r="G7667">
        <f t="shared" si="119"/>
        <v>480</v>
      </c>
    </row>
    <row r="7668" spans="2:7" ht="15" hidden="1" x14ac:dyDescent="0.25">
      <c r="B7668" s="4">
        <v>584640748</v>
      </c>
      <c r="C7668" s="4" t="s">
        <v>272</v>
      </c>
      <c r="D7668" s="4">
        <v>189</v>
      </c>
      <c r="E7668" s="4">
        <v>253</v>
      </c>
      <c r="G7668">
        <f t="shared" si="119"/>
        <v>2080</v>
      </c>
    </row>
    <row r="7669" spans="2:7" ht="15" hidden="1" x14ac:dyDescent="0.25">
      <c r="B7669" s="4">
        <v>584640848</v>
      </c>
      <c r="C7669" s="4" t="s">
        <v>272</v>
      </c>
      <c r="D7669" s="4">
        <v>190</v>
      </c>
      <c r="E7669" s="4">
        <v>253</v>
      </c>
      <c r="G7669">
        <f t="shared" si="119"/>
        <v>2080</v>
      </c>
    </row>
    <row r="7670" spans="2:7" ht="15" hidden="1" x14ac:dyDescent="0.25">
      <c r="B7670" s="4">
        <v>584640948</v>
      </c>
      <c r="C7670" s="4" t="s">
        <v>272</v>
      </c>
      <c r="D7670" s="4">
        <v>191</v>
      </c>
      <c r="E7670" s="4">
        <v>267</v>
      </c>
      <c r="G7670">
        <f t="shared" si="119"/>
        <v>2192</v>
      </c>
    </row>
    <row r="7671" spans="2:7" ht="15" hidden="1" x14ac:dyDescent="0.25">
      <c r="B7671" s="4">
        <v>584640974</v>
      </c>
      <c r="C7671" s="4" t="s">
        <v>279</v>
      </c>
      <c r="D7671" s="4">
        <v>33</v>
      </c>
      <c r="E7671" s="4">
        <v>213</v>
      </c>
      <c r="G7671">
        <f t="shared" si="119"/>
        <v>1760</v>
      </c>
    </row>
    <row r="7672" spans="2:7" ht="15" hidden="1" x14ac:dyDescent="0.25">
      <c r="B7672" s="4">
        <v>584640997</v>
      </c>
      <c r="C7672" s="4" t="s">
        <v>277</v>
      </c>
      <c r="D7672" s="4">
        <v>33</v>
      </c>
      <c r="E7672" s="4">
        <v>57</v>
      </c>
      <c r="G7672">
        <f t="shared" si="119"/>
        <v>512</v>
      </c>
    </row>
    <row r="7673" spans="2:7" ht="15" hidden="1" x14ac:dyDescent="0.25">
      <c r="B7673" s="4">
        <v>584640998</v>
      </c>
      <c r="C7673" s="4" t="s">
        <v>273</v>
      </c>
      <c r="D7673" s="4">
        <v>13829</v>
      </c>
      <c r="E7673" s="4">
        <v>317</v>
      </c>
      <c r="G7673">
        <f t="shared" si="119"/>
        <v>2592</v>
      </c>
    </row>
    <row r="7674" spans="2:7" ht="15" hidden="1" x14ac:dyDescent="0.25">
      <c r="B7674" s="4">
        <v>584641048</v>
      </c>
      <c r="C7674" s="4" t="s">
        <v>272</v>
      </c>
      <c r="D7674" s="4">
        <v>192</v>
      </c>
      <c r="E7674" s="4">
        <v>259</v>
      </c>
      <c r="G7674">
        <f t="shared" si="119"/>
        <v>2128</v>
      </c>
    </row>
    <row r="7675" spans="2:7" ht="15" hidden="1" x14ac:dyDescent="0.25">
      <c r="B7675" s="4">
        <v>584641112</v>
      </c>
      <c r="C7675" s="4" t="s">
        <v>279</v>
      </c>
      <c r="D7675" s="4">
        <v>34</v>
      </c>
      <c r="E7675" s="4">
        <v>199</v>
      </c>
      <c r="G7675">
        <f t="shared" si="119"/>
        <v>1648</v>
      </c>
    </row>
    <row r="7676" spans="2:7" ht="15" hidden="1" x14ac:dyDescent="0.25">
      <c r="B7676" s="4">
        <v>584641135</v>
      </c>
      <c r="C7676" s="4" t="s">
        <v>277</v>
      </c>
      <c r="D7676" s="4">
        <v>34</v>
      </c>
      <c r="E7676" s="4">
        <v>55</v>
      </c>
      <c r="G7676">
        <f t="shared" si="119"/>
        <v>496</v>
      </c>
    </row>
    <row r="7677" spans="2:7" ht="15" hidden="1" x14ac:dyDescent="0.25">
      <c r="B7677" s="4">
        <v>584641148</v>
      </c>
      <c r="C7677" s="4" t="s">
        <v>272</v>
      </c>
      <c r="D7677" s="4">
        <v>193</v>
      </c>
      <c r="E7677" s="4">
        <v>261</v>
      </c>
      <c r="G7677">
        <f t="shared" si="119"/>
        <v>2144</v>
      </c>
    </row>
    <row r="7678" spans="2:7" ht="15" hidden="1" x14ac:dyDescent="0.25">
      <c r="B7678" s="4">
        <v>584641248</v>
      </c>
      <c r="C7678" s="4" t="s">
        <v>272</v>
      </c>
      <c r="D7678" s="4">
        <v>194</v>
      </c>
      <c r="E7678" s="4">
        <v>257</v>
      </c>
      <c r="G7678">
        <f t="shared" si="119"/>
        <v>2112</v>
      </c>
    </row>
    <row r="7679" spans="2:7" ht="15" hidden="1" x14ac:dyDescent="0.25">
      <c r="B7679" s="4">
        <v>584641348</v>
      </c>
      <c r="C7679" s="4" t="s">
        <v>272</v>
      </c>
      <c r="D7679" s="4">
        <v>195</v>
      </c>
      <c r="E7679" s="4">
        <v>269</v>
      </c>
      <c r="G7679">
        <f t="shared" si="119"/>
        <v>2208</v>
      </c>
    </row>
    <row r="7680" spans="2:7" ht="15" hidden="1" x14ac:dyDescent="0.25">
      <c r="B7680" s="4">
        <v>584641365</v>
      </c>
      <c r="C7680" s="4" t="s">
        <v>279</v>
      </c>
      <c r="D7680" s="4">
        <v>35</v>
      </c>
      <c r="E7680" s="4">
        <v>215</v>
      </c>
      <c r="G7680">
        <f t="shared" si="119"/>
        <v>1776</v>
      </c>
    </row>
    <row r="7681" spans="2:7" ht="15" hidden="1" x14ac:dyDescent="0.25">
      <c r="B7681" s="4">
        <v>584641388</v>
      </c>
      <c r="C7681" s="4" t="s">
        <v>277</v>
      </c>
      <c r="D7681" s="4">
        <v>35</v>
      </c>
      <c r="E7681" s="4">
        <v>57</v>
      </c>
      <c r="G7681">
        <f t="shared" si="119"/>
        <v>512</v>
      </c>
    </row>
    <row r="7682" spans="2:7" ht="15" hidden="1" x14ac:dyDescent="0.25">
      <c r="B7682" s="4">
        <v>584641448</v>
      </c>
      <c r="C7682" s="4" t="s">
        <v>272</v>
      </c>
      <c r="D7682" s="4">
        <v>196</v>
      </c>
      <c r="E7682" s="4">
        <v>257</v>
      </c>
      <c r="G7682">
        <f t="shared" si="119"/>
        <v>2112</v>
      </c>
    </row>
    <row r="7683" spans="2:7" ht="15" hidden="1" x14ac:dyDescent="0.25">
      <c r="B7683" s="4">
        <v>584641526</v>
      </c>
      <c r="C7683" s="4" t="s">
        <v>279</v>
      </c>
      <c r="D7683" s="4">
        <v>36</v>
      </c>
      <c r="E7683" s="4">
        <v>237</v>
      </c>
      <c r="G7683">
        <f t="shared" si="119"/>
        <v>1952</v>
      </c>
    </row>
    <row r="7684" spans="2:7" ht="15" hidden="1" x14ac:dyDescent="0.25">
      <c r="B7684" s="4">
        <v>584641548</v>
      </c>
      <c r="C7684" s="4" t="s">
        <v>272</v>
      </c>
      <c r="D7684" s="4">
        <v>197</v>
      </c>
      <c r="E7684" s="4">
        <v>259</v>
      </c>
      <c r="G7684">
        <f t="shared" ref="G7684:G7747" si="120">(E7684+7)*8</f>
        <v>2128</v>
      </c>
    </row>
    <row r="7685" spans="2:7" ht="15" hidden="1" x14ac:dyDescent="0.25">
      <c r="B7685" s="4">
        <v>584641549</v>
      </c>
      <c r="C7685" s="4" t="s">
        <v>277</v>
      </c>
      <c r="D7685" s="4">
        <v>36</v>
      </c>
      <c r="E7685" s="4">
        <v>57</v>
      </c>
      <c r="G7685">
        <f t="shared" si="120"/>
        <v>512</v>
      </c>
    </row>
    <row r="7686" spans="2:7" ht="15" hidden="1" x14ac:dyDescent="0.25">
      <c r="B7686" s="4">
        <v>584641648</v>
      </c>
      <c r="C7686" s="4" t="s">
        <v>272</v>
      </c>
      <c r="D7686" s="4">
        <v>198</v>
      </c>
      <c r="E7686" s="4">
        <v>267</v>
      </c>
      <c r="G7686">
        <f t="shared" si="120"/>
        <v>2192</v>
      </c>
    </row>
    <row r="7687" spans="2:7" ht="15" hidden="1" x14ac:dyDescent="0.25">
      <c r="B7687" s="4">
        <v>584641748</v>
      </c>
      <c r="C7687" s="4" t="s">
        <v>272</v>
      </c>
      <c r="D7687" s="4">
        <v>199</v>
      </c>
      <c r="E7687" s="4">
        <v>267</v>
      </c>
      <c r="G7687">
        <f t="shared" si="120"/>
        <v>2192</v>
      </c>
    </row>
    <row r="7688" spans="2:7" ht="15" hidden="1" x14ac:dyDescent="0.25">
      <c r="B7688" s="4">
        <v>584641779</v>
      </c>
      <c r="C7688" s="4" t="s">
        <v>279</v>
      </c>
      <c r="D7688" s="4">
        <v>37</v>
      </c>
      <c r="E7688" s="4">
        <v>225</v>
      </c>
      <c r="G7688">
        <f t="shared" si="120"/>
        <v>1856</v>
      </c>
    </row>
    <row r="7689" spans="2:7" ht="15" hidden="1" x14ac:dyDescent="0.25">
      <c r="B7689" s="4">
        <v>584641802</v>
      </c>
      <c r="C7689" s="4" t="s">
        <v>277</v>
      </c>
      <c r="D7689" s="4">
        <v>37</v>
      </c>
      <c r="E7689" s="4">
        <v>57</v>
      </c>
      <c r="G7689">
        <f t="shared" si="120"/>
        <v>512</v>
      </c>
    </row>
    <row r="7690" spans="2:7" ht="15" hidden="1" x14ac:dyDescent="0.25">
      <c r="B7690" s="4">
        <v>584641848</v>
      </c>
      <c r="C7690" s="4" t="s">
        <v>272</v>
      </c>
      <c r="D7690" s="4">
        <v>200</v>
      </c>
      <c r="E7690" s="4">
        <v>261</v>
      </c>
      <c r="G7690">
        <f t="shared" si="120"/>
        <v>2144</v>
      </c>
    </row>
    <row r="7691" spans="2:7" ht="15" hidden="1" x14ac:dyDescent="0.25">
      <c r="B7691" s="4">
        <v>584641917</v>
      </c>
      <c r="C7691" s="4" t="s">
        <v>279</v>
      </c>
      <c r="D7691" s="4">
        <v>38</v>
      </c>
      <c r="E7691" s="4">
        <v>233</v>
      </c>
      <c r="G7691">
        <f t="shared" si="120"/>
        <v>1920</v>
      </c>
    </row>
    <row r="7692" spans="2:7" ht="15" hidden="1" x14ac:dyDescent="0.25">
      <c r="B7692" s="4">
        <v>584641940</v>
      </c>
      <c r="C7692" s="4" t="s">
        <v>277</v>
      </c>
      <c r="D7692" s="4">
        <v>38</v>
      </c>
      <c r="E7692" s="4">
        <v>59</v>
      </c>
      <c r="G7692">
        <f t="shared" si="120"/>
        <v>528</v>
      </c>
    </row>
    <row r="7693" spans="2:7" ht="15" hidden="1" x14ac:dyDescent="0.25">
      <c r="B7693" s="4">
        <v>584641948</v>
      </c>
      <c r="C7693" s="4" t="s">
        <v>272</v>
      </c>
      <c r="D7693" s="4">
        <v>201</v>
      </c>
      <c r="E7693" s="4">
        <v>265</v>
      </c>
      <c r="G7693">
        <f t="shared" si="120"/>
        <v>2176</v>
      </c>
    </row>
    <row r="7694" spans="2:7" ht="15" hidden="1" x14ac:dyDescent="0.25">
      <c r="B7694" s="4">
        <v>584642048</v>
      </c>
      <c r="C7694" s="4" t="s">
        <v>272</v>
      </c>
      <c r="D7694" s="4">
        <v>202</v>
      </c>
      <c r="E7694" s="4">
        <v>267</v>
      </c>
      <c r="G7694">
        <f t="shared" si="120"/>
        <v>2192</v>
      </c>
    </row>
    <row r="7695" spans="2:7" ht="15" hidden="1" x14ac:dyDescent="0.25">
      <c r="B7695" s="4">
        <v>584642148</v>
      </c>
      <c r="C7695" s="4" t="s">
        <v>272</v>
      </c>
      <c r="D7695" s="4">
        <v>203</v>
      </c>
      <c r="E7695" s="4">
        <v>263</v>
      </c>
      <c r="G7695">
        <f t="shared" si="120"/>
        <v>2160</v>
      </c>
    </row>
    <row r="7696" spans="2:7" ht="15" hidden="1" x14ac:dyDescent="0.25">
      <c r="B7696" s="4">
        <v>584642170</v>
      </c>
      <c r="C7696" s="4" t="s">
        <v>279</v>
      </c>
      <c r="D7696" s="4">
        <v>39</v>
      </c>
      <c r="E7696" s="4">
        <v>237</v>
      </c>
      <c r="G7696">
        <f t="shared" si="120"/>
        <v>1952</v>
      </c>
    </row>
    <row r="7697" spans="2:7" ht="15" hidden="1" x14ac:dyDescent="0.25">
      <c r="B7697" s="4">
        <v>584642193</v>
      </c>
      <c r="C7697" s="4" t="s">
        <v>277</v>
      </c>
      <c r="D7697" s="4">
        <v>39</v>
      </c>
      <c r="E7697" s="4">
        <v>55</v>
      </c>
      <c r="G7697">
        <f t="shared" si="120"/>
        <v>496</v>
      </c>
    </row>
    <row r="7698" spans="2:7" ht="15" hidden="1" x14ac:dyDescent="0.25">
      <c r="B7698" s="4">
        <v>584642248</v>
      </c>
      <c r="C7698" s="4" t="s">
        <v>272</v>
      </c>
      <c r="D7698" s="4">
        <v>204</v>
      </c>
      <c r="E7698" s="4">
        <v>267</v>
      </c>
      <c r="G7698">
        <f t="shared" si="120"/>
        <v>2192</v>
      </c>
    </row>
    <row r="7699" spans="2:7" ht="15" hidden="1" x14ac:dyDescent="0.25">
      <c r="B7699" s="4">
        <v>584642308</v>
      </c>
      <c r="C7699" s="4" t="s">
        <v>279</v>
      </c>
      <c r="D7699" s="4">
        <v>40</v>
      </c>
      <c r="E7699" s="4">
        <v>229</v>
      </c>
      <c r="G7699">
        <f t="shared" si="120"/>
        <v>1888</v>
      </c>
    </row>
    <row r="7700" spans="2:7" ht="15" hidden="1" x14ac:dyDescent="0.25">
      <c r="B7700" s="4">
        <v>584642331</v>
      </c>
      <c r="C7700" s="4" t="s">
        <v>277</v>
      </c>
      <c r="D7700" s="4">
        <v>40</v>
      </c>
      <c r="E7700" s="4">
        <v>53</v>
      </c>
      <c r="G7700">
        <f t="shared" si="120"/>
        <v>480</v>
      </c>
    </row>
    <row r="7701" spans="2:7" ht="15" hidden="1" x14ac:dyDescent="0.25">
      <c r="B7701" s="4">
        <v>584642344</v>
      </c>
      <c r="C7701" s="4" t="s">
        <v>269</v>
      </c>
      <c r="D7701" s="4">
        <v>1620</v>
      </c>
      <c r="E7701" s="4">
        <v>57</v>
      </c>
      <c r="G7701">
        <f t="shared" si="120"/>
        <v>512</v>
      </c>
    </row>
    <row r="7702" spans="2:7" ht="15" hidden="1" x14ac:dyDescent="0.25">
      <c r="B7702" s="4">
        <v>584642348</v>
      </c>
      <c r="C7702" s="4" t="s">
        <v>272</v>
      </c>
      <c r="D7702" s="4">
        <v>205</v>
      </c>
      <c r="E7702" s="4">
        <v>267</v>
      </c>
      <c r="G7702">
        <f t="shared" si="120"/>
        <v>2192</v>
      </c>
    </row>
    <row r="7703" spans="2:7" ht="15" hidden="1" x14ac:dyDescent="0.25">
      <c r="B7703" s="4">
        <v>584642448</v>
      </c>
      <c r="C7703" s="4" t="s">
        <v>272</v>
      </c>
      <c r="D7703" s="4">
        <v>206</v>
      </c>
      <c r="E7703" s="4">
        <v>261</v>
      </c>
      <c r="G7703">
        <f t="shared" si="120"/>
        <v>2144</v>
      </c>
    </row>
    <row r="7704" spans="2:7" ht="15" hidden="1" x14ac:dyDescent="0.25">
      <c r="B7704" s="4">
        <v>584642538</v>
      </c>
      <c r="C7704" s="4" t="s">
        <v>279</v>
      </c>
      <c r="D7704" s="4">
        <v>41</v>
      </c>
      <c r="E7704" s="4">
        <v>237</v>
      </c>
      <c r="G7704">
        <f t="shared" si="120"/>
        <v>1952</v>
      </c>
    </row>
    <row r="7705" spans="2:7" ht="15" hidden="1" x14ac:dyDescent="0.25">
      <c r="B7705" s="4">
        <v>584642548</v>
      </c>
      <c r="C7705" s="4" t="s">
        <v>272</v>
      </c>
      <c r="D7705" s="4">
        <v>207</v>
      </c>
      <c r="E7705" s="4">
        <v>263</v>
      </c>
      <c r="G7705">
        <f t="shared" si="120"/>
        <v>2160</v>
      </c>
    </row>
    <row r="7706" spans="2:7" ht="15" hidden="1" x14ac:dyDescent="0.25">
      <c r="B7706" s="4">
        <v>584642561</v>
      </c>
      <c r="C7706" s="4" t="s">
        <v>277</v>
      </c>
      <c r="D7706" s="4">
        <v>41</v>
      </c>
      <c r="E7706" s="4">
        <v>55</v>
      </c>
      <c r="G7706">
        <f t="shared" si="120"/>
        <v>496</v>
      </c>
    </row>
    <row r="7707" spans="2:7" ht="15" hidden="1" x14ac:dyDescent="0.25">
      <c r="B7707" s="4">
        <v>584642648</v>
      </c>
      <c r="C7707" s="4" t="s">
        <v>272</v>
      </c>
      <c r="D7707" s="4">
        <v>208</v>
      </c>
      <c r="E7707" s="4">
        <v>259</v>
      </c>
      <c r="G7707">
        <f t="shared" si="120"/>
        <v>2128</v>
      </c>
    </row>
    <row r="7708" spans="2:7" ht="15" hidden="1" x14ac:dyDescent="0.25">
      <c r="B7708" s="4">
        <v>584642676</v>
      </c>
      <c r="C7708" s="4" t="s">
        <v>279</v>
      </c>
      <c r="D7708" s="4">
        <v>42</v>
      </c>
      <c r="E7708" s="4">
        <v>233</v>
      </c>
      <c r="G7708">
        <f t="shared" si="120"/>
        <v>1920</v>
      </c>
    </row>
    <row r="7709" spans="2:7" ht="15" hidden="1" x14ac:dyDescent="0.25">
      <c r="B7709" s="4">
        <v>584642699</v>
      </c>
      <c r="C7709" s="4" t="s">
        <v>277</v>
      </c>
      <c r="D7709" s="4">
        <v>42</v>
      </c>
      <c r="E7709" s="4">
        <v>57</v>
      </c>
      <c r="G7709">
        <f t="shared" si="120"/>
        <v>512</v>
      </c>
    </row>
    <row r="7710" spans="2:7" ht="15" hidden="1" x14ac:dyDescent="0.25">
      <c r="B7710" s="4">
        <v>584642748</v>
      </c>
      <c r="C7710" s="4" t="s">
        <v>272</v>
      </c>
      <c r="D7710" s="4">
        <v>209</v>
      </c>
      <c r="E7710" s="4">
        <v>267</v>
      </c>
      <c r="G7710">
        <f t="shared" si="120"/>
        <v>2192</v>
      </c>
    </row>
    <row r="7711" spans="2:7" ht="15" hidden="1" x14ac:dyDescent="0.25">
      <c r="B7711" s="4">
        <v>584642848</v>
      </c>
      <c r="C7711" s="4" t="s">
        <v>272</v>
      </c>
      <c r="D7711" s="4">
        <v>210</v>
      </c>
      <c r="E7711" s="4">
        <v>263</v>
      </c>
      <c r="G7711">
        <f t="shared" si="120"/>
        <v>2160</v>
      </c>
    </row>
    <row r="7712" spans="2:7" ht="15" hidden="1" x14ac:dyDescent="0.25">
      <c r="B7712" s="4">
        <v>584642929</v>
      </c>
      <c r="C7712" s="4" t="s">
        <v>279</v>
      </c>
      <c r="D7712" s="4">
        <v>43</v>
      </c>
      <c r="E7712" s="4">
        <v>223</v>
      </c>
      <c r="G7712">
        <f t="shared" si="120"/>
        <v>1840</v>
      </c>
    </row>
    <row r="7713" spans="2:7" ht="15" hidden="1" x14ac:dyDescent="0.25">
      <c r="B7713" s="4">
        <v>584642948</v>
      </c>
      <c r="C7713" s="4" t="s">
        <v>272</v>
      </c>
      <c r="D7713" s="4">
        <v>211</v>
      </c>
      <c r="E7713" s="4">
        <v>267</v>
      </c>
      <c r="G7713">
        <f t="shared" si="120"/>
        <v>2192</v>
      </c>
    </row>
    <row r="7714" spans="2:7" ht="15" hidden="1" x14ac:dyDescent="0.25">
      <c r="B7714" s="4">
        <v>584642952</v>
      </c>
      <c r="C7714" s="4" t="s">
        <v>277</v>
      </c>
      <c r="D7714" s="4">
        <v>43</v>
      </c>
      <c r="E7714" s="4">
        <v>55</v>
      </c>
      <c r="G7714">
        <f t="shared" si="120"/>
        <v>496</v>
      </c>
    </row>
    <row r="7715" spans="2:7" ht="15" hidden="1" x14ac:dyDescent="0.25">
      <c r="B7715" s="4">
        <v>584643048</v>
      </c>
      <c r="C7715" s="4" t="s">
        <v>272</v>
      </c>
      <c r="D7715" s="4">
        <v>212</v>
      </c>
      <c r="E7715" s="4">
        <v>263</v>
      </c>
      <c r="G7715">
        <f t="shared" si="120"/>
        <v>2160</v>
      </c>
    </row>
    <row r="7716" spans="2:7" ht="15" hidden="1" x14ac:dyDescent="0.25">
      <c r="B7716" s="4">
        <v>584643067</v>
      </c>
      <c r="C7716" s="4" t="s">
        <v>279</v>
      </c>
      <c r="D7716" s="4">
        <v>44</v>
      </c>
      <c r="E7716" s="4">
        <v>235</v>
      </c>
      <c r="G7716">
        <f t="shared" si="120"/>
        <v>1936</v>
      </c>
    </row>
    <row r="7717" spans="2:7" ht="15" hidden="1" x14ac:dyDescent="0.25">
      <c r="B7717" s="4">
        <v>584643090</v>
      </c>
      <c r="C7717" s="4" t="s">
        <v>277</v>
      </c>
      <c r="D7717" s="4">
        <v>44</v>
      </c>
      <c r="E7717" s="4">
        <v>57</v>
      </c>
      <c r="G7717">
        <f t="shared" si="120"/>
        <v>512</v>
      </c>
    </row>
    <row r="7718" spans="2:7" ht="15" hidden="1" x14ac:dyDescent="0.25">
      <c r="B7718" s="4">
        <v>584643099</v>
      </c>
      <c r="C7718" s="4" t="s">
        <v>273</v>
      </c>
      <c r="D7718" s="4">
        <v>15930</v>
      </c>
      <c r="E7718" s="4">
        <v>317</v>
      </c>
      <c r="G7718">
        <f t="shared" si="120"/>
        <v>2592</v>
      </c>
    </row>
    <row r="7719" spans="2:7" ht="15" hidden="1" x14ac:dyDescent="0.25">
      <c r="B7719" s="4">
        <v>584643148</v>
      </c>
      <c r="C7719" s="4" t="s">
        <v>272</v>
      </c>
      <c r="D7719" s="4">
        <v>213</v>
      </c>
      <c r="E7719" s="4">
        <v>261</v>
      </c>
      <c r="G7719">
        <f t="shared" si="120"/>
        <v>2144</v>
      </c>
    </row>
    <row r="7720" spans="2:7" ht="15" hidden="1" x14ac:dyDescent="0.25">
      <c r="B7720" s="4">
        <v>584643248</v>
      </c>
      <c r="C7720" s="4" t="s">
        <v>272</v>
      </c>
      <c r="D7720" s="4">
        <v>214</v>
      </c>
      <c r="E7720" s="4">
        <v>257</v>
      </c>
      <c r="G7720">
        <f t="shared" si="120"/>
        <v>2112</v>
      </c>
    </row>
    <row r="7721" spans="2:7" ht="15" hidden="1" x14ac:dyDescent="0.25">
      <c r="B7721" s="4">
        <v>584643320</v>
      </c>
      <c r="C7721" s="4" t="s">
        <v>279</v>
      </c>
      <c r="D7721" s="4">
        <v>45</v>
      </c>
      <c r="E7721" s="4">
        <v>245</v>
      </c>
      <c r="G7721">
        <f t="shared" si="120"/>
        <v>2016</v>
      </c>
    </row>
    <row r="7722" spans="2:7" ht="15" hidden="1" x14ac:dyDescent="0.25">
      <c r="B7722" s="4">
        <v>584643343</v>
      </c>
      <c r="C7722" s="4" t="s">
        <v>277</v>
      </c>
      <c r="D7722" s="4">
        <v>45</v>
      </c>
      <c r="E7722" s="4">
        <v>57</v>
      </c>
      <c r="G7722">
        <f t="shared" si="120"/>
        <v>512</v>
      </c>
    </row>
    <row r="7723" spans="2:7" ht="15" hidden="1" x14ac:dyDescent="0.25">
      <c r="B7723" s="4">
        <v>584643348</v>
      </c>
      <c r="C7723" s="4" t="s">
        <v>272</v>
      </c>
      <c r="D7723" s="4">
        <v>215</v>
      </c>
      <c r="E7723" s="4">
        <v>271</v>
      </c>
      <c r="G7723">
        <f t="shared" si="120"/>
        <v>2224</v>
      </c>
    </row>
    <row r="7724" spans="2:7" ht="15" hidden="1" x14ac:dyDescent="0.25">
      <c r="B7724" s="4">
        <v>584643448</v>
      </c>
      <c r="C7724" s="4" t="s">
        <v>272</v>
      </c>
      <c r="D7724" s="4">
        <v>216</v>
      </c>
      <c r="E7724" s="4">
        <v>265</v>
      </c>
      <c r="G7724">
        <f t="shared" si="120"/>
        <v>2176</v>
      </c>
    </row>
    <row r="7725" spans="2:7" ht="15" hidden="1" x14ac:dyDescent="0.25">
      <c r="B7725" s="4">
        <v>584643458</v>
      </c>
      <c r="C7725" s="4" t="s">
        <v>279</v>
      </c>
      <c r="D7725" s="4">
        <v>46</v>
      </c>
      <c r="E7725" s="4">
        <v>235</v>
      </c>
      <c r="G7725">
        <f t="shared" si="120"/>
        <v>1936</v>
      </c>
    </row>
    <row r="7726" spans="2:7" ht="15" hidden="1" x14ac:dyDescent="0.25">
      <c r="B7726" s="4">
        <v>584643481</v>
      </c>
      <c r="C7726" s="4" t="s">
        <v>277</v>
      </c>
      <c r="D7726" s="4">
        <v>46</v>
      </c>
      <c r="E7726" s="4">
        <v>55</v>
      </c>
      <c r="G7726">
        <f t="shared" si="120"/>
        <v>496</v>
      </c>
    </row>
    <row r="7727" spans="2:7" ht="15" hidden="1" x14ac:dyDescent="0.25">
      <c r="B7727" s="4">
        <v>584643548</v>
      </c>
      <c r="C7727" s="4" t="s">
        <v>272</v>
      </c>
      <c r="D7727" s="4">
        <v>217</v>
      </c>
      <c r="E7727" s="4">
        <v>273</v>
      </c>
      <c r="G7727">
        <f t="shared" si="120"/>
        <v>2240</v>
      </c>
    </row>
    <row r="7728" spans="2:7" ht="15" hidden="1" x14ac:dyDescent="0.25">
      <c r="B7728" s="4">
        <v>584643648</v>
      </c>
      <c r="C7728" s="4" t="s">
        <v>272</v>
      </c>
      <c r="D7728" s="4">
        <v>218</v>
      </c>
      <c r="E7728" s="4">
        <v>265</v>
      </c>
      <c r="G7728">
        <f t="shared" si="120"/>
        <v>2176</v>
      </c>
    </row>
    <row r="7729" spans="2:7" ht="15" hidden="1" x14ac:dyDescent="0.25">
      <c r="B7729" s="4">
        <v>584643688</v>
      </c>
      <c r="C7729" s="4" t="s">
        <v>279</v>
      </c>
      <c r="D7729" s="4">
        <v>47</v>
      </c>
      <c r="E7729" s="4">
        <v>225</v>
      </c>
      <c r="G7729">
        <f t="shared" si="120"/>
        <v>1856</v>
      </c>
    </row>
    <row r="7730" spans="2:7" ht="15" hidden="1" x14ac:dyDescent="0.25">
      <c r="B7730" s="4">
        <v>584643711</v>
      </c>
      <c r="C7730" s="4" t="s">
        <v>277</v>
      </c>
      <c r="D7730" s="4">
        <v>47</v>
      </c>
      <c r="E7730" s="4">
        <v>59</v>
      </c>
      <c r="G7730">
        <f t="shared" si="120"/>
        <v>528</v>
      </c>
    </row>
    <row r="7731" spans="2:7" ht="15" hidden="1" x14ac:dyDescent="0.25">
      <c r="B7731" s="4">
        <v>584643748</v>
      </c>
      <c r="C7731" s="4" t="s">
        <v>272</v>
      </c>
      <c r="D7731" s="4">
        <v>219</v>
      </c>
      <c r="E7731" s="4">
        <v>261</v>
      </c>
      <c r="G7731">
        <f t="shared" si="120"/>
        <v>2144</v>
      </c>
    </row>
    <row r="7732" spans="2:7" ht="15" hidden="1" x14ac:dyDescent="0.25">
      <c r="B7732" s="4">
        <v>584643826</v>
      </c>
      <c r="C7732" s="4" t="s">
        <v>279</v>
      </c>
      <c r="D7732" s="4">
        <v>48</v>
      </c>
      <c r="E7732" s="4">
        <v>225</v>
      </c>
      <c r="G7732">
        <f t="shared" si="120"/>
        <v>1856</v>
      </c>
    </row>
    <row r="7733" spans="2:7" ht="15" hidden="1" x14ac:dyDescent="0.25">
      <c r="B7733" s="4">
        <v>584643848</v>
      </c>
      <c r="C7733" s="4" t="s">
        <v>272</v>
      </c>
      <c r="D7733" s="4">
        <v>220</v>
      </c>
      <c r="E7733" s="4">
        <v>271</v>
      </c>
      <c r="G7733">
        <f t="shared" si="120"/>
        <v>2224</v>
      </c>
    </row>
    <row r="7734" spans="2:7" ht="15" hidden="1" x14ac:dyDescent="0.25">
      <c r="B7734" s="4">
        <v>584643849</v>
      </c>
      <c r="C7734" s="4" t="s">
        <v>277</v>
      </c>
      <c r="D7734" s="4">
        <v>48</v>
      </c>
      <c r="E7734" s="4">
        <v>59</v>
      </c>
      <c r="G7734">
        <f t="shared" si="120"/>
        <v>528</v>
      </c>
    </row>
    <row r="7735" spans="2:7" ht="15" hidden="1" x14ac:dyDescent="0.25">
      <c r="B7735" s="4">
        <v>584643948</v>
      </c>
      <c r="C7735" s="4" t="s">
        <v>272</v>
      </c>
      <c r="D7735" s="4">
        <v>221</v>
      </c>
      <c r="E7735" s="4">
        <v>261</v>
      </c>
      <c r="G7735">
        <f t="shared" si="120"/>
        <v>2144</v>
      </c>
    </row>
    <row r="7736" spans="2:7" ht="15" hidden="1" x14ac:dyDescent="0.25">
      <c r="B7736" s="4">
        <v>584644048</v>
      </c>
      <c r="C7736" s="4" t="s">
        <v>272</v>
      </c>
      <c r="D7736" s="4">
        <v>222</v>
      </c>
      <c r="E7736" s="4">
        <v>261</v>
      </c>
      <c r="G7736">
        <f t="shared" si="120"/>
        <v>2144</v>
      </c>
    </row>
    <row r="7737" spans="2:7" ht="15" hidden="1" x14ac:dyDescent="0.25">
      <c r="B7737" s="4">
        <v>584644079</v>
      </c>
      <c r="C7737" s="4" t="s">
        <v>279</v>
      </c>
      <c r="D7737" s="4">
        <v>49</v>
      </c>
      <c r="E7737" s="4">
        <v>247</v>
      </c>
      <c r="G7737">
        <f t="shared" si="120"/>
        <v>2032</v>
      </c>
    </row>
    <row r="7738" spans="2:7" ht="15" hidden="1" x14ac:dyDescent="0.25">
      <c r="B7738" s="4">
        <v>584644102</v>
      </c>
      <c r="C7738" s="4" t="s">
        <v>277</v>
      </c>
      <c r="D7738" s="4">
        <v>49</v>
      </c>
      <c r="E7738" s="4">
        <v>59</v>
      </c>
      <c r="G7738">
        <f t="shared" si="120"/>
        <v>528</v>
      </c>
    </row>
    <row r="7739" spans="2:7" ht="15" hidden="1" x14ac:dyDescent="0.25">
      <c r="B7739" s="4">
        <v>584644144</v>
      </c>
      <c r="C7739" s="4" t="s">
        <v>269</v>
      </c>
      <c r="D7739" s="4">
        <v>1621</v>
      </c>
      <c r="E7739" s="4">
        <v>57</v>
      </c>
      <c r="G7739">
        <f t="shared" si="120"/>
        <v>512</v>
      </c>
    </row>
    <row r="7740" spans="2:7" ht="15" hidden="1" x14ac:dyDescent="0.25">
      <c r="B7740" s="4">
        <v>584644148</v>
      </c>
      <c r="C7740" s="4" t="s">
        <v>272</v>
      </c>
      <c r="D7740" s="4">
        <v>223</v>
      </c>
      <c r="E7740" s="4">
        <v>261</v>
      </c>
      <c r="G7740">
        <f t="shared" si="120"/>
        <v>2144</v>
      </c>
    </row>
    <row r="7741" spans="2:7" ht="15" hidden="1" x14ac:dyDescent="0.25">
      <c r="B7741" s="4">
        <v>584644217</v>
      </c>
      <c r="C7741" s="4" t="s">
        <v>279</v>
      </c>
      <c r="D7741" s="4">
        <v>50</v>
      </c>
      <c r="E7741" s="4">
        <v>233</v>
      </c>
      <c r="G7741">
        <f t="shared" si="120"/>
        <v>1920</v>
      </c>
    </row>
    <row r="7742" spans="2:7" ht="15" hidden="1" x14ac:dyDescent="0.25">
      <c r="B7742" s="4">
        <v>584644240</v>
      </c>
      <c r="C7742" s="4" t="s">
        <v>277</v>
      </c>
      <c r="D7742" s="4">
        <v>50</v>
      </c>
      <c r="E7742" s="4">
        <v>59</v>
      </c>
      <c r="G7742">
        <f t="shared" si="120"/>
        <v>528</v>
      </c>
    </row>
    <row r="7743" spans="2:7" ht="15" hidden="1" x14ac:dyDescent="0.25">
      <c r="B7743" s="4">
        <v>584644248</v>
      </c>
      <c r="C7743" s="4" t="s">
        <v>272</v>
      </c>
      <c r="D7743" s="4">
        <v>224</v>
      </c>
      <c r="E7743" s="4">
        <v>263</v>
      </c>
      <c r="G7743">
        <f t="shared" si="120"/>
        <v>2160</v>
      </c>
    </row>
    <row r="7744" spans="2:7" ht="15" hidden="1" x14ac:dyDescent="0.25">
      <c r="B7744" s="4">
        <v>584644348</v>
      </c>
      <c r="C7744" s="4" t="s">
        <v>272</v>
      </c>
      <c r="D7744" s="4">
        <v>225</v>
      </c>
      <c r="E7744" s="4">
        <v>273</v>
      </c>
      <c r="G7744">
        <f t="shared" si="120"/>
        <v>2240</v>
      </c>
    </row>
    <row r="7745" spans="2:7" ht="15" hidden="1" x14ac:dyDescent="0.25">
      <c r="B7745" s="4">
        <v>584644448</v>
      </c>
      <c r="C7745" s="4" t="s">
        <v>272</v>
      </c>
      <c r="D7745" s="4">
        <v>226</v>
      </c>
      <c r="E7745" s="4">
        <v>269</v>
      </c>
      <c r="G7745">
        <f t="shared" si="120"/>
        <v>2208</v>
      </c>
    </row>
    <row r="7746" spans="2:7" ht="15" hidden="1" x14ac:dyDescent="0.25">
      <c r="B7746" s="4">
        <v>584644470</v>
      </c>
      <c r="C7746" s="4" t="s">
        <v>279</v>
      </c>
      <c r="D7746" s="4">
        <v>51</v>
      </c>
      <c r="E7746" s="4">
        <v>251</v>
      </c>
      <c r="G7746">
        <f t="shared" si="120"/>
        <v>2064</v>
      </c>
    </row>
    <row r="7747" spans="2:7" ht="15" hidden="1" x14ac:dyDescent="0.25">
      <c r="B7747" s="4">
        <v>584644493</v>
      </c>
      <c r="C7747" s="4" t="s">
        <v>277</v>
      </c>
      <c r="D7747" s="4">
        <v>51</v>
      </c>
      <c r="E7747" s="4">
        <v>57</v>
      </c>
      <c r="G7747">
        <f t="shared" si="120"/>
        <v>512</v>
      </c>
    </row>
    <row r="7748" spans="2:7" ht="15" hidden="1" x14ac:dyDescent="0.25">
      <c r="B7748" s="4">
        <v>584644548</v>
      </c>
      <c r="C7748" s="4" t="s">
        <v>272</v>
      </c>
      <c r="D7748" s="4">
        <v>227</v>
      </c>
      <c r="E7748" s="4">
        <v>257</v>
      </c>
      <c r="G7748">
        <f t="shared" ref="G7748:G7811" si="121">(E7748+7)*8</f>
        <v>2112</v>
      </c>
    </row>
    <row r="7749" spans="2:7" ht="15" hidden="1" x14ac:dyDescent="0.25">
      <c r="B7749" s="4">
        <v>584644608</v>
      </c>
      <c r="C7749" s="4" t="s">
        <v>279</v>
      </c>
      <c r="D7749" s="4">
        <v>52</v>
      </c>
      <c r="E7749" s="4">
        <v>239</v>
      </c>
      <c r="G7749">
        <f t="shared" si="121"/>
        <v>1968</v>
      </c>
    </row>
    <row r="7750" spans="2:7" ht="15" hidden="1" x14ac:dyDescent="0.25">
      <c r="B7750" s="4">
        <v>584644631</v>
      </c>
      <c r="C7750" s="4" t="s">
        <v>277</v>
      </c>
      <c r="D7750" s="4">
        <v>52</v>
      </c>
      <c r="E7750" s="4">
        <v>59</v>
      </c>
      <c r="G7750">
        <f t="shared" si="121"/>
        <v>528</v>
      </c>
    </row>
    <row r="7751" spans="2:7" ht="15" hidden="1" x14ac:dyDescent="0.25">
      <c r="B7751" s="4">
        <v>584644648</v>
      </c>
      <c r="C7751" s="4" t="s">
        <v>272</v>
      </c>
      <c r="D7751" s="4">
        <v>228</v>
      </c>
      <c r="E7751" s="4">
        <v>265</v>
      </c>
      <c r="G7751">
        <f t="shared" si="121"/>
        <v>2176</v>
      </c>
    </row>
    <row r="7752" spans="2:7" ht="15" hidden="1" x14ac:dyDescent="0.25">
      <c r="B7752" s="4">
        <v>584644748</v>
      </c>
      <c r="C7752" s="4" t="s">
        <v>272</v>
      </c>
      <c r="D7752" s="4">
        <v>229</v>
      </c>
      <c r="E7752" s="4">
        <v>281</v>
      </c>
      <c r="G7752">
        <f t="shared" si="121"/>
        <v>2304</v>
      </c>
    </row>
    <row r="7753" spans="2:7" ht="15" hidden="1" x14ac:dyDescent="0.25">
      <c r="B7753" s="4">
        <v>584644848</v>
      </c>
      <c r="C7753" s="4" t="s">
        <v>272</v>
      </c>
      <c r="D7753" s="4">
        <v>230</v>
      </c>
      <c r="E7753" s="4">
        <v>269</v>
      </c>
      <c r="G7753">
        <f t="shared" si="121"/>
        <v>2208</v>
      </c>
    </row>
    <row r="7754" spans="2:7" ht="15" hidden="1" x14ac:dyDescent="0.25">
      <c r="B7754" s="4">
        <v>584644861</v>
      </c>
      <c r="C7754" s="4" t="s">
        <v>279</v>
      </c>
      <c r="D7754" s="4">
        <v>53</v>
      </c>
      <c r="E7754" s="4">
        <v>267</v>
      </c>
      <c r="G7754">
        <f t="shared" si="121"/>
        <v>2192</v>
      </c>
    </row>
    <row r="7755" spans="2:7" ht="15" hidden="1" x14ac:dyDescent="0.25">
      <c r="B7755" s="4">
        <v>584644884</v>
      </c>
      <c r="C7755" s="4" t="s">
        <v>277</v>
      </c>
      <c r="D7755" s="4">
        <v>53</v>
      </c>
      <c r="E7755" s="4">
        <v>59</v>
      </c>
      <c r="G7755">
        <f t="shared" si="121"/>
        <v>528</v>
      </c>
    </row>
    <row r="7756" spans="2:7" ht="15" hidden="1" x14ac:dyDescent="0.25">
      <c r="B7756" s="4">
        <v>584644948</v>
      </c>
      <c r="C7756" s="4" t="s">
        <v>272</v>
      </c>
      <c r="D7756" s="4">
        <v>231</v>
      </c>
      <c r="E7756" s="4">
        <v>263</v>
      </c>
      <c r="G7756">
        <f t="shared" si="121"/>
        <v>2160</v>
      </c>
    </row>
    <row r="7757" spans="2:7" ht="15" hidden="1" x14ac:dyDescent="0.25">
      <c r="B7757" s="4">
        <v>584645022</v>
      </c>
      <c r="C7757" s="4" t="s">
        <v>279</v>
      </c>
      <c r="D7757" s="4">
        <v>54</v>
      </c>
      <c r="E7757" s="4">
        <v>249</v>
      </c>
      <c r="G7757">
        <f t="shared" si="121"/>
        <v>2048</v>
      </c>
    </row>
    <row r="7758" spans="2:7" ht="15" hidden="1" x14ac:dyDescent="0.25">
      <c r="B7758" s="4">
        <v>584645045</v>
      </c>
      <c r="C7758" s="4" t="s">
        <v>277</v>
      </c>
      <c r="D7758" s="4">
        <v>54</v>
      </c>
      <c r="E7758" s="4">
        <v>57</v>
      </c>
      <c r="G7758">
        <f t="shared" si="121"/>
        <v>512</v>
      </c>
    </row>
    <row r="7759" spans="2:7" ht="15" hidden="1" x14ac:dyDescent="0.25">
      <c r="B7759" s="4">
        <v>584645048</v>
      </c>
      <c r="C7759" s="4" t="s">
        <v>272</v>
      </c>
      <c r="D7759" s="4">
        <v>232</v>
      </c>
      <c r="E7759" s="4">
        <v>271</v>
      </c>
      <c r="G7759">
        <f t="shared" si="121"/>
        <v>2224</v>
      </c>
    </row>
    <row r="7760" spans="2:7" ht="15" hidden="1" x14ac:dyDescent="0.25">
      <c r="B7760" s="4">
        <v>584645148</v>
      </c>
      <c r="C7760" s="4" t="s">
        <v>272</v>
      </c>
      <c r="D7760" s="4">
        <v>233</v>
      </c>
      <c r="E7760" s="4">
        <v>267</v>
      </c>
      <c r="G7760">
        <f t="shared" si="121"/>
        <v>2192</v>
      </c>
    </row>
    <row r="7761" spans="2:7" ht="15" hidden="1" x14ac:dyDescent="0.25">
      <c r="B7761" s="4">
        <v>584645200</v>
      </c>
      <c r="C7761" s="4" t="s">
        <v>273</v>
      </c>
      <c r="D7761" s="4">
        <v>1647</v>
      </c>
      <c r="E7761" s="4">
        <v>317</v>
      </c>
      <c r="G7761">
        <f t="shared" si="121"/>
        <v>2592</v>
      </c>
    </row>
    <row r="7762" spans="2:7" ht="15" hidden="1" x14ac:dyDescent="0.25">
      <c r="B7762" s="4">
        <v>584645248</v>
      </c>
      <c r="C7762" s="4" t="s">
        <v>272</v>
      </c>
      <c r="D7762" s="4">
        <v>234</v>
      </c>
      <c r="E7762" s="4">
        <v>259</v>
      </c>
      <c r="G7762">
        <f t="shared" si="121"/>
        <v>2128</v>
      </c>
    </row>
    <row r="7763" spans="2:7" ht="15" hidden="1" x14ac:dyDescent="0.25">
      <c r="B7763" s="4">
        <v>584645252</v>
      </c>
      <c r="C7763" s="4" t="s">
        <v>279</v>
      </c>
      <c r="D7763" s="4">
        <v>55</v>
      </c>
      <c r="E7763" s="4">
        <v>237</v>
      </c>
      <c r="G7763">
        <f t="shared" si="121"/>
        <v>1952</v>
      </c>
    </row>
    <row r="7764" spans="2:7" ht="15" hidden="1" x14ac:dyDescent="0.25">
      <c r="B7764" s="4">
        <v>584645275</v>
      </c>
      <c r="C7764" s="4" t="s">
        <v>277</v>
      </c>
      <c r="D7764" s="4">
        <v>55</v>
      </c>
      <c r="E7764" s="4">
        <v>59</v>
      </c>
      <c r="G7764">
        <f t="shared" si="121"/>
        <v>528</v>
      </c>
    </row>
    <row r="7765" spans="2:7" ht="15" hidden="1" x14ac:dyDescent="0.25">
      <c r="B7765" s="4">
        <v>584645348</v>
      </c>
      <c r="C7765" s="4" t="s">
        <v>272</v>
      </c>
      <c r="D7765" s="4">
        <v>235</v>
      </c>
      <c r="E7765" s="4">
        <v>267</v>
      </c>
      <c r="G7765">
        <f t="shared" si="121"/>
        <v>2192</v>
      </c>
    </row>
    <row r="7766" spans="2:7" ht="15" hidden="1" x14ac:dyDescent="0.25">
      <c r="B7766" s="4">
        <v>584645413</v>
      </c>
      <c r="C7766" s="4" t="s">
        <v>279</v>
      </c>
      <c r="D7766" s="4">
        <v>56</v>
      </c>
      <c r="E7766" s="4">
        <v>259</v>
      </c>
      <c r="G7766">
        <f t="shared" si="121"/>
        <v>2128</v>
      </c>
    </row>
    <row r="7767" spans="2:7" ht="15" hidden="1" x14ac:dyDescent="0.25">
      <c r="B7767" s="4">
        <v>584645436</v>
      </c>
      <c r="C7767" s="4" t="s">
        <v>277</v>
      </c>
      <c r="D7767" s="4">
        <v>56</v>
      </c>
      <c r="E7767" s="4">
        <v>57</v>
      </c>
      <c r="G7767">
        <f t="shared" si="121"/>
        <v>512</v>
      </c>
    </row>
    <row r="7768" spans="2:7" ht="15" hidden="1" x14ac:dyDescent="0.25">
      <c r="B7768" s="4">
        <v>584645448</v>
      </c>
      <c r="C7768" s="4" t="s">
        <v>272</v>
      </c>
      <c r="D7768" s="4">
        <v>236</v>
      </c>
      <c r="E7768" s="4">
        <v>263</v>
      </c>
      <c r="G7768">
        <f t="shared" si="121"/>
        <v>2160</v>
      </c>
    </row>
    <row r="7769" spans="2:7" ht="15" hidden="1" x14ac:dyDescent="0.25">
      <c r="B7769" s="4">
        <v>584645548</v>
      </c>
      <c r="C7769" s="4" t="s">
        <v>272</v>
      </c>
      <c r="D7769" s="4">
        <v>237</v>
      </c>
      <c r="E7769" s="4">
        <v>273</v>
      </c>
      <c r="G7769">
        <f t="shared" si="121"/>
        <v>2240</v>
      </c>
    </row>
    <row r="7770" spans="2:7" ht="15" hidden="1" x14ac:dyDescent="0.25">
      <c r="B7770" s="4">
        <v>584645648</v>
      </c>
      <c r="C7770" s="4" t="s">
        <v>272</v>
      </c>
      <c r="D7770" s="4">
        <v>238</v>
      </c>
      <c r="E7770" s="4">
        <v>261</v>
      </c>
      <c r="G7770">
        <f t="shared" si="121"/>
        <v>2144</v>
      </c>
    </row>
    <row r="7771" spans="2:7" ht="15" hidden="1" x14ac:dyDescent="0.25">
      <c r="B7771" s="4">
        <v>584645666</v>
      </c>
      <c r="C7771" s="4" t="s">
        <v>279</v>
      </c>
      <c r="D7771" s="4">
        <v>57</v>
      </c>
      <c r="E7771" s="4">
        <v>261</v>
      </c>
      <c r="G7771">
        <f t="shared" si="121"/>
        <v>2144</v>
      </c>
    </row>
    <row r="7772" spans="2:7" ht="15" hidden="1" x14ac:dyDescent="0.25">
      <c r="B7772" s="4">
        <v>584645689</v>
      </c>
      <c r="C7772" s="4" t="s">
        <v>277</v>
      </c>
      <c r="D7772" s="4">
        <v>57</v>
      </c>
      <c r="E7772" s="4">
        <v>55</v>
      </c>
      <c r="G7772">
        <f t="shared" si="121"/>
        <v>496</v>
      </c>
    </row>
    <row r="7773" spans="2:7" ht="15" hidden="1" x14ac:dyDescent="0.25">
      <c r="B7773" s="4">
        <v>584645748</v>
      </c>
      <c r="C7773" s="4" t="s">
        <v>272</v>
      </c>
      <c r="D7773" s="4">
        <v>239</v>
      </c>
      <c r="E7773" s="4">
        <v>267</v>
      </c>
      <c r="G7773">
        <f t="shared" si="121"/>
        <v>2192</v>
      </c>
    </row>
    <row r="7774" spans="2:7" ht="15" hidden="1" x14ac:dyDescent="0.25">
      <c r="B7774" s="4">
        <v>584645804</v>
      </c>
      <c r="C7774" s="4" t="s">
        <v>279</v>
      </c>
      <c r="D7774" s="4">
        <v>58</v>
      </c>
      <c r="E7774" s="4">
        <v>249</v>
      </c>
      <c r="G7774">
        <f t="shared" si="121"/>
        <v>2048</v>
      </c>
    </row>
    <row r="7775" spans="2:7" ht="15" hidden="1" x14ac:dyDescent="0.25">
      <c r="B7775" s="4">
        <v>584645827</v>
      </c>
      <c r="C7775" s="4" t="s">
        <v>277</v>
      </c>
      <c r="D7775" s="4">
        <v>58</v>
      </c>
      <c r="E7775" s="4">
        <v>61</v>
      </c>
      <c r="G7775">
        <f t="shared" si="121"/>
        <v>544</v>
      </c>
    </row>
    <row r="7776" spans="2:7" ht="15" hidden="1" x14ac:dyDescent="0.25">
      <c r="B7776" s="4">
        <v>584645848</v>
      </c>
      <c r="C7776" s="4" t="s">
        <v>272</v>
      </c>
      <c r="D7776" s="4">
        <v>240</v>
      </c>
      <c r="E7776" s="4">
        <v>265</v>
      </c>
      <c r="G7776">
        <f t="shared" si="121"/>
        <v>2176</v>
      </c>
    </row>
    <row r="7777" spans="2:7" ht="15" hidden="1" x14ac:dyDescent="0.25">
      <c r="B7777" s="4">
        <v>584645944</v>
      </c>
      <c r="C7777" s="4" t="s">
        <v>269</v>
      </c>
      <c r="D7777" s="4">
        <v>1622</v>
      </c>
      <c r="E7777" s="4">
        <v>57</v>
      </c>
      <c r="G7777">
        <f t="shared" si="121"/>
        <v>512</v>
      </c>
    </row>
    <row r="7778" spans="2:7" ht="15" hidden="1" x14ac:dyDescent="0.25">
      <c r="B7778" s="4">
        <v>584645948</v>
      </c>
      <c r="C7778" s="4" t="s">
        <v>272</v>
      </c>
      <c r="D7778" s="4">
        <v>241</v>
      </c>
      <c r="E7778" s="4">
        <v>263</v>
      </c>
      <c r="G7778">
        <f t="shared" si="121"/>
        <v>2160</v>
      </c>
    </row>
    <row r="7779" spans="2:7" ht="15" hidden="1" x14ac:dyDescent="0.25">
      <c r="B7779" s="4">
        <v>584646048</v>
      </c>
      <c r="C7779" s="4" t="s">
        <v>272</v>
      </c>
      <c r="D7779" s="4">
        <v>242</v>
      </c>
      <c r="E7779" s="4">
        <v>269</v>
      </c>
      <c r="G7779">
        <f t="shared" si="121"/>
        <v>2208</v>
      </c>
    </row>
    <row r="7780" spans="2:7" ht="15" hidden="1" x14ac:dyDescent="0.25">
      <c r="B7780" s="4">
        <v>584646057</v>
      </c>
      <c r="C7780" s="4" t="s">
        <v>279</v>
      </c>
      <c r="D7780" s="4">
        <v>59</v>
      </c>
      <c r="E7780" s="4">
        <v>255</v>
      </c>
      <c r="G7780">
        <f t="shared" si="121"/>
        <v>2096</v>
      </c>
    </row>
    <row r="7781" spans="2:7" ht="15" hidden="1" x14ac:dyDescent="0.25">
      <c r="B7781" s="4">
        <v>584646080</v>
      </c>
      <c r="C7781" s="4" t="s">
        <v>277</v>
      </c>
      <c r="D7781" s="4">
        <v>59</v>
      </c>
      <c r="E7781" s="4">
        <v>55</v>
      </c>
      <c r="G7781">
        <f t="shared" si="121"/>
        <v>496</v>
      </c>
    </row>
    <row r="7782" spans="2:7" ht="15" hidden="1" x14ac:dyDescent="0.25">
      <c r="B7782" s="4">
        <v>584646148</v>
      </c>
      <c r="C7782" s="4" t="s">
        <v>272</v>
      </c>
      <c r="D7782" s="4">
        <v>243</v>
      </c>
      <c r="E7782" s="4">
        <v>261</v>
      </c>
      <c r="G7782">
        <f t="shared" si="121"/>
        <v>2144</v>
      </c>
    </row>
    <row r="7783" spans="2:7" ht="15" hidden="1" x14ac:dyDescent="0.25">
      <c r="B7783" s="4">
        <v>584646195</v>
      </c>
      <c r="C7783" s="4" t="s">
        <v>279</v>
      </c>
      <c r="D7783" s="4">
        <v>60</v>
      </c>
      <c r="E7783" s="4">
        <v>245</v>
      </c>
      <c r="G7783">
        <f t="shared" si="121"/>
        <v>2016</v>
      </c>
    </row>
    <row r="7784" spans="2:7" ht="15" hidden="1" x14ac:dyDescent="0.25">
      <c r="B7784" s="4">
        <v>584646218</v>
      </c>
      <c r="C7784" s="4" t="s">
        <v>277</v>
      </c>
      <c r="D7784" s="4">
        <v>60</v>
      </c>
      <c r="E7784" s="4">
        <v>59</v>
      </c>
      <c r="G7784">
        <f t="shared" si="121"/>
        <v>528</v>
      </c>
    </row>
    <row r="7785" spans="2:7" ht="15" hidden="1" x14ac:dyDescent="0.25">
      <c r="B7785" s="4">
        <v>584646248</v>
      </c>
      <c r="C7785" s="4" t="s">
        <v>272</v>
      </c>
      <c r="D7785" s="4">
        <v>244</v>
      </c>
      <c r="E7785" s="4">
        <v>269</v>
      </c>
      <c r="G7785">
        <f t="shared" si="121"/>
        <v>2208</v>
      </c>
    </row>
    <row r="7786" spans="2:7" ht="15" hidden="1" x14ac:dyDescent="0.25">
      <c r="B7786" s="4">
        <v>584646348</v>
      </c>
      <c r="C7786" s="4" t="s">
        <v>272</v>
      </c>
      <c r="D7786" s="4">
        <v>245</v>
      </c>
      <c r="E7786" s="4">
        <v>271</v>
      </c>
      <c r="G7786">
        <f t="shared" si="121"/>
        <v>2224</v>
      </c>
    </row>
    <row r="7787" spans="2:7" ht="15" hidden="1" x14ac:dyDescent="0.25">
      <c r="B7787" s="4">
        <v>584646425</v>
      </c>
      <c r="C7787" s="4" t="s">
        <v>279</v>
      </c>
      <c r="D7787" s="4">
        <v>61</v>
      </c>
      <c r="E7787" s="4">
        <v>247</v>
      </c>
      <c r="G7787">
        <f t="shared" si="121"/>
        <v>2032</v>
      </c>
    </row>
    <row r="7788" spans="2:7" ht="15" hidden="1" x14ac:dyDescent="0.25">
      <c r="B7788" s="4">
        <v>584646448</v>
      </c>
      <c r="C7788" s="4" t="s">
        <v>277</v>
      </c>
      <c r="D7788" s="4">
        <v>61</v>
      </c>
      <c r="E7788" s="4">
        <v>57</v>
      </c>
      <c r="G7788">
        <f t="shared" si="121"/>
        <v>512</v>
      </c>
    </row>
    <row r="7789" spans="2:7" ht="15" hidden="1" x14ac:dyDescent="0.25">
      <c r="B7789" s="4">
        <v>584646448</v>
      </c>
      <c r="C7789" s="4" t="s">
        <v>272</v>
      </c>
      <c r="D7789" s="4">
        <v>246</v>
      </c>
      <c r="E7789" s="4">
        <v>269</v>
      </c>
      <c r="G7789">
        <f t="shared" si="121"/>
        <v>2208</v>
      </c>
    </row>
    <row r="7790" spans="2:7" ht="15" hidden="1" x14ac:dyDescent="0.25">
      <c r="B7790" s="4">
        <v>584646548</v>
      </c>
      <c r="C7790" s="4" t="s">
        <v>272</v>
      </c>
      <c r="D7790" s="4">
        <v>247</v>
      </c>
      <c r="E7790" s="4">
        <v>269</v>
      </c>
      <c r="G7790">
        <f t="shared" si="121"/>
        <v>2208</v>
      </c>
    </row>
    <row r="7791" spans="2:7" ht="15" hidden="1" x14ac:dyDescent="0.25">
      <c r="B7791" s="4">
        <v>584646563</v>
      </c>
      <c r="C7791" s="4" t="s">
        <v>279</v>
      </c>
      <c r="D7791" s="4">
        <v>62</v>
      </c>
      <c r="E7791" s="4">
        <v>253</v>
      </c>
      <c r="G7791">
        <f t="shared" si="121"/>
        <v>2080</v>
      </c>
    </row>
    <row r="7792" spans="2:7" ht="15" hidden="1" x14ac:dyDescent="0.25">
      <c r="B7792" s="4">
        <v>584646586</v>
      </c>
      <c r="C7792" s="4" t="s">
        <v>277</v>
      </c>
      <c r="D7792" s="4">
        <v>62</v>
      </c>
      <c r="E7792" s="4">
        <v>59</v>
      </c>
      <c r="G7792">
        <f t="shared" si="121"/>
        <v>528</v>
      </c>
    </row>
    <row r="7793" spans="2:7" ht="15" hidden="1" x14ac:dyDescent="0.25">
      <c r="B7793" s="4">
        <v>584646648</v>
      </c>
      <c r="C7793" s="4" t="s">
        <v>272</v>
      </c>
      <c r="D7793" s="4">
        <v>248</v>
      </c>
      <c r="E7793" s="4">
        <v>275</v>
      </c>
      <c r="G7793">
        <f t="shared" si="121"/>
        <v>2256</v>
      </c>
    </row>
    <row r="7794" spans="2:7" ht="15" hidden="1" x14ac:dyDescent="0.25">
      <c r="B7794" s="4">
        <v>584646748</v>
      </c>
      <c r="C7794" s="4" t="s">
        <v>272</v>
      </c>
      <c r="D7794" s="4">
        <v>249</v>
      </c>
      <c r="E7794" s="4">
        <v>265</v>
      </c>
      <c r="G7794">
        <f t="shared" si="121"/>
        <v>2176</v>
      </c>
    </row>
    <row r="7795" spans="2:7" ht="15" hidden="1" x14ac:dyDescent="0.25">
      <c r="B7795" s="4">
        <v>584646816</v>
      </c>
      <c r="C7795" s="4" t="s">
        <v>279</v>
      </c>
      <c r="D7795" s="4">
        <v>63</v>
      </c>
      <c r="E7795" s="4">
        <v>255</v>
      </c>
      <c r="G7795">
        <f t="shared" si="121"/>
        <v>2096</v>
      </c>
    </row>
    <row r="7796" spans="2:7" ht="15" hidden="1" x14ac:dyDescent="0.25">
      <c r="B7796" s="4">
        <v>584646839</v>
      </c>
      <c r="C7796" s="4" t="s">
        <v>277</v>
      </c>
      <c r="D7796" s="4">
        <v>63</v>
      </c>
      <c r="E7796" s="4">
        <v>59</v>
      </c>
      <c r="G7796">
        <f t="shared" si="121"/>
        <v>528</v>
      </c>
    </row>
    <row r="7797" spans="2:7" ht="15" hidden="1" x14ac:dyDescent="0.25">
      <c r="B7797" s="4">
        <v>584646848</v>
      </c>
      <c r="C7797" s="4" t="s">
        <v>272</v>
      </c>
      <c r="D7797" s="4">
        <v>250</v>
      </c>
      <c r="E7797" s="4">
        <v>261</v>
      </c>
      <c r="G7797">
        <f t="shared" si="121"/>
        <v>2144</v>
      </c>
    </row>
    <row r="7798" spans="2:7" ht="15" hidden="1" x14ac:dyDescent="0.25">
      <c r="B7798" s="4">
        <v>584646948</v>
      </c>
      <c r="C7798" s="4" t="s">
        <v>272</v>
      </c>
      <c r="D7798" s="4">
        <v>251</v>
      </c>
      <c r="E7798" s="4">
        <v>257</v>
      </c>
      <c r="G7798">
        <f t="shared" si="121"/>
        <v>2112</v>
      </c>
    </row>
    <row r="7799" spans="2:7" ht="15" hidden="1" x14ac:dyDescent="0.25">
      <c r="B7799" s="4">
        <v>584646954</v>
      </c>
      <c r="C7799" s="4" t="s">
        <v>279</v>
      </c>
      <c r="D7799" s="4">
        <v>64</v>
      </c>
      <c r="E7799" s="4">
        <v>241</v>
      </c>
      <c r="G7799">
        <f t="shared" si="121"/>
        <v>1984</v>
      </c>
    </row>
    <row r="7800" spans="2:7" ht="15" hidden="1" x14ac:dyDescent="0.25">
      <c r="B7800" s="4">
        <v>584646977</v>
      </c>
      <c r="C7800" s="4" t="s">
        <v>277</v>
      </c>
      <c r="D7800" s="4">
        <v>64</v>
      </c>
      <c r="E7800" s="4">
        <v>59</v>
      </c>
      <c r="G7800">
        <f t="shared" si="121"/>
        <v>528</v>
      </c>
    </row>
    <row r="7801" spans="2:7" ht="15" hidden="1" x14ac:dyDescent="0.25">
      <c r="B7801" s="4">
        <v>584647048</v>
      </c>
      <c r="C7801" s="4" t="s">
        <v>272</v>
      </c>
      <c r="D7801" s="4">
        <v>252</v>
      </c>
      <c r="E7801" s="4">
        <v>261</v>
      </c>
      <c r="G7801">
        <f t="shared" si="121"/>
        <v>2144</v>
      </c>
    </row>
    <row r="7802" spans="2:7" ht="15" hidden="1" x14ac:dyDescent="0.25">
      <c r="B7802" s="4">
        <v>584647148</v>
      </c>
      <c r="C7802" s="4" t="s">
        <v>272</v>
      </c>
      <c r="D7802" s="4">
        <v>253</v>
      </c>
      <c r="E7802" s="4">
        <v>261</v>
      </c>
      <c r="G7802">
        <f t="shared" si="121"/>
        <v>2144</v>
      </c>
    </row>
    <row r="7803" spans="2:7" ht="15" hidden="1" x14ac:dyDescent="0.25">
      <c r="B7803" s="4">
        <v>584647207</v>
      </c>
      <c r="C7803" s="4" t="s">
        <v>279</v>
      </c>
      <c r="D7803" s="4">
        <v>65</v>
      </c>
      <c r="E7803" s="4">
        <v>245</v>
      </c>
      <c r="G7803">
        <f t="shared" si="121"/>
        <v>2016</v>
      </c>
    </row>
    <row r="7804" spans="2:7" ht="15" hidden="1" x14ac:dyDescent="0.25">
      <c r="B7804" s="4">
        <v>584647230</v>
      </c>
      <c r="C7804" s="4" t="s">
        <v>277</v>
      </c>
      <c r="D7804" s="4">
        <v>65</v>
      </c>
      <c r="E7804" s="4">
        <v>57</v>
      </c>
      <c r="G7804">
        <f t="shared" si="121"/>
        <v>512</v>
      </c>
    </row>
    <row r="7805" spans="2:7" ht="15" hidden="1" x14ac:dyDescent="0.25">
      <c r="B7805" s="4">
        <v>584647248</v>
      </c>
      <c r="C7805" s="4" t="s">
        <v>272</v>
      </c>
      <c r="D7805" s="4">
        <v>254</v>
      </c>
      <c r="E7805" s="4">
        <v>263</v>
      </c>
      <c r="G7805">
        <f t="shared" si="121"/>
        <v>2160</v>
      </c>
    </row>
    <row r="7806" spans="2:7" ht="15" hidden="1" x14ac:dyDescent="0.25">
      <c r="B7806" s="4">
        <v>584647301</v>
      </c>
      <c r="C7806" s="4" t="s">
        <v>273</v>
      </c>
      <c r="D7806" s="4">
        <v>3748</v>
      </c>
      <c r="E7806" s="4">
        <v>317</v>
      </c>
      <c r="G7806">
        <f t="shared" si="121"/>
        <v>2592</v>
      </c>
    </row>
    <row r="7807" spans="2:7" ht="15" hidden="1" x14ac:dyDescent="0.25">
      <c r="B7807" s="4">
        <v>584647345</v>
      </c>
      <c r="C7807" s="4" t="s">
        <v>279</v>
      </c>
      <c r="D7807" s="4">
        <v>66</v>
      </c>
      <c r="E7807" s="4">
        <v>239</v>
      </c>
      <c r="G7807">
        <f t="shared" si="121"/>
        <v>1968</v>
      </c>
    </row>
    <row r="7808" spans="2:7" ht="15" hidden="1" x14ac:dyDescent="0.25">
      <c r="B7808" s="4">
        <v>584647348</v>
      </c>
      <c r="C7808" s="4" t="s">
        <v>272</v>
      </c>
      <c r="D7808" s="4">
        <v>255</v>
      </c>
      <c r="E7808" s="4">
        <v>265</v>
      </c>
      <c r="G7808">
        <f t="shared" si="121"/>
        <v>2176</v>
      </c>
    </row>
    <row r="7809" spans="2:7" ht="15" hidden="1" x14ac:dyDescent="0.25">
      <c r="B7809" s="4">
        <v>584647368</v>
      </c>
      <c r="C7809" s="4" t="s">
        <v>277</v>
      </c>
      <c r="D7809" s="4">
        <v>66</v>
      </c>
      <c r="E7809" s="4">
        <v>61</v>
      </c>
      <c r="G7809">
        <f t="shared" si="121"/>
        <v>544</v>
      </c>
    </row>
    <row r="7810" spans="2:7" ht="15" hidden="1" x14ac:dyDescent="0.25">
      <c r="B7810" s="4">
        <v>584647448</v>
      </c>
      <c r="C7810" s="4" t="s">
        <v>272</v>
      </c>
      <c r="D7810" s="4">
        <v>256</v>
      </c>
      <c r="E7810" s="4">
        <v>267</v>
      </c>
      <c r="G7810">
        <f t="shared" si="121"/>
        <v>2192</v>
      </c>
    </row>
    <row r="7811" spans="2:7" ht="15" hidden="1" x14ac:dyDescent="0.25">
      <c r="B7811" s="4">
        <v>584647506</v>
      </c>
      <c r="C7811" s="4" t="s">
        <v>279</v>
      </c>
      <c r="D7811" s="4">
        <v>67</v>
      </c>
      <c r="E7811" s="4">
        <v>251</v>
      </c>
      <c r="G7811">
        <f t="shared" si="121"/>
        <v>2064</v>
      </c>
    </row>
    <row r="7812" spans="2:7" ht="15" hidden="1" x14ac:dyDescent="0.25">
      <c r="B7812" s="4">
        <v>584647529</v>
      </c>
      <c r="C7812" s="4" t="s">
        <v>277</v>
      </c>
      <c r="D7812" s="4">
        <v>67</v>
      </c>
      <c r="E7812" s="4">
        <v>55</v>
      </c>
      <c r="G7812">
        <f t="shared" ref="G7812:G7875" si="122">(E7812+7)*8</f>
        <v>496</v>
      </c>
    </row>
    <row r="7813" spans="2:7" ht="15" hidden="1" x14ac:dyDescent="0.25">
      <c r="B7813" s="4">
        <v>584647548</v>
      </c>
      <c r="C7813" s="4" t="s">
        <v>272</v>
      </c>
      <c r="D7813" s="4">
        <v>257</v>
      </c>
      <c r="E7813" s="4">
        <v>269</v>
      </c>
      <c r="G7813">
        <f t="shared" si="122"/>
        <v>2208</v>
      </c>
    </row>
    <row r="7814" spans="2:7" ht="15" hidden="1" x14ac:dyDescent="0.25">
      <c r="B7814" s="4">
        <v>584647648</v>
      </c>
      <c r="C7814" s="4" t="s">
        <v>272</v>
      </c>
      <c r="D7814" s="4">
        <v>258</v>
      </c>
      <c r="E7814" s="4">
        <v>265</v>
      </c>
      <c r="G7814">
        <f t="shared" si="122"/>
        <v>2176</v>
      </c>
    </row>
    <row r="7815" spans="2:7" ht="15" hidden="1" x14ac:dyDescent="0.25">
      <c r="B7815" s="4">
        <v>584647736</v>
      </c>
      <c r="C7815" s="4" t="s">
        <v>279</v>
      </c>
      <c r="D7815" s="4">
        <v>68</v>
      </c>
      <c r="E7815" s="4">
        <v>275</v>
      </c>
      <c r="G7815">
        <f t="shared" si="122"/>
        <v>2256</v>
      </c>
    </row>
    <row r="7816" spans="2:7" ht="15" hidden="1" x14ac:dyDescent="0.25">
      <c r="B7816" s="4">
        <v>584647744</v>
      </c>
      <c r="C7816" s="4" t="s">
        <v>269</v>
      </c>
      <c r="D7816" s="4">
        <v>1623</v>
      </c>
      <c r="E7816" s="4">
        <v>57</v>
      </c>
      <c r="G7816">
        <f t="shared" si="122"/>
        <v>512</v>
      </c>
    </row>
    <row r="7817" spans="2:7" ht="15" x14ac:dyDescent="0.25">
      <c r="B7817" s="4">
        <v>584647748</v>
      </c>
      <c r="C7817" s="4" t="s">
        <v>270</v>
      </c>
      <c r="D7817" s="4">
        <v>7</v>
      </c>
      <c r="E7817" s="4">
        <v>1160</v>
      </c>
      <c r="G7817">
        <f t="shared" si="122"/>
        <v>9336</v>
      </c>
    </row>
    <row r="7818" spans="2:7" ht="15" x14ac:dyDescent="0.25">
      <c r="B7818" s="4">
        <v>584647748</v>
      </c>
      <c r="C7818" s="4" t="s">
        <v>271</v>
      </c>
      <c r="D7818" s="4">
        <v>7</v>
      </c>
      <c r="E7818" s="4">
        <v>1160</v>
      </c>
      <c r="G7818">
        <f t="shared" si="122"/>
        <v>9336</v>
      </c>
    </row>
    <row r="7819" spans="2:7" ht="15" hidden="1" x14ac:dyDescent="0.25">
      <c r="B7819" s="4">
        <v>584647749</v>
      </c>
      <c r="C7819" s="4" t="s">
        <v>272</v>
      </c>
      <c r="D7819" s="4">
        <v>259</v>
      </c>
      <c r="E7819" s="4">
        <v>265</v>
      </c>
      <c r="G7819">
        <f t="shared" si="122"/>
        <v>2176</v>
      </c>
    </row>
    <row r="7820" spans="2:7" ht="15" hidden="1" x14ac:dyDescent="0.25">
      <c r="B7820" s="4">
        <v>584647759</v>
      </c>
      <c r="C7820" s="4" t="s">
        <v>277</v>
      </c>
      <c r="D7820" s="4">
        <v>68</v>
      </c>
      <c r="E7820" s="4">
        <v>59</v>
      </c>
      <c r="G7820">
        <f t="shared" si="122"/>
        <v>528</v>
      </c>
    </row>
    <row r="7821" spans="2:7" ht="15" hidden="1" x14ac:dyDescent="0.25">
      <c r="B7821" s="4">
        <v>584647848</v>
      </c>
      <c r="C7821" s="4" t="s">
        <v>272</v>
      </c>
      <c r="D7821" s="4">
        <v>260</v>
      </c>
      <c r="E7821" s="4">
        <v>263</v>
      </c>
      <c r="G7821">
        <f t="shared" si="122"/>
        <v>2160</v>
      </c>
    </row>
    <row r="7822" spans="2:7" ht="15" hidden="1" x14ac:dyDescent="0.25">
      <c r="B7822" s="4">
        <v>584647897</v>
      </c>
      <c r="C7822" s="4" t="s">
        <v>279</v>
      </c>
      <c r="D7822" s="4">
        <v>69</v>
      </c>
      <c r="E7822" s="4">
        <v>251</v>
      </c>
      <c r="G7822">
        <f t="shared" si="122"/>
        <v>2064</v>
      </c>
    </row>
    <row r="7823" spans="2:7" ht="15" hidden="1" x14ac:dyDescent="0.25">
      <c r="B7823" s="4">
        <v>584647920</v>
      </c>
      <c r="C7823" s="4" t="s">
        <v>277</v>
      </c>
      <c r="D7823" s="4">
        <v>69</v>
      </c>
      <c r="E7823" s="4">
        <v>59</v>
      </c>
      <c r="G7823">
        <f t="shared" si="122"/>
        <v>528</v>
      </c>
    </row>
    <row r="7824" spans="2:7" ht="15" hidden="1" x14ac:dyDescent="0.25">
      <c r="B7824" s="4">
        <v>584647948</v>
      </c>
      <c r="C7824" s="4" t="s">
        <v>272</v>
      </c>
      <c r="D7824" s="4">
        <v>261</v>
      </c>
      <c r="E7824" s="4">
        <v>263</v>
      </c>
      <c r="G7824">
        <f t="shared" si="122"/>
        <v>2160</v>
      </c>
    </row>
    <row r="7825" spans="2:7" ht="15" hidden="1" x14ac:dyDescent="0.25">
      <c r="B7825" s="4">
        <v>584648048</v>
      </c>
      <c r="C7825" s="4" t="s">
        <v>272</v>
      </c>
      <c r="D7825" s="4">
        <v>262</v>
      </c>
      <c r="E7825" s="4">
        <v>267</v>
      </c>
      <c r="G7825">
        <f t="shared" si="122"/>
        <v>2192</v>
      </c>
    </row>
    <row r="7826" spans="2:7" ht="15" hidden="1" x14ac:dyDescent="0.25">
      <c r="B7826" s="4">
        <v>584648148</v>
      </c>
      <c r="C7826" s="4" t="s">
        <v>272</v>
      </c>
      <c r="D7826" s="4">
        <v>263</v>
      </c>
      <c r="E7826" s="4">
        <v>271</v>
      </c>
      <c r="G7826">
        <f t="shared" si="122"/>
        <v>2224</v>
      </c>
    </row>
    <row r="7827" spans="2:7" ht="15" hidden="1" x14ac:dyDescent="0.25">
      <c r="B7827" s="4">
        <v>584648150</v>
      </c>
      <c r="C7827" s="4" t="s">
        <v>279</v>
      </c>
      <c r="D7827" s="4">
        <v>70</v>
      </c>
      <c r="E7827" s="4">
        <v>259</v>
      </c>
      <c r="G7827">
        <f t="shared" si="122"/>
        <v>2128</v>
      </c>
    </row>
    <row r="7828" spans="2:7" ht="15" hidden="1" x14ac:dyDescent="0.25">
      <c r="B7828" s="4">
        <v>584648173</v>
      </c>
      <c r="C7828" s="4" t="s">
        <v>277</v>
      </c>
      <c r="D7828" s="4">
        <v>70</v>
      </c>
      <c r="E7828" s="4">
        <v>57</v>
      </c>
      <c r="G7828">
        <f t="shared" si="122"/>
        <v>512</v>
      </c>
    </row>
    <row r="7829" spans="2:7" ht="15" hidden="1" x14ac:dyDescent="0.25">
      <c r="B7829" s="4">
        <v>584648248</v>
      </c>
      <c r="C7829" s="4" t="s">
        <v>272</v>
      </c>
      <c r="D7829" s="4">
        <v>264</v>
      </c>
      <c r="E7829" s="4">
        <v>273</v>
      </c>
      <c r="G7829">
        <f t="shared" si="122"/>
        <v>2240</v>
      </c>
    </row>
    <row r="7830" spans="2:7" ht="15" hidden="1" x14ac:dyDescent="0.25">
      <c r="B7830" s="4">
        <v>584648288</v>
      </c>
      <c r="C7830" s="4" t="s">
        <v>279</v>
      </c>
      <c r="D7830" s="4">
        <v>71</v>
      </c>
      <c r="E7830" s="4">
        <v>287</v>
      </c>
      <c r="G7830">
        <f t="shared" si="122"/>
        <v>2352</v>
      </c>
    </row>
    <row r="7831" spans="2:7" ht="15" hidden="1" x14ac:dyDescent="0.25">
      <c r="B7831" s="4">
        <v>584648311</v>
      </c>
      <c r="C7831" s="4" t="s">
        <v>277</v>
      </c>
      <c r="D7831" s="4">
        <v>71</v>
      </c>
      <c r="E7831" s="4">
        <v>59</v>
      </c>
      <c r="G7831">
        <f t="shared" si="122"/>
        <v>528</v>
      </c>
    </row>
    <row r="7832" spans="2:7" ht="15" hidden="1" x14ac:dyDescent="0.25">
      <c r="B7832" s="4">
        <v>584648348</v>
      </c>
      <c r="C7832" s="4" t="s">
        <v>272</v>
      </c>
      <c r="D7832" s="4">
        <v>265</v>
      </c>
      <c r="E7832" s="4">
        <v>263</v>
      </c>
      <c r="G7832">
        <f t="shared" si="122"/>
        <v>2160</v>
      </c>
    </row>
    <row r="7833" spans="2:7" ht="15" hidden="1" x14ac:dyDescent="0.25">
      <c r="B7833" s="4">
        <v>584648448</v>
      </c>
      <c r="C7833" s="4" t="s">
        <v>272</v>
      </c>
      <c r="D7833" s="4">
        <v>266</v>
      </c>
      <c r="E7833" s="4">
        <v>271</v>
      </c>
      <c r="G7833">
        <f t="shared" si="122"/>
        <v>2224</v>
      </c>
    </row>
    <row r="7834" spans="2:7" ht="15" hidden="1" x14ac:dyDescent="0.25">
      <c r="B7834" s="4">
        <v>584648541</v>
      </c>
      <c r="C7834" s="4" t="s">
        <v>279</v>
      </c>
      <c r="D7834" s="4">
        <v>72</v>
      </c>
      <c r="E7834" s="4">
        <v>247</v>
      </c>
      <c r="G7834">
        <f t="shared" si="122"/>
        <v>2032</v>
      </c>
    </row>
    <row r="7835" spans="2:7" ht="15" hidden="1" x14ac:dyDescent="0.25">
      <c r="B7835" s="4">
        <v>584648548</v>
      </c>
      <c r="C7835" s="4" t="s">
        <v>272</v>
      </c>
      <c r="D7835" s="4">
        <v>267</v>
      </c>
      <c r="E7835" s="4">
        <v>267</v>
      </c>
      <c r="G7835">
        <f t="shared" si="122"/>
        <v>2192</v>
      </c>
    </row>
    <row r="7836" spans="2:7" ht="15" hidden="1" x14ac:dyDescent="0.25">
      <c r="B7836" s="4">
        <v>584648564</v>
      </c>
      <c r="C7836" s="4" t="s">
        <v>277</v>
      </c>
      <c r="D7836" s="4">
        <v>72</v>
      </c>
      <c r="E7836" s="4">
        <v>57</v>
      </c>
      <c r="G7836">
        <f t="shared" si="122"/>
        <v>512</v>
      </c>
    </row>
    <row r="7837" spans="2:7" ht="15" hidden="1" x14ac:dyDescent="0.25">
      <c r="B7837" s="4">
        <v>584648648</v>
      </c>
      <c r="C7837" s="4" t="s">
        <v>272</v>
      </c>
      <c r="D7837" s="4">
        <v>268</v>
      </c>
      <c r="E7837" s="4">
        <v>259</v>
      </c>
      <c r="G7837">
        <f t="shared" si="122"/>
        <v>2128</v>
      </c>
    </row>
    <row r="7838" spans="2:7" ht="15" hidden="1" x14ac:dyDescent="0.25">
      <c r="B7838" s="4">
        <v>584648679</v>
      </c>
      <c r="C7838" s="4" t="s">
        <v>279</v>
      </c>
      <c r="D7838" s="4">
        <v>73</v>
      </c>
      <c r="E7838" s="4">
        <v>229</v>
      </c>
      <c r="G7838">
        <f t="shared" si="122"/>
        <v>1888</v>
      </c>
    </row>
    <row r="7839" spans="2:7" ht="15" hidden="1" x14ac:dyDescent="0.25">
      <c r="B7839" s="4">
        <v>584648702</v>
      </c>
      <c r="C7839" s="4" t="s">
        <v>277</v>
      </c>
      <c r="D7839" s="4">
        <v>73</v>
      </c>
      <c r="E7839" s="4">
        <v>59</v>
      </c>
      <c r="G7839">
        <f t="shared" si="122"/>
        <v>528</v>
      </c>
    </row>
    <row r="7840" spans="2:7" ht="15" hidden="1" x14ac:dyDescent="0.25">
      <c r="B7840" s="4">
        <v>584648748</v>
      </c>
      <c r="C7840" s="4" t="s">
        <v>272</v>
      </c>
      <c r="D7840" s="4">
        <v>269</v>
      </c>
      <c r="E7840" s="4">
        <v>263</v>
      </c>
      <c r="G7840">
        <f t="shared" si="122"/>
        <v>2160</v>
      </c>
    </row>
    <row r="7841" spans="2:7" ht="15" hidden="1" x14ac:dyDescent="0.25">
      <c r="B7841" s="4">
        <v>584648848</v>
      </c>
      <c r="C7841" s="4" t="s">
        <v>272</v>
      </c>
      <c r="D7841" s="4">
        <v>270</v>
      </c>
      <c r="E7841" s="4">
        <v>265</v>
      </c>
      <c r="G7841">
        <f t="shared" si="122"/>
        <v>2176</v>
      </c>
    </row>
    <row r="7842" spans="2:7" ht="15" hidden="1" x14ac:dyDescent="0.25">
      <c r="B7842" s="4">
        <v>584648909</v>
      </c>
      <c r="C7842" s="4" t="s">
        <v>279</v>
      </c>
      <c r="D7842" s="4">
        <v>74</v>
      </c>
      <c r="E7842" s="4">
        <v>249</v>
      </c>
      <c r="G7842">
        <f t="shared" si="122"/>
        <v>2048</v>
      </c>
    </row>
    <row r="7843" spans="2:7" ht="15" hidden="1" x14ac:dyDescent="0.25">
      <c r="B7843" s="4">
        <v>584648932</v>
      </c>
      <c r="C7843" s="4" t="s">
        <v>277</v>
      </c>
      <c r="D7843" s="4">
        <v>74</v>
      </c>
      <c r="E7843" s="4">
        <v>57</v>
      </c>
      <c r="G7843">
        <f t="shared" si="122"/>
        <v>512</v>
      </c>
    </row>
    <row r="7844" spans="2:7" ht="15" hidden="1" x14ac:dyDescent="0.25">
      <c r="B7844" s="4">
        <v>584648948</v>
      </c>
      <c r="C7844" s="4" t="s">
        <v>272</v>
      </c>
      <c r="D7844" s="4">
        <v>271</v>
      </c>
      <c r="E7844" s="4">
        <v>263</v>
      </c>
      <c r="G7844">
        <f t="shared" si="122"/>
        <v>2160</v>
      </c>
    </row>
    <row r="7845" spans="2:7" ht="15" hidden="1" x14ac:dyDescent="0.25">
      <c r="B7845" s="4">
        <v>584649048</v>
      </c>
      <c r="C7845" s="4" t="s">
        <v>272</v>
      </c>
      <c r="D7845" s="4">
        <v>272</v>
      </c>
      <c r="E7845" s="4">
        <v>271</v>
      </c>
      <c r="G7845">
        <f t="shared" si="122"/>
        <v>2224</v>
      </c>
    </row>
    <row r="7846" spans="2:7" ht="15" hidden="1" x14ac:dyDescent="0.25">
      <c r="B7846" s="4">
        <v>584649148</v>
      </c>
      <c r="C7846" s="4" t="s">
        <v>272</v>
      </c>
      <c r="D7846" s="4">
        <v>273</v>
      </c>
      <c r="E7846" s="4">
        <v>263</v>
      </c>
      <c r="G7846">
        <f t="shared" si="122"/>
        <v>2160</v>
      </c>
    </row>
    <row r="7847" spans="2:7" ht="15" hidden="1" x14ac:dyDescent="0.25">
      <c r="B7847" s="4">
        <v>584649162</v>
      </c>
      <c r="C7847" s="4" t="s">
        <v>279</v>
      </c>
      <c r="D7847" s="4">
        <v>75</v>
      </c>
      <c r="E7847" s="4">
        <v>253</v>
      </c>
      <c r="G7847">
        <f t="shared" si="122"/>
        <v>2080</v>
      </c>
    </row>
    <row r="7848" spans="2:7" ht="15" hidden="1" x14ac:dyDescent="0.25">
      <c r="B7848" s="4">
        <v>584649185</v>
      </c>
      <c r="C7848" s="4" t="s">
        <v>277</v>
      </c>
      <c r="D7848" s="4">
        <v>75</v>
      </c>
      <c r="E7848" s="4">
        <v>59</v>
      </c>
      <c r="G7848">
        <f t="shared" si="122"/>
        <v>528</v>
      </c>
    </row>
    <row r="7849" spans="2:7" ht="15" hidden="1" x14ac:dyDescent="0.25">
      <c r="B7849" s="4">
        <v>584649248</v>
      </c>
      <c r="C7849" s="4" t="s">
        <v>272</v>
      </c>
      <c r="D7849" s="4">
        <v>274</v>
      </c>
      <c r="E7849" s="4">
        <v>263</v>
      </c>
      <c r="G7849">
        <f t="shared" si="122"/>
        <v>2160</v>
      </c>
    </row>
    <row r="7850" spans="2:7" ht="15" hidden="1" x14ac:dyDescent="0.25">
      <c r="B7850" s="4">
        <v>584649300</v>
      </c>
      <c r="C7850" s="4" t="s">
        <v>279</v>
      </c>
      <c r="D7850" s="4">
        <v>76</v>
      </c>
      <c r="E7850" s="4">
        <v>235</v>
      </c>
      <c r="G7850">
        <f t="shared" si="122"/>
        <v>1936</v>
      </c>
    </row>
    <row r="7851" spans="2:7" ht="15" hidden="1" x14ac:dyDescent="0.25">
      <c r="B7851" s="4">
        <v>584649323</v>
      </c>
      <c r="C7851" s="4" t="s">
        <v>277</v>
      </c>
      <c r="D7851" s="4">
        <v>76</v>
      </c>
      <c r="E7851" s="4">
        <v>59</v>
      </c>
      <c r="G7851">
        <f t="shared" si="122"/>
        <v>528</v>
      </c>
    </row>
    <row r="7852" spans="2:7" ht="15" hidden="1" x14ac:dyDescent="0.25">
      <c r="B7852" s="4">
        <v>584649348</v>
      </c>
      <c r="C7852" s="4" t="s">
        <v>272</v>
      </c>
      <c r="D7852" s="4">
        <v>275</v>
      </c>
      <c r="E7852" s="4">
        <v>277</v>
      </c>
      <c r="G7852">
        <f t="shared" si="122"/>
        <v>2272</v>
      </c>
    </row>
    <row r="7853" spans="2:7" ht="15" hidden="1" x14ac:dyDescent="0.25">
      <c r="B7853" s="4">
        <v>584649402</v>
      </c>
      <c r="C7853" s="4" t="s">
        <v>273</v>
      </c>
      <c r="D7853" s="4">
        <v>5849</v>
      </c>
      <c r="E7853" s="4">
        <v>317</v>
      </c>
      <c r="G7853">
        <f t="shared" si="122"/>
        <v>2592</v>
      </c>
    </row>
    <row r="7854" spans="2:7" ht="15" hidden="1" x14ac:dyDescent="0.25">
      <c r="B7854" s="4">
        <v>584649448</v>
      </c>
      <c r="C7854" s="4" t="s">
        <v>272</v>
      </c>
      <c r="D7854" s="4">
        <v>276</v>
      </c>
      <c r="E7854" s="4">
        <v>265</v>
      </c>
      <c r="G7854">
        <f t="shared" si="122"/>
        <v>2176</v>
      </c>
    </row>
    <row r="7855" spans="2:7" ht="15" hidden="1" x14ac:dyDescent="0.25">
      <c r="B7855" s="4">
        <v>584649544</v>
      </c>
      <c r="C7855" s="4" t="s">
        <v>269</v>
      </c>
      <c r="D7855" s="4">
        <v>1624</v>
      </c>
      <c r="E7855" s="4">
        <v>57</v>
      </c>
      <c r="G7855">
        <f t="shared" si="122"/>
        <v>512</v>
      </c>
    </row>
    <row r="7856" spans="2:7" ht="15" hidden="1" x14ac:dyDescent="0.25">
      <c r="B7856" s="4">
        <v>584649548</v>
      </c>
      <c r="C7856" s="4" t="s">
        <v>272</v>
      </c>
      <c r="D7856" s="4">
        <v>277</v>
      </c>
      <c r="E7856" s="4">
        <v>261</v>
      </c>
      <c r="G7856">
        <f t="shared" si="122"/>
        <v>2144</v>
      </c>
    </row>
    <row r="7857" spans="2:7" ht="15" hidden="1" x14ac:dyDescent="0.25">
      <c r="B7857" s="4">
        <v>584649553</v>
      </c>
      <c r="C7857" s="4" t="s">
        <v>279</v>
      </c>
      <c r="D7857" s="4">
        <v>77</v>
      </c>
      <c r="E7857" s="4">
        <v>245</v>
      </c>
      <c r="G7857">
        <f t="shared" si="122"/>
        <v>2016</v>
      </c>
    </row>
    <row r="7858" spans="2:7" ht="15" hidden="1" x14ac:dyDescent="0.25">
      <c r="B7858" s="4">
        <v>584649576</v>
      </c>
      <c r="C7858" s="4" t="s">
        <v>277</v>
      </c>
      <c r="D7858" s="4">
        <v>77</v>
      </c>
      <c r="E7858" s="4">
        <v>61</v>
      </c>
      <c r="G7858">
        <f t="shared" si="122"/>
        <v>544</v>
      </c>
    </row>
    <row r="7859" spans="2:7" ht="15" hidden="1" x14ac:dyDescent="0.25">
      <c r="B7859" s="4">
        <v>584649648</v>
      </c>
      <c r="C7859" s="4" t="s">
        <v>272</v>
      </c>
      <c r="D7859" s="4">
        <v>278</v>
      </c>
      <c r="E7859" s="4">
        <v>259</v>
      </c>
      <c r="G7859">
        <f t="shared" si="122"/>
        <v>2128</v>
      </c>
    </row>
    <row r="7860" spans="2:7" ht="15" hidden="1" x14ac:dyDescent="0.25">
      <c r="B7860" s="4">
        <v>584649691</v>
      </c>
      <c r="C7860" s="4" t="s">
        <v>279</v>
      </c>
      <c r="D7860" s="4">
        <v>78</v>
      </c>
      <c r="E7860" s="4">
        <v>249</v>
      </c>
      <c r="G7860">
        <f t="shared" si="122"/>
        <v>2048</v>
      </c>
    </row>
    <row r="7861" spans="2:7" ht="15" hidden="1" x14ac:dyDescent="0.25">
      <c r="B7861" s="4">
        <v>584649714</v>
      </c>
      <c r="C7861" s="4" t="s">
        <v>277</v>
      </c>
      <c r="D7861" s="4">
        <v>78</v>
      </c>
      <c r="E7861" s="4">
        <v>53</v>
      </c>
      <c r="G7861">
        <f t="shared" si="122"/>
        <v>480</v>
      </c>
    </row>
    <row r="7862" spans="2:7" ht="15" hidden="1" x14ac:dyDescent="0.25">
      <c r="B7862" s="4">
        <v>584649748</v>
      </c>
      <c r="C7862" s="4" t="s">
        <v>272</v>
      </c>
      <c r="D7862" s="4">
        <v>279</v>
      </c>
      <c r="E7862" s="4">
        <v>265</v>
      </c>
      <c r="G7862">
        <f t="shared" si="122"/>
        <v>2176</v>
      </c>
    </row>
    <row r="7863" spans="2:7" ht="15" hidden="1" x14ac:dyDescent="0.25">
      <c r="B7863" s="4">
        <v>584649829</v>
      </c>
      <c r="C7863" s="4" t="s">
        <v>279</v>
      </c>
      <c r="D7863" s="4">
        <v>79</v>
      </c>
      <c r="E7863" s="4">
        <v>255</v>
      </c>
      <c r="G7863">
        <f t="shared" si="122"/>
        <v>2096</v>
      </c>
    </row>
    <row r="7864" spans="2:7" ht="15" hidden="1" x14ac:dyDescent="0.25">
      <c r="B7864" s="4">
        <v>584649848</v>
      </c>
      <c r="C7864" s="4" t="s">
        <v>272</v>
      </c>
      <c r="D7864" s="4">
        <v>280</v>
      </c>
      <c r="E7864" s="4">
        <v>263</v>
      </c>
      <c r="G7864">
        <f t="shared" si="122"/>
        <v>2160</v>
      </c>
    </row>
    <row r="7865" spans="2:7" ht="15" hidden="1" x14ac:dyDescent="0.25">
      <c r="B7865" s="4">
        <v>584649852</v>
      </c>
      <c r="C7865" s="4" t="s">
        <v>277</v>
      </c>
      <c r="D7865" s="4">
        <v>79</v>
      </c>
      <c r="E7865" s="4">
        <v>57</v>
      </c>
      <c r="G7865">
        <f t="shared" si="122"/>
        <v>512</v>
      </c>
    </row>
    <row r="7866" spans="2:7" ht="15" hidden="1" x14ac:dyDescent="0.25">
      <c r="B7866" s="4">
        <v>584649948</v>
      </c>
      <c r="C7866" s="4" t="s">
        <v>272</v>
      </c>
      <c r="D7866" s="4">
        <v>281</v>
      </c>
      <c r="E7866" s="4">
        <v>279</v>
      </c>
      <c r="G7866">
        <f t="shared" si="122"/>
        <v>2288</v>
      </c>
    </row>
    <row r="7867" spans="2:7" ht="15" hidden="1" x14ac:dyDescent="0.25">
      <c r="B7867" s="4">
        <v>584650048</v>
      </c>
      <c r="C7867" s="4" t="s">
        <v>272</v>
      </c>
      <c r="D7867" s="4">
        <v>282</v>
      </c>
      <c r="E7867" s="4">
        <v>257</v>
      </c>
      <c r="G7867">
        <f t="shared" si="122"/>
        <v>2112</v>
      </c>
    </row>
    <row r="7868" spans="2:7" ht="15" hidden="1" x14ac:dyDescent="0.25">
      <c r="B7868" s="4">
        <v>584650082</v>
      </c>
      <c r="C7868" s="4" t="s">
        <v>279</v>
      </c>
      <c r="D7868" s="4">
        <v>80</v>
      </c>
      <c r="E7868" s="4">
        <v>261</v>
      </c>
      <c r="G7868">
        <f t="shared" si="122"/>
        <v>2144</v>
      </c>
    </row>
    <row r="7869" spans="2:7" ht="15" hidden="1" x14ac:dyDescent="0.25">
      <c r="B7869" s="4">
        <v>584650105</v>
      </c>
      <c r="C7869" s="4" t="s">
        <v>277</v>
      </c>
      <c r="D7869" s="4">
        <v>80</v>
      </c>
      <c r="E7869" s="4">
        <v>57</v>
      </c>
      <c r="G7869">
        <f t="shared" si="122"/>
        <v>512</v>
      </c>
    </row>
    <row r="7870" spans="2:7" ht="15" hidden="1" x14ac:dyDescent="0.25">
      <c r="B7870" s="4">
        <v>584650148</v>
      </c>
      <c r="C7870" s="4" t="s">
        <v>272</v>
      </c>
      <c r="D7870" s="4">
        <v>283</v>
      </c>
      <c r="E7870" s="4">
        <v>273</v>
      </c>
      <c r="G7870">
        <f t="shared" si="122"/>
        <v>2240</v>
      </c>
    </row>
    <row r="7871" spans="2:7" ht="15" hidden="1" x14ac:dyDescent="0.25">
      <c r="B7871" s="4">
        <v>584650220</v>
      </c>
      <c r="C7871" s="4" t="s">
        <v>279</v>
      </c>
      <c r="D7871" s="4">
        <v>81</v>
      </c>
      <c r="E7871" s="4">
        <v>253</v>
      </c>
      <c r="G7871">
        <f t="shared" si="122"/>
        <v>2080</v>
      </c>
    </row>
    <row r="7872" spans="2:7" ht="15" hidden="1" x14ac:dyDescent="0.25">
      <c r="B7872" s="4">
        <v>584650243</v>
      </c>
      <c r="C7872" s="4" t="s">
        <v>277</v>
      </c>
      <c r="D7872" s="4">
        <v>81</v>
      </c>
      <c r="E7872" s="4">
        <v>57</v>
      </c>
      <c r="G7872">
        <f t="shared" si="122"/>
        <v>512</v>
      </c>
    </row>
    <row r="7873" spans="2:7" ht="15" hidden="1" x14ac:dyDescent="0.25">
      <c r="B7873" s="4">
        <v>584650248</v>
      </c>
      <c r="C7873" s="4" t="s">
        <v>272</v>
      </c>
      <c r="D7873" s="4">
        <v>284</v>
      </c>
      <c r="E7873" s="4">
        <v>263</v>
      </c>
      <c r="G7873">
        <f t="shared" si="122"/>
        <v>2160</v>
      </c>
    </row>
    <row r="7874" spans="2:7" ht="15" hidden="1" x14ac:dyDescent="0.25">
      <c r="B7874" s="4">
        <v>584650348</v>
      </c>
      <c r="C7874" s="4" t="s">
        <v>272</v>
      </c>
      <c r="D7874" s="4">
        <v>285</v>
      </c>
      <c r="E7874" s="4">
        <v>259</v>
      </c>
      <c r="G7874">
        <f t="shared" si="122"/>
        <v>2128</v>
      </c>
    </row>
    <row r="7875" spans="2:7" ht="15" hidden="1" x14ac:dyDescent="0.25">
      <c r="B7875" s="4">
        <v>584650448</v>
      </c>
      <c r="C7875" s="4" t="s">
        <v>272</v>
      </c>
      <c r="D7875" s="4">
        <v>286</v>
      </c>
      <c r="E7875" s="4">
        <v>267</v>
      </c>
      <c r="G7875">
        <f t="shared" si="122"/>
        <v>2192</v>
      </c>
    </row>
    <row r="7876" spans="2:7" ht="15" hidden="1" x14ac:dyDescent="0.25">
      <c r="B7876" s="4">
        <v>584650473</v>
      </c>
      <c r="C7876" s="4" t="s">
        <v>279</v>
      </c>
      <c r="D7876" s="4">
        <v>82</v>
      </c>
      <c r="E7876" s="4">
        <v>229</v>
      </c>
      <c r="G7876">
        <f t="shared" ref="G7876:G7939" si="123">(E7876+7)*8</f>
        <v>1888</v>
      </c>
    </row>
    <row r="7877" spans="2:7" ht="15" hidden="1" x14ac:dyDescent="0.25">
      <c r="B7877" s="4">
        <v>584650496</v>
      </c>
      <c r="C7877" s="4" t="s">
        <v>277</v>
      </c>
      <c r="D7877" s="4">
        <v>82</v>
      </c>
      <c r="E7877" s="4">
        <v>59</v>
      </c>
      <c r="G7877">
        <f t="shared" si="123"/>
        <v>528</v>
      </c>
    </row>
    <row r="7878" spans="2:7" ht="15" hidden="1" x14ac:dyDescent="0.25">
      <c r="B7878" s="4">
        <v>584650548</v>
      </c>
      <c r="C7878" s="4" t="s">
        <v>272</v>
      </c>
      <c r="D7878" s="4">
        <v>287</v>
      </c>
      <c r="E7878" s="4">
        <v>269</v>
      </c>
      <c r="G7878">
        <f t="shared" si="123"/>
        <v>2208</v>
      </c>
    </row>
    <row r="7879" spans="2:7" ht="15" hidden="1" x14ac:dyDescent="0.25">
      <c r="B7879" s="4">
        <v>584650634</v>
      </c>
      <c r="C7879" s="4" t="s">
        <v>279</v>
      </c>
      <c r="D7879" s="4">
        <v>83</v>
      </c>
      <c r="E7879" s="4">
        <v>279</v>
      </c>
      <c r="G7879">
        <f t="shared" si="123"/>
        <v>2288</v>
      </c>
    </row>
    <row r="7880" spans="2:7" ht="15" hidden="1" x14ac:dyDescent="0.25">
      <c r="B7880" s="4">
        <v>584650648</v>
      </c>
      <c r="C7880" s="4" t="s">
        <v>272</v>
      </c>
      <c r="D7880" s="4">
        <v>288</v>
      </c>
      <c r="E7880" s="4">
        <v>267</v>
      </c>
      <c r="G7880">
        <f t="shared" si="123"/>
        <v>2192</v>
      </c>
    </row>
    <row r="7881" spans="2:7" ht="15" hidden="1" x14ac:dyDescent="0.25">
      <c r="B7881" s="4">
        <v>584650657</v>
      </c>
      <c r="C7881" s="4" t="s">
        <v>277</v>
      </c>
      <c r="D7881" s="4">
        <v>83</v>
      </c>
      <c r="E7881" s="4">
        <v>59</v>
      </c>
      <c r="G7881">
        <f t="shared" si="123"/>
        <v>528</v>
      </c>
    </row>
    <row r="7882" spans="2:7" ht="15" hidden="1" x14ac:dyDescent="0.25">
      <c r="B7882" s="4">
        <v>584650748</v>
      </c>
      <c r="C7882" s="4" t="s">
        <v>272</v>
      </c>
      <c r="D7882" s="4">
        <v>289</v>
      </c>
      <c r="E7882" s="4">
        <v>261</v>
      </c>
      <c r="G7882">
        <f t="shared" si="123"/>
        <v>2144</v>
      </c>
    </row>
    <row r="7883" spans="2:7" ht="15" hidden="1" x14ac:dyDescent="0.25">
      <c r="B7883" s="4">
        <v>584650848</v>
      </c>
      <c r="C7883" s="4" t="s">
        <v>272</v>
      </c>
      <c r="D7883" s="4">
        <v>290</v>
      </c>
      <c r="E7883" s="4">
        <v>265</v>
      </c>
      <c r="G7883">
        <f t="shared" si="123"/>
        <v>2176</v>
      </c>
    </row>
    <row r="7884" spans="2:7" ht="15" hidden="1" x14ac:dyDescent="0.25">
      <c r="B7884" s="4">
        <v>584650887</v>
      </c>
      <c r="C7884" s="4" t="s">
        <v>279</v>
      </c>
      <c r="D7884" s="4">
        <v>84</v>
      </c>
      <c r="E7884" s="4">
        <v>255</v>
      </c>
      <c r="G7884">
        <f t="shared" si="123"/>
        <v>2096</v>
      </c>
    </row>
    <row r="7885" spans="2:7" ht="15" hidden="1" x14ac:dyDescent="0.25">
      <c r="B7885" s="4">
        <v>584650910</v>
      </c>
      <c r="C7885" s="4" t="s">
        <v>277</v>
      </c>
      <c r="D7885" s="4">
        <v>84</v>
      </c>
      <c r="E7885" s="4">
        <v>55</v>
      </c>
      <c r="G7885">
        <f t="shared" si="123"/>
        <v>496</v>
      </c>
    </row>
    <row r="7886" spans="2:7" ht="15" hidden="1" x14ac:dyDescent="0.25">
      <c r="B7886" s="4">
        <v>584650948</v>
      </c>
      <c r="C7886" s="4" t="s">
        <v>272</v>
      </c>
      <c r="D7886" s="4">
        <v>291</v>
      </c>
      <c r="E7886" s="4">
        <v>265</v>
      </c>
      <c r="G7886">
        <f t="shared" si="123"/>
        <v>2176</v>
      </c>
    </row>
    <row r="7887" spans="2:7" ht="15" hidden="1" x14ac:dyDescent="0.25">
      <c r="B7887" s="4">
        <v>584651025</v>
      </c>
      <c r="C7887" s="4" t="s">
        <v>279</v>
      </c>
      <c r="D7887" s="4">
        <v>85</v>
      </c>
      <c r="E7887" s="4">
        <v>273</v>
      </c>
      <c r="G7887">
        <f t="shared" si="123"/>
        <v>2240</v>
      </c>
    </row>
    <row r="7888" spans="2:7" ht="15" hidden="1" x14ac:dyDescent="0.25">
      <c r="B7888" s="4">
        <v>584651048</v>
      </c>
      <c r="C7888" s="4" t="s">
        <v>277</v>
      </c>
      <c r="D7888" s="4">
        <v>85</v>
      </c>
      <c r="E7888" s="4">
        <v>61</v>
      </c>
      <c r="G7888">
        <f t="shared" si="123"/>
        <v>544</v>
      </c>
    </row>
    <row r="7889" spans="2:7" ht="15" hidden="1" x14ac:dyDescent="0.25">
      <c r="B7889" s="4">
        <v>584651048</v>
      </c>
      <c r="C7889" s="4" t="s">
        <v>272</v>
      </c>
      <c r="D7889" s="4">
        <v>292</v>
      </c>
      <c r="E7889" s="4">
        <v>263</v>
      </c>
      <c r="G7889">
        <f t="shared" si="123"/>
        <v>2160</v>
      </c>
    </row>
    <row r="7890" spans="2:7" ht="15" hidden="1" x14ac:dyDescent="0.25">
      <c r="B7890" s="4">
        <v>584651148</v>
      </c>
      <c r="C7890" s="4" t="s">
        <v>272</v>
      </c>
      <c r="D7890" s="4">
        <v>293</v>
      </c>
      <c r="E7890" s="4">
        <v>259</v>
      </c>
      <c r="G7890">
        <f t="shared" si="123"/>
        <v>2128</v>
      </c>
    </row>
    <row r="7891" spans="2:7" ht="15" hidden="1" x14ac:dyDescent="0.25">
      <c r="B7891" s="4">
        <v>584651248</v>
      </c>
      <c r="C7891" s="4" t="s">
        <v>272</v>
      </c>
      <c r="D7891" s="4">
        <v>294</v>
      </c>
      <c r="E7891" s="4">
        <v>261</v>
      </c>
      <c r="G7891">
        <f t="shared" si="123"/>
        <v>2144</v>
      </c>
    </row>
    <row r="7892" spans="2:7" ht="15" hidden="1" x14ac:dyDescent="0.25">
      <c r="B7892" s="4">
        <v>584651278</v>
      </c>
      <c r="C7892" s="4" t="s">
        <v>279</v>
      </c>
      <c r="D7892" s="4">
        <v>86</v>
      </c>
      <c r="E7892" s="4">
        <v>247</v>
      </c>
      <c r="G7892">
        <f t="shared" si="123"/>
        <v>2032</v>
      </c>
    </row>
    <row r="7893" spans="2:7" ht="15" hidden="1" x14ac:dyDescent="0.25">
      <c r="B7893" s="4">
        <v>584651301</v>
      </c>
      <c r="C7893" s="4" t="s">
        <v>277</v>
      </c>
      <c r="D7893" s="4">
        <v>86</v>
      </c>
      <c r="E7893" s="4">
        <v>59</v>
      </c>
      <c r="G7893">
        <f t="shared" si="123"/>
        <v>528</v>
      </c>
    </row>
    <row r="7894" spans="2:7" ht="15" hidden="1" x14ac:dyDescent="0.25">
      <c r="B7894" s="4">
        <v>584651344</v>
      </c>
      <c r="C7894" s="4" t="s">
        <v>269</v>
      </c>
      <c r="D7894" s="4">
        <v>1625</v>
      </c>
      <c r="E7894" s="4">
        <v>57</v>
      </c>
      <c r="G7894">
        <f t="shared" si="123"/>
        <v>512</v>
      </c>
    </row>
    <row r="7895" spans="2:7" ht="15" hidden="1" x14ac:dyDescent="0.25">
      <c r="B7895" s="4">
        <v>584651348</v>
      </c>
      <c r="C7895" s="4" t="s">
        <v>272</v>
      </c>
      <c r="D7895" s="4">
        <v>295</v>
      </c>
      <c r="E7895" s="4">
        <v>261</v>
      </c>
      <c r="G7895">
        <f t="shared" si="123"/>
        <v>2144</v>
      </c>
    </row>
    <row r="7896" spans="2:7" ht="15" hidden="1" x14ac:dyDescent="0.25">
      <c r="B7896" s="4">
        <v>584651416</v>
      </c>
      <c r="C7896" s="4" t="s">
        <v>279</v>
      </c>
      <c r="D7896" s="4">
        <v>87</v>
      </c>
      <c r="E7896" s="4">
        <v>239</v>
      </c>
      <c r="G7896">
        <f t="shared" si="123"/>
        <v>1968</v>
      </c>
    </row>
    <row r="7897" spans="2:7" ht="15" hidden="1" x14ac:dyDescent="0.25">
      <c r="B7897" s="4">
        <v>584651439</v>
      </c>
      <c r="C7897" s="4" t="s">
        <v>277</v>
      </c>
      <c r="D7897" s="4">
        <v>87</v>
      </c>
      <c r="E7897" s="4">
        <v>59</v>
      </c>
      <c r="G7897">
        <f t="shared" si="123"/>
        <v>528</v>
      </c>
    </row>
    <row r="7898" spans="2:7" ht="15" hidden="1" x14ac:dyDescent="0.25">
      <c r="B7898" s="4">
        <v>584651448</v>
      </c>
      <c r="C7898" s="4" t="s">
        <v>272</v>
      </c>
      <c r="D7898" s="4">
        <v>296</v>
      </c>
      <c r="E7898" s="4">
        <v>261</v>
      </c>
      <c r="G7898">
        <f t="shared" si="123"/>
        <v>2144</v>
      </c>
    </row>
    <row r="7899" spans="2:7" ht="15" hidden="1" x14ac:dyDescent="0.25">
      <c r="B7899" s="4">
        <v>584651503</v>
      </c>
      <c r="C7899" s="4" t="s">
        <v>273</v>
      </c>
      <c r="D7899" s="4">
        <v>7950</v>
      </c>
      <c r="E7899" s="4">
        <v>317</v>
      </c>
      <c r="G7899">
        <f t="shared" si="123"/>
        <v>2592</v>
      </c>
    </row>
    <row r="7900" spans="2:7" ht="15" hidden="1" x14ac:dyDescent="0.25">
      <c r="B7900" s="4">
        <v>584651548</v>
      </c>
      <c r="C7900" s="4" t="s">
        <v>272</v>
      </c>
      <c r="D7900" s="4">
        <v>297</v>
      </c>
      <c r="E7900" s="4">
        <v>269</v>
      </c>
      <c r="G7900">
        <f t="shared" si="123"/>
        <v>2208</v>
      </c>
    </row>
    <row r="7901" spans="2:7" ht="15" hidden="1" x14ac:dyDescent="0.25">
      <c r="B7901" s="4">
        <v>584651646</v>
      </c>
      <c r="C7901" s="4" t="s">
        <v>279</v>
      </c>
      <c r="D7901" s="4">
        <v>88</v>
      </c>
      <c r="E7901" s="4">
        <v>255</v>
      </c>
      <c r="G7901">
        <f t="shared" si="123"/>
        <v>2096</v>
      </c>
    </row>
    <row r="7902" spans="2:7" ht="15" hidden="1" x14ac:dyDescent="0.25">
      <c r="B7902" s="4">
        <v>584651648</v>
      </c>
      <c r="C7902" s="4" t="s">
        <v>272</v>
      </c>
      <c r="D7902" s="4">
        <v>298</v>
      </c>
      <c r="E7902" s="4">
        <v>273</v>
      </c>
      <c r="G7902">
        <f t="shared" si="123"/>
        <v>2240</v>
      </c>
    </row>
    <row r="7903" spans="2:7" ht="15" hidden="1" x14ac:dyDescent="0.25">
      <c r="B7903" s="4">
        <v>584651669</v>
      </c>
      <c r="C7903" s="4" t="s">
        <v>277</v>
      </c>
      <c r="D7903" s="4">
        <v>88</v>
      </c>
      <c r="E7903" s="4">
        <v>55</v>
      </c>
      <c r="G7903">
        <f t="shared" si="123"/>
        <v>496</v>
      </c>
    </row>
    <row r="7904" spans="2:7" ht="15" hidden="1" x14ac:dyDescent="0.25">
      <c r="B7904" s="4">
        <v>584651748</v>
      </c>
      <c r="C7904" s="4" t="s">
        <v>272</v>
      </c>
      <c r="D7904" s="4">
        <v>299</v>
      </c>
      <c r="E7904" s="4">
        <v>267</v>
      </c>
      <c r="G7904">
        <f t="shared" si="123"/>
        <v>2192</v>
      </c>
    </row>
    <row r="7905" spans="2:7" ht="15" hidden="1" x14ac:dyDescent="0.25">
      <c r="B7905" s="4">
        <v>584651784</v>
      </c>
      <c r="C7905" s="4" t="s">
        <v>279</v>
      </c>
      <c r="D7905" s="4">
        <v>89</v>
      </c>
      <c r="E7905" s="4">
        <v>259</v>
      </c>
      <c r="G7905">
        <f t="shared" si="123"/>
        <v>2128</v>
      </c>
    </row>
    <row r="7906" spans="2:7" ht="15" hidden="1" x14ac:dyDescent="0.25">
      <c r="B7906" s="4">
        <v>584651807</v>
      </c>
      <c r="C7906" s="4" t="s">
        <v>277</v>
      </c>
      <c r="D7906" s="4">
        <v>89</v>
      </c>
      <c r="E7906" s="4">
        <v>57</v>
      </c>
      <c r="G7906">
        <f t="shared" si="123"/>
        <v>512</v>
      </c>
    </row>
    <row r="7907" spans="2:7" ht="15" hidden="1" x14ac:dyDescent="0.25">
      <c r="B7907" s="4">
        <v>584651848</v>
      </c>
      <c r="C7907" s="4" t="s">
        <v>272</v>
      </c>
      <c r="D7907" s="4">
        <v>300</v>
      </c>
      <c r="E7907" s="4">
        <v>261</v>
      </c>
      <c r="G7907">
        <f t="shared" si="123"/>
        <v>2144</v>
      </c>
    </row>
    <row r="7908" spans="2:7" ht="15" hidden="1" x14ac:dyDescent="0.25">
      <c r="B7908" s="4">
        <v>584651948</v>
      </c>
      <c r="C7908" s="4" t="s">
        <v>272</v>
      </c>
      <c r="D7908" s="4">
        <v>301</v>
      </c>
      <c r="E7908" s="4">
        <v>257</v>
      </c>
      <c r="G7908">
        <f t="shared" si="123"/>
        <v>2112</v>
      </c>
    </row>
    <row r="7909" spans="2:7" ht="15" hidden="1" x14ac:dyDescent="0.25">
      <c r="B7909" s="4">
        <v>584652037</v>
      </c>
      <c r="C7909" s="4" t="s">
        <v>279</v>
      </c>
      <c r="D7909" s="4">
        <v>90</v>
      </c>
      <c r="E7909" s="4">
        <v>273</v>
      </c>
      <c r="G7909">
        <f t="shared" si="123"/>
        <v>2240</v>
      </c>
    </row>
    <row r="7910" spans="2:7" ht="15" hidden="1" x14ac:dyDescent="0.25">
      <c r="B7910" s="4">
        <v>584652048</v>
      </c>
      <c r="C7910" s="4" t="s">
        <v>272</v>
      </c>
      <c r="D7910" s="4">
        <v>302</v>
      </c>
      <c r="E7910" s="4">
        <v>263</v>
      </c>
      <c r="G7910">
        <f t="shared" si="123"/>
        <v>2160</v>
      </c>
    </row>
    <row r="7911" spans="2:7" ht="15" hidden="1" x14ac:dyDescent="0.25">
      <c r="B7911" s="4">
        <v>584652060</v>
      </c>
      <c r="C7911" s="4" t="s">
        <v>277</v>
      </c>
      <c r="D7911" s="4">
        <v>90</v>
      </c>
      <c r="E7911" s="4">
        <v>57</v>
      </c>
      <c r="G7911">
        <f t="shared" si="123"/>
        <v>512</v>
      </c>
    </row>
    <row r="7912" spans="2:7" ht="15" hidden="1" x14ac:dyDescent="0.25">
      <c r="B7912" s="4">
        <v>584652148</v>
      </c>
      <c r="C7912" s="4" t="s">
        <v>272</v>
      </c>
      <c r="D7912" s="4">
        <v>303</v>
      </c>
      <c r="E7912" s="4">
        <v>261</v>
      </c>
      <c r="G7912">
        <f t="shared" si="123"/>
        <v>2144</v>
      </c>
    </row>
    <row r="7913" spans="2:7" ht="15" hidden="1" x14ac:dyDescent="0.25">
      <c r="B7913" s="4">
        <v>584652175</v>
      </c>
      <c r="C7913" s="4" t="s">
        <v>279</v>
      </c>
      <c r="D7913" s="4">
        <v>91</v>
      </c>
      <c r="E7913" s="4">
        <v>257</v>
      </c>
      <c r="G7913">
        <f t="shared" si="123"/>
        <v>2112</v>
      </c>
    </row>
    <row r="7914" spans="2:7" ht="15" hidden="1" x14ac:dyDescent="0.25">
      <c r="B7914" s="4">
        <v>584652198</v>
      </c>
      <c r="C7914" s="4" t="s">
        <v>277</v>
      </c>
      <c r="D7914" s="4">
        <v>91</v>
      </c>
      <c r="E7914" s="4">
        <v>61</v>
      </c>
      <c r="G7914">
        <f t="shared" si="123"/>
        <v>544</v>
      </c>
    </row>
    <row r="7915" spans="2:7" ht="15" hidden="1" x14ac:dyDescent="0.25">
      <c r="B7915" s="4">
        <v>584652248</v>
      </c>
      <c r="C7915" s="4" t="s">
        <v>272</v>
      </c>
      <c r="D7915" s="4">
        <v>304</v>
      </c>
      <c r="E7915" s="4">
        <v>267</v>
      </c>
      <c r="G7915">
        <f t="shared" si="123"/>
        <v>2192</v>
      </c>
    </row>
    <row r="7916" spans="2:7" ht="15" hidden="1" x14ac:dyDescent="0.25">
      <c r="B7916" s="4">
        <v>584652348</v>
      </c>
      <c r="C7916" s="4" t="s">
        <v>272</v>
      </c>
      <c r="D7916" s="4">
        <v>305</v>
      </c>
      <c r="E7916" s="4">
        <v>257</v>
      </c>
      <c r="G7916">
        <f t="shared" si="123"/>
        <v>2112</v>
      </c>
    </row>
    <row r="7917" spans="2:7" ht="15" hidden="1" x14ac:dyDescent="0.25">
      <c r="B7917" s="4">
        <v>584652428</v>
      </c>
      <c r="C7917" s="4" t="s">
        <v>279</v>
      </c>
      <c r="D7917" s="4">
        <v>92</v>
      </c>
      <c r="E7917" s="4">
        <v>269</v>
      </c>
      <c r="G7917">
        <f t="shared" si="123"/>
        <v>2208</v>
      </c>
    </row>
    <row r="7918" spans="2:7" ht="15" hidden="1" x14ac:dyDescent="0.25">
      <c r="B7918" s="4">
        <v>584652448</v>
      </c>
      <c r="C7918" s="4" t="s">
        <v>272</v>
      </c>
      <c r="D7918" s="4">
        <v>306</v>
      </c>
      <c r="E7918" s="4">
        <v>269</v>
      </c>
      <c r="G7918">
        <f t="shared" si="123"/>
        <v>2208</v>
      </c>
    </row>
    <row r="7919" spans="2:7" ht="15" hidden="1" x14ac:dyDescent="0.25">
      <c r="B7919" s="4">
        <v>584652451</v>
      </c>
      <c r="C7919" s="4" t="s">
        <v>277</v>
      </c>
      <c r="D7919" s="4">
        <v>92</v>
      </c>
      <c r="E7919" s="4">
        <v>57</v>
      </c>
      <c r="G7919">
        <f t="shared" si="123"/>
        <v>512</v>
      </c>
    </row>
    <row r="7920" spans="2:7" ht="15" hidden="1" x14ac:dyDescent="0.25">
      <c r="B7920" s="4">
        <v>584652548</v>
      </c>
      <c r="C7920" s="4" t="s">
        <v>272</v>
      </c>
      <c r="D7920" s="4">
        <v>307</v>
      </c>
      <c r="E7920" s="4">
        <v>261</v>
      </c>
      <c r="G7920">
        <f t="shared" si="123"/>
        <v>2144</v>
      </c>
    </row>
    <row r="7921" spans="2:7" ht="15" hidden="1" x14ac:dyDescent="0.25">
      <c r="B7921" s="4">
        <v>584652566</v>
      </c>
      <c r="C7921" s="4" t="s">
        <v>279</v>
      </c>
      <c r="D7921" s="4">
        <v>93</v>
      </c>
      <c r="E7921" s="4">
        <v>257</v>
      </c>
      <c r="G7921">
        <f t="shared" si="123"/>
        <v>2112</v>
      </c>
    </row>
    <row r="7922" spans="2:7" ht="15" hidden="1" x14ac:dyDescent="0.25">
      <c r="B7922" s="4">
        <v>584652589</v>
      </c>
      <c r="C7922" s="4" t="s">
        <v>277</v>
      </c>
      <c r="D7922" s="4">
        <v>93</v>
      </c>
      <c r="E7922" s="4">
        <v>59</v>
      </c>
      <c r="G7922">
        <f t="shared" si="123"/>
        <v>528</v>
      </c>
    </row>
    <row r="7923" spans="2:7" ht="15" hidden="1" x14ac:dyDescent="0.25">
      <c r="B7923" s="4">
        <v>584652648</v>
      </c>
      <c r="C7923" s="4" t="s">
        <v>272</v>
      </c>
      <c r="D7923" s="4">
        <v>308</v>
      </c>
      <c r="E7923" s="4">
        <v>263</v>
      </c>
      <c r="G7923">
        <f t="shared" si="123"/>
        <v>2160</v>
      </c>
    </row>
    <row r="7924" spans="2:7" ht="15" hidden="1" x14ac:dyDescent="0.25">
      <c r="B7924" s="4">
        <v>584652748</v>
      </c>
      <c r="C7924" s="4" t="s">
        <v>272</v>
      </c>
      <c r="D7924" s="4">
        <v>309</v>
      </c>
      <c r="E7924" s="4">
        <v>269</v>
      </c>
      <c r="G7924">
        <f t="shared" si="123"/>
        <v>2208</v>
      </c>
    </row>
    <row r="7925" spans="2:7" ht="15" hidden="1" x14ac:dyDescent="0.25">
      <c r="B7925" s="4">
        <v>584652796</v>
      </c>
      <c r="C7925" s="4" t="s">
        <v>279</v>
      </c>
      <c r="D7925" s="4">
        <v>94</v>
      </c>
      <c r="E7925" s="4">
        <v>249</v>
      </c>
      <c r="G7925">
        <f t="shared" si="123"/>
        <v>2048</v>
      </c>
    </row>
    <row r="7926" spans="2:7" ht="15" hidden="1" x14ac:dyDescent="0.25">
      <c r="B7926" s="4">
        <v>584652819</v>
      </c>
      <c r="C7926" s="4" t="s">
        <v>277</v>
      </c>
      <c r="D7926" s="4">
        <v>94</v>
      </c>
      <c r="E7926" s="4">
        <v>59</v>
      </c>
      <c r="G7926">
        <f t="shared" si="123"/>
        <v>528</v>
      </c>
    </row>
    <row r="7927" spans="2:7" ht="15" hidden="1" x14ac:dyDescent="0.25">
      <c r="B7927" s="4">
        <v>584652848</v>
      </c>
      <c r="C7927" s="4" t="s">
        <v>272</v>
      </c>
      <c r="D7927" s="4">
        <v>310</v>
      </c>
      <c r="E7927" s="4">
        <v>267</v>
      </c>
      <c r="G7927">
        <f t="shared" si="123"/>
        <v>2192</v>
      </c>
    </row>
    <row r="7928" spans="2:7" ht="15" hidden="1" x14ac:dyDescent="0.25">
      <c r="B7928" s="4">
        <v>584652934</v>
      </c>
      <c r="C7928" s="4" t="s">
        <v>279</v>
      </c>
      <c r="D7928" s="4">
        <v>95</v>
      </c>
      <c r="E7928" s="4">
        <v>271</v>
      </c>
      <c r="G7928">
        <f t="shared" si="123"/>
        <v>2224</v>
      </c>
    </row>
    <row r="7929" spans="2:7" ht="15" hidden="1" x14ac:dyDescent="0.25">
      <c r="B7929" s="4">
        <v>584652948</v>
      </c>
      <c r="C7929" s="4" t="s">
        <v>272</v>
      </c>
      <c r="D7929" s="4">
        <v>311</v>
      </c>
      <c r="E7929" s="4">
        <v>269</v>
      </c>
      <c r="G7929">
        <f t="shared" si="123"/>
        <v>2208</v>
      </c>
    </row>
    <row r="7930" spans="2:7" ht="15" hidden="1" x14ac:dyDescent="0.25">
      <c r="B7930" s="4">
        <v>584652957</v>
      </c>
      <c r="C7930" s="4" t="s">
        <v>277</v>
      </c>
      <c r="D7930" s="4">
        <v>95</v>
      </c>
      <c r="E7930" s="4">
        <v>59</v>
      </c>
      <c r="G7930">
        <f t="shared" si="123"/>
        <v>528</v>
      </c>
    </row>
    <row r="7931" spans="2:7" ht="15" hidden="1" x14ac:dyDescent="0.25">
      <c r="B7931" s="4">
        <v>584653048</v>
      </c>
      <c r="C7931" s="4" t="s">
        <v>272</v>
      </c>
      <c r="D7931" s="4">
        <v>312</v>
      </c>
      <c r="E7931" s="4">
        <v>281</v>
      </c>
      <c r="G7931">
        <f t="shared" si="123"/>
        <v>2304</v>
      </c>
    </row>
    <row r="7932" spans="2:7" ht="15" hidden="1" x14ac:dyDescent="0.25">
      <c r="B7932" s="4">
        <v>584653144</v>
      </c>
      <c r="C7932" s="4" t="s">
        <v>269</v>
      </c>
      <c r="D7932" s="4">
        <v>1626</v>
      </c>
      <c r="E7932" s="4">
        <v>57</v>
      </c>
      <c r="G7932">
        <f t="shared" si="123"/>
        <v>512</v>
      </c>
    </row>
    <row r="7933" spans="2:7" ht="15" hidden="1" x14ac:dyDescent="0.25">
      <c r="B7933" s="4">
        <v>584653148</v>
      </c>
      <c r="C7933" s="4" t="s">
        <v>272</v>
      </c>
      <c r="D7933" s="4">
        <v>313</v>
      </c>
      <c r="E7933" s="4">
        <v>263</v>
      </c>
      <c r="G7933">
        <f t="shared" si="123"/>
        <v>2160</v>
      </c>
    </row>
    <row r="7934" spans="2:7" ht="15" hidden="1" x14ac:dyDescent="0.25">
      <c r="B7934" s="4">
        <v>584653187</v>
      </c>
      <c r="C7934" s="4" t="s">
        <v>279</v>
      </c>
      <c r="D7934" s="4">
        <v>96</v>
      </c>
      <c r="E7934" s="4">
        <v>279</v>
      </c>
      <c r="G7934">
        <f t="shared" si="123"/>
        <v>2288</v>
      </c>
    </row>
    <row r="7935" spans="2:7" ht="15" hidden="1" x14ac:dyDescent="0.25">
      <c r="B7935" s="4">
        <v>584653210</v>
      </c>
      <c r="C7935" s="4" t="s">
        <v>277</v>
      </c>
      <c r="D7935" s="4">
        <v>96</v>
      </c>
      <c r="E7935" s="4">
        <v>57</v>
      </c>
      <c r="G7935">
        <f t="shared" si="123"/>
        <v>512</v>
      </c>
    </row>
    <row r="7936" spans="2:7" ht="15" hidden="1" x14ac:dyDescent="0.25">
      <c r="B7936" s="4">
        <v>584653248</v>
      </c>
      <c r="C7936" s="4" t="s">
        <v>272</v>
      </c>
      <c r="D7936" s="4">
        <v>314</v>
      </c>
      <c r="E7936" s="4">
        <v>269</v>
      </c>
      <c r="G7936">
        <f t="shared" si="123"/>
        <v>2208</v>
      </c>
    </row>
    <row r="7937" spans="2:7" ht="15" hidden="1" x14ac:dyDescent="0.25">
      <c r="B7937" s="4">
        <v>584653325</v>
      </c>
      <c r="C7937" s="4" t="s">
        <v>279</v>
      </c>
      <c r="D7937" s="4">
        <v>97</v>
      </c>
      <c r="E7937" s="4">
        <v>255</v>
      </c>
      <c r="G7937">
        <f t="shared" si="123"/>
        <v>2096</v>
      </c>
    </row>
    <row r="7938" spans="2:7" ht="15" hidden="1" x14ac:dyDescent="0.25">
      <c r="B7938" s="4">
        <v>584653348</v>
      </c>
      <c r="C7938" s="4" t="s">
        <v>277</v>
      </c>
      <c r="D7938" s="4">
        <v>97</v>
      </c>
      <c r="E7938" s="4">
        <v>59</v>
      </c>
      <c r="G7938">
        <f t="shared" si="123"/>
        <v>528</v>
      </c>
    </row>
    <row r="7939" spans="2:7" ht="15" hidden="1" x14ac:dyDescent="0.25">
      <c r="B7939" s="4">
        <v>584653348</v>
      </c>
      <c r="C7939" s="4" t="s">
        <v>272</v>
      </c>
      <c r="D7939" s="4">
        <v>315</v>
      </c>
      <c r="E7939" s="4">
        <v>267</v>
      </c>
      <c r="G7939">
        <f t="shared" si="123"/>
        <v>2192</v>
      </c>
    </row>
    <row r="7940" spans="2:7" ht="15" hidden="1" x14ac:dyDescent="0.25">
      <c r="B7940" s="4">
        <v>584653448</v>
      </c>
      <c r="C7940" s="4" t="s">
        <v>272</v>
      </c>
      <c r="D7940" s="4">
        <v>316</v>
      </c>
      <c r="E7940" s="4">
        <v>267</v>
      </c>
      <c r="G7940">
        <f t="shared" ref="G7940:G8003" si="124">(E7940+7)*8</f>
        <v>2192</v>
      </c>
    </row>
    <row r="7941" spans="2:7" ht="15" hidden="1" x14ac:dyDescent="0.25">
      <c r="B7941" s="4">
        <v>584653548</v>
      </c>
      <c r="C7941" s="4" t="s">
        <v>272</v>
      </c>
      <c r="D7941" s="4">
        <v>317</v>
      </c>
      <c r="E7941" s="4">
        <v>267</v>
      </c>
      <c r="G7941">
        <f t="shared" si="124"/>
        <v>2192</v>
      </c>
    </row>
    <row r="7942" spans="2:7" ht="15" hidden="1" x14ac:dyDescent="0.25">
      <c r="B7942" s="4">
        <v>584653578</v>
      </c>
      <c r="C7942" s="4" t="s">
        <v>279</v>
      </c>
      <c r="D7942" s="4">
        <v>98</v>
      </c>
      <c r="E7942" s="4">
        <v>267</v>
      </c>
      <c r="G7942">
        <f t="shared" si="124"/>
        <v>2192</v>
      </c>
    </row>
    <row r="7943" spans="2:7" ht="15" hidden="1" x14ac:dyDescent="0.25">
      <c r="B7943" s="4">
        <v>584653601</v>
      </c>
      <c r="C7943" s="4" t="s">
        <v>277</v>
      </c>
      <c r="D7943" s="4">
        <v>98</v>
      </c>
      <c r="E7943" s="4">
        <v>61</v>
      </c>
      <c r="G7943">
        <f t="shared" si="124"/>
        <v>544</v>
      </c>
    </row>
    <row r="7944" spans="2:7" ht="15" hidden="1" x14ac:dyDescent="0.25">
      <c r="B7944" s="4">
        <v>584653604</v>
      </c>
      <c r="C7944" s="4" t="s">
        <v>273</v>
      </c>
      <c r="D7944" s="4">
        <v>10051</v>
      </c>
      <c r="E7944" s="4">
        <v>317</v>
      </c>
      <c r="G7944">
        <f t="shared" si="124"/>
        <v>2592</v>
      </c>
    </row>
    <row r="7945" spans="2:7" ht="15" hidden="1" x14ac:dyDescent="0.25">
      <c r="B7945" s="4">
        <v>584653648</v>
      </c>
      <c r="C7945" s="4" t="s">
        <v>272</v>
      </c>
      <c r="D7945" s="4">
        <v>318</v>
      </c>
      <c r="E7945" s="4">
        <v>267</v>
      </c>
      <c r="G7945">
        <f t="shared" si="124"/>
        <v>2192</v>
      </c>
    </row>
    <row r="7946" spans="2:7" ht="15" hidden="1" x14ac:dyDescent="0.25">
      <c r="B7946" s="4">
        <v>584653716</v>
      </c>
      <c r="C7946" s="4" t="s">
        <v>279</v>
      </c>
      <c r="D7946" s="4">
        <v>99</v>
      </c>
      <c r="E7946" s="4">
        <v>243</v>
      </c>
      <c r="G7946">
        <f t="shared" si="124"/>
        <v>2000</v>
      </c>
    </row>
    <row r="7947" spans="2:7" ht="15" hidden="1" x14ac:dyDescent="0.25">
      <c r="B7947" s="4">
        <v>584653739</v>
      </c>
      <c r="C7947" s="4" t="s">
        <v>277</v>
      </c>
      <c r="D7947" s="4">
        <v>99</v>
      </c>
      <c r="E7947" s="4">
        <v>59</v>
      </c>
      <c r="G7947">
        <f t="shared" si="124"/>
        <v>528</v>
      </c>
    </row>
    <row r="7948" spans="2:7" ht="15" hidden="1" x14ac:dyDescent="0.25">
      <c r="B7948" s="4">
        <v>584653748</v>
      </c>
      <c r="C7948" s="4" t="s">
        <v>272</v>
      </c>
      <c r="D7948" s="4">
        <v>319</v>
      </c>
      <c r="E7948" s="4">
        <v>265</v>
      </c>
      <c r="G7948">
        <f t="shared" si="124"/>
        <v>2176</v>
      </c>
    </row>
    <row r="7949" spans="2:7" ht="15" hidden="1" x14ac:dyDescent="0.25">
      <c r="B7949" s="4">
        <v>584653848</v>
      </c>
      <c r="C7949" s="4" t="s">
        <v>272</v>
      </c>
      <c r="D7949" s="4">
        <v>320</v>
      </c>
      <c r="E7949" s="4">
        <v>267</v>
      </c>
      <c r="G7949">
        <f t="shared" si="124"/>
        <v>2192</v>
      </c>
    </row>
    <row r="7950" spans="2:7" ht="15" hidden="1" x14ac:dyDescent="0.25">
      <c r="B7950" s="4">
        <v>584653948</v>
      </c>
      <c r="C7950" s="4" t="s">
        <v>272</v>
      </c>
      <c r="D7950" s="4">
        <v>321</v>
      </c>
      <c r="E7950" s="4">
        <v>265</v>
      </c>
      <c r="G7950">
        <f t="shared" si="124"/>
        <v>2176</v>
      </c>
    </row>
    <row r="7951" spans="2:7" ht="15" hidden="1" x14ac:dyDescent="0.25">
      <c r="B7951" s="4">
        <v>584653969</v>
      </c>
      <c r="C7951" s="4" t="s">
        <v>279</v>
      </c>
      <c r="D7951" s="4">
        <v>100</v>
      </c>
      <c r="E7951" s="4">
        <v>255</v>
      </c>
      <c r="G7951">
        <f t="shared" si="124"/>
        <v>2096</v>
      </c>
    </row>
    <row r="7952" spans="2:7" ht="15" hidden="1" x14ac:dyDescent="0.25">
      <c r="B7952" s="4">
        <v>584653992</v>
      </c>
      <c r="C7952" s="4" t="s">
        <v>277</v>
      </c>
      <c r="D7952" s="4">
        <v>100</v>
      </c>
      <c r="E7952" s="4">
        <v>61</v>
      </c>
      <c r="G7952">
        <f t="shared" si="124"/>
        <v>544</v>
      </c>
    </row>
    <row r="7953" spans="2:7" ht="15" hidden="1" x14ac:dyDescent="0.25">
      <c r="B7953" s="4">
        <v>584654048</v>
      </c>
      <c r="C7953" s="4" t="s">
        <v>272</v>
      </c>
      <c r="D7953" s="4">
        <v>322</v>
      </c>
      <c r="E7953" s="4">
        <v>263</v>
      </c>
      <c r="G7953">
        <f t="shared" si="124"/>
        <v>2160</v>
      </c>
    </row>
    <row r="7954" spans="2:7" ht="15" hidden="1" x14ac:dyDescent="0.25">
      <c r="B7954" s="4">
        <v>584654130</v>
      </c>
      <c r="C7954" s="4" t="s">
        <v>279</v>
      </c>
      <c r="D7954" s="4">
        <v>101</v>
      </c>
      <c r="E7954" s="4">
        <v>243</v>
      </c>
      <c r="G7954">
        <f t="shared" si="124"/>
        <v>2000</v>
      </c>
    </row>
    <row r="7955" spans="2:7" ht="15" hidden="1" x14ac:dyDescent="0.25">
      <c r="B7955" s="4">
        <v>584654148</v>
      </c>
      <c r="C7955" s="4" t="s">
        <v>272</v>
      </c>
      <c r="D7955" s="4">
        <v>323</v>
      </c>
      <c r="E7955" s="4">
        <v>259</v>
      </c>
      <c r="G7955">
        <f t="shared" si="124"/>
        <v>2128</v>
      </c>
    </row>
    <row r="7956" spans="2:7" ht="15" hidden="1" x14ac:dyDescent="0.25">
      <c r="B7956" s="4">
        <v>584654153</v>
      </c>
      <c r="C7956" s="4" t="s">
        <v>277</v>
      </c>
      <c r="D7956" s="4">
        <v>101</v>
      </c>
      <c r="E7956" s="4">
        <v>57</v>
      </c>
      <c r="G7956">
        <f t="shared" si="124"/>
        <v>512</v>
      </c>
    </row>
    <row r="7957" spans="2:7" ht="15" hidden="1" x14ac:dyDescent="0.25">
      <c r="B7957" s="4">
        <v>584654248</v>
      </c>
      <c r="C7957" s="4" t="s">
        <v>272</v>
      </c>
      <c r="D7957" s="4">
        <v>324</v>
      </c>
      <c r="E7957" s="4">
        <v>275</v>
      </c>
      <c r="G7957">
        <f t="shared" si="124"/>
        <v>2256</v>
      </c>
    </row>
    <row r="7958" spans="2:7" ht="15" hidden="1" x14ac:dyDescent="0.25">
      <c r="B7958" s="4">
        <v>584654348</v>
      </c>
      <c r="C7958" s="4" t="s">
        <v>272</v>
      </c>
      <c r="D7958" s="4">
        <v>325</v>
      </c>
      <c r="E7958" s="4">
        <v>259</v>
      </c>
      <c r="G7958">
        <f t="shared" si="124"/>
        <v>2128</v>
      </c>
    </row>
    <row r="7959" spans="2:7" ht="15" hidden="1" x14ac:dyDescent="0.25">
      <c r="B7959" s="4">
        <v>584654360</v>
      </c>
      <c r="C7959" s="4" t="s">
        <v>279</v>
      </c>
      <c r="D7959" s="4">
        <v>102</v>
      </c>
      <c r="E7959" s="4">
        <v>267</v>
      </c>
      <c r="G7959">
        <f t="shared" si="124"/>
        <v>2192</v>
      </c>
    </row>
    <row r="7960" spans="2:7" ht="15" hidden="1" x14ac:dyDescent="0.25">
      <c r="B7960" s="4">
        <v>584654383</v>
      </c>
      <c r="C7960" s="4" t="s">
        <v>277</v>
      </c>
      <c r="D7960" s="4">
        <v>102</v>
      </c>
      <c r="E7960" s="4">
        <v>61</v>
      </c>
      <c r="G7960">
        <f t="shared" si="124"/>
        <v>544</v>
      </c>
    </row>
    <row r="7961" spans="2:7" ht="15" hidden="1" x14ac:dyDescent="0.25">
      <c r="B7961" s="4">
        <v>584654448</v>
      </c>
      <c r="C7961" s="4" t="s">
        <v>272</v>
      </c>
      <c r="D7961" s="4">
        <v>326</v>
      </c>
      <c r="E7961" s="4">
        <v>265</v>
      </c>
      <c r="G7961">
        <f t="shared" si="124"/>
        <v>2176</v>
      </c>
    </row>
    <row r="7962" spans="2:7" ht="15" hidden="1" x14ac:dyDescent="0.25">
      <c r="B7962" s="4">
        <v>584654521</v>
      </c>
      <c r="C7962" s="4" t="s">
        <v>279</v>
      </c>
      <c r="D7962" s="4">
        <v>103</v>
      </c>
      <c r="E7962" s="4">
        <v>249</v>
      </c>
      <c r="G7962">
        <f t="shared" si="124"/>
        <v>2048</v>
      </c>
    </row>
    <row r="7963" spans="2:7" ht="15" hidden="1" x14ac:dyDescent="0.25">
      <c r="B7963" s="4">
        <v>584654544</v>
      </c>
      <c r="C7963" s="4" t="s">
        <v>277</v>
      </c>
      <c r="D7963" s="4">
        <v>103</v>
      </c>
      <c r="E7963" s="4">
        <v>55</v>
      </c>
      <c r="G7963">
        <f t="shared" si="124"/>
        <v>496</v>
      </c>
    </row>
    <row r="7964" spans="2:7" ht="15" hidden="1" x14ac:dyDescent="0.25">
      <c r="B7964" s="4">
        <v>584654548</v>
      </c>
      <c r="C7964" s="4" t="s">
        <v>272</v>
      </c>
      <c r="D7964" s="4">
        <v>327</v>
      </c>
      <c r="E7964" s="4">
        <v>275</v>
      </c>
      <c r="G7964">
        <f t="shared" si="124"/>
        <v>2256</v>
      </c>
    </row>
    <row r="7965" spans="2:7" ht="15" hidden="1" x14ac:dyDescent="0.25">
      <c r="B7965" s="4">
        <v>584654648</v>
      </c>
      <c r="C7965" s="4" t="s">
        <v>272</v>
      </c>
      <c r="D7965" s="4">
        <v>328</v>
      </c>
      <c r="E7965" s="4">
        <v>261</v>
      </c>
      <c r="G7965">
        <f t="shared" si="124"/>
        <v>2144</v>
      </c>
    </row>
    <row r="7966" spans="2:7" ht="15" hidden="1" x14ac:dyDescent="0.25">
      <c r="B7966" s="4">
        <v>584654748</v>
      </c>
      <c r="C7966" s="4" t="s">
        <v>272</v>
      </c>
      <c r="D7966" s="4">
        <v>329</v>
      </c>
      <c r="E7966" s="4">
        <v>269</v>
      </c>
      <c r="G7966">
        <f t="shared" si="124"/>
        <v>2208</v>
      </c>
    </row>
    <row r="7967" spans="2:7" ht="15" hidden="1" x14ac:dyDescent="0.25">
      <c r="B7967" s="4">
        <v>584654774</v>
      </c>
      <c r="C7967" s="4" t="s">
        <v>279</v>
      </c>
      <c r="D7967" s="4">
        <v>104</v>
      </c>
      <c r="E7967" s="4">
        <v>237</v>
      </c>
      <c r="G7967">
        <f t="shared" si="124"/>
        <v>1952</v>
      </c>
    </row>
    <row r="7968" spans="2:7" ht="15" hidden="1" x14ac:dyDescent="0.25">
      <c r="B7968" s="4">
        <v>584654797</v>
      </c>
      <c r="C7968" s="4" t="s">
        <v>277</v>
      </c>
      <c r="D7968" s="4">
        <v>104</v>
      </c>
      <c r="E7968" s="4">
        <v>57</v>
      </c>
      <c r="G7968">
        <f t="shared" si="124"/>
        <v>512</v>
      </c>
    </row>
    <row r="7969" spans="2:7" ht="15" hidden="1" x14ac:dyDescent="0.25">
      <c r="B7969" s="4">
        <v>584654848</v>
      </c>
      <c r="C7969" s="4" t="s">
        <v>272</v>
      </c>
      <c r="D7969" s="4">
        <v>330</v>
      </c>
      <c r="E7969" s="4">
        <v>261</v>
      </c>
      <c r="G7969">
        <f t="shared" si="124"/>
        <v>2144</v>
      </c>
    </row>
    <row r="7970" spans="2:7" ht="15" hidden="1" x14ac:dyDescent="0.25">
      <c r="B7970" s="4">
        <v>584654912</v>
      </c>
      <c r="C7970" s="4" t="s">
        <v>279</v>
      </c>
      <c r="D7970" s="4">
        <v>105</v>
      </c>
      <c r="E7970" s="4">
        <v>247</v>
      </c>
      <c r="G7970">
        <f t="shared" si="124"/>
        <v>2032</v>
      </c>
    </row>
    <row r="7971" spans="2:7" ht="15" hidden="1" x14ac:dyDescent="0.25">
      <c r="B7971" s="4">
        <v>584654935</v>
      </c>
      <c r="C7971" s="4" t="s">
        <v>277</v>
      </c>
      <c r="D7971" s="4">
        <v>105</v>
      </c>
      <c r="E7971" s="4">
        <v>61</v>
      </c>
      <c r="G7971">
        <f t="shared" si="124"/>
        <v>544</v>
      </c>
    </row>
    <row r="7972" spans="2:7" ht="15" hidden="1" x14ac:dyDescent="0.25">
      <c r="B7972" s="4">
        <v>584654944</v>
      </c>
      <c r="C7972" s="4" t="s">
        <v>269</v>
      </c>
      <c r="D7972" s="4">
        <v>1627</v>
      </c>
      <c r="E7972" s="4">
        <v>57</v>
      </c>
      <c r="G7972">
        <f t="shared" si="124"/>
        <v>512</v>
      </c>
    </row>
    <row r="7973" spans="2:7" ht="15" x14ac:dyDescent="0.25">
      <c r="B7973" s="4">
        <v>584654948</v>
      </c>
      <c r="C7973" s="4" t="s">
        <v>270</v>
      </c>
      <c r="D7973" s="4">
        <v>8</v>
      </c>
      <c r="E7973" s="4">
        <v>1160</v>
      </c>
      <c r="G7973">
        <f t="shared" si="124"/>
        <v>9336</v>
      </c>
    </row>
    <row r="7974" spans="2:7" ht="15" x14ac:dyDescent="0.25">
      <c r="B7974" s="4">
        <v>584654948</v>
      </c>
      <c r="C7974" s="4" t="s">
        <v>271</v>
      </c>
      <c r="D7974" s="4">
        <v>8</v>
      </c>
      <c r="E7974" s="4">
        <v>1160</v>
      </c>
      <c r="G7974">
        <f t="shared" si="124"/>
        <v>9336</v>
      </c>
    </row>
    <row r="7975" spans="2:7" ht="15" hidden="1" x14ac:dyDescent="0.25">
      <c r="B7975" s="4">
        <v>584654949</v>
      </c>
      <c r="C7975" s="4" t="s">
        <v>272</v>
      </c>
      <c r="D7975" s="4">
        <v>331</v>
      </c>
      <c r="E7975" s="4">
        <v>269</v>
      </c>
      <c r="G7975">
        <f t="shared" si="124"/>
        <v>2208</v>
      </c>
    </row>
    <row r="7976" spans="2:7" ht="15" hidden="1" x14ac:dyDescent="0.25">
      <c r="B7976" s="4">
        <v>584655048</v>
      </c>
      <c r="C7976" s="4" t="s">
        <v>272</v>
      </c>
      <c r="D7976" s="4">
        <v>332</v>
      </c>
      <c r="E7976" s="4">
        <v>263</v>
      </c>
      <c r="G7976">
        <f t="shared" si="124"/>
        <v>2160</v>
      </c>
    </row>
    <row r="7977" spans="2:7" ht="15" hidden="1" x14ac:dyDescent="0.25">
      <c r="B7977" s="4">
        <v>584655148</v>
      </c>
      <c r="C7977" s="4" t="s">
        <v>272</v>
      </c>
      <c r="D7977" s="4">
        <v>333</v>
      </c>
      <c r="E7977" s="4">
        <v>271</v>
      </c>
      <c r="G7977">
        <f t="shared" si="124"/>
        <v>2224</v>
      </c>
    </row>
    <row r="7978" spans="2:7" ht="15" hidden="1" x14ac:dyDescent="0.25">
      <c r="B7978" s="4">
        <v>584655165</v>
      </c>
      <c r="C7978" s="4" t="s">
        <v>279</v>
      </c>
      <c r="D7978" s="4">
        <v>106</v>
      </c>
      <c r="E7978" s="4">
        <v>257</v>
      </c>
      <c r="G7978">
        <f t="shared" si="124"/>
        <v>2112</v>
      </c>
    </row>
    <row r="7979" spans="2:7" ht="15" hidden="1" x14ac:dyDescent="0.25">
      <c r="B7979" s="4">
        <v>584655188</v>
      </c>
      <c r="C7979" s="4" t="s">
        <v>277</v>
      </c>
      <c r="D7979" s="4">
        <v>106</v>
      </c>
      <c r="E7979" s="4">
        <v>61</v>
      </c>
      <c r="G7979">
        <f t="shared" si="124"/>
        <v>544</v>
      </c>
    </row>
    <row r="7980" spans="2:7" ht="15" hidden="1" x14ac:dyDescent="0.25">
      <c r="B7980" s="4">
        <v>584655248</v>
      </c>
      <c r="C7980" s="4" t="s">
        <v>272</v>
      </c>
      <c r="D7980" s="4">
        <v>334</v>
      </c>
      <c r="E7980" s="4">
        <v>267</v>
      </c>
      <c r="G7980">
        <f t="shared" si="124"/>
        <v>2192</v>
      </c>
    </row>
    <row r="7981" spans="2:7" ht="15" hidden="1" x14ac:dyDescent="0.25">
      <c r="B7981" s="4">
        <v>584655303</v>
      </c>
      <c r="C7981" s="4" t="s">
        <v>279</v>
      </c>
      <c r="D7981" s="4">
        <v>107</v>
      </c>
      <c r="E7981" s="4">
        <v>247</v>
      </c>
      <c r="G7981">
        <f t="shared" si="124"/>
        <v>2032</v>
      </c>
    </row>
    <row r="7982" spans="2:7" ht="15" hidden="1" x14ac:dyDescent="0.25">
      <c r="B7982" s="4">
        <v>584655326</v>
      </c>
      <c r="C7982" s="4" t="s">
        <v>277</v>
      </c>
      <c r="D7982" s="4">
        <v>107</v>
      </c>
      <c r="E7982" s="4">
        <v>59</v>
      </c>
      <c r="G7982">
        <f t="shared" si="124"/>
        <v>528</v>
      </c>
    </row>
    <row r="7983" spans="2:7" ht="15" hidden="1" x14ac:dyDescent="0.25">
      <c r="B7983" s="4">
        <v>584655348</v>
      </c>
      <c r="C7983" s="4" t="s">
        <v>272</v>
      </c>
      <c r="D7983" s="4">
        <v>335</v>
      </c>
      <c r="E7983" s="4">
        <v>267</v>
      </c>
      <c r="G7983">
        <f t="shared" si="124"/>
        <v>2192</v>
      </c>
    </row>
    <row r="7984" spans="2:7" ht="15" hidden="1" x14ac:dyDescent="0.25">
      <c r="B7984" s="4">
        <v>584655448</v>
      </c>
      <c r="C7984" s="4" t="s">
        <v>272</v>
      </c>
      <c r="D7984" s="4">
        <v>336</v>
      </c>
      <c r="E7984" s="4">
        <v>265</v>
      </c>
      <c r="G7984">
        <f t="shared" si="124"/>
        <v>2176</v>
      </c>
    </row>
    <row r="7985" spans="2:7" ht="15" hidden="1" x14ac:dyDescent="0.25">
      <c r="B7985" s="4">
        <v>584655533</v>
      </c>
      <c r="C7985" s="4" t="s">
        <v>279</v>
      </c>
      <c r="D7985" s="4">
        <v>108</v>
      </c>
      <c r="E7985" s="4">
        <v>255</v>
      </c>
      <c r="G7985">
        <f t="shared" si="124"/>
        <v>2096</v>
      </c>
    </row>
    <row r="7986" spans="2:7" ht="15" hidden="1" x14ac:dyDescent="0.25">
      <c r="B7986" s="4">
        <v>584655548</v>
      </c>
      <c r="C7986" s="4" t="s">
        <v>272</v>
      </c>
      <c r="D7986" s="4">
        <v>337</v>
      </c>
      <c r="E7986" s="4">
        <v>263</v>
      </c>
      <c r="G7986">
        <f t="shared" si="124"/>
        <v>2160</v>
      </c>
    </row>
    <row r="7987" spans="2:7" ht="15" hidden="1" x14ac:dyDescent="0.25">
      <c r="B7987" s="4">
        <v>584655556</v>
      </c>
      <c r="C7987" s="4" t="s">
        <v>277</v>
      </c>
      <c r="D7987" s="4">
        <v>108</v>
      </c>
      <c r="E7987" s="4">
        <v>59</v>
      </c>
      <c r="G7987">
        <f t="shared" si="124"/>
        <v>528</v>
      </c>
    </row>
    <row r="7988" spans="2:7" ht="15" hidden="1" x14ac:dyDescent="0.25">
      <c r="B7988" s="4">
        <v>584655648</v>
      </c>
      <c r="C7988" s="4" t="s">
        <v>272</v>
      </c>
      <c r="D7988" s="4">
        <v>338</v>
      </c>
      <c r="E7988" s="4">
        <v>261</v>
      </c>
      <c r="G7988">
        <f t="shared" si="124"/>
        <v>2144</v>
      </c>
    </row>
    <row r="7989" spans="2:7" ht="15" hidden="1" x14ac:dyDescent="0.25">
      <c r="B7989" s="4">
        <v>584655671</v>
      </c>
      <c r="C7989" s="4" t="s">
        <v>279</v>
      </c>
      <c r="D7989" s="4">
        <v>109</v>
      </c>
      <c r="E7989" s="4">
        <v>247</v>
      </c>
      <c r="G7989">
        <f t="shared" si="124"/>
        <v>2032</v>
      </c>
    </row>
    <row r="7990" spans="2:7" ht="15" hidden="1" x14ac:dyDescent="0.25">
      <c r="B7990" s="4">
        <v>584655694</v>
      </c>
      <c r="C7990" s="4" t="s">
        <v>277</v>
      </c>
      <c r="D7990" s="4">
        <v>109</v>
      </c>
      <c r="E7990" s="4">
        <v>59</v>
      </c>
      <c r="G7990">
        <f t="shared" si="124"/>
        <v>528</v>
      </c>
    </row>
    <row r="7991" spans="2:7" ht="15" hidden="1" x14ac:dyDescent="0.25">
      <c r="B7991" s="4">
        <v>584655705</v>
      </c>
      <c r="C7991" s="4" t="s">
        <v>273</v>
      </c>
      <c r="D7991" s="4">
        <v>12152</v>
      </c>
      <c r="E7991" s="4">
        <v>317</v>
      </c>
      <c r="G7991">
        <f t="shared" si="124"/>
        <v>2592</v>
      </c>
    </row>
    <row r="7992" spans="2:7" ht="15" hidden="1" x14ac:dyDescent="0.25">
      <c r="B7992" s="4">
        <v>584655748</v>
      </c>
      <c r="C7992" s="4" t="s">
        <v>272</v>
      </c>
      <c r="D7992" s="4">
        <v>339</v>
      </c>
      <c r="E7992" s="4">
        <v>261</v>
      </c>
      <c r="G7992">
        <f t="shared" si="124"/>
        <v>2144</v>
      </c>
    </row>
    <row r="7993" spans="2:7" ht="15" hidden="1" x14ac:dyDescent="0.25">
      <c r="B7993" s="4">
        <v>584655848</v>
      </c>
      <c r="C7993" s="4" t="s">
        <v>272</v>
      </c>
      <c r="D7993" s="4">
        <v>340</v>
      </c>
      <c r="E7993" s="4">
        <v>259</v>
      </c>
      <c r="G7993">
        <f t="shared" si="124"/>
        <v>2128</v>
      </c>
    </row>
    <row r="7994" spans="2:7" ht="15" hidden="1" x14ac:dyDescent="0.25">
      <c r="B7994" s="4">
        <v>584655924</v>
      </c>
      <c r="C7994" s="4" t="s">
        <v>279</v>
      </c>
      <c r="D7994" s="4">
        <v>110</v>
      </c>
      <c r="E7994" s="4">
        <v>273</v>
      </c>
      <c r="G7994">
        <f t="shared" si="124"/>
        <v>2240</v>
      </c>
    </row>
    <row r="7995" spans="2:7" ht="15" hidden="1" x14ac:dyDescent="0.25">
      <c r="B7995" s="4">
        <v>584655947</v>
      </c>
      <c r="C7995" s="4" t="s">
        <v>277</v>
      </c>
      <c r="D7995" s="4">
        <v>110</v>
      </c>
      <c r="E7995" s="4">
        <v>59</v>
      </c>
      <c r="G7995">
        <f t="shared" si="124"/>
        <v>528</v>
      </c>
    </row>
    <row r="7996" spans="2:7" ht="15" hidden="1" x14ac:dyDescent="0.25">
      <c r="B7996" s="4">
        <v>584655948</v>
      </c>
      <c r="C7996" s="4" t="s">
        <v>272</v>
      </c>
      <c r="D7996" s="4">
        <v>341</v>
      </c>
      <c r="E7996" s="4">
        <v>271</v>
      </c>
      <c r="G7996">
        <f t="shared" si="124"/>
        <v>2224</v>
      </c>
    </row>
    <row r="7997" spans="2:7" ht="15" hidden="1" x14ac:dyDescent="0.25">
      <c r="B7997" s="4">
        <v>584656048</v>
      </c>
      <c r="C7997" s="4" t="s">
        <v>272</v>
      </c>
      <c r="D7997" s="4">
        <v>342</v>
      </c>
      <c r="E7997" s="4">
        <v>263</v>
      </c>
      <c r="G7997">
        <f t="shared" si="124"/>
        <v>2160</v>
      </c>
    </row>
    <row r="7998" spans="2:7" ht="15" hidden="1" x14ac:dyDescent="0.25">
      <c r="B7998" s="4">
        <v>584656062</v>
      </c>
      <c r="C7998" s="4" t="s">
        <v>279</v>
      </c>
      <c r="D7998" s="4">
        <v>111</v>
      </c>
      <c r="E7998" s="4">
        <v>253</v>
      </c>
      <c r="G7998">
        <f t="shared" si="124"/>
        <v>2080</v>
      </c>
    </row>
    <row r="7999" spans="2:7" ht="15" hidden="1" x14ac:dyDescent="0.25">
      <c r="B7999" s="4">
        <v>584656085</v>
      </c>
      <c r="C7999" s="4" t="s">
        <v>277</v>
      </c>
      <c r="D7999" s="4">
        <v>111</v>
      </c>
      <c r="E7999" s="4">
        <v>63</v>
      </c>
      <c r="G7999">
        <f t="shared" si="124"/>
        <v>560</v>
      </c>
    </row>
    <row r="8000" spans="2:7" ht="15" hidden="1" x14ac:dyDescent="0.25">
      <c r="B8000" s="4">
        <v>584656148</v>
      </c>
      <c r="C8000" s="4" t="s">
        <v>272</v>
      </c>
      <c r="D8000" s="4">
        <v>343</v>
      </c>
      <c r="E8000" s="4">
        <v>271</v>
      </c>
      <c r="G8000">
        <f t="shared" si="124"/>
        <v>2224</v>
      </c>
    </row>
    <row r="8001" spans="2:7" ht="15" hidden="1" x14ac:dyDescent="0.25">
      <c r="B8001" s="4">
        <v>584656248</v>
      </c>
      <c r="C8001" s="4" t="s">
        <v>272</v>
      </c>
      <c r="D8001" s="4">
        <v>344</v>
      </c>
      <c r="E8001" s="4">
        <v>263</v>
      </c>
      <c r="G8001">
        <f t="shared" si="124"/>
        <v>2160</v>
      </c>
    </row>
    <row r="8002" spans="2:7" ht="15" hidden="1" x14ac:dyDescent="0.25">
      <c r="B8002" s="4">
        <v>584656315</v>
      </c>
      <c r="C8002" s="4" t="s">
        <v>279</v>
      </c>
      <c r="D8002" s="4">
        <v>112</v>
      </c>
      <c r="E8002" s="4">
        <v>267</v>
      </c>
      <c r="G8002">
        <f t="shared" si="124"/>
        <v>2192</v>
      </c>
    </row>
    <row r="8003" spans="2:7" ht="15" hidden="1" x14ac:dyDescent="0.25">
      <c r="B8003" s="4">
        <v>584656338</v>
      </c>
      <c r="C8003" s="4" t="s">
        <v>277</v>
      </c>
      <c r="D8003" s="4">
        <v>112</v>
      </c>
      <c r="E8003" s="4">
        <v>61</v>
      </c>
      <c r="G8003">
        <f t="shared" si="124"/>
        <v>544</v>
      </c>
    </row>
    <row r="8004" spans="2:7" ht="15" hidden="1" x14ac:dyDescent="0.25">
      <c r="B8004" s="4">
        <v>584656348</v>
      </c>
      <c r="C8004" s="4" t="s">
        <v>272</v>
      </c>
      <c r="D8004" s="4">
        <v>345</v>
      </c>
      <c r="E8004" s="4">
        <v>265</v>
      </c>
      <c r="G8004">
        <f t="shared" ref="G8004:G8067" si="125">(E8004+7)*8</f>
        <v>2176</v>
      </c>
    </row>
    <row r="8005" spans="2:7" ht="15" hidden="1" x14ac:dyDescent="0.25">
      <c r="B8005" s="4">
        <v>584656448</v>
      </c>
      <c r="C8005" s="4" t="s">
        <v>272</v>
      </c>
      <c r="D8005" s="4">
        <v>346</v>
      </c>
      <c r="E8005" s="4">
        <v>267</v>
      </c>
      <c r="G8005">
        <f t="shared" si="125"/>
        <v>2192</v>
      </c>
    </row>
    <row r="8006" spans="2:7" ht="15" hidden="1" x14ac:dyDescent="0.25">
      <c r="B8006" s="4">
        <v>584656453</v>
      </c>
      <c r="C8006" s="4" t="s">
        <v>279</v>
      </c>
      <c r="D8006" s="4">
        <v>113</v>
      </c>
      <c r="E8006" s="4">
        <v>253</v>
      </c>
      <c r="G8006">
        <f t="shared" si="125"/>
        <v>2080</v>
      </c>
    </row>
    <row r="8007" spans="2:7" ht="15" hidden="1" x14ac:dyDescent="0.25">
      <c r="B8007" s="4">
        <v>584656476</v>
      </c>
      <c r="C8007" s="4" t="s">
        <v>277</v>
      </c>
      <c r="D8007" s="4">
        <v>113</v>
      </c>
      <c r="E8007" s="4">
        <v>55</v>
      </c>
      <c r="G8007">
        <f t="shared" si="125"/>
        <v>496</v>
      </c>
    </row>
    <row r="8008" spans="2:7" ht="15" hidden="1" x14ac:dyDescent="0.25">
      <c r="B8008" s="4">
        <v>584656548</v>
      </c>
      <c r="C8008" s="4" t="s">
        <v>272</v>
      </c>
      <c r="D8008" s="4">
        <v>347</v>
      </c>
      <c r="E8008" s="4">
        <v>265</v>
      </c>
      <c r="G8008">
        <f t="shared" si="125"/>
        <v>2176</v>
      </c>
    </row>
    <row r="8009" spans="2:7" ht="15" hidden="1" x14ac:dyDescent="0.25">
      <c r="B8009" s="4">
        <v>584656648</v>
      </c>
      <c r="C8009" s="4" t="s">
        <v>272</v>
      </c>
      <c r="D8009" s="4">
        <v>348</v>
      </c>
      <c r="E8009" s="4">
        <v>273</v>
      </c>
      <c r="G8009">
        <f t="shared" si="125"/>
        <v>2240</v>
      </c>
    </row>
    <row r="8010" spans="2:7" ht="15" hidden="1" x14ac:dyDescent="0.25">
      <c r="B8010" s="4">
        <v>584656706</v>
      </c>
      <c r="C8010" s="4" t="s">
        <v>279</v>
      </c>
      <c r="D8010" s="4">
        <v>114</v>
      </c>
      <c r="E8010" s="4">
        <v>267</v>
      </c>
      <c r="G8010">
        <f t="shared" si="125"/>
        <v>2192</v>
      </c>
    </row>
    <row r="8011" spans="2:7" ht="15" hidden="1" x14ac:dyDescent="0.25">
      <c r="B8011" s="4">
        <v>584656729</v>
      </c>
      <c r="C8011" s="4" t="s">
        <v>277</v>
      </c>
      <c r="D8011" s="4">
        <v>114</v>
      </c>
      <c r="E8011" s="4">
        <v>57</v>
      </c>
      <c r="G8011">
        <f t="shared" si="125"/>
        <v>512</v>
      </c>
    </row>
    <row r="8012" spans="2:7" ht="15" hidden="1" x14ac:dyDescent="0.25">
      <c r="B8012" s="4">
        <v>584656744</v>
      </c>
      <c r="C8012" s="4" t="s">
        <v>269</v>
      </c>
      <c r="D8012" s="4">
        <v>1628</v>
      </c>
      <c r="E8012" s="4">
        <v>57</v>
      </c>
      <c r="G8012">
        <f t="shared" si="125"/>
        <v>512</v>
      </c>
    </row>
    <row r="8013" spans="2:7" ht="15" hidden="1" x14ac:dyDescent="0.25">
      <c r="B8013" s="4">
        <v>584656748</v>
      </c>
      <c r="C8013" s="4" t="s">
        <v>272</v>
      </c>
      <c r="D8013" s="4">
        <v>349</v>
      </c>
      <c r="E8013" s="4">
        <v>271</v>
      </c>
      <c r="G8013">
        <f t="shared" si="125"/>
        <v>2224</v>
      </c>
    </row>
    <row r="8014" spans="2:7" ht="15" hidden="1" x14ac:dyDescent="0.25">
      <c r="B8014" s="4">
        <v>584656844</v>
      </c>
      <c r="C8014" s="4" t="s">
        <v>279</v>
      </c>
      <c r="D8014" s="4">
        <v>115</v>
      </c>
      <c r="E8014" s="4">
        <v>257</v>
      </c>
      <c r="G8014">
        <f t="shared" si="125"/>
        <v>2112</v>
      </c>
    </row>
    <row r="8015" spans="2:7" ht="15" hidden="1" x14ac:dyDescent="0.25">
      <c r="B8015" s="4">
        <v>584656848</v>
      </c>
      <c r="C8015" s="4" t="s">
        <v>272</v>
      </c>
      <c r="D8015" s="4">
        <v>350</v>
      </c>
      <c r="E8015" s="4">
        <v>267</v>
      </c>
      <c r="G8015">
        <f t="shared" si="125"/>
        <v>2192</v>
      </c>
    </row>
    <row r="8016" spans="2:7" ht="15" hidden="1" x14ac:dyDescent="0.25">
      <c r="B8016" s="4">
        <v>584656867</v>
      </c>
      <c r="C8016" s="4" t="s">
        <v>277</v>
      </c>
      <c r="D8016" s="4">
        <v>115</v>
      </c>
      <c r="E8016" s="4">
        <v>59</v>
      </c>
      <c r="G8016">
        <f t="shared" si="125"/>
        <v>528</v>
      </c>
    </row>
    <row r="8017" spans="2:7" ht="15" hidden="1" x14ac:dyDescent="0.25">
      <c r="B8017" s="4">
        <v>584656948</v>
      </c>
      <c r="C8017" s="4" t="s">
        <v>272</v>
      </c>
      <c r="D8017" s="4">
        <v>351</v>
      </c>
      <c r="E8017" s="4">
        <v>265</v>
      </c>
      <c r="G8017">
        <f t="shared" si="125"/>
        <v>2176</v>
      </c>
    </row>
    <row r="8018" spans="2:7" ht="15" hidden="1" x14ac:dyDescent="0.25">
      <c r="B8018" s="4">
        <v>584657005</v>
      </c>
      <c r="C8018" s="4" t="s">
        <v>279</v>
      </c>
      <c r="D8018" s="4">
        <v>116</v>
      </c>
      <c r="E8018" s="4">
        <v>271</v>
      </c>
      <c r="G8018">
        <f t="shared" si="125"/>
        <v>2224</v>
      </c>
    </row>
    <row r="8019" spans="2:7" ht="15" hidden="1" x14ac:dyDescent="0.25">
      <c r="B8019" s="4">
        <v>584657028</v>
      </c>
      <c r="C8019" s="4" t="s">
        <v>277</v>
      </c>
      <c r="D8019" s="4">
        <v>116</v>
      </c>
      <c r="E8019" s="4">
        <v>57</v>
      </c>
      <c r="G8019">
        <f t="shared" si="125"/>
        <v>512</v>
      </c>
    </row>
    <row r="8020" spans="2:7" ht="15" hidden="1" x14ac:dyDescent="0.25">
      <c r="B8020" s="4">
        <v>584657048</v>
      </c>
      <c r="C8020" s="4" t="s">
        <v>272</v>
      </c>
      <c r="D8020" s="4">
        <v>352</v>
      </c>
      <c r="E8020" s="4">
        <v>263</v>
      </c>
      <c r="G8020">
        <f t="shared" si="125"/>
        <v>2160</v>
      </c>
    </row>
    <row r="8021" spans="2:7" ht="15" hidden="1" x14ac:dyDescent="0.25">
      <c r="B8021" s="4">
        <v>584657148</v>
      </c>
      <c r="C8021" s="4" t="s">
        <v>272</v>
      </c>
      <c r="D8021" s="4">
        <v>353</v>
      </c>
      <c r="E8021" s="4">
        <v>273</v>
      </c>
      <c r="G8021">
        <f t="shared" si="125"/>
        <v>2240</v>
      </c>
    </row>
    <row r="8022" spans="2:7" ht="15" hidden="1" x14ac:dyDescent="0.25">
      <c r="B8022" s="4">
        <v>584657248</v>
      </c>
      <c r="C8022" s="4" t="s">
        <v>272</v>
      </c>
      <c r="D8022" s="4">
        <v>354</v>
      </c>
      <c r="E8022" s="4">
        <v>261</v>
      </c>
      <c r="G8022">
        <f t="shared" si="125"/>
        <v>2144</v>
      </c>
    </row>
    <row r="8023" spans="2:7" ht="15" hidden="1" x14ac:dyDescent="0.25">
      <c r="B8023" s="4">
        <v>584657258</v>
      </c>
      <c r="C8023" s="4" t="s">
        <v>279</v>
      </c>
      <c r="D8023" s="4">
        <v>117</v>
      </c>
      <c r="E8023" s="4">
        <v>261</v>
      </c>
      <c r="G8023">
        <f t="shared" si="125"/>
        <v>2144</v>
      </c>
    </row>
    <row r="8024" spans="2:7" ht="15" hidden="1" x14ac:dyDescent="0.25">
      <c r="B8024" s="4">
        <v>584657281</v>
      </c>
      <c r="C8024" s="4" t="s">
        <v>277</v>
      </c>
      <c r="D8024" s="4">
        <v>117</v>
      </c>
      <c r="E8024" s="4">
        <v>61</v>
      </c>
      <c r="G8024">
        <f t="shared" si="125"/>
        <v>544</v>
      </c>
    </row>
    <row r="8025" spans="2:7" ht="15" hidden="1" x14ac:dyDescent="0.25">
      <c r="B8025" s="4">
        <v>584657348</v>
      </c>
      <c r="C8025" s="4" t="s">
        <v>272</v>
      </c>
      <c r="D8025" s="4">
        <v>355</v>
      </c>
      <c r="E8025" s="4">
        <v>267</v>
      </c>
      <c r="G8025">
        <f t="shared" si="125"/>
        <v>2192</v>
      </c>
    </row>
    <row r="8026" spans="2:7" ht="15" hidden="1" x14ac:dyDescent="0.25">
      <c r="B8026" s="4">
        <v>584657396</v>
      </c>
      <c r="C8026" s="4" t="s">
        <v>279</v>
      </c>
      <c r="D8026" s="4">
        <v>118</v>
      </c>
      <c r="E8026" s="4">
        <v>265</v>
      </c>
      <c r="G8026">
        <f t="shared" si="125"/>
        <v>2176</v>
      </c>
    </row>
    <row r="8027" spans="2:7" ht="15" hidden="1" x14ac:dyDescent="0.25">
      <c r="B8027" s="4">
        <v>584657419</v>
      </c>
      <c r="C8027" s="4" t="s">
        <v>277</v>
      </c>
      <c r="D8027" s="4">
        <v>118</v>
      </c>
      <c r="E8027" s="4">
        <v>61</v>
      </c>
      <c r="G8027">
        <f t="shared" si="125"/>
        <v>544</v>
      </c>
    </row>
    <row r="8028" spans="2:7" ht="15" hidden="1" x14ac:dyDescent="0.25">
      <c r="B8028" s="4">
        <v>584657448</v>
      </c>
      <c r="C8028" s="4" t="s">
        <v>272</v>
      </c>
      <c r="D8028" s="4">
        <v>356</v>
      </c>
      <c r="E8028" s="4">
        <v>267</v>
      </c>
      <c r="G8028">
        <f t="shared" si="125"/>
        <v>2192</v>
      </c>
    </row>
    <row r="8029" spans="2:7" ht="15" hidden="1" x14ac:dyDescent="0.25">
      <c r="B8029" s="4">
        <v>584657548</v>
      </c>
      <c r="C8029" s="4" t="s">
        <v>272</v>
      </c>
      <c r="D8029" s="4">
        <v>357</v>
      </c>
      <c r="E8029" s="4">
        <v>267</v>
      </c>
      <c r="G8029">
        <f t="shared" si="125"/>
        <v>2192</v>
      </c>
    </row>
    <row r="8030" spans="2:7" ht="15" hidden="1" x14ac:dyDescent="0.25">
      <c r="B8030" s="4">
        <v>584657648</v>
      </c>
      <c r="C8030" s="4" t="s">
        <v>272</v>
      </c>
      <c r="D8030" s="4">
        <v>358</v>
      </c>
      <c r="E8030" s="4">
        <v>259</v>
      </c>
      <c r="G8030">
        <f t="shared" si="125"/>
        <v>2128</v>
      </c>
    </row>
    <row r="8031" spans="2:7" ht="15" hidden="1" x14ac:dyDescent="0.25">
      <c r="B8031" s="4">
        <v>584657649</v>
      </c>
      <c r="C8031" s="4" t="s">
        <v>279</v>
      </c>
      <c r="D8031" s="4">
        <v>119</v>
      </c>
      <c r="E8031" s="4">
        <v>271</v>
      </c>
      <c r="G8031">
        <f t="shared" si="125"/>
        <v>2224</v>
      </c>
    </row>
    <row r="8032" spans="2:7" ht="15" hidden="1" x14ac:dyDescent="0.25">
      <c r="B8032" s="4">
        <v>584657672</v>
      </c>
      <c r="C8032" s="4" t="s">
        <v>277</v>
      </c>
      <c r="D8032" s="4">
        <v>119</v>
      </c>
      <c r="E8032" s="4">
        <v>59</v>
      </c>
      <c r="G8032">
        <f t="shared" si="125"/>
        <v>528</v>
      </c>
    </row>
    <row r="8033" spans="2:7" ht="15" hidden="1" x14ac:dyDescent="0.25">
      <c r="B8033" s="4">
        <v>584657748</v>
      </c>
      <c r="C8033" s="4" t="s">
        <v>272</v>
      </c>
      <c r="D8033" s="4">
        <v>359</v>
      </c>
      <c r="E8033" s="4">
        <v>263</v>
      </c>
      <c r="G8033">
        <f t="shared" si="125"/>
        <v>2160</v>
      </c>
    </row>
    <row r="8034" spans="2:7" ht="15" hidden="1" x14ac:dyDescent="0.25">
      <c r="B8034" s="4">
        <v>584657787</v>
      </c>
      <c r="C8034" s="4" t="s">
        <v>279</v>
      </c>
      <c r="D8034" s="4">
        <v>120</v>
      </c>
      <c r="E8034" s="4">
        <v>263</v>
      </c>
      <c r="G8034">
        <f t="shared" si="125"/>
        <v>2160</v>
      </c>
    </row>
    <row r="8035" spans="2:7" ht="15" hidden="1" x14ac:dyDescent="0.25">
      <c r="B8035" s="4">
        <v>584657806</v>
      </c>
      <c r="C8035" s="4" t="s">
        <v>273</v>
      </c>
      <c r="D8035" s="4">
        <v>14253</v>
      </c>
      <c r="E8035" s="4">
        <v>317</v>
      </c>
      <c r="G8035">
        <f t="shared" si="125"/>
        <v>2592</v>
      </c>
    </row>
    <row r="8036" spans="2:7" ht="15" hidden="1" x14ac:dyDescent="0.25">
      <c r="B8036" s="4">
        <v>584657810</v>
      </c>
      <c r="C8036" s="4" t="s">
        <v>277</v>
      </c>
      <c r="D8036" s="4">
        <v>120</v>
      </c>
      <c r="E8036" s="4">
        <v>59</v>
      </c>
      <c r="G8036">
        <f t="shared" si="125"/>
        <v>528</v>
      </c>
    </row>
    <row r="8037" spans="2:7" ht="15" hidden="1" x14ac:dyDescent="0.25">
      <c r="B8037" s="4">
        <v>584657848</v>
      </c>
      <c r="C8037" s="4" t="s">
        <v>272</v>
      </c>
      <c r="D8037" s="4">
        <v>360</v>
      </c>
      <c r="E8037" s="4">
        <v>267</v>
      </c>
      <c r="G8037">
        <f t="shared" si="125"/>
        <v>2192</v>
      </c>
    </row>
    <row r="8038" spans="2:7" ht="15" hidden="1" x14ac:dyDescent="0.25">
      <c r="B8038" s="4">
        <v>584657948</v>
      </c>
      <c r="C8038" s="4" t="s">
        <v>272</v>
      </c>
      <c r="D8038" s="4">
        <v>361</v>
      </c>
      <c r="E8038" s="4">
        <v>269</v>
      </c>
      <c r="G8038">
        <f t="shared" si="125"/>
        <v>2208</v>
      </c>
    </row>
    <row r="8039" spans="2:7" ht="15" hidden="1" x14ac:dyDescent="0.25">
      <c r="B8039" s="4">
        <v>584658017</v>
      </c>
      <c r="C8039" s="4" t="s">
        <v>279</v>
      </c>
      <c r="D8039" s="4">
        <v>121</v>
      </c>
      <c r="E8039" s="4">
        <v>247</v>
      </c>
      <c r="G8039">
        <f t="shared" si="125"/>
        <v>2032</v>
      </c>
    </row>
    <row r="8040" spans="2:7" ht="15" hidden="1" x14ac:dyDescent="0.25">
      <c r="B8040" s="4">
        <v>584658040</v>
      </c>
      <c r="C8040" s="4" t="s">
        <v>277</v>
      </c>
      <c r="D8040" s="4">
        <v>121</v>
      </c>
      <c r="E8040" s="4">
        <v>61</v>
      </c>
      <c r="G8040">
        <f t="shared" si="125"/>
        <v>544</v>
      </c>
    </row>
    <row r="8041" spans="2:7" ht="15" hidden="1" x14ac:dyDescent="0.25">
      <c r="B8041" s="4">
        <v>584658048</v>
      </c>
      <c r="C8041" s="4" t="s">
        <v>272</v>
      </c>
      <c r="D8041" s="4">
        <v>362</v>
      </c>
      <c r="E8041" s="4">
        <v>271</v>
      </c>
      <c r="G8041">
        <f t="shared" si="125"/>
        <v>2224</v>
      </c>
    </row>
    <row r="8042" spans="2:7" ht="15" hidden="1" x14ac:dyDescent="0.25">
      <c r="B8042" s="4">
        <v>584658148</v>
      </c>
      <c r="C8042" s="4" t="s">
        <v>272</v>
      </c>
      <c r="D8042" s="4">
        <v>363</v>
      </c>
      <c r="E8042" s="4">
        <v>269</v>
      </c>
      <c r="G8042">
        <f t="shared" si="125"/>
        <v>2208</v>
      </c>
    </row>
    <row r="8043" spans="2:7" ht="15" hidden="1" x14ac:dyDescent="0.25">
      <c r="B8043" s="4">
        <v>584658248</v>
      </c>
      <c r="C8043" s="4" t="s">
        <v>272</v>
      </c>
      <c r="D8043" s="4">
        <v>364</v>
      </c>
      <c r="E8043" s="4">
        <v>263</v>
      </c>
      <c r="G8043">
        <f t="shared" si="125"/>
        <v>2160</v>
      </c>
    </row>
    <row r="8044" spans="2:7" ht="15" hidden="1" x14ac:dyDescent="0.25">
      <c r="B8044" s="4">
        <v>584658270</v>
      </c>
      <c r="C8044" s="4" t="s">
        <v>279</v>
      </c>
      <c r="D8044" s="4">
        <v>122</v>
      </c>
      <c r="E8044" s="4">
        <v>245</v>
      </c>
      <c r="G8044">
        <f t="shared" si="125"/>
        <v>2016</v>
      </c>
    </row>
    <row r="8045" spans="2:7" ht="15" hidden="1" x14ac:dyDescent="0.25">
      <c r="B8045" s="4">
        <v>584658293</v>
      </c>
      <c r="C8045" s="4" t="s">
        <v>277</v>
      </c>
      <c r="D8045" s="4">
        <v>122</v>
      </c>
      <c r="E8045" s="4">
        <v>59</v>
      </c>
      <c r="G8045">
        <f t="shared" si="125"/>
        <v>528</v>
      </c>
    </row>
    <row r="8046" spans="2:7" ht="15" hidden="1" x14ac:dyDescent="0.25">
      <c r="B8046" s="4">
        <v>584658348</v>
      </c>
      <c r="C8046" s="4" t="s">
        <v>272</v>
      </c>
      <c r="D8046" s="4">
        <v>365</v>
      </c>
      <c r="E8046" s="4">
        <v>273</v>
      </c>
      <c r="G8046">
        <f t="shared" si="125"/>
        <v>2240</v>
      </c>
    </row>
    <row r="8047" spans="2:7" ht="15" hidden="1" x14ac:dyDescent="0.25">
      <c r="B8047" s="4">
        <v>584658408</v>
      </c>
      <c r="C8047" s="4" t="s">
        <v>279</v>
      </c>
      <c r="D8047" s="4">
        <v>123</v>
      </c>
      <c r="E8047" s="4">
        <v>267</v>
      </c>
      <c r="G8047">
        <f t="shared" si="125"/>
        <v>2192</v>
      </c>
    </row>
    <row r="8048" spans="2:7" ht="15" hidden="1" x14ac:dyDescent="0.25">
      <c r="B8048" s="4">
        <v>584658431</v>
      </c>
      <c r="C8048" s="4" t="s">
        <v>277</v>
      </c>
      <c r="D8048" s="4">
        <v>123</v>
      </c>
      <c r="E8048" s="4">
        <v>61</v>
      </c>
      <c r="G8048">
        <f t="shared" si="125"/>
        <v>544</v>
      </c>
    </row>
    <row r="8049" spans="2:7" ht="15" hidden="1" x14ac:dyDescent="0.25">
      <c r="B8049" s="4">
        <v>584658448</v>
      </c>
      <c r="C8049" s="4" t="s">
        <v>272</v>
      </c>
      <c r="D8049" s="4">
        <v>366</v>
      </c>
      <c r="E8049" s="4">
        <v>261</v>
      </c>
      <c r="G8049">
        <f t="shared" si="125"/>
        <v>2144</v>
      </c>
    </row>
    <row r="8050" spans="2:7" ht="15" hidden="1" x14ac:dyDescent="0.25">
      <c r="B8050" s="4">
        <v>584658544</v>
      </c>
      <c r="C8050" s="4" t="s">
        <v>269</v>
      </c>
      <c r="D8050" s="4">
        <v>1629</v>
      </c>
      <c r="E8050" s="4">
        <v>57</v>
      </c>
      <c r="G8050">
        <f t="shared" si="125"/>
        <v>512</v>
      </c>
    </row>
    <row r="8051" spans="2:7" ht="15" hidden="1" x14ac:dyDescent="0.25">
      <c r="B8051" s="4">
        <v>584658548</v>
      </c>
      <c r="C8051" s="4" t="s">
        <v>272</v>
      </c>
      <c r="D8051" s="4">
        <v>367</v>
      </c>
      <c r="E8051" s="4">
        <v>275</v>
      </c>
      <c r="G8051">
        <f t="shared" si="125"/>
        <v>2256</v>
      </c>
    </row>
    <row r="8052" spans="2:7" ht="15" hidden="1" x14ac:dyDescent="0.25">
      <c r="B8052" s="4">
        <v>584658648</v>
      </c>
      <c r="C8052" s="4" t="s">
        <v>272</v>
      </c>
      <c r="D8052" s="4">
        <v>368</v>
      </c>
      <c r="E8052" s="4">
        <v>267</v>
      </c>
      <c r="G8052">
        <f t="shared" si="125"/>
        <v>2192</v>
      </c>
    </row>
    <row r="8053" spans="2:7" ht="15" hidden="1" x14ac:dyDescent="0.25">
      <c r="B8053" s="4">
        <v>584658661</v>
      </c>
      <c r="C8053" s="4" t="s">
        <v>279</v>
      </c>
      <c r="D8053" s="4">
        <v>124</v>
      </c>
      <c r="E8053" s="4">
        <v>257</v>
      </c>
      <c r="G8053">
        <f t="shared" si="125"/>
        <v>2112</v>
      </c>
    </row>
    <row r="8054" spans="2:7" ht="15" hidden="1" x14ac:dyDescent="0.25">
      <c r="B8054" s="4">
        <v>584658684</v>
      </c>
      <c r="C8054" s="4" t="s">
        <v>277</v>
      </c>
      <c r="D8054" s="4">
        <v>124</v>
      </c>
      <c r="E8054" s="4">
        <v>61</v>
      </c>
      <c r="G8054">
        <f t="shared" si="125"/>
        <v>544</v>
      </c>
    </row>
    <row r="8055" spans="2:7" ht="15" hidden="1" x14ac:dyDescent="0.25">
      <c r="B8055" s="4">
        <v>584658748</v>
      </c>
      <c r="C8055" s="4" t="s">
        <v>272</v>
      </c>
      <c r="D8055" s="4">
        <v>369</v>
      </c>
      <c r="E8055" s="4">
        <v>271</v>
      </c>
      <c r="G8055">
        <f t="shared" si="125"/>
        <v>2224</v>
      </c>
    </row>
    <row r="8056" spans="2:7" ht="15" hidden="1" x14ac:dyDescent="0.25">
      <c r="B8056" s="4">
        <v>584658799</v>
      </c>
      <c r="C8056" s="4" t="s">
        <v>279</v>
      </c>
      <c r="D8056" s="4">
        <v>125</v>
      </c>
      <c r="E8056" s="4">
        <v>259</v>
      </c>
      <c r="G8056">
        <f t="shared" si="125"/>
        <v>2128</v>
      </c>
    </row>
    <row r="8057" spans="2:7" ht="15" hidden="1" x14ac:dyDescent="0.25">
      <c r="B8057" s="4">
        <v>584658822</v>
      </c>
      <c r="C8057" s="4" t="s">
        <v>277</v>
      </c>
      <c r="D8057" s="4">
        <v>125</v>
      </c>
      <c r="E8057" s="4">
        <v>55</v>
      </c>
      <c r="G8057">
        <f t="shared" si="125"/>
        <v>496</v>
      </c>
    </row>
    <row r="8058" spans="2:7" ht="15" hidden="1" x14ac:dyDescent="0.25">
      <c r="B8058" s="4">
        <v>584658848</v>
      </c>
      <c r="C8058" s="4" t="s">
        <v>272</v>
      </c>
      <c r="D8058" s="4">
        <v>370</v>
      </c>
      <c r="E8058" s="4">
        <v>273</v>
      </c>
      <c r="G8058">
        <f t="shared" si="125"/>
        <v>2240</v>
      </c>
    </row>
    <row r="8059" spans="2:7" ht="15" hidden="1" x14ac:dyDescent="0.25">
      <c r="B8059" s="4">
        <v>584658948</v>
      </c>
      <c r="C8059" s="4" t="s">
        <v>272</v>
      </c>
      <c r="D8059" s="4">
        <v>371</v>
      </c>
      <c r="E8059" s="4">
        <v>267</v>
      </c>
      <c r="G8059">
        <f t="shared" si="125"/>
        <v>2192</v>
      </c>
    </row>
    <row r="8060" spans="2:7" ht="15" hidden="1" x14ac:dyDescent="0.25">
      <c r="B8060" s="4">
        <v>584659048</v>
      </c>
      <c r="C8060" s="4" t="s">
        <v>272</v>
      </c>
      <c r="D8060" s="4">
        <v>372</v>
      </c>
      <c r="E8060" s="4">
        <v>275</v>
      </c>
      <c r="G8060">
        <f t="shared" si="125"/>
        <v>2256</v>
      </c>
    </row>
    <row r="8061" spans="2:7" ht="15" hidden="1" x14ac:dyDescent="0.25">
      <c r="B8061" s="4">
        <v>584659052</v>
      </c>
      <c r="C8061" s="4" t="s">
        <v>279</v>
      </c>
      <c r="D8061" s="4">
        <v>126</v>
      </c>
      <c r="E8061" s="4">
        <v>263</v>
      </c>
      <c r="G8061">
        <f t="shared" si="125"/>
        <v>2160</v>
      </c>
    </row>
    <row r="8062" spans="2:7" ht="15" hidden="1" x14ac:dyDescent="0.25">
      <c r="B8062" s="4">
        <v>584659075</v>
      </c>
      <c r="C8062" s="4" t="s">
        <v>277</v>
      </c>
      <c r="D8062" s="4">
        <v>126</v>
      </c>
      <c r="E8062" s="4">
        <v>59</v>
      </c>
      <c r="G8062">
        <f t="shared" si="125"/>
        <v>528</v>
      </c>
    </row>
    <row r="8063" spans="2:7" ht="15" hidden="1" x14ac:dyDescent="0.25">
      <c r="B8063" s="4">
        <v>584659148</v>
      </c>
      <c r="C8063" s="4" t="s">
        <v>272</v>
      </c>
      <c r="D8063" s="4">
        <v>373</v>
      </c>
      <c r="E8063" s="4">
        <v>263</v>
      </c>
      <c r="G8063">
        <f t="shared" si="125"/>
        <v>2160</v>
      </c>
    </row>
    <row r="8064" spans="2:7" ht="15" hidden="1" x14ac:dyDescent="0.25">
      <c r="B8064" s="4">
        <v>584659190</v>
      </c>
      <c r="C8064" s="4" t="s">
        <v>279</v>
      </c>
      <c r="D8064" s="4">
        <v>127</v>
      </c>
      <c r="E8064" s="4">
        <v>251</v>
      </c>
      <c r="G8064">
        <f t="shared" si="125"/>
        <v>2064</v>
      </c>
    </row>
    <row r="8065" spans="2:7" ht="15" hidden="1" x14ac:dyDescent="0.25">
      <c r="B8065" s="4">
        <v>584659213</v>
      </c>
      <c r="C8065" s="4" t="s">
        <v>277</v>
      </c>
      <c r="D8065" s="4">
        <v>127</v>
      </c>
      <c r="E8065" s="4">
        <v>63</v>
      </c>
      <c r="G8065">
        <f t="shared" si="125"/>
        <v>560</v>
      </c>
    </row>
    <row r="8066" spans="2:7" ht="15" hidden="1" x14ac:dyDescent="0.25">
      <c r="B8066" s="4">
        <v>584659248</v>
      </c>
      <c r="C8066" s="4" t="s">
        <v>272</v>
      </c>
      <c r="D8066" s="4">
        <v>374</v>
      </c>
      <c r="E8066" s="4">
        <v>255</v>
      </c>
      <c r="G8066">
        <f t="shared" si="125"/>
        <v>2096</v>
      </c>
    </row>
    <row r="8067" spans="2:7" ht="15" hidden="1" x14ac:dyDescent="0.25">
      <c r="B8067" s="4">
        <v>584659348</v>
      </c>
      <c r="C8067" s="4" t="s">
        <v>272</v>
      </c>
      <c r="D8067" s="4">
        <v>375</v>
      </c>
      <c r="E8067" s="4">
        <v>269</v>
      </c>
      <c r="G8067">
        <f t="shared" si="125"/>
        <v>2208</v>
      </c>
    </row>
    <row r="8068" spans="2:7" ht="15" hidden="1" x14ac:dyDescent="0.25">
      <c r="B8068" s="4">
        <v>584659420</v>
      </c>
      <c r="C8068" s="4" t="s">
        <v>279</v>
      </c>
      <c r="D8068" s="4">
        <v>128</v>
      </c>
      <c r="E8068" s="4">
        <v>249</v>
      </c>
      <c r="G8068">
        <f t="shared" ref="G8068:G8131" si="126">(E8068+7)*8</f>
        <v>2048</v>
      </c>
    </row>
    <row r="8069" spans="2:7" ht="15" hidden="1" x14ac:dyDescent="0.25">
      <c r="B8069" s="4">
        <v>584659443</v>
      </c>
      <c r="C8069" s="4" t="s">
        <v>277</v>
      </c>
      <c r="D8069" s="4">
        <v>128</v>
      </c>
      <c r="E8069" s="4">
        <v>59</v>
      </c>
      <c r="G8069">
        <f t="shared" si="126"/>
        <v>528</v>
      </c>
    </row>
    <row r="8070" spans="2:7" ht="15" hidden="1" x14ac:dyDescent="0.25">
      <c r="B8070" s="4">
        <v>584659448</v>
      </c>
      <c r="C8070" s="4" t="s">
        <v>272</v>
      </c>
      <c r="D8070" s="4">
        <v>376</v>
      </c>
      <c r="E8070" s="4">
        <v>265</v>
      </c>
      <c r="G8070">
        <f t="shared" si="126"/>
        <v>2176</v>
      </c>
    </row>
    <row r="8071" spans="2:7" ht="15" hidden="1" x14ac:dyDescent="0.25">
      <c r="B8071" s="4">
        <v>584659548</v>
      </c>
      <c r="C8071" s="4" t="s">
        <v>272</v>
      </c>
      <c r="D8071" s="4">
        <v>377</v>
      </c>
      <c r="E8071" s="4">
        <v>269</v>
      </c>
      <c r="G8071">
        <f t="shared" si="126"/>
        <v>2208</v>
      </c>
    </row>
    <row r="8072" spans="2:7" ht="15" hidden="1" x14ac:dyDescent="0.25">
      <c r="B8072" s="4">
        <v>584659558</v>
      </c>
      <c r="C8072" s="4" t="s">
        <v>279</v>
      </c>
      <c r="D8072" s="4">
        <v>129</v>
      </c>
      <c r="E8072" s="4">
        <v>265</v>
      </c>
      <c r="G8072">
        <f t="shared" si="126"/>
        <v>2176</v>
      </c>
    </row>
    <row r="8073" spans="2:7" ht="15" hidden="1" x14ac:dyDescent="0.25">
      <c r="B8073" s="4">
        <v>584659581</v>
      </c>
      <c r="C8073" s="4" t="s">
        <v>277</v>
      </c>
      <c r="D8073" s="4">
        <v>129</v>
      </c>
      <c r="E8073" s="4">
        <v>59</v>
      </c>
      <c r="G8073">
        <f t="shared" si="126"/>
        <v>528</v>
      </c>
    </row>
    <row r="8074" spans="2:7" ht="15" hidden="1" x14ac:dyDescent="0.25">
      <c r="B8074" s="4">
        <v>584659648</v>
      </c>
      <c r="C8074" s="4" t="s">
        <v>272</v>
      </c>
      <c r="D8074" s="4">
        <v>378</v>
      </c>
      <c r="E8074" s="4">
        <v>259</v>
      </c>
      <c r="G8074">
        <f t="shared" si="126"/>
        <v>2128</v>
      </c>
    </row>
    <row r="8075" spans="2:7" ht="15" hidden="1" x14ac:dyDescent="0.25">
      <c r="B8075" s="4">
        <v>584659748</v>
      </c>
      <c r="C8075" s="4" t="s">
        <v>272</v>
      </c>
      <c r="D8075" s="4">
        <v>379</v>
      </c>
      <c r="E8075" s="4">
        <v>259</v>
      </c>
      <c r="G8075">
        <f t="shared" si="126"/>
        <v>2128</v>
      </c>
    </row>
    <row r="8076" spans="2:7" ht="15" hidden="1" x14ac:dyDescent="0.25">
      <c r="B8076" s="4">
        <v>584659811</v>
      </c>
      <c r="C8076" s="4" t="s">
        <v>279</v>
      </c>
      <c r="D8076" s="4">
        <v>130</v>
      </c>
      <c r="E8076" s="4">
        <v>259</v>
      </c>
      <c r="G8076">
        <f t="shared" si="126"/>
        <v>2128</v>
      </c>
    </row>
    <row r="8077" spans="2:7" ht="15" hidden="1" x14ac:dyDescent="0.25">
      <c r="B8077" s="4">
        <v>584659834</v>
      </c>
      <c r="C8077" s="4" t="s">
        <v>277</v>
      </c>
      <c r="D8077" s="4">
        <v>130</v>
      </c>
      <c r="E8077" s="4">
        <v>61</v>
      </c>
      <c r="G8077">
        <f t="shared" si="126"/>
        <v>544</v>
      </c>
    </row>
    <row r="8078" spans="2:7" ht="15" hidden="1" x14ac:dyDescent="0.25">
      <c r="B8078" s="4">
        <v>584659848</v>
      </c>
      <c r="C8078" s="4" t="s">
        <v>272</v>
      </c>
      <c r="D8078" s="4">
        <v>380</v>
      </c>
      <c r="E8078" s="4">
        <v>255</v>
      </c>
      <c r="G8078">
        <f t="shared" si="126"/>
        <v>2096</v>
      </c>
    </row>
    <row r="8079" spans="2:7" ht="15" hidden="1" x14ac:dyDescent="0.25">
      <c r="B8079" s="4">
        <v>584659907</v>
      </c>
      <c r="C8079" s="4" t="s">
        <v>273</v>
      </c>
      <c r="D8079" s="4">
        <v>16354</v>
      </c>
      <c r="E8079" s="4">
        <v>317</v>
      </c>
      <c r="G8079">
        <f t="shared" si="126"/>
        <v>2592</v>
      </c>
    </row>
    <row r="8080" spans="2:7" ht="15" hidden="1" x14ac:dyDescent="0.25">
      <c r="B8080" s="4">
        <v>584659948</v>
      </c>
      <c r="C8080" s="4" t="s">
        <v>272</v>
      </c>
      <c r="D8080" s="4">
        <v>381</v>
      </c>
      <c r="E8080" s="4">
        <v>261</v>
      </c>
      <c r="G8080">
        <f t="shared" si="126"/>
        <v>2144</v>
      </c>
    </row>
    <row r="8081" spans="2:7" ht="15" hidden="1" x14ac:dyDescent="0.25">
      <c r="B8081" s="4">
        <v>584659949</v>
      </c>
      <c r="C8081" s="4" t="s">
        <v>279</v>
      </c>
      <c r="D8081" s="4">
        <v>131</v>
      </c>
      <c r="E8081" s="4">
        <v>261</v>
      </c>
      <c r="G8081">
        <f t="shared" si="126"/>
        <v>2144</v>
      </c>
    </row>
    <row r="8082" spans="2:7" ht="15" hidden="1" x14ac:dyDescent="0.25">
      <c r="B8082" s="4">
        <v>584659972</v>
      </c>
      <c r="C8082" s="4" t="s">
        <v>277</v>
      </c>
      <c r="D8082" s="4">
        <v>131</v>
      </c>
      <c r="E8082" s="4">
        <v>61</v>
      </c>
      <c r="G8082">
        <f t="shared" si="126"/>
        <v>544</v>
      </c>
    </row>
    <row r="8083" spans="2:7" ht="15" hidden="1" x14ac:dyDescent="0.25">
      <c r="B8083" s="4">
        <v>584660048</v>
      </c>
      <c r="C8083" s="4" t="s">
        <v>272</v>
      </c>
      <c r="D8083" s="4">
        <v>382</v>
      </c>
      <c r="E8083" s="4">
        <v>261</v>
      </c>
      <c r="G8083">
        <f t="shared" si="126"/>
        <v>2144</v>
      </c>
    </row>
    <row r="8084" spans="2:7" ht="15" hidden="1" x14ac:dyDescent="0.25">
      <c r="B8084" s="4">
        <v>584660148</v>
      </c>
      <c r="C8084" s="4" t="s">
        <v>272</v>
      </c>
      <c r="D8084" s="4">
        <v>383</v>
      </c>
      <c r="E8084" s="4">
        <v>261</v>
      </c>
      <c r="G8084">
        <f t="shared" si="126"/>
        <v>2144</v>
      </c>
    </row>
    <row r="8085" spans="2:7" ht="15" hidden="1" x14ac:dyDescent="0.25">
      <c r="B8085" s="4">
        <v>584660202</v>
      </c>
      <c r="C8085" s="4" t="s">
        <v>279</v>
      </c>
      <c r="D8085" s="4">
        <v>132</v>
      </c>
      <c r="E8085" s="4">
        <v>259</v>
      </c>
      <c r="G8085">
        <f t="shared" si="126"/>
        <v>2128</v>
      </c>
    </row>
    <row r="8086" spans="2:7" ht="15" hidden="1" x14ac:dyDescent="0.25">
      <c r="B8086" s="4">
        <v>584660225</v>
      </c>
      <c r="C8086" s="4" t="s">
        <v>277</v>
      </c>
      <c r="D8086" s="4">
        <v>132</v>
      </c>
      <c r="E8086" s="4">
        <v>57</v>
      </c>
      <c r="G8086">
        <f t="shared" si="126"/>
        <v>512</v>
      </c>
    </row>
    <row r="8087" spans="2:7" ht="15" hidden="1" x14ac:dyDescent="0.25">
      <c r="B8087" s="4">
        <v>584660248</v>
      </c>
      <c r="C8087" s="4" t="s">
        <v>272</v>
      </c>
      <c r="D8087" s="4">
        <v>384</v>
      </c>
      <c r="E8087" s="4">
        <v>267</v>
      </c>
      <c r="G8087">
        <f t="shared" si="126"/>
        <v>2192</v>
      </c>
    </row>
    <row r="8088" spans="2:7" ht="15" hidden="1" x14ac:dyDescent="0.25">
      <c r="B8088" s="4">
        <v>584660340</v>
      </c>
      <c r="C8088" s="4" t="s">
        <v>279</v>
      </c>
      <c r="D8088" s="4">
        <v>133</v>
      </c>
      <c r="E8088" s="4">
        <v>273</v>
      </c>
      <c r="G8088">
        <f t="shared" si="126"/>
        <v>2240</v>
      </c>
    </row>
    <row r="8089" spans="2:7" ht="15" hidden="1" x14ac:dyDescent="0.25">
      <c r="B8089" s="4">
        <v>584660344</v>
      </c>
      <c r="C8089" s="4" t="s">
        <v>269</v>
      </c>
      <c r="D8089" s="4">
        <v>1630</v>
      </c>
      <c r="E8089" s="4">
        <v>57</v>
      </c>
      <c r="G8089">
        <f t="shared" si="126"/>
        <v>512</v>
      </c>
    </row>
    <row r="8090" spans="2:7" ht="15" hidden="1" x14ac:dyDescent="0.25">
      <c r="B8090" s="4">
        <v>584660348</v>
      </c>
      <c r="C8090" s="4" t="s">
        <v>272</v>
      </c>
      <c r="D8090" s="4">
        <v>385</v>
      </c>
      <c r="E8090" s="4">
        <v>267</v>
      </c>
      <c r="G8090">
        <f t="shared" si="126"/>
        <v>2192</v>
      </c>
    </row>
    <row r="8091" spans="2:7" ht="15" hidden="1" x14ac:dyDescent="0.25">
      <c r="B8091" s="4">
        <v>584660363</v>
      </c>
      <c r="C8091" s="4" t="s">
        <v>277</v>
      </c>
      <c r="D8091" s="4">
        <v>133</v>
      </c>
      <c r="E8091" s="4">
        <v>61</v>
      </c>
      <c r="G8091">
        <f t="shared" si="126"/>
        <v>544</v>
      </c>
    </row>
    <row r="8092" spans="2:7" ht="15" hidden="1" x14ac:dyDescent="0.25">
      <c r="B8092" s="4">
        <v>584660448</v>
      </c>
      <c r="C8092" s="4" t="s">
        <v>272</v>
      </c>
      <c r="D8092" s="4">
        <v>386</v>
      </c>
      <c r="E8092" s="4">
        <v>265</v>
      </c>
      <c r="G8092">
        <f t="shared" si="126"/>
        <v>2176</v>
      </c>
    </row>
    <row r="8093" spans="2:7" ht="15" hidden="1" x14ac:dyDescent="0.25">
      <c r="B8093" s="4">
        <v>584660501</v>
      </c>
      <c r="C8093" s="4" t="s">
        <v>279</v>
      </c>
      <c r="D8093" s="4">
        <v>134</v>
      </c>
      <c r="E8093" s="4">
        <v>261</v>
      </c>
      <c r="G8093">
        <f t="shared" si="126"/>
        <v>2144</v>
      </c>
    </row>
    <row r="8094" spans="2:7" ht="15" hidden="1" x14ac:dyDescent="0.25">
      <c r="B8094" s="4">
        <v>584660524</v>
      </c>
      <c r="C8094" s="4" t="s">
        <v>277</v>
      </c>
      <c r="D8094" s="4">
        <v>134</v>
      </c>
      <c r="E8094" s="4">
        <v>59</v>
      </c>
      <c r="G8094">
        <f t="shared" si="126"/>
        <v>528</v>
      </c>
    </row>
    <row r="8095" spans="2:7" ht="15" hidden="1" x14ac:dyDescent="0.25">
      <c r="B8095" s="4">
        <v>584660548</v>
      </c>
      <c r="C8095" s="4" t="s">
        <v>272</v>
      </c>
      <c r="D8095" s="4">
        <v>387</v>
      </c>
      <c r="E8095" s="4">
        <v>275</v>
      </c>
      <c r="G8095">
        <f t="shared" si="126"/>
        <v>2256</v>
      </c>
    </row>
    <row r="8096" spans="2:7" ht="15" hidden="1" x14ac:dyDescent="0.25">
      <c r="B8096" s="4">
        <v>584660648</v>
      </c>
      <c r="C8096" s="4" t="s">
        <v>272</v>
      </c>
      <c r="D8096" s="4">
        <v>388</v>
      </c>
      <c r="E8096" s="4">
        <v>273</v>
      </c>
      <c r="G8096">
        <f t="shared" si="126"/>
        <v>2240</v>
      </c>
    </row>
    <row r="8097" spans="2:7" ht="15" hidden="1" x14ac:dyDescent="0.25">
      <c r="B8097" s="4">
        <v>584660748</v>
      </c>
      <c r="C8097" s="4" t="s">
        <v>272</v>
      </c>
      <c r="D8097" s="4">
        <v>389</v>
      </c>
      <c r="E8097" s="4">
        <v>269</v>
      </c>
      <c r="G8097">
        <f t="shared" si="126"/>
        <v>2208</v>
      </c>
    </row>
    <row r="8098" spans="2:7" ht="15" hidden="1" x14ac:dyDescent="0.25">
      <c r="B8098" s="4">
        <v>584660754</v>
      </c>
      <c r="C8098" s="4" t="s">
        <v>279</v>
      </c>
      <c r="D8098" s="4">
        <v>135</v>
      </c>
      <c r="E8098" s="4">
        <v>247</v>
      </c>
      <c r="G8098">
        <f t="shared" si="126"/>
        <v>2032</v>
      </c>
    </row>
    <row r="8099" spans="2:7" ht="15" hidden="1" x14ac:dyDescent="0.25">
      <c r="B8099" s="4">
        <v>584660777</v>
      </c>
      <c r="C8099" s="4" t="s">
        <v>277</v>
      </c>
      <c r="D8099" s="4">
        <v>135</v>
      </c>
      <c r="E8099" s="4">
        <v>61</v>
      </c>
      <c r="G8099">
        <f t="shared" si="126"/>
        <v>544</v>
      </c>
    </row>
    <row r="8100" spans="2:7" ht="15" hidden="1" x14ac:dyDescent="0.25">
      <c r="B8100" s="4">
        <v>584660848</v>
      </c>
      <c r="C8100" s="4" t="s">
        <v>272</v>
      </c>
      <c r="D8100" s="4">
        <v>390</v>
      </c>
      <c r="E8100" s="4">
        <v>263</v>
      </c>
      <c r="G8100">
        <f t="shared" si="126"/>
        <v>2160</v>
      </c>
    </row>
    <row r="8101" spans="2:7" ht="15" hidden="1" x14ac:dyDescent="0.25">
      <c r="B8101" s="4">
        <v>584660892</v>
      </c>
      <c r="C8101" s="4" t="s">
        <v>279</v>
      </c>
      <c r="D8101" s="4">
        <v>136</v>
      </c>
      <c r="E8101" s="4">
        <v>241</v>
      </c>
      <c r="G8101">
        <f t="shared" si="126"/>
        <v>1984</v>
      </c>
    </row>
    <row r="8102" spans="2:7" ht="15" hidden="1" x14ac:dyDescent="0.25">
      <c r="B8102" s="4">
        <v>584660915</v>
      </c>
      <c r="C8102" s="4" t="s">
        <v>277</v>
      </c>
      <c r="D8102" s="4">
        <v>136</v>
      </c>
      <c r="E8102" s="4">
        <v>59</v>
      </c>
      <c r="G8102">
        <f t="shared" si="126"/>
        <v>528</v>
      </c>
    </row>
    <row r="8103" spans="2:7" ht="15" hidden="1" x14ac:dyDescent="0.25">
      <c r="B8103" s="4">
        <v>584660948</v>
      </c>
      <c r="C8103" s="4" t="s">
        <v>272</v>
      </c>
      <c r="D8103" s="4">
        <v>391</v>
      </c>
      <c r="E8103" s="4">
        <v>261</v>
      </c>
      <c r="G8103">
        <f t="shared" si="126"/>
        <v>2144</v>
      </c>
    </row>
    <row r="8104" spans="2:7" ht="15" hidden="1" x14ac:dyDescent="0.25">
      <c r="B8104" s="4">
        <v>584661048</v>
      </c>
      <c r="C8104" s="4" t="s">
        <v>272</v>
      </c>
      <c r="D8104" s="4">
        <v>392</v>
      </c>
      <c r="E8104" s="4">
        <v>275</v>
      </c>
      <c r="G8104">
        <f t="shared" si="126"/>
        <v>2256</v>
      </c>
    </row>
    <row r="8105" spans="2:7" ht="15" hidden="1" x14ac:dyDescent="0.25">
      <c r="B8105" s="4">
        <v>584661145</v>
      </c>
      <c r="C8105" s="4" t="s">
        <v>279</v>
      </c>
      <c r="D8105" s="4">
        <v>137</v>
      </c>
      <c r="E8105" s="4">
        <v>255</v>
      </c>
      <c r="G8105">
        <f t="shared" si="126"/>
        <v>2096</v>
      </c>
    </row>
    <row r="8106" spans="2:7" ht="15" hidden="1" x14ac:dyDescent="0.25">
      <c r="B8106" s="4">
        <v>584661148</v>
      </c>
      <c r="C8106" s="4" t="s">
        <v>272</v>
      </c>
      <c r="D8106" s="4">
        <v>393</v>
      </c>
      <c r="E8106" s="4">
        <v>271</v>
      </c>
      <c r="G8106">
        <f t="shared" si="126"/>
        <v>2224</v>
      </c>
    </row>
    <row r="8107" spans="2:7" ht="15" hidden="1" x14ac:dyDescent="0.25">
      <c r="B8107" s="4">
        <v>584661168</v>
      </c>
      <c r="C8107" s="4" t="s">
        <v>277</v>
      </c>
      <c r="D8107" s="4">
        <v>137</v>
      </c>
      <c r="E8107" s="4">
        <v>61</v>
      </c>
      <c r="G8107">
        <f t="shared" si="126"/>
        <v>544</v>
      </c>
    </row>
    <row r="8108" spans="2:7" ht="15" hidden="1" x14ac:dyDescent="0.25">
      <c r="B8108" s="4">
        <v>584661248</v>
      </c>
      <c r="C8108" s="4" t="s">
        <v>272</v>
      </c>
      <c r="D8108" s="4">
        <v>394</v>
      </c>
      <c r="E8108" s="4">
        <v>261</v>
      </c>
      <c r="G8108">
        <f t="shared" si="126"/>
        <v>2144</v>
      </c>
    </row>
    <row r="8109" spans="2:7" ht="15" hidden="1" x14ac:dyDescent="0.25">
      <c r="B8109" s="4">
        <v>584661283</v>
      </c>
      <c r="C8109" s="4" t="s">
        <v>279</v>
      </c>
      <c r="D8109" s="4">
        <v>138</v>
      </c>
      <c r="E8109" s="4">
        <v>265</v>
      </c>
      <c r="G8109">
        <f t="shared" si="126"/>
        <v>2176</v>
      </c>
    </row>
    <row r="8110" spans="2:7" ht="15" hidden="1" x14ac:dyDescent="0.25">
      <c r="B8110" s="4">
        <v>584661306</v>
      </c>
      <c r="C8110" s="4" t="s">
        <v>277</v>
      </c>
      <c r="D8110" s="4">
        <v>138</v>
      </c>
      <c r="E8110" s="4">
        <v>61</v>
      </c>
      <c r="G8110">
        <f t="shared" si="126"/>
        <v>544</v>
      </c>
    </row>
    <row r="8111" spans="2:7" ht="15" hidden="1" x14ac:dyDescent="0.25">
      <c r="B8111" s="4">
        <v>584661348</v>
      </c>
      <c r="C8111" s="4" t="s">
        <v>272</v>
      </c>
      <c r="D8111" s="4">
        <v>395</v>
      </c>
      <c r="E8111" s="4">
        <v>265</v>
      </c>
      <c r="G8111">
        <f t="shared" si="126"/>
        <v>2176</v>
      </c>
    </row>
    <row r="8112" spans="2:7" ht="15" hidden="1" x14ac:dyDescent="0.25">
      <c r="B8112" s="4">
        <v>584661448</v>
      </c>
      <c r="C8112" s="4" t="s">
        <v>272</v>
      </c>
      <c r="D8112" s="4">
        <v>396</v>
      </c>
      <c r="E8112" s="4">
        <v>267</v>
      </c>
      <c r="G8112">
        <f t="shared" si="126"/>
        <v>2192</v>
      </c>
    </row>
    <row r="8113" spans="2:7" ht="15" hidden="1" x14ac:dyDescent="0.25">
      <c r="B8113" s="4">
        <v>584661536</v>
      </c>
      <c r="C8113" s="4" t="s">
        <v>279</v>
      </c>
      <c r="D8113" s="4">
        <v>139</v>
      </c>
      <c r="E8113" s="4">
        <v>249</v>
      </c>
      <c r="G8113">
        <f t="shared" si="126"/>
        <v>2048</v>
      </c>
    </row>
    <row r="8114" spans="2:7" ht="15" hidden="1" x14ac:dyDescent="0.25">
      <c r="B8114" s="4">
        <v>584661548</v>
      </c>
      <c r="C8114" s="4" t="s">
        <v>272</v>
      </c>
      <c r="D8114" s="4">
        <v>397</v>
      </c>
      <c r="E8114" s="4">
        <v>263</v>
      </c>
      <c r="G8114">
        <f t="shared" si="126"/>
        <v>2160</v>
      </c>
    </row>
    <row r="8115" spans="2:7" ht="15" hidden="1" x14ac:dyDescent="0.25">
      <c r="B8115" s="4">
        <v>584661559</v>
      </c>
      <c r="C8115" s="4" t="s">
        <v>277</v>
      </c>
      <c r="D8115" s="4">
        <v>139</v>
      </c>
      <c r="E8115" s="4">
        <v>59</v>
      </c>
      <c r="G8115">
        <f t="shared" si="126"/>
        <v>528</v>
      </c>
    </row>
    <row r="8116" spans="2:7" ht="15" hidden="1" x14ac:dyDescent="0.25">
      <c r="B8116" s="4">
        <v>584661648</v>
      </c>
      <c r="C8116" s="4" t="s">
        <v>272</v>
      </c>
      <c r="D8116" s="4">
        <v>398</v>
      </c>
      <c r="E8116" s="4">
        <v>265</v>
      </c>
      <c r="G8116">
        <f t="shared" si="126"/>
        <v>2176</v>
      </c>
    </row>
    <row r="8117" spans="2:7" ht="15" hidden="1" x14ac:dyDescent="0.25">
      <c r="B8117" s="4">
        <v>584661674</v>
      </c>
      <c r="C8117" s="4" t="s">
        <v>279</v>
      </c>
      <c r="D8117" s="4">
        <v>140</v>
      </c>
      <c r="E8117" s="4">
        <v>279</v>
      </c>
      <c r="G8117">
        <f t="shared" si="126"/>
        <v>2288</v>
      </c>
    </row>
    <row r="8118" spans="2:7" ht="15" hidden="1" x14ac:dyDescent="0.25">
      <c r="B8118" s="4">
        <v>584661697</v>
      </c>
      <c r="C8118" s="4" t="s">
        <v>277</v>
      </c>
      <c r="D8118" s="4">
        <v>140</v>
      </c>
      <c r="E8118" s="4">
        <v>59</v>
      </c>
      <c r="G8118">
        <f t="shared" si="126"/>
        <v>528</v>
      </c>
    </row>
    <row r="8119" spans="2:7" ht="15" hidden="1" x14ac:dyDescent="0.25">
      <c r="B8119" s="4">
        <v>584661748</v>
      </c>
      <c r="C8119" s="4" t="s">
        <v>272</v>
      </c>
      <c r="D8119" s="4">
        <v>399</v>
      </c>
      <c r="E8119" s="4">
        <v>263</v>
      </c>
      <c r="G8119">
        <f t="shared" si="126"/>
        <v>2160</v>
      </c>
    </row>
    <row r="8120" spans="2:7" ht="15" hidden="1" x14ac:dyDescent="0.25">
      <c r="B8120" s="4">
        <v>584661848</v>
      </c>
      <c r="C8120" s="4" t="s">
        <v>272</v>
      </c>
      <c r="D8120" s="4">
        <v>400</v>
      </c>
      <c r="E8120" s="4">
        <v>267</v>
      </c>
      <c r="G8120">
        <f t="shared" si="126"/>
        <v>2192</v>
      </c>
    </row>
    <row r="8121" spans="2:7" ht="15" hidden="1" x14ac:dyDescent="0.25">
      <c r="B8121" s="4">
        <v>584661904</v>
      </c>
      <c r="C8121" s="4" t="s">
        <v>279</v>
      </c>
      <c r="D8121" s="4">
        <v>141</v>
      </c>
      <c r="E8121" s="4">
        <v>257</v>
      </c>
      <c r="G8121">
        <f t="shared" si="126"/>
        <v>2112</v>
      </c>
    </row>
    <row r="8122" spans="2:7" ht="15" hidden="1" x14ac:dyDescent="0.25">
      <c r="B8122" s="4">
        <v>584661927</v>
      </c>
      <c r="C8122" s="4" t="s">
        <v>277</v>
      </c>
      <c r="D8122" s="4">
        <v>141</v>
      </c>
      <c r="E8122" s="4">
        <v>55</v>
      </c>
      <c r="G8122">
        <f t="shared" si="126"/>
        <v>496</v>
      </c>
    </row>
    <row r="8123" spans="2:7" ht="15" hidden="1" x14ac:dyDescent="0.25">
      <c r="B8123" s="4">
        <v>584661948</v>
      </c>
      <c r="C8123" s="4" t="s">
        <v>272</v>
      </c>
      <c r="D8123" s="4">
        <v>401</v>
      </c>
      <c r="E8123" s="4">
        <v>269</v>
      </c>
      <c r="G8123">
        <f t="shared" si="126"/>
        <v>2208</v>
      </c>
    </row>
    <row r="8124" spans="2:7" ht="15" hidden="1" x14ac:dyDescent="0.25">
      <c r="B8124" s="4">
        <v>584662008</v>
      </c>
      <c r="C8124" s="4" t="s">
        <v>273</v>
      </c>
      <c r="D8124" s="4">
        <v>2071</v>
      </c>
      <c r="E8124" s="4">
        <v>317</v>
      </c>
      <c r="G8124">
        <f t="shared" si="126"/>
        <v>2592</v>
      </c>
    </row>
    <row r="8125" spans="2:7" ht="15" hidden="1" x14ac:dyDescent="0.25">
      <c r="B8125" s="4">
        <v>584662048</v>
      </c>
      <c r="C8125" s="4" t="s">
        <v>272</v>
      </c>
      <c r="D8125" s="4">
        <v>402</v>
      </c>
      <c r="E8125" s="4">
        <v>267</v>
      </c>
      <c r="G8125">
        <f t="shared" si="126"/>
        <v>2192</v>
      </c>
    </row>
    <row r="8126" spans="2:7" ht="15" hidden="1" x14ac:dyDescent="0.25">
      <c r="B8126" s="4">
        <v>584662144</v>
      </c>
      <c r="C8126" s="4" t="s">
        <v>269</v>
      </c>
      <c r="D8126" s="4">
        <v>1631</v>
      </c>
      <c r="E8126" s="4">
        <v>57</v>
      </c>
      <c r="G8126">
        <f t="shared" si="126"/>
        <v>512</v>
      </c>
    </row>
    <row r="8127" spans="2:7" ht="15" x14ac:dyDescent="0.25">
      <c r="B8127" s="4">
        <v>584662148</v>
      </c>
      <c r="C8127" s="4" t="s">
        <v>270</v>
      </c>
      <c r="D8127" s="4">
        <v>9</v>
      </c>
      <c r="E8127" s="4">
        <v>1160</v>
      </c>
      <c r="G8127">
        <f t="shared" si="126"/>
        <v>9336</v>
      </c>
    </row>
    <row r="8128" spans="2:7" ht="15" x14ac:dyDescent="0.25">
      <c r="B8128" s="4">
        <v>584662148</v>
      </c>
      <c r="C8128" s="4" t="s">
        <v>271</v>
      </c>
      <c r="D8128" s="4">
        <v>9</v>
      </c>
      <c r="E8128" s="4">
        <v>1160</v>
      </c>
      <c r="G8128">
        <f t="shared" si="126"/>
        <v>9336</v>
      </c>
    </row>
    <row r="8129" spans="2:7" ht="15" hidden="1" x14ac:dyDescent="0.25">
      <c r="B8129" s="4">
        <v>584662149</v>
      </c>
      <c r="C8129" s="4" t="s">
        <v>272</v>
      </c>
      <c r="D8129" s="4">
        <v>403</v>
      </c>
      <c r="E8129" s="4">
        <v>273</v>
      </c>
      <c r="G8129">
        <f t="shared" si="126"/>
        <v>2240</v>
      </c>
    </row>
    <row r="8130" spans="2:7" ht="15" hidden="1" x14ac:dyDescent="0.25">
      <c r="B8130" s="4">
        <v>584662157</v>
      </c>
      <c r="C8130" s="4" t="s">
        <v>279</v>
      </c>
      <c r="D8130" s="4">
        <v>142</v>
      </c>
      <c r="E8130" s="4">
        <v>265</v>
      </c>
      <c r="G8130">
        <f t="shared" si="126"/>
        <v>2176</v>
      </c>
    </row>
    <row r="8131" spans="2:7" ht="15" hidden="1" x14ac:dyDescent="0.25">
      <c r="B8131" s="4">
        <v>584662180</v>
      </c>
      <c r="C8131" s="4" t="s">
        <v>277</v>
      </c>
      <c r="D8131" s="4">
        <v>142</v>
      </c>
      <c r="E8131" s="4">
        <v>59</v>
      </c>
      <c r="G8131">
        <f t="shared" si="126"/>
        <v>528</v>
      </c>
    </row>
    <row r="8132" spans="2:7" ht="15" hidden="1" x14ac:dyDescent="0.25">
      <c r="B8132" s="4">
        <v>584662248</v>
      </c>
      <c r="C8132" s="4" t="s">
        <v>272</v>
      </c>
      <c r="D8132" s="4">
        <v>404</v>
      </c>
      <c r="E8132" s="4">
        <v>267</v>
      </c>
      <c r="G8132">
        <f t="shared" ref="G8132:G8195" si="127">(E8132+7)*8</f>
        <v>2192</v>
      </c>
    </row>
    <row r="8133" spans="2:7" ht="15" hidden="1" x14ac:dyDescent="0.25">
      <c r="B8133" s="4">
        <v>584662295</v>
      </c>
      <c r="C8133" s="4" t="s">
        <v>279</v>
      </c>
      <c r="D8133" s="4">
        <v>143</v>
      </c>
      <c r="E8133" s="4">
        <v>259</v>
      </c>
      <c r="G8133">
        <f t="shared" si="127"/>
        <v>2128</v>
      </c>
    </row>
    <row r="8134" spans="2:7" ht="15" hidden="1" x14ac:dyDescent="0.25">
      <c r="B8134" s="4">
        <v>584662318</v>
      </c>
      <c r="C8134" s="4" t="s">
        <v>277</v>
      </c>
      <c r="D8134" s="4">
        <v>143</v>
      </c>
      <c r="E8134" s="4">
        <v>61</v>
      </c>
      <c r="G8134">
        <f t="shared" si="127"/>
        <v>544</v>
      </c>
    </row>
    <row r="8135" spans="2:7" ht="15" hidden="1" x14ac:dyDescent="0.25">
      <c r="B8135" s="4">
        <v>584662348</v>
      </c>
      <c r="C8135" s="4" t="s">
        <v>272</v>
      </c>
      <c r="D8135" s="4">
        <v>405</v>
      </c>
      <c r="E8135" s="4">
        <v>273</v>
      </c>
      <c r="G8135">
        <f t="shared" si="127"/>
        <v>2240</v>
      </c>
    </row>
    <row r="8136" spans="2:7" ht="15" hidden="1" x14ac:dyDescent="0.25">
      <c r="B8136" s="4">
        <v>584662448</v>
      </c>
      <c r="C8136" s="4" t="s">
        <v>272</v>
      </c>
      <c r="D8136" s="4">
        <v>406</v>
      </c>
      <c r="E8136" s="4">
        <v>267</v>
      </c>
      <c r="G8136">
        <f t="shared" si="127"/>
        <v>2192</v>
      </c>
    </row>
    <row r="8137" spans="2:7" ht="15" hidden="1" x14ac:dyDescent="0.25">
      <c r="B8137" s="4">
        <v>584662548</v>
      </c>
      <c r="C8137" s="4" t="s">
        <v>272</v>
      </c>
      <c r="D8137" s="4">
        <v>407</v>
      </c>
      <c r="E8137" s="4">
        <v>267</v>
      </c>
      <c r="G8137">
        <f t="shared" si="127"/>
        <v>2192</v>
      </c>
    </row>
    <row r="8138" spans="2:7" ht="15" hidden="1" x14ac:dyDescent="0.25">
      <c r="B8138" s="4">
        <v>584662548</v>
      </c>
      <c r="C8138" s="4" t="s">
        <v>279</v>
      </c>
      <c r="D8138" s="4">
        <v>144</v>
      </c>
      <c r="E8138" s="4">
        <v>273</v>
      </c>
      <c r="G8138">
        <f t="shared" si="127"/>
        <v>2240</v>
      </c>
    </row>
    <row r="8139" spans="2:7" ht="15" hidden="1" x14ac:dyDescent="0.25">
      <c r="B8139" s="4">
        <v>584662571</v>
      </c>
      <c r="C8139" s="4" t="s">
        <v>277</v>
      </c>
      <c r="D8139" s="4">
        <v>144</v>
      </c>
      <c r="E8139" s="4">
        <v>57</v>
      </c>
      <c r="G8139">
        <f t="shared" si="127"/>
        <v>512</v>
      </c>
    </row>
    <row r="8140" spans="2:7" ht="15" hidden="1" x14ac:dyDescent="0.25">
      <c r="B8140" s="4">
        <v>584662648</v>
      </c>
      <c r="C8140" s="4" t="s">
        <v>272</v>
      </c>
      <c r="D8140" s="4">
        <v>408</v>
      </c>
      <c r="E8140" s="4">
        <v>269</v>
      </c>
      <c r="G8140">
        <f t="shared" si="127"/>
        <v>2208</v>
      </c>
    </row>
    <row r="8141" spans="2:7" ht="15" hidden="1" x14ac:dyDescent="0.25">
      <c r="B8141" s="4">
        <v>584662686</v>
      </c>
      <c r="C8141" s="4" t="s">
        <v>279</v>
      </c>
      <c r="D8141" s="4">
        <v>145</v>
      </c>
      <c r="E8141" s="4">
        <v>257</v>
      </c>
      <c r="G8141">
        <f t="shared" si="127"/>
        <v>2112</v>
      </c>
    </row>
    <row r="8142" spans="2:7" ht="15" hidden="1" x14ac:dyDescent="0.25">
      <c r="B8142" s="4">
        <v>584662709</v>
      </c>
      <c r="C8142" s="4" t="s">
        <v>277</v>
      </c>
      <c r="D8142" s="4">
        <v>145</v>
      </c>
      <c r="E8142" s="4">
        <v>59</v>
      </c>
      <c r="G8142">
        <f t="shared" si="127"/>
        <v>528</v>
      </c>
    </row>
    <row r="8143" spans="2:7" ht="15" hidden="1" x14ac:dyDescent="0.25">
      <c r="B8143" s="4">
        <v>584662748</v>
      </c>
      <c r="C8143" s="4" t="s">
        <v>272</v>
      </c>
      <c r="D8143" s="4">
        <v>409</v>
      </c>
      <c r="E8143" s="4">
        <v>261</v>
      </c>
      <c r="G8143">
        <f t="shared" si="127"/>
        <v>2144</v>
      </c>
    </row>
    <row r="8144" spans="2:7" ht="15" hidden="1" x14ac:dyDescent="0.25">
      <c r="B8144" s="4">
        <v>584662824</v>
      </c>
      <c r="C8144" s="4" t="s">
        <v>279</v>
      </c>
      <c r="D8144" s="4">
        <v>146</v>
      </c>
      <c r="E8144" s="4">
        <v>243</v>
      </c>
      <c r="G8144">
        <f t="shared" si="127"/>
        <v>2000</v>
      </c>
    </row>
    <row r="8145" spans="2:7" ht="15" hidden="1" x14ac:dyDescent="0.25">
      <c r="B8145" s="4">
        <v>584662847</v>
      </c>
      <c r="C8145" s="4" t="s">
        <v>277</v>
      </c>
      <c r="D8145" s="4">
        <v>146</v>
      </c>
      <c r="E8145" s="4">
        <v>57</v>
      </c>
      <c r="G8145">
        <f t="shared" si="127"/>
        <v>512</v>
      </c>
    </row>
    <row r="8146" spans="2:7" ht="15" hidden="1" x14ac:dyDescent="0.25">
      <c r="B8146" s="4">
        <v>584662848</v>
      </c>
      <c r="C8146" s="4" t="s">
        <v>272</v>
      </c>
      <c r="D8146" s="4">
        <v>410</v>
      </c>
      <c r="E8146" s="4">
        <v>257</v>
      </c>
      <c r="G8146">
        <f t="shared" si="127"/>
        <v>2112</v>
      </c>
    </row>
    <row r="8147" spans="2:7" ht="15" hidden="1" x14ac:dyDescent="0.25">
      <c r="B8147" s="4">
        <v>584662948</v>
      </c>
      <c r="C8147" s="4" t="s">
        <v>272</v>
      </c>
      <c r="D8147" s="4">
        <v>411</v>
      </c>
      <c r="E8147" s="4">
        <v>271</v>
      </c>
      <c r="G8147">
        <f t="shared" si="127"/>
        <v>2224</v>
      </c>
    </row>
    <row r="8148" spans="2:7" ht="15" hidden="1" x14ac:dyDescent="0.25">
      <c r="B8148" s="4">
        <v>584663048</v>
      </c>
      <c r="C8148" s="4" t="s">
        <v>272</v>
      </c>
      <c r="D8148" s="4">
        <v>412</v>
      </c>
      <c r="E8148" s="4">
        <v>263</v>
      </c>
      <c r="G8148">
        <f t="shared" si="127"/>
        <v>2160</v>
      </c>
    </row>
    <row r="8149" spans="2:7" ht="15" hidden="1" x14ac:dyDescent="0.25">
      <c r="B8149" s="4">
        <v>584663077</v>
      </c>
      <c r="C8149" s="4" t="s">
        <v>279</v>
      </c>
      <c r="D8149" s="4">
        <v>147</v>
      </c>
      <c r="E8149" s="4">
        <v>271</v>
      </c>
      <c r="G8149">
        <f t="shared" si="127"/>
        <v>2224</v>
      </c>
    </row>
    <row r="8150" spans="2:7" ht="15" hidden="1" x14ac:dyDescent="0.25">
      <c r="B8150" s="4">
        <v>584663100</v>
      </c>
      <c r="C8150" s="4" t="s">
        <v>277</v>
      </c>
      <c r="D8150" s="4">
        <v>147</v>
      </c>
      <c r="E8150" s="4">
        <v>61</v>
      </c>
      <c r="G8150">
        <f t="shared" si="127"/>
        <v>544</v>
      </c>
    </row>
    <row r="8151" spans="2:7" ht="15" hidden="1" x14ac:dyDescent="0.25">
      <c r="B8151" s="4">
        <v>584663148</v>
      </c>
      <c r="C8151" s="4" t="s">
        <v>272</v>
      </c>
      <c r="D8151" s="4">
        <v>413</v>
      </c>
      <c r="E8151" s="4">
        <v>261</v>
      </c>
      <c r="G8151">
        <f t="shared" si="127"/>
        <v>2144</v>
      </c>
    </row>
    <row r="8152" spans="2:7" ht="15" hidden="1" x14ac:dyDescent="0.25">
      <c r="B8152" s="4">
        <v>584663238</v>
      </c>
      <c r="C8152" s="4" t="s">
        <v>279</v>
      </c>
      <c r="D8152" s="4">
        <v>148</v>
      </c>
      <c r="E8152" s="4">
        <v>231</v>
      </c>
      <c r="G8152">
        <f t="shared" si="127"/>
        <v>1904</v>
      </c>
    </row>
    <row r="8153" spans="2:7" ht="15" hidden="1" x14ac:dyDescent="0.25">
      <c r="B8153" s="4">
        <v>584663248</v>
      </c>
      <c r="C8153" s="4" t="s">
        <v>272</v>
      </c>
      <c r="D8153" s="4">
        <v>414</v>
      </c>
      <c r="E8153" s="4">
        <v>263</v>
      </c>
      <c r="G8153">
        <f t="shared" si="127"/>
        <v>2160</v>
      </c>
    </row>
    <row r="8154" spans="2:7" ht="15" hidden="1" x14ac:dyDescent="0.25">
      <c r="B8154" s="4">
        <v>584663261</v>
      </c>
      <c r="C8154" s="4" t="s">
        <v>277</v>
      </c>
      <c r="D8154" s="4">
        <v>148</v>
      </c>
      <c r="E8154" s="4">
        <v>59</v>
      </c>
      <c r="G8154">
        <f t="shared" si="127"/>
        <v>528</v>
      </c>
    </row>
    <row r="8155" spans="2:7" ht="15" hidden="1" x14ac:dyDescent="0.25">
      <c r="B8155" s="4">
        <v>584663348</v>
      </c>
      <c r="C8155" s="4" t="s">
        <v>272</v>
      </c>
      <c r="D8155" s="4">
        <v>415</v>
      </c>
      <c r="E8155" s="4">
        <v>273</v>
      </c>
      <c r="G8155">
        <f t="shared" si="127"/>
        <v>2240</v>
      </c>
    </row>
    <row r="8156" spans="2:7" ht="15" hidden="1" x14ac:dyDescent="0.25">
      <c r="B8156" s="4">
        <v>584663448</v>
      </c>
      <c r="C8156" s="4" t="s">
        <v>272</v>
      </c>
      <c r="D8156" s="4">
        <v>416</v>
      </c>
      <c r="E8156" s="4">
        <v>267</v>
      </c>
      <c r="G8156">
        <f t="shared" si="127"/>
        <v>2192</v>
      </c>
    </row>
    <row r="8157" spans="2:7" ht="15" hidden="1" x14ac:dyDescent="0.25">
      <c r="B8157" s="4">
        <v>584663468</v>
      </c>
      <c r="C8157" s="4" t="s">
        <v>279</v>
      </c>
      <c r="D8157" s="4">
        <v>149</v>
      </c>
      <c r="E8157" s="4">
        <v>273</v>
      </c>
      <c r="G8157">
        <f t="shared" si="127"/>
        <v>2240</v>
      </c>
    </row>
    <row r="8158" spans="2:7" ht="15" hidden="1" x14ac:dyDescent="0.25">
      <c r="B8158" s="4">
        <v>584663491</v>
      </c>
      <c r="C8158" s="4" t="s">
        <v>277</v>
      </c>
      <c r="D8158" s="4">
        <v>149</v>
      </c>
      <c r="E8158" s="4">
        <v>59</v>
      </c>
      <c r="G8158">
        <f t="shared" si="127"/>
        <v>528</v>
      </c>
    </row>
    <row r="8159" spans="2:7" ht="15" hidden="1" x14ac:dyDescent="0.25">
      <c r="B8159" s="4">
        <v>584663548</v>
      </c>
      <c r="C8159" s="4" t="s">
        <v>272</v>
      </c>
      <c r="D8159" s="4">
        <v>417</v>
      </c>
      <c r="E8159" s="4">
        <v>263</v>
      </c>
      <c r="G8159">
        <f t="shared" si="127"/>
        <v>2160</v>
      </c>
    </row>
    <row r="8160" spans="2:7" ht="15" hidden="1" x14ac:dyDescent="0.25">
      <c r="B8160" s="4">
        <v>584663629</v>
      </c>
      <c r="C8160" s="4" t="s">
        <v>279</v>
      </c>
      <c r="D8160" s="4">
        <v>150</v>
      </c>
      <c r="E8160" s="4">
        <v>255</v>
      </c>
      <c r="G8160">
        <f t="shared" si="127"/>
        <v>2096</v>
      </c>
    </row>
    <row r="8161" spans="2:7" ht="15" hidden="1" x14ac:dyDescent="0.25">
      <c r="B8161" s="4">
        <v>584663648</v>
      </c>
      <c r="C8161" s="4" t="s">
        <v>272</v>
      </c>
      <c r="D8161" s="4">
        <v>418</v>
      </c>
      <c r="E8161" s="4">
        <v>269</v>
      </c>
      <c r="G8161">
        <f t="shared" si="127"/>
        <v>2208</v>
      </c>
    </row>
    <row r="8162" spans="2:7" ht="15" hidden="1" x14ac:dyDescent="0.25">
      <c r="B8162" s="4">
        <v>584663652</v>
      </c>
      <c r="C8162" s="4" t="s">
        <v>277</v>
      </c>
      <c r="D8162" s="4">
        <v>150</v>
      </c>
      <c r="E8162" s="4">
        <v>59</v>
      </c>
      <c r="G8162">
        <f t="shared" si="127"/>
        <v>528</v>
      </c>
    </row>
    <row r="8163" spans="2:7" ht="15" hidden="1" x14ac:dyDescent="0.25">
      <c r="B8163" s="4">
        <v>584663748</v>
      </c>
      <c r="C8163" s="4" t="s">
        <v>272</v>
      </c>
      <c r="D8163" s="4">
        <v>419</v>
      </c>
      <c r="E8163" s="4">
        <v>265</v>
      </c>
      <c r="G8163">
        <f t="shared" si="127"/>
        <v>2176</v>
      </c>
    </row>
    <row r="8164" spans="2:7" ht="15" hidden="1" x14ac:dyDescent="0.25">
      <c r="B8164" s="4">
        <v>584663848</v>
      </c>
      <c r="C8164" s="4" t="s">
        <v>272</v>
      </c>
      <c r="D8164" s="4">
        <v>420</v>
      </c>
      <c r="E8164" s="4">
        <v>263</v>
      </c>
      <c r="G8164">
        <f t="shared" si="127"/>
        <v>2160</v>
      </c>
    </row>
    <row r="8165" spans="2:7" ht="15" hidden="1" x14ac:dyDescent="0.25">
      <c r="B8165" s="4">
        <v>584663882</v>
      </c>
      <c r="C8165" s="4" t="s">
        <v>279</v>
      </c>
      <c r="D8165" s="4">
        <v>151</v>
      </c>
      <c r="E8165" s="4">
        <v>257</v>
      </c>
      <c r="G8165">
        <f t="shared" si="127"/>
        <v>2112</v>
      </c>
    </row>
    <row r="8166" spans="2:7" ht="15" hidden="1" x14ac:dyDescent="0.25">
      <c r="B8166" s="4">
        <v>584663905</v>
      </c>
      <c r="C8166" s="4" t="s">
        <v>277</v>
      </c>
      <c r="D8166" s="4">
        <v>151</v>
      </c>
      <c r="E8166" s="4">
        <v>61</v>
      </c>
      <c r="G8166">
        <f t="shared" si="127"/>
        <v>544</v>
      </c>
    </row>
    <row r="8167" spans="2:7" ht="15" hidden="1" x14ac:dyDescent="0.25">
      <c r="B8167" s="4">
        <v>584663944</v>
      </c>
      <c r="C8167" s="4" t="s">
        <v>269</v>
      </c>
      <c r="D8167" s="4">
        <v>1632</v>
      </c>
      <c r="E8167" s="4">
        <v>57</v>
      </c>
      <c r="G8167">
        <f t="shared" si="127"/>
        <v>512</v>
      </c>
    </row>
    <row r="8168" spans="2:7" ht="15" hidden="1" x14ac:dyDescent="0.25">
      <c r="B8168" s="4">
        <v>584663948</v>
      </c>
      <c r="C8168" s="4" t="s">
        <v>272</v>
      </c>
      <c r="D8168" s="4">
        <v>421</v>
      </c>
      <c r="E8168" s="4">
        <v>269</v>
      </c>
      <c r="G8168">
        <f t="shared" si="127"/>
        <v>2208</v>
      </c>
    </row>
    <row r="8169" spans="2:7" ht="15" hidden="1" x14ac:dyDescent="0.25">
      <c r="B8169" s="4">
        <v>584664020</v>
      </c>
      <c r="C8169" s="4" t="s">
        <v>279</v>
      </c>
      <c r="D8169" s="4">
        <v>152</v>
      </c>
      <c r="E8169" s="4">
        <v>255</v>
      </c>
      <c r="G8169">
        <f t="shared" si="127"/>
        <v>2096</v>
      </c>
    </row>
    <row r="8170" spans="2:7" ht="15" hidden="1" x14ac:dyDescent="0.25">
      <c r="B8170" s="4">
        <v>584664043</v>
      </c>
      <c r="C8170" s="4" t="s">
        <v>277</v>
      </c>
      <c r="D8170" s="4">
        <v>152</v>
      </c>
      <c r="E8170" s="4">
        <v>57</v>
      </c>
      <c r="G8170">
        <f t="shared" si="127"/>
        <v>512</v>
      </c>
    </row>
    <row r="8171" spans="2:7" ht="15" hidden="1" x14ac:dyDescent="0.25">
      <c r="B8171" s="4">
        <v>584664048</v>
      </c>
      <c r="C8171" s="4" t="s">
        <v>272</v>
      </c>
      <c r="D8171" s="4">
        <v>422</v>
      </c>
      <c r="E8171" s="4">
        <v>271</v>
      </c>
      <c r="G8171">
        <f t="shared" si="127"/>
        <v>2224</v>
      </c>
    </row>
    <row r="8172" spans="2:7" ht="15" hidden="1" x14ac:dyDescent="0.25">
      <c r="B8172" s="4">
        <v>584664109</v>
      </c>
      <c r="C8172" s="4" t="s">
        <v>273</v>
      </c>
      <c r="D8172" s="4">
        <v>4172</v>
      </c>
      <c r="E8172" s="4">
        <v>317</v>
      </c>
      <c r="G8172">
        <f t="shared" si="127"/>
        <v>2592</v>
      </c>
    </row>
    <row r="8173" spans="2:7" ht="15" hidden="1" x14ac:dyDescent="0.25">
      <c r="B8173" s="4">
        <v>584664148</v>
      </c>
      <c r="C8173" s="4" t="s">
        <v>272</v>
      </c>
      <c r="D8173" s="4">
        <v>423</v>
      </c>
      <c r="E8173" s="4">
        <v>259</v>
      </c>
      <c r="G8173">
        <f t="shared" si="127"/>
        <v>2128</v>
      </c>
    </row>
    <row r="8174" spans="2:7" ht="15" hidden="1" x14ac:dyDescent="0.25">
      <c r="B8174" s="4">
        <v>584664248</v>
      </c>
      <c r="C8174" s="4" t="s">
        <v>272</v>
      </c>
      <c r="D8174" s="4">
        <v>424</v>
      </c>
      <c r="E8174" s="4">
        <v>269</v>
      </c>
      <c r="G8174">
        <f t="shared" si="127"/>
        <v>2208</v>
      </c>
    </row>
    <row r="8175" spans="2:7" ht="15" hidden="1" x14ac:dyDescent="0.25">
      <c r="B8175" s="4">
        <v>584664273</v>
      </c>
      <c r="C8175" s="4" t="s">
        <v>279</v>
      </c>
      <c r="D8175" s="4">
        <v>153</v>
      </c>
      <c r="E8175" s="4">
        <v>255</v>
      </c>
      <c r="G8175">
        <f t="shared" si="127"/>
        <v>2096</v>
      </c>
    </row>
    <row r="8176" spans="2:7" ht="15" hidden="1" x14ac:dyDescent="0.25">
      <c r="B8176" s="4">
        <v>584664296</v>
      </c>
      <c r="C8176" s="4" t="s">
        <v>277</v>
      </c>
      <c r="D8176" s="4">
        <v>153</v>
      </c>
      <c r="E8176" s="4">
        <v>59</v>
      </c>
      <c r="G8176">
        <f t="shared" si="127"/>
        <v>528</v>
      </c>
    </row>
    <row r="8177" spans="2:7" ht="15" hidden="1" x14ac:dyDescent="0.25">
      <c r="B8177" s="4">
        <v>584664348</v>
      </c>
      <c r="C8177" s="4" t="s">
        <v>272</v>
      </c>
      <c r="D8177" s="4">
        <v>425</v>
      </c>
      <c r="E8177" s="4">
        <v>279</v>
      </c>
      <c r="G8177">
        <f t="shared" si="127"/>
        <v>2288</v>
      </c>
    </row>
    <row r="8178" spans="2:7" ht="15" hidden="1" x14ac:dyDescent="0.25">
      <c r="B8178" s="4">
        <v>584664411</v>
      </c>
      <c r="C8178" s="4" t="s">
        <v>279</v>
      </c>
      <c r="D8178" s="4">
        <v>154</v>
      </c>
      <c r="E8178" s="4">
        <v>271</v>
      </c>
      <c r="G8178">
        <f t="shared" si="127"/>
        <v>2224</v>
      </c>
    </row>
    <row r="8179" spans="2:7" ht="15" hidden="1" x14ac:dyDescent="0.25">
      <c r="B8179" s="4">
        <v>584664434</v>
      </c>
      <c r="C8179" s="4" t="s">
        <v>277</v>
      </c>
      <c r="D8179" s="4">
        <v>154</v>
      </c>
      <c r="E8179" s="4">
        <v>61</v>
      </c>
      <c r="G8179">
        <f t="shared" si="127"/>
        <v>544</v>
      </c>
    </row>
    <row r="8180" spans="2:7" ht="15" hidden="1" x14ac:dyDescent="0.25">
      <c r="B8180" s="4">
        <v>584664448</v>
      </c>
      <c r="C8180" s="4" t="s">
        <v>272</v>
      </c>
      <c r="D8180" s="4">
        <v>426</v>
      </c>
      <c r="E8180" s="4">
        <v>263</v>
      </c>
      <c r="G8180">
        <f t="shared" si="127"/>
        <v>2160</v>
      </c>
    </row>
    <row r="8181" spans="2:7" ht="15" hidden="1" x14ac:dyDescent="0.25">
      <c r="B8181" s="4">
        <v>584664548</v>
      </c>
      <c r="C8181" s="4" t="s">
        <v>272</v>
      </c>
      <c r="D8181" s="4">
        <v>427</v>
      </c>
      <c r="E8181" s="4">
        <v>267</v>
      </c>
      <c r="G8181">
        <f t="shared" si="127"/>
        <v>2192</v>
      </c>
    </row>
    <row r="8182" spans="2:7" ht="15" hidden="1" x14ac:dyDescent="0.25">
      <c r="B8182" s="4">
        <v>584664641</v>
      </c>
      <c r="C8182" s="4" t="s">
        <v>279</v>
      </c>
      <c r="D8182" s="4">
        <v>155</v>
      </c>
      <c r="E8182" s="4">
        <v>251</v>
      </c>
      <c r="G8182">
        <f t="shared" si="127"/>
        <v>2064</v>
      </c>
    </row>
    <row r="8183" spans="2:7" ht="15" hidden="1" x14ac:dyDescent="0.25">
      <c r="B8183" s="4">
        <v>584664648</v>
      </c>
      <c r="C8183" s="4" t="s">
        <v>272</v>
      </c>
      <c r="D8183" s="4">
        <v>428</v>
      </c>
      <c r="E8183" s="4">
        <v>267</v>
      </c>
      <c r="G8183">
        <f t="shared" si="127"/>
        <v>2192</v>
      </c>
    </row>
    <row r="8184" spans="2:7" ht="15" hidden="1" x14ac:dyDescent="0.25">
      <c r="B8184" s="4">
        <v>584664664</v>
      </c>
      <c r="C8184" s="4" t="s">
        <v>277</v>
      </c>
      <c r="D8184" s="4">
        <v>155</v>
      </c>
      <c r="E8184" s="4">
        <v>61</v>
      </c>
      <c r="G8184">
        <f t="shared" si="127"/>
        <v>544</v>
      </c>
    </row>
    <row r="8185" spans="2:7" ht="15" hidden="1" x14ac:dyDescent="0.25">
      <c r="B8185" s="4">
        <v>584664748</v>
      </c>
      <c r="C8185" s="4" t="s">
        <v>272</v>
      </c>
      <c r="D8185" s="4">
        <v>429</v>
      </c>
      <c r="E8185" s="4">
        <v>265</v>
      </c>
      <c r="G8185">
        <f t="shared" si="127"/>
        <v>2176</v>
      </c>
    </row>
    <row r="8186" spans="2:7" ht="15" hidden="1" x14ac:dyDescent="0.25">
      <c r="B8186" s="4">
        <v>584664779</v>
      </c>
      <c r="C8186" s="4" t="s">
        <v>279</v>
      </c>
      <c r="D8186" s="4">
        <v>156</v>
      </c>
      <c r="E8186" s="4">
        <v>259</v>
      </c>
      <c r="G8186">
        <f t="shared" si="127"/>
        <v>2128</v>
      </c>
    </row>
    <row r="8187" spans="2:7" ht="15" hidden="1" x14ac:dyDescent="0.25">
      <c r="B8187" s="4">
        <v>584664802</v>
      </c>
      <c r="C8187" s="4" t="s">
        <v>277</v>
      </c>
      <c r="D8187" s="4">
        <v>156</v>
      </c>
      <c r="E8187" s="4">
        <v>57</v>
      </c>
      <c r="G8187">
        <f t="shared" si="127"/>
        <v>512</v>
      </c>
    </row>
    <row r="8188" spans="2:7" ht="15" hidden="1" x14ac:dyDescent="0.25">
      <c r="B8188" s="4">
        <v>584664848</v>
      </c>
      <c r="C8188" s="4" t="s">
        <v>272</v>
      </c>
      <c r="D8188" s="4">
        <v>430</v>
      </c>
      <c r="E8188" s="4">
        <v>267</v>
      </c>
      <c r="G8188">
        <f t="shared" si="127"/>
        <v>2192</v>
      </c>
    </row>
    <row r="8189" spans="2:7" ht="15" hidden="1" x14ac:dyDescent="0.25">
      <c r="B8189" s="4">
        <v>584664948</v>
      </c>
      <c r="C8189" s="4" t="s">
        <v>272</v>
      </c>
      <c r="D8189" s="4">
        <v>431</v>
      </c>
      <c r="E8189" s="4">
        <v>267</v>
      </c>
      <c r="G8189">
        <f t="shared" si="127"/>
        <v>2192</v>
      </c>
    </row>
    <row r="8190" spans="2:7" ht="15" hidden="1" x14ac:dyDescent="0.25">
      <c r="B8190" s="4">
        <v>584665032</v>
      </c>
      <c r="C8190" s="4" t="s">
        <v>279</v>
      </c>
      <c r="D8190" s="4">
        <v>157</v>
      </c>
      <c r="E8190" s="4">
        <v>265</v>
      </c>
      <c r="G8190">
        <f t="shared" si="127"/>
        <v>2176</v>
      </c>
    </row>
    <row r="8191" spans="2:7" ht="15" hidden="1" x14ac:dyDescent="0.25">
      <c r="B8191" s="4">
        <v>584665048</v>
      </c>
      <c r="C8191" s="4" t="s">
        <v>272</v>
      </c>
      <c r="D8191" s="4">
        <v>432</v>
      </c>
      <c r="E8191" s="4">
        <v>261</v>
      </c>
      <c r="G8191">
        <f t="shared" si="127"/>
        <v>2144</v>
      </c>
    </row>
    <row r="8192" spans="2:7" ht="15" hidden="1" x14ac:dyDescent="0.25">
      <c r="B8192" s="4">
        <v>584665055</v>
      </c>
      <c r="C8192" s="4" t="s">
        <v>277</v>
      </c>
      <c r="D8192" s="4">
        <v>157</v>
      </c>
      <c r="E8192" s="4">
        <v>57</v>
      </c>
      <c r="G8192">
        <f t="shared" si="127"/>
        <v>512</v>
      </c>
    </row>
    <row r="8193" spans="2:7" ht="15" hidden="1" x14ac:dyDescent="0.25">
      <c r="B8193" s="4">
        <v>584665148</v>
      </c>
      <c r="C8193" s="4" t="s">
        <v>272</v>
      </c>
      <c r="D8193" s="4">
        <v>433</v>
      </c>
      <c r="E8193" s="4">
        <v>273</v>
      </c>
      <c r="G8193">
        <f t="shared" si="127"/>
        <v>2240</v>
      </c>
    </row>
    <row r="8194" spans="2:7" ht="15" hidden="1" x14ac:dyDescent="0.25">
      <c r="B8194" s="4">
        <v>584665170</v>
      </c>
      <c r="C8194" s="4" t="s">
        <v>279</v>
      </c>
      <c r="D8194" s="4">
        <v>158</v>
      </c>
      <c r="E8194" s="4">
        <v>283</v>
      </c>
      <c r="G8194">
        <f t="shared" si="127"/>
        <v>2320</v>
      </c>
    </row>
    <row r="8195" spans="2:7" ht="15" hidden="1" x14ac:dyDescent="0.25">
      <c r="B8195" s="4">
        <v>584665193</v>
      </c>
      <c r="C8195" s="4" t="s">
        <v>277</v>
      </c>
      <c r="D8195" s="4">
        <v>158</v>
      </c>
      <c r="E8195" s="4">
        <v>61</v>
      </c>
      <c r="G8195">
        <f t="shared" si="127"/>
        <v>544</v>
      </c>
    </row>
    <row r="8196" spans="2:7" ht="15" hidden="1" x14ac:dyDescent="0.25">
      <c r="B8196" s="4">
        <v>584665248</v>
      </c>
      <c r="C8196" s="4" t="s">
        <v>272</v>
      </c>
      <c r="D8196" s="4">
        <v>434</v>
      </c>
      <c r="E8196" s="4">
        <v>261</v>
      </c>
      <c r="G8196">
        <f t="shared" ref="G8196:G8259" si="128">(E8196+7)*8</f>
        <v>2144</v>
      </c>
    </row>
    <row r="8197" spans="2:7" ht="15" hidden="1" x14ac:dyDescent="0.25">
      <c r="B8197" s="4">
        <v>584665348</v>
      </c>
      <c r="C8197" s="4" t="s">
        <v>272</v>
      </c>
      <c r="D8197" s="4">
        <v>435</v>
      </c>
      <c r="E8197" s="4">
        <v>265</v>
      </c>
      <c r="G8197">
        <f t="shared" si="128"/>
        <v>2176</v>
      </c>
    </row>
    <row r="8198" spans="2:7" ht="15" hidden="1" x14ac:dyDescent="0.25">
      <c r="B8198" s="4">
        <v>584665423</v>
      </c>
      <c r="C8198" s="4" t="s">
        <v>279</v>
      </c>
      <c r="D8198" s="4">
        <v>159</v>
      </c>
      <c r="E8198" s="4">
        <v>253</v>
      </c>
      <c r="G8198">
        <f t="shared" si="128"/>
        <v>2080</v>
      </c>
    </row>
    <row r="8199" spans="2:7" ht="15" hidden="1" x14ac:dyDescent="0.25">
      <c r="B8199" s="4">
        <v>584665446</v>
      </c>
      <c r="C8199" s="4" t="s">
        <v>277</v>
      </c>
      <c r="D8199" s="4">
        <v>159</v>
      </c>
      <c r="E8199" s="4">
        <v>61</v>
      </c>
      <c r="G8199">
        <f t="shared" si="128"/>
        <v>544</v>
      </c>
    </row>
    <row r="8200" spans="2:7" ht="15" hidden="1" x14ac:dyDescent="0.25">
      <c r="B8200" s="4">
        <v>584665448</v>
      </c>
      <c r="C8200" s="4" t="s">
        <v>272</v>
      </c>
      <c r="D8200" s="4">
        <v>436</v>
      </c>
      <c r="E8200" s="4">
        <v>265</v>
      </c>
      <c r="G8200">
        <f t="shared" si="128"/>
        <v>2176</v>
      </c>
    </row>
    <row r="8201" spans="2:7" ht="15" hidden="1" x14ac:dyDescent="0.25">
      <c r="B8201" s="4">
        <v>584665548</v>
      </c>
      <c r="C8201" s="4" t="s">
        <v>272</v>
      </c>
      <c r="D8201" s="4">
        <v>437</v>
      </c>
      <c r="E8201" s="4">
        <v>271</v>
      </c>
      <c r="G8201">
        <f t="shared" si="128"/>
        <v>2224</v>
      </c>
    </row>
    <row r="8202" spans="2:7" ht="15" hidden="1" x14ac:dyDescent="0.25">
      <c r="B8202" s="4">
        <v>584665561</v>
      </c>
      <c r="C8202" s="4" t="s">
        <v>279</v>
      </c>
      <c r="D8202" s="4">
        <v>160</v>
      </c>
      <c r="E8202" s="4">
        <v>269</v>
      </c>
      <c r="G8202">
        <f t="shared" si="128"/>
        <v>2208</v>
      </c>
    </row>
    <row r="8203" spans="2:7" ht="15" hidden="1" x14ac:dyDescent="0.25">
      <c r="B8203" s="4">
        <v>584665584</v>
      </c>
      <c r="C8203" s="4" t="s">
        <v>277</v>
      </c>
      <c r="D8203" s="4">
        <v>160</v>
      </c>
      <c r="E8203" s="4">
        <v>59</v>
      </c>
      <c r="G8203">
        <f t="shared" si="128"/>
        <v>528</v>
      </c>
    </row>
    <row r="8204" spans="2:7" ht="15" hidden="1" x14ac:dyDescent="0.25">
      <c r="B8204" s="4">
        <v>584665648</v>
      </c>
      <c r="C8204" s="4" t="s">
        <v>272</v>
      </c>
      <c r="D8204" s="4">
        <v>438</v>
      </c>
      <c r="E8204" s="4">
        <v>277</v>
      </c>
      <c r="G8204">
        <f t="shared" si="128"/>
        <v>2272</v>
      </c>
    </row>
    <row r="8205" spans="2:7" ht="15" hidden="1" x14ac:dyDescent="0.25">
      <c r="B8205" s="4">
        <v>584665744</v>
      </c>
      <c r="C8205" s="4" t="s">
        <v>269</v>
      </c>
      <c r="D8205" s="4">
        <v>1633</v>
      </c>
      <c r="E8205" s="4">
        <v>57</v>
      </c>
      <c r="G8205">
        <f t="shared" si="128"/>
        <v>512</v>
      </c>
    </row>
    <row r="8206" spans="2:7" ht="15" hidden="1" x14ac:dyDescent="0.25">
      <c r="B8206" s="4">
        <v>584665748</v>
      </c>
      <c r="C8206" s="4" t="s">
        <v>272</v>
      </c>
      <c r="D8206" s="4">
        <v>439</v>
      </c>
      <c r="E8206" s="4">
        <v>267</v>
      </c>
      <c r="G8206">
        <f t="shared" si="128"/>
        <v>2192</v>
      </c>
    </row>
    <row r="8207" spans="2:7" ht="15" hidden="1" x14ac:dyDescent="0.25">
      <c r="B8207" s="4">
        <v>584665814</v>
      </c>
      <c r="C8207" s="4" t="s">
        <v>279</v>
      </c>
      <c r="D8207" s="4">
        <v>161</v>
      </c>
      <c r="E8207" s="4">
        <v>251</v>
      </c>
      <c r="G8207">
        <f t="shared" si="128"/>
        <v>2064</v>
      </c>
    </row>
    <row r="8208" spans="2:7" ht="15" hidden="1" x14ac:dyDescent="0.25">
      <c r="B8208" s="4">
        <v>584665837</v>
      </c>
      <c r="C8208" s="4" t="s">
        <v>277</v>
      </c>
      <c r="D8208" s="4">
        <v>161</v>
      </c>
      <c r="E8208" s="4">
        <v>59</v>
      </c>
      <c r="G8208">
        <f t="shared" si="128"/>
        <v>528</v>
      </c>
    </row>
    <row r="8209" spans="2:7" ht="15" hidden="1" x14ac:dyDescent="0.25">
      <c r="B8209" s="4">
        <v>584665848</v>
      </c>
      <c r="C8209" s="4" t="s">
        <v>272</v>
      </c>
      <c r="D8209" s="4">
        <v>440</v>
      </c>
      <c r="E8209" s="4">
        <v>275</v>
      </c>
      <c r="G8209">
        <f t="shared" si="128"/>
        <v>2256</v>
      </c>
    </row>
    <row r="8210" spans="2:7" ht="15" hidden="1" x14ac:dyDescent="0.25">
      <c r="B8210" s="4">
        <v>584665948</v>
      </c>
      <c r="C8210" s="4" t="s">
        <v>272</v>
      </c>
      <c r="D8210" s="4">
        <v>441</v>
      </c>
      <c r="E8210" s="4">
        <v>267</v>
      </c>
      <c r="G8210">
        <f t="shared" si="128"/>
        <v>2192</v>
      </c>
    </row>
    <row r="8211" spans="2:7" ht="15" hidden="1" x14ac:dyDescent="0.25">
      <c r="B8211" s="4">
        <v>584665952</v>
      </c>
      <c r="C8211" s="4" t="s">
        <v>279</v>
      </c>
      <c r="D8211" s="4">
        <v>162</v>
      </c>
      <c r="E8211" s="4">
        <v>259</v>
      </c>
      <c r="G8211">
        <f t="shared" si="128"/>
        <v>2128</v>
      </c>
    </row>
    <row r="8212" spans="2:7" ht="15" hidden="1" x14ac:dyDescent="0.25">
      <c r="B8212" s="4">
        <v>584665975</v>
      </c>
      <c r="C8212" s="4" t="s">
        <v>277</v>
      </c>
      <c r="D8212" s="4">
        <v>162</v>
      </c>
      <c r="E8212" s="4">
        <v>61</v>
      </c>
      <c r="G8212">
        <f t="shared" si="128"/>
        <v>544</v>
      </c>
    </row>
    <row r="8213" spans="2:7" ht="15" hidden="1" x14ac:dyDescent="0.25">
      <c r="B8213" s="4">
        <v>584666048</v>
      </c>
      <c r="C8213" s="4" t="s">
        <v>272</v>
      </c>
      <c r="D8213" s="4">
        <v>442</v>
      </c>
      <c r="E8213" s="4">
        <v>259</v>
      </c>
      <c r="G8213">
        <f t="shared" si="128"/>
        <v>2128</v>
      </c>
    </row>
    <row r="8214" spans="2:7" ht="15" hidden="1" x14ac:dyDescent="0.25">
      <c r="B8214" s="4">
        <v>584666148</v>
      </c>
      <c r="C8214" s="4" t="s">
        <v>272</v>
      </c>
      <c r="D8214" s="4">
        <v>443</v>
      </c>
      <c r="E8214" s="4">
        <v>263</v>
      </c>
      <c r="G8214">
        <f t="shared" si="128"/>
        <v>2160</v>
      </c>
    </row>
    <row r="8215" spans="2:7" ht="15" hidden="1" x14ac:dyDescent="0.25">
      <c r="B8215" s="4">
        <v>584666205</v>
      </c>
      <c r="C8215" s="4" t="s">
        <v>279</v>
      </c>
      <c r="D8215" s="4">
        <v>163</v>
      </c>
      <c r="E8215" s="4">
        <v>235</v>
      </c>
      <c r="G8215">
        <f t="shared" si="128"/>
        <v>1936</v>
      </c>
    </row>
    <row r="8216" spans="2:7" ht="15" hidden="1" x14ac:dyDescent="0.25">
      <c r="B8216" s="4">
        <v>584666210</v>
      </c>
      <c r="C8216" s="4" t="s">
        <v>273</v>
      </c>
      <c r="D8216" s="4">
        <v>6273</v>
      </c>
      <c r="E8216" s="4">
        <v>317</v>
      </c>
      <c r="G8216">
        <f t="shared" si="128"/>
        <v>2592</v>
      </c>
    </row>
    <row r="8217" spans="2:7" ht="15" hidden="1" x14ac:dyDescent="0.25">
      <c r="B8217" s="4">
        <v>584666228</v>
      </c>
      <c r="C8217" s="4" t="s">
        <v>277</v>
      </c>
      <c r="D8217" s="4">
        <v>163</v>
      </c>
      <c r="E8217" s="4">
        <v>59</v>
      </c>
      <c r="G8217">
        <f t="shared" si="128"/>
        <v>528</v>
      </c>
    </row>
    <row r="8218" spans="2:7" ht="15" hidden="1" x14ac:dyDescent="0.25">
      <c r="B8218" s="4">
        <v>584666248</v>
      </c>
      <c r="C8218" s="4" t="s">
        <v>272</v>
      </c>
      <c r="D8218" s="4">
        <v>444</v>
      </c>
      <c r="E8218" s="4">
        <v>279</v>
      </c>
      <c r="G8218">
        <f t="shared" si="128"/>
        <v>2288</v>
      </c>
    </row>
    <row r="8219" spans="2:7" ht="15" hidden="1" x14ac:dyDescent="0.25">
      <c r="B8219" s="4">
        <v>584666348</v>
      </c>
      <c r="C8219" s="4" t="s">
        <v>272</v>
      </c>
      <c r="D8219" s="4">
        <v>445</v>
      </c>
      <c r="E8219" s="4">
        <v>269</v>
      </c>
      <c r="G8219">
        <f t="shared" si="128"/>
        <v>2208</v>
      </c>
    </row>
    <row r="8220" spans="2:7" ht="15" hidden="1" x14ac:dyDescent="0.25">
      <c r="B8220" s="4">
        <v>584666366</v>
      </c>
      <c r="C8220" s="4" t="s">
        <v>279</v>
      </c>
      <c r="D8220" s="4">
        <v>164</v>
      </c>
      <c r="E8220" s="4">
        <v>251</v>
      </c>
      <c r="G8220">
        <f t="shared" si="128"/>
        <v>2064</v>
      </c>
    </row>
    <row r="8221" spans="2:7" ht="15" hidden="1" x14ac:dyDescent="0.25">
      <c r="B8221" s="4">
        <v>584666389</v>
      </c>
      <c r="C8221" s="4" t="s">
        <v>277</v>
      </c>
      <c r="D8221" s="4">
        <v>164</v>
      </c>
      <c r="E8221" s="4">
        <v>59</v>
      </c>
      <c r="G8221">
        <f t="shared" si="128"/>
        <v>528</v>
      </c>
    </row>
    <row r="8222" spans="2:7" ht="15" hidden="1" x14ac:dyDescent="0.25">
      <c r="B8222" s="4">
        <v>584666448</v>
      </c>
      <c r="C8222" s="4" t="s">
        <v>272</v>
      </c>
      <c r="D8222" s="4">
        <v>446</v>
      </c>
      <c r="E8222" s="4">
        <v>269</v>
      </c>
      <c r="G8222">
        <f t="shared" si="128"/>
        <v>2208</v>
      </c>
    </row>
    <row r="8223" spans="2:7" ht="15" hidden="1" x14ac:dyDescent="0.25">
      <c r="B8223" s="4">
        <v>584666548</v>
      </c>
      <c r="C8223" s="4" t="s">
        <v>272</v>
      </c>
      <c r="D8223" s="4">
        <v>447</v>
      </c>
      <c r="E8223" s="4">
        <v>275</v>
      </c>
      <c r="G8223">
        <f t="shared" si="128"/>
        <v>2256</v>
      </c>
    </row>
    <row r="8224" spans="2:7" ht="15" hidden="1" x14ac:dyDescent="0.25">
      <c r="B8224" s="4">
        <v>584666619</v>
      </c>
      <c r="C8224" s="4" t="s">
        <v>279</v>
      </c>
      <c r="D8224" s="4">
        <v>165</v>
      </c>
      <c r="E8224" s="4">
        <v>269</v>
      </c>
      <c r="G8224">
        <f t="shared" si="128"/>
        <v>2208</v>
      </c>
    </row>
    <row r="8225" spans="2:7" ht="15" hidden="1" x14ac:dyDescent="0.25">
      <c r="B8225" s="4">
        <v>584666642</v>
      </c>
      <c r="C8225" s="4" t="s">
        <v>277</v>
      </c>
      <c r="D8225" s="4">
        <v>165</v>
      </c>
      <c r="E8225" s="4">
        <v>59</v>
      </c>
      <c r="G8225">
        <f t="shared" si="128"/>
        <v>528</v>
      </c>
    </row>
    <row r="8226" spans="2:7" ht="15" hidden="1" x14ac:dyDescent="0.25">
      <c r="B8226" s="4">
        <v>584666648</v>
      </c>
      <c r="C8226" s="4" t="s">
        <v>272</v>
      </c>
      <c r="D8226" s="4">
        <v>448</v>
      </c>
      <c r="E8226" s="4">
        <v>261</v>
      </c>
      <c r="G8226">
        <f t="shared" si="128"/>
        <v>2144</v>
      </c>
    </row>
    <row r="8227" spans="2:7" ht="15" hidden="1" x14ac:dyDescent="0.25">
      <c r="B8227" s="4">
        <v>584666748</v>
      </c>
      <c r="C8227" s="4" t="s">
        <v>272</v>
      </c>
      <c r="D8227" s="4">
        <v>449</v>
      </c>
      <c r="E8227" s="4">
        <v>265</v>
      </c>
      <c r="G8227">
        <f t="shared" si="128"/>
        <v>2176</v>
      </c>
    </row>
    <row r="8228" spans="2:7" ht="15" hidden="1" x14ac:dyDescent="0.25">
      <c r="B8228" s="4">
        <v>584666757</v>
      </c>
      <c r="C8228" s="4" t="s">
        <v>279</v>
      </c>
      <c r="D8228" s="4">
        <v>166</v>
      </c>
      <c r="E8228" s="4">
        <v>271</v>
      </c>
      <c r="G8228">
        <f t="shared" si="128"/>
        <v>2224</v>
      </c>
    </row>
    <row r="8229" spans="2:7" ht="15" hidden="1" x14ac:dyDescent="0.25">
      <c r="B8229" s="4">
        <v>584666780</v>
      </c>
      <c r="C8229" s="4" t="s">
        <v>277</v>
      </c>
      <c r="D8229" s="4">
        <v>166</v>
      </c>
      <c r="E8229" s="4">
        <v>63</v>
      </c>
      <c r="G8229">
        <f t="shared" si="128"/>
        <v>560</v>
      </c>
    </row>
    <row r="8230" spans="2:7" ht="15" hidden="1" x14ac:dyDescent="0.25">
      <c r="B8230" s="4">
        <v>584666848</v>
      </c>
      <c r="C8230" s="4" t="s">
        <v>272</v>
      </c>
      <c r="D8230" s="4">
        <v>450</v>
      </c>
      <c r="E8230" s="4">
        <v>269</v>
      </c>
      <c r="G8230">
        <f t="shared" si="128"/>
        <v>2208</v>
      </c>
    </row>
    <row r="8231" spans="2:7" ht="15" hidden="1" x14ac:dyDescent="0.25">
      <c r="B8231" s="4">
        <v>584666948</v>
      </c>
      <c r="C8231" s="4" t="s">
        <v>272</v>
      </c>
      <c r="D8231" s="4">
        <v>451</v>
      </c>
      <c r="E8231" s="4">
        <v>261</v>
      </c>
      <c r="G8231">
        <f t="shared" si="128"/>
        <v>2144</v>
      </c>
    </row>
    <row r="8232" spans="2:7" ht="15" hidden="1" x14ac:dyDescent="0.25">
      <c r="B8232" s="4">
        <v>584667010</v>
      </c>
      <c r="C8232" s="4" t="s">
        <v>279</v>
      </c>
      <c r="D8232" s="4">
        <v>167</v>
      </c>
      <c r="E8232" s="4">
        <v>261</v>
      </c>
      <c r="G8232">
        <f t="shared" si="128"/>
        <v>2144</v>
      </c>
    </row>
    <row r="8233" spans="2:7" ht="15" hidden="1" x14ac:dyDescent="0.25">
      <c r="B8233" s="4">
        <v>584667033</v>
      </c>
      <c r="C8233" s="4" t="s">
        <v>277</v>
      </c>
      <c r="D8233" s="4">
        <v>167</v>
      </c>
      <c r="E8233" s="4">
        <v>59</v>
      </c>
      <c r="G8233">
        <f t="shared" si="128"/>
        <v>528</v>
      </c>
    </row>
    <row r="8234" spans="2:7" ht="15" hidden="1" x14ac:dyDescent="0.25">
      <c r="B8234" s="4">
        <v>584667048</v>
      </c>
      <c r="C8234" s="4" t="s">
        <v>272</v>
      </c>
      <c r="D8234" s="4">
        <v>452</v>
      </c>
      <c r="E8234" s="4">
        <v>265</v>
      </c>
      <c r="G8234">
        <f t="shared" si="128"/>
        <v>2176</v>
      </c>
    </row>
    <row r="8235" spans="2:7" ht="15" hidden="1" x14ac:dyDescent="0.25">
      <c r="B8235" s="4">
        <v>584667148</v>
      </c>
      <c r="C8235" s="4" t="s">
        <v>272</v>
      </c>
      <c r="D8235" s="4">
        <v>453</v>
      </c>
      <c r="E8235" s="4">
        <v>275</v>
      </c>
      <c r="G8235">
        <f t="shared" si="128"/>
        <v>2256</v>
      </c>
    </row>
    <row r="8236" spans="2:7" ht="15" hidden="1" x14ac:dyDescent="0.25">
      <c r="B8236" s="4">
        <v>584667148</v>
      </c>
      <c r="C8236" s="4" t="s">
        <v>279</v>
      </c>
      <c r="D8236" s="4">
        <v>168</v>
      </c>
      <c r="E8236" s="4">
        <v>257</v>
      </c>
      <c r="G8236">
        <f t="shared" si="128"/>
        <v>2112</v>
      </c>
    </row>
    <row r="8237" spans="2:7" ht="15" hidden="1" x14ac:dyDescent="0.25">
      <c r="B8237" s="4">
        <v>584667171</v>
      </c>
      <c r="C8237" s="4" t="s">
        <v>277</v>
      </c>
      <c r="D8237" s="4">
        <v>168</v>
      </c>
      <c r="E8237" s="4">
        <v>61</v>
      </c>
      <c r="G8237">
        <f t="shared" si="128"/>
        <v>544</v>
      </c>
    </row>
    <row r="8238" spans="2:7" ht="15" hidden="1" x14ac:dyDescent="0.25">
      <c r="B8238" s="4">
        <v>584667248</v>
      </c>
      <c r="C8238" s="4" t="s">
        <v>272</v>
      </c>
      <c r="D8238" s="4">
        <v>454</v>
      </c>
      <c r="E8238" s="4">
        <v>267</v>
      </c>
      <c r="G8238">
        <f t="shared" si="128"/>
        <v>2192</v>
      </c>
    </row>
    <row r="8239" spans="2:7" ht="15" hidden="1" x14ac:dyDescent="0.25">
      <c r="B8239" s="4">
        <v>584667286</v>
      </c>
      <c r="C8239" s="4" t="s">
        <v>279</v>
      </c>
      <c r="D8239" s="4">
        <v>169</v>
      </c>
      <c r="E8239" s="4">
        <v>249</v>
      </c>
      <c r="G8239">
        <f t="shared" si="128"/>
        <v>2048</v>
      </c>
    </row>
    <row r="8240" spans="2:7" ht="15" hidden="1" x14ac:dyDescent="0.25">
      <c r="B8240" s="4">
        <v>584667309</v>
      </c>
      <c r="C8240" s="4" t="s">
        <v>277</v>
      </c>
      <c r="D8240" s="4">
        <v>169</v>
      </c>
      <c r="E8240" s="4">
        <v>61</v>
      </c>
      <c r="G8240">
        <f t="shared" si="128"/>
        <v>544</v>
      </c>
    </row>
    <row r="8241" spans="2:7" ht="15" hidden="1" x14ac:dyDescent="0.25">
      <c r="B8241" s="4">
        <v>584667348</v>
      </c>
      <c r="C8241" s="4" t="s">
        <v>272</v>
      </c>
      <c r="D8241" s="4">
        <v>455</v>
      </c>
      <c r="E8241" s="4">
        <v>265</v>
      </c>
      <c r="G8241">
        <f t="shared" si="128"/>
        <v>2176</v>
      </c>
    </row>
    <row r="8242" spans="2:7" ht="15" hidden="1" x14ac:dyDescent="0.25">
      <c r="B8242" s="4">
        <v>584667448</v>
      </c>
      <c r="C8242" s="4" t="s">
        <v>272</v>
      </c>
      <c r="D8242" s="4">
        <v>456</v>
      </c>
      <c r="E8242" s="4">
        <v>273</v>
      </c>
      <c r="G8242">
        <f t="shared" si="128"/>
        <v>2240</v>
      </c>
    </row>
    <row r="8243" spans="2:7" ht="15" hidden="1" x14ac:dyDescent="0.25">
      <c r="B8243" s="4">
        <v>584667539</v>
      </c>
      <c r="C8243" s="4" t="s">
        <v>279</v>
      </c>
      <c r="D8243" s="4">
        <v>170</v>
      </c>
      <c r="E8243" s="4">
        <v>253</v>
      </c>
      <c r="G8243">
        <f t="shared" si="128"/>
        <v>2080</v>
      </c>
    </row>
    <row r="8244" spans="2:7" ht="15" hidden="1" x14ac:dyDescent="0.25">
      <c r="B8244" s="4">
        <v>584667544</v>
      </c>
      <c r="C8244" s="4" t="s">
        <v>269</v>
      </c>
      <c r="D8244" s="4">
        <v>1634</v>
      </c>
      <c r="E8244" s="4">
        <v>57</v>
      </c>
      <c r="G8244">
        <f t="shared" si="128"/>
        <v>512</v>
      </c>
    </row>
    <row r="8245" spans="2:7" ht="15" hidden="1" x14ac:dyDescent="0.25">
      <c r="B8245" s="4">
        <v>584667548</v>
      </c>
      <c r="C8245" s="4" t="s">
        <v>272</v>
      </c>
      <c r="D8245" s="4">
        <v>457</v>
      </c>
      <c r="E8245" s="4">
        <v>265</v>
      </c>
      <c r="G8245">
        <f t="shared" si="128"/>
        <v>2176</v>
      </c>
    </row>
    <row r="8246" spans="2:7" ht="15" hidden="1" x14ac:dyDescent="0.25">
      <c r="B8246" s="4">
        <v>584667562</v>
      </c>
      <c r="C8246" s="4" t="s">
        <v>277</v>
      </c>
      <c r="D8246" s="4">
        <v>170</v>
      </c>
      <c r="E8246" s="4">
        <v>59</v>
      </c>
      <c r="G8246">
        <f t="shared" si="128"/>
        <v>528</v>
      </c>
    </row>
    <row r="8247" spans="2:7" ht="15" hidden="1" x14ac:dyDescent="0.25">
      <c r="B8247" s="4">
        <v>584667648</v>
      </c>
      <c r="C8247" s="4" t="s">
        <v>272</v>
      </c>
      <c r="D8247" s="4">
        <v>458</v>
      </c>
      <c r="E8247" s="4">
        <v>265</v>
      </c>
      <c r="G8247">
        <f t="shared" si="128"/>
        <v>2176</v>
      </c>
    </row>
    <row r="8248" spans="2:7" ht="15" hidden="1" x14ac:dyDescent="0.25">
      <c r="B8248" s="4">
        <v>584667700</v>
      </c>
      <c r="C8248" s="4" t="s">
        <v>279</v>
      </c>
      <c r="D8248" s="4">
        <v>171</v>
      </c>
      <c r="E8248" s="4">
        <v>249</v>
      </c>
      <c r="G8248">
        <f t="shared" si="128"/>
        <v>2048</v>
      </c>
    </row>
    <row r="8249" spans="2:7" ht="15" hidden="1" x14ac:dyDescent="0.25">
      <c r="B8249" s="4">
        <v>584667723</v>
      </c>
      <c r="C8249" s="4" t="s">
        <v>277</v>
      </c>
      <c r="D8249" s="4">
        <v>171</v>
      </c>
      <c r="E8249" s="4">
        <v>57</v>
      </c>
      <c r="G8249">
        <f t="shared" si="128"/>
        <v>512</v>
      </c>
    </row>
    <row r="8250" spans="2:7" ht="15" hidden="1" x14ac:dyDescent="0.25">
      <c r="B8250" s="4">
        <v>584667748</v>
      </c>
      <c r="C8250" s="4" t="s">
        <v>272</v>
      </c>
      <c r="D8250" s="4">
        <v>459</v>
      </c>
      <c r="E8250" s="4">
        <v>265</v>
      </c>
      <c r="G8250">
        <f t="shared" si="128"/>
        <v>2176</v>
      </c>
    </row>
    <row r="8251" spans="2:7" ht="15" hidden="1" x14ac:dyDescent="0.25">
      <c r="B8251" s="4">
        <v>584667848</v>
      </c>
      <c r="C8251" s="4" t="s">
        <v>272</v>
      </c>
      <c r="D8251" s="4">
        <v>460</v>
      </c>
      <c r="E8251" s="4">
        <v>265</v>
      </c>
      <c r="G8251">
        <f t="shared" si="128"/>
        <v>2176</v>
      </c>
    </row>
    <row r="8252" spans="2:7" ht="15" hidden="1" x14ac:dyDescent="0.25">
      <c r="B8252" s="4">
        <v>584667948</v>
      </c>
      <c r="C8252" s="4" t="s">
        <v>272</v>
      </c>
      <c r="D8252" s="4">
        <v>461</v>
      </c>
      <c r="E8252" s="4">
        <v>263</v>
      </c>
      <c r="G8252">
        <f t="shared" si="128"/>
        <v>2160</v>
      </c>
    </row>
    <row r="8253" spans="2:7" ht="15" hidden="1" x14ac:dyDescent="0.25">
      <c r="B8253" s="4">
        <v>584667953</v>
      </c>
      <c r="C8253" s="4" t="s">
        <v>279</v>
      </c>
      <c r="D8253" s="4">
        <v>172</v>
      </c>
      <c r="E8253" s="4">
        <v>267</v>
      </c>
      <c r="G8253">
        <f t="shared" si="128"/>
        <v>2192</v>
      </c>
    </row>
    <row r="8254" spans="2:7" ht="15" hidden="1" x14ac:dyDescent="0.25">
      <c r="B8254" s="4">
        <v>584667976</v>
      </c>
      <c r="C8254" s="4" t="s">
        <v>277</v>
      </c>
      <c r="D8254" s="4">
        <v>172</v>
      </c>
      <c r="E8254" s="4">
        <v>57</v>
      </c>
      <c r="G8254">
        <f t="shared" si="128"/>
        <v>512</v>
      </c>
    </row>
    <row r="8255" spans="2:7" ht="15" hidden="1" x14ac:dyDescent="0.25">
      <c r="B8255" s="4">
        <v>584668048</v>
      </c>
      <c r="C8255" s="4" t="s">
        <v>272</v>
      </c>
      <c r="D8255" s="4">
        <v>462</v>
      </c>
      <c r="E8255" s="4">
        <v>267</v>
      </c>
      <c r="G8255">
        <f t="shared" si="128"/>
        <v>2192</v>
      </c>
    </row>
    <row r="8256" spans="2:7" ht="15" hidden="1" x14ac:dyDescent="0.25">
      <c r="B8256" s="4">
        <v>584668091</v>
      </c>
      <c r="C8256" s="4" t="s">
        <v>279</v>
      </c>
      <c r="D8256" s="4">
        <v>173</v>
      </c>
      <c r="E8256" s="4">
        <v>259</v>
      </c>
      <c r="G8256">
        <f t="shared" si="128"/>
        <v>2128</v>
      </c>
    </row>
    <row r="8257" spans="2:7" ht="15" hidden="1" x14ac:dyDescent="0.25">
      <c r="B8257" s="4">
        <v>584668114</v>
      </c>
      <c r="C8257" s="4" t="s">
        <v>277</v>
      </c>
      <c r="D8257" s="4">
        <v>173</v>
      </c>
      <c r="E8257" s="4">
        <v>59</v>
      </c>
      <c r="G8257">
        <f t="shared" si="128"/>
        <v>528</v>
      </c>
    </row>
    <row r="8258" spans="2:7" ht="15" hidden="1" x14ac:dyDescent="0.25">
      <c r="B8258" s="4">
        <v>584668148</v>
      </c>
      <c r="C8258" s="4" t="s">
        <v>272</v>
      </c>
      <c r="D8258" s="4">
        <v>463</v>
      </c>
      <c r="E8258" s="4">
        <v>265</v>
      </c>
      <c r="G8258">
        <f t="shared" si="128"/>
        <v>2176</v>
      </c>
    </row>
    <row r="8259" spans="2:7" ht="15" hidden="1" x14ac:dyDescent="0.25">
      <c r="B8259" s="4">
        <v>584668248</v>
      </c>
      <c r="C8259" s="4" t="s">
        <v>272</v>
      </c>
      <c r="D8259" s="4">
        <v>464</v>
      </c>
      <c r="E8259" s="4">
        <v>269</v>
      </c>
      <c r="G8259">
        <f t="shared" si="128"/>
        <v>2208</v>
      </c>
    </row>
    <row r="8260" spans="2:7" ht="15" hidden="1" x14ac:dyDescent="0.25">
      <c r="B8260" s="4">
        <v>584668311</v>
      </c>
      <c r="C8260" s="4" t="s">
        <v>273</v>
      </c>
      <c r="D8260" s="4">
        <v>8374</v>
      </c>
      <c r="E8260" s="4">
        <v>317</v>
      </c>
      <c r="G8260">
        <f t="shared" ref="G8260:G8323" si="129">(E8260+7)*8</f>
        <v>2592</v>
      </c>
    </row>
    <row r="8261" spans="2:7" ht="15" hidden="1" x14ac:dyDescent="0.25">
      <c r="B8261" s="4">
        <v>584668344</v>
      </c>
      <c r="C8261" s="4" t="s">
        <v>279</v>
      </c>
      <c r="D8261" s="4">
        <v>174</v>
      </c>
      <c r="E8261" s="4">
        <v>257</v>
      </c>
      <c r="G8261">
        <f t="shared" si="129"/>
        <v>2112</v>
      </c>
    </row>
    <row r="8262" spans="2:7" ht="15" hidden="1" x14ac:dyDescent="0.25">
      <c r="B8262" s="4">
        <v>584668348</v>
      </c>
      <c r="C8262" s="4" t="s">
        <v>272</v>
      </c>
      <c r="D8262" s="4">
        <v>465</v>
      </c>
      <c r="E8262" s="4">
        <v>267</v>
      </c>
      <c r="G8262">
        <f t="shared" si="129"/>
        <v>2192</v>
      </c>
    </row>
    <row r="8263" spans="2:7" ht="15" hidden="1" x14ac:dyDescent="0.25">
      <c r="B8263" s="4">
        <v>584668367</v>
      </c>
      <c r="C8263" s="4" t="s">
        <v>277</v>
      </c>
      <c r="D8263" s="4">
        <v>174</v>
      </c>
      <c r="E8263" s="4">
        <v>55</v>
      </c>
      <c r="G8263">
        <f t="shared" si="129"/>
        <v>496</v>
      </c>
    </row>
    <row r="8264" spans="2:7" ht="15" hidden="1" x14ac:dyDescent="0.25">
      <c r="B8264" s="4">
        <v>584668448</v>
      </c>
      <c r="C8264" s="4" t="s">
        <v>272</v>
      </c>
      <c r="D8264" s="4">
        <v>466</v>
      </c>
      <c r="E8264" s="4">
        <v>261</v>
      </c>
      <c r="G8264">
        <f t="shared" si="129"/>
        <v>2144</v>
      </c>
    </row>
    <row r="8265" spans="2:7" ht="15" hidden="1" x14ac:dyDescent="0.25">
      <c r="B8265" s="4">
        <v>584668482</v>
      </c>
      <c r="C8265" s="4" t="s">
        <v>279</v>
      </c>
      <c r="D8265" s="4">
        <v>175</v>
      </c>
      <c r="E8265" s="4">
        <v>241</v>
      </c>
      <c r="G8265">
        <f t="shared" si="129"/>
        <v>1984</v>
      </c>
    </row>
    <row r="8266" spans="2:7" ht="15" hidden="1" x14ac:dyDescent="0.25">
      <c r="B8266" s="4">
        <v>584668505</v>
      </c>
      <c r="C8266" s="4" t="s">
        <v>277</v>
      </c>
      <c r="D8266" s="4">
        <v>175</v>
      </c>
      <c r="E8266" s="4">
        <v>57</v>
      </c>
      <c r="G8266">
        <f t="shared" si="129"/>
        <v>512</v>
      </c>
    </row>
    <row r="8267" spans="2:7" ht="15" hidden="1" x14ac:dyDescent="0.25">
      <c r="B8267" s="4">
        <v>584668548</v>
      </c>
      <c r="C8267" s="4" t="s">
        <v>272</v>
      </c>
      <c r="D8267" s="4">
        <v>467</v>
      </c>
      <c r="E8267" s="4">
        <v>269</v>
      </c>
      <c r="G8267">
        <f t="shared" si="129"/>
        <v>2208</v>
      </c>
    </row>
    <row r="8268" spans="2:7" ht="15" hidden="1" x14ac:dyDescent="0.25">
      <c r="B8268" s="4">
        <v>584668648</v>
      </c>
      <c r="C8268" s="4" t="s">
        <v>272</v>
      </c>
      <c r="D8268" s="4">
        <v>468</v>
      </c>
      <c r="E8268" s="4">
        <v>267</v>
      </c>
      <c r="G8268">
        <f t="shared" si="129"/>
        <v>2192</v>
      </c>
    </row>
    <row r="8269" spans="2:7" ht="15" hidden="1" x14ac:dyDescent="0.25">
      <c r="B8269" s="4">
        <v>584668735</v>
      </c>
      <c r="C8269" s="4" t="s">
        <v>279</v>
      </c>
      <c r="D8269" s="4">
        <v>176</v>
      </c>
      <c r="E8269" s="4">
        <v>271</v>
      </c>
      <c r="G8269">
        <f t="shared" si="129"/>
        <v>2224</v>
      </c>
    </row>
    <row r="8270" spans="2:7" ht="15" hidden="1" x14ac:dyDescent="0.25">
      <c r="B8270" s="4">
        <v>584668748</v>
      </c>
      <c r="C8270" s="4" t="s">
        <v>272</v>
      </c>
      <c r="D8270" s="4">
        <v>469</v>
      </c>
      <c r="E8270" s="4">
        <v>263</v>
      </c>
      <c r="G8270">
        <f t="shared" si="129"/>
        <v>2160</v>
      </c>
    </row>
    <row r="8271" spans="2:7" ht="15" hidden="1" x14ac:dyDescent="0.25">
      <c r="B8271" s="4">
        <v>584668758</v>
      </c>
      <c r="C8271" s="4" t="s">
        <v>277</v>
      </c>
      <c r="D8271" s="4">
        <v>176</v>
      </c>
      <c r="E8271" s="4">
        <v>57</v>
      </c>
      <c r="G8271">
        <f t="shared" si="129"/>
        <v>512</v>
      </c>
    </row>
    <row r="8272" spans="2:7" ht="15" hidden="1" x14ac:dyDescent="0.25">
      <c r="B8272" s="4">
        <v>584668848</v>
      </c>
      <c r="C8272" s="4" t="s">
        <v>272</v>
      </c>
      <c r="D8272" s="4">
        <v>470</v>
      </c>
      <c r="E8272" s="4">
        <v>267</v>
      </c>
      <c r="G8272">
        <f t="shared" si="129"/>
        <v>2192</v>
      </c>
    </row>
    <row r="8273" spans="2:7" ht="15" hidden="1" x14ac:dyDescent="0.25">
      <c r="B8273" s="4">
        <v>584668873</v>
      </c>
      <c r="C8273" s="4" t="s">
        <v>279</v>
      </c>
      <c r="D8273" s="4">
        <v>177</v>
      </c>
      <c r="E8273" s="4">
        <v>247</v>
      </c>
      <c r="G8273">
        <f t="shared" si="129"/>
        <v>2032</v>
      </c>
    </row>
    <row r="8274" spans="2:7" ht="15" hidden="1" x14ac:dyDescent="0.25">
      <c r="B8274" s="4">
        <v>584668896</v>
      </c>
      <c r="C8274" s="4" t="s">
        <v>277</v>
      </c>
      <c r="D8274" s="4">
        <v>177</v>
      </c>
      <c r="E8274" s="4">
        <v>61</v>
      </c>
      <c r="G8274">
        <f t="shared" si="129"/>
        <v>544</v>
      </c>
    </row>
    <row r="8275" spans="2:7" ht="15" hidden="1" x14ac:dyDescent="0.25">
      <c r="B8275" s="4">
        <v>584668948</v>
      </c>
      <c r="C8275" s="4" t="s">
        <v>272</v>
      </c>
      <c r="D8275" s="4">
        <v>471</v>
      </c>
      <c r="E8275" s="4">
        <v>259</v>
      </c>
      <c r="G8275">
        <f t="shared" si="129"/>
        <v>2128</v>
      </c>
    </row>
    <row r="8276" spans="2:7" ht="15" hidden="1" x14ac:dyDescent="0.25">
      <c r="B8276" s="4">
        <v>584669034</v>
      </c>
      <c r="C8276" s="4" t="s">
        <v>279</v>
      </c>
      <c r="D8276" s="4">
        <v>178</v>
      </c>
      <c r="E8276" s="4">
        <v>273</v>
      </c>
      <c r="G8276">
        <f t="shared" si="129"/>
        <v>2240</v>
      </c>
    </row>
    <row r="8277" spans="2:7" ht="15" hidden="1" x14ac:dyDescent="0.25">
      <c r="B8277" s="4">
        <v>584669048</v>
      </c>
      <c r="C8277" s="4" t="s">
        <v>272</v>
      </c>
      <c r="D8277" s="4">
        <v>472</v>
      </c>
      <c r="E8277" s="4">
        <v>271</v>
      </c>
      <c r="G8277">
        <f t="shared" si="129"/>
        <v>2224</v>
      </c>
    </row>
    <row r="8278" spans="2:7" ht="15" hidden="1" x14ac:dyDescent="0.25">
      <c r="B8278" s="4">
        <v>584669057</v>
      </c>
      <c r="C8278" s="4" t="s">
        <v>277</v>
      </c>
      <c r="D8278" s="4">
        <v>178</v>
      </c>
      <c r="E8278" s="4">
        <v>59</v>
      </c>
      <c r="G8278">
        <f t="shared" si="129"/>
        <v>528</v>
      </c>
    </row>
    <row r="8279" spans="2:7" ht="15" hidden="1" x14ac:dyDescent="0.25">
      <c r="B8279" s="4">
        <v>584669148</v>
      </c>
      <c r="C8279" s="4" t="s">
        <v>272</v>
      </c>
      <c r="D8279" s="4">
        <v>473</v>
      </c>
      <c r="E8279" s="4">
        <v>263</v>
      </c>
      <c r="G8279">
        <f t="shared" si="129"/>
        <v>2160</v>
      </c>
    </row>
    <row r="8280" spans="2:7" ht="15" hidden="1" x14ac:dyDescent="0.25">
      <c r="B8280" s="4">
        <v>584669248</v>
      </c>
      <c r="C8280" s="4" t="s">
        <v>272</v>
      </c>
      <c r="D8280" s="4">
        <v>474</v>
      </c>
      <c r="E8280" s="4">
        <v>267</v>
      </c>
      <c r="G8280">
        <f t="shared" si="129"/>
        <v>2192</v>
      </c>
    </row>
    <row r="8281" spans="2:7" ht="15" hidden="1" x14ac:dyDescent="0.25">
      <c r="B8281" s="4">
        <v>584669264</v>
      </c>
      <c r="C8281" s="4" t="s">
        <v>279</v>
      </c>
      <c r="D8281" s="4">
        <v>179</v>
      </c>
      <c r="E8281" s="4">
        <v>267</v>
      </c>
      <c r="G8281">
        <f t="shared" si="129"/>
        <v>2192</v>
      </c>
    </row>
    <row r="8282" spans="2:7" ht="15" hidden="1" x14ac:dyDescent="0.25">
      <c r="B8282" s="4">
        <v>584669287</v>
      </c>
      <c r="C8282" s="4" t="s">
        <v>277</v>
      </c>
      <c r="D8282" s="4">
        <v>179</v>
      </c>
      <c r="E8282" s="4">
        <v>59</v>
      </c>
      <c r="G8282">
        <f t="shared" si="129"/>
        <v>528</v>
      </c>
    </row>
    <row r="8283" spans="2:7" ht="15" hidden="1" x14ac:dyDescent="0.25">
      <c r="B8283" s="4">
        <v>584669344</v>
      </c>
      <c r="C8283" s="4" t="s">
        <v>269</v>
      </c>
      <c r="D8283" s="4">
        <v>1635</v>
      </c>
      <c r="E8283" s="4">
        <v>57</v>
      </c>
      <c r="G8283">
        <f t="shared" si="129"/>
        <v>512</v>
      </c>
    </row>
    <row r="8284" spans="2:7" ht="15" x14ac:dyDescent="0.25">
      <c r="B8284" s="4">
        <v>584669348</v>
      </c>
      <c r="C8284" s="4" t="s">
        <v>270</v>
      </c>
      <c r="D8284" s="4">
        <v>10</v>
      </c>
      <c r="E8284" s="4">
        <v>1160</v>
      </c>
      <c r="G8284">
        <f t="shared" si="129"/>
        <v>9336</v>
      </c>
    </row>
    <row r="8285" spans="2:7" ht="15" x14ac:dyDescent="0.25">
      <c r="B8285" s="4">
        <v>584669348</v>
      </c>
      <c r="C8285" s="4" t="s">
        <v>271</v>
      </c>
      <c r="D8285" s="4">
        <v>10</v>
      </c>
      <c r="E8285" s="4">
        <v>1190</v>
      </c>
      <c r="G8285">
        <f t="shared" si="129"/>
        <v>9576</v>
      </c>
    </row>
    <row r="8286" spans="2:7" ht="15" hidden="1" x14ac:dyDescent="0.25">
      <c r="B8286" s="4">
        <v>584669349</v>
      </c>
      <c r="C8286" s="4" t="s">
        <v>272</v>
      </c>
      <c r="D8286" s="4">
        <v>475</v>
      </c>
      <c r="E8286" s="4">
        <v>271</v>
      </c>
      <c r="G8286">
        <f t="shared" si="129"/>
        <v>2224</v>
      </c>
    </row>
    <row r="8287" spans="2:7" ht="15" hidden="1" x14ac:dyDescent="0.25">
      <c r="B8287" s="4">
        <v>584669425</v>
      </c>
      <c r="C8287" s="4" t="s">
        <v>279</v>
      </c>
      <c r="D8287" s="4">
        <v>180</v>
      </c>
      <c r="E8287" s="4">
        <v>259</v>
      </c>
      <c r="G8287">
        <f t="shared" si="129"/>
        <v>2128</v>
      </c>
    </row>
    <row r="8288" spans="2:7" ht="15" hidden="1" x14ac:dyDescent="0.25">
      <c r="B8288" s="4">
        <v>584669448</v>
      </c>
      <c r="C8288" s="4" t="s">
        <v>277</v>
      </c>
      <c r="D8288" s="4">
        <v>180</v>
      </c>
      <c r="E8288" s="4">
        <v>61</v>
      </c>
      <c r="G8288">
        <f t="shared" si="129"/>
        <v>544</v>
      </c>
    </row>
    <row r="8289" spans="2:7" ht="15" hidden="1" x14ac:dyDescent="0.25">
      <c r="B8289" s="4">
        <v>584669448</v>
      </c>
      <c r="C8289" s="4" t="s">
        <v>272</v>
      </c>
      <c r="D8289" s="4">
        <v>476</v>
      </c>
      <c r="E8289" s="4">
        <v>261</v>
      </c>
      <c r="G8289">
        <f t="shared" si="129"/>
        <v>2144</v>
      </c>
    </row>
    <row r="8290" spans="2:7" ht="15" hidden="1" x14ac:dyDescent="0.25">
      <c r="B8290" s="4">
        <v>584669548</v>
      </c>
      <c r="C8290" s="4" t="s">
        <v>272</v>
      </c>
      <c r="D8290" s="4">
        <v>477</v>
      </c>
      <c r="E8290" s="4">
        <v>271</v>
      </c>
      <c r="G8290">
        <f t="shared" si="129"/>
        <v>2224</v>
      </c>
    </row>
    <row r="8291" spans="2:7" ht="15" hidden="1" x14ac:dyDescent="0.25">
      <c r="B8291" s="4">
        <v>584669648</v>
      </c>
      <c r="C8291" s="4" t="s">
        <v>272</v>
      </c>
      <c r="D8291" s="4">
        <v>478</v>
      </c>
      <c r="E8291" s="4">
        <v>271</v>
      </c>
      <c r="G8291">
        <f t="shared" si="129"/>
        <v>2224</v>
      </c>
    </row>
    <row r="8292" spans="2:7" ht="15" hidden="1" x14ac:dyDescent="0.25">
      <c r="B8292" s="4">
        <v>584669678</v>
      </c>
      <c r="C8292" s="4" t="s">
        <v>279</v>
      </c>
      <c r="D8292" s="4">
        <v>181</v>
      </c>
      <c r="E8292" s="4">
        <v>257</v>
      </c>
      <c r="G8292">
        <f t="shared" si="129"/>
        <v>2112</v>
      </c>
    </row>
    <row r="8293" spans="2:7" ht="15" hidden="1" x14ac:dyDescent="0.25">
      <c r="B8293" s="4">
        <v>584669701</v>
      </c>
      <c r="C8293" s="4" t="s">
        <v>277</v>
      </c>
      <c r="D8293" s="4">
        <v>181</v>
      </c>
      <c r="E8293" s="4">
        <v>61</v>
      </c>
      <c r="G8293">
        <f t="shared" si="129"/>
        <v>544</v>
      </c>
    </row>
    <row r="8294" spans="2:7" ht="15" hidden="1" x14ac:dyDescent="0.25">
      <c r="B8294" s="4">
        <v>584669748</v>
      </c>
      <c r="C8294" s="4" t="s">
        <v>272</v>
      </c>
      <c r="D8294" s="4">
        <v>479</v>
      </c>
      <c r="E8294" s="4">
        <v>273</v>
      </c>
      <c r="G8294">
        <f t="shared" si="129"/>
        <v>2240</v>
      </c>
    </row>
    <row r="8295" spans="2:7" ht="15" hidden="1" x14ac:dyDescent="0.25">
      <c r="B8295" s="4">
        <v>584669816</v>
      </c>
      <c r="C8295" s="4" t="s">
        <v>279</v>
      </c>
      <c r="D8295" s="4">
        <v>182</v>
      </c>
      <c r="E8295" s="4">
        <v>243</v>
      </c>
      <c r="G8295">
        <f t="shared" si="129"/>
        <v>2000</v>
      </c>
    </row>
    <row r="8296" spans="2:7" ht="15" hidden="1" x14ac:dyDescent="0.25">
      <c r="B8296" s="4">
        <v>584669839</v>
      </c>
      <c r="C8296" s="4" t="s">
        <v>277</v>
      </c>
      <c r="D8296" s="4">
        <v>182</v>
      </c>
      <c r="E8296" s="4">
        <v>59</v>
      </c>
      <c r="G8296">
        <f t="shared" si="129"/>
        <v>528</v>
      </c>
    </row>
    <row r="8297" spans="2:7" ht="15" hidden="1" x14ac:dyDescent="0.25">
      <c r="B8297" s="4">
        <v>584669848</v>
      </c>
      <c r="C8297" s="4" t="s">
        <v>272</v>
      </c>
      <c r="D8297" s="4">
        <v>480</v>
      </c>
      <c r="E8297" s="4">
        <v>265</v>
      </c>
      <c r="G8297">
        <f t="shared" si="129"/>
        <v>2176</v>
      </c>
    </row>
    <row r="8298" spans="2:7" ht="15" hidden="1" x14ac:dyDescent="0.25">
      <c r="B8298" s="4">
        <v>584669948</v>
      </c>
      <c r="C8298" s="4" t="s">
        <v>272</v>
      </c>
      <c r="D8298" s="4">
        <v>481</v>
      </c>
      <c r="E8298" s="4">
        <v>267</v>
      </c>
      <c r="G8298">
        <f t="shared" si="129"/>
        <v>2192</v>
      </c>
    </row>
    <row r="8299" spans="2:7" ht="15" hidden="1" x14ac:dyDescent="0.25">
      <c r="B8299" s="4">
        <v>584670048</v>
      </c>
      <c r="C8299" s="4" t="s">
        <v>272</v>
      </c>
      <c r="D8299" s="4">
        <v>482</v>
      </c>
      <c r="E8299" s="4">
        <v>263</v>
      </c>
      <c r="G8299">
        <f t="shared" si="129"/>
        <v>2160</v>
      </c>
    </row>
    <row r="8300" spans="2:7" ht="15" hidden="1" x14ac:dyDescent="0.25">
      <c r="B8300" s="4">
        <v>584670069</v>
      </c>
      <c r="C8300" s="4" t="s">
        <v>279</v>
      </c>
      <c r="D8300" s="4">
        <v>183</v>
      </c>
      <c r="E8300" s="4">
        <v>241</v>
      </c>
      <c r="G8300">
        <f t="shared" si="129"/>
        <v>1984</v>
      </c>
    </row>
    <row r="8301" spans="2:7" ht="15" hidden="1" x14ac:dyDescent="0.25">
      <c r="B8301" s="4">
        <v>584670092</v>
      </c>
      <c r="C8301" s="4" t="s">
        <v>277</v>
      </c>
      <c r="D8301" s="4">
        <v>183</v>
      </c>
      <c r="E8301" s="4">
        <v>61</v>
      </c>
      <c r="G8301">
        <f t="shared" si="129"/>
        <v>544</v>
      </c>
    </row>
    <row r="8302" spans="2:7" ht="15" hidden="1" x14ac:dyDescent="0.25">
      <c r="B8302" s="4">
        <v>584670148</v>
      </c>
      <c r="C8302" s="4" t="s">
        <v>272</v>
      </c>
      <c r="D8302" s="4">
        <v>483</v>
      </c>
      <c r="E8302" s="4">
        <v>263</v>
      </c>
      <c r="G8302">
        <f t="shared" si="129"/>
        <v>2160</v>
      </c>
    </row>
    <row r="8303" spans="2:7" ht="15" hidden="1" x14ac:dyDescent="0.25">
      <c r="B8303" s="4">
        <v>584670207</v>
      </c>
      <c r="C8303" s="4" t="s">
        <v>279</v>
      </c>
      <c r="D8303" s="4">
        <v>184</v>
      </c>
      <c r="E8303" s="4">
        <v>279</v>
      </c>
      <c r="G8303">
        <f t="shared" si="129"/>
        <v>2288</v>
      </c>
    </row>
    <row r="8304" spans="2:7" ht="15" hidden="1" x14ac:dyDescent="0.25">
      <c r="B8304" s="4">
        <v>584670230</v>
      </c>
      <c r="C8304" s="4" t="s">
        <v>277</v>
      </c>
      <c r="D8304" s="4">
        <v>184</v>
      </c>
      <c r="E8304" s="4">
        <v>59</v>
      </c>
      <c r="G8304">
        <f t="shared" si="129"/>
        <v>528</v>
      </c>
    </row>
    <row r="8305" spans="2:7" ht="15" hidden="1" x14ac:dyDescent="0.25">
      <c r="B8305" s="4">
        <v>584670248</v>
      </c>
      <c r="C8305" s="4" t="s">
        <v>272</v>
      </c>
      <c r="D8305" s="4">
        <v>484</v>
      </c>
      <c r="E8305" s="4">
        <v>261</v>
      </c>
      <c r="G8305">
        <f t="shared" si="129"/>
        <v>2144</v>
      </c>
    </row>
    <row r="8306" spans="2:7" ht="15" hidden="1" x14ac:dyDescent="0.25">
      <c r="B8306" s="4">
        <v>584670348</v>
      </c>
      <c r="C8306" s="4" t="s">
        <v>272</v>
      </c>
      <c r="D8306" s="4">
        <v>485</v>
      </c>
      <c r="E8306" s="4">
        <v>279</v>
      </c>
      <c r="G8306">
        <f t="shared" si="129"/>
        <v>2288</v>
      </c>
    </row>
    <row r="8307" spans="2:7" ht="15" hidden="1" x14ac:dyDescent="0.25">
      <c r="B8307" s="4">
        <v>584670412</v>
      </c>
      <c r="C8307" s="4" t="s">
        <v>273</v>
      </c>
      <c r="D8307" s="4">
        <v>10475</v>
      </c>
      <c r="E8307" s="4">
        <v>317</v>
      </c>
      <c r="G8307">
        <f t="shared" si="129"/>
        <v>2592</v>
      </c>
    </row>
    <row r="8308" spans="2:7" ht="15" hidden="1" x14ac:dyDescent="0.25">
      <c r="B8308" s="4">
        <v>584670437</v>
      </c>
      <c r="C8308" s="4" t="s">
        <v>279</v>
      </c>
      <c r="D8308" s="4">
        <v>185</v>
      </c>
      <c r="E8308" s="4">
        <v>259</v>
      </c>
      <c r="G8308">
        <f t="shared" si="129"/>
        <v>2128</v>
      </c>
    </row>
    <row r="8309" spans="2:7" ht="15" hidden="1" x14ac:dyDescent="0.25">
      <c r="B8309" s="4">
        <v>584670448</v>
      </c>
      <c r="C8309" s="4" t="s">
        <v>272</v>
      </c>
      <c r="D8309" s="4">
        <v>486</v>
      </c>
      <c r="E8309" s="4">
        <v>261</v>
      </c>
      <c r="G8309">
        <f t="shared" si="129"/>
        <v>2144</v>
      </c>
    </row>
    <row r="8310" spans="2:7" ht="15" hidden="1" x14ac:dyDescent="0.25">
      <c r="B8310" s="4">
        <v>584670460</v>
      </c>
      <c r="C8310" s="4" t="s">
        <v>277</v>
      </c>
      <c r="D8310" s="4">
        <v>185</v>
      </c>
      <c r="E8310" s="4">
        <v>57</v>
      </c>
      <c r="G8310">
        <f t="shared" si="129"/>
        <v>512</v>
      </c>
    </row>
    <row r="8311" spans="2:7" ht="15" hidden="1" x14ac:dyDescent="0.25">
      <c r="B8311" s="4">
        <v>584670548</v>
      </c>
      <c r="C8311" s="4" t="s">
        <v>272</v>
      </c>
      <c r="D8311" s="4">
        <v>487</v>
      </c>
      <c r="E8311" s="4">
        <v>253</v>
      </c>
      <c r="G8311">
        <f t="shared" si="129"/>
        <v>2080</v>
      </c>
    </row>
    <row r="8312" spans="2:7" ht="15" hidden="1" x14ac:dyDescent="0.25">
      <c r="B8312" s="4">
        <v>584670648</v>
      </c>
      <c r="C8312" s="4" t="s">
        <v>272</v>
      </c>
      <c r="D8312" s="4">
        <v>488</v>
      </c>
      <c r="E8312" s="4">
        <v>277</v>
      </c>
      <c r="G8312">
        <f t="shared" si="129"/>
        <v>2272</v>
      </c>
    </row>
    <row r="8313" spans="2:7" ht="15" hidden="1" x14ac:dyDescent="0.25">
      <c r="B8313" s="4">
        <v>584670690</v>
      </c>
      <c r="C8313" s="4" t="s">
        <v>279</v>
      </c>
      <c r="D8313" s="4">
        <v>186</v>
      </c>
      <c r="E8313" s="4">
        <v>257</v>
      </c>
      <c r="G8313">
        <f t="shared" si="129"/>
        <v>2112</v>
      </c>
    </row>
    <row r="8314" spans="2:7" ht="15" hidden="1" x14ac:dyDescent="0.25">
      <c r="B8314" s="4">
        <v>584670713</v>
      </c>
      <c r="C8314" s="4" t="s">
        <v>277</v>
      </c>
      <c r="D8314" s="4">
        <v>186</v>
      </c>
      <c r="E8314" s="4">
        <v>59</v>
      </c>
      <c r="G8314">
        <f t="shared" si="129"/>
        <v>528</v>
      </c>
    </row>
    <row r="8315" spans="2:7" ht="15" hidden="1" x14ac:dyDescent="0.25">
      <c r="B8315" s="4">
        <v>584670748</v>
      </c>
      <c r="C8315" s="4" t="s">
        <v>272</v>
      </c>
      <c r="D8315" s="4">
        <v>489</v>
      </c>
      <c r="E8315" s="4">
        <v>275</v>
      </c>
      <c r="G8315">
        <f t="shared" si="129"/>
        <v>2256</v>
      </c>
    </row>
    <row r="8316" spans="2:7" ht="15" hidden="1" x14ac:dyDescent="0.25">
      <c r="B8316" s="4">
        <v>584670828</v>
      </c>
      <c r="C8316" s="4" t="s">
        <v>279</v>
      </c>
      <c r="D8316" s="4">
        <v>187</v>
      </c>
      <c r="E8316" s="4">
        <v>257</v>
      </c>
      <c r="G8316">
        <f t="shared" si="129"/>
        <v>2112</v>
      </c>
    </row>
    <row r="8317" spans="2:7" ht="15" hidden="1" x14ac:dyDescent="0.25">
      <c r="B8317" s="4">
        <v>584670848</v>
      </c>
      <c r="C8317" s="4" t="s">
        <v>272</v>
      </c>
      <c r="D8317" s="4">
        <v>490</v>
      </c>
      <c r="E8317" s="4">
        <v>271</v>
      </c>
      <c r="G8317">
        <f t="shared" si="129"/>
        <v>2224</v>
      </c>
    </row>
    <row r="8318" spans="2:7" ht="15" hidden="1" x14ac:dyDescent="0.25">
      <c r="B8318" s="4">
        <v>584670851</v>
      </c>
      <c r="C8318" s="4" t="s">
        <v>277</v>
      </c>
      <c r="D8318" s="4">
        <v>187</v>
      </c>
      <c r="E8318" s="4">
        <v>61</v>
      </c>
      <c r="G8318">
        <f t="shared" si="129"/>
        <v>544</v>
      </c>
    </row>
    <row r="8319" spans="2:7" ht="15" hidden="1" x14ac:dyDescent="0.25">
      <c r="B8319" s="4">
        <v>584670948</v>
      </c>
      <c r="C8319" s="4" t="s">
        <v>272</v>
      </c>
      <c r="D8319" s="4">
        <v>491</v>
      </c>
      <c r="E8319" s="4">
        <v>267</v>
      </c>
      <c r="G8319">
        <f t="shared" si="129"/>
        <v>2192</v>
      </c>
    </row>
    <row r="8320" spans="2:7" ht="15" hidden="1" x14ac:dyDescent="0.25">
      <c r="B8320" s="4">
        <v>584671048</v>
      </c>
      <c r="C8320" s="4" t="s">
        <v>272</v>
      </c>
      <c r="D8320" s="4">
        <v>492</v>
      </c>
      <c r="E8320" s="4">
        <v>273</v>
      </c>
      <c r="G8320">
        <f t="shared" si="129"/>
        <v>2240</v>
      </c>
    </row>
    <row r="8321" spans="2:7" ht="15" hidden="1" x14ac:dyDescent="0.25">
      <c r="B8321" s="4">
        <v>584671081</v>
      </c>
      <c r="C8321" s="4" t="s">
        <v>279</v>
      </c>
      <c r="D8321" s="4">
        <v>188</v>
      </c>
      <c r="E8321" s="4">
        <v>273</v>
      </c>
      <c r="G8321">
        <f t="shared" si="129"/>
        <v>2240</v>
      </c>
    </row>
    <row r="8322" spans="2:7" ht="15" hidden="1" x14ac:dyDescent="0.25">
      <c r="B8322" s="4">
        <v>584671104</v>
      </c>
      <c r="C8322" s="4" t="s">
        <v>277</v>
      </c>
      <c r="D8322" s="4">
        <v>188</v>
      </c>
      <c r="E8322" s="4">
        <v>61</v>
      </c>
      <c r="G8322">
        <f t="shared" si="129"/>
        <v>544</v>
      </c>
    </row>
    <row r="8323" spans="2:7" ht="15" hidden="1" x14ac:dyDescent="0.25">
      <c r="B8323" s="4">
        <v>584671144</v>
      </c>
      <c r="C8323" s="4" t="s">
        <v>269</v>
      </c>
      <c r="D8323" s="4">
        <v>1636</v>
      </c>
      <c r="E8323" s="4">
        <v>57</v>
      </c>
      <c r="G8323">
        <f t="shared" si="129"/>
        <v>512</v>
      </c>
    </row>
    <row r="8324" spans="2:7" ht="15" hidden="1" x14ac:dyDescent="0.25">
      <c r="B8324" s="4">
        <v>584671148</v>
      </c>
      <c r="C8324" s="4" t="s">
        <v>272</v>
      </c>
      <c r="D8324" s="4">
        <v>493</v>
      </c>
      <c r="E8324" s="4">
        <v>269</v>
      </c>
      <c r="G8324">
        <f t="shared" ref="G8324:G8387" si="130">(E8324+7)*8</f>
        <v>2208</v>
      </c>
    </row>
    <row r="8325" spans="2:7" ht="15" hidden="1" x14ac:dyDescent="0.25">
      <c r="B8325" s="4">
        <v>584671219</v>
      </c>
      <c r="C8325" s="4" t="s">
        <v>279</v>
      </c>
      <c r="D8325" s="4">
        <v>189</v>
      </c>
      <c r="E8325" s="4">
        <v>251</v>
      </c>
      <c r="G8325">
        <f t="shared" si="130"/>
        <v>2064</v>
      </c>
    </row>
    <row r="8326" spans="2:7" ht="15" hidden="1" x14ac:dyDescent="0.25">
      <c r="B8326" s="4">
        <v>584671242</v>
      </c>
      <c r="C8326" s="4" t="s">
        <v>277</v>
      </c>
      <c r="D8326" s="4">
        <v>189</v>
      </c>
      <c r="E8326" s="4">
        <v>59</v>
      </c>
      <c r="G8326">
        <f t="shared" si="130"/>
        <v>528</v>
      </c>
    </row>
    <row r="8327" spans="2:7" ht="15" hidden="1" x14ac:dyDescent="0.25">
      <c r="B8327" s="4">
        <v>584671248</v>
      </c>
      <c r="C8327" s="4" t="s">
        <v>272</v>
      </c>
      <c r="D8327" s="4">
        <v>494</v>
      </c>
      <c r="E8327" s="4">
        <v>271</v>
      </c>
      <c r="G8327">
        <f t="shared" si="130"/>
        <v>2224</v>
      </c>
    </row>
    <row r="8328" spans="2:7" ht="15" hidden="1" x14ac:dyDescent="0.25">
      <c r="B8328" s="4">
        <v>584671348</v>
      </c>
      <c r="C8328" s="4" t="s">
        <v>272</v>
      </c>
      <c r="D8328" s="4">
        <v>495</v>
      </c>
      <c r="E8328" s="4">
        <v>265</v>
      </c>
      <c r="G8328">
        <f t="shared" si="130"/>
        <v>2176</v>
      </c>
    </row>
    <row r="8329" spans="2:7" ht="15" hidden="1" x14ac:dyDescent="0.25">
      <c r="B8329" s="4">
        <v>584671357</v>
      </c>
      <c r="C8329" s="4" t="s">
        <v>279</v>
      </c>
      <c r="D8329" s="4">
        <v>190</v>
      </c>
      <c r="E8329" s="4">
        <v>267</v>
      </c>
      <c r="G8329">
        <f t="shared" si="130"/>
        <v>2192</v>
      </c>
    </row>
    <row r="8330" spans="2:7" ht="15" hidden="1" x14ac:dyDescent="0.25">
      <c r="B8330" s="4">
        <v>584671380</v>
      </c>
      <c r="C8330" s="4" t="s">
        <v>277</v>
      </c>
      <c r="D8330" s="4">
        <v>190</v>
      </c>
      <c r="E8330" s="4">
        <v>63</v>
      </c>
      <c r="G8330">
        <f t="shared" si="130"/>
        <v>560</v>
      </c>
    </row>
    <row r="8331" spans="2:7" ht="15" hidden="1" x14ac:dyDescent="0.25">
      <c r="B8331" s="4">
        <v>584671448</v>
      </c>
      <c r="C8331" s="4" t="s">
        <v>272</v>
      </c>
      <c r="D8331" s="4">
        <v>496</v>
      </c>
      <c r="E8331" s="4">
        <v>271</v>
      </c>
      <c r="G8331">
        <f t="shared" si="130"/>
        <v>2224</v>
      </c>
    </row>
    <row r="8332" spans="2:7" ht="15" hidden="1" x14ac:dyDescent="0.25">
      <c r="B8332" s="4">
        <v>584671548</v>
      </c>
      <c r="C8332" s="4" t="s">
        <v>272</v>
      </c>
      <c r="D8332" s="4">
        <v>497</v>
      </c>
      <c r="E8332" s="4">
        <v>263</v>
      </c>
      <c r="G8332">
        <f t="shared" si="130"/>
        <v>2160</v>
      </c>
    </row>
    <row r="8333" spans="2:7" ht="15" hidden="1" x14ac:dyDescent="0.25">
      <c r="B8333" s="4">
        <v>584671610</v>
      </c>
      <c r="C8333" s="4" t="s">
        <v>279</v>
      </c>
      <c r="D8333" s="4">
        <v>191</v>
      </c>
      <c r="E8333" s="4">
        <v>265</v>
      </c>
      <c r="G8333">
        <f t="shared" si="130"/>
        <v>2176</v>
      </c>
    </row>
    <row r="8334" spans="2:7" ht="15" hidden="1" x14ac:dyDescent="0.25">
      <c r="B8334" s="4">
        <v>584671633</v>
      </c>
      <c r="C8334" s="4" t="s">
        <v>277</v>
      </c>
      <c r="D8334" s="4">
        <v>191</v>
      </c>
      <c r="E8334" s="4">
        <v>59</v>
      </c>
      <c r="G8334">
        <f t="shared" si="130"/>
        <v>528</v>
      </c>
    </row>
    <row r="8335" spans="2:7" ht="15" hidden="1" x14ac:dyDescent="0.25">
      <c r="B8335" s="4">
        <v>584671648</v>
      </c>
      <c r="C8335" s="4" t="s">
        <v>272</v>
      </c>
      <c r="D8335" s="4">
        <v>498</v>
      </c>
      <c r="E8335" s="4">
        <v>265</v>
      </c>
      <c r="G8335">
        <f t="shared" si="130"/>
        <v>2176</v>
      </c>
    </row>
    <row r="8336" spans="2:7" ht="15" hidden="1" x14ac:dyDescent="0.25">
      <c r="B8336" s="4">
        <v>584671748</v>
      </c>
      <c r="C8336" s="4" t="s">
        <v>272</v>
      </c>
      <c r="D8336" s="4">
        <v>499</v>
      </c>
      <c r="E8336" s="4">
        <v>269</v>
      </c>
      <c r="G8336">
        <f t="shared" si="130"/>
        <v>2208</v>
      </c>
    </row>
    <row r="8337" spans="2:7" ht="15" hidden="1" x14ac:dyDescent="0.25">
      <c r="B8337" s="4">
        <v>584671748</v>
      </c>
      <c r="C8337" s="4" t="s">
        <v>279</v>
      </c>
      <c r="D8337" s="4">
        <v>192</v>
      </c>
      <c r="E8337" s="4">
        <v>257</v>
      </c>
      <c r="G8337">
        <f t="shared" si="130"/>
        <v>2112</v>
      </c>
    </row>
    <row r="8338" spans="2:7" ht="15" hidden="1" x14ac:dyDescent="0.25">
      <c r="B8338" s="4">
        <v>584671771</v>
      </c>
      <c r="C8338" s="4" t="s">
        <v>277</v>
      </c>
      <c r="D8338" s="4">
        <v>192</v>
      </c>
      <c r="E8338" s="4">
        <v>59</v>
      </c>
      <c r="G8338">
        <f t="shared" si="130"/>
        <v>528</v>
      </c>
    </row>
    <row r="8339" spans="2:7" ht="15" hidden="1" x14ac:dyDescent="0.25">
      <c r="B8339" s="4">
        <v>584671848</v>
      </c>
      <c r="C8339" s="4" t="s">
        <v>272</v>
      </c>
      <c r="D8339" s="4">
        <v>500</v>
      </c>
      <c r="E8339" s="4">
        <v>269</v>
      </c>
      <c r="G8339">
        <f t="shared" si="130"/>
        <v>2208</v>
      </c>
    </row>
    <row r="8340" spans="2:7" ht="15" hidden="1" x14ac:dyDescent="0.25">
      <c r="B8340" s="4">
        <v>584671948</v>
      </c>
      <c r="C8340" s="4" t="s">
        <v>272</v>
      </c>
      <c r="D8340" s="4">
        <v>501</v>
      </c>
      <c r="E8340" s="4">
        <v>267</v>
      </c>
      <c r="G8340">
        <f t="shared" si="130"/>
        <v>2192</v>
      </c>
    </row>
    <row r="8341" spans="2:7" ht="15" hidden="1" x14ac:dyDescent="0.25">
      <c r="B8341" s="4">
        <v>584672001</v>
      </c>
      <c r="C8341" s="4" t="s">
        <v>279</v>
      </c>
      <c r="D8341" s="4">
        <v>193</v>
      </c>
      <c r="E8341" s="4">
        <v>261</v>
      </c>
      <c r="G8341">
        <f t="shared" si="130"/>
        <v>2144</v>
      </c>
    </row>
    <row r="8342" spans="2:7" ht="15" hidden="1" x14ac:dyDescent="0.25">
      <c r="B8342" s="4">
        <v>584672024</v>
      </c>
      <c r="C8342" s="4" t="s">
        <v>277</v>
      </c>
      <c r="D8342" s="4">
        <v>193</v>
      </c>
      <c r="E8342" s="4">
        <v>61</v>
      </c>
      <c r="G8342">
        <f t="shared" si="130"/>
        <v>544</v>
      </c>
    </row>
    <row r="8343" spans="2:7" ht="15" hidden="1" x14ac:dyDescent="0.25">
      <c r="B8343" s="4">
        <v>584672048</v>
      </c>
      <c r="C8343" s="4" t="s">
        <v>272</v>
      </c>
      <c r="D8343" s="4">
        <v>502</v>
      </c>
      <c r="E8343" s="4">
        <v>269</v>
      </c>
      <c r="G8343">
        <f t="shared" si="130"/>
        <v>2208</v>
      </c>
    </row>
    <row r="8344" spans="2:7" ht="15" hidden="1" x14ac:dyDescent="0.25">
      <c r="B8344" s="4">
        <v>584672148</v>
      </c>
      <c r="C8344" s="4" t="s">
        <v>272</v>
      </c>
      <c r="D8344" s="4">
        <v>503</v>
      </c>
      <c r="E8344" s="4">
        <v>269</v>
      </c>
      <c r="G8344">
        <f t="shared" si="130"/>
        <v>2208</v>
      </c>
    </row>
    <row r="8345" spans="2:7" ht="15" hidden="1" x14ac:dyDescent="0.25">
      <c r="B8345" s="4">
        <v>584672162</v>
      </c>
      <c r="C8345" s="4" t="s">
        <v>279</v>
      </c>
      <c r="D8345" s="4">
        <v>194</v>
      </c>
      <c r="E8345" s="4">
        <v>265</v>
      </c>
      <c r="G8345">
        <f t="shared" si="130"/>
        <v>2176</v>
      </c>
    </row>
    <row r="8346" spans="2:7" ht="15" hidden="1" x14ac:dyDescent="0.25">
      <c r="B8346" s="4">
        <v>584672185</v>
      </c>
      <c r="C8346" s="4" t="s">
        <v>277</v>
      </c>
      <c r="D8346" s="4">
        <v>194</v>
      </c>
      <c r="E8346" s="4">
        <v>55</v>
      </c>
      <c r="G8346">
        <f t="shared" si="130"/>
        <v>496</v>
      </c>
    </row>
    <row r="8347" spans="2:7" ht="15" hidden="1" x14ac:dyDescent="0.25">
      <c r="B8347" s="4">
        <v>584672248</v>
      </c>
      <c r="C8347" s="4" t="s">
        <v>272</v>
      </c>
      <c r="D8347" s="4">
        <v>504</v>
      </c>
      <c r="E8347" s="4">
        <v>279</v>
      </c>
      <c r="G8347">
        <f t="shared" si="130"/>
        <v>2288</v>
      </c>
    </row>
    <row r="8348" spans="2:7" ht="15" hidden="1" x14ac:dyDescent="0.25">
      <c r="B8348" s="4">
        <v>584672348</v>
      </c>
      <c r="C8348" s="4" t="s">
        <v>272</v>
      </c>
      <c r="D8348" s="4">
        <v>505</v>
      </c>
      <c r="E8348" s="4">
        <v>265</v>
      </c>
      <c r="G8348">
        <f t="shared" si="130"/>
        <v>2176</v>
      </c>
    </row>
    <row r="8349" spans="2:7" ht="15" hidden="1" x14ac:dyDescent="0.25">
      <c r="B8349" s="4">
        <v>584672415</v>
      </c>
      <c r="C8349" s="4" t="s">
        <v>279</v>
      </c>
      <c r="D8349" s="4">
        <v>195</v>
      </c>
      <c r="E8349" s="4">
        <v>249</v>
      </c>
      <c r="G8349">
        <f t="shared" si="130"/>
        <v>2048</v>
      </c>
    </row>
    <row r="8350" spans="2:7" ht="15" hidden="1" x14ac:dyDescent="0.25">
      <c r="B8350" s="4">
        <v>584672438</v>
      </c>
      <c r="C8350" s="4" t="s">
        <v>277</v>
      </c>
      <c r="D8350" s="4">
        <v>195</v>
      </c>
      <c r="E8350" s="4">
        <v>57</v>
      </c>
      <c r="G8350">
        <f t="shared" si="130"/>
        <v>512</v>
      </c>
    </row>
    <row r="8351" spans="2:7" ht="15" hidden="1" x14ac:dyDescent="0.25">
      <c r="B8351" s="4">
        <v>584672448</v>
      </c>
      <c r="C8351" s="4" t="s">
        <v>272</v>
      </c>
      <c r="D8351" s="4">
        <v>506</v>
      </c>
      <c r="E8351" s="4">
        <v>273</v>
      </c>
      <c r="G8351">
        <f t="shared" si="130"/>
        <v>2240</v>
      </c>
    </row>
    <row r="8352" spans="2:7" ht="15" hidden="1" x14ac:dyDescent="0.25">
      <c r="B8352" s="4">
        <v>584672513</v>
      </c>
      <c r="C8352" s="4" t="s">
        <v>273</v>
      </c>
      <c r="D8352" s="4">
        <v>12576</v>
      </c>
      <c r="E8352" s="4">
        <v>317</v>
      </c>
      <c r="G8352">
        <f t="shared" si="130"/>
        <v>2592</v>
      </c>
    </row>
    <row r="8353" spans="2:7" ht="15" hidden="1" x14ac:dyDescent="0.25">
      <c r="B8353" s="4">
        <v>584672548</v>
      </c>
      <c r="C8353" s="4" t="s">
        <v>272</v>
      </c>
      <c r="D8353" s="4">
        <v>507</v>
      </c>
      <c r="E8353" s="4">
        <v>261</v>
      </c>
      <c r="G8353">
        <f t="shared" si="130"/>
        <v>2144</v>
      </c>
    </row>
    <row r="8354" spans="2:7" ht="15" hidden="1" x14ac:dyDescent="0.25">
      <c r="B8354" s="4">
        <v>584672553</v>
      </c>
      <c r="C8354" s="4" t="s">
        <v>279</v>
      </c>
      <c r="D8354" s="4">
        <v>196</v>
      </c>
      <c r="E8354" s="4">
        <v>255</v>
      </c>
      <c r="G8354">
        <f t="shared" si="130"/>
        <v>2096</v>
      </c>
    </row>
    <row r="8355" spans="2:7" ht="15" hidden="1" x14ac:dyDescent="0.25">
      <c r="B8355" s="4">
        <v>584672576</v>
      </c>
      <c r="C8355" s="4" t="s">
        <v>277</v>
      </c>
      <c r="D8355" s="4">
        <v>196</v>
      </c>
      <c r="E8355" s="4">
        <v>61</v>
      </c>
      <c r="G8355">
        <f t="shared" si="130"/>
        <v>544</v>
      </c>
    </row>
    <row r="8356" spans="2:7" ht="15" hidden="1" x14ac:dyDescent="0.25">
      <c r="B8356" s="4">
        <v>584672648</v>
      </c>
      <c r="C8356" s="4" t="s">
        <v>272</v>
      </c>
      <c r="D8356" s="4">
        <v>508</v>
      </c>
      <c r="E8356" s="4">
        <v>273</v>
      </c>
      <c r="G8356">
        <f t="shared" si="130"/>
        <v>2240</v>
      </c>
    </row>
    <row r="8357" spans="2:7" ht="15" hidden="1" x14ac:dyDescent="0.25">
      <c r="B8357" s="4">
        <v>584672748</v>
      </c>
      <c r="C8357" s="4" t="s">
        <v>272</v>
      </c>
      <c r="D8357" s="4">
        <v>509</v>
      </c>
      <c r="E8357" s="4">
        <v>265</v>
      </c>
      <c r="G8357">
        <f t="shared" si="130"/>
        <v>2176</v>
      </c>
    </row>
    <row r="8358" spans="2:7" ht="15" hidden="1" x14ac:dyDescent="0.25">
      <c r="B8358" s="4">
        <v>584672806</v>
      </c>
      <c r="C8358" s="4" t="s">
        <v>279</v>
      </c>
      <c r="D8358" s="4">
        <v>197</v>
      </c>
      <c r="E8358" s="4">
        <v>259</v>
      </c>
      <c r="G8358">
        <f t="shared" si="130"/>
        <v>2128</v>
      </c>
    </row>
    <row r="8359" spans="2:7" ht="15" hidden="1" x14ac:dyDescent="0.25">
      <c r="B8359" s="4">
        <v>584672829</v>
      </c>
      <c r="C8359" s="4" t="s">
        <v>277</v>
      </c>
      <c r="D8359" s="4">
        <v>197</v>
      </c>
      <c r="E8359" s="4">
        <v>59</v>
      </c>
      <c r="G8359">
        <f t="shared" si="130"/>
        <v>528</v>
      </c>
    </row>
    <row r="8360" spans="2:7" ht="15" hidden="1" x14ac:dyDescent="0.25">
      <c r="B8360" s="4">
        <v>584672848</v>
      </c>
      <c r="C8360" s="4" t="s">
        <v>272</v>
      </c>
      <c r="D8360" s="4">
        <v>510</v>
      </c>
      <c r="E8360" s="4">
        <v>263</v>
      </c>
      <c r="G8360">
        <f t="shared" si="130"/>
        <v>2160</v>
      </c>
    </row>
    <row r="8361" spans="2:7" ht="15" hidden="1" x14ac:dyDescent="0.25">
      <c r="B8361" s="4">
        <v>584672944</v>
      </c>
      <c r="C8361" s="4" t="s">
        <v>269</v>
      </c>
      <c r="D8361" s="4">
        <v>1637</v>
      </c>
      <c r="E8361" s="4">
        <v>57</v>
      </c>
      <c r="G8361">
        <f t="shared" si="130"/>
        <v>512</v>
      </c>
    </row>
    <row r="8362" spans="2:7" ht="15" hidden="1" x14ac:dyDescent="0.25">
      <c r="B8362" s="4">
        <v>584672944</v>
      </c>
      <c r="C8362" s="4" t="s">
        <v>279</v>
      </c>
      <c r="D8362" s="4">
        <v>198</v>
      </c>
      <c r="E8362" s="4">
        <v>265</v>
      </c>
      <c r="G8362">
        <f t="shared" si="130"/>
        <v>2176</v>
      </c>
    </row>
    <row r="8363" spans="2:7" ht="15" hidden="1" x14ac:dyDescent="0.25">
      <c r="B8363" s="4">
        <v>584672948</v>
      </c>
      <c r="C8363" s="4" t="s">
        <v>272</v>
      </c>
      <c r="D8363" s="4">
        <v>511</v>
      </c>
      <c r="E8363" s="4">
        <v>263</v>
      </c>
      <c r="G8363">
        <f t="shared" si="130"/>
        <v>2160</v>
      </c>
    </row>
    <row r="8364" spans="2:7" ht="15" hidden="1" x14ac:dyDescent="0.25">
      <c r="B8364" s="4">
        <v>584672967</v>
      </c>
      <c r="C8364" s="4" t="s">
        <v>277</v>
      </c>
      <c r="D8364" s="4">
        <v>198</v>
      </c>
      <c r="E8364" s="4">
        <v>63</v>
      </c>
      <c r="G8364">
        <f t="shared" si="130"/>
        <v>560</v>
      </c>
    </row>
    <row r="8365" spans="2:7" ht="15" hidden="1" x14ac:dyDescent="0.25">
      <c r="B8365" s="4">
        <v>584673048</v>
      </c>
      <c r="C8365" s="4" t="s">
        <v>272</v>
      </c>
      <c r="D8365" s="4">
        <v>512</v>
      </c>
      <c r="E8365" s="4">
        <v>271</v>
      </c>
      <c r="G8365">
        <f t="shared" si="130"/>
        <v>2224</v>
      </c>
    </row>
    <row r="8366" spans="2:7" ht="15" hidden="1" x14ac:dyDescent="0.25">
      <c r="B8366" s="4">
        <v>584673148</v>
      </c>
      <c r="C8366" s="4" t="s">
        <v>272</v>
      </c>
      <c r="D8366" s="4">
        <v>513</v>
      </c>
      <c r="E8366" s="4">
        <v>261</v>
      </c>
      <c r="G8366">
        <f t="shared" si="130"/>
        <v>2144</v>
      </c>
    </row>
    <row r="8367" spans="2:7" ht="15" hidden="1" x14ac:dyDescent="0.25">
      <c r="B8367" s="4">
        <v>584673174</v>
      </c>
      <c r="C8367" s="4" t="s">
        <v>279</v>
      </c>
      <c r="D8367" s="4">
        <v>199</v>
      </c>
      <c r="E8367" s="4">
        <v>269</v>
      </c>
      <c r="G8367">
        <f t="shared" si="130"/>
        <v>2208</v>
      </c>
    </row>
    <row r="8368" spans="2:7" ht="15" hidden="1" x14ac:dyDescent="0.25">
      <c r="B8368" s="4">
        <v>584673197</v>
      </c>
      <c r="C8368" s="4" t="s">
        <v>277</v>
      </c>
      <c r="D8368" s="4">
        <v>199</v>
      </c>
      <c r="E8368" s="4">
        <v>61</v>
      </c>
      <c r="G8368">
        <f t="shared" si="130"/>
        <v>544</v>
      </c>
    </row>
    <row r="8369" spans="2:7" ht="15" hidden="1" x14ac:dyDescent="0.25">
      <c r="B8369" s="4">
        <v>584673248</v>
      </c>
      <c r="C8369" s="4" t="s">
        <v>272</v>
      </c>
      <c r="D8369" s="4">
        <v>514</v>
      </c>
      <c r="E8369" s="4">
        <v>271</v>
      </c>
      <c r="G8369">
        <f t="shared" si="130"/>
        <v>2224</v>
      </c>
    </row>
    <row r="8370" spans="2:7" ht="15" hidden="1" x14ac:dyDescent="0.25">
      <c r="B8370" s="4">
        <v>584673312</v>
      </c>
      <c r="C8370" s="4" t="s">
        <v>279</v>
      </c>
      <c r="D8370" s="4">
        <v>200</v>
      </c>
      <c r="E8370" s="4">
        <v>265</v>
      </c>
      <c r="G8370">
        <f t="shared" si="130"/>
        <v>2176</v>
      </c>
    </row>
    <row r="8371" spans="2:7" ht="15" hidden="1" x14ac:dyDescent="0.25">
      <c r="B8371" s="4">
        <v>584673335</v>
      </c>
      <c r="C8371" s="4" t="s">
        <v>277</v>
      </c>
      <c r="D8371" s="4">
        <v>200</v>
      </c>
      <c r="E8371" s="4">
        <v>59</v>
      </c>
      <c r="G8371">
        <f t="shared" si="130"/>
        <v>528</v>
      </c>
    </row>
    <row r="8372" spans="2:7" ht="15" hidden="1" x14ac:dyDescent="0.25">
      <c r="B8372" s="4">
        <v>584673348</v>
      </c>
      <c r="C8372" s="4" t="s">
        <v>272</v>
      </c>
      <c r="D8372" s="4">
        <v>515</v>
      </c>
      <c r="E8372" s="4">
        <v>269</v>
      </c>
      <c r="G8372">
        <f t="shared" si="130"/>
        <v>2208</v>
      </c>
    </row>
    <row r="8373" spans="2:7" ht="15" hidden="1" x14ac:dyDescent="0.25">
      <c r="B8373" s="4">
        <v>584673448</v>
      </c>
      <c r="C8373" s="4" t="s">
        <v>272</v>
      </c>
      <c r="D8373" s="4">
        <v>516</v>
      </c>
      <c r="E8373" s="4">
        <v>277</v>
      </c>
      <c r="G8373">
        <f t="shared" si="130"/>
        <v>2272</v>
      </c>
    </row>
    <row r="8374" spans="2:7" ht="15" hidden="1" x14ac:dyDescent="0.25">
      <c r="B8374" s="4">
        <v>584673548</v>
      </c>
      <c r="C8374" s="4" t="s">
        <v>272</v>
      </c>
      <c r="D8374" s="4">
        <v>517</v>
      </c>
      <c r="E8374" s="4">
        <v>261</v>
      </c>
      <c r="G8374">
        <f t="shared" si="130"/>
        <v>2144</v>
      </c>
    </row>
    <row r="8375" spans="2:7" ht="15" hidden="1" x14ac:dyDescent="0.25">
      <c r="B8375" s="4">
        <v>584673565</v>
      </c>
      <c r="C8375" s="4" t="s">
        <v>279</v>
      </c>
      <c r="D8375" s="4">
        <v>201</v>
      </c>
      <c r="E8375" s="4">
        <v>259</v>
      </c>
      <c r="G8375">
        <f t="shared" si="130"/>
        <v>2128</v>
      </c>
    </row>
    <row r="8376" spans="2:7" ht="15" hidden="1" x14ac:dyDescent="0.25">
      <c r="B8376" s="4">
        <v>584673588</v>
      </c>
      <c r="C8376" s="4" t="s">
        <v>277</v>
      </c>
      <c r="D8376" s="4">
        <v>201</v>
      </c>
      <c r="E8376" s="4">
        <v>61</v>
      </c>
      <c r="G8376">
        <f t="shared" si="130"/>
        <v>544</v>
      </c>
    </row>
    <row r="8377" spans="2:7" ht="15" hidden="1" x14ac:dyDescent="0.25">
      <c r="B8377" s="4">
        <v>584673648</v>
      </c>
      <c r="C8377" s="4" t="s">
        <v>272</v>
      </c>
      <c r="D8377" s="4">
        <v>518</v>
      </c>
      <c r="E8377" s="4">
        <v>273</v>
      </c>
      <c r="G8377">
        <f t="shared" si="130"/>
        <v>2240</v>
      </c>
    </row>
    <row r="8378" spans="2:7" ht="15" hidden="1" x14ac:dyDescent="0.25">
      <c r="B8378" s="4">
        <v>584673703</v>
      </c>
      <c r="C8378" s="4" t="s">
        <v>279</v>
      </c>
      <c r="D8378" s="4">
        <v>202</v>
      </c>
      <c r="E8378" s="4">
        <v>261</v>
      </c>
      <c r="G8378">
        <f t="shared" si="130"/>
        <v>2144</v>
      </c>
    </row>
    <row r="8379" spans="2:7" ht="15" hidden="1" x14ac:dyDescent="0.25">
      <c r="B8379" s="4">
        <v>584673726</v>
      </c>
      <c r="C8379" s="4" t="s">
        <v>277</v>
      </c>
      <c r="D8379" s="4">
        <v>202</v>
      </c>
      <c r="E8379" s="4">
        <v>61</v>
      </c>
      <c r="G8379">
        <f t="shared" si="130"/>
        <v>544</v>
      </c>
    </row>
    <row r="8380" spans="2:7" ht="15" hidden="1" x14ac:dyDescent="0.25">
      <c r="B8380" s="4">
        <v>584673748</v>
      </c>
      <c r="C8380" s="4" t="s">
        <v>272</v>
      </c>
      <c r="D8380" s="4">
        <v>519</v>
      </c>
      <c r="E8380" s="4">
        <v>265</v>
      </c>
      <c r="G8380">
        <f t="shared" si="130"/>
        <v>2176</v>
      </c>
    </row>
    <row r="8381" spans="2:7" ht="15" hidden="1" x14ac:dyDescent="0.25">
      <c r="B8381" s="4">
        <v>584673848</v>
      </c>
      <c r="C8381" s="4" t="s">
        <v>272</v>
      </c>
      <c r="D8381" s="4">
        <v>520</v>
      </c>
      <c r="E8381" s="4">
        <v>273</v>
      </c>
      <c r="G8381">
        <f t="shared" si="130"/>
        <v>2240</v>
      </c>
    </row>
    <row r="8382" spans="2:7" ht="15" hidden="1" x14ac:dyDescent="0.25">
      <c r="B8382" s="4">
        <v>584673948</v>
      </c>
      <c r="C8382" s="4" t="s">
        <v>272</v>
      </c>
      <c r="D8382" s="4">
        <v>521</v>
      </c>
      <c r="E8382" s="4">
        <v>273</v>
      </c>
      <c r="G8382">
        <f t="shared" si="130"/>
        <v>2240</v>
      </c>
    </row>
    <row r="8383" spans="2:7" ht="15" hidden="1" x14ac:dyDescent="0.25">
      <c r="B8383" s="4">
        <v>584673956</v>
      </c>
      <c r="C8383" s="4" t="s">
        <v>279</v>
      </c>
      <c r="D8383" s="4">
        <v>203</v>
      </c>
      <c r="E8383" s="4">
        <v>247</v>
      </c>
      <c r="G8383">
        <f t="shared" si="130"/>
        <v>2032</v>
      </c>
    </row>
    <row r="8384" spans="2:7" ht="15" hidden="1" x14ac:dyDescent="0.25">
      <c r="B8384" s="4">
        <v>584673979</v>
      </c>
      <c r="C8384" s="4" t="s">
        <v>277</v>
      </c>
      <c r="D8384" s="4">
        <v>203</v>
      </c>
      <c r="E8384" s="4">
        <v>59</v>
      </c>
      <c r="G8384">
        <f t="shared" si="130"/>
        <v>528</v>
      </c>
    </row>
    <row r="8385" spans="2:7" ht="15" hidden="1" x14ac:dyDescent="0.25">
      <c r="B8385" s="4">
        <v>584674048</v>
      </c>
      <c r="C8385" s="4" t="s">
        <v>272</v>
      </c>
      <c r="D8385" s="4">
        <v>522</v>
      </c>
      <c r="E8385" s="4">
        <v>269</v>
      </c>
      <c r="G8385">
        <f t="shared" si="130"/>
        <v>2208</v>
      </c>
    </row>
    <row r="8386" spans="2:7" ht="15" hidden="1" x14ac:dyDescent="0.25">
      <c r="B8386" s="4">
        <v>584674094</v>
      </c>
      <c r="C8386" s="4" t="s">
        <v>279</v>
      </c>
      <c r="D8386" s="4">
        <v>204</v>
      </c>
      <c r="E8386" s="4">
        <v>271</v>
      </c>
      <c r="G8386">
        <f t="shared" si="130"/>
        <v>2224</v>
      </c>
    </row>
    <row r="8387" spans="2:7" ht="15" hidden="1" x14ac:dyDescent="0.25">
      <c r="B8387" s="4">
        <v>584674117</v>
      </c>
      <c r="C8387" s="4" t="s">
        <v>277</v>
      </c>
      <c r="D8387" s="4">
        <v>204</v>
      </c>
      <c r="E8387" s="4">
        <v>63</v>
      </c>
      <c r="G8387">
        <f t="shared" si="130"/>
        <v>560</v>
      </c>
    </row>
    <row r="8388" spans="2:7" ht="15" hidden="1" x14ac:dyDescent="0.25">
      <c r="B8388" s="4">
        <v>584674148</v>
      </c>
      <c r="C8388" s="4" t="s">
        <v>272</v>
      </c>
      <c r="D8388" s="4">
        <v>523</v>
      </c>
      <c r="E8388" s="4">
        <v>265</v>
      </c>
      <c r="G8388">
        <f t="shared" ref="G8388:G8451" si="131">(E8388+7)*8</f>
        <v>2176</v>
      </c>
    </row>
    <row r="8389" spans="2:7" ht="15" hidden="1" x14ac:dyDescent="0.25">
      <c r="B8389" s="4">
        <v>584674248</v>
      </c>
      <c r="C8389" s="4" t="s">
        <v>272</v>
      </c>
      <c r="D8389" s="4">
        <v>524</v>
      </c>
      <c r="E8389" s="4">
        <v>265</v>
      </c>
      <c r="G8389">
        <f t="shared" si="131"/>
        <v>2176</v>
      </c>
    </row>
    <row r="8390" spans="2:7" ht="15" hidden="1" x14ac:dyDescent="0.25">
      <c r="B8390" s="4">
        <v>584674324</v>
      </c>
      <c r="C8390" s="4" t="s">
        <v>279</v>
      </c>
      <c r="D8390" s="4">
        <v>205</v>
      </c>
      <c r="E8390" s="4">
        <v>259</v>
      </c>
      <c r="G8390">
        <f t="shared" si="131"/>
        <v>2128</v>
      </c>
    </row>
    <row r="8391" spans="2:7" ht="15" hidden="1" x14ac:dyDescent="0.25">
      <c r="B8391" s="4">
        <v>584674347</v>
      </c>
      <c r="C8391" s="4" t="s">
        <v>277</v>
      </c>
      <c r="D8391" s="4">
        <v>205</v>
      </c>
      <c r="E8391" s="4">
        <v>59</v>
      </c>
      <c r="G8391">
        <f t="shared" si="131"/>
        <v>528</v>
      </c>
    </row>
    <row r="8392" spans="2:7" ht="15" hidden="1" x14ac:dyDescent="0.25">
      <c r="B8392" s="4">
        <v>584674348</v>
      </c>
      <c r="C8392" s="4" t="s">
        <v>272</v>
      </c>
      <c r="D8392" s="4">
        <v>525</v>
      </c>
      <c r="E8392" s="4">
        <v>279</v>
      </c>
      <c r="G8392">
        <f t="shared" si="131"/>
        <v>2288</v>
      </c>
    </row>
    <row r="8393" spans="2:7" ht="15" hidden="1" x14ac:dyDescent="0.25">
      <c r="B8393" s="4">
        <v>584674448</v>
      </c>
      <c r="C8393" s="4" t="s">
        <v>272</v>
      </c>
      <c r="D8393" s="4">
        <v>526</v>
      </c>
      <c r="E8393" s="4">
        <v>267</v>
      </c>
      <c r="G8393">
        <f t="shared" si="131"/>
        <v>2192</v>
      </c>
    </row>
    <row r="8394" spans="2:7" ht="15" hidden="1" x14ac:dyDescent="0.25">
      <c r="B8394" s="4">
        <v>584674462</v>
      </c>
      <c r="C8394" s="4" t="s">
        <v>279</v>
      </c>
      <c r="D8394" s="4">
        <v>206</v>
      </c>
      <c r="E8394" s="4">
        <v>267</v>
      </c>
      <c r="G8394">
        <f t="shared" si="131"/>
        <v>2192</v>
      </c>
    </row>
    <row r="8395" spans="2:7" ht="15" hidden="1" x14ac:dyDescent="0.25">
      <c r="B8395" s="4">
        <v>584674485</v>
      </c>
      <c r="C8395" s="4" t="s">
        <v>277</v>
      </c>
      <c r="D8395" s="4">
        <v>206</v>
      </c>
      <c r="E8395" s="4">
        <v>59</v>
      </c>
      <c r="G8395">
        <f t="shared" si="131"/>
        <v>528</v>
      </c>
    </row>
    <row r="8396" spans="2:7" ht="15" hidden="1" x14ac:dyDescent="0.25">
      <c r="B8396" s="4">
        <v>584674548</v>
      </c>
      <c r="C8396" s="4" t="s">
        <v>272</v>
      </c>
      <c r="D8396" s="4">
        <v>527</v>
      </c>
      <c r="E8396" s="4">
        <v>275</v>
      </c>
      <c r="G8396">
        <f t="shared" si="131"/>
        <v>2256</v>
      </c>
    </row>
    <row r="8397" spans="2:7" ht="15" hidden="1" x14ac:dyDescent="0.25">
      <c r="B8397" s="4">
        <v>584674614</v>
      </c>
      <c r="C8397" s="4" t="s">
        <v>273</v>
      </c>
      <c r="D8397" s="4">
        <v>14677</v>
      </c>
      <c r="E8397" s="4">
        <v>317</v>
      </c>
      <c r="G8397">
        <f t="shared" si="131"/>
        <v>2592</v>
      </c>
    </row>
    <row r="8398" spans="2:7" ht="15" hidden="1" x14ac:dyDescent="0.25">
      <c r="B8398" s="4">
        <v>584674648</v>
      </c>
      <c r="C8398" s="4" t="s">
        <v>272</v>
      </c>
      <c r="D8398" s="4">
        <v>528</v>
      </c>
      <c r="E8398" s="4">
        <v>265</v>
      </c>
      <c r="G8398">
        <f t="shared" si="131"/>
        <v>2176</v>
      </c>
    </row>
    <row r="8399" spans="2:7" ht="15" hidden="1" x14ac:dyDescent="0.25">
      <c r="B8399" s="4">
        <v>584674715</v>
      </c>
      <c r="C8399" s="4" t="s">
        <v>279</v>
      </c>
      <c r="D8399" s="4">
        <v>207</v>
      </c>
      <c r="E8399" s="4">
        <v>273</v>
      </c>
      <c r="G8399">
        <f t="shared" si="131"/>
        <v>2240</v>
      </c>
    </row>
    <row r="8400" spans="2:7" ht="15" hidden="1" x14ac:dyDescent="0.25">
      <c r="B8400" s="4">
        <v>584674738</v>
      </c>
      <c r="C8400" s="4" t="s">
        <v>277</v>
      </c>
      <c r="D8400" s="4">
        <v>207</v>
      </c>
      <c r="E8400" s="4">
        <v>61</v>
      </c>
      <c r="G8400">
        <f t="shared" si="131"/>
        <v>544</v>
      </c>
    </row>
    <row r="8401" spans="2:7" ht="15" hidden="1" x14ac:dyDescent="0.25">
      <c r="B8401" s="4">
        <v>584674744</v>
      </c>
      <c r="C8401" s="4" t="s">
        <v>269</v>
      </c>
      <c r="D8401" s="4">
        <v>1638</v>
      </c>
      <c r="E8401" s="4">
        <v>57</v>
      </c>
      <c r="G8401">
        <f t="shared" si="131"/>
        <v>512</v>
      </c>
    </row>
    <row r="8402" spans="2:7" ht="15" hidden="1" x14ac:dyDescent="0.25">
      <c r="B8402" s="4">
        <v>584674748</v>
      </c>
      <c r="C8402" s="4" t="s">
        <v>272</v>
      </c>
      <c r="D8402" s="4">
        <v>529</v>
      </c>
      <c r="E8402" s="4">
        <v>273</v>
      </c>
      <c r="G8402">
        <f t="shared" si="131"/>
        <v>2240</v>
      </c>
    </row>
    <row r="8403" spans="2:7" ht="15" hidden="1" x14ac:dyDescent="0.25">
      <c r="B8403" s="4">
        <v>584674848</v>
      </c>
      <c r="C8403" s="4" t="s">
        <v>272</v>
      </c>
      <c r="D8403" s="4">
        <v>530</v>
      </c>
      <c r="E8403" s="4">
        <v>275</v>
      </c>
      <c r="G8403">
        <f t="shared" si="131"/>
        <v>2256</v>
      </c>
    </row>
    <row r="8404" spans="2:7" ht="15" hidden="1" x14ac:dyDescent="0.25">
      <c r="B8404" s="4">
        <v>584674853</v>
      </c>
      <c r="C8404" s="4" t="s">
        <v>279</v>
      </c>
      <c r="D8404" s="4">
        <v>208</v>
      </c>
      <c r="E8404" s="4">
        <v>275</v>
      </c>
      <c r="G8404">
        <f t="shared" si="131"/>
        <v>2256</v>
      </c>
    </row>
    <row r="8405" spans="2:7" ht="15" hidden="1" x14ac:dyDescent="0.25">
      <c r="B8405" s="4">
        <v>584674876</v>
      </c>
      <c r="C8405" s="4" t="s">
        <v>277</v>
      </c>
      <c r="D8405" s="4">
        <v>208</v>
      </c>
      <c r="E8405" s="4">
        <v>61</v>
      </c>
      <c r="G8405">
        <f t="shared" si="131"/>
        <v>544</v>
      </c>
    </row>
    <row r="8406" spans="2:7" ht="15" hidden="1" x14ac:dyDescent="0.25">
      <c r="B8406" s="4">
        <v>584674948</v>
      </c>
      <c r="C8406" s="4" t="s">
        <v>272</v>
      </c>
      <c r="D8406" s="4">
        <v>531</v>
      </c>
      <c r="E8406" s="4">
        <v>273</v>
      </c>
      <c r="G8406">
        <f t="shared" si="131"/>
        <v>2240</v>
      </c>
    </row>
    <row r="8407" spans="2:7" ht="15" hidden="1" x14ac:dyDescent="0.25">
      <c r="B8407" s="4">
        <v>584675048</v>
      </c>
      <c r="C8407" s="4" t="s">
        <v>272</v>
      </c>
      <c r="D8407" s="4">
        <v>532</v>
      </c>
      <c r="E8407" s="4">
        <v>273</v>
      </c>
      <c r="G8407">
        <f t="shared" si="131"/>
        <v>2240</v>
      </c>
    </row>
    <row r="8408" spans="2:7" ht="15" hidden="1" x14ac:dyDescent="0.25">
      <c r="B8408" s="4">
        <v>584675106</v>
      </c>
      <c r="C8408" s="4" t="s">
        <v>279</v>
      </c>
      <c r="D8408" s="4">
        <v>209</v>
      </c>
      <c r="E8408" s="4">
        <v>275</v>
      </c>
      <c r="G8408">
        <f t="shared" si="131"/>
        <v>2256</v>
      </c>
    </row>
    <row r="8409" spans="2:7" ht="15" hidden="1" x14ac:dyDescent="0.25">
      <c r="B8409" s="4">
        <v>584675129</v>
      </c>
      <c r="C8409" s="4" t="s">
        <v>277</v>
      </c>
      <c r="D8409" s="4">
        <v>209</v>
      </c>
      <c r="E8409" s="4">
        <v>59</v>
      </c>
      <c r="G8409">
        <f t="shared" si="131"/>
        <v>528</v>
      </c>
    </row>
    <row r="8410" spans="2:7" ht="15" hidden="1" x14ac:dyDescent="0.25">
      <c r="B8410" s="4">
        <v>584675148</v>
      </c>
      <c r="C8410" s="4" t="s">
        <v>272</v>
      </c>
      <c r="D8410" s="4">
        <v>533</v>
      </c>
      <c r="E8410" s="4">
        <v>265</v>
      </c>
      <c r="G8410">
        <f t="shared" si="131"/>
        <v>2176</v>
      </c>
    </row>
    <row r="8411" spans="2:7" ht="15" hidden="1" x14ac:dyDescent="0.25">
      <c r="B8411" s="4">
        <v>584675244</v>
      </c>
      <c r="C8411" s="4" t="s">
        <v>279</v>
      </c>
      <c r="D8411" s="4">
        <v>210</v>
      </c>
      <c r="E8411" s="4">
        <v>269</v>
      </c>
      <c r="G8411">
        <f t="shared" si="131"/>
        <v>2208</v>
      </c>
    </row>
    <row r="8412" spans="2:7" ht="15" hidden="1" x14ac:dyDescent="0.25">
      <c r="B8412" s="4">
        <v>584675248</v>
      </c>
      <c r="C8412" s="4" t="s">
        <v>272</v>
      </c>
      <c r="D8412" s="4">
        <v>534</v>
      </c>
      <c r="E8412" s="4">
        <v>267</v>
      </c>
      <c r="G8412">
        <f t="shared" si="131"/>
        <v>2192</v>
      </c>
    </row>
    <row r="8413" spans="2:7" ht="15" hidden="1" x14ac:dyDescent="0.25">
      <c r="B8413" s="4">
        <v>584675267</v>
      </c>
      <c r="C8413" s="4" t="s">
        <v>277</v>
      </c>
      <c r="D8413" s="4">
        <v>210</v>
      </c>
      <c r="E8413" s="4">
        <v>61</v>
      </c>
      <c r="G8413">
        <f t="shared" si="131"/>
        <v>544</v>
      </c>
    </row>
    <row r="8414" spans="2:7" ht="15" hidden="1" x14ac:dyDescent="0.25">
      <c r="B8414" s="4">
        <v>584675348</v>
      </c>
      <c r="C8414" s="4" t="s">
        <v>272</v>
      </c>
      <c r="D8414" s="4">
        <v>535</v>
      </c>
      <c r="E8414" s="4">
        <v>263</v>
      </c>
      <c r="G8414">
        <f t="shared" si="131"/>
        <v>2160</v>
      </c>
    </row>
    <row r="8415" spans="2:7" ht="15" hidden="1" x14ac:dyDescent="0.25">
      <c r="B8415" s="4">
        <v>584675448</v>
      </c>
      <c r="C8415" s="4" t="s">
        <v>272</v>
      </c>
      <c r="D8415" s="4">
        <v>536</v>
      </c>
      <c r="E8415" s="4">
        <v>269</v>
      </c>
      <c r="G8415">
        <f t="shared" si="131"/>
        <v>2208</v>
      </c>
    </row>
    <row r="8416" spans="2:7" ht="15" hidden="1" x14ac:dyDescent="0.25">
      <c r="B8416" s="4">
        <v>584675497</v>
      </c>
      <c r="C8416" s="4" t="s">
        <v>279</v>
      </c>
      <c r="D8416" s="4">
        <v>211</v>
      </c>
      <c r="E8416" s="4">
        <v>255</v>
      </c>
      <c r="G8416">
        <f t="shared" si="131"/>
        <v>2096</v>
      </c>
    </row>
    <row r="8417" spans="2:7" ht="15" hidden="1" x14ac:dyDescent="0.25">
      <c r="B8417" s="4">
        <v>584675520</v>
      </c>
      <c r="C8417" s="4" t="s">
        <v>277</v>
      </c>
      <c r="D8417" s="4">
        <v>211</v>
      </c>
      <c r="E8417" s="4">
        <v>61</v>
      </c>
      <c r="G8417">
        <f t="shared" si="131"/>
        <v>544</v>
      </c>
    </row>
    <row r="8418" spans="2:7" ht="15" hidden="1" x14ac:dyDescent="0.25">
      <c r="B8418" s="4">
        <v>584675548</v>
      </c>
      <c r="C8418" s="4" t="s">
        <v>272</v>
      </c>
      <c r="D8418" s="4">
        <v>537</v>
      </c>
      <c r="E8418" s="4">
        <v>263</v>
      </c>
      <c r="G8418">
        <f t="shared" si="131"/>
        <v>2160</v>
      </c>
    </row>
    <row r="8419" spans="2:7" ht="15" hidden="1" x14ac:dyDescent="0.25">
      <c r="B8419" s="4">
        <v>584675648</v>
      </c>
      <c r="C8419" s="4" t="s">
        <v>272</v>
      </c>
      <c r="D8419" s="4">
        <v>538</v>
      </c>
      <c r="E8419" s="4">
        <v>267</v>
      </c>
      <c r="G8419">
        <f t="shared" si="131"/>
        <v>2192</v>
      </c>
    </row>
    <row r="8420" spans="2:7" ht="15" hidden="1" x14ac:dyDescent="0.25">
      <c r="B8420" s="4">
        <v>584675658</v>
      </c>
      <c r="C8420" s="4" t="s">
        <v>279</v>
      </c>
      <c r="D8420" s="4">
        <v>212</v>
      </c>
      <c r="E8420" s="4">
        <v>255</v>
      </c>
      <c r="G8420">
        <f t="shared" si="131"/>
        <v>2096</v>
      </c>
    </row>
    <row r="8421" spans="2:7" ht="15" hidden="1" x14ac:dyDescent="0.25">
      <c r="B8421" s="4">
        <v>584675681</v>
      </c>
      <c r="C8421" s="4" t="s">
        <v>277</v>
      </c>
      <c r="D8421" s="4">
        <v>212</v>
      </c>
      <c r="E8421" s="4">
        <v>57</v>
      </c>
      <c r="G8421">
        <f t="shared" si="131"/>
        <v>512</v>
      </c>
    </row>
    <row r="8422" spans="2:7" ht="15" hidden="1" x14ac:dyDescent="0.25">
      <c r="B8422" s="4">
        <v>584675748</v>
      </c>
      <c r="C8422" s="4" t="s">
        <v>272</v>
      </c>
      <c r="D8422" s="4">
        <v>539</v>
      </c>
      <c r="E8422" s="4">
        <v>269</v>
      </c>
      <c r="G8422">
        <f t="shared" si="131"/>
        <v>2208</v>
      </c>
    </row>
    <row r="8423" spans="2:7" ht="15" hidden="1" x14ac:dyDescent="0.25">
      <c r="B8423" s="4">
        <v>584675848</v>
      </c>
      <c r="C8423" s="4" t="s">
        <v>272</v>
      </c>
      <c r="D8423" s="4">
        <v>540</v>
      </c>
      <c r="E8423" s="4">
        <v>263</v>
      </c>
      <c r="G8423">
        <f t="shared" si="131"/>
        <v>2160</v>
      </c>
    </row>
    <row r="8424" spans="2:7" ht="15" hidden="1" x14ac:dyDescent="0.25">
      <c r="B8424" s="4">
        <v>584675888</v>
      </c>
      <c r="C8424" s="4" t="s">
        <v>279</v>
      </c>
      <c r="D8424" s="4">
        <v>213</v>
      </c>
      <c r="E8424" s="4">
        <v>267</v>
      </c>
      <c r="G8424">
        <f t="shared" si="131"/>
        <v>2192</v>
      </c>
    </row>
    <row r="8425" spans="2:7" ht="15" hidden="1" x14ac:dyDescent="0.25">
      <c r="B8425" s="4">
        <v>584675911</v>
      </c>
      <c r="C8425" s="4" t="s">
        <v>277</v>
      </c>
      <c r="D8425" s="4">
        <v>213</v>
      </c>
      <c r="E8425" s="4">
        <v>61</v>
      </c>
      <c r="G8425">
        <f t="shared" si="131"/>
        <v>544</v>
      </c>
    </row>
    <row r="8426" spans="2:7" ht="15" hidden="1" x14ac:dyDescent="0.25">
      <c r="B8426" s="4">
        <v>584675948</v>
      </c>
      <c r="C8426" s="4" t="s">
        <v>272</v>
      </c>
      <c r="D8426" s="4">
        <v>541</v>
      </c>
      <c r="E8426" s="4">
        <v>265</v>
      </c>
      <c r="G8426">
        <f t="shared" si="131"/>
        <v>2176</v>
      </c>
    </row>
    <row r="8427" spans="2:7" ht="15" hidden="1" x14ac:dyDescent="0.25">
      <c r="B8427" s="4">
        <v>584676048</v>
      </c>
      <c r="C8427" s="4" t="s">
        <v>272</v>
      </c>
      <c r="D8427" s="4">
        <v>542</v>
      </c>
      <c r="E8427" s="4">
        <v>261</v>
      </c>
      <c r="G8427">
        <f t="shared" si="131"/>
        <v>2144</v>
      </c>
    </row>
    <row r="8428" spans="2:7" ht="15" hidden="1" x14ac:dyDescent="0.25">
      <c r="B8428" s="4">
        <v>584676049</v>
      </c>
      <c r="C8428" s="4" t="s">
        <v>279</v>
      </c>
      <c r="D8428" s="4">
        <v>214</v>
      </c>
      <c r="E8428" s="4">
        <v>249</v>
      </c>
      <c r="G8428">
        <f t="shared" si="131"/>
        <v>2048</v>
      </c>
    </row>
    <row r="8429" spans="2:7" ht="15" hidden="1" x14ac:dyDescent="0.25">
      <c r="B8429" s="4">
        <v>584676072</v>
      </c>
      <c r="C8429" s="4" t="s">
        <v>277</v>
      </c>
      <c r="D8429" s="4">
        <v>214</v>
      </c>
      <c r="E8429" s="4">
        <v>59</v>
      </c>
      <c r="G8429">
        <f t="shared" si="131"/>
        <v>528</v>
      </c>
    </row>
    <row r="8430" spans="2:7" ht="15" hidden="1" x14ac:dyDescent="0.25">
      <c r="B8430" s="4">
        <v>584676148</v>
      </c>
      <c r="C8430" s="4" t="s">
        <v>272</v>
      </c>
      <c r="D8430" s="4">
        <v>543</v>
      </c>
      <c r="E8430" s="4">
        <v>265</v>
      </c>
      <c r="G8430">
        <f t="shared" si="131"/>
        <v>2176</v>
      </c>
    </row>
    <row r="8431" spans="2:7" ht="15" hidden="1" x14ac:dyDescent="0.25">
      <c r="B8431" s="4">
        <v>584676248</v>
      </c>
      <c r="C8431" s="4" t="s">
        <v>272</v>
      </c>
      <c r="D8431" s="4">
        <v>544</v>
      </c>
      <c r="E8431" s="4">
        <v>271</v>
      </c>
      <c r="G8431">
        <f t="shared" si="131"/>
        <v>2224</v>
      </c>
    </row>
    <row r="8432" spans="2:7" ht="15" hidden="1" x14ac:dyDescent="0.25">
      <c r="B8432" s="4">
        <v>584676302</v>
      </c>
      <c r="C8432" s="4" t="s">
        <v>279</v>
      </c>
      <c r="D8432" s="4">
        <v>215</v>
      </c>
      <c r="E8432" s="4">
        <v>275</v>
      </c>
      <c r="G8432">
        <f t="shared" si="131"/>
        <v>2256</v>
      </c>
    </row>
    <row r="8433" spans="2:7" ht="15" hidden="1" x14ac:dyDescent="0.25">
      <c r="B8433" s="4">
        <v>584676325</v>
      </c>
      <c r="C8433" s="4" t="s">
        <v>277</v>
      </c>
      <c r="D8433" s="4">
        <v>215</v>
      </c>
      <c r="E8433" s="4">
        <v>57</v>
      </c>
      <c r="G8433">
        <f t="shared" si="131"/>
        <v>512</v>
      </c>
    </row>
    <row r="8434" spans="2:7" ht="15" hidden="1" x14ac:dyDescent="0.25">
      <c r="B8434" s="4">
        <v>584676348</v>
      </c>
      <c r="C8434" s="4" t="s">
        <v>272</v>
      </c>
      <c r="D8434" s="4">
        <v>545</v>
      </c>
      <c r="E8434" s="4">
        <v>259</v>
      </c>
      <c r="G8434">
        <f t="shared" si="131"/>
        <v>2128</v>
      </c>
    </row>
    <row r="8435" spans="2:7" ht="15" hidden="1" x14ac:dyDescent="0.25">
      <c r="B8435" s="4">
        <v>584676440</v>
      </c>
      <c r="C8435" s="4" t="s">
        <v>279</v>
      </c>
      <c r="D8435" s="4">
        <v>216</v>
      </c>
      <c r="E8435" s="4">
        <v>247</v>
      </c>
      <c r="G8435">
        <f t="shared" si="131"/>
        <v>2032</v>
      </c>
    </row>
    <row r="8436" spans="2:7" ht="15" hidden="1" x14ac:dyDescent="0.25">
      <c r="B8436" s="4">
        <v>584676448</v>
      </c>
      <c r="C8436" s="4" t="s">
        <v>272</v>
      </c>
      <c r="D8436" s="4">
        <v>546</v>
      </c>
      <c r="E8436" s="4">
        <v>267</v>
      </c>
      <c r="G8436">
        <f t="shared" si="131"/>
        <v>2192</v>
      </c>
    </row>
    <row r="8437" spans="2:7" ht="15" hidden="1" x14ac:dyDescent="0.25">
      <c r="B8437" s="4">
        <v>584676463</v>
      </c>
      <c r="C8437" s="4" t="s">
        <v>277</v>
      </c>
      <c r="D8437" s="4">
        <v>216</v>
      </c>
      <c r="E8437" s="4">
        <v>61</v>
      </c>
      <c r="G8437">
        <f t="shared" si="131"/>
        <v>544</v>
      </c>
    </row>
    <row r="8438" spans="2:7" ht="15" hidden="1" x14ac:dyDescent="0.25">
      <c r="B8438" s="4">
        <v>584676544</v>
      </c>
      <c r="C8438" s="4" t="s">
        <v>269</v>
      </c>
      <c r="D8438" s="4">
        <v>1639</v>
      </c>
      <c r="E8438" s="4">
        <v>57</v>
      </c>
      <c r="G8438">
        <f t="shared" si="131"/>
        <v>512</v>
      </c>
    </row>
    <row r="8439" spans="2:7" ht="15" x14ac:dyDescent="0.25">
      <c r="B8439" s="4">
        <v>584676548</v>
      </c>
      <c r="C8439" s="4" t="s">
        <v>270</v>
      </c>
      <c r="D8439" s="4">
        <v>11</v>
      </c>
      <c r="E8439" s="4">
        <v>1160</v>
      </c>
      <c r="G8439">
        <f t="shared" si="131"/>
        <v>9336</v>
      </c>
    </row>
    <row r="8440" spans="2:7" ht="15" x14ac:dyDescent="0.25">
      <c r="B8440" s="4">
        <v>584676548</v>
      </c>
      <c r="C8440" s="4" t="s">
        <v>271</v>
      </c>
      <c r="D8440" s="4">
        <v>11</v>
      </c>
      <c r="E8440" s="4">
        <v>1160</v>
      </c>
      <c r="G8440">
        <f t="shared" si="131"/>
        <v>9336</v>
      </c>
    </row>
    <row r="8441" spans="2:7" ht="15" hidden="1" x14ac:dyDescent="0.25">
      <c r="B8441" s="4">
        <v>584676549</v>
      </c>
      <c r="C8441" s="4" t="s">
        <v>272</v>
      </c>
      <c r="D8441" s="4">
        <v>547</v>
      </c>
      <c r="E8441" s="4">
        <v>275</v>
      </c>
      <c r="G8441">
        <f t="shared" si="131"/>
        <v>2256</v>
      </c>
    </row>
    <row r="8442" spans="2:7" ht="15" hidden="1" x14ac:dyDescent="0.25">
      <c r="B8442" s="4">
        <v>584676648</v>
      </c>
      <c r="C8442" s="4" t="s">
        <v>272</v>
      </c>
      <c r="D8442" s="4">
        <v>548</v>
      </c>
      <c r="E8442" s="4">
        <v>261</v>
      </c>
      <c r="G8442">
        <f t="shared" si="131"/>
        <v>2144</v>
      </c>
    </row>
    <row r="8443" spans="2:7" ht="15" hidden="1" x14ac:dyDescent="0.25">
      <c r="B8443" s="4">
        <v>584676693</v>
      </c>
      <c r="C8443" s="4" t="s">
        <v>279</v>
      </c>
      <c r="D8443" s="4">
        <v>217</v>
      </c>
      <c r="E8443" s="4">
        <v>251</v>
      </c>
      <c r="G8443">
        <f t="shared" si="131"/>
        <v>2064</v>
      </c>
    </row>
    <row r="8444" spans="2:7" ht="15" hidden="1" x14ac:dyDescent="0.25">
      <c r="B8444" s="4">
        <v>584676715</v>
      </c>
      <c r="C8444" s="4" t="s">
        <v>273</v>
      </c>
      <c r="D8444" s="4">
        <v>394</v>
      </c>
      <c r="E8444" s="4">
        <v>317</v>
      </c>
      <c r="G8444">
        <f t="shared" si="131"/>
        <v>2592</v>
      </c>
    </row>
    <row r="8445" spans="2:7" ht="15" hidden="1" x14ac:dyDescent="0.25">
      <c r="B8445" s="4">
        <v>584676716</v>
      </c>
      <c r="C8445" s="4" t="s">
        <v>277</v>
      </c>
      <c r="D8445" s="4">
        <v>217</v>
      </c>
      <c r="E8445" s="4">
        <v>61</v>
      </c>
      <c r="G8445">
        <f t="shared" si="131"/>
        <v>544</v>
      </c>
    </row>
    <row r="8446" spans="2:7" ht="15" hidden="1" x14ac:dyDescent="0.25">
      <c r="B8446" s="4">
        <v>584676748</v>
      </c>
      <c r="C8446" s="4" t="s">
        <v>272</v>
      </c>
      <c r="D8446" s="4">
        <v>549</v>
      </c>
      <c r="E8446" s="4">
        <v>265</v>
      </c>
      <c r="G8446">
        <f t="shared" si="131"/>
        <v>2176</v>
      </c>
    </row>
    <row r="8447" spans="2:7" ht="15" hidden="1" x14ac:dyDescent="0.25">
      <c r="B8447" s="4">
        <v>584676831</v>
      </c>
      <c r="C8447" s="4" t="s">
        <v>279</v>
      </c>
      <c r="D8447" s="4">
        <v>218</v>
      </c>
      <c r="E8447" s="4">
        <v>273</v>
      </c>
      <c r="G8447">
        <f t="shared" si="131"/>
        <v>2240</v>
      </c>
    </row>
    <row r="8448" spans="2:7" ht="15" hidden="1" x14ac:dyDescent="0.25">
      <c r="B8448" s="4">
        <v>584676848</v>
      </c>
      <c r="C8448" s="4" t="s">
        <v>272</v>
      </c>
      <c r="D8448" s="4">
        <v>550</v>
      </c>
      <c r="E8448" s="4">
        <v>265</v>
      </c>
      <c r="G8448">
        <f t="shared" si="131"/>
        <v>2176</v>
      </c>
    </row>
    <row r="8449" spans="2:7" ht="15" hidden="1" x14ac:dyDescent="0.25">
      <c r="B8449" s="4">
        <v>584676854</v>
      </c>
      <c r="C8449" s="4" t="s">
        <v>277</v>
      </c>
      <c r="D8449" s="4">
        <v>218</v>
      </c>
      <c r="E8449" s="4">
        <v>59</v>
      </c>
      <c r="G8449">
        <f t="shared" si="131"/>
        <v>528</v>
      </c>
    </row>
    <row r="8450" spans="2:7" ht="15" hidden="1" x14ac:dyDescent="0.25">
      <c r="B8450" s="4">
        <v>584676948</v>
      </c>
      <c r="C8450" s="4" t="s">
        <v>272</v>
      </c>
      <c r="D8450" s="4">
        <v>551</v>
      </c>
      <c r="E8450" s="4">
        <v>265</v>
      </c>
      <c r="G8450">
        <f t="shared" si="131"/>
        <v>2176</v>
      </c>
    </row>
    <row r="8451" spans="2:7" ht="15" hidden="1" x14ac:dyDescent="0.25">
      <c r="B8451" s="4">
        <v>584677048</v>
      </c>
      <c r="C8451" s="4" t="s">
        <v>272</v>
      </c>
      <c r="D8451" s="4">
        <v>552</v>
      </c>
      <c r="E8451" s="4">
        <v>263</v>
      </c>
      <c r="G8451">
        <f t="shared" si="131"/>
        <v>2160</v>
      </c>
    </row>
    <row r="8452" spans="2:7" ht="15" hidden="1" x14ac:dyDescent="0.25">
      <c r="B8452" s="4">
        <v>584677061</v>
      </c>
      <c r="C8452" s="4" t="s">
        <v>279</v>
      </c>
      <c r="D8452" s="4">
        <v>219</v>
      </c>
      <c r="E8452" s="4">
        <v>263</v>
      </c>
      <c r="G8452">
        <f t="shared" ref="G8452:G8515" si="132">(E8452+7)*8</f>
        <v>2160</v>
      </c>
    </row>
    <row r="8453" spans="2:7" ht="15" hidden="1" x14ac:dyDescent="0.25">
      <c r="B8453" s="4">
        <v>584677084</v>
      </c>
      <c r="C8453" s="4" t="s">
        <v>277</v>
      </c>
      <c r="D8453" s="4">
        <v>219</v>
      </c>
      <c r="E8453" s="4">
        <v>61</v>
      </c>
      <c r="G8453">
        <f t="shared" si="132"/>
        <v>544</v>
      </c>
    </row>
    <row r="8454" spans="2:7" ht="15" hidden="1" x14ac:dyDescent="0.25">
      <c r="B8454" s="4">
        <v>584677148</v>
      </c>
      <c r="C8454" s="4" t="s">
        <v>272</v>
      </c>
      <c r="D8454" s="4">
        <v>553</v>
      </c>
      <c r="E8454" s="4">
        <v>263</v>
      </c>
      <c r="G8454">
        <f t="shared" si="132"/>
        <v>2160</v>
      </c>
    </row>
    <row r="8455" spans="2:7" ht="15" hidden="1" x14ac:dyDescent="0.25">
      <c r="B8455" s="4">
        <v>584677199</v>
      </c>
      <c r="C8455" s="4" t="s">
        <v>279</v>
      </c>
      <c r="D8455" s="4">
        <v>220</v>
      </c>
      <c r="E8455" s="4">
        <v>237</v>
      </c>
      <c r="G8455">
        <f t="shared" si="132"/>
        <v>1952</v>
      </c>
    </row>
    <row r="8456" spans="2:7" ht="15" hidden="1" x14ac:dyDescent="0.25">
      <c r="B8456" s="4">
        <v>584677222</v>
      </c>
      <c r="C8456" s="4" t="s">
        <v>277</v>
      </c>
      <c r="D8456" s="4">
        <v>220</v>
      </c>
      <c r="E8456" s="4">
        <v>59</v>
      </c>
      <c r="G8456">
        <f t="shared" si="132"/>
        <v>528</v>
      </c>
    </row>
    <row r="8457" spans="2:7" ht="15" hidden="1" x14ac:dyDescent="0.25">
      <c r="B8457" s="4">
        <v>584677248</v>
      </c>
      <c r="C8457" s="4" t="s">
        <v>272</v>
      </c>
      <c r="D8457" s="4">
        <v>554</v>
      </c>
      <c r="E8457" s="4">
        <v>263</v>
      </c>
      <c r="G8457">
        <f t="shared" si="132"/>
        <v>2160</v>
      </c>
    </row>
    <row r="8458" spans="2:7" ht="15" hidden="1" x14ac:dyDescent="0.25">
      <c r="B8458" s="4">
        <v>584677348</v>
      </c>
      <c r="C8458" s="4" t="s">
        <v>272</v>
      </c>
      <c r="D8458" s="4">
        <v>555</v>
      </c>
      <c r="E8458" s="4">
        <v>259</v>
      </c>
      <c r="G8458">
        <f t="shared" si="132"/>
        <v>2128</v>
      </c>
    </row>
    <row r="8459" spans="2:7" ht="15" hidden="1" x14ac:dyDescent="0.25">
      <c r="B8459" s="4">
        <v>584677448</v>
      </c>
      <c r="C8459" s="4" t="s">
        <v>272</v>
      </c>
      <c r="D8459" s="4">
        <v>556</v>
      </c>
      <c r="E8459" s="4">
        <v>269</v>
      </c>
      <c r="G8459">
        <f t="shared" si="132"/>
        <v>2208</v>
      </c>
    </row>
    <row r="8460" spans="2:7" ht="15" hidden="1" x14ac:dyDescent="0.25">
      <c r="B8460" s="4">
        <v>584677452</v>
      </c>
      <c r="C8460" s="4" t="s">
        <v>279</v>
      </c>
      <c r="D8460" s="4">
        <v>221</v>
      </c>
      <c r="E8460" s="4">
        <v>241</v>
      </c>
      <c r="G8460">
        <f t="shared" si="132"/>
        <v>1984</v>
      </c>
    </row>
    <row r="8461" spans="2:7" ht="15" hidden="1" x14ac:dyDescent="0.25">
      <c r="B8461" s="4">
        <v>584677475</v>
      </c>
      <c r="C8461" s="4" t="s">
        <v>277</v>
      </c>
      <c r="D8461" s="4">
        <v>221</v>
      </c>
      <c r="E8461" s="4">
        <v>55</v>
      </c>
      <c r="G8461">
        <f t="shared" si="132"/>
        <v>496</v>
      </c>
    </row>
    <row r="8462" spans="2:7" ht="15" hidden="1" x14ac:dyDescent="0.25">
      <c r="B8462" s="4">
        <v>584677548</v>
      </c>
      <c r="C8462" s="4" t="s">
        <v>272</v>
      </c>
      <c r="D8462" s="4">
        <v>557</v>
      </c>
      <c r="E8462" s="4">
        <v>263</v>
      </c>
      <c r="G8462">
        <f t="shared" si="132"/>
        <v>2160</v>
      </c>
    </row>
    <row r="8463" spans="2:7" ht="15" hidden="1" x14ac:dyDescent="0.25">
      <c r="B8463" s="4">
        <v>584677590</v>
      </c>
      <c r="C8463" s="4" t="s">
        <v>279</v>
      </c>
      <c r="D8463" s="4">
        <v>222</v>
      </c>
      <c r="E8463" s="4">
        <v>257</v>
      </c>
      <c r="G8463">
        <f t="shared" si="132"/>
        <v>2112</v>
      </c>
    </row>
    <row r="8464" spans="2:7" ht="15" hidden="1" x14ac:dyDescent="0.25">
      <c r="B8464" s="4">
        <v>584677613</v>
      </c>
      <c r="C8464" s="4" t="s">
        <v>277</v>
      </c>
      <c r="D8464" s="4">
        <v>222</v>
      </c>
      <c r="E8464" s="4">
        <v>61</v>
      </c>
      <c r="G8464">
        <f t="shared" si="132"/>
        <v>544</v>
      </c>
    </row>
    <row r="8465" spans="2:7" ht="15" hidden="1" x14ac:dyDescent="0.25">
      <c r="B8465" s="4">
        <v>584677648</v>
      </c>
      <c r="C8465" s="4" t="s">
        <v>272</v>
      </c>
      <c r="D8465" s="4">
        <v>558</v>
      </c>
      <c r="E8465" s="4">
        <v>261</v>
      </c>
      <c r="G8465">
        <f t="shared" si="132"/>
        <v>2144</v>
      </c>
    </row>
    <row r="8466" spans="2:7" ht="15" hidden="1" x14ac:dyDescent="0.25">
      <c r="B8466" s="4">
        <v>584677748</v>
      </c>
      <c r="C8466" s="4" t="s">
        <v>272</v>
      </c>
      <c r="D8466" s="4">
        <v>559</v>
      </c>
      <c r="E8466" s="4">
        <v>275</v>
      </c>
      <c r="G8466">
        <f t="shared" si="132"/>
        <v>2256</v>
      </c>
    </row>
    <row r="8467" spans="2:7" ht="15" hidden="1" x14ac:dyDescent="0.25">
      <c r="B8467" s="4">
        <v>584677843</v>
      </c>
      <c r="C8467" s="4" t="s">
        <v>279</v>
      </c>
      <c r="D8467" s="4">
        <v>223</v>
      </c>
      <c r="E8467" s="4">
        <v>277</v>
      </c>
      <c r="G8467">
        <f t="shared" si="132"/>
        <v>2272</v>
      </c>
    </row>
    <row r="8468" spans="2:7" ht="15" hidden="1" x14ac:dyDescent="0.25">
      <c r="B8468" s="4">
        <v>584677848</v>
      </c>
      <c r="C8468" s="4" t="s">
        <v>272</v>
      </c>
      <c r="D8468" s="4">
        <v>560</v>
      </c>
      <c r="E8468" s="4">
        <v>267</v>
      </c>
      <c r="G8468">
        <f t="shared" si="132"/>
        <v>2192</v>
      </c>
    </row>
    <row r="8469" spans="2:7" ht="15" hidden="1" x14ac:dyDescent="0.25">
      <c r="B8469" s="4">
        <v>584677866</v>
      </c>
      <c r="C8469" s="4" t="s">
        <v>277</v>
      </c>
      <c r="D8469" s="4">
        <v>223</v>
      </c>
      <c r="E8469" s="4">
        <v>59</v>
      </c>
      <c r="G8469">
        <f t="shared" si="132"/>
        <v>528</v>
      </c>
    </row>
    <row r="8470" spans="2:7" ht="15" hidden="1" x14ac:dyDescent="0.25">
      <c r="B8470" s="4">
        <v>584677948</v>
      </c>
      <c r="C8470" s="4" t="s">
        <v>272</v>
      </c>
      <c r="D8470" s="4">
        <v>561</v>
      </c>
      <c r="E8470" s="4">
        <v>267</v>
      </c>
      <c r="G8470">
        <f t="shared" si="132"/>
        <v>2192</v>
      </c>
    </row>
    <row r="8471" spans="2:7" ht="15" hidden="1" x14ac:dyDescent="0.25">
      <c r="B8471" s="4">
        <v>584677981</v>
      </c>
      <c r="C8471" s="4" t="s">
        <v>279</v>
      </c>
      <c r="D8471" s="4">
        <v>224</v>
      </c>
      <c r="E8471" s="4">
        <v>261</v>
      </c>
      <c r="G8471">
        <f t="shared" si="132"/>
        <v>2144</v>
      </c>
    </row>
    <row r="8472" spans="2:7" ht="15" hidden="1" x14ac:dyDescent="0.25">
      <c r="B8472" s="4">
        <v>584678004</v>
      </c>
      <c r="C8472" s="4" t="s">
        <v>277</v>
      </c>
      <c r="D8472" s="4">
        <v>224</v>
      </c>
      <c r="E8472" s="4">
        <v>61</v>
      </c>
      <c r="G8472">
        <f t="shared" si="132"/>
        <v>544</v>
      </c>
    </row>
    <row r="8473" spans="2:7" ht="15" hidden="1" x14ac:dyDescent="0.25">
      <c r="B8473" s="4">
        <v>584678048</v>
      </c>
      <c r="C8473" s="4" t="s">
        <v>272</v>
      </c>
      <c r="D8473" s="4">
        <v>562</v>
      </c>
      <c r="E8473" s="4">
        <v>265</v>
      </c>
      <c r="G8473">
        <f t="shared" si="132"/>
        <v>2176</v>
      </c>
    </row>
    <row r="8474" spans="2:7" ht="15" hidden="1" x14ac:dyDescent="0.25">
      <c r="B8474" s="4">
        <v>584678148</v>
      </c>
      <c r="C8474" s="4" t="s">
        <v>272</v>
      </c>
      <c r="D8474" s="4">
        <v>563</v>
      </c>
      <c r="E8474" s="4">
        <v>271</v>
      </c>
      <c r="G8474">
        <f t="shared" si="132"/>
        <v>2224</v>
      </c>
    </row>
    <row r="8475" spans="2:7" ht="15" hidden="1" x14ac:dyDescent="0.25">
      <c r="B8475" s="4">
        <v>584678156</v>
      </c>
      <c r="C8475" s="4" t="s">
        <v>268</v>
      </c>
      <c r="D8475" s="4">
        <v>332</v>
      </c>
      <c r="E8475" s="4">
        <v>5</v>
      </c>
      <c r="G8475">
        <f t="shared" si="132"/>
        <v>96</v>
      </c>
    </row>
    <row r="8476" spans="2:7" ht="15" hidden="1" x14ac:dyDescent="0.25">
      <c r="B8476" s="4">
        <v>584678156</v>
      </c>
      <c r="C8476" s="4" t="s">
        <v>268</v>
      </c>
      <c r="D8476" s="4">
        <v>332</v>
      </c>
      <c r="E8476" s="4">
        <v>5</v>
      </c>
      <c r="G8476">
        <f t="shared" si="132"/>
        <v>96</v>
      </c>
    </row>
    <row r="8477" spans="2:7" ht="15" hidden="1" x14ac:dyDescent="0.25">
      <c r="B8477" s="4">
        <v>584678156</v>
      </c>
      <c r="C8477" s="4" t="s">
        <v>268</v>
      </c>
      <c r="D8477" s="4">
        <v>333</v>
      </c>
      <c r="E8477" s="4">
        <v>13</v>
      </c>
      <c r="G8477">
        <f t="shared" si="132"/>
        <v>160</v>
      </c>
    </row>
    <row r="8478" spans="2:7" ht="15" hidden="1" x14ac:dyDescent="0.25">
      <c r="B8478" s="4">
        <v>584678156</v>
      </c>
      <c r="C8478" s="4" t="s">
        <v>268</v>
      </c>
      <c r="D8478" s="4">
        <v>333</v>
      </c>
      <c r="E8478" s="4">
        <v>13</v>
      </c>
      <c r="G8478">
        <f t="shared" si="132"/>
        <v>160</v>
      </c>
    </row>
    <row r="8479" spans="2:7" ht="15" hidden="1" x14ac:dyDescent="0.25">
      <c r="B8479" s="4">
        <v>584678156</v>
      </c>
      <c r="C8479" s="4" t="s">
        <v>268</v>
      </c>
      <c r="D8479" s="4">
        <v>334</v>
      </c>
      <c r="E8479" s="4">
        <v>7</v>
      </c>
      <c r="G8479">
        <f t="shared" si="132"/>
        <v>112</v>
      </c>
    </row>
    <row r="8480" spans="2:7" ht="15" hidden="1" x14ac:dyDescent="0.25">
      <c r="B8480" s="4">
        <v>584678156</v>
      </c>
      <c r="C8480" s="4" t="s">
        <v>268</v>
      </c>
      <c r="D8480" s="4">
        <v>334</v>
      </c>
      <c r="E8480" s="4">
        <v>7</v>
      </c>
      <c r="G8480">
        <f t="shared" si="132"/>
        <v>112</v>
      </c>
    </row>
    <row r="8481" spans="2:7" ht="15" hidden="1" x14ac:dyDescent="0.25">
      <c r="B8481" s="4">
        <v>584678157</v>
      </c>
      <c r="C8481" s="4" t="s">
        <v>275</v>
      </c>
      <c r="D8481" s="4">
        <v>475</v>
      </c>
      <c r="E8481" s="4">
        <v>150</v>
      </c>
      <c r="G8481">
        <f t="shared" si="132"/>
        <v>1256</v>
      </c>
    </row>
    <row r="8482" spans="2:7" ht="15" hidden="1" x14ac:dyDescent="0.25">
      <c r="B8482" s="4">
        <v>584678160</v>
      </c>
      <c r="C8482" s="4" t="s">
        <v>275</v>
      </c>
      <c r="D8482" s="4">
        <v>476</v>
      </c>
      <c r="E8482" s="4">
        <v>156</v>
      </c>
      <c r="G8482">
        <f t="shared" si="132"/>
        <v>1304</v>
      </c>
    </row>
    <row r="8483" spans="2:7" ht="15" hidden="1" x14ac:dyDescent="0.25">
      <c r="B8483" s="4">
        <v>584678163</v>
      </c>
      <c r="C8483" s="4" t="s">
        <v>275</v>
      </c>
      <c r="D8483" s="4">
        <v>477</v>
      </c>
      <c r="E8483" s="4">
        <v>152</v>
      </c>
      <c r="G8483">
        <f t="shared" si="132"/>
        <v>1272</v>
      </c>
    </row>
    <row r="8484" spans="2:7" ht="15" hidden="1" x14ac:dyDescent="0.25">
      <c r="B8484" s="4">
        <v>584678166</v>
      </c>
      <c r="C8484" s="4" t="s">
        <v>275</v>
      </c>
      <c r="D8484" s="4">
        <v>478</v>
      </c>
      <c r="E8484" s="4">
        <v>156</v>
      </c>
      <c r="G8484">
        <f t="shared" si="132"/>
        <v>1304</v>
      </c>
    </row>
    <row r="8485" spans="2:7" ht="15" hidden="1" x14ac:dyDescent="0.25">
      <c r="B8485" s="4">
        <v>584678169</v>
      </c>
      <c r="C8485" s="4" t="s">
        <v>275</v>
      </c>
      <c r="D8485" s="4">
        <v>479</v>
      </c>
      <c r="E8485" s="4">
        <v>154</v>
      </c>
      <c r="G8485">
        <f t="shared" si="132"/>
        <v>1288</v>
      </c>
    </row>
    <row r="8486" spans="2:7" ht="15" hidden="1" x14ac:dyDescent="0.25">
      <c r="B8486" s="4">
        <v>584678172</v>
      </c>
      <c r="C8486" s="4" t="s">
        <v>275</v>
      </c>
      <c r="D8486" s="4">
        <v>480</v>
      </c>
      <c r="E8486" s="4">
        <v>156</v>
      </c>
      <c r="G8486">
        <f t="shared" si="132"/>
        <v>1304</v>
      </c>
    </row>
    <row r="8487" spans="2:7" ht="15" hidden="1" x14ac:dyDescent="0.25">
      <c r="B8487" s="4">
        <v>584678175</v>
      </c>
      <c r="C8487" s="4" t="s">
        <v>275</v>
      </c>
      <c r="D8487" s="4">
        <v>481</v>
      </c>
      <c r="E8487" s="4">
        <v>152</v>
      </c>
      <c r="G8487">
        <f t="shared" si="132"/>
        <v>1272</v>
      </c>
    </row>
    <row r="8488" spans="2:7" ht="15" hidden="1" x14ac:dyDescent="0.25">
      <c r="B8488" s="4">
        <v>584678178</v>
      </c>
      <c r="C8488" s="4" t="s">
        <v>275</v>
      </c>
      <c r="D8488" s="4">
        <v>482</v>
      </c>
      <c r="E8488" s="4">
        <v>152</v>
      </c>
      <c r="G8488">
        <f t="shared" si="132"/>
        <v>1272</v>
      </c>
    </row>
    <row r="8489" spans="2:7" ht="15" hidden="1" x14ac:dyDescent="0.25">
      <c r="B8489" s="4">
        <v>584678181</v>
      </c>
      <c r="C8489" s="4" t="s">
        <v>275</v>
      </c>
      <c r="D8489" s="4">
        <v>483</v>
      </c>
      <c r="E8489" s="4">
        <v>162</v>
      </c>
      <c r="G8489">
        <f t="shared" si="132"/>
        <v>1352</v>
      </c>
    </row>
    <row r="8490" spans="2:7" ht="15" hidden="1" x14ac:dyDescent="0.25">
      <c r="B8490" s="4">
        <v>584678184</v>
      </c>
      <c r="C8490" s="4" t="s">
        <v>275</v>
      </c>
      <c r="D8490" s="4">
        <v>484</v>
      </c>
      <c r="E8490" s="4">
        <v>154</v>
      </c>
      <c r="G8490">
        <f t="shared" si="132"/>
        <v>1288</v>
      </c>
    </row>
    <row r="8491" spans="2:7" ht="15" hidden="1" x14ac:dyDescent="0.25">
      <c r="B8491" s="4">
        <v>584678187</v>
      </c>
      <c r="C8491" s="4" t="s">
        <v>275</v>
      </c>
      <c r="D8491" s="4">
        <v>485</v>
      </c>
      <c r="E8491" s="4">
        <v>152</v>
      </c>
      <c r="G8491">
        <f t="shared" si="132"/>
        <v>1272</v>
      </c>
    </row>
    <row r="8492" spans="2:7" ht="15" hidden="1" x14ac:dyDescent="0.25">
      <c r="B8492" s="4">
        <v>584678190</v>
      </c>
      <c r="C8492" s="4" t="s">
        <v>275</v>
      </c>
      <c r="D8492" s="4">
        <v>486</v>
      </c>
      <c r="E8492" s="4">
        <v>148</v>
      </c>
      <c r="G8492">
        <f t="shared" si="132"/>
        <v>1240</v>
      </c>
    </row>
    <row r="8493" spans="2:7" ht="15" hidden="1" x14ac:dyDescent="0.25">
      <c r="B8493" s="4">
        <v>584678193</v>
      </c>
      <c r="C8493" s="4" t="s">
        <v>275</v>
      </c>
      <c r="D8493" s="4">
        <v>487</v>
      </c>
      <c r="E8493" s="4">
        <v>150</v>
      </c>
      <c r="G8493">
        <f t="shared" si="132"/>
        <v>1256</v>
      </c>
    </row>
    <row r="8494" spans="2:7" ht="15" hidden="1" x14ac:dyDescent="0.25">
      <c r="B8494" s="4">
        <v>584678196</v>
      </c>
      <c r="C8494" s="4" t="s">
        <v>275</v>
      </c>
      <c r="D8494" s="4">
        <v>488</v>
      </c>
      <c r="E8494" s="4">
        <v>152</v>
      </c>
      <c r="G8494">
        <f t="shared" si="132"/>
        <v>1272</v>
      </c>
    </row>
    <row r="8495" spans="2:7" ht="15" hidden="1" x14ac:dyDescent="0.25">
      <c r="B8495" s="4">
        <v>584678199</v>
      </c>
      <c r="C8495" s="4" t="s">
        <v>275</v>
      </c>
      <c r="D8495" s="4">
        <v>489</v>
      </c>
      <c r="E8495" s="4">
        <v>156</v>
      </c>
      <c r="G8495">
        <f t="shared" si="132"/>
        <v>1304</v>
      </c>
    </row>
    <row r="8496" spans="2:7" ht="15" hidden="1" x14ac:dyDescent="0.25">
      <c r="B8496" s="4">
        <v>584678202</v>
      </c>
      <c r="C8496" s="4" t="s">
        <v>275</v>
      </c>
      <c r="D8496" s="4">
        <v>490</v>
      </c>
      <c r="E8496" s="4">
        <v>152</v>
      </c>
      <c r="G8496">
        <f t="shared" si="132"/>
        <v>1272</v>
      </c>
    </row>
    <row r="8497" spans="2:7" ht="15" hidden="1" x14ac:dyDescent="0.25">
      <c r="B8497" s="4">
        <v>584678205</v>
      </c>
      <c r="C8497" s="4" t="s">
        <v>275</v>
      </c>
      <c r="D8497" s="4">
        <v>491</v>
      </c>
      <c r="E8497" s="4">
        <v>156</v>
      </c>
      <c r="G8497">
        <f t="shared" si="132"/>
        <v>1304</v>
      </c>
    </row>
    <row r="8498" spans="2:7" ht="15" hidden="1" x14ac:dyDescent="0.25">
      <c r="B8498" s="4">
        <v>584678208</v>
      </c>
      <c r="C8498" s="4" t="s">
        <v>275</v>
      </c>
      <c r="D8498" s="4">
        <v>492</v>
      </c>
      <c r="E8498" s="4">
        <v>146</v>
      </c>
      <c r="G8498">
        <f t="shared" si="132"/>
        <v>1224</v>
      </c>
    </row>
    <row r="8499" spans="2:7" ht="15" hidden="1" x14ac:dyDescent="0.25">
      <c r="B8499" s="4">
        <v>584678211</v>
      </c>
      <c r="C8499" s="4" t="s">
        <v>275</v>
      </c>
      <c r="D8499" s="4">
        <v>493</v>
      </c>
      <c r="E8499" s="4">
        <v>154</v>
      </c>
      <c r="G8499">
        <f t="shared" si="132"/>
        <v>1288</v>
      </c>
    </row>
    <row r="8500" spans="2:7" ht="15" hidden="1" x14ac:dyDescent="0.25">
      <c r="B8500" s="4">
        <v>584678214</v>
      </c>
      <c r="C8500" s="4" t="s">
        <v>275</v>
      </c>
      <c r="D8500" s="4">
        <v>494</v>
      </c>
      <c r="E8500" s="4">
        <v>150</v>
      </c>
      <c r="G8500">
        <f t="shared" si="132"/>
        <v>1256</v>
      </c>
    </row>
    <row r="8501" spans="2:7" ht="15" hidden="1" x14ac:dyDescent="0.25">
      <c r="B8501" s="4">
        <v>584678217</v>
      </c>
      <c r="C8501" s="4" t="s">
        <v>275</v>
      </c>
      <c r="D8501" s="4">
        <v>495</v>
      </c>
      <c r="E8501" s="4">
        <v>154</v>
      </c>
      <c r="G8501">
        <f t="shared" si="132"/>
        <v>1288</v>
      </c>
    </row>
    <row r="8502" spans="2:7" ht="15" hidden="1" x14ac:dyDescent="0.25">
      <c r="B8502" s="4">
        <v>584678220</v>
      </c>
      <c r="C8502" s="4" t="s">
        <v>275</v>
      </c>
      <c r="D8502" s="4">
        <v>496</v>
      </c>
      <c r="E8502" s="4">
        <v>152</v>
      </c>
      <c r="G8502">
        <f t="shared" si="132"/>
        <v>1272</v>
      </c>
    </row>
    <row r="8503" spans="2:7" ht="15" hidden="1" x14ac:dyDescent="0.25">
      <c r="B8503" s="4">
        <v>584678223</v>
      </c>
      <c r="C8503" s="4" t="s">
        <v>275</v>
      </c>
      <c r="D8503" s="4">
        <v>497</v>
      </c>
      <c r="E8503" s="4">
        <v>156</v>
      </c>
      <c r="G8503">
        <f t="shared" si="132"/>
        <v>1304</v>
      </c>
    </row>
    <row r="8504" spans="2:7" ht="15" hidden="1" x14ac:dyDescent="0.25">
      <c r="B8504" s="4">
        <v>584678226</v>
      </c>
      <c r="C8504" s="4" t="s">
        <v>275</v>
      </c>
      <c r="D8504" s="4">
        <v>498</v>
      </c>
      <c r="E8504" s="4">
        <v>152</v>
      </c>
      <c r="G8504">
        <f t="shared" si="132"/>
        <v>1272</v>
      </c>
    </row>
    <row r="8505" spans="2:7" ht="15" hidden="1" x14ac:dyDescent="0.25">
      <c r="B8505" s="4">
        <v>584678229</v>
      </c>
      <c r="C8505" s="4" t="s">
        <v>275</v>
      </c>
      <c r="D8505" s="4">
        <v>499</v>
      </c>
      <c r="E8505" s="4">
        <v>158</v>
      </c>
      <c r="G8505">
        <f t="shared" si="132"/>
        <v>1320</v>
      </c>
    </row>
    <row r="8506" spans="2:7" ht="15" hidden="1" x14ac:dyDescent="0.25">
      <c r="B8506" s="4">
        <v>584678232</v>
      </c>
      <c r="C8506" s="4" t="s">
        <v>275</v>
      </c>
      <c r="D8506" s="4">
        <v>500</v>
      </c>
      <c r="E8506" s="4">
        <v>154</v>
      </c>
      <c r="G8506">
        <f t="shared" si="132"/>
        <v>1288</v>
      </c>
    </row>
    <row r="8507" spans="2:7" ht="15" hidden="1" x14ac:dyDescent="0.25">
      <c r="B8507" s="4">
        <v>584678234</v>
      </c>
      <c r="C8507" s="4" t="s">
        <v>279</v>
      </c>
      <c r="D8507" s="4">
        <v>225</v>
      </c>
      <c r="E8507" s="4">
        <v>253</v>
      </c>
      <c r="G8507">
        <f t="shared" si="132"/>
        <v>2080</v>
      </c>
    </row>
    <row r="8508" spans="2:7" ht="15" hidden="1" x14ac:dyDescent="0.25">
      <c r="B8508" s="4">
        <v>584678235</v>
      </c>
      <c r="C8508" s="4" t="s">
        <v>275</v>
      </c>
      <c r="D8508" s="4">
        <v>501</v>
      </c>
      <c r="E8508" s="4">
        <v>150</v>
      </c>
      <c r="G8508">
        <f t="shared" si="132"/>
        <v>1256</v>
      </c>
    </row>
    <row r="8509" spans="2:7" ht="15" hidden="1" x14ac:dyDescent="0.25">
      <c r="B8509" s="4">
        <v>584678238</v>
      </c>
      <c r="C8509" s="4" t="s">
        <v>275</v>
      </c>
      <c r="D8509" s="4">
        <v>502</v>
      </c>
      <c r="E8509" s="4">
        <v>160</v>
      </c>
      <c r="G8509">
        <f t="shared" si="132"/>
        <v>1336</v>
      </c>
    </row>
    <row r="8510" spans="2:7" ht="15" hidden="1" x14ac:dyDescent="0.25">
      <c r="B8510" s="4">
        <v>584678241</v>
      </c>
      <c r="C8510" s="4" t="s">
        <v>275</v>
      </c>
      <c r="D8510" s="4">
        <v>503</v>
      </c>
      <c r="E8510" s="4">
        <v>154</v>
      </c>
      <c r="G8510">
        <f t="shared" si="132"/>
        <v>1288</v>
      </c>
    </row>
    <row r="8511" spans="2:7" ht="15" hidden="1" x14ac:dyDescent="0.25">
      <c r="B8511" s="4">
        <v>584678244</v>
      </c>
      <c r="C8511" s="4" t="s">
        <v>275</v>
      </c>
      <c r="D8511" s="4">
        <v>504</v>
      </c>
      <c r="E8511" s="4">
        <v>160</v>
      </c>
      <c r="G8511">
        <f t="shared" si="132"/>
        <v>1336</v>
      </c>
    </row>
    <row r="8512" spans="2:7" ht="15" hidden="1" x14ac:dyDescent="0.25">
      <c r="B8512" s="4">
        <v>584678247</v>
      </c>
      <c r="C8512" s="4" t="s">
        <v>275</v>
      </c>
      <c r="D8512" s="4">
        <v>505</v>
      </c>
      <c r="E8512" s="4">
        <v>154</v>
      </c>
      <c r="G8512">
        <f t="shared" si="132"/>
        <v>1288</v>
      </c>
    </row>
    <row r="8513" spans="2:7" ht="15" hidden="1" x14ac:dyDescent="0.25">
      <c r="B8513" s="4">
        <v>584678248</v>
      </c>
      <c r="C8513" s="4" t="s">
        <v>272</v>
      </c>
      <c r="D8513" s="4">
        <v>564</v>
      </c>
      <c r="E8513" s="4">
        <v>269</v>
      </c>
      <c r="G8513">
        <f t="shared" si="132"/>
        <v>2208</v>
      </c>
    </row>
    <row r="8514" spans="2:7" ht="15" hidden="1" x14ac:dyDescent="0.25">
      <c r="B8514" s="4">
        <v>584678251</v>
      </c>
      <c r="C8514" s="4" t="s">
        <v>275</v>
      </c>
      <c r="D8514" s="4">
        <v>506</v>
      </c>
      <c r="E8514" s="4">
        <v>156</v>
      </c>
      <c r="G8514">
        <f t="shared" si="132"/>
        <v>1304</v>
      </c>
    </row>
    <row r="8515" spans="2:7" ht="15" hidden="1" x14ac:dyDescent="0.25">
      <c r="B8515" s="4">
        <v>584678254</v>
      </c>
      <c r="C8515" s="4" t="s">
        <v>275</v>
      </c>
      <c r="D8515" s="4">
        <v>507</v>
      </c>
      <c r="E8515" s="4">
        <v>160</v>
      </c>
      <c r="G8515">
        <f t="shared" si="132"/>
        <v>1336</v>
      </c>
    </row>
    <row r="8516" spans="2:7" ht="15" hidden="1" x14ac:dyDescent="0.25">
      <c r="B8516" s="4">
        <v>584678257</v>
      </c>
      <c r="C8516" s="4" t="s">
        <v>277</v>
      </c>
      <c r="D8516" s="4">
        <v>225</v>
      </c>
      <c r="E8516" s="4">
        <v>57</v>
      </c>
      <c r="G8516">
        <f t="shared" ref="G8516:G8579" si="133">(E8516+7)*8</f>
        <v>512</v>
      </c>
    </row>
    <row r="8517" spans="2:7" ht="15" hidden="1" x14ac:dyDescent="0.25">
      <c r="B8517" s="4">
        <v>584678257</v>
      </c>
      <c r="C8517" s="4" t="s">
        <v>275</v>
      </c>
      <c r="D8517" s="4">
        <v>508</v>
      </c>
      <c r="E8517" s="4">
        <v>150</v>
      </c>
      <c r="G8517">
        <f t="shared" si="133"/>
        <v>1256</v>
      </c>
    </row>
    <row r="8518" spans="2:7" ht="15" hidden="1" x14ac:dyDescent="0.25">
      <c r="B8518" s="4">
        <v>584678260</v>
      </c>
      <c r="C8518" s="4" t="s">
        <v>275</v>
      </c>
      <c r="D8518" s="4">
        <v>509</v>
      </c>
      <c r="E8518" s="4">
        <v>150</v>
      </c>
      <c r="G8518">
        <f t="shared" si="133"/>
        <v>1256</v>
      </c>
    </row>
    <row r="8519" spans="2:7" ht="15" hidden="1" x14ac:dyDescent="0.25">
      <c r="B8519" s="4">
        <v>584678263</v>
      </c>
      <c r="C8519" s="4" t="s">
        <v>275</v>
      </c>
      <c r="D8519" s="4">
        <v>510</v>
      </c>
      <c r="E8519" s="4">
        <v>154</v>
      </c>
      <c r="G8519">
        <f t="shared" si="133"/>
        <v>1288</v>
      </c>
    </row>
    <row r="8520" spans="2:7" ht="15" hidden="1" x14ac:dyDescent="0.25">
      <c r="B8520" s="4">
        <v>584678266</v>
      </c>
      <c r="C8520" s="4" t="s">
        <v>275</v>
      </c>
      <c r="D8520" s="4">
        <v>511</v>
      </c>
      <c r="E8520" s="4">
        <v>152</v>
      </c>
      <c r="G8520">
        <f t="shared" si="133"/>
        <v>1272</v>
      </c>
    </row>
    <row r="8521" spans="2:7" ht="15" hidden="1" x14ac:dyDescent="0.25">
      <c r="B8521" s="4">
        <v>584678269</v>
      </c>
      <c r="C8521" s="4" t="s">
        <v>275</v>
      </c>
      <c r="D8521" s="4">
        <v>512</v>
      </c>
      <c r="E8521" s="4">
        <v>156</v>
      </c>
      <c r="G8521">
        <f t="shared" si="133"/>
        <v>1304</v>
      </c>
    </row>
    <row r="8522" spans="2:7" ht="15" hidden="1" x14ac:dyDescent="0.25">
      <c r="B8522" s="4">
        <v>584678272</v>
      </c>
      <c r="C8522" s="4" t="s">
        <v>275</v>
      </c>
      <c r="D8522" s="4">
        <v>513</v>
      </c>
      <c r="E8522" s="4">
        <v>150</v>
      </c>
      <c r="G8522">
        <f t="shared" si="133"/>
        <v>1256</v>
      </c>
    </row>
    <row r="8523" spans="2:7" ht="15" hidden="1" x14ac:dyDescent="0.25">
      <c r="B8523" s="4">
        <v>584678275</v>
      </c>
      <c r="C8523" s="4" t="s">
        <v>275</v>
      </c>
      <c r="D8523" s="4">
        <v>514</v>
      </c>
      <c r="E8523" s="4">
        <v>146</v>
      </c>
      <c r="G8523">
        <f t="shared" si="133"/>
        <v>1224</v>
      </c>
    </row>
    <row r="8524" spans="2:7" ht="15" hidden="1" x14ac:dyDescent="0.25">
      <c r="B8524" s="4">
        <v>584678278</v>
      </c>
      <c r="C8524" s="4" t="s">
        <v>275</v>
      </c>
      <c r="D8524" s="4">
        <v>515</v>
      </c>
      <c r="E8524" s="4">
        <v>150</v>
      </c>
      <c r="G8524">
        <f t="shared" si="133"/>
        <v>1256</v>
      </c>
    </row>
    <row r="8525" spans="2:7" ht="15" hidden="1" x14ac:dyDescent="0.25">
      <c r="B8525" s="4">
        <v>584678281</v>
      </c>
      <c r="C8525" s="4" t="s">
        <v>275</v>
      </c>
      <c r="D8525" s="4">
        <v>516</v>
      </c>
      <c r="E8525" s="4">
        <v>152</v>
      </c>
      <c r="G8525">
        <f t="shared" si="133"/>
        <v>1272</v>
      </c>
    </row>
    <row r="8526" spans="2:7" ht="15" hidden="1" x14ac:dyDescent="0.25">
      <c r="B8526" s="4">
        <v>584678284</v>
      </c>
      <c r="C8526" s="4" t="s">
        <v>275</v>
      </c>
      <c r="D8526" s="4">
        <v>517</v>
      </c>
      <c r="E8526" s="4">
        <v>152</v>
      </c>
      <c r="G8526">
        <f t="shared" si="133"/>
        <v>1272</v>
      </c>
    </row>
    <row r="8527" spans="2:7" ht="15" hidden="1" x14ac:dyDescent="0.25">
      <c r="B8527" s="4">
        <v>584678287</v>
      </c>
      <c r="C8527" s="4" t="s">
        <v>275</v>
      </c>
      <c r="D8527" s="4">
        <v>518</v>
      </c>
      <c r="E8527" s="4">
        <v>160</v>
      </c>
      <c r="G8527">
        <f t="shared" si="133"/>
        <v>1336</v>
      </c>
    </row>
    <row r="8528" spans="2:7" ht="15" hidden="1" x14ac:dyDescent="0.25">
      <c r="B8528" s="4">
        <v>584678290</v>
      </c>
      <c r="C8528" s="4" t="s">
        <v>275</v>
      </c>
      <c r="D8528" s="4">
        <v>519</v>
      </c>
      <c r="E8528" s="4">
        <v>152</v>
      </c>
      <c r="G8528">
        <f t="shared" si="133"/>
        <v>1272</v>
      </c>
    </row>
    <row r="8529" spans="2:7" ht="15" hidden="1" x14ac:dyDescent="0.25">
      <c r="B8529" s="4">
        <v>584678293</v>
      </c>
      <c r="C8529" s="4" t="s">
        <v>275</v>
      </c>
      <c r="D8529" s="4">
        <v>520</v>
      </c>
      <c r="E8529" s="4">
        <v>156</v>
      </c>
      <c r="G8529">
        <f t="shared" si="133"/>
        <v>1304</v>
      </c>
    </row>
    <row r="8530" spans="2:7" ht="15" hidden="1" x14ac:dyDescent="0.25">
      <c r="B8530" s="4">
        <v>584678296</v>
      </c>
      <c r="C8530" s="4" t="s">
        <v>275</v>
      </c>
      <c r="D8530" s="4">
        <v>521</v>
      </c>
      <c r="E8530" s="4">
        <v>148</v>
      </c>
      <c r="G8530">
        <f t="shared" si="133"/>
        <v>1240</v>
      </c>
    </row>
    <row r="8531" spans="2:7" ht="15" hidden="1" x14ac:dyDescent="0.25">
      <c r="B8531" s="4">
        <v>584678299</v>
      </c>
      <c r="C8531" s="4" t="s">
        <v>275</v>
      </c>
      <c r="D8531" s="4">
        <v>522</v>
      </c>
      <c r="E8531" s="4">
        <v>154</v>
      </c>
      <c r="G8531">
        <f t="shared" si="133"/>
        <v>1288</v>
      </c>
    </row>
    <row r="8532" spans="2:7" ht="15" hidden="1" x14ac:dyDescent="0.25">
      <c r="B8532" s="4">
        <v>584678302</v>
      </c>
      <c r="C8532" s="4" t="s">
        <v>275</v>
      </c>
      <c r="D8532" s="4">
        <v>523</v>
      </c>
      <c r="E8532" s="4">
        <v>156</v>
      </c>
      <c r="G8532">
        <f t="shared" si="133"/>
        <v>1304</v>
      </c>
    </row>
    <row r="8533" spans="2:7" ht="15" hidden="1" x14ac:dyDescent="0.25">
      <c r="B8533" s="4">
        <v>584678305</v>
      </c>
      <c r="C8533" s="4" t="s">
        <v>275</v>
      </c>
      <c r="D8533" s="4">
        <v>524</v>
      </c>
      <c r="E8533" s="4">
        <v>148</v>
      </c>
      <c r="G8533">
        <f t="shared" si="133"/>
        <v>1240</v>
      </c>
    </row>
    <row r="8534" spans="2:7" ht="15" hidden="1" x14ac:dyDescent="0.25">
      <c r="B8534" s="4">
        <v>584678308</v>
      </c>
      <c r="C8534" s="4" t="s">
        <v>275</v>
      </c>
      <c r="D8534" s="4">
        <v>525</v>
      </c>
      <c r="E8534" s="4">
        <v>156</v>
      </c>
      <c r="G8534">
        <f t="shared" si="133"/>
        <v>1304</v>
      </c>
    </row>
    <row r="8535" spans="2:7" ht="15" hidden="1" x14ac:dyDescent="0.25">
      <c r="B8535" s="4">
        <v>584678311</v>
      </c>
      <c r="C8535" s="4" t="s">
        <v>275</v>
      </c>
      <c r="D8535" s="4">
        <v>526</v>
      </c>
      <c r="E8535" s="4">
        <v>154</v>
      </c>
      <c r="G8535">
        <f t="shared" si="133"/>
        <v>1288</v>
      </c>
    </row>
    <row r="8536" spans="2:7" ht="15" hidden="1" x14ac:dyDescent="0.25">
      <c r="B8536" s="4">
        <v>584678314</v>
      </c>
      <c r="C8536" s="4" t="s">
        <v>275</v>
      </c>
      <c r="D8536" s="4">
        <v>527</v>
      </c>
      <c r="E8536" s="4">
        <v>150</v>
      </c>
      <c r="G8536">
        <f t="shared" si="133"/>
        <v>1256</v>
      </c>
    </row>
    <row r="8537" spans="2:7" ht="15" hidden="1" x14ac:dyDescent="0.25">
      <c r="B8537" s="4">
        <v>584678317</v>
      </c>
      <c r="C8537" s="4" t="s">
        <v>275</v>
      </c>
      <c r="D8537" s="4">
        <v>528</v>
      </c>
      <c r="E8537" s="4">
        <v>152</v>
      </c>
      <c r="G8537">
        <f t="shared" si="133"/>
        <v>1272</v>
      </c>
    </row>
    <row r="8538" spans="2:7" ht="15" hidden="1" x14ac:dyDescent="0.25">
      <c r="B8538" s="4">
        <v>584678320</v>
      </c>
      <c r="C8538" s="4" t="s">
        <v>275</v>
      </c>
      <c r="D8538" s="4">
        <v>529</v>
      </c>
      <c r="E8538" s="4">
        <v>154</v>
      </c>
      <c r="G8538">
        <f t="shared" si="133"/>
        <v>1288</v>
      </c>
    </row>
    <row r="8539" spans="2:7" ht="15" hidden="1" x14ac:dyDescent="0.25">
      <c r="B8539" s="4">
        <v>584678323</v>
      </c>
      <c r="C8539" s="4" t="s">
        <v>275</v>
      </c>
      <c r="D8539" s="4">
        <v>530</v>
      </c>
      <c r="E8539" s="4">
        <v>148</v>
      </c>
      <c r="G8539">
        <f t="shared" si="133"/>
        <v>1240</v>
      </c>
    </row>
    <row r="8540" spans="2:7" ht="15" hidden="1" x14ac:dyDescent="0.25">
      <c r="B8540" s="4">
        <v>584678326</v>
      </c>
      <c r="C8540" s="4" t="s">
        <v>275</v>
      </c>
      <c r="D8540" s="4">
        <v>531</v>
      </c>
      <c r="E8540" s="4">
        <v>152</v>
      </c>
      <c r="G8540">
        <f t="shared" si="133"/>
        <v>1272</v>
      </c>
    </row>
    <row r="8541" spans="2:7" ht="15" hidden="1" x14ac:dyDescent="0.25">
      <c r="B8541" s="4">
        <v>584678329</v>
      </c>
      <c r="C8541" s="4" t="s">
        <v>275</v>
      </c>
      <c r="D8541" s="4">
        <v>532</v>
      </c>
      <c r="E8541" s="4">
        <v>154</v>
      </c>
      <c r="G8541">
        <f t="shared" si="133"/>
        <v>1288</v>
      </c>
    </row>
    <row r="8542" spans="2:7" ht="15" hidden="1" x14ac:dyDescent="0.25">
      <c r="B8542" s="4">
        <v>584678332</v>
      </c>
      <c r="C8542" s="4" t="s">
        <v>275</v>
      </c>
      <c r="D8542" s="4">
        <v>533</v>
      </c>
      <c r="E8542" s="4">
        <v>148</v>
      </c>
      <c r="G8542">
        <f t="shared" si="133"/>
        <v>1240</v>
      </c>
    </row>
    <row r="8543" spans="2:7" ht="15" hidden="1" x14ac:dyDescent="0.25">
      <c r="B8543" s="4">
        <v>584678335</v>
      </c>
      <c r="C8543" s="4" t="s">
        <v>275</v>
      </c>
      <c r="D8543" s="4">
        <v>534</v>
      </c>
      <c r="E8543" s="4">
        <v>154</v>
      </c>
      <c r="G8543">
        <f t="shared" si="133"/>
        <v>1288</v>
      </c>
    </row>
    <row r="8544" spans="2:7" ht="15" hidden="1" x14ac:dyDescent="0.25">
      <c r="B8544" s="4">
        <v>584678338</v>
      </c>
      <c r="C8544" s="4" t="s">
        <v>275</v>
      </c>
      <c r="D8544" s="4">
        <v>535</v>
      </c>
      <c r="E8544" s="4">
        <v>152</v>
      </c>
      <c r="G8544">
        <f t="shared" si="133"/>
        <v>1272</v>
      </c>
    </row>
    <row r="8545" spans="2:7" ht="15" hidden="1" x14ac:dyDescent="0.25">
      <c r="B8545" s="4">
        <v>584678341</v>
      </c>
      <c r="C8545" s="4" t="s">
        <v>275</v>
      </c>
      <c r="D8545" s="4">
        <v>536</v>
      </c>
      <c r="E8545" s="4">
        <v>154</v>
      </c>
      <c r="G8545">
        <f t="shared" si="133"/>
        <v>1288</v>
      </c>
    </row>
    <row r="8546" spans="2:7" ht="15" hidden="1" x14ac:dyDescent="0.25">
      <c r="B8546" s="4">
        <v>584678344</v>
      </c>
      <c r="C8546" s="4" t="s">
        <v>269</v>
      </c>
      <c r="D8546" s="4">
        <v>1640</v>
      </c>
      <c r="E8546" s="4">
        <v>57</v>
      </c>
      <c r="G8546">
        <f t="shared" si="133"/>
        <v>512</v>
      </c>
    </row>
    <row r="8547" spans="2:7" ht="15" hidden="1" x14ac:dyDescent="0.25">
      <c r="B8547" s="4">
        <v>584678344</v>
      </c>
      <c r="C8547" s="4" t="s">
        <v>275</v>
      </c>
      <c r="D8547" s="4">
        <v>537</v>
      </c>
      <c r="E8547" s="4">
        <v>154</v>
      </c>
      <c r="G8547">
        <f t="shared" si="133"/>
        <v>1288</v>
      </c>
    </row>
    <row r="8548" spans="2:7" ht="15" hidden="1" x14ac:dyDescent="0.25">
      <c r="B8548" s="4">
        <v>584678347</v>
      </c>
      <c r="C8548" s="4" t="s">
        <v>275</v>
      </c>
      <c r="D8548" s="4">
        <v>538</v>
      </c>
      <c r="E8548" s="4">
        <v>154</v>
      </c>
      <c r="G8548">
        <f t="shared" si="133"/>
        <v>1288</v>
      </c>
    </row>
    <row r="8549" spans="2:7" ht="15" hidden="1" x14ac:dyDescent="0.25">
      <c r="B8549" s="4">
        <v>584678348</v>
      </c>
      <c r="C8549" s="4" t="s">
        <v>272</v>
      </c>
      <c r="D8549" s="4">
        <v>565</v>
      </c>
      <c r="E8549" s="4">
        <v>265</v>
      </c>
      <c r="G8549">
        <f t="shared" si="133"/>
        <v>2176</v>
      </c>
    </row>
    <row r="8550" spans="2:7" ht="15" hidden="1" x14ac:dyDescent="0.25">
      <c r="B8550" s="4">
        <v>584678351</v>
      </c>
      <c r="C8550" s="4" t="s">
        <v>275</v>
      </c>
      <c r="D8550" s="4">
        <v>539</v>
      </c>
      <c r="E8550" s="4">
        <v>156</v>
      </c>
      <c r="G8550">
        <f t="shared" si="133"/>
        <v>1304</v>
      </c>
    </row>
    <row r="8551" spans="2:7" ht="15" hidden="1" x14ac:dyDescent="0.25">
      <c r="B8551" s="4">
        <v>584678354</v>
      </c>
      <c r="C8551" s="4" t="s">
        <v>275</v>
      </c>
      <c r="D8551" s="4">
        <v>540</v>
      </c>
      <c r="E8551" s="4">
        <v>150</v>
      </c>
      <c r="G8551">
        <f t="shared" si="133"/>
        <v>1256</v>
      </c>
    </row>
    <row r="8552" spans="2:7" ht="15" hidden="1" x14ac:dyDescent="0.25">
      <c r="B8552" s="4">
        <v>584678357</v>
      </c>
      <c r="C8552" s="4" t="s">
        <v>275</v>
      </c>
      <c r="D8552" s="4">
        <v>541</v>
      </c>
      <c r="E8552" s="4">
        <v>152</v>
      </c>
      <c r="G8552">
        <f t="shared" si="133"/>
        <v>1272</v>
      </c>
    </row>
    <row r="8553" spans="2:7" ht="15" hidden="1" x14ac:dyDescent="0.25">
      <c r="B8553" s="4">
        <v>584678360</v>
      </c>
      <c r="C8553" s="4" t="s">
        <v>275</v>
      </c>
      <c r="D8553" s="4">
        <v>542</v>
      </c>
      <c r="E8553" s="4">
        <v>158</v>
      </c>
      <c r="G8553">
        <f t="shared" si="133"/>
        <v>1320</v>
      </c>
    </row>
    <row r="8554" spans="2:7" ht="15" hidden="1" x14ac:dyDescent="0.25">
      <c r="B8554" s="4">
        <v>584678363</v>
      </c>
      <c r="C8554" s="4" t="s">
        <v>275</v>
      </c>
      <c r="D8554" s="4">
        <v>543</v>
      </c>
      <c r="E8554" s="4">
        <v>158</v>
      </c>
      <c r="G8554">
        <f t="shared" si="133"/>
        <v>1320</v>
      </c>
    </row>
    <row r="8555" spans="2:7" ht="15" hidden="1" x14ac:dyDescent="0.25">
      <c r="B8555" s="4">
        <v>584678366</v>
      </c>
      <c r="C8555" s="4" t="s">
        <v>275</v>
      </c>
      <c r="D8555" s="4">
        <v>544</v>
      </c>
      <c r="E8555" s="4">
        <v>148</v>
      </c>
      <c r="G8555">
        <f t="shared" si="133"/>
        <v>1240</v>
      </c>
    </row>
    <row r="8556" spans="2:7" ht="15" hidden="1" x14ac:dyDescent="0.25">
      <c r="B8556" s="4">
        <v>584678369</v>
      </c>
      <c r="C8556" s="4" t="s">
        <v>275</v>
      </c>
      <c r="D8556" s="4">
        <v>545</v>
      </c>
      <c r="E8556" s="4">
        <v>156</v>
      </c>
      <c r="G8556">
        <f t="shared" si="133"/>
        <v>1304</v>
      </c>
    </row>
    <row r="8557" spans="2:7" ht="15" hidden="1" x14ac:dyDescent="0.25">
      <c r="B8557" s="4">
        <v>584678372</v>
      </c>
      <c r="C8557" s="4" t="s">
        <v>275</v>
      </c>
      <c r="D8557" s="4">
        <v>546</v>
      </c>
      <c r="E8557" s="4">
        <v>150</v>
      </c>
      <c r="G8557">
        <f t="shared" si="133"/>
        <v>1256</v>
      </c>
    </row>
    <row r="8558" spans="2:7" ht="15" hidden="1" x14ac:dyDescent="0.25">
      <c r="B8558" s="4">
        <v>584678372</v>
      </c>
      <c r="C8558" s="4" t="s">
        <v>279</v>
      </c>
      <c r="D8558" s="4">
        <v>226</v>
      </c>
      <c r="E8558" s="4">
        <v>271</v>
      </c>
      <c r="G8558">
        <f t="shared" si="133"/>
        <v>2224</v>
      </c>
    </row>
    <row r="8559" spans="2:7" ht="15" hidden="1" x14ac:dyDescent="0.25">
      <c r="B8559" s="4">
        <v>584678375</v>
      </c>
      <c r="C8559" s="4" t="s">
        <v>275</v>
      </c>
      <c r="D8559" s="4">
        <v>547</v>
      </c>
      <c r="E8559" s="4">
        <v>152</v>
      </c>
      <c r="G8559">
        <f t="shared" si="133"/>
        <v>1272</v>
      </c>
    </row>
    <row r="8560" spans="2:7" ht="15" hidden="1" x14ac:dyDescent="0.25">
      <c r="B8560" s="4">
        <v>584678378</v>
      </c>
      <c r="C8560" s="4" t="s">
        <v>275</v>
      </c>
      <c r="D8560" s="4">
        <v>548</v>
      </c>
      <c r="E8560" s="4">
        <v>154</v>
      </c>
      <c r="G8560">
        <f t="shared" si="133"/>
        <v>1288</v>
      </c>
    </row>
    <row r="8561" spans="2:7" ht="15" hidden="1" x14ac:dyDescent="0.25">
      <c r="B8561" s="4">
        <v>584678381</v>
      </c>
      <c r="C8561" s="4" t="s">
        <v>275</v>
      </c>
      <c r="D8561" s="4">
        <v>549</v>
      </c>
      <c r="E8561" s="4">
        <v>154</v>
      </c>
      <c r="G8561">
        <f t="shared" si="133"/>
        <v>1288</v>
      </c>
    </row>
    <row r="8562" spans="2:7" ht="15" hidden="1" x14ac:dyDescent="0.25">
      <c r="B8562" s="4">
        <v>584678384</v>
      </c>
      <c r="C8562" s="4" t="s">
        <v>275</v>
      </c>
      <c r="D8562" s="4">
        <v>550</v>
      </c>
      <c r="E8562" s="4">
        <v>152</v>
      </c>
      <c r="G8562">
        <f t="shared" si="133"/>
        <v>1272</v>
      </c>
    </row>
    <row r="8563" spans="2:7" ht="15" hidden="1" x14ac:dyDescent="0.25">
      <c r="B8563" s="4">
        <v>584678387</v>
      </c>
      <c r="C8563" s="4" t="s">
        <v>275</v>
      </c>
      <c r="D8563" s="4">
        <v>551</v>
      </c>
      <c r="E8563" s="4">
        <v>164</v>
      </c>
      <c r="G8563">
        <f t="shared" si="133"/>
        <v>1368</v>
      </c>
    </row>
    <row r="8564" spans="2:7" ht="15" hidden="1" x14ac:dyDescent="0.25">
      <c r="B8564" s="4">
        <v>584678390</v>
      </c>
      <c r="C8564" s="4" t="s">
        <v>275</v>
      </c>
      <c r="D8564" s="4">
        <v>552</v>
      </c>
      <c r="E8564" s="4">
        <v>158</v>
      </c>
      <c r="G8564">
        <f t="shared" si="133"/>
        <v>1320</v>
      </c>
    </row>
    <row r="8565" spans="2:7" ht="15" hidden="1" x14ac:dyDescent="0.25">
      <c r="B8565" s="4">
        <v>584678393</v>
      </c>
      <c r="C8565" s="4" t="s">
        <v>275</v>
      </c>
      <c r="D8565" s="4">
        <v>553</v>
      </c>
      <c r="E8565" s="4">
        <v>152</v>
      </c>
      <c r="G8565">
        <f t="shared" si="133"/>
        <v>1272</v>
      </c>
    </row>
    <row r="8566" spans="2:7" ht="15" hidden="1" x14ac:dyDescent="0.25">
      <c r="B8566" s="4">
        <v>584678395</v>
      </c>
      <c r="C8566" s="4" t="s">
        <v>277</v>
      </c>
      <c r="D8566" s="4">
        <v>226</v>
      </c>
      <c r="E8566" s="4">
        <v>59</v>
      </c>
      <c r="G8566">
        <f t="shared" si="133"/>
        <v>528</v>
      </c>
    </row>
    <row r="8567" spans="2:7" ht="15" hidden="1" x14ac:dyDescent="0.25">
      <c r="B8567" s="4">
        <v>584678396</v>
      </c>
      <c r="C8567" s="4" t="s">
        <v>275</v>
      </c>
      <c r="D8567" s="4">
        <v>554</v>
      </c>
      <c r="E8567" s="4">
        <v>156</v>
      </c>
      <c r="G8567">
        <f t="shared" si="133"/>
        <v>1304</v>
      </c>
    </row>
    <row r="8568" spans="2:7" ht="15" hidden="1" x14ac:dyDescent="0.25">
      <c r="B8568" s="4">
        <v>584678399</v>
      </c>
      <c r="C8568" s="4" t="s">
        <v>275</v>
      </c>
      <c r="D8568" s="4">
        <v>555</v>
      </c>
      <c r="E8568" s="4">
        <v>150</v>
      </c>
      <c r="G8568">
        <f t="shared" si="133"/>
        <v>1256</v>
      </c>
    </row>
    <row r="8569" spans="2:7" ht="15" hidden="1" x14ac:dyDescent="0.25">
      <c r="B8569" s="4">
        <v>584678402</v>
      </c>
      <c r="C8569" s="4" t="s">
        <v>275</v>
      </c>
      <c r="D8569" s="4">
        <v>556</v>
      </c>
      <c r="E8569" s="4">
        <v>154</v>
      </c>
      <c r="G8569">
        <f t="shared" si="133"/>
        <v>1288</v>
      </c>
    </row>
    <row r="8570" spans="2:7" ht="15" hidden="1" x14ac:dyDescent="0.25">
      <c r="B8570" s="4">
        <v>584678405</v>
      </c>
      <c r="C8570" s="4" t="s">
        <v>275</v>
      </c>
      <c r="D8570" s="4">
        <v>557</v>
      </c>
      <c r="E8570" s="4">
        <v>150</v>
      </c>
      <c r="G8570">
        <f t="shared" si="133"/>
        <v>1256</v>
      </c>
    </row>
    <row r="8571" spans="2:7" ht="15" hidden="1" x14ac:dyDescent="0.25">
      <c r="B8571" s="4">
        <v>584678408</v>
      </c>
      <c r="C8571" s="4" t="s">
        <v>275</v>
      </c>
      <c r="D8571" s="4">
        <v>558</v>
      </c>
      <c r="E8571" s="4">
        <v>150</v>
      </c>
      <c r="G8571">
        <f t="shared" si="133"/>
        <v>1256</v>
      </c>
    </row>
    <row r="8572" spans="2:7" ht="15" hidden="1" x14ac:dyDescent="0.25">
      <c r="B8572" s="4">
        <v>584678411</v>
      </c>
      <c r="C8572" s="4" t="s">
        <v>275</v>
      </c>
      <c r="D8572" s="4">
        <v>559</v>
      </c>
      <c r="E8572" s="4">
        <v>160</v>
      </c>
      <c r="G8572">
        <f t="shared" si="133"/>
        <v>1336</v>
      </c>
    </row>
    <row r="8573" spans="2:7" ht="15" hidden="1" x14ac:dyDescent="0.25">
      <c r="B8573" s="4">
        <v>584678414</v>
      </c>
      <c r="C8573" s="4" t="s">
        <v>275</v>
      </c>
      <c r="D8573" s="4">
        <v>560</v>
      </c>
      <c r="E8573" s="4">
        <v>152</v>
      </c>
      <c r="G8573">
        <f t="shared" si="133"/>
        <v>1272</v>
      </c>
    </row>
    <row r="8574" spans="2:7" ht="15" hidden="1" x14ac:dyDescent="0.25">
      <c r="B8574" s="4">
        <v>584678417</v>
      </c>
      <c r="C8574" s="4" t="s">
        <v>275</v>
      </c>
      <c r="D8574" s="4">
        <v>561</v>
      </c>
      <c r="E8574" s="4">
        <v>150</v>
      </c>
      <c r="G8574">
        <f t="shared" si="133"/>
        <v>1256</v>
      </c>
    </row>
    <row r="8575" spans="2:7" ht="15" hidden="1" x14ac:dyDescent="0.25">
      <c r="B8575" s="4">
        <v>584678420</v>
      </c>
      <c r="C8575" s="4" t="s">
        <v>275</v>
      </c>
      <c r="D8575" s="4">
        <v>562</v>
      </c>
      <c r="E8575" s="4">
        <v>150</v>
      </c>
      <c r="G8575">
        <f t="shared" si="133"/>
        <v>1256</v>
      </c>
    </row>
    <row r="8576" spans="2:7" ht="15" hidden="1" x14ac:dyDescent="0.25">
      <c r="B8576" s="4">
        <v>584678423</v>
      </c>
      <c r="C8576" s="4" t="s">
        <v>275</v>
      </c>
      <c r="D8576" s="4">
        <v>563</v>
      </c>
      <c r="E8576" s="4">
        <v>152</v>
      </c>
      <c r="G8576">
        <f t="shared" si="133"/>
        <v>1272</v>
      </c>
    </row>
    <row r="8577" spans="2:7" ht="15" hidden="1" x14ac:dyDescent="0.25">
      <c r="B8577" s="4">
        <v>584678426</v>
      </c>
      <c r="C8577" s="4" t="s">
        <v>275</v>
      </c>
      <c r="D8577" s="4">
        <v>564</v>
      </c>
      <c r="E8577" s="4">
        <v>152</v>
      </c>
      <c r="G8577">
        <f t="shared" si="133"/>
        <v>1272</v>
      </c>
    </row>
    <row r="8578" spans="2:7" ht="15" hidden="1" x14ac:dyDescent="0.25">
      <c r="B8578" s="4">
        <v>584678429</v>
      </c>
      <c r="C8578" s="4" t="s">
        <v>275</v>
      </c>
      <c r="D8578" s="4">
        <v>565</v>
      </c>
      <c r="E8578" s="4">
        <v>152</v>
      </c>
      <c r="G8578">
        <f t="shared" si="133"/>
        <v>1272</v>
      </c>
    </row>
    <row r="8579" spans="2:7" ht="15" hidden="1" x14ac:dyDescent="0.25">
      <c r="B8579" s="4">
        <v>584678432</v>
      </c>
      <c r="C8579" s="4" t="s">
        <v>275</v>
      </c>
      <c r="D8579" s="4">
        <v>566</v>
      </c>
      <c r="E8579" s="4">
        <v>154</v>
      </c>
      <c r="G8579">
        <f t="shared" si="133"/>
        <v>1288</v>
      </c>
    </row>
    <row r="8580" spans="2:7" ht="15" hidden="1" x14ac:dyDescent="0.25">
      <c r="B8580" s="4">
        <v>584678435</v>
      </c>
      <c r="C8580" s="4" t="s">
        <v>275</v>
      </c>
      <c r="D8580" s="4">
        <v>567</v>
      </c>
      <c r="E8580" s="4">
        <v>154</v>
      </c>
      <c r="G8580">
        <f t="shared" ref="G8580:G8643" si="134">(E8580+7)*8</f>
        <v>1288</v>
      </c>
    </row>
    <row r="8581" spans="2:7" ht="15" hidden="1" x14ac:dyDescent="0.25">
      <c r="B8581" s="4">
        <v>584678438</v>
      </c>
      <c r="C8581" s="4" t="s">
        <v>275</v>
      </c>
      <c r="D8581" s="4">
        <v>568</v>
      </c>
      <c r="E8581" s="4">
        <v>152</v>
      </c>
      <c r="G8581">
        <f t="shared" si="134"/>
        <v>1272</v>
      </c>
    </row>
    <row r="8582" spans="2:7" ht="15" hidden="1" x14ac:dyDescent="0.25">
      <c r="B8582" s="4">
        <v>584678441</v>
      </c>
      <c r="C8582" s="4" t="s">
        <v>275</v>
      </c>
      <c r="D8582" s="4">
        <v>569</v>
      </c>
      <c r="E8582" s="4">
        <v>150</v>
      </c>
      <c r="G8582">
        <f t="shared" si="134"/>
        <v>1256</v>
      </c>
    </row>
    <row r="8583" spans="2:7" ht="15" hidden="1" x14ac:dyDescent="0.25">
      <c r="B8583" s="4">
        <v>584678444</v>
      </c>
      <c r="C8583" s="4" t="s">
        <v>275</v>
      </c>
      <c r="D8583" s="4">
        <v>570</v>
      </c>
      <c r="E8583" s="4">
        <v>150</v>
      </c>
      <c r="G8583">
        <f t="shared" si="134"/>
        <v>1256</v>
      </c>
    </row>
    <row r="8584" spans="2:7" ht="15" hidden="1" x14ac:dyDescent="0.25">
      <c r="B8584" s="4">
        <v>584678447</v>
      </c>
      <c r="C8584" s="4" t="s">
        <v>275</v>
      </c>
      <c r="D8584" s="4">
        <v>571</v>
      </c>
      <c r="E8584" s="4">
        <v>152</v>
      </c>
      <c r="G8584">
        <f t="shared" si="134"/>
        <v>1272</v>
      </c>
    </row>
    <row r="8585" spans="2:7" ht="15" hidden="1" x14ac:dyDescent="0.25">
      <c r="B8585" s="4">
        <v>584678448</v>
      </c>
      <c r="C8585" s="4" t="s">
        <v>272</v>
      </c>
      <c r="D8585" s="4">
        <v>566</v>
      </c>
      <c r="E8585" s="4">
        <v>267</v>
      </c>
      <c r="G8585">
        <f t="shared" si="134"/>
        <v>2192</v>
      </c>
    </row>
    <row r="8586" spans="2:7" ht="15" hidden="1" x14ac:dyDescent="0.25">
      <c r="B8586" s="4">
        <v>584678451</v>
      </c>
      <c r="C8586" s="4" t="s">
        <v>275</v>
      </c>
      <c r="D8586" s="4">
        <v>572</v>
      </c>
      <c r="E8586" s="4">
        <v>156</v>
      </c>
      <c r="G8586">
        <f t="shared" si="134"/>
        <v>1304</v>
      </c>
    </row>
    <row r="8587" spans="2:7" ht="15" hidden="1" x14ac:dyDescent="0.25">
      <c r="B8587" s="4">
        <v>584678454</v>
      </c>
      <c r="C8587" s="4" t="s">
        <v>275</v>
      </c>
      <c r="D8587" s="4">
        <v>573</v>
      </c>
      <c r="E8587" s="4">
        <v>152</v>
      </c>
      <c r="G8587">
        <f t="shared" si="134"/>
        <v>1272</v>
      </c>
    </row>
    <row r="8588" spans="2:7" ht="15" hidden="1" x14ac:dyDescent="0.25">
      <c r="B8588" s="4">
        <v>584678457</v>
      </c>
      <c r="C8588" s="4" t="s">
        <v>275</v>
      </c>
      <c r="D8588" s="4">
        <v>574</v>
      </c>
      <c r="E8588" s="4">
        <v>156</v>
      </c>
      <c r="G8588">
        <f t="shared" si="134"/>
        <v>1304</v>
      </c>
    </row>
    <row r="8589" spans="2:7" ht="15" hidden="1" x14ac:dyDescent="0.25">
      <c r="B8589" s="4">
        <v>584678460</v>
      </c>
      <c r="C8589" s="4" t="s">
        <v>275</v>
      </c>
      <c r="D8589" s="4">
        <v>575</v>
      </c>
      <c r="E8589" s="4">
        <v>148</v>
      </c>
      <c r="G8589">
        <f t="shared" si="134"/>
        <v>1240</v>
      </c>
    </row>
    <row r="8590" spans="2:7" ht="15" hidden="1" x14ac:dyDescent="0.25">
      <c r="B8590" s="4">
        <v>584678463</v>
      </c>
      <c r="C8590" s="4" t="s">
        <v>275</v>
      </c>
      <c r="D8590" s="4">
        <v>576</v>
      </c>
      <c r="E8590" s="4">
        <v>158</v>
      </c>
      <c r="G8590">
        <f t="shared" si="134"/>
        <v>1320</v>
      </c>
    </row>
    <row r="8591" spans="2:7" ht="15" hidden="1" x14ac:dyDescent="0.25">
      <c r="B8591" s="4">
        <v>584678466</v>
      </c>
      <c r="C8591" s="4" t="s">
        <v>275</v>
      </c>
      <c r="D8591" s="4">
        <v>577</v>
      </c>
      <c r="E8591" s="4">
        <v>146</v>
      </c>
      <c r="G8591">
        <f t="shared" si="134"/>
        <v>1224</v>
      </c>
    </row>
    <row r="8592" spans="2:7" ht="15" hidden="1" x14ac:dyDescent="0.25">
      <c r="B8592" s="4">
        <v>584678469</v>
      </c>
      <c r="C8592" s="4" t="s">
        <v>275</v>
      </c>
      <c r="D8592" s="4">
        <v>578</v>
      </c>
      <c r="E8592" s="4">
        <v>146</v>
      </c>
      <c r="G8592">
        <f t="shared" si="134"/>
        <v>1224</v>
      </c>
    </row>
    <row r="8593" spans="2:7" ht="15" hidden="1" x14ac:dyDescent="0.25">
      <c r="B8593" s="4">
        <v>584678472</v>
      </c>
      <c r="C8593" s="4" t="s">
        <v>275</v>
      </c>
      <c r="D8593" s="4">
        <v>579</v>
      </c>
      <c r="E8593" s="4">
        <v>162</v>
      </c>
      <c r="G8593">
        <f t="shared" si="134"/>
        <v>1352</v>
      </c>
    </row>
    <row r="8594" spans="2:7" ht="15" hidden="1" x14ac:dyDescent="0.25">
      <c r="B8594" s="4">
        <v>584678475</v>
      </c>
      <c r="C8594" s="4" t="s">
        <v>275</v>
      </c>
      <c r="D8594" s="4">
        <v>580</v>
      </c>
      <c r="E8594" s="4">
        <v>146</v>
      </c>
      <c r="G8594">
        <f t="shared" si="134"/>
        <v>1224</v>
      </c>
    </row>
    <row r="8595" spans="2:7" ht="15" hidden="1" x14ac:dyDescent="0.25">
      <c r="B8595" s="4">
        <v>584678478</v>
      </c>
      <c r="C8595" s="4" t="s">
        <v>275</v>
      </c>
      <c r="D8595" s="4">
        <v>581</v>
      </c>
      <c r="E8595" s="4">
        <v>150</v>
      </c>
      <c r="G8595">
        <f t="shared" si="134"/>
        <v>1256</v>
      </c>
    </row>
    <row r="8596" spans="2:7" ht="15" hidden="1" x14ac:dyDescent="0.25">
      <c r="B8596" s="4">
        <v>584678481</v>
      </c>
      <c r="C8596" s="4" t="s">
        <v>275</v>
      </c>
      <c r="D8596" s="4">
        <v>582</v>
      </c>
      <c r="E8596" s="4">
        <v>152</v>
      </c>
      <c r="G8596">
        <f t="shared" si="134"/>
        <v>1272</v>
      </c>
    </row>
    <row r="8597" spans="2:7" ht="15" hidden="1" x14ac:dyDescent="0.25">
      <c r="B8597" s="4">
        <v>584678484</v>
      </c>
      <c r="C8597" s="4" t="s">
        <v>275</v>
      </c>
      <c r="D8597" s="4">
        <v>583</v>
      </c>
      <c r="E8597" s="4">
        <v>158</v>
      </c>
      <c r="G8597">
        <f t="shared" si="134"/>
        <v>1320</v>
      </c>
    </row>
    <row r="8598" spans="2:7" ht="15" hidden="1" x14ac:dyDescent="0.25">
      <c r="B8598" s="4">
        <v>584678487</v>
      </c>
      <c r="C8598" s="4" t="s">
        <v>275</v>
      </c>
      <c r="D8598" s="4">
        <v>584</v>
      </c>
      <c r="E8598" s="4">
        <v>150</v>
      </c>
      <c r="G8598">
        <f t="shared" si="134"/>
        <v>1256</v>
      </c>
    </row>
    <row r="8599" spans="2:7" ht="15" hidden="1" x14ac:dyDescent="0.25">
      <c r="B8599" s="4">
        <v>584678490</v>
      </c>
      <c r="C8599" s="4" t="s">
        <v>275</v>
      </c>
      <c r="D8599" s="4">
        <v>585</v>
      </c>
      <c r="E8599" s="4">
        <v>156</v>
      </c>
      <c r="G8599">
        <f t="shared" si="134"/>
        <v>1304</v>
      </c>
    </row>
    <row r="8600" spans="2:7" ht="15" hidden="1" x14ac:dyDescent="0.25">
      <c r="B8600" s="4">
        <v>584678493</v>
      </c>
      <c r="C8600" s="4" t="s">
        <v>275</v>
      </c>
      <c r="D8600" s="4">
        <v>586</v>
      </c>
      <c r="E8600" s="4">
        <v>146</v>
      </c>
      <c r="G8600">
        <f t="shared" si="134"/>
        <v>1224</v>
      </c>
    </row>
    <row r="8601" spans="2:7" ht="15" hidden="1" x14ac:dyDescent="0.25">
      <c r="B8601" s="4">
        <v>584678496</v>
      </c>
      <c r="C8601" s="4" t="s">
        <v>275</v>
      </c>
      <c r="D8601" s="4">
        <v>587</v>
      </c>
      <c r="E8601" s="4">
        <v>158</v>
      </c>
      <c r="G8601">
        <f t="shared" si="134"/>
        <v>1320</v>
      </c>
    </row>
    <row r="8602" spans="2:7" ht="15" hidden="1" x14ac:dyDescent="0.25">
      <c r="B8602" s="4">
        <v>584678499</v>
      </c>
      <c r="C8602" s="4" t="s">
        <v>275</v>
      </c>
      <c r="D8602" s="4">
        <v>588</v>
      </c>
      <c r="E8602" s="4">
        <v>158</v>
      </c>
      <c r="G8602">
        <f t="shared" si="134"/>
        <v>1320</v>
      </c>
    </row>
    <row r="8603" spans="2:7" ht="15" hidden="1" x14ac:dyDescent="0.25">
      <c r="B8603" s="4">
        <v>584678502</v>
      </c>
      <c r="C8603" s="4" t="s">
        <v>275</v>
      </c>
      <c r="D8603" s="4">
        <v>589</v>
      </c>
      <c r="E8603" s="4">
        <v>152</v>
      </c>
      <c r="G8603">
        <f t="shared" si="134"/>
        <v>1272</v>
      </c>
    </row>
    <row r="8604" spans="2:7" ht="15" hidden="1" x14ac:dyDescent="0.25">
      <c r="B8604" s="4">
        <v>584678505</v>
      </c>
      <c r="C8604" s="4" t="s">
        <v>275</v>
      </c>
      <c r="D8604" s="4">
        <v>590</v>
      </c>
      <c r="E8604" s="4">
        <v>148</v>
      </c>
      <c r="G8604">
        <f t="shared" si="134"/>
        <v>1240</v>
      </c>
    </row>
    <row r="8605" spans="2:7" ht="15" hidden="1" x14ac:dyDescent="0.25">
      <c r="B8605" s="4">
        <v>584678508</v>
      </c>
      <c r="C8605" s="4" t="s">
        <v>275</v>
      </c>
      <c r="D8605" s="4">
        <v>591</v>
      </c>
      <c r="E8605" s="4">
        <v>156</v>
      </c>
      <c r="G8605">
        <f t="shared" si="134"/>
        <v>1304</v>
      </c>
    </row>
    <row r="8606" spans="2:7" ht="15" hidden="1" x14ac:dyDescent="0.25">
      <c r="B8606" s="4">
        <v>584678511</v>
      </c>
      <c r="C8606" s="4" t="s">
        <v>275</v>
      </c>
      <c r="D8606" s="4">
        <v>592</v>
      </c>
      <c r="E8606" s="4">
        <v>154</v>
      </c>
      <c r="G8606">
        <f t="shared" si="134"/>
        <v>1288</v>
      </c>
    </row>
    <row r="8607" spans="2:7" ht="15" hidden="1" x14ac:dyDescent="0.25">
      <c r="B8607" s="4">
        <v>584678514</v>
      </c>
      <c r="C8607" s="4" t="s">
        <v>275</v>
      </c>
      <c r="D8607" s="4">
        <v>593</v>
      </c>
      <c r="E8607" s="4">
        <v>154</v>
      </c>
      <c r="G8607">
        <f t="shared" si="134"/>
        <v>1288</v>
      </c>
    </row>
    <row r="8608" spans="2:7" ht="15" hidden="1" x14ac:dyDescent="0.25">
      <c r="B8608" s="4">
        <v>584678517</v>
      </c>
      <c r="C8608" s="4" t="s">
        <v>275</v>
      </c>
      <c r="D8608" s="4">
        <v>594</v>
      </c>
      <c r="E8608" s="4">
        <v>160</v>
      </c>
      <c r="G8608">
        <f t="shared" si="134"/>
        <v>1336</v>
      </c>
    </row>
    <row r="8609" spans="2:7" ht="15" hidden="1" x14ac:dyDescent="0.25">
      <c r="B8609" s="4">
        <v>584678520</v>
      </c>
      <c r="C8609" s="4" t="s">
        <v>275</v>
      </c>
      <c r="D8609" s="4">
        <v>595</v>
      </c>
      <c r="E8609" s="4">
        <v>158</v>
      </c>
      <c r="G8609">
        <f t="shared" si="134"/>
        <v>1320</v>
      </c>
    </row>
    <row r="8610" spans="2:7" ht="15" hidden="1" x14ac:dyDescent="0.25">
      <c r="B8610" s="4">
        <v>584678523</v>
      </c>
      <c r="C8610" s="4" t="s">
        <v>275</v>
      </c>
      <c r="D8610" s="4">
        <v>596</v>
      </c>
      <c r="E8610" s="4">
        <v>156</v>
      </c>
      <c r="G8610">
        <f t="shared" si="134"/>
        <v>1304</v>
      </c>
    </row>
    <row r="8611" spans="2:7" ht="15" hidden="1" x14ac:dyDescent="0.25">
      <c r="B8611" s="4">
        <v>584678526</v>
      </c>
      <c r="C8611" s="4" t="s">
        <v>275</v>
      </c>
      <c r="D8611" s="4">
        <v>597</v>
      </c>
      <c r="E8611" s="4">
        <v>154</v>
      </c>
      <c r="G8611">
        <f t="shared" si="134"/>
        <v>1288</v>
      </c>
    </row>
    <row r="8612" spans="2:7" ht="15" hidden="1" x14ac:dyDescent="0.25">
      <c r="B8612" s="4">
        <v>584678529</v>
      </c>
      <c r="C8612" s="4" t="s">
        <v>275</v>
      </c>
      <c r="D8612" s="4">
        <v>598</v>
      </c>
      <c r="E8612" s="4">
        <v>154</v>
      </c>
      <c r="G8612">
        <f t="shared" si="134"/>
        <v>1288</v>
      </c>
    </row>
    <row r="8613" spans="2:7" ht="15" hidden="1" x14ac:dyDescent="0.25">
      <c r="B8613" s="4">
        <v>584678532</v>
      </c>
      <c r="C8613" s="4" t="s">
        <v>275</v>
      </c>
      <c r="D8613" s="4">
        <v>599</v>
      </c>
      <c r="E8613" s="4">
        <v>158</v>
      </c>
      <c r="G8613">
        <f t="shared" si="134"/>
        <v>1320</v>
      </c>
    </row>
    <row r="8614" spans="2:7" ht="15" hidden="1" x14ac:dyDescent="0.25">
      <c r="B8614" s="4">
        <v>584678533</v>
      </c>
      <c r="C8614" s="4" t="s">
        <v>279</v>
      </c>
      <c r="D8614" s="4">
        <v>227</v>
      </c>
      <c r="E8614" s="4">
        <v>253</v>
      </c>
      <c r="G8614">
        <f t="shared" si="134"/>
        <v>2080</v>
      </c>
    </row>
    <row r="8615" spans="2:7" ht="15" hidden="1" x14ac:dyDescent="0.25">
      <c r="B8615" s="4">
        <v>584678535</v>
      </c>
      <c r="C8615" s="4" t="s">
        <v>275</v>
      </c>
      <c r="D8615" s="4">
        <v>600</v>
      </c>
      <c r="E8615" s="4">
        <v>154</v>
      </c>
      <c r="G8615">
        <f t="shared" si="134"/>
        <v>1288</v>
      </c>
    </row>
    <row r="8616" spans="2:7" ht="15" hidden="1" x14ac:dyDescent="0.25">
      <c r="B8616" s="4">
        <v>584678538</v>
      </c>
      <c r="C8616" s="4" t="s">
        <v>275</v>
      </c>
      <c r="D8616" s="4">
        <v>601</v>
      </c>
      <c r="E8616" s="4">
        <v>150</v>
      </c>
      <c r="G8616">
        <f t="shared" si="134"/>
        <v>1256</v>
      </c>
    </row>
    <row r="8617" spans="2:7" ht="15" hidden="1" x14ac:dyDescent="0.25">
      <c r="B8617" s="4">
        <v>584678541</v>
      </c>
      <c r="C8617" s="4" t="s">
        <v>275</v>
      </c>
      <c r="D8617" s="4">
        <v>602</v>
      </c>
      <c r="E8617" s="4">
        <v>150</v>
      </c>
      <c r="G8617">
        <f t="shared" si="134"/>
        <v>1256</v>
      </c>
    </row>
    <row r="8618" spans="2:7" ht="15" hidden="1" x14ac:dyDescent="0.25">
      <c r="B8618" s="4">
        <v>584678544</v>
      </c>
      <c r="C8618" s="4" t="s">
        <v>275</v>
      </c>
      <c r="D8618" s="4">
        <v>603</v>
      </c>
      <c r="E8618" s="4">
        <v>154</v>
      </c>
      <c r="G8618">
        <f t="shared" si="134"/>
        <v>1288</v>
      </c>
    </row>
    <row r="8619" spans="2:7" ht="15" hidden="1" x14ac:dyDescent="0.25">
      <c r="B8619" s="4">
        <v>584678547</v>
      </c>
      <c r="C8619" s="4" t="s">
        <v>275</v>
      </c>
      <c r="D8619" s="4">
        <v>604</v>
      </c>
      <c r="E8619" s="4">
        <v>156</v>
      </c>
      <c r="G8619">
        <f t="shared" si="134"/>
        <v>1304</v>
      </c>
    </row>
    <row r="8620" spans="2:7" ht="15" hidden="1" x14ac:dyDescent="0.25">
      <c r="B8620" s="4">
        <v>584678548</v>
      </c>
      <c r="C8620" s="4" t="s">
        <v>272</v>
      </c>
      <c r="D8620" s="4">
        <v>567</v>
      </c>
      <c r="E8620" s="4">
        <v>265</v>
      </c>
      <c r="G8620">
        <f t="shared" si="134"/>
        <v>2176</v>
      </c>
    </row>
    <row r="8621" spans="2:7" ht="15" hidden="1" x14ac:dyDescent="0.25">
      <c r="B8621" s="4">
        <v>584678551</v>
      </c>
      <c r="C8621" s="4" t="s">
        <v>275</v>
      </c>
      <c r="D8621" s="4">
        <v>605</v>
      </c>
      <c r="E8621" s="4">
        <v>154</v>
      </c>
      <c r="G8621">
        <f t="shared" si="134"/>
        <v>1288</v>
      </c>
    </row>
    <row r="8622" spans="2:7" ht="15" hidden="1" x14ac:dyDescent="0.25">
      <c r="B8622" s="4">
        <v>584678554</v>
      </c>
      <c r="C8622" s="4" t="s">
        <v>275</v>
      </c>
      <c r="D8622" s="4">
        <v>606</v>
      </c>
      <c r="E8622" s="4">
        <v>148</v>
      </c>
      <c r="G8622">
        <f t="shared" si="134"/>
        <v>1240</v>
      </c>
    </row>
    <row r="8623" spans="2:7" ht="15" hidden="1" x14ac:dyDescent="0.25">
      <c r="B8623" s="4">
        <v>584678556</v>
      </c>
      <c r="C8623" s="4" t="s">
        <v>277</v>
      </c>
      <c r="D8623" s="4">
        <v>227</v>
      </c>
      <c r="E8623" s="4">
        <v>61</v>
      </c>
      <c r="G8623">
        <f t="shared" si="134"/>
        <v>544</v>
      </c>
    </row>
    <row r="8624" spans="2:7" ht="15" hidden="1" x14ac:dyDescent="0.25">
      <c r="B8624" s="4">
        <v>584678557</v>
      </c>
      <c r="C8624" s="4" t="s">
        <v>275</v>
      </c>
      <c r="D8624" s="4">
        <v>607</v>
      </c>
      <c r="E8624" s="4">
        <v>156</v>
      </c>
      <c r="G8624">
        <f t="shared" si="134"/>
        <v>1304</v>
      </c>
    </row>
    <row r="8625" spans="2:7" ht="15" hidden="1" x14ac:dyDescent="0.25">
      <c r="B8625" s="4">
        <v>584678560</v>
      </c>
      <c r="C8625" s="4" t="s">
        <v>275</v>
      </c>
      <c r="D8625" s="4">
        <v>608</v>
      </c>
      <c r="E8625" s="4">
        <v>156</v>
      </c>
      <c r="G8625">
        <f t="shared" si="134"/>
        <v>1304</v>
      </c>
    </row>
    <row r="8626" spans="2:7" ht="15" hidden="1" x14ac:dyDescent="0.25">
      <c r="B8626" s="4">
        <v>584678563</v>
      </c>
      <c r="C8626" s="4" t="s">
        <v>275</v>
      </c>
      <c r="D8626" s="4">
        <v>609</v>
      </c>
      <c r="E8626" s="4">
        <v>152</v>
      </c>
      <c r="G8626">
        <f t="shared" si="134"/>
        <v>1272</v>
      </c>
    </row>
    <row r="8627" spans="2:7" ht="15" hidden="1" x14ac:dyDescent="0.25">
      <c r="B8627" s="4">
        <v>584678566</v>
      </c>
      <c r="C8627" s="4" t="s">
        <v>275</v>
      </c>
      <c r="D8627" s="4">
        <v>610</v>
      </c>
      <c r="E8627" s="4">
        <v>156</v>
      </c>
      <c r="G8627">
        <f t="shared" si="134"/>
        <v>1304</v>
      </c>
    </row>
    <row r="8628" spans="2:7" ht="15" hidden="1" x14ac:dyDescent="0.25">
      <c r="B8628" s="4">
        <v>584678569</v>
      </c>
      <c r="C8628" s="4" t="s">
        <v>275</v>
      </c>
      <c r="D8628" s="4">
        <v>611</v>
      </c>
      <c r="E8628" s="4">
        <v>158</v>
      </c>
      <c r="G8628">
        <f t="shared" si="134"/>
        <v>1320</v>
      </c>
    </row>
    <row r="8629" spans="2:7" ht="15" hidden="1" x14ac:dyDescent="0.25">
      <c r="B8629" s="4">
        <v>584678572</v>
      </c>
      <c r="C8629" s="4" t="s">
        <v>275</v>
      </c>
      <c r="D8629" s="4">
        <v>612</v>
      </c>
      <c r="E8629" s="4">
        <v>150</v>
      </c>
      <c r="G8629">
        <f t="shared" si="134"/>
        <v>1256</v>
      </c>
    </row>
    <row r="8630" spans="2:7" ht="15" hidden="1" x14ac:dyDescent="0.25">
      <c r="B8630" s="4">
        <v>584678575</v>
      </c>
      <c r="C8630" s="4" t="s">
        <v>275</v>
      </c>
      <c r="D8630" s="4">
        <v>613</v>
      </c>
      <c r="E8630" s="4">
        <v>152</v>
      </c>
      <c r="G8630">
        <f t="shared" si="134"/>
        <v>1272</v>
      </c>
    </row>
    <row r="8631" spans="2:7" ht="15" hidden="1" x14ac:dyDescent="0.25">
      <c r="B8631" s="4">
        <v>584678578</v>
      </c>
      <c r="C8631" s="4" t="s">
        <v>275</v>
      </c>
      <c r="D8631" s="4">
        <v>614</v>
      </c>
      <c r="E8631" s="4">
        <v>156</v>
      </c>
      <c r="G8631">
        <f t="shared" si="134"/>
        <v>1304</v>
      </c>
    </row>
    <row r="8632" spans="2:7" ht="15" hidden="1" x14ac:dyDescent="0.25">
      <c r="B8632" s="4">
        <v>584678581</v>
      </c>
      <c r="C8632" s="4" t="s">
        <v>275</v>
      </c>
      <c r="D8632" s="4">
        <v>615</v>
      </c>
      <c r="E8632" s="4">
        <v>148</v>
      </c>
      <c r="G8632">
        <f t="shared" si="134"/>
        <v>1240</v>
      </c>
    </row>
    <row r="8633" spans="2:7" ht="15" hidden="1" x14ac:dyDescent="0.25">
      <c r="B8633" s="4">
        <v>584678584</v>
      </c>
      <c r="C8633" s="4" t="s">
        <v>275</v>
      </c>
      <c r="D8633" s="4">
        <v>616</v>
      </c>
      <c r="E8633" s="4">
        <v>156</v>
      </c>
      <c r="G8633">
        <f t="shared" si="134"/>
        <v>1304</v>
      </c>
    </row>
    <row r="8634" spans="2:7" ht="15" hidden="1" x14ac:dyDescent="0.25">
      <c r="B8634" s="4">
        <v>584678587</v>
      </c>
      <c r="C8634" s="4" t="s">
        <v>275</v>
      </c>
      <c r="D8634" s="4">
        <v>617</v>
      </c>
      <c r="E8634" s="4">
        <v>152</v>
      </c>
      <c r="G8634">
        <f t="shared" si="134"/>
        <v>1272</v>
      </c>
    </row>
    <row r="8635" spans="2:7" ht="15" hidden="1" x14ac:dyDescent="0.25">
      <c r="B8635" s="4">
        <v>584678590</v>
      </c>
      <c r="C8635" s="4" t="s">
        <v>275</v>
      </c>
      <c r="D8635" s="4">
        <v>618</v>
      </c>
      <c r="E8635" s="4">
        <v>152</v>
      </c>
      <c r="G8635">
        <f t="shared" si="134"/>
        <v>1272</v>
      </c>
    </row>
    <row r="8636" spans="2:7" ht="15" hidden="1" x14ac:dyDescent="0.25">
      <c r="B8636" s="4">
        <v>584678593</v>
      </c>
      <c r="C8636" s="4" t="s">
        <v>275</v>
      </c>
      <c r="D8636" s="4">
        <v>619</v>
      </c>
      <c r="E8636" s="4">
        <v>154</v>
      </c>
      <c r="G8636">
        <f t="shared" si="134"/>
        <v>1288</v>
      </c>
    </row>
    <row r="8637" spans="2:7" ht="15" hidden="1" x14ac:dyDescent="0.25">
      <c r="B8637" s="4">
        <v>584678596</v>
      </c>
      <c r="C8637" s="4" t="s">
        <v>275</v>
      </c>
      <c r="D8637" s="4">
        <v>620</v>
      </c>
      <c r="E8637" s="4">
        <v>154</v>
      </c>
      <c r="G8637">
        <f t="shared" si="134"/>
        <v>1288</v>
      </c>
    </row>
    <row r="8638" spans="2:7" ht="15" hidden="1" x14ac:dyDescent="0.25">
      <c r="B8638" s="4">
        <v>584678599</v>
      </c>
      <c r="C8638" s="4" t="s">
        <v>275</v>
      </c>
      <c r="D8638" s="4">
        <v>621</v>
      </c>
      <c r="E8638" s="4">
        <v>154</v>
      </c>
      <c r="G8638">
        <f t="shared" si="134"/>
        <v>1288</v>
      </c>
    </row>
    <row r="8639" spans="2:7" ht="15" hidden="1" x14ac:dyDescent="0.25">
      <c r="B8639" s="4">
        <v>584678602</v>
      </c>
      <c r="C8639" s="4" t="s">
        <v>275</v>
      </c>
      <c r="D8639" s="4">
        <v>622</v>
      </c>
      <c r="E8639" s="4">
        <v>154</v>
      </c>
      <c r="G8639">
        <f t="shared" si="134"/>
        <v>1288</v>
      </c>
    </row>
    <row r="8640" spans="2:7" ht="15" hidden="1" x14ac:dyDescent="0.25">
      <c r="B8640" s="4">
        <v>584678605</v>
      </c>
      <c r="C8640" s="4" t="s">
        <v>275</v>
      </c>
      <c r="D8640" s="4">
        <v>623</v>
      </c>
      <c r="E8640" s="4">
        <v>152</v>
      </c>
      <c r="G8640">
        <f t="shared" si="134"/>
        <v>1272</v>
      </c>
    </row>
    <row r="8641" spans="2:7" ht="15" hidden="1" x14ac:dyDescent="0.25">
      <c r="B8641" s="4">
        <v>584678608</v>
      </c>
      <c r="C8641" s="4" t="s">
        <v>275</v>
      </c>
      <c r="D8641" s="4">
        <v>624</v>
      </c>
      <c r="E8641" s="4">
        <v>156</v>
      </c>
      <c r="G8641">
        <f t="shared" si="134"/>
        <v>1304</v>
      </c>
    </row>
    <row r="8642" spans="2:7" ht="15" hidden="1" x14ac:dyDescent="0.25">
      <c r="B8642" s="4">
        <v>584678611</v>
      </c>
      <c r="C8642" s="4" t="s">
        <v>275</v>
      </c>
      <c r="D8642" s="4">
        <v>625</v>
      </c>
      <c r="E8642" s="4">
        <v>150</v>
      </c>
      <c r="G8642">
        <f t="shared" si="134"/>
        <v>1256</v>
      </c>
    </row>
    <row r="8643" spans="2:7" ht="15" hidden="1" x14ac:dyDescent="0.25">
      <c r="B8643" s="4">
        <v>584678614</v>
      </c>
      <c r="C8643" s="4" t="s">
        <v>275</v>
      </c>
      <c r="D8643" s="4">
        <v>626</v>
      </c>
      <c r="E8643" s="4">
        <v>152</v>
      </c>
      <c r="G8643">
        <f t="shared" si="134"/>
        <v>1272</v>
      </c>
    </row>
    <row r="8644" spans="2:7" ht="15" hidden="1" x14ac:dyDescent="0.25">
      <c r="B8644" s="4">
        <v>584678617</v>
      </c>
      <c r="C8644" s="4" t="s">
        <v>275</v>
      </c>
      <c r="D8644" s="4">
        <v>627</v>
      </c>
      <c r="E8644" s="4">
        <v>154</v>
      </c>
      <c r="G8644">
        <f t="shared" ref="G8644:G8707" si="135">(E8644+7)*8</f>
        <v>1288</v>
      </c>
    </row>
    <row r="8645" spans="2:7" ht="15" hidden="1" x14ac:dyDescent="0.25">
      <c r="B8645" s="4">
        <v>584678620</v>
      </c>
      <c r="C8645" s="4" t="s">
        <v>275</v>
      </c>
      <c r="D8645" s="4">
        <v>628</v>
      </c>
      <c r="E8645" s="4">
        <v>156</v>
      </c>
      <c r="G8645">
        <f t="shared" si="135"/>
        <v>1304</v>
      </c>
    </row>
    <row r="8646" spans="2:7" ht="15" hidden="1" x14ac:dyDescent="0.25">
      <c r="B8646" s="4">
        <v>584678623</v>
      </c>
      <c r="C8646" s="4" t="s">
        <v>275</v>
      </c>
      <c r="D8646" s="4">
        <v>629</v>
      </c>
      <c r="E8646" s="4">
        <v>150</v>
      </c>
      <c r="G8646">
        <f t="shared" si="135"/>
        <v>1256</v>
      </c>
    </row>
    <row r="8647" spans="2:7" ht="15" hidden="1" x14ac:dyDescent="0.25">
      <c r="B8647" s="4">
        <v>584678626</v>
      </c>
      <c r="C8647" s="4" t="s">
        <v>275</v>
      </c>
      <c r="D8647" s="4">
        <v>630</v>
      </c>
      <c r="E8647" s="4">
        <v>150</v>
      </c>
      <c r="G8647">
        <f t="shared" si="135"/>
        <v>1256</v>
      </c>
    </row>
    <row r="8648" spans="2:7" ht="15" hidden="1" x14ac:dyDescent="0.25">
      <c r="B8648" s="4">
        <v>584678629</v>
      </c>
      <c r="C8648" s="4" t="s">
        <v>275</v>
      </c>
      <c r="D8648" s="4">
        <v>631</v>
      </c>
      <c r="E8648" s="4">
        <v>152</v>
      </c>
      <c r="G8648">
        <f t="shared" si="135"/>
        <v>1272</v>
      </c>
    </row>
    <row r="8649" spans="2:7" ht="15" hidden="1" x14ac:dyDescent="0.25">
      <c r="B8649" s="4">
        <v>584678632</v>
      </c>
      <c r="C8649" s="4" t="s">
        <v>275</v>
      </c>
      <c r="D8649" s="4">
        <v>632</v>
      </c>
      <c r="E8649" s="4">
        <v>156</v>
      </c>
      <c r="G8649">
        <f t="shared" si="135"/>
        <v>1304</v>
      </c>
    </row>
    <row r="8650" spans="2:7" ht="15" hidden="1" x14ac:dyDescent="0.25">
      <c r="B8650" s="4">
        <v>584678635</v>
      </c>
      <c r="C8650" s="4" t="s">
        <v>275</v>
      </c>
      <c r="D8650" s="4">
        <v>633</v>
      </c>
      <c r="E8650" s="4">
        <v>152</v>
      </c>
      <c r="G8650">
        <f t="shared" si="135"/>
        <v>1272</v>
      </c>
    </row>
    <row r="8651" spans="2:7" ht="15" hidden="1" x14ac:dyDescent="0.25">
      <c r="B8651" s="4">
        <v>584678638</v>
      </c>
      <c r="C8651" s="4" t="s">
        <v>275</v>
      </c>
      <c r="D8651" s="4">
        <v>634</v>
      </c>
      <c r="E8651" s="4">
        <v>152</v>
      </c>
      <c r="G8651">
        <f t="shared" si="135"/>
        <v>1272</v>
      </c>
    </row>
    <row r="8652" spans="2:7" ht="15" hidden="1" x14ac:dyDescent="0.25">
      <c r="B8652" s="4">
        <v>584678641</v>
      </c>
      <c r="C8652" s="4" t="s">
        <v>275</v>
      </c>
      <c r="D8652" s="4">
        <v>635</v>
      </c>
      <c r="E8652" s="4">
        <v>152</v>
      </c>
      <c r="G8652">
        <f t="shared" si="135"/>
        <v>1272</v>
      </c>
    </row>
    <row r="8653" spans="2:7" ht="15" hidden="1" x14ac:dyDescent="0.25">
      <c r="B8653" s="4">
        <v>584678644</v>
      </c>
      <c r="C8653" s="4" t="s">
        <v>275</v>
      </c>
      <c r="D8653" s="4">
        <v>636</v>
      </c>
      <c r="E8653" s="4">
        <v>152</v>
      </c>
      <c r="G8653">
        <f t="shared" si="135"/>
        <v>1272</v>
      </c>
    </row>
    <row r="8654" spans="2:7" ht="15" hidden="1" x14ac:dyDescent="0.25">
      <c r="B8654" s="4">
        <v>584678647</v>
      </c>
      <c r="C8654" s="4" t="s">
        <v>275</v>
      </c>
      <c r="D8654" s="4">
        <v>637</v>
      </c>
      <c r="E8654" s="4">
        <v>154</v>
      </c>
      <c r="G8654">
        <f t="shared" si="135"/>
        <v>1288</v>
      </c>
    </row>
    <row r="8655" spans="2:7" ht="15" hidden="1" x14ac:dyDescent="0.25">
      <c r="B8655" s="4">
        <v>584678648</v>
      </c>
      <c r="C8655" s="4" t="s">
        <v>272</v>
      </c>
      <c r="D8655" s="4">
        <v>568</v>
      </c>
      <c r="E8655" s="4">
        <v>263</v>
      </c>
      <c r="G8655">
        <f t="shared" si="135"/>
        <v>2160</v>
      </c>
    </row>
    <row r="8656" spans="2:7" ht="15" hidden="1" x14ac:dyDescent="0.25">
      <c r="B8656" s="4">
        <v>584678651</v>
      </c>
      <c r="C8656" s="4" t="s">
        <v>275</v>
      </c>
      <c r="D8656" s="4">
        <v>638</v>
      </c>
      <c r="E8656" s="4">
        <v>156</v>
      </c>
      <c r="G8656">
        <f t="shared" si="135"/>
        <v>1304</v>
      </c>
    </row>
    <row r="8657" spans="2:7" ht="15" hidden="1" x14ac:dyDescent="0.25">
      <c r="B8657" s="4">
        <v>584678654</v>
      </c>
      <c r="C8657" s="4" t="s">
        <v>275</v>
      </c>
      <c r="D8657" s="4">
        <v>639</v>
      </c>
      <c r="E8657" s="4">
        <v>148</v>
      </c>
      <c r="G8657">
        <f t="shared" si="135"/>
        <v>1240</v>
      </c>
    </row>
    <row r="8658" spans="2:7" ht="15" hidden="1" x14ac:dyDescent="0.25">
      <c r="B8658" s="4">
        <v>584678657</v>
      </c>
      <c r="C8658" s="4" t="s">
        <v>275</v>
      </c>
      <c r="D8658" s="4">
        <v>640</v>
      </c>
      <c r="E8658" s="4">
        <v>146</v>
      </c>
      <c r="G8658">
        <f t="shared" si="135"/>
        <v>1224</v>
      </c>
    </row>
    <row r="8659" spans="2:7" ht="15" hidden="1" x14ac:dyDescent="0.25">
      <c r="B8659" s="4">
        <v>584678660</v>
      </c>
      <c r="C8659" s="4" t="s">
        <v>275</v>
      </c>
      <c r="D8659" s="4">
        <v>641</v>
      </c>
      <c r="E8659" s="4">
        <v>150</v>
      </c>
      <c r="G8659">
        <f t="shared" si="135"/>
        <v>1256</v>
      </c>
    </row>
    <row r="8660" spans="2:7" ht="15" hidden="1" x14ac:dyDescent="0.25">
      <c r="B8660" s="4">
        <v>584678663</v>
      </c>
      <c r="C8660" s="4" t="s">
        <v>275</v>
      </c>
      <c r="D8660" s="4">
        <v>642</v>
      </c>
      <c r="E8660" s="4">
        <v>158</v>
      </c>
      <c r="G8660">
        <f t="shared" si="135"/>
        <v>1320</v>
      </c>
    </row>
    <row r="8661" spans="2:7" ht="15" hidden="1" x14ac:dyDescent="0.25">
      <c r="B8661" s="4">
        <v>584678666</v>
      </c>
      <c r="C8661" s="4" t="s">
        <v>275</v>
      </c>
      <c r="D8661" s="4">
        <v>643</v>
      </c>
      <c r="E8661" s="4">
        <v>154</v>
      </c>
      <c r="G8661">
        <f t="shared" si="135"/>
        <v>1288</v>
      </c>
    </row>
    <row r="8662" spans="2:7" ht="15" hidden="1" x14ac:dyDescent="0.25">
      <c r="B8662" s="4">
        <v>584678669</v>
      </c>
      <c r="C8662" s="4" t="s">
        <v>275</v>
      </c>
      <c r="D8662" s="4">
        <v>644</v>
      </c>
      <c r="E8662" s="4">
        <v>154</v>
      </c>
      <c r="G8662">
        <f t="shared" si="135"/>
        <v>1288</v>
      </c>
    </row>
    <row r="8663" spans="2:7" ht="15" hidden="1" x14ac:dyDescent="0.25">
      <c r="B8663" s="4">
        <v>584678672</v>
      </c>
      <c r="C8663" s="4" t="s">
        <v>275</v>
      </c>
      <c r="D8663" s="4">
        <v>645</v>
      </c>
      <c r="E8663" s="4">
        <v>154</v>
      </c>
      <c r="G8663">
        <f t="shared" si="135"/>
        <v>1288</v>
      </c>
    </row>
    <row r="8664" spans="2:7" ht="15" hidden="1" x14ac:dyDescent="0.25">
      <c r="B8664" s="4">
        <v>584678675</v>
      </c>
      <c r="C8664" s="4" t="s">
        <v>275</v>
      </c>
      <c r="D8664" s="4">
        <v>646</v>
      </c>
      <c r="E8664" s="4">
        <v>150</v>
      </c>
      <c r="G8664">
        <f t="shared" si="135"/>
        <v>1256</v>
      </c>
    </row>
    <row r="8665" spans="2:7" ht="15" hidden="1" x14ac:dyDescent="0.25">
      <c r="B8665" s="4">
        <v>584678678</v>
      </c>
      <c r="C8665" s="4" t="s">
        <v>275</v>
      </c>
      <c r="D8665" s="4">
        <v>647</v>
      </c>
      <c r="E8665" s="4">
        <v>158</v>
      </c>
      <c r="G8665">
        <f t="shared" si="135"/>
        <v>1320</v>
      </c>
    </row>
    <row r="8666" spans="2:7" ht="15" hidden="1" x14ac:dyDescent="0.25">
      <c r="B8666" s="4">
        <v>584678681</v>
      </c>
      <c r="C8666" s="4" t="s">
        <v>275</v>
      </c>
      <c r="D8666" s="4">
        <v>648</v>
      </c>
      <c r="E8666" s="4">
        <v>152</v>
      </c>
      <c r="G8666">
        <f t="shared" si="135"/>
        <v>1272</v>
      </c>
    </row>
    <row r="8667" spans="2:7" ht="15" hidden="1" x14ac:dyDescent="0.25">
      <c r="B8667" s="4">
        <v>584678684</v>
      </c>
      <c r="C8667" s="4" t="s">
        <v>275</v>
      </c>
      <c r="D8667" s="4">
        <v>649</v>
      </c>
      <c r="E8667" s="4">
        <v>152</v>
      </c>
      <c r="G8667">
        <f t="shared" si="135"/>
        <v>1272</v>
      </c>
    </row>
    <row r="8668" spans="2:7" ht="15" hidden="1" x14ac:dyDescent="0.25">
      <c r="B8668" s="4">
        <v>584678687</v>
      </c>
      <c r="C8668" s="4" t="s">
        <v>275</v>
      </c>
      <c r="D8668" s="4">
        <v>650</v>
      </c>
      <c r="E8668" s="4">
        <v>150</v>
      </c>
      <c r="G8668">
        <f t="shared" si="135"/>
        <v>1256</v>
      </c>
    </row>
    <row r="8669" spans="2:7" ht="15" hidden="1" x14ac:dyDescent="0.25">
      <c r="B8669" s="4">
        <v>584678690</v>
      </c>
      <c r="C8669" s="4" t="s">
        <v>275</v>
      </c>
      <c r="D8669" s="4">
        <v>651</v>
      </c>
      <c r="E8669" s="4">
        <v>156</v>
      </c>
      <c r="G8669">
        <f t="shared" si="135"/>
        <v>1304</v>
      </c>
    </row>
    <row r="8670" spans="2:7" ht="15" hidden="1" x14ac:dyDescent="0.25">
      <c r="B8670" s="4">
        <v>584678693</v>
      </c>
      <c r="C8670" s="4" t="s">
        <v>275</v>
      </c>
      <c r="D8670" s="4">
        <v>652</v>
      </c>
      <c r="E8670" s="4">
        <v>150</v>
      </c>
      <c r="G8670">
        <f t="shared" si="135"/>
        <v>1256</v>
      </c>
    </row>
    <row r="8671" spans="2:7" ht="15" hidden="1" x14ac:dyDescent="0.25">
      <c r="B8671" s="4">
        <v>584678696</v>
      </c>
      <c r="C8671" s="4" t="s">
        <v>275</v>
      </c>
      <c r="D8671" s="4">
        <v>653</v>
      </c>
      <c r="E8671" s="4">
        <v>152</v>
      </c>
      <c r="G8671">
        <f t="shared" si="135"/>
        <v>1272</v>
      </c>
    </row>
    <row r="8672" spans="2:7" ht="15" hidden="1" x14ac:dyDescent="0.25">
      <c r="B8672" s="4">
        <v>584678699</v>
      </c>
      <c r="C8672" s="4" t="s">
        <v>275</v>
      </c>
      <c r="D8672" s="4">
        <v>654</v>
      </c>
      <c r="E8672" s="4">
        <v>152</v>
      </c>
      <c r="G8672">
        <f t="shared" si="135"/>
        <v>1272</v>
      </c>
    </row>
    <row r="8673" spans="2:7" ht="15" hidden="1" x14ac:dyDescent="0.25">
      <c r="B8673" s="4">
        <v>584678702</v>
      </c>
      <c r="C8673" s="4" t="s">
        <v>275</v>
      </c>
      <c r="D8673" s="4">
        <v>655</v>
      </c>
      <c r="E8673" s="4">
        <v>158</v>
      </c>
      <c r="G8673">
        <f t="shared" si="135"/>
        <v>1320</v>
      </c>
    </row>
    <row r="8674" spans="2:7" ht="15" hidden="1" x14ac:dyDescent="0.25">
      <c r="B8674" s="4">
        <v>584678705</v>
      </c>
      <c r="C8674" s="4" t="s">
        <v>275</v>
      </c>
      <c r="D8674" s="4">
        <v>656</v>
      </c>
      <c r="E8674" s="4">
        <v>154</v>
      </c>
      <c r="G8674">
        <f t="shared" si="135"/>
        <v>1288</v>
      </c>
    </row>
    <row r="8675" spans="2:7" ht="15" hidden="1" x14ac:dyDescent="0.25">
      <c r="B8675" s="4">
        <v>584678708</v>
      </c>
      <c r="C8675" s="4" t="s">
        <v>275</v>
      </c>
      <c r="D8675" s="4">
        <v>657</v>
      </c>
      <c r="E8675" s="4">
        <v>154</v>
      </c>
      <c r="G8675">
        <f t="shared" si="135"/>
        <v>1288</v>
      </c>
    </row>
    <row r="8676" spans="2:7" ht="15" hidden="1" x14ac:dyDescent="0.25">
      <c r="B8676" s="4">
        <v>584678711</v>
      </c>
      <c r="C8676" s="4" t="s">
        <v>275</v>
      </c>
      <c r="D8676" s="4">
        <v>658</v>
      </c>
      <c r="E8676" s="4">
        <v>154</v>
      </c>
      <c r="G8676">
        <f t="shared" si="135"/>
        <v>1288</v>
      </c>
    </row>
    <row r="8677" spans="2:7" ht="15" hidden="1" x14ac:dyDescent="0.25">
      <c r="B8677" s="4">
        <v>584678714</v>
      </c>
      <c r="C8677" s="4" t="s">
        <v>275</v>
      </c>
      <c r="D8677" s="4">
        <v>659</v>
      </c>
      <c r="E8677" s="4">
        <v>152</v>
      </c>
      <c r="G8677">
        <f t="shared" si="135"/>
        <v>1272</v>
      </c>
    </row>
    <row r="8678" spans="2:7" ht="15" hidden="1" x14ac:dyDescent="0.25">
      <c r="B8678" s="4">
        <v>584678717</v>
      </c>
      <c r="C8678" s="4" t="s">
        <v>275</v>
      </c>
      <c r="D8678" s="4">
        <v>660</v>
      </c>
      <c r="E8678" s="4">
        <v>148</v>
      </c>
      <c r="G8678">
        <f t="shared" si="135"/>
        <v>1240</v>
      </c>
    </row>
    <row r="8679" spans="2:7" ht="15" hidden="1" x14ac:dyDescent="0.25">
      <c r="B8679" s="4">
        <v>584678720</v>
      </c>
      <c r="C8679" s="4" t="s">
        <v>275</v>
      </c>
      <c r="D8679" s="4">
        <v>661</v>
      </c>
      <c r="E8679" s="4">
        <v>156</v>
      </c>
      <c r="G8679">
        <f t="shared" si="135"/>
        <v>1304</v>
      </c>
    </row>
    <row r="8680" spans="2:7" ht="15" hidden="1" x14ac:dyDescent="0.25">
      <c r="B8680" s="4">
        <v>584678723</v>
      </c>
      <c r="C8680" s="4" t="s">
        <v>275</v>
      </c>
      <c r="D8680" s="4">
        <v>662</v>
      </c>
      <c r="E8680" s="4">
        <v>156</v>
      </c>
      <c r="G8680">
        <f t="shared" si="135"/>
        <v>1304</v>
      </c>
    </row>
    <row r="8681" spans="2:7" ht="15" hidden="1" x14ac:dyDescent="0.25">
      <c r="B8681" s="4">
        <v>584678726</v>
      </c>
      <c r="C8681" s="4" t="s">
        <v>275</v>
      </c>
      <c r="D8681" s="4">
        <v>663</v>
      </c>
      <c r="E8681" s="4">
        <v>152</v>
      </c>
      <c r="G8681">
        <f t="shared" si="135"/>
        <v>1272</v>
      </c>
    </row>
    <row r="8682" spans="2:7" ht="15" hidden="1" x14ac:dyDescent="0.25">
      <c r="B8682" s="4">
        <v>584678729</v>
      </c>
      <c r="C8682" s="4" t="s">
        <v>275</v>
      </c>
      <c r="D8682" s="4">
        <v>664</v>
      </c>
      <c r="E8682" s="4">
        <v>156</v>
      </c>
      <c r="G8682">
        <f t="shared" si="135"/>
        <v>1304</v>
      </c>
    </row>
    <row r="8683" spans="2:7" ht="15" hidden="1" x14ac:dyDescent="0.25">
      <c r="B8683" s="4">
        <v>584678732</v>
      </c>
      <c r="C8683" s="4" t="s">
        <v>275</v>
      </c>
      <c r="D8683" s="4">
        <v>665</v>
      </c>
      <c r="E8683" s="4">
        <v>156</v>
      </c>
      <c r="G8683">
        <f t="shared" si="135"/>
        <v>1304</v>
      </c>
    </row>
    <row r="8684" spans="2:7" ht="15" hidden="1" x14ac:dyDescent="0.25">
      <c r="B8684" s="4">
        <v>584678735</v>
      </c>
      <c r="C8684" s="4" t="s">
        <v>275</v>
      </c>
      <c r="D8684" s="4">
        <v>666</v>
      </c>
      <c r="E8684" s="4">
        <v>150</v>
      </c>
      <c r="G8684">
        <f t="shared" si="135"/>
        <v>1256</v>
      </c>
    </row>
    <row r="8685" spans="2:7" ht="15" hidden="1" x14ac:dyDescent="0.25">
      <c r="B8685" s="4">
        <v>584678738</v>
      </c>
      <c r="C8685" s="4" t="s">
        <v>275</v>
      </c>
      <c r="D8685" s="4">
        <v>667</v>
      </c>
      <c r="E8685" s="4">
        <v>154</v>
      </c>
      <c r="G8685">
        <f t="shared" si="135"/>
        <v>1288</v>
      </c>
    </row>
    <row r="8686" spans="2:7" ht="15" hidden="1" x14ac:dyDescent="0.25">
      <c r="B8686" s="4">
        <v>584678741</v>
      </c>
      <c r="C8686" s="4" t="s">
        <v>275</v>
      </c>
      <c r="D8686" s="4">
        <v>668</v>
      </c>
      <c r="E8686" s="4">
        <v>154</v>
      </c>
      <c r="G8686">
        <f t="shared" si="135"/>
        <v>1288</v>
      </c>
    </row>
    <row r="8687" spans="2:7" ht="15" hidden="1" x14ac:dyDescent="0.25">
      <c r="B8687" s="4">
        <v>584678744</v>
      </c>
      <c r="C8687" s="4" t="s">
        <v>275</v>
      </c>
      <c r="D8687" s="4">
        <v>669</v>
      </c>
      <c r="E8687" s="4">
        <v>152</v>
      </c>
      <c r="G8687">
        <f t="shared" si="135"/>
        <v>1272</v>
      </c>
    </row>
    <row r="8688" spans="2:7" ht="15" hidden="1" x14ac:dyDescent="0.25">
      <c r="B8688" s="4">
        <v>584678747</v>
      </c>
      <c r="C8688" s="4" t="s">
        <v>275</v>
      </c>
      <c r="D8688" s="4">
        <v>670</v>
      </c>
      <c r="E8688" s="4">
        <v>146</v>
      </c>
      <c r="G8688">
        <f t="shared" si="135"/>
        <v>1224</v>
      </c>
    </row>
    <row r="8689" spans="2:7" ht="15" hidden="1" x14ac:dyDescent="0.25">
      <c r="B8689" s="4">
        <v>584678748</v>
      </c>
      <c r="C8689" s="4" t="s">
        <v>272</v>
      </c>
      <c r="D8689" s="4">
        <v>569</v>
      </c>
      <c r="E8689" s="4">
        <v>269</v>
      </c>
      <c r="G8689">
        <f t="shared" si="135"/>
        <v>2208</v>
      </c>
    </row>
    <row r="8690" spans="2:7" ht="15" hidden="1" x14ac:dyDescent="0.25">
      <c r="B8690" s="4">
        <v>584678751</v>
      </c>
      <c r="C8690" s="4" t="s">
        <v>275</v>
      </c>
      <c r="D8690" s="4">
        <v>671</v>
      </c>
      <c r="E8690" s="4">
        <v>152</v>
      </c>
      <c r="G8690">
        <f t="shared" si="135"/>
        <v>1272</v>
      </c>
    </row>
    <row r="8691" spans="2:7" ht="15" hidden="1" x14ac:dyDescent="0.25">
      <c r="B8691" s="4">
        <v>584678754</v>
      </c>
      <c r="C8691" s="4" t="s">
        <v>275</v>
      </c>
      <c r="D8691" s="4">
        <v>672</v>
      </c>
      <c r="E8691" s="4">
        <v>156</v>
      </c>
      <c r="G8691">
        <f t="shared" si="135"/>
        <v>1304</v>
      </c>
    </row>
    <row r="8692" spans="2:7" ht="15" hidden="1" x14ac:dyDescent="0.25">
      <c r="B8692" s="4">
        <v>584678756</v>
      </c>
      <c r="C8692" s="4" t="s">
        <v>268</v>
      </c>
      <c r="D8692" s="4">
        <v>335</v>
      </c>
      <c r="E8692" s="4">
        <v>13</v>
      </c>
      <c r="G8692">
        <f t="shared" si="135"/>
        <v>160</v>
      </c>
    </row>
    <row r="8693" spans="2:7" ht="15" hidden="1" x14ac:dyDescent="0.25">
      <c r="B8693" s="4">
        <v>584678756</v>
      </c>
      <c r="C8693" s="4" t="s">
        <v>268</v>
      </c>
      <c r="D8693" s="4">
        <v>335</v>
      </c>
      <c r="E8693" s="4">
        <v>13</v>
      </c>
      <c r="G8693">
        <f t="shared" si="135"/>
        <v>160</v>
      </c>
    </row>
    <row r="8694" spans="2:7" ht="15" hidden="1" x14ac:dyDescent="0.25">
      <c r="B8694" s="4">
        <v>584678756</v>
      </c>
      <c r="C8694" s="4" t="s">
        <v>268</v>
      </c>
      <c r="D8694" s="4">
        <v>336</v>
      </c>
      <c r="E8694" s="4">
        <v>7</v>
      </c>
      <c r="G8694">
        <f t="shared" si="135"/>
        <v>112</v>
      </c>
    </row>
    <row r="8695" spans="2:7" ht="15" hidden="1" x14ac:dyDescent="0.25">
      <c r="B8695" s="4">
        <v>584678756</v>
      </c>
      <c r="C8695" s="4" t="s">
        <v>268</v>
      </c>
      <c r="D8695" s="4">
        <v>336</v>
      </c>
      <c r="E8695" s="4">
        <v>7</v>
      </c>
      <c r="G8695">
        <f t="shared" si="135"/>
        <v>112</v>
      </c>
    </row>
    <row r="8696" spans="2:7" ht="15" hidden="1" x14ac:dyDescent="0.25">
      <c r="B8696" s="4">
        <v>584678786</v>
      </c>
      <c r="C8696" s="4" t="s">
        <v>279</v>
      </c>
      <c r="D8696" s="4">
        <v>228</v>
      </c>
      <c r="E8696" s="4">
        <v>275</v>
      </c>
      <c r="G8696">
        <f t="shared" si="135"/>
        <v>2256</v>
      </c>
    </row>
    <row r="8697" spans="2:7" ht="15" hidden="1" x14ac:dyDescent="0.25">
      <c r="B8697" s="4">
        <v>584678809</v>
      </c>
      <c r="C8697" s="4" t="s">
        <v>277</v>
      </c>
      <c r="D8697" s="4">
        <v>228</v>
      </c>
      <c r="E8697" s="4">
        <v>57</v>
      </c>
      <c r="G8697">
        <f t="shared" si="135"/>
        <v>512</v>
      </c>
    </row>
    <row r="8698" spans="2:7" ht="15" hidden="1" x14ac:dyDescent="0.25">
      <c r="B8698" s="4">
        <v>584678816</v>
      </c>
      <c r="C8698" s="4" t="s">
        <v>273</v>
      </c>
      <c r="D8698" s="4">
        <v>2495</v>
      </c>
      <c r="E8698" s="4">
        <v>317</v>
      </c>
      <c r="G8698">
        <f t="shared" si="135"/>
        <v>2592</v>
      </c>
    </row>
    <row r="8699" spans="2:7" ht="15" hidden="1" x14ac:dyDescent="0.25">
      <c r="B8699" s="4">
        <v>584678848</v>
      </c>
      <c r="C8699" s="4" t="s">
        <v>272</v>
      </c>
      <c r="D8699" s="4">
        <v>570</v>
      </c>
      <c r="E8699" s="4">
        <v>267</v>
      </c>
      <c r="G8699">
        <f t="shared" si="135"/>
        <v>2192</v>
      </c>
    </row>
    <row r="8700" spans="2:7" ht="15" hidden="1" x14ac:dyDescent="0.25">
      <c r="B8700" s="4">
        <v>584678924</v>
      </c>
      <c r="C8700" s="4" t="s">
        <v>279</v>
      </c>
      <c r="D8700" s="4">
        <v>229</v>
      </c>
      <c r="E8700" s="4">
        <v>263</v>
      </c>
      <c r="G8700">
        <f t="shared" si="135"/>
        <v>2160</v>
      </c>
    </row>
    <row r="8701" spans="2:7" ht="15" hidden="1" x14ac:dyDescent="0.25">
      <c r="B8701" s="4">
        <v>584678947</v>
      </c>
      <c r="C8701" s="4" t="s">
        <v>277</v>
      </c>
      <c r="D8701" s="4">
        <v>229</v>
      </c>
      <c r="E8701" s="4">
        <v>59</v>
      </c>
      <c r="G8701">
        <f t="shared" si="135"/>
        <v>528</v>
      </c>
    </row>
    <row r="8702" spans="2:7" ht="15" hidden="1" x14ac:dyDescent="0.25">
      <c r="B8702" s="4">
        <v>584678948</v>
      </c>
      <c r="C8702" s="4" t="s">
        <v>272</v>
      </c>
      <c r="D8702" s="4">
        <v>571</v>
      </c>
      <c r="E8702" s="4">
        <v>257</v>
      </c>
      <c r="G8702">
        <f t="shared" si="135"/>
        <v>2112</v>
      </c>
    </row>
    <row r="8703" spans="2:7" ht="15" hidden="1" x14ac:dyDescent="0.25">
      <c r="B8703" s="4">
        <v>584679048</v>
      </c>
      <c r="C8703" s="4" t="s">
        <v>272</v>
      </c>
      <c r="D8703" s="4">
        <v>572</v>
      </c>
      <c r="E8703" s="4">
        <v>263</v>
      </c>
      <c r="G8703">
        <f t="shared" si="135"/>
        <v>2160</v>
      </c>
    </row>
    <row r="8704" spans="2:7" ht="15" hidden="1" x14ac:dyDescent="0.25">
      <c r="B8704" s="4">
        <v>584679148</v>
      </c>
      <c r="C8704" s="4" t="s">
        <v>272</v>
      </c>
      <c r="D8704" s="4">
        <v>573</v>
      </c>
      <c r="E8704" s="4">
        <v>277</v>
      </c>
      <c r="G8704">
        <f t="shared" si="135"/>
        <v>2272</v>
      </c>
    </row>
    <row r="8705" spans="2:7" ht="15" hidden="1" x14ac:dyDescent="0.25">
      <c r="B8705" s="4">
        <v>584679177</v>
      </c>
      <c r="C8705" s="4" t="s">
        <v>279</v>
      </c>
      <c r="D8705" s="4">
        <v>230</v>
      </c>
      <c r="E8705" s="4">
        <v>275</v>
      </c>
      <c r="G8705">
        <f t="shared" si="135"/>
        <v>2256</v>
      </c>
    </row>
    <row r="8706" spans="2:7" ht="15" hidden="1" x14ac:dyDescent="0.25">
      <c r="B8706" s="4">
        <v>584679200</v>
      </c>
      <c r="C8706" s="4" t="s">
        <v>277</v>
      </c>
      <c r="D8706" s="4">
        <v>230</v>
      </c>
      <c r="E8706" s="4">
        <v>61</v>
      </c>
      <c r="G8706">
        <f t="shared" si="135"/>
        <v>544</v>
      </c>
    </row>
    <row r="8707" spans="2:7" ht="15" hidden="1" x14ac:dyDescent="0.25">
      <c r="B8707" s="4">
        <v>584679248</v>
      </c>
      <c r="C8707" s="4" t="s">
        <v>272</v>
      </c>
      <c r="D8707" s="4">
        <v>574</v>
      </c>
      <c r="E8707" s="4">
        <v>261</v>
      </c>
      <c r="G8707">
        <f t="shared" si="135"/>
        <v>2144</v>
      </c>
    </row>
    <row r="8708" spans="2:7" ht="15" hidden="1" x14ac:dyDescent="0.25">
      <c r="B8708" s="4">
        <v>584679315</v>
      </c>
      <c r="C8708" s="4" t="s">
        <v>279</v>
      </c>
      <c r="D8708" s="4">
        <v>231</v>
      </c>
      <c r="E8708" s="4">
        <v>247</v>
      </c>
      <c r="G8708">
        <f t="shared" ref="G8708:G8771" si="136">(E8708+7)*8</f>
        <v>2032</v>
      </c>
    </row>
    <row r="8709" spans="2:7" ht="15" hidden="1" x14ac:dyDescent="0.25">
      <c r="B8709" s="4">
        <v>584679338</v>
      </c>
      <c r="C8709" s="4" t="s">
        <v>277</v>
      </c>
      <c r="D8709" s="4">
        <v>231</v>
      </c>
      <c r="E8709" s="4">
        <v>59</v>
      </c>
      <c r="G8709">
        <f t="shared" si="136"/>
        <v>528</v>
      </c>
    </row>
    <row r="8710" spans="2:7" ht="15" hidden="1" x14ac:dyDescent="0.25">
      <c r="B8710" s="4">
        <v>584679348</v>
      </c>
      <c r="C8710" s="4" t="s">
        <v>272</v>
      </c>
      <c r="D8710" s="4">
        <v>575</v>
      </c>
      <c r="E8710" s="4">
        <v>261</v>
      </c>
      <c r="G8710">
        <f t="shared" si="136"/>
        <v>2144</v>
      </c>
    </row>
    <row r="8711" spans="2:7" ht="15" hidden="1" x14ac:dyDescent="0.25">
      <c r="B8711" s="4">
        <v>584679448</v>
      </c>
      <c r="C8711" s="4" t="s">
        <v>272</v>
      </c>
      <c r="D8711" s="4">
        <v>576</v>
      </c>
      <c r="E8711" s="4">
        <v>263</v>
      </c>
      <c r="G8711">
        <f t="shared" si="136"/>
        <v>2160</v>
      </c>
    </row>
    <row r="8712" spans="2:7" ht="15" hidden="1" x14ac:dyDescent="0.25">
      <c r="B8712" s="4">
        <v>584679545</v>
      </c>
      <c r="C8712" s="4" t="s">
        <v>279</v>
      </c>
      <c r="D8712" s="4">
        <v>232</v>
      </c>
      <c r="E8712" s="4">
        <v>263</v>
      </c>
      <c r="G8712">
        <f t="shared" si="136"/>
        <v>2160</v>
      </c>
    </row>
    <row r="8713" spans="2:7" ht="15" hidden="1" x14ac:dyDescent="0.25">
      <c r="B8713" s="4">
        <v>584679548</v>
      </c>
      <c r="C8713" s="4" t="s">
        <v>272</v>
      </c>
      <c r="D8713" s="4">
        <v>577</v>
      </c>
      <c r="E8713" s="4">
        <v>259</v>
      </c>
      <c r="G8713">
        <f t="shared" si="136"/>
        <v>2128</v>
      </c>
    </row>
    <row r="8714" spans="2:7" ht="15" hidden="1" x14ac:dyDescent="0.25">
      <c r="B8714" s="4">
        <v>584679568</v>
      </c>
      <c r="C8714" s="4" t="s">
        <v>277</v>
      </c>
      <c r="D8714" s="4">
        <v>232</v>
      </c>
      <c r="E8714" s="4">
        <v>59</v>
      </c>
      <c r="G8714">
        <f t="shared" si="136"/>
        <v>528</v>
      </c>
    </row>
    <row r="8715" spans="2:7" ht="15" hidden="1" x14ac:dyDescent="0.25">
      <c r="B8715" s="4">
        <v>584679648</v>
      </c>
      <c r="C8715" s="4" t="s">
        <v>272</v>
      </c>
      <c r="D8715" s="4">
        <v>578</v>
      </c>
      <c r="E8715" s="4">
        <v>265</v>
      </c>
      <c r="G8715">
        <f t="shared" si="136"/>
        <v>2176</v>
      </c>
    </row>
    <row r="8716" spans="2:7" ht="15" hidden="1" x14ac:dyDescent="0.25">
      <c r="B8716" s="4">
        <v>584679748</v>
      </c>
      <c r="C8716" s="4" t="s">
        <v>272</v>
      </c>
      <c r="D8716" s="4">
        <v>579</v>
      </c>
      <c r="E8716" s="4">
        <v>277</v>
      </c>
      <c r="G8716">
        <f t="shared" si="136"/>
        <v>2272</v>
      </c>
    </row>
    <row r="8717" spans="2:7" ht="15" hidden="1" x14ac:dyDescent="0.25">
      <c r="B8717" s="4">
        <v>584679798</v>
      </c>
      <c r="C8717" s="4" t="s">
        <v>279</v>
      </c>
      <c r="D8717" s="4">
        <v>233</v>
      </c>
      <c r="E8717" s="4">
        <v>243</v>
      </c>
      <c r="G8717">
        <f t="shared" si="136"/>
        <v>2000</v>
      </c>
    </row>
    <row r="8718" spans="2:7" ht="15" hidden="1" x14ac:dyDescent="0.25">
      <c r="B8718" s="4">
        <v>584679821</v>
      </c>
      <c r="C8718" s="4" t="s">
        <v>277</v>
      </c>
      <c r="D8718" s="4">
        <v>233</v>
      </c>
      <c r="E8718" s="4">
        <v>59</v>
      </c>
      <c r="G8718">
        <f t="shared" si="136"/>
        <v>528</v>
      </c>
    </row>
    <row r="8719" spans="2:7" ht="15" hidden="1" x14ac:dyDescent="0.25">
      <c r="B8719" s="4">
        <v>584679848</v>
      </c>
      <c r="C8719" s="4" t="s">
        <v>272</v>
      </c>
      <c r="D8719" s="4">
        <v>580</v>
      </c>
      <c r="E8719" s="4">
        <v>277</v>
      </c>
      <c r="G8719">
        <f t="shared" si="136"/>
        <v>2272</v>
      </c>
    </row>
    <row r="8720" spans="2:7" ht="15" hidden="1" x14ac:dyDescent="0.25">
      <c r="B8720" s="4">
        <v>584679936</v>
      </c>
      <c r="C8720" s="4" t="s">
        <v>279</v>
      </c>
      <c r="D8720" s="4">
        <v>234</v>
      </c>
      <c r="E8720" s="4">
        <v>263</v>
      </c>
      <c r="G8720">
        <f t="shared" si="136"/>
        <v>2160</v>
      </c>
    </row>
    <row r="8721" spans="2:7" ht="15" hidden="1" x14ac:dyDescent="0.25">
      <c r="B8721" s="4">
        <v>584679948</v>
      </c>
      <c r="C8721" s="4" t="s">
        <v>272</v>
      </c>
      <c r="D8721" s="4">
        <v>581</v>
      </c>
      <c r="E8721" s="4">
        <v>275</v>
      </c>
      <c r="G8721">
        <f t="shared" si="136"/>
        <v>2256</v>
      </c>
    </row>
    <row r="8722" spans="2:7" ht="15" hidden="1" x14ac:dyDescent="0.25">
      <c r="B8722" s="4">
        <v>584679959</v>
      </c>
      <c r="C8722" s="4" t="s">
        <v>277</v>
      </c>
      <c r="D8722" s="4">
        <v>234</v>
      </c>
      <c r="E8722" s="4">
        <v>63</v>
      </c>
      <c r="G8722">
        <f t="shared" si="136"/>
        <v>560</v>
      </c>
    </row>
    <row r="8723" spans="2:7" ht="15" hidden="1" x14ac:dyDescent="0.25">
      <c r="B8723" s="4">
        <v>584680048</v>
      </c>
      <c r="C8723" s="4" t="s">
        <v>272</v>
      </c>
      <c r="D8723" s="4">
        <v>582</v>
      </c>
      <c r="E8723" s="4">
        <v>259</v>
      </c>
      <c r="G8723">
        <f t="shared" si="136"/>
        <v>2128</v>
      </c>
    </row>
    <row r="8724" spans="2:7" ht="15" hidden="1" x14ac:dyDescent="0.25">
      <c r="B8724" s="4">
        <v>584680144</v>
      </c>
      <c r="C8724" s="4" t="s">
        <v>269</v>
      </c>
      <c r="D8724" s="4">
        <v>1641</v>
      </c>
      <c r="E8724" s="4">
        <v>57</v>
      </c>
      <c r="G8724">
        <f t="shared" si="136"/>
        <v>512</v>
      </c>
    </row>
    <row r="8725" spans="2:7" ht="15" hidden="1" x14ac:dyDescent="0.25">
      <c r="B8725" s="4">
        <v>584680148</v>
      </c>
      <c r="C8725" s="4" t="s">
        <v>272</v>
      </c>
      <c r="D8725" s="4">
        <v>583</v>
      </c>
      <c r="E8725" s="4">
        <v>267</v>
      </c>
      <c r="G8725">
        <f t="shared" si="136"/>
        <v>2192</v>
      </c>
    </row>
    <row r="8726" spans="2:7" ht="15" hidden="1" x14ac:dyDescent="0.25">
      <c r="B8726" s="4">
        <v>584680189</v>
      </c>
      <c r="C8726" s="4" t="s">
        <v>279</v>
      </c>
      <c r="D8726" s="4">
        <v>235</v>
      </c>
      <c r="E8726" s="4">
        <v>273</v>
      </c>
      <c r="G8726">
        <f t="shared" si="136"/>
        <v>2240</v>
      </c>
    </row>
    <row r="8727" spans="2:7" ht="15" hidden="1" x14ac:dyDescent="0.25">
      <c r="B8727" s="4">
        <v>584680212</v>
      </c>
      <c r="C8727" s="4" t="s">
        <v>277</v>
      </c>
      <c r="D8727" s="4">
        <v>235</v>
      </c>
      <c r="E8727" s="4">
        <v>59</v>
      </c>
      <c r="G8727">
        <f t="shared" si="136"/>
        <v>528</v>
      </c>
    </row>
    <row r="8728" spans="2:7" ht="15" hidden="1" x14ac:dyDescent="0.25">
      <c r="B8728" s="4">
        <v>584680248</v>
      </c>
      <c r="C8728" s="4" t="s">
        <v>272</v>
      </c>
      <c r="D8728" s="4">
        <v>584</v>
      </c>
      <c r="E8728" s="4">
        <v>271</v>
      </c>
      <c r="G8728">
        <f t="shared" si="136"/>
        <v>2224</v>
      </c>
    </row>
    <row r="8729" spans="2:7" ht="15" hidden="1" x14ac:dyDescent="0.25">
      <c r="B8729" s="4">
        <v>584680327</v>
      </c>
      <c r="C8729" s="4" t="s">
        <v>279</v>
      </c>
      <c r="D8729" s="4">
        <v>236</v>
      </c>
      <c r="E8729" s="4">
        <v>267</v>
      </c>
      <c r="G8729">
        <f t="shared" si="136"/>
        <v>2192</v>
      </c>
    </row>
    <row r="8730" spans="2:7" ht="15" hidden="1" x14ac:dyDescent="0.25">
      <c r="B8730" s="4">
        <v>584680348</v>
      </c>
      <c r="C8730" s="4" t="s">
        <v>272</v>
      </c>
      <c r="D8730" s="4">
        <v>585</v>
      </c>
      <c r="E8730" s="4">
        <v>271</v>
      </c>
      <c r="G8730">
        <f t="shared" si="136"/>
        <v>2224</v>
      </c>
    </row>
    <row r="8731" spans="2:7" ht="15" hidden="1" x14ac:dyDescent="0.25">
      <c r="B8731" s="4">
        <v>584680350</v>
      </c>
      <c r="C8731" s="4" t="s">
        <v>277</v>
      </c>
      <c r="D8731" s="4">
        <v>236</v>
      </c>
      <c r="E8731" s="4">
        <v>53</v>
      </c>
      <c r="G8731">
        <f t="shared" si="136"/>
        <v>480</v>
      </c>
    </row>
    <row r="8732" spans="2:7" ht="15" hidden="1" x14ac:dyDescent="0.25">
      <c r="B8732" s="4">
        <v>584680448</v>
      </c>
      <c r="C8732" s="4" t="s">
        <v>272</v>
      </c>
      <c r="D8732" s="4">
        <v>586</v>
      </c>
      <c r="E8732" s="4">
        <v>271</v>
      </c>
      <c r="G8732">
        <f t="shared" si="136"/>
        <v>2224</v>
      </c>
    </row>
    <row r="8733" spans="2:7" ht="15" hidden="1" x14ac:dyDescent="0.25">
      <c r="B8733" s="4">
        <v>584680548</v>
      </c>
      <c r="C8733" s="4" t="s">
        <v>272</v>
      </c>
      <c r="D8733" s="4">
        <v>587</v>
      </c>
      <c r="E8733" s="4">
        <v>265</v>
      </c>
      <c r="G8733">
        <f t="shared" si="136"/>
        <v>2176</v>
      </c>
    </row>
    <row r="8734" spans="2:7" ht="15" hidden="1" x14ac:dyDescent="0.25">
      <c r="B8734" s="4">
        <v>584680580</v>
      </c>
      <c r="C8734" s="4" t="s">
        <v>279</v>
      </c>
      <c r="D8734" s="4">
        <v>237</v>
      </c>
      <c r="E8734" s="4">
        <v>261</v>
      </c>
      <c r="G8734">
        <f t="shared" si="136"/>
        <v>2144</v>
      </c>
    </row>
    <row r="8735" spans="2:7" ht="15" hidden="1" x14ac:dyDescent="0.25">
      <c r="B8735" s="4">
        <v>584680603</v>
      </c>
      <c r="C8735" s="4" t="s">
        <v>277</v>
      </c>
      <c r="D8735" s="4">
        <v>237</v>
      </c>
      <c r="E8735" s="4">
        <v>59</v>
      </c>
      <c r="G8735">
        <f t="shared" si="136"/>
        <v>528</v>
      </c>
    </row>
    <row r="8736" spans="2:7" ht="15" hidden="1" x14ac:dyDescent="0.25">
      <c r="B8736" s="4">
        <v>584680648</v>
      </c>
      <c r="C8736" s="4" t="s">
        <v>272</v>
      </c>
      <c r="D8736" s="4">
        <v>588</v>
      </c>
      <c r="E8736" s="4">
        <v>271</v>
      </c>
      <c r="G8736">
        <f t="shared" si="136"/>
        <v>2224</v>
      </c>
    </row>
    <row r="8737" spans="2:7" ht="15" hidden="1" x14ac:dyDescent="0.25">
      <c r="B8737" s="4">
        <v>584680718</v>
      </c>
      <c r="C8737" s="4" t="s">
        <v>279</v>
      </c>
      <c r="D8737" s="4">
        <v>238</v>
      </c>
      <c r="E8737" s="4">
        <v>259</v>
      </c>
      <c r="G8737">
        <f t="shared" si="136"/>
        <v>2128</v>
      </c>
    </row>
    <row r="8738" spans="2:7" ht="15" hidden="1" x14ac:dyDescent="0.25">
      <c r="B8738" s="4">
        <v>584680741</v>
      </c>
      <c r="C8738" s="4" t="s">
        <v>277</v>
      </c>
      <c r="D8738" s="4">
        <v>238</v>
      </c>
      <c r="E8738" s="4">
        <v>61</v>
      </c>
      <c r="G8738">
        <f t="shared" si="136"/>
        <v>544</v>
      </c>
    </row>
    <row r="8739" spans="2:7" ht="15" hidden="1" x14ac:dyDescent="0.25">
      <c r="B8739" s="4">
        <v>584680748</v>
      </c>
      <c r="C8739" s="4" t="s">
        <v>272</v>
      </c>
      <c r="D8739" s="4">
        <v>589</v>
      </c>
      <c r="E8739" s="4">
        <v>259</v>
      </c>
      <c r="G8739">
        <f t="shared" si="136"/>
        <v>2128</v>
      </c>
    </row>
    <row r="8740" spans="2:7" ht="15" hidden="1" x14ac:dyDescent="0.25">
      <c r="B8740" s="4">
        <v>584680848</v>
      </c>
      <c r="C8740" s="4" t="s">
        <v>272</v>
      </c>
      <c r="D8740" s="4">
        <v>590</v>
      </c>
      <c r="E8740" s="4">
        <v>267</v>
      </c>
      <c r="G8740">
        <f t="shared" si="136"/>
        <v>2192</v>
      </c>
    </row>
    <row r="8741" spans="2:7" ht="15" hidden="1" x14ac:dyDescent="0.25">
      <c r="B8741" s="4">
        <v>584680917</v>
      </c>
      <c r="C8741" s="4" t="s">
        <v>273</v>
      </c>
      <c r="D8741" s="4">
        <v>4596</v>
      </c>
      <c r="E8741" s="4">
        <v>317</v>
      </c>
      <c r="G8741">
        <f t="shared" si="136"/>
        <v>2592</v>
      </c>
    </row>
    <row r="8742" spans="2:7" ht="15" hidden="1" x14ac:dyDescent="0.25">
      <c r="B8742" s="4">
        <v>584680948</v>
      </c>
      <c r="C8742" s="4" t="s">
        <v>272</v>
      </c>
      <c r="D8742" s="4">
        <v>591</v>
      </c>
      <c r="E8742" s="4">
        <v>269</v>
      </c>
      <c r="G8742">
        <f t="shared" si="136"/>
        <v>2208</v>
      </c>
    </row>
    <row r="8743" spans="2:7" ht="15" hidden="1" x14ac:dyDescent="0.25">
      <c r="B8743" s="4">
        <v>584680948</v>
      </c>
      <c r="C8743" s="4" t="s">
        <v>279</v>
      </c>
      <c r="D8743" s="4">
        <v>239</v>
      </c>
      <c r="E8743" s="4">
        <v>269</v>
      </c>
      <c r="G8743">
        <f t="shared" si="136"/>
        <v>2208</v>
      </c>
    </row>
    <row r="8744" spans="2:7" ht="15" hidden="1" x14ac:dyDescent="0.25">
      <c r="B8744" s="4">
        <v>584680971</v>
      </c>
      <c r="C8744" s="4" t="s">
        <v>277</v>
      </c>
      <c r="D8744" s="4">
        <v>239</v>
      </c>
      <c r="E8744" s="4">
        <v>63</v>
      </c>
      <c r="G8744">
        <f t="shared" si="136"/>
        <v>560</v>
      </c>
    </row>
    <row r="8745" spans="2:7" ht="15" hidden="1" x14ac:dyDescent="0.25">
      <c r="B8745" s="4">
        <v>584681048</v>
      </c>
      <c r="C8745" s="4" t="s">
        <v>272</v>
      </c>
      <c r="D8745" s="4">
        <v>592</v>
      </c>
      <c r="E8745" s="4">
        <v>257</v>
      </c>
      <c r="G8745">
        <f t="shared" si="136"/>
        <v>2112</v>
      </c>
    </row>
    <row r="8746" spans="2:7" ht="15" hidden="1" x14ac:dyDescent="0.25">
      <c r="B8746" s="4">
        <v>584681086</v>
      </c>
      <c r="C8746" s="4" t="s">
        <v>279</v>
      </c>
      <c r="D8746" s="4">
        <v>240</v>
      </c>
      <c r="E8746" s="4">
        <v>259</v>
      </c>
      <c r="G8746">
        <f t="shared" si="136"/>
        <v>2128</v>
      </c>
    </row>
    <row r="8747" spans="2:7" ht="15" hidden="1" x14ac:dyDescent="0.25">
      <c r="B8747" s="4">
        <v>584681109</v>
      </c>
      <c r="C8747" s="4" t="s">
        <v>277</v>
      </c>
      <c r="D8747" s="4">
        <v>240</v>
      </c>
      <c r="E8747" s="4">
        <v>59</v>
      </c>
      <c r="G8747">
        <f t="shared" si="136"/>
        <v>528</v>
      </c>
    </row>
    <row r="8748" spans="2:7" ht="15" hidden="1" x14ac:dyDescent="0.25">
      <c r="B8748" s="4">
        <v>584681148</v>
      </c>
      <c r="C8748" s="4" t="s">
        <v>272</v>
      </c>
      <c r="D8748" s="4">
        <v>593</v>
      </c>
      <c r="E8748" s="4">
        <v>267</v>
      </c>
      <c r="G8748">
        <f t="shared" si="136"/>
        <v>2192</v>
      </c>
    </row>
    <row r="8749" spans="2:7" ht="15" hidden="1" x14ac:dyDescent="0.25">
      <c r="B8749" s="4">
        <v>584681248</v>
      </c>
      <c r="C8749" s="4" t="s">
        <v>272</v>
      </c>
      <c r="D8749" s="4">
        <v>594</v>
      </c>
      <c r="E8749" s="4">
        <v>273</v>
      </c>
      <c r="G8749">
        <f t="shared" si="136"/>
        <v>2240</v>
      </c>
    </row>
    <row r="8750" spans="2:7" ht="15" hidden="1" x14ac:dyDescent="0.25">
      <c r="B8750" s="4">
        <v>584681339</v>
      </c>
      <c r="C8750" s="4" t="s">
        <v>279</v>
      </c>
      <c r="D8750" s="4">
        <v>241</v>
      </c>
      <c r="E8750" s="4">
        <v>257</v>
      </c>
      <c r="G8750">
        <f t="shared" si="136"/>
        <v>2112</v>
      </c>
    </row>
    <row r="8751" spans="2:7" ht="15" hidden="1" x14ac:dyDescent="0.25">
      <c r="B8751" s="4">
        <v>584681348</v>
      </c>
      <c r="C8751" s="4" t="s">
        <v>272</v>
      </c>
      <c r="D8751" s="4">
        <v>595</v>
      </c>
      <c r="E8751" s="4">
        <v>263</v>
      </c>
      <c r="G8751">
        <f t="shared" si="136"/>
        <v>2160</v>
      </c>
    </row>
    <row r="8752" spans="2:7" ht="15" hidden="1" x14ac:dyDescent="0.25">
      <c r="B8752" s="4">
        <v>584681362</v>
      </c>
      <c r="C8752" s="4" t="s">
        <v>277</v>
      </c>
      <c r="D8752" s="4">
        <v>241</v>
      </c>
      <c r="E8752" s="4">
        <v>59</v>
      </c>
      <c r="G8752">
        <f t="shared" si="136"/>
        <v>528</v>
      </c>
    </row>
    <row r="8753" spans="2:7" ht="15" hidden="1" x14ac:dyDescent="0.25">
      <c r="B8753" s="4">
        <v>584681448</v>
      </c>
      <c r="C8753" s="4" t="s">
        <v>272</v>
      </c>
      <c r="D8753" s="4">
        <v>596</v>
      </c>
      <c r="E8753" s="4">
        <v>267</v>
      </c>
      <c r="G8753">
        <f t="shared" si="136"/>
        <v>2192</v>
      </c>
    </row>
    <row r="8754" spans="2:7" ht="15" hidden="1" x14ac:dyDescent="0.25">
      <c r="B8754" s="4">
        <v>584681477</v>
      </c>
      <c r="C8754" s="4" t="s">
        <v>279</v>
      </c>
      <c r="D8754" s="4">
        <v>242</v>
      </c>
      <c r="E8754" s="4">
        <v>273</v>
      </c>
      <c r="G8754">
        <f t="shared" si="136"/>
        <v>2240</v>
      </c>
    </row>
    <row r="8755" spans="2:7" ht="15" hidden="1" x14ac:dyDescent="0.25">
      <c r="B8755" s="4">
        <v>584681500</v>
      </c>
      <c r="C8755" s="4" t="s">
        <v>277</v>
      </c>
      <c r="D8755" s="4">
        <v>242</v>
      </c>
      <c r="E8755" s="4">
        <v>61</v>
      </c>
      <c r="G8755">
        <f t="shared" si="136"/>
        <v>544</v>
      </c>
    </row>
    <row r="8756" spans="2:7" ht="15" hidden="1" x14ac:dyDescent="0.25">
      <c r="B8756" s="4">
        <v>584681548</v>
      </c>
      <c r="C8756" s="4" t="s">
        <v>272</v>
      </c>
      <c r="D8756" s="4">
        <v>597</v>
      </c>
      <c r="E8756" s="4">
        <v>273</v>
      </c>
      <c r="G8756">
        <f t="shared" si="136"/>
        <v>2240</v>
      </c>
    </row>
    <row r="8757" spans="2:7" ht="15" hidden="1" x14ac:dyDescent="0.25">
      <c r="B8757" s="4">
        <v>584681648</v>
      </c>
      <c r="C8757" s="4" t="s">
        <v>272</v>
      </c>
      <c r="D8757" s="4">
        <v>598</v>
      </c>
      <c r="E8757" s="4">
        <v>281</v>
      </c>
      <c r="G8757">
        <f t="shared" si="136"/>
        <v>2304</v>
      </c>
    </row>
    <row r="8758" spans="2:7" ht="15" hidden="1" x14ac:dyDescent="0.25">
      <c r="B8758" s="4">
        <v>584681730</v>
      </c>
      <c r="C8758" s="4" t="s">
        <v>279</v>
      </c>
      <c r="D8758" s="4">
        <v>243</v>
      </c>
      <c r="E8758" s="4">
        <v>279</v>
      </c>
      <c r="G8758">
        <f t="shared" si="136"/>
        <v>2288</v>
      </c>
    </row>
    <row r="8759" spans="2:7" ht="15" hidden="1" x14ac:dyDescent="0.25">
      <c r="B8759" s="4">
        <v>584681748</v>
      </c>
      <c r="C8759" s="4" t="s">
        <v>272</v>
      </c>
      <c r="D8759" s="4">
        <v>599</v>
      </c>
      <c r="E8759" s="4">
        <v>273</v>
      </c>
      <c r="G8759">
        <f t="shared" si="136"/>
        <v>2240</v>
      </c>
    </row>
    <row r="8760" spans="2:7" ht="15" hidden="1" x14ac:dyDescent="0.25">
      <c r="B8760" s="4">
        <v>584681753</v>
      </c>
      <c r="C8760" s="4" t="s">
        <v>277</v>
      </c>
      <c r="D8760" s="4">
        <v>243</v>
      </c>
      <c r="E8760" s="4">
        <v>65</v>
      </c>
      <c r="G8760">
        <f t="shared" si="136"/>
        <v>576</v>
      </c>
    </row>
    <row r="8761" spans="2:7" ht="15" hidden="1" x14ac:dyDescent="0.25">
      <c r="B8761" s="4">
        <v>584681848</v>
      </c>
      <c r="C8761" s="4" t="s">
        <v>272</v>
      </c>
      <c r="D8761" s="4">
        <v>600</v>
      </c>
      <c r="E8761" s="4">
        <v>267</v>
      </c>
      <c r="G8761">
        <f t="shared" si="136"/>
        <v>2192</v>
      </c>
    </row>
    <row r="8762" spans="2:7" ht="15" hidden="1" x14ac:dyDescent="0.25">
      <c r="B8762" s="4">
        <v>584681868</v>
      </c>
      <c r="C8762" s="4" t="s">
        <v>279</v>
      </c>
      <c r="D8762" s="4">
        <v>244</v>
      </c>
      <c r="E8762" s="4">
        <v>279</v>
      </c>
      <c r="G8762">
        <f t="shared" si="136"/>
        <v>2288</v>
      </c>
    </row>
    <row r="8763" spans="2:7" ht="15" hidden="1" x14ac:dyDescent="0.25">
      <c r="B8763" s="4">
        <v>584681891</v>
      </c>
      <c r="C8763" s="4" t="s">
        <v>277</v>
      </c>
      <c r="D8763" s="4">
        <v>244</v>
      </c>
      <c r="E8763" s="4">
        <v>61</v>
      </c>
      <c r="G8763">
        <f t="shared" si="136"/>
        <v>544</v>
      </c>
    </row>
    <row r="8764" spans="2:7" ht="15" hidden="1" x14ac:dyDescent="0.25">
      <c r="B8764" s="4">
        <v>584681944</v>
      </c>
      <c r="C8764" s="4" t="s">
        <v>269</v>
      </c>
      <c r="D8764" s="4">
        <v>1642</v>
      </c>
      <c r="E8764" s="4">
        <v>57</v>
      </c>
      <c r="G8764">
        <f t="shared" si="136"/>
        <v>512</v>
      </c>
    </row>
    <row r="8765" spans="2:7" ht="15" hidden="1" x14ac:dyDescent="0.25">
      <c r="B8765" s="4">
        <v>584681948</v>
      </c>
      <c r="C8765" s="4" t="s">
        <v>272</v>
      </c>
      <c r="D8765" s="4">
        <v>601</v>
      </c>
      <c r="E8765" s="4">
        <v>269</v>
      </c>
      <c r="G8765">
        <f t="shared" si="136"/>
        <v>2208</v>
      </c>
    </row>
    <row r="8766" spans="2:7" ht="15" hidden="1" x14ac:dyDescent="0.25">
      <c r="B8766" s="4">
        <v>584682029</v>
      </c>
      <c r="C8766" s="4" t="s">
        <v>279</v>
      </c>
      <c r="D8766" s="4">
        <v>245</v>
      </c>
      <c r="E8766" s="4">
        <v>257</v>
      </c>
      <c r="G8766">
        <f t="shared" si="136"/>
        <v>2112</v>
      </c>
    </row>
    <row r="8767" spans="2:7" ht="15" hidden="1" x14ac:dyDescent="0.25">
      <c r="B8767" s="4">
        <v>584682048</v>
      </c>
      <c r="C8767" s="4" t="s">
        <v>272</v>
      </c>
      <c r="D8767" s="4">
        <v>602</v>
      </c>
      <c r="E8767" s="4">
        <v>269</v>
      </c>
      <c r="G8767">
        <f t="shared" si="136"/>
        <v>2208</v>
      </c>
    </row>
    <row r="8768" spans="2:7" ht="15" hidden="1" x14ac:dyDescent="0.25">
      <c r="B8768" s="4">
        <v>584682052</v>
      </c>
      <c r="C8768" s="4" t="s">
        <v>277</v>
      </c>
      <c r="D8768" s="4">
        <v>245</v>
      </c>
      <c r="E8768" s="4">
        <v>63</v>
      </c>
      <c r="G8768">
        <f t="shared" si="136"/>
        <v>560</v>
      </c>
    </row>
    <row r="8769" spans="2:7" ht="15" hidden="1" x14ac:dyDescent="0.25">
      <c r="B8769" s="4">
        <v>584682148</v>
      </c>
      <c r="C8769" s="4" t="s">
        <v>272</v>
      </c>
      <c r="D8769" s="4">
        <v>603</v>
      </c>
      <c r="E8769" s="4">
        <v>261</v>
      </c>
      <c r="G8769">
        <f t="shared" si="136"/>
        <v>2144</v>
      </c>
    </row>
    <row r="8770" spans="2:7" ht="15" hidden="1" x14ac:dyDescent="0.25">
      <c r="B8770" s="4">
        <v>584682248</v>
      </c>
      <c r="C8770" s="4" t="s">
        <v>272</v>
      </c>
      <c r="D8770" s="4">
        <v>604</v>
      </c>
      <c r="E8770" s="4">
        <v>271</v>
      </c>
      <c r="G8770">
        <f t="shared" si="136"/>
        <v>2224</v>
      </c>
    </row>
    <row r="8771" spans="2:7" ht="15" hidden="1" x14ac:dyDescent="0.25">
      <c r="B8771" s="4">
        <v>584682282</v>
      </c>
      <c r="C8771" s="4" t="s">
        <v>279</v>
      </c>
      <c r="D8771" s="4">
        <v>246</v>
      </c>
      <c r="E8771" s="4">
        <v>261</v>
      </c>
      <c r="G8771">
        <f t="shared" si="136"/>
        <v>2144</v>
      </c>
    </row>
    <row r="8772" spans="2:7" ht="15" hidden="1" x14ac:dyDescent="0.25">
      <c r="B8772" s="4">
        <v>584682305</v>
      </c>
      <c r="C8772" s="4" t="s">
        <v>277</v>
      </c>
      <c r="D8772" s="4">
        <v>246</v>
      </c>
      <c r="E8772" s="4">
        <v>61</v>
      </c>
      <c r="G8772">
        <f t="shared" ref="G8772:G8835" si="137">(E8772+7)*8</f>
        <v>544</v>
      </c>
    </row>
    <row r="8773" spans="2:7" ht="15" hidden="1" x14ac:dyDescent="0.25">
      <c r="B8773" s="4">
        <v>584682348</v>
      </c>
      <c r="C8773" s="4" t="s">
        <v>272</v>
      </c>
      <c r="D8773" s="4">
        <v>605</v>
      </c>
      <c r="E8773" s="4">
        <v>273</v>
      </c>
      <c r="G8773">
        <f t="shared" si="137"/>
        <v>2240</v>
      </c>
    </row>
    <row r="8774" spans="2:7" ht="15" hidden="1" x14ac:dyDescent="0.25">
      <c r="B8774" s="4">
        <v>584682420</v>
      </c>
      <c r="C8774" s="4" t="s">
        <v>279</v>
      </c>
      <c r="D8774" s="4">
        <v>247</v>
      </c>
      <c r="E8774" s="4">
        <v>289</v>
      </c>
      <c r="G8774">
        <f t="shared" si="137"/>
        <v>2368</v>
      </c>
    </row>
    <row r="8775" spans="2:7" ht="15" hidden="1" x14ac:dyDescent="0.25">
      <c r="B8775" s="4">
        <v>584682443</v>
      </c>
      <c r="C8775" s="4" t="s">
        <v>277</v>
      </c>
      <c r="D8775" s="4">
        <v>247</v>
      </c>
      <c r="E8775" s="4">
        <v>61</v>
      </c>
      <c r="G8775">
        <f t="shared" si="137"/>
        <v>544</v>
      </c>
    </row>
    <row r="8776" spans="2:7" ht="15" hidden="1" x14ac:dyDescent="0.25">
      <c r="B8776" s="4">
        <v>584682448</v>
      </c>
      <c r="C8776" s="4" t="s">
        <v>272</v>
      </c>
      <c r="D8776" s="4">
        <v>606</v>
      </c>
      <c r="E8776" s="4">
        <v>273</v>
      </c>
      <c r="G8776">
        <f t="shared" si="137"/>
        <v>2240</v>
      </c>
    </row>
    <row r="8777" spans="2:7" ht="15" hidden="1" x14ac:dyDescent="0.25">
      <c r="B8777" s="4">
        <v>584682548</v>
      </c>
      <c r="C8777" s="4" t="s">
        <v>272</v>
      </c>
      <c r="D8777" s="4">
        <v>607</v>
      </c>
      <c r="E8777" s="4">
        <v>275</v>
      </c>
      <c r="G8777">
        <f t="shared" si="137"/>
        <v>2256</v>
      </c>
    </row>
    <row r="8778" spans="2:7" ht="15" hidden="1" x14ac:dyDescent="0.25">
      <c r="B8778" s="4">
        <v>584682648</v>
      </c>
      <c r="C8778" s="4" t="s">
        <v>272</v>
      </c>
      <c r="D8778" s="4">
        <v>608</v>
      </c>
      <c r="E8778" s="4">
        <v>271</v>
      </c>
      <c r="G8778">
        <f t="shared" si="137"/>
        <v>2224</v>
      </c>
    </row>
    <row r="8779" spans="2:7" ht="15" hidden="1" x14ac:dyDescent="0.25">
      <c r="B8779" s="4">
        <v>584682673</v>
      </c>
      <c r="C8779" s="4" t="s">
        <v>279</v>
      </c>
      <c r="D8779" s="4">
        <v>248</v>
      </c>
      <c r="E8779" s="4">
        <v>265</v>
      </c>
      <c r="G8779">
        <f t="shared" si="137"/>
        <v>2176</v>
      </c>
    </row>
    <row r="8780" spans="2:7" ht="15" hidden="1" x14ac:dyDescent="0.25">
      <c r="B8780" s="4">
        <v>584682696</v>
      </c>
      <c r="C8780" s="4" t="s">
        <v>277</v>
      </c>
      <c r="D8780" s="4">
        <v>248</v>
      </c>
      <c r="E8780" s="4">
        <v>61</v>
      </c>
      <c r="G8780">
        <f t="shared" si="137"/>
        <v>544</v>
      </c>
    </row>
    <row r="8781" spans="2:7" ht="15" hidden="1" x14ac:dyDescent="0.25">
      <c r="B8781" s="4">
        <v>584682748</v>
      </c>
      <c r="C8781" s="4" t="s">
        <v>272</v>
      </c>
      <c r="D8781" s="4">
        <v>609</v>
      </c>
      <c r="E8781" s="4">
        <v>269</v>
      </c>
      <c r="G8781">
        <f t="shared" si="137"/>
        <v>2208</v>
      </c>
    </row>
    <row r="8782" spans="2:7" ht="15" hidden="1" x14ac:dyDescent="0.25">
      <c r="B8782" s="4">
        <v>584682811</v>
      </c>
      <c r="C8782" s="4" t="s">
        <v>279</v>
      </c>
      <c r="D8782" s="4">
        <v>249</v>
      </c>
      <c r="E8782" s="4">
        <v>245</v>
      </c>
      <c r="G8782">
        <f t="shared" si="137"/>
        <v>2016</v>
      </c>
    </row>
    <row r="8783" spans="2:7" ht="15" hidden="1" x14ac:dyDescent="0.25">
      <c r="B8783" s="4">
        <v>584682834</v>
      </c>
      <c r="C8783" s="4" t="s">
        <v>277</v>
      </c>
      <c r="D8783" s="4">
        <v>249</v>
      </c>
      <c r="E8783" s="4">
        <v>61</v>
      </c>
      <c r="G8783">
        <f t="shared" si="137"/>
        <v>544</v>
      </c>
    </row>
    <row r="8784" spans="2:7" ht="15" hidden="1" x14ac:dyDescent="0.25">
      <c r="B8784" s="4">
        <v>584682848</v>
      </c>
      <c r="C8784" s="4" t="s">
        <v>272</v>
      </c>
      <c r="D8784" s="4">
        <v>610</v>
      </c>
      <c r="E8784" s="4">
        <v>267</v>
      </c>
      <c r="G8784">
        <f t="shared" si="137"/>
        <v>2192</v>
      </c>
    </row>
    <row r="8785" spans="2:7" ht="15" hidden="1" x14ac:dyDescent="0.25">
      <c r="B8785" s="4">
        <v>584682948</v>
      </c>
      <c r="C8785" s="4" t="s">
        <v>272</v>
      </c>
      <c r="D8785" s="4">
        <v>611</v>
      </c>
      <c r="E8785" s="4">
        <v>267</v>
      </c>
      <c r="G8785">
        <f t="shared" si="137"/>
        <v>2192</v>
      </c>
    </row>
    <row r="8786" spans="2:7" ht="15" hidden="1" x14ac:dyDescent="0.25">
      <c r="B8786" s="4">
        <v>584683018</v>
      </c>
      <c r="C8786" s="4" t="s">
        <v>273</v>
      </c>
      <c r="D8786" s="4">
        <v>6697</v>
      </c>
      <c r="E8786" s="4">
        <v>317</v>
      </c>
      <c r="G8786">
        <f t="shared" si="137"/>
        <v>2592</v>
      </c>
    </row>
    <row r="8787" spans="2:7" ht="15" hidden="1" x14ac:dyDescent="0.25">
      <c r="B8787" s="4">
        <v>584683048</v>
      </c>
      <c r="C8787" s="4" t="s">
        <v>272</v>
      </c>
      <c r="D8787" s="4">
        <v>612</v>
      </c>
      <c r="E8787" s="4">
        <v>275</v>
      </c>
      <c r="G8787">
        <f t="shared" si="137"/>
        <v>2256</v>
      </c>
    </row>
    <row r="8788" spans="2:7" ht="15" hidden="1" x14ac:dyDescent="0.25">
      <c r="B8788" s="4">
        <v>584683064</v>
      </c>
      <c r="C8788" s="4" t="s">
        <v>279</v>
      </c>
      <c r="D8788" s="4">
        <v>250</v>
      </c>
      <c r="E8788" s="4">
        <v>247</v>
      </c>
      <c r="G8788">
        <f t="shared" si="137"/>
        <v>2032</v>
      </c>
    </row>
    <row r="8789" spans="2:7" ht="15" hidden="1" x14ac:dyDescent="0.25">
      <c r="B8789" s="4">
        <v>584683087</v>
      </c>
      <c r="C8789" s="4" t="s">
        <v>277</v>
      </c>
      <c r="D8789" s="4">
        <v>250</v>
      </c>
      <c r="E8789" s="4">
        <v>59</v>
      </c>
      <c r="G8789">
        <f t="shared" si="137"/>
        <v>528</v>
      </c>
    </row>
    <row r="8790" spans="2:7" ht="15" hidden="1" x14ac:dyDescent="0.25">
      <c r="B8790" s="4">
        <v>584683148</v>
      </c>
      <c r="C8790" s="4" t="s">
        <v>272</v>
      </c>
      <c r="D8790" s="4">
        <v>613</v>
      </c>
      <c r="E8790" s="4">
        <v>263</v>
      </c>
      <c r="G8790">
        <f t="shared" si="137"/>
        <v>2160</v>
      </c>
    </row>
    <row r="8791" spans="2:7" ht="15" hidden="1" x14ac:dyDescent="0.25">
      <c r="B8791" s="4">
        <v>584683202</v>
      </c>
      <c r="C8791" s="4" t="s">
        <v>279</v>
      </c>
      <c r="D8791" s="4">
        <v>251</v>
      </c>
      <c r="E8791" s="4">
        <v>271</v>
      </c>
      <c r="G8791">
        <f t="shared" si="137"/>
        <v>2224</v>
      </c>
    </row>
    <row r="8792" spans="2:7" ht="15" hidden="1" x14ac:dyDescent="0.25">
      <c r="B8792" s="4">
        <v>584683225</v>
      </c>
      <c r="C8792" s="4" t="s">
        <v>277</v>
      </c>
      <c r="D8792" s="4">
        <v>251</v>
      </c>
      <c r="E8792" s="4">
        <v>59</v>
      </c>
      <c r="G8792">
        <f t="shared" si="137"/>
        <v>528</v>
      </c>
    </row>
    <row r="8793" spans="2:7" ht="15" hidden="1" x14ac:dyDescent="0.25">
      <c r="B8793" s="4">
        <v>584683248</v>
      </c>
      <c r="C8793" s="4" t="s">
        <v>272</v>
      </c>
      <c r="D8793" s="4">
        <v>614</v>
      </c>
      <c r="E8793" s="4">
        <v>269</v>
      </c>
      <c r="G8793">
        <f t="shared" si="137"/>
        <v>2208</v>
      </c>
    </row>
    <row r="8794" spans="2:7" ht="15" hidden="1" x14ac:dyDescent="0.25">
      <c r="B8794" s="4">
        <v>584683348</v>
      </c>
      <c r="C8794" s="4" t="s">
        <v>272</v>
      </c>
      <c r="D8794" s="4">
        <v>615</v>
      </c>
      <c r="E8794" s="4">
        <v>269</v>
      </c>
      <c r="G8794">
        <f t="shared" si="137"/>
        <v>2208</v>
      </c>
    </row>
    <row r="8795" spans="2:7" ht="15" hidden="1" x14ac:dyDescent="0.25">
      <c r="B8795" s="4">
        <v>584683432</v>
      </c>
      <c r="C8795" s="4" t="s">
        <v>279</v>
      </c>
      <c r="D8795" s="4">
        <v>252</v>
      </c>
      <c r="E8795" s="4">
        <v>265</v>
      </c>
      <c r="G8795">
        <f t="shared" si="137"/>
        <v>2176</v>
      </c>
    </row>
    <row r="8796" spans="2:7" ht="15" hidden="1" x14ac:dyDescent="0.25">
      <c r="B8796" s="4">
        <v>584683448</v>
      </c>
      <c r="C8796" s="4" t="s">
        <v>272</v>
      </c>
      <c r="D8796" s="4">
        <v>616</v>
      </c>
      <c r="E8796" s="4">
        <v>275</v>
      </c>
      <c r="G8796">
        <f t="shared" si="137"/>
        <v>2256</v>
      </c>
    </row>
    <row r="8797" spans="2:7" ht="15" hidden="1" x14ac:dyDescent="0.25">
      <c r="B8797" s="4">
        <v>584683455</v>
      </c>
      <c r="C8797" s="4" t="s">
        <v>277</v>
      </c>
      <c r="D8797" s="4">
        <v>252</v>
      </c>
      <c r="E8797" s="4">
        <v>59</v>
      </c>
      <c r="G8797">
        <f t="shared" si="137"/>
        <v>528</v>
      </c>
    </row>
    <row r="8798" spans="2:7" ht="15" hidden="1" x14ac:dyDescent="0.25">
      <c r="B8798" s="4">
        <v>584683548</v>
      </c>
      <c r="C8798" s="4" t="s">
        <v>272</v>
      </c>
      <c r="D8798" s="4">
        <v>617</v>
      </c>
      <c r="E8798" s="4">
        <v>273</v>
      </c>
      <c r="G8798">
        <f t="shared" si="137"/>
        <v>2240</v>
      </c>
    </row>
    <row r="8799" spans="2:7" ht="15" hidden="1" x14ac:dyDescent="0.25">
      <c r="B8799" s="4">
        <v>584683648</v>
      </c>
      <c r="C8799" s="4" t="s">
        <v>272</v>
      </c>
      <c r="D8799" s="4">
        <v>618</v>
      </c>
      <c r="E8799" s="4">
        <v>263</v>
      </c>
      <c r="G8799">
        <f t="shared" si="137"/>
        <v>2160</v>
      </c>
    </row>
    <row r="8800" spans="2:7" ht="15" hidden="1" x14ac:dyDescent="0.25">
      <c r="B8800" s="4">
        <v>584683685</v>
      </c>
      <c r="C8800" s="4" t="s">
        <v>279</v>
      </c>
      <c r="D8800" s="4">
        <v>253</v>
      </c>
      <c r="E8800" s="4">
        <v>261</v>
      </c>
      <c r="G8800">
        <f t="shared" si="137"/>
        <v>2144</v>
      </c>
    </row>
    <row r="8801" spans="2:7" ht="15" hidden="1" x14ac:dyDescent="0.25">
      <c r="B8801" s="4">
        <v>584683708</v>
      </c>
      <c r="C8801" s="4" t="s">
        <v>277</v>
      </c>
      <c r="D8801" s="4">
        <v>253</v>
      </c>
      <c r="E8801" s="4">
        <v>61</v>
      </c>
      <c r="G8801">
        <f t="shared" si="137"/>
        <v>544</v>
      </c>
    </row>
    <row r="8802" spans="2:7" ht="15" hidden="1" x14ac:dyDescent="0.25">
      <c r="B8802" s="4">
        <v>584683744</v>
      </c>
      <c r="C8802" s="4" t="s">
        <v>269</v>
      </c>
      <c r="D8802" s="4">
        <v>1643</v>
      </c>
      <c r="E8802" s="4">
        <v>57</v>
      </c>
      <c r="G8802">
        <f t="shared" si="137"/>
        <v>512</v>
      </c>
    </row>
    <row r="8803" spans="2:7" ht="15" x14ac:dyDescent="0.25">
      <c r="B8803" s="4">
        <v>584683748</v>
      </c>
      <c r="C8803" s="4" t="s">
        <v>270</v>
      </c>
      <c r="D8803" s="4">
        <v>12</v>
      </c>
      <c r="E8803" s="4">
        <v>1190</v>
      </c>
      <c r="G8803">
        <f t="shared" si="137"/>
        <v>9576</v>
      </c>
    </row>
    <row r="8804" spans="2:7" ht="15" x14ac:dyDescent="0.25">
      <c r="B8804" s="4">
        <v>584683748</v>
      </c>
      <c r="C8804" s="4" t="s">
        <v>271</v>
      </c>
      <c r="D8804" s="4">
        <v>12</v>
      </c>
      <c r="E8804" s="4">
        <v>1160</v>
      </c>
      <c r="G8804">
        <f t="shared" si="137"/>
        <v>9336</v>
      </c>
    </row>
    <row r="8805" spans="2:7" ht="15" hidden="1" x14ac:dyDescent="0.25">
      <c r="B8805" s="4">
        <v>584683749</v>
      </c>
      <c r="C8805" s="4" t="s">
        <v>272</v>
      </c>
      <c r="D8805" s="4">
        <v>619</v>
      </c>
      <c r="E8805" s="4">
        <v>275</v>
      </c>
      <c r="G8805">
        <f t="shared" si="137"/>
        <v>2256</v>
      </c>
    </row>
    <row r="8806" spans="2:7" ht="15" hidden="1" x14ac:dyDescent="0.25">
      <c r="B8806" s="4">
        <v>584683823</v>
      </c>
      <c r="C8806" s="4" t="s">
        <v>279</v>
      </c>
      <c r="D8806" s="4">
        <v>254</v>
      </c>
      <c r="E8806" s="4">
        <v>261</v>
      </c>
      <c r="G8806">
        <f t="shared" si="137"/>
        <v>2144</v>
      </c>
    </row>
    <row r="8807" spans="2:7" ht="15" hidden="1" x14ac:dyDescent="0.25">
      <c r="B8807" s="4">
        <v>584683846</v>
      </c>
      <c r="C8807" s="4" t="s">
        <v>277</v>
      </c>
      <c r="D8807" s="4">
        <v>254</v>
      </c>
      <c r="E8807" s="4">
        <v>61</v>
      </c>
      <c r="G8807">
        <f t="shared" si="137"/>
        <v>544</v>
      </c>
    </row>
    <row r="8808" spans="2:7" ht="15" hidden="1" x14ac:dyDescent="0.25">
      <c r="B8808" s="4">
        <v>584683848</v>
      </c>
      <c r="C8808" s="4" t="s">
        <v>272</v>
      </c>
      <c r="D8808" s="4">
        <v>620</v>
      </c>
      <c r="E8808" s="4">
        <v>263</v>
      </c>
      <c r="G8808">
        <f t="shared" si="137"/>
        <v>2160</v>
      </c>
    </row>
    <row r="8809" spans="2:7" ht="15" hidden="1" x14ac:dyDescent="0.25">
      <c r="B8809" s="4">
        <v>584683948</v>
      </c>
      <c r="C8809" s="4" t="s">
        <v>272</v>
      </c>
      <c r="D8809" s="4">
        <v>621</v>
      </c>
      <c r="E8809" s="4">
        <v>273</v>
      </c>
      <c r="G8809">
        <f t="shared" si="137"/>
        <v>2240</v>
      </c>
    </row>
    <row r="8810" spans="2:7" ht="15" hidden="1" x14ac:dyDescent="0.25">
      <c r="B8810" s="4">
        <v>584684048</v>
      </c>
      <c r="C8810" s="4" t="s">
        <v>272</v>
      </c>
      <c r="D8810" s="4">
        <v>622</v>
      </c>
      <c r="E8810" s="4">
        <v>261</v>
      </c>
      <c r="G8810">
        <f t="shared" si="137"/>
        <v>2144</v>
      </c>
    </row>
    <row r="8811" spans="2:7" ht="15" hidden="1" x14ac:dyDescent="0.25">
      <c r="B8811" s="4">
        <v>584684076</v>
      </c>
      <c r="C8811" s="4" t="s">
        <v>279</v>
      </c>
      <c r="D8811" s="4">
        <v>255</v>
      </c>
      <c r="E8811" s="4">
        <v>271</v>
      </c>
      <c r="G8811">
        <f t="shared" si="137"/>
        <v>2224</v>
      </c>
    </row>
    <row r="8812" spans="2:7" ht="15" hidden="1" x14ac:dyDescent="0.25">
      <c r="B8812" s="4">
        <v>584684099</v>
      </c>
      <c r="C8812" s="4" t="s">
        <v>277</v>
      </c>
      <c r="D8812" s="4">
        <v>255</v>
      </c>
      <c r="E8812" s="4">
        <v>61</v>
      </c>
      <c r="G8812">
        <f t="shared" si="137"/>
        <v>544</v>
      </c>
    </row>
    <row r="8813" spans="2:7" ht="15" hidden="1" x14ac:dyDescent="0.25">
      <c r="B8813" s="4">
        <v>584684148</v>
      </c>
      <c r="C8813" s="4" t="s">
        <v>272</v>
      </c>
      <c r="D8813" s="4">
        <v>623</v>
      </c>
      <c r="E8813" s="4">
        <v>255</v>
      </c>
      <c r="G8813">
        <f t="shared" si="137"/>
        <v>2096</v>
      </c>
    </row>
    <row r="8814" spans="2:7" ht="15" hidden="1" x14ac:dyDescent="0.25">
      <c r="B8814" s="4">
        <v>584684214</v>
      </c>
      <c r="C8814" s="4" t="s">
        <v>279</v>
      </c>
      <c r="D8814" s="4">
        <v>256</v>
      </c>
      <c r="E8814" s="4">
        <v>267</v>
      </c>
      <c r="G8814">
        <f t="shared" si="137"/>
        <v>2192</v>
      </c>
    </row>
    <row r="8815" spans="2:7" ht="15" hidden="1" x14ac:dyDescent="0.25">
      <c r="B8815" s="4">
        <v>584684237</v>
      </c>
      <c r="C8815" s="4" t="s">
        <v>277</v>
      </c>
      <c r="D8815" s="4">
        <v>256</v>
      </c>
      <c r="E8815" s="4">
        <v>61</v>
      </c>
      <c r="G8815">
        <f t="shared" si="137"/>
        <v>544</v>
      </c>
    </row>
    <row r="8816" spans="2:7" ht="15" hidden="1" x14ac:dyDescent="0.25">
      <c r="B8816" s="4">
        <v>584684248</v>
      </c>
      <c r="C8816" s="4" t="s">
        <v>272</v>
      </c>
      <c r="D8816" s="4">
        <v>624</v>
      </c>
      <c r="E8816" s="4">
        <v>265</v>
      </c>
      <c r="G8816">
        <f t="shared" si="137"/>
        <v>2176</v>
      </c>
    </row>
    <row r="8817" spans="2:7" ht="15" hidden="1" x14ac:dyDescent="0.25">
      <c r="B8817" s="4">
        <v>584684348</v>
      </c>
      <c r="C8817" s="4" t="s">
        <v>272</v>
      </c>
      <c r="D8817" s="4">
        <v>625</v>
      </c>
      <c r="E8817" s="4">
        <v>267</v>
      </c>
      <c r="G8817">
        <f t="shared" si="137"/>
        <v>2192</v>
      </c>
    </row>
    <row r="8818" spans="2:7" ht="15" hidden="1" x14ac:dyDescent="0.25">
      <c r="B8818" s="4">
        <v>584684352</v>
      </c>
      <c r="C8818" s="4" t="s">
        <v>279</v>
      </c>
      <c r="D8818" s="4">
        <v>257</v>
      </c>
      <c r="E8818" s="4">
        <v>257</v>
      </c>
      <c r="G8818">
        <f t="shared" si="137"/>
        <v>2112</v>
      </c>
    </row>
    <row r="8819" spans="2:7" ht="15" hidden="1" x14ac:dyDescent="0.25">
      <c r="B8819" s="4">
        <v>584684375</v>
      </c>
      <c r="C8819" s="4" t="s">
        <v>277</v>
      </c>
      <c r="D8819" s="4">
        <v>257</v>
      </c>
      <c r="E8819" s="4">
        <v>59</v>
      </c>
      <c r="G8819">
        <f t="shared" si="137"/>
        <v>528</v>
      </c>
    </row>
    <row r="8820" spans="2:7" ht="15" hidden="1" x14ac:dyDescent="0.25">
      <c r="B8820" s="4">
        <v>584684448</v>
      </c>
      <c r="C8820" s="4" t="s">
        <v>272</v>
      </c>
      <c r="D8820" s="4">
        <v>626</v>
      </c>
      <c r="E8820" s="4">
        <v>267</v>
      </c>
      <c r="G8820">
        <f t="shared" si="137"/>
        <v>2192</v>
      </c>
    </row>
    <row r="8821" spans="2:7" ht="15" hidden="1" x14ac:dyDescent="0.25">
      <c r="B8821" s="4">
        <v>584684548</v>
      </c>
      <c r="C8821" s="4" t="s">
        <v>272</v>
      </c>
      <c r="D8821" s="4">
        <v>627</v>
      </c>
      <c r="E8821" s="4">
        <v>273</v>
      </c>
      <c r="G8821">
        <f t="shared" si="137"/>
        <v>2240</v>
      </c>
    </row>
    <row r="8822" spans="2:7" ht="15" hidden="1" x14ac:dyDescent="0.25">
      <c r="B8822" s="4">
        <v>584684605</v>
      </c>
      <c r="C8822" s="4" t="s">
        <v>279</v>
      </c>
      <c r="D8822" s="4">
        <v>258</v>
      </c>
      <c r="E8822" s="4">
        <v>261</v>
      </c>
      <c r="G8822">
        <f t="shared" si="137"/>
        <v>2144</v>
      </c>
    </row>
    <row r="8823" spans="2:7" ht="15" hidden="1" x14ac:dyDescent="0.25">
      <c r="B8823" s="4">
        <v>584684628</v>
      </c>
      <c r="C8823" s="4" t="s">
        <v>277</v>
      </c>
      <c r="D8823" s="4">
        <v>258</v>
      </c>
      <c r="E8823" s="4">
        <v>63</v>
      </c>
      <c r="G8823">
        <f t="shared" si="137"/>
        <v>560</v>
      </c>
    </row>
    <row r="8824" spans="2:7" ht="15" hidden="1" x14ac:dyDescent="0.25">
      <c r="B8824" s="4">
        <v>584684648</v>
      </c>
      <c r="C8824" s="4" t="s">
        <v>272</v>
      </c>
      <c r="D8824" s="4">
        <v>628</v>
      </c>
      <c r="E8824" s="4">
        <v>267</v>
      </c>
      <c r="G8824">
        <f t="shared" si="137"/>
        <v>2192</v>
      </c>
    </row>
    <row r="8825" spans="2:7" ht="15" hidden="1" x14ac:dyDescent="0.25">
      <c r="B8825" s="4">
        <v>584684748</v>
      </c>
      <c r="C8825" s="4" t="s">
        <v>272</v>
      </c>
      <c r="D8825" s="4">
        <v>629</v>
      </c>
      <c r="E8825" s="4">
        <v>259</v>
      </c>
      <c r="G8825">
        <f t="shared" si="137"/>
        <v>2128</v>
      </c>
    </row>
    <row r="8826" spans="2:7" ht="15" hidden="1" x14ac:dyDescent="0.25">
      <c r="B8826" s="4">
        <v>584684766</v>
      </c>
      <c r="C8826" s="4" t="s">
        <v>279</v>
      </c>
      <c r="D8826" s="4">
        <v>259</v>
      </c>
      <c r="E8826" s="4">
        <v>257</v>
      </c>
      <c r="G8826">
        <f t="shared" si="137"/>
        <v>2112</v>
      </c>
    </row>
    <row r="8827" spans="2:7" ht="15" hidden="1" x14ac:dyDescent="0.25">
      <c r="B8827" s="4">
        <v>584684789</v>
      </c>
      <c r="C8827" s="4" t="s">
        <v>277</v>
      </c>
      <c r="D8827" s="4">
        <v>259</v>
      </c>
      <c r="E8827" s="4">
        <v>59</v>
      </c>
      <c r="G8827">
        <f t="shared" si="137"/>
        <v>528</v>
      </c>
    </row>
    <row r="8828" spans="2:7" ht="15" hidden="1" x14ac:dyDescent="0.25">
      <c r="B8828" s="4">
        <v>584684848</v>
      </c>
      <c r="C8828" s="4" t="s">
        <v>272</v>
      </c>
      <c r="D8828" s="4">
        <v>630</v>
      </c>
      <c r="E8828" s="4">
        <v>265</v>
      </c>
      <c r="G8828">
        <f t="shared" si="137"/>
        <v>2176</v>
      </c>
    </row>
    <row r="8829" spans="2:7" ht="15" hidden="1" x14ac:dyDescent="0.25">
      <c r="B8829" s="4">
        <v>584684948</v>
      </c>
      <c r="C8829" s="4" t="s">
        <v>272</v>
      </c>
      <c r="D8829" s="4">
        <v>631</v>
      </c>
      <c r="E8829" s="4">
        <v>265</v>
      </c>
      <c r="G8829">
        <f t="shared" si="137"/>
        <v>2176</v>
      </c>
    </row>
    <row r="8830" spans="2:7" ht="15" hidden="1" x14ac:dyDescent="0.25">
      <c r="B8830" s="4">
        <v>584684996</v>
      </c>
      <c r="C8830" s="4" t="s">
        <v>279</v>
      </c>
      <c r="D8830" s="4">
        <v>260</v>
      </c>
      <c r="E8830" s="4">
        <v>263</v>
      </c>
      <c r="G8830">
        <f t="shared" si="137"/>
        <v>2160</v>
      </c>
    </row>
    <row r="8831" spans="2:7" ht="15" hidden="1" x14ac:dyDescent="0.25">
      <c r="B8831" s="4">
        <v>584685019</v>
      </c>
      <c r="C8831" s="4" t="s">
        <v>277</v>
      </c>
      <c r="D8831" s="4">
        <v>260</v>
      </c>
      <c r="E8831" s="4">
        <v>59</v>
      </c>
      <c r="G8831">
        <f t="shared" si="137"/>
        <v>528</v>
      </c>
    </row>
    <row r="8832" spans="2:7" ht="15" hidden="1" x14ac:dyDescent="0.25">
      <c r="B8832" s="4">
        <v>584685048</v>
      </c>
      <c r="C8832" s="4" t="s">
        <v>272</v>
      </c>
      <c r="D8832" s="4">
        <v>632</v>
      </c>
      <c r="E8832" s="4">
        <v>263</v>
      </c>
      <c r="G8832">
        <f t="shared" si="137"/>
        <v>2160</v>
      </c>
    </row>
    <row r="8833" spans="2:7" ht="15" hidden="1" x14ac:dyDescent="0.25">
      <c r="B8833" s="4">
        <v>584685119</v>
      </c>
      <c r="C8833" s="4" t="s">
        <v>273</v>
      </c>
      <c r="D8833" s="4">
        <v>8798</v>
      </c>
      <c r="E8833" s="4">
        <v>317</v>
      </c>
      <c r="G8833">
        <f t="shared" si="137"/>
        <v>2592</v>
      </c>
    </row>
    <row r="8834" spans="2:7" ht="15" hidden="1" x14ac:dyDescent="0.25">
      <c r="B8834" s="4">
        <v>584685148</v>
      </c>
      <c r="C8834" s="4" t="s">
        <v>272</v>
      </c>
      <c r="D8834" s="4">
        <v>633</v>
      </c>
      <c r="E8834" s="4">
        <v>267</v>
      </c>
      <c r="G8834">
        <f t="shared" si="137"/>
        <v>2192</v>
      </c>
    </row>
    <row r="8835" spans="2:7" ht="15" hidden="1" x14ac:dyDescent="0.25">
      <c r="B8835" s="4">
        <v>584685157</v>
      </c>
      <c r="C8835" s="4" t="s">
        <v>279</v>
      </c>
      <c r="D8835" s="4">
        <v>261</v>
      </c>
      <c r="E8835" s="4">
        <v>273</v>
      </c>
      <c r="G8835">
        <f t="shared" si="137"/>
        <v>2240</v>
      </c>
    </row>
    <row r="8836" spans="2:7" ht="15" hidden="1" x14ac:dyDescent="0.25">
      <c r="B8836" s="4">
        <v>584685180</v>
      </c>
      <c r="C8836" s="4" t="s">
        <v>277</v>
      </c>
      <c r="D8836" s="4">
        <v>261</v>
      </c>
      <c r="E8836" s="4">
        <v>61</v>
      </c>
      <c r="G8836">
        <f t="shared" ref="G8836:G8899" si="138">(E8836+7)*8</f>
        <v>544</v>
      </c>
    </row>
    <row r="8837" spans="2:7" ht="15" hidden="1" x14ac:dyDescent="0.25">
      <c r="B8837" s="4">
        <v>584685248</v>
      </c>
      <c r="C8837" s="4" t="s">
        <v>272</v>
      </c>
      <c r="D8837" s="4">
        <v>634</v>
      </c>
      <c r="E8837" s="4">
        <v>259</v>
      </c>
      <c r="G8837">
        <f t="shared" si="138"/>
        <v>2128</v>
      </c>
    </row>
    <row r="8838" spans="2:7" ht="15" hidden="1" x14ac:dyDescent="0.25">
      <c r="B8838" s="4">
        <v>584685348</v>
      </c>
      <c r="C8838" s="4" t="s">
        <v>272</v>
      </c>
      <c r="D8838" s="4">
        <v>635</v>
      </c>
      <c r="E8838" s="4">
        <v>273</v>
      </c>
      <c r="G8838">
        <f t="shared" si="138"/>
        <v>2240</v>
      </c>
    </row>
    <row r="8839" spans="2:7" ht="15" hidden="1" x14ac:dyDescent="0.25">
      <c r="B8839" s="4">
        <v>584685410</v>
      </c>
      <c r="C8839" s="4" t="s">
        <v>279</v>
      </c>
      <c r="D8839" s="4">
        <v>262</v>
      </c>
      <c r="E8839" s="4">
        <v>257</v>
      </c>
      <c r="G8839">
        <f t="shared" si="138"/>
        <v>2112</v>
      </c>
    </row>
    <row r="8840" spans="2:7" ht="15" hidden="1" x14ac:dyDescent="0.25">
      <c r="B8840" s="4">
        <v>584685433</v>
      </c>
      <c r="C8840" s="4" t="s">
        <v>277</v>
      </c>
      <c r="D8840" s="4">
        <v>262</v>
      </c>
      <c r="E8840" s="4">
        <v>61</v>
      </c>
      <c r="G8840">
        <f t="shared" si="138"/>
        <v>544</v>
      </c>
    </row>
    <row r="8841" spans="2:7" ht="15" hidden="1" x14ac:dyDescent="0.25">
      <c r="B8841" s="4">
        <v>584685448</v>
      </c>
      <c r="C8841" s="4" t="s">
        <v>272</v>
      </c>
      <c r="D8841" s="4">
        <v>636</v>
      </c>
      <c r="E8841" s="4">
        <v>269</v>
      </c>
      <c r="G8841">
        <f t="shared" si="138"/>
        <v>2208</v>
      </c>
    </row>
    <row r="8842" spans="2:7" ht="15" hidden="1" x14ac:dyDescent="0.25">
      <c r="B8842" s="4">
        <v>584685544</v>
      </c>
      <c r="C8842" s="4" t="s">
        <v>269</v>
      </c>
      <c r="D8842" s="4">
        <v>1644</v>
      </c>
      <c r="E8842" s="4">
        <v>57</v>
      </c>
      <c r="G8842">
        <f t="shared" si="138"/>
        <v>512</v>
      </c>
    </row>
    <row r="8843" spans="2:7" ht="15" hidden="1" x14ac:dyDescent="0.25">
      <c r="B8843" s="4">
        <v>584685548</v>
      </c>
      <c r="C8843" s="4" t="s">
        <v>272</v>
      </c>
      <c r="D8843" s="4">
        <v>637</v>
      </c>
      <c r="E8843" s="4">
        <v>269</v>
      </c>
      <c r="G8843">
        <f t="shared" si="138"/>
        <v>2208</v>
      </c>
    </row>
    <row r="8844" spans="2:7" ht="15" hidden="1" x14ac:dyDescent="0.25">
      <c r="B8844" s="4">
        <v>584685548</v>
      </c>
      <c r="C8844" s="4" t="s">
        <v>279</v>
      </c>
      <c r="D8844" s="4">
        <v>263</v>
      </c>
      <c r="E8844" s="4">
        <v>277</v>
      </c>
      <c r="G8844">
        <f t="shared" si="138"/>
        <v>2272</v>
      </c>
    </row>
    <row r="8845" spans="2:7" ht="15" hidden="1" x14ac:dyDescent="0.25">
      <c r="B8845" s="4">
        <v>584685571</v>
      </c>
      <c r="C8845" s="4" t="s">
        <v>277</v>
      </c>
      <c r="D8845" s="4">
        <v>263</v>
      </c>
      <c r="E8845" s="4">
        <v>61</v>
      </c>
      <c r="G8845">
        <f t="shared" si="138"/>
        <v>544</v>
      </c>
    </row>
    <row r="8846" spans="2:7" ht="15" hidden="1" x14ac:dyDescent="0.25">
      <c r="B8846" s="4">
        <v>584685648</v>
      </c>
      <c r="C8846" s="4" t="s">
        <v>272</v>
      </c>
      <c r="D8846" s="4">
        <v>638</v>
      </c>
      <c r="E8846" s="4">
        <v>265</v>
      </c>
      <c r="G8846">
        <f t="shared" si="138"/>
        <v>2176</v>
      </c>
    </row>
    <row r="8847" spans="2:7" ht="15" hidden="1" x14ac:dyDescent="0.25">
      <c r="B8847" s="4">
        <v>584685748</v>
      </c>
      <c r="C8847" s="4" t="s">
        <v>272</v>
      </c>
      <c r="D8847" s="4">
        <v>639</v>
      </c>
      <c r="E8847" s="4">
        <v>265</v>
      </c>
      <c r="G8847">
        <f t="shared" si="138"/>
        <v>2176</v>
      </c>
    </row>
    <row r="8848" spans="2:7" ht="15" hidden="1" x14ac:dyDescent="0.25">
      <c r="B8848" s="4">
        <v>584685801</v>
      </c>
      <c r="C8848" s="4" t="s">
        <v>279</v>
      </c>
      <c r="D8848" s="4">
        <v>264</v>
      </c>
      <c r="E8848" s="4">
        <v>257</v>
      </c>
      <c r="G8848">
        <f t="shared" si="138"/>
        <v>2112</v>
      </c>
    </row>
    <row r="8849" spans="2:7" ht="15" hidden="1" x14ac:dyDescent="0.25">
      <c r="B8849" s="4">
        <v>584685824</v>
      </c>
      <c r="C8849" s="4" t="s">
        <v>277</v>
      </c>
      <c r="D8849" s="4">
        <v>264</v>
      </c>
      <c r="E8849" s="4">
        <v>61</v>
      </c>
      <c r="G8849">
        <f t="shared" si="138"/>
        <v>544</v>
      </c>
    </row>
    <row r="8850" spans="2:7" ht="15" hidden="1" x14ac:dyDescent="0.25">
      <c r="B8850" s="4">
        <v>584685848</v>
      </c>
      <c r="C8850" s="4" t="s">
        <v>272</v>
      </c>
      <c r="D8850" s="4">
        <v>640</v>
      </c>
      <c r="E8850" s="4">
        <v>267</v>
      </c>
      <c r="G8850">
        <f t="shared" si="138"/>
        <v>2192</v>
      </c>
    </row>
    <row r="8851" spans="2:7" ht="15" hidden="1" x14ac:dyDescent="0.25">
      <c r="B8851" s="4">
        <v>584685939</v>
      </c>
      <c r="C8851" s="4" t="s">
        <v>279</v>
      </c>
      <c r="D8851" s="4">
        <v>265</v>
      </c>
      <c r="E8851" s="4">
        <v>257</v>
      </c>
      <c r="G8851">
        <f t="shared" si="138"/>
        <v>2112</v>
      </c>
    </row>
    <row r="8852" spans="2:7" ht="15" hidden="1" x14ac:dyDescent="0.25">
      <c r="B8852" s="4">
        <v>584685948</v>
      </c>
      <c r="C8852" s="4" t="s">
        <v>272</v>
      </c>
      <c r="D8852" s="4">
        <v>641</v>
      </c>
      <c r="E8852" s="4">
        <v>269</v>
      </c>
      <c r="G8852">
        <f t="shared" si="138"/>
        <v>2208</v>
      </c>
    </row>
    <row r="8853" spans="2:7" ht="15" hidden="1" x14ac:dyDescent="0.25">
      <c r="B8853" s="4">
        <v>584685962</v>
      </c>
      <c r="C8853" s="4" t="s">
        <v>277</v>
      </c>
      <c r="D8853" s="4">
        <v>265</v>
      </c>
      <c r="E8853" s="4">
        <v>57</v>
      </c>
      <c r="G8853">
        <f t="shared" si="138"/>
        <v>512</v>
      </c>
    </row>
    <row r="8854" spans="2:7" ht="15" hidden="1" x14ac:dyDescent="0.25">
      <c r="B8854" s="4">
        <v>584686048</v>
      </c>
      <c r="C8854" s="4" t="s">
        <v>272</v>
      </c>
      <c r="D8854" s="4">
        <v>642</v>
      </c>
      <c r="E8854" s="4">
        <v>261</v>
      </c>
      <c r="G8854">
        <f t="shared" si="138"/>
        <v>2144</v>
      </c>
    </row>
    <row r="8855" spans="2:7" ht="15" hidden="1" x14ac:dyDescent="0.25">
      <c r="B8855" s="4">
        <v>584686148</v>
      </c>
      <c r="C8855" s="4" t="s">
        <v>272</v>
      </c>
      <c r="D8855" s="4">
        <v>643</v>
      </c>
      <c r="E8855" s="4">
        <v>269</v>
      </c>
      <c r="G8855">
        <f t="shared" si="138"/>
        <v>2208</v>
      </c>
    </row>
    <row r="8856" spans="2:7" ht="15" hidden="1" x14ac:dyDescent="0.25">
      <c r="B8856" s="4">
        <v>584686169</v>
      </c>
      <c r="C8856" s="4" t="s">
        <v>279</v>
      </c>
      <c r="D8856" s="4">
        <v>266</v>
      </c>
      <c r="E8856" s="4">
        <v>273</v>
      </c>
      <c r="G8856">
        <f t="shared" si="138"/>
        <v>2240</v>
      </c>
    </row>
    <row r="8857" spans="2:7" ht="15" hidden="1" x14ac:dyDescent="0.25">
      <c r="B8857" s="4">
        <v>584686192</v>
      </c>
      <c r="C8857" s="4" t="s">
        <v>277</v>
      </c>
      <c r="D8857" s="4">
        <v>266</v>
      </c>
      <c r="E8857" s="4">
        <v>61</v>
      </c>
      <c r="G8857">
        <f t="shared" si="138"/>
        <v>544</v>
      </c>
    </row>
    <row r="8858" spans="2:7" ht="15" hidden="1" x14ac:dyDescent="0.25">
      <c r="B8858" s="4">
        <v>584686248</v>
      </c>
      <c r="C8858" s="4" t="s">
        <v>272</v>
      </c>
      <c r="D8858" s="4">
        <v>644</v>
      </c>
      <c r="E8858" s="4">
        <v>265</v>
      </c>
      <c r="G8858">
        <f t="shared" si="138"/>
        <v>2176</v>
      </c>
    </row>
    <row r="8859" spans="2:7" ht="15" hidden="1" x14ac:dyDescent="0.25">
      <c r="B8859" s="4">
        <v>584686307</v>
      </c>
      <c r="C8859" s="4" t="s">
        <v>279</v>
      </c>
      <c r="D8859" s="4">
        <v>267</v>
      </c>
      <c r="E8859" s="4">
        <v>263</v>
      </c>
      <c r="G8859">
        <f t="shared" si="138"/>
        <v>2160</v>
      </c>
    </row>
    <row r="8860" spans="2:7" ht="15" hidden="1" x14ac:dyDescent="0.25">
      <c r="B8860" s="4">
        <v>584686330</v>
      </c>
      <c r="C8860" s="4" t="s">
        <v>277</v>
      </c>
      <c r="D8860" s="4">
        <v>267</v>
      </c>
      <c r="E8860" s="4">
        <v>61</v>
      </c>
      <c r="G8860">
        <f t="shared" si="138"/>
        <v>544</v>
      </c>
    </row>
    <row r="8861" spans="2:7" ht="15" hidden="1" x14ac:dyDescent="0.25">
      <c r="B8861" s="4">
        <v>584686348</v>
      </c>
      <c r="C8861" s="4" t="s">
        <v>272</v>
      </c>
      <c r="D8861" s="4">
        <v>645</v>
      </c>
      <c r="E8861" s="4">
        <v>255</v>
      </c>
      <c r="G8861">
        <f t="shared" si="138"/>
        <v>2096</v>
      </c>
    </row>
    <row r="8862" spans="2:7" ht="15" hidden="1" x14ac:dyDescent="0.25">
      <c r="B8862" s="4">
        <v>584686448</v>
      </c>
      <c r="C8862" s="4" t="s">
        <v>272</v>
      </c>
      <c r="D8862" s="4">
        <v>646</v>
      </c>
      <c r="E8862" s="4">
        <v>263</v>
      </c>
      <c r="G8862">
        <f t="shared" si="138"/>
        <v>2160</v>
      </c>
    </row>
    <row r="8863" spans="2:7" ht="15" hidden="1" x14ac:dyDescent="0.25">
      <c r="B8863" s="4">
        <v>584686548</v>
      </c>
      <c r="C8863" s="4" t="s">
        <v>272</v>
      </c>
      <c r="D8863" s="4">
        <v>647</v>
      </c>
      <c r="E8863" s="4">
        <v>265</v>
      </c>
      <c r="G8863">
        <f t="shared" si="138"/>
        <v>2176</v>
      </c>
    </row>
    <row r="8864" spans="2:7" ht="15" hidden="1" x14ac:dyDescent="0.25">
      <c r="B8864" s="4">
        <v>584686560</v>
      </c>
      <c r="C8864" s="4" t="s">
        <v>279</v>
      </c>
      <c r="D8864" s="4">
        <v>268</v>
      </c>
      <c r="E8864" s="4">
        <v>241</v>
      </c>
      <c r="G8864">
        <f t="shared" si="138"/>
        <v>1984</v>
      </c>
    </row>
    <row r="8865" spans="2:7" ht="15" hidden="1" x14ac:dyDescent="0.25">
      <c r="B8865" s="4">
        <v>584686583</v>
      </c>
      <c r="C8865" s="4" t="s">
        <v>277</v>
      </c>
      <c r="D8865" s="4">
        <v>268</v>
      </c>
      <c r="E8865" s="4">
        <v>59</v>
      </c>
      <c r="G8865">
        <f t="shared" si="138"/>
        <v>528</v>
      </c>
    </row>
    <row r="8866" spans="2:7" ht="15" hidden="1" x14ac:dyDescent="0.25">
      <c r="B8866" s="4">
        <v>584686648</v>
      </c>
      <c r="C8866" s="4" t="s">
        <v>272</v>
      </c>
      <c r="D8866" s="4">
        <v>648</v>
      </c>
      <c r="E8866" s="4">
        <v>265</v>
      </c>
      <c r="G8866">
        <f t="shared" si="138"/>
        <v>2176</v>
      </c>
    </row>
    <row r="8867" spans="2:7" ht="15" hidden="1" x14ac:dyDescent="0.25">
      <c r="B8867" s="4">
        <v>584686698</v>
      </c>
      <c r="C8867" s="4" t="s">
        <v>279</v>
      </c>
      <c r="D8867" s="4">
        <v>269</v>
      </c>
      <c r="E8867" s="4">
        <v>247</v>
      </c>
      <c r="G8867">
        <f t="shared" si="138"/>
        <v>2032</v>
      </c>
    </row>
    <row r="8868" spans="2:7" ht="15" hidden="1" x14ac:dyDescent="0.25">
      <c r="B8868" s="4">
        <v>584686721</v>
      </c>
      <c r="C8868" s="4" t="s">
        <v>277</v>
      </c>
      <c r="D8868" s="4">
        <v>269</v>
      </c>
      <c r="E8868" s="4">
        <v>61</v>
      </c>
      <c r="G8868">
        <f t="shared" si="138"/>
        <v>544</v>
      </c>
    </row>
    <row r="8869" spans="2:7" ht="15" hidden="1" x14ac:dyDescent="0.25">
      <c r="B8869" s="4">
        <v>584686748</v>
      </c>
      <c r="C8869" s="4" t="s">
        <v>272</v>
      </c>
      <c r="D8869" s="4">
        <v>649</v>
      </c>
      <c r="E8869" s="4">
        <v>271</v>
      </c>
      <c r="G8869">
        <f t="shared" si="138"/>
        <v>2224</v>
      </c>
    </row>
    <row r="8870" spans="2:7" ht="15" hidden="1" x14ac:dyDescent="0.25">
      <c r="B8870" s="4">
        <v>584686848</v>
      </c>
      <c r="C8870" s="4" t="s">
        <v>272</v>
      </c>
      <c r="D8870" s="4">
        <v>650</v>
      </c>
      <c r="E8870" s="4">
        <v>269</v>
      </c>
      <c r="G8870">
        <f t="shared" si="138"/>
        <v>2208</v>
      </c>
    </row>
    <row r="8871" spans="2:7" ht="15" hidden="1" x14ac:dyDescent="0.25">
      <c r="B8871" s="4">
        <v>584686948</v>
      </c>
      <c r="C8871" s="4" t="s">
        <v>272</v>
      </c>
      <c r="D8871" s="4">
        <v>651</v>
      </c>
      <c r="E8871" s="4">
        <v>271</v>
      </c>
      <c r="G8871">
        <f t="shared" si="138"/>
        <v>2224</v>
      </c>
    </row>
    <row r="8872" spans="2:7" ht="15" hidden="1" x14ac:dyDescent="0.25">
      <c r="B8872" s="4">
        <v>584686951</v>
      </c>
      <c r="C8872" s="4" t="s">
        <v>279</v>
      </c>
      <c r="D8872" s="4">
        <v>270</v>
      </c>
      <c r="E8872" s="4">
        <v>255</v>
      </c>
      <c r="G8872">
        <f t="shared" si="138"/>
        <v>2096</v>
      </c>
    </row>
    <row r="8873" spans="2:7" ht="15" hidden="1" x14ac:dyDescent="0.25">
      <c r="B8873" s="4">
        <v>584686974</v>
      </c>
      <c r="C8873" s="4" t="s">
        <v>277</v>
      </c>
      <c r="D8873" s="4">
        <v>270</v>
      </c>
      <c r="E8873" s="4">
        <v>63</v>
      </c>
      <c r="G8873">
        <f t="shared" si="138"/>
        <v>560</v>
      </c>
    </row>
    <row r="8874" spans="2:7" ht="15" hidden="1" x14ac:dyDescent="0.25">
      <c r="B8874" s="4">
        <v>584687048</v>
      </c>
      <c r="C8874" s="4" t="s">
        <v>272</v>
      </c>
      <c r="D8874" s="4">
        <v>652</v>
      </c>
      <c r="E8874" s="4">
        <v>265</v>
      </c>
      <c r="G8874">
        <f t="shared" si="138"/>
        <v>2176</v>
      </c>
    </row>
    <row r="8875" spans="2:7" ht="15" hidden="1" x14ac:dyDescent="0.25">
      <c r="B8875" s="4">
        <v>584687089</v>
      </c>
      <c r="C8875" s="4" t="s">
        <v>279</v>
      </c>
      <c r="D8875" s="4">
        <v>271</v>
      </c>
      <c r="E8875" s="4">
        <v>259</v>
      </c>
      <c r="G8875">
        <f t="shared" si="138"/>
        <v>2128</v>
      </c>
    </row>
    <row r="8876" spans="2:7" ht="15" hidden="1" x14ac:dyDescent="0.25">
      <c r="B8876" s="4">
        <v>584687112</v>
      </c>
      <c r="C8876" s="4" t="s">
        <v>277</v>
      </c>
      <c r="D8876" s="4">
        <v>271</v>
      </c>
      <c r="E8876" s="4">
        <v>59</v>
      </c>
      <c r="G8876">
        <f t="shared" si="138"/>
        <v>528</v>
      </c>
    </row>
    <row r="8877" spans="2:7" ht="15" hidden="1" x14ac:dyDescent="0.25">
      <c r="B8877" s="4">
        <v>584687148</v>
      </c>
      <c r="C8877" s="4" t="s">
        <v>272</v>
      </c>
      <c r="D8877" s="4">
        <v>653</v>
      </c>
      <c r="E8877" s="4">
        <v>261</v>
      </c>
      <c r="G8877">
        <f t="shared" si="138"/>
        <v>2144</v>
      </c>
    </row>
    <row r="8878" spans="2:7" ht="15" hidden="1" x14ac:dyDescent="0.25">
      <c r="B8878" s="4">
        <v>584687220</v>
      </c>
      <c r="C8878" s="4" t="s">
        <v>273</v>
      </c>
      <c r="D8878" s="4">
        <v>10899</v>
      </c>
      <c r="E8878" s="4">
        <v>317</v>
      </c>
      <c r="G8878">
        <f t="shared" si="138"/>
        <v>2592</v>
      </c>
    </row>
    <row r="8879" spans="2:7" ht="15" hidden="1" x14ac:dyDescent="0.25">
      <c r="B8879" s="4">
        <v>584687248</v>
      </c>
      <c r="C8879" s="4" t="s">
        <v>272</v>
      </c>
      <c r="D8879" s="4">
        <v>654</v>
      </c>
      <c r="E8879" s="4">
        <v>269</v>
      </c>
      <c r="G8879">
        <f t="shared" si="138"/>
        <v>2208</v>
      </c>
    </row>
    <row r="8880" spans="2:7" ht="15" hidden="1" x14ac:dyDescent="0.25">
      <c r="B8880" s="4">
        <v>584687342</v>
      </c>
      <c r="C8880" s="4" t="s">
        <v>279</v>
      </c>
      <c r="D8880" s="4">
        <v>272</v>
      </c>
      <c r="E8880" s="4">
        <v>257</v>
      </c>
      <c r="G8880">
        <f t="shared" si="138"/>
        <v>2112</v>
      </c>
    </row>
    <row r="8881" spans="2:7" ht="15" hidden="1" x14ac:dyDescent="0.25">
      <c r="B8881" s="4">
        <v>584687344</v>
      </c>
      <c r="C8881" s="4" t="s">
        <v>269</v>
      </c>
      <c r="D8881" s="4">
        <v>1645</v>
      </c>
      <c r="E8881" s="4">
        <v>57</v>
      </c>
      <c r="G8881">
        <f t="shared" si="138"/>
        <v>512</v>
      </c>
    </row>
    <row r="8882" spans="2:7" ht="15" hidden="1" x14ac:dyDescent="0.25">
      <c r="B8882" s="4">
        <v>584687348</v>
      </c>
      <c r="C8882" s="4" t="s">
        <v>272</v>
      </c>
      <c r="D8882" s="4">
        <v>655</v>
      </c>
      <c r="E8882" s="4">
        <v>273</v>
      </c>
      <c r="G8882">
        <f t="shared" si="138"/>
        <v>2240</v>
      </c>
    </row>
    <row r="8883" spans="2:7" ht="15" hidden="1" x14ac:dyDescent="0.25">
      <c r="B8883" s="4">
        <v>584687365</v>
      </c>
      <c r="C8883" s="4" t="s">
        <v>277</v>
      </c>
      <c r="D8883" s="4">
        <v>272</v>
      </c>
      <c r="E8883" s="4">
        <v>61</v>
      </c>
      <c r="G8883">
        <f t="shared" si="138"/>
        <v>544</v>
      </c>
    </row>
    <row r="8884" spans="2:7" ht="15" hidden="1" x14ac:dyDescent="0.25">
      <c r="B8884" s="4">
        <v>584687448</v>
      </c>
      <c r="C8884" s="4" t="s">
        <v>272</v>
      </c>
      <c r="D8884" s="4">
        <v>656</v>
      </c>
      <c r="E8884" s="4">
        <v>257</v>
      </c>
      <c r="G8884">
        <f t="shared" si="138"/>
        <v>2112</v>
      </c>
    </row>
    <row r="8885" spans="2:7" ht="15" hidden="1" x14ac:dyDescent="0.25">
      <c r="B8885" s="4">
        <v>584687480</v>
      </c>
      <c r="C8885" s="4" t="s">
        <v>279</v>
      </c>
      <c r="D8885" s="4">
        <v>273</v>
      </c>
      <c r="E8885" s="4">
        <v>261</v>
      </c>
      <c r="G8885">
        <f t="shared" si="138"/>
        <v>2144</v>
      </c>
    </row>
    <row r="8886" spans="2:7" ht="15" hidden="1" x14ac:dyDescent="0.25">
      <c r="B8886" s="4">
        <v>584687503</v>
      </c>
      <c r="C8886" s="4" t="s">
        <v>277</v>
      </c>
      <c r="D8886" s="4">
        <v>273</v>
      </c>
      <c r="E8886" s="4">
        <v>59</v>
      </c>
      <c r="G8886">
        <f t="shared" si="138"/>
        <v>528</v>
      </c>
    </row>
    <row r="8887" spans="2:7" ht="15" hidden="1" x14ac:dyDescent="0.25">
      <c r="B8887" s="4">
        <v>584687548</v>
      </c>
      <c r="C8887" s="4" t="s">
        <v>272</v>
      </c>
      <c r="D8887" s="4">
        <v>657</v>
      </c>
      <c r="E8887" s="4">
        <v>265</v>
      </c>
      <c r="G8887">
        <f t="shared" si="138"/>
        <v>2176</v>
      </c>
    </row>
    <row r="8888" spans="2:7" ht="15" hidden="1" x14ac:dyDescent="0.25">
      <c r="B8888" s="4">
        <v>584687648</v>
      </c>
      <c r="C8888" s="4" t="s">
        <v>272</v>
      </c>
      <c r="D8888" s="4">
        <v>658</v>
      </c>
      <c r="E8888" s="4">
        <v>267</v>
      </c>
      <c r="G8888">
        <f t="shared" si="138"/>
        <v>2192</v>
      </c>
    </row>
    <row r="8889" spans="2:7" ht="15" hidden="1" x14ac:dyDescent="0.25">
      <c r="B8889" s="4">
        <v>584687733</v>
      </c>
      <c r="C8889" s="4" t="s">
        <v>279</v>
      </c>
      <c r="D8889" s="4">
        <v>274</v>
      </c>
      <c r="E8889" s="4">
        <v>259</v>
      </c>
      <c r="G8889">
        <f t="shared" si="138"/>
        <v>2128</v>
      </c>
    </row>
    <row r="8890" spans="2:7" ht="15" hidden="1" x14ac:dyDescent="0.25">
      <c r="B8890" s="4">
        <v>584687748</v>
      </c>
      <c r="C8890" s="4" t="s">
        <v>272</v>
      </c>
      <c r="D8890" s="4">
        <v>659</v>
      </c>
      <c r="E8890" s="4">
        <v>261</v>
      </c>
      <c r="G8890">
        <f t="shared" si="138"/>
        <v>2144</v>
      </c>
    </row>
    <row r="8891" spans="2:7" ht="15" hidden="1" x14ac:dyDescent="0.25">
      <c r="B8891" s="4">
        <v>584687756</v>
      </c>
      <c r="C8891" s="4" t="s">
        <v>277</v>
      </c>
      <c r="D8891" s="4">
        <v>274</v>
      </c>
      <c r="E8891" s="4">
        <v>63</v>
      </c>
      <c r="G8891">
        <f t="shared" si="138"/>
        <v>560</v>
      </c>
    </row>
    <row r="8892" spans="2:7" ht="15" hidden="1" x14ac:dyDescent="0.25">
      <c r="B8892" s="4">
        <v>584687848</v>
      </c>
      <c r="C8892" s="4" t="s">
        <v>272</v>
      </c>
      <c r="D8892" s="4">
        <v>660</v>
      </c>
      <c r="E8892" s="4">
        <v>263</v>
      </c>
      <c r="G8892">
        <f t="shared" si="138"/>
        <v>2160</v>
      </c>
    </row>
    <row r="8893" spans="2:7" ht="15" hidden="1" x14ac:dyDescent="0.25">
      <c r="B8893" s="4">
        <v>584687894</v>
      </c>
      <c r="C8893" s="4" t="s">
        <v>279</v>
      </c>
      <c r="D8893" s="4">
        <v>275</v>
      </c>
      <c r="E8893" s="4">
        <v>261</v>
      </c>
      <c r="G8893">
        <f t="shared" si="138"/>
        <v>2144</v>
      </c>
    </row>
    <row r="8894" spans="2:7" ht="15" hidden="1" x14ac:dyDescent="0.25">
      <c r="B8894" s="4">
        <v>584687917</v>
      </c>
      <c r="C8894" s="4" t="s">
        <v>277</v>
      </c>
      <c r="D8894" s="4">
        <v>275</v>
      </c>
      <c r="E8894" s="4">
        <v>59</v>
      </c>
      <c r="G8894">
        <f t="shared" si="138"/>
        <v>528</v>
      </c>
    </row>
    <row r="8895" spans="2:7" ht="15" hidden="1" x14ac:dyDescent="0.25">
      <c r="B8895" s="4">
        <v>584687948</v>
      </c>
      <c r="C8895" s="4" t="s">
        <v>272</v>
      </c>
      <c r="D8895" s="4">
        <v>661</v>
      </c>
      <c r="E8895" s="4">
        <v>271</v>
      </c>
      <c r="G8895">
        <f t="shared" si="138"/>
        <v>2224</v>
      </c>
    </row>
    <row r="8896" spans="2:7" ht="15" hidden="1" x14ac:dyDescent="0.25">
      <c r="B8896" s="4">
        <v>584688048</v>
      </c>
      <c r="C8896" s="4" t="s">
        <v>272</v>
      </c>
      <c r="D8896" s="4">
        <v>662</v>
      </c>
      <c r="E8896" s="4">
        <v>265</v>
      </c>
      <c r="G8896">
        <f t="shared" si="138"/>
        <v>2176</v>
      </c>
    </row>
    <row r="8897" spans="2:7" ht="15" hidden="1" x14ac:dyDescent="0.25">
      <c r="B8897" s="4">
        <v>584688147</v>
      </c>
      <c r="C8897" s="4" t="s">
        <v>279</v>
      </c>
      <c r="D8897" s="4">
        <v>276</v>
      </c>
      <c r="E8897" s="4">
        <v>253</v>
      </c>
      <c r="G8897">
        <f t="shared" si="138"/>
        <v>2080</v>
      </c>
    </row>
    <row r="8898" spans="2:7" ht="15" hidden="1" x14ac:dyDescent="0.25">
      <c r="B8898" s="4">
        <v>584688148</v>
      </c>
      <c r="C8898" s="4" t="s">
        <v>272</v>
      </c>
      <c r="D8898" s="4">
        <v>663</v>
      </c>
      <c r="E8898" s="4">
        <v>257</v>
      </c>
      <c r="G8898">
        <f t="shared" si="138"/>
        <v>2112</v>
      </c>
    </row>
    <row r="8899" spans="2:7" ht="15" hidden="1" x14ac:dyDescent="0.25">
      <c r="B8899" s="4">
        <v>584688170</v>
      </c>
      <c r="C8899" s="4" t="s">
        <v>277</v>
      </c>
      <c r="D8899" s="4">
        <v>276</v>
      </c>
      <c r="E8899" s="4">
        <v>61</v>
      </c>
      <c r="G8899">
        <f t="shared" si="138"/>
        <v>544</v>
      </c>
    </row>
    <row r="8900" spans="2:7" ht="15" hidden="1" x14ac:dyDescent="0.25">
      <c r="B8900" s="4">
        <v>584688248</v>
      </c>
      <c r="C8900" s="4" t="s">
        <v>272</v>
      </c>
      <c r="D8900" s="4">
        <v>664</v>
      </c>
      <c r="E8900" s="4">
        <v>267</v>
      </c>
      <c r="G8900">
        <f t="shared" ref="G8900:G8963" si="139">(E8900+7)*8</f>
        <v>2192</v>
      </c>
    </row>
    <row r="8901" spans="2:7" ht="15" hidden="1" x14ac:dyDescent="0.25">
      <c r="B8901" s="4">
        <v>584688285</v>
      </c>
      <c r="C8901" s="4" t="s">
        <v>279</v>
      </c>
      <c r="D8901" s="4">
        <v>277</v>
      </c>
      <c r="E8901" s="4">
        <v>271</v>
      </c>
      <c r="G8901">
        <f t="shared" si="139"/>
        <v>2224</v>
      </c>
    </row>
    <row r="8902" spans="2:7" ht="15" hidden="1" x14ac:dyDescent="0.25">
      <c r="B8902" s="4">
        <v>584688308</v>
      </c>
      <c r="C8902" s="4" t="s">
        <v>277</v>
      </c>
      <c r="D8902" s="4">
        <v>277</v>
      </c>
      <c r="E8902" s="4">
        <v>59</v>
      </c>
      <c r="G8902">
        <f t="shared" si="139"/>
        <v>528</v>
      </c>
    </row>
    <row r="8903" spans="2:7" ht="15" hidden="1" x14ac:dyDescent="0.25">
      <c r="B8903" s="4">
        <v>584688348</v>
      </c>
      <c r="C8903" s="4" t="s">
        <v>272</v>
      </c>
      <c r="D8903" s="4">
        <v>665</v>
      </c>
      <c r="E8903" s="4">
        <v>263</v>
      </c>
      <c r="G8903">
        <f t="shared" si="139"/>
        <v>2160</v>
      </c>
    </row>
    <row r="8904" spans="2:7" ht="15" hidden="1" x14ac:dyDescent="0.25">
      <c r="B8904" s="4">
        <v>584688423</v>
      </c>
      <c r="C8904" s="4" t="s">
        <v>279</v>
      </c>
      <c r="D8904" s="4">
        <v>278</v>
      </c>
      <c r="E8904" s="4">
        <v>263</v>
      </c>
      <c r="G8904">
        <f t="shared" si="139"/>
        <v>2160</v>
      </c>
    </row>
    <row r="8905" spans="2:7" ht="15" hidden="1" x14ac:dyDescent="0.25">
      <c r="B8905" s="4">
        <v>584688446</v>
      </c>
      <c r="C8905" s="4" t="s">
        <v>277</v>
      </c>
      <c r="D8905" s="4">
        <v>278</v>
      </c>
      <c r="E8905" s="4">
        <v>61</v>
      </c>
      <c r="G8905">
        <f t="shared" si="139"/>
        <v>544</v>
      </c>
    </row>
    <row r="8906" spans="2:7" ht="15" hidden="1" x14ac:dyDescent="0.25">
      <c r="B8906" s="4">
        <v>584688448</v>
      </c>
      <c r="C8906" s="4" t="s">
        <v>272</v>
      </c>
      <c r="D8906" s="4">
        <v>666</v>
      </c>
      <c r="E8906" s="4">
        <v>269</v>
      </c>
      <c r="G8906">
        <f t="shared" si="139"/>
        <v>2208</v>
      </c>
    </row>
    <row r="8907" spans="2:7" ht="15" hidden="1" x14ac:dyDescent="0.25">
      <c r="B8907" s="4">
        <v>584688548</v>
      </c>
      <c r="C8907" s="4" t="s">
        <v>272</v>
      </c>
      <c r="D8907" s="4">
        <v>667</v>
      </c>
      <c r="E8907" s="4">
        <v>263</v>
      </c>
      <c r="G8907">
        <f t="shared" si="139"/>
        <v>2160</v>
      </c>
    </row>
    <row r="8908" spans="2:7" ht="15" hidden="1" x14ac:dyDescent="0.25">
      <c r="B8908" s="4">
        <v>584688648</v>
      </c>
      <c r="C8908" s="4" t="s">
        <v>272</v>
      </c>
      <c r="D8908" s="4">
        <v>668</v>
      </c>
      <c r="E8908" s="4">
        <v>265</v>
      </c>
      <c r="G8908">
        <f t="shared" si="139"/>
        <v>2176</v>
      </c>
    </row>
    <row r="8909" spans="2:7" ht="15" hidden="1" x14ac:dyDescent="0.25">
      <c r="B8909" s="4">
        <v>584688653</v>
      </c>
      <c r="C8909" s="4" t="s">
        <v>279</v>
      </c>
      <c r="D8909" s="4">
        <v>279</v>
      </c>
      <c r="E8909" s="4">
        <v>259</v>
      </c>
      <c r="G8909">
        <f t="shared" si="139"/>
        <v>2128</v>
      </c>
    </row>
    <row r="8910" spans="2:7" ht="15" hidden="1" x14ac:dyDescent="0.25">
      <c r="B8910" s="4">
        <v>584688676</v>
      </c>
      <c r="C8910" s="4" t="s">
        <v>277</v>
      </c>
      <c r="D8910" s="4">
        <v>279</v>
      </c>
      <c r="E8910" s="4">
        <v>59</v>
      </c>
      <c r="G8910">
        <f t="shared" si="139"/>
        <v>528</v>
      </c>
    </row>
    <row r="8911" spans="2:7" ht="15" hidden="1" x14ac:dyDescent="0.25">
      <c r="B8911" s="4">
        <v>584688748</v>
      </c>
      <c r="C8911" s="4" t="s">
        <v>272</v>
      </c>
      <c r="D8911" s="4">
        <v>669</v>
      </c>
      <c r="E8911" s="4">
        <v>271</v>
      </c>
      <c r="G8911">
        <f t="shared" si="139"/>
        <v>2224</v>
      </c>
    </row>
    <row r="8912" spans="2:7" ht="15" hidden="1" x14ac:dyDescent="0.25">
      <c r="B8912" s="4">
        <v>584688848</v>
      </c>
      <c r="C8912" s="4" t="s">
        <v>272</v>
      </c>
      <c r="D8912" s="4">
        <v>670</v>
      </c>
      <c r="E8912" s="4">
        <v>273</v>
      </c>
      <c r="G8912">
        <f t="shared" si="139"/>
        <v>2240</v>
      </c>
    </row>
    <row r="8913" spans="2:7" ht="15" hidden="1" x14ac:dyDescent="0.25">
      <c r="B8913" s="4">
        <v>584688906</v>
      </c>
      <c r="C8913" s="4" t="s">
        <v>279</v>
      </c>
      <c r="D8913" s="4">
        <v>280</v>
      </c>
      <c r="E8913" s="4">
        <v>261</v>
      </c>
      <c r="G8913">
        <f t="shared" si="139"/>
        <v>2144</v>
      </c>
    </row>
    <row r="8914" spans="2:7" ht="15" hidden="1" x14ac:dyDescent="0.25">
      <c r="B8914" s="4">
        <v>584688929</v>
      </c>
      <c r="C8914" s="4" t="s">
        <v>277</v>
      </c>
      <c r="D8914" s="4">
        <v>280</v>
      </c>
      <c r="E8914" s="4">
        <v>63</v>
      </c>
      <c r="G8914">
        <f t="shared" si="139"/>
        <v>560</v>
      </c>
    </row>
    <row r="8915" spans="2:7" ht="15" hidden="1" x14ac:dyDescent="0.25">
      <c r="B8915" s="4">
        <v>584688948</v>
      </c>
      <c r="C8915" s="4" t="s">
        <v>272</v>
      </c>
      <c r="D8915" s="4">
        <v>671</v>
      </c>
      <c r="E8915" s="4">
        <v>275</v>
      </c>
      <c r="G8915">
        <f t="shared" si="139"/>
        <v>2256</v>
      </c>
    </row>
    <row r="8916" spans="2:7" ht="15" hidden="1" x14ac:dyDescent="0.25">
      <c r="B8916" s="4">
        <v>584689044</v>
      </c>
      <c r="C8916" s="4" t="s">
        <v>279</v>
      </c>
      <c r="D8916" s="4">
        <v>281</v>
      </c>
      <c r="E8916" s="4">
        <v>267</v>
      </c>
      <c r="G8916">
        <f t="shared" si="139"/>
        <v>2192</v>
      </c>
    </row>
    <row r="8917" spans="2:7" ht="15" hidden="1" x14ac:dyDescent="0.25">
      <c r="B8917" s="4">
        <v>584689048</v>
      </c>
      <c r="C8917" s="4" t="s">
        <v>272</v>
      </c>
      <c r="D8917" s="4">
        <v>672</v>
      </c>
      <c r="E8917" s="4">
        <v>263</v>
      </c>
      <c r="G8917">
        <f t="shared" si="139"/>
        <v>2160</v>
      </c>
    </row>
    <row r="8918" spans="2:7" ht="15" hidden="1" x14ac:dyDescent="0.25">
      <c r="B8918" s="4">
        <v>584689067</v>
      </c>
      <c r="C8918" s="4" t="s">
        <v>277</v>
      </c>
      <c r="D8918" s="4">
        <v>281</v>
      </c>
      <c r="E8918" s="4">
        <v>61</v>
      </c>
      <c r="G8918">
        <f t="shared" si="139"/>
        <v>544</v>
      </c>
    </row>
    <row r="8919" spans="2:7" ht="15" hidden="1" x14ac:dyDescent="0.25">
      <c r="B8919" s="4">
        <v>584689144</v>
      </c>
      <c r="C8919" s="4" t="s">
        <v>269</v>
      </c>
      <c r="D8919" s="4">
        <v>1646</v>
      </c>
      <c r="E8919" s="4">
        <v>57</v>
      </c>
      <c r="G8919">
        <f t="shared" si="139"/>
        <v>512</v>
      </c>
    </row>
    <row r="8920" spans="2:7" ht="15" hidden="1" x14ac:dyDescent="0.25">
      <c r="B8920" s="4">
        <v>584689148</v>
      </c>
      <c r="C8920" s="4" t="s">
        <v>272</v>
      </c>
      <c r="D8920" s="4">
        <v>673</v>
      </c>
      <c r="E8920" s="4">
        <v>263</v>
      </c>
      <c r="G8920">
        <f t="shared" si="139"/>
        <v>2160</v>
      </c>
    </row>
    <row r="8921" spans="2:7" ht="15" hidden="1" x14ac:dyDescent="0.25">
      <c r="B8921" s="4">
        <v>584689248</v>
      </c>
      <c r="C8921" s="4" t="s">
        <v>272</v>
      </c>
      <c r="D8921" s="4">
        <v>674</v>
      </c>
      <c r="E8921" s="4">
        <v>265</v>
      </c>
      <c r="G8921">
        <f t="shared" si="139"/>
        <v>2176</v>
      </c>
    </row>
    <row r="8922" spans="2:7" ht="15" hidden="1" x14ac:dyDescent="0.25">
      <c r="B8922" s="4">
        <v>584689297</v>
      </c>
      <c r="C8922" s="4" t="s">
        <v>279</v>
      </c>
      <c r="D8922" s="4">
        <v>282</v>
      </c>
      <c r="E8922" s="4">
        <v>261</v>
      </c>
      <c r="G8922">
        <f t="shared" si="139"/>
        <v>2144</v>
      </c>
    </row>
    <row r="8923" spans="2:7" ht="15" hidden="1" x14ac:dyDescent="0.25">
      <c r="B8923" s="4">
        <v>584689316</v>
      </c>
      <c r="C8923" s="4" t="s">
        <v>268</v>
      </c>
      <c r="D8923" s="4">
        <v>337</v>
      </c>
      <c r="E8923" s="4">
        <v>6</v>
      </c>
      <c r="G8923">
        <f t="shared" si="139"/>
        <v>104</v>
      </c>
    </row>
    <row r="8924" spans="2:7" ht="15" hidden="1" x14ac:dyDescent="0.25">
      <c r="B8924" s="4">
        <v>584689316</v>
      </c>
      <c r="C8924" s="4" t="s">
        <v>268</v>
      </c>
      <c r="D8924" s="4">
        <v>337</v>
      </c>
      <c r="E8924" s="4">
        <v>6</v>
      </c>
      <c r="G8924">
        <f t="shared" si="139"/>
        <v>104</v>
      </c>
    </row>
    <row r="8925" spans="2:7" ht="15" hidden="1" x14ac:dyDescent="0.25">
      <c r="B8925" s="4">
        <v>584689316</v>
      </c>
      <c r="C8925" s="4" t="s">
        <v>268</v>
      </c>
      <c r="D8925" s="4">
        <v>338</v>
      </c>
      <c r="E8925" s="4">
        <v>7</v>
      </c>
      <c r="G8925">
        <f t="shared" si="139"/>
        <v>112</v>
      </c>
    </row>
    <row r="8926" spans="2:7" ht="15" hidden="1" x14ac:dyDescent="0.25">
      <c r="B8926" s="4">
        <v>584689316</v>
      </c>
      <c r="C8926" s="4" t="s">
        <v>268</v>
      </c>
      <c r="D8926" s="4">
        <v>338</v>
      </c>
      <c r="E8926" s="4">
        <v>7</v>
      </c>
      <c r="G8926">
        <f t="shared" si="139"/>
        <v>112</v>
      </c>
    </row>
    <row r="8927" spans="2:7" ht="15" hidden="1" x14ac:dyDescent="0.25">
      <c r="B8927" s="4">
        <v>584689316</v>
      </c>
      <c r="C8927" s="4" t="s">
        <v>268</v>
      </c>
      <c r="D8927" s="4">
        <v>339</v>
      </c>
      <c r="E8927" s="4">
        <v>7</v>
      </c>
      <c r="G8927">
        <f t="shared" si="139"/>
        <v>112</v>
      </c>
    </row>
    <row r="8928" spans="2:7" ht="15" hidden="1" x14ac:dyDescent="0.25">
      <c r="B8928" s="4">
        <v>584689316</v>
      </c>
      <c r="C8928" s="4" t="s">
        <v>268</v>
      </c>
      <c r="D8928" s="4">
        <v>339</v>
      </c>
      <c r="E8928" s="4">
        <v>7</v>
      </c>
      <c r="G8928">
        <f t="shared" si="139"/>
        <v>112</v>
      </c>
    </row>
    <row r="8929" spans="2:7" ht="15" hidden="1" x14ac:dyDescent="0.25">
      <c r="B8929" s="4">
        <v>584689317</v>
      </c>
      <c r="C8929" s="4" t="s">
        <v>268</v>
      </c>
      <c r="D8929" s="4">
        <v>340</v>
      </c>
      <c r="E8929" s="4">
        <v>7</v>
      </c>
      <c r="G8929">
        <f t="shared" si="139"/>
        <v>112</v>
      </c>
    </row>
    <row r="8930" spans="2:7" ht="15" hidden="1" x14ac:dyDescent="0.25">
      <c r="B8930" s="4">
        <v>584689317</v>
      </c>
      <c r="C8930" s="4" t="s">
        <v>268</v>
      </c>
      <c r="D8930" s="4">
        <v>340</v>
      </c>
      <c r="E8930" s="4">
        <v>7</v>
      </c>
      <c r="G8930">
        <f t="shared" si="139"/>
        <v>112</v>
      </c>
    </row>
    <row r="8931" spans="2:7" ht="15" hidden="1" x14ac:dyDescent="0.25">
      <c r="B8931" s="4">
        <v>584689317</v>
      </c>
      <c r="C8931" s="4" t="s">
        <v>268</v>
      </c>
      <c r="D8931" s="4">
        <v>341</v>
      </c>
      <c r="E8931" s="4">
        <v>7</v>
      </c>
      <c r="G8931">
        <f t="shared" si="139"/>
        <v>112</v>
      </c>
    </row>
    <row r="8932" spans="2:7" ht="15" hidden="1" x14ac:dyDescent="0.25">
      <c r="B8932" s="4">
        <v>584689317</v>
      </c>
      <c r="C8932" s="4" t="s">
        <v>268</v>
      </c>
      <c r="D8932" s="4">
        <v>341</v>
      </c>
      <c r="E8932" s="4">
        <v>7</v>
      </c>
      <c r="G8932">
        <f t="shared" si="139"/>
        <v>112</v>
      </c>
    </row>
    <row r="8933" spans="2:7" ht="15" hidden="1" x14ac:dyDescent="0.25">
      <c r="B8933" s="4">
        <v>584689317</v>
      </c>
      <c r="C8933" s="4" t="s">
        <v>268</v>
      </c>
      <c r="D8933" s="4">
        <v>342</v>
      </c>
      <c r="E8933" s="4">
        <v>7</v>
      </c>
      <c r="G8933">
        <f t="shared" si="139"/>
        <v>112</v>
      </c>
    </row>
    <row r="8934" spans="2:7" ht="15" hidden="1" x14ac:dyDescent="0.25">
      <c r="B8934" s="4">
        <v>584689317</v>
      </c>
      <c r="C8934" s="4" t="s">
        <v>268</v>
      </c>
      <c r="D8934" s="4">
        <v>342</v>
      </c>
      <c r="E8934" s="4">
        <v>7</v>
      </c>
      <c r="G8934">
        <f t="shared" si="139"/>
        <v>112</v>
      </c>
    </row>
    <row r="8935" spans="2:7" ht="15" hidden="1" x14ac:dyDescent="0.25">
      <c r="B8935" s="4">
        <v>584689320</v>
      </c>
      <c r="C8935" s="4" t="s">
        <v>268</v>
      </c>
      <c r="D8935" s="4">
        <v>343</v>
      </c>
      <c r="E8935" s="4">
        <v>7</v>
      </c>
      <c r="G8935">
        <f t="shared" si="139"/>
        <v>112</v>
      </c>
    </row>
    <row r="8936" spans="2:7" ht="15" hidden="1" x14ac:dyDescent="0.25">
      <c r="B8936" s="4">
        <v>584689320</v>
      </c>
      <c r="C8936" s="4" t="s">
        <v>268</v>
      </c>
      <c r="D8936" s="4">
        <v>343</v>
      </c>
      <c r="E8936" s="4">
        <v>7</v>
      </c>
      <c r="G8936">
        <f t="shared" si="139"/>
        <v>112</v>
      </c>
    </row>
    <row r="8937" spans="2:7" ht="15" hidden="1" x14ac:dyDescent="0.25">
      <c r="B8937" s="4">
        <v>584689320</v>
      </c>
      <c r="C8937" s="4" t="s">
        <v>268</v>
      </c>
      <c r="D8937" s="4">
        <v>344</v>
      </c>
      <c r="E8937" s="4">
        <v>7</v>
      </c>
      <c r="G8937">
        <f t="shared" si="139"/>
        <v>112</v>
      </c>
    </row>
    <row r="8938" spans="2:7" ht="15" hidden="1" x14ac:dyDescent="0.25">
      <c r="B8938" s="4">
        <v>584689320</v>
      </c>
      <c r="C8938" s="4" t="s">
        <v>268</v>
      </c>
      <c r="D8938" s="4">
        <v>344</v>
      </c>
      <c r="E8938" s="4">
        <v>7</v>
      </c>
      <c r="G8938">
        <f t="shared" si="139"/>
        <v>112</v>
      </c>
    </row>
    <row r="8939" spans="2:7" ht="15" hidden="1" x14ac:dyDescent="0.25">
      <c r="B8939" s="4">
        <v>584689320</v>
      </c>
      <c r="C8939" s="4" t="s">
        <v>268</v>
      </c>
      <c r="D8939" s="4">
        <v>345</v>
      </c>
      <c r="E8939" s="4">
        <v>7</v>
      </c>
      <c r="G8939">
        <f t="shared" si="139"/>
        <v>112</v>
      </c>
    </row>
    <row r="8940" spans="2:7" ht="15" hidden="1" x14ac:dyDescent="0.25">
      <c r="B8940" s="4">
        <v>584689320</v>
      </c>
      <c r="C8940" s="4" t="s">
        <v>268</v>
      </c>
      <c r="D8940" s="4">
        <v>345</v>
      </c>
      <c r="E8940" s="4">
        <v>7</v>
      </c>
      <c r="G8940">
        <f t="shared" si="139"/>
        <v>112</v>
      </c>
    </row>
    <row r="8941" spans="2:7" ht="15" hidden="1" x14ac:dyDescent="0.25">
      <c r="B8941" s="4">
        <v>584689321</v>
      </c>
      <c r="C8941" s="4" t="s">
        <v>273</v>
      </c>
      <c r="D8941" s="4">
        <v>13000</v>
      </c>
      <c r="E8941" s="4">
        <v>317</v>
      </c>
      <c r="G8941">
        <f t="shared" si="139"/>
        <v>2592</v>
      </c>
    </row>
    <row r="8942" spans="2:7" ht="15" hidden="1" x14ac:dyDescent="0.25">
      <c r="B8942" s="4">
        <v>584689323</v>
      </c>
      <c r="C8942" s="4" t="s">
        <v>268</v>
      </c>
      <c r="D8942" s="4">
        <v>346</v>
      </c>
      <c r="E8942" s="4">
        <v>7</v>
      </c>
      <c r="G8942">
        <f t="shared" si="139"/>
        <v>112</v>
      </c>
    </row>
    <row r="8943" spans="2:7" ht="15" hidden="1" x14ac:dyDescent="0.25">
      <c r="B8943" s="4">
        <v>584689323</v>
      </c>
      <c r="C8943" s="4" t="s">
        <v>268</v>
      </c>
      <c r="D8943" s="4">
        <v>346</v>
      </c>
      <c r="E8943" s="4">
        <v>7</v>
      </c>
      <c r="G8943">
        <f t="shared" si="139"/>
        <v>112</v>
      </c>
    </row>
    <row r="8944" spans="2:7" ht="15" hidden="1" x14ac:dyDescent="0.25">
      <c r="B8944" s="4">
        <v>584689323</v>
      </c>
      <c r="C8944" s="4" t="s">
        <v>268</v>
      </c>
      <c r="D8944" s="4">
        <v>347</v>
      </c>
      <c r="E8944" s="4">
        <v>7</v>
      </c>
      <c r="G8944">
        <f t="shared" si="139"/>
        <v>112</v>
      </c>
    </row>
    <row r="8945" spans="2:7" ht="15" hidden="1" x14ac:dyDescent="0.25">
      <c r="B8945" s="4">
        <v>584689323</v>
      </c>
      <c r="C8945" s="4" t="s">
        <v>268</v>
      </c>
      <c r="D8945" s="4">
        <v>347</v>
      </c>
      <c r="E8945" s="4">
        <v>7</v>
      </c>
      <c r="G8945">
        <f t="shared" si="139"/>
        <v>112</v>
      </c>
    </row>
    <row r="8946" spans="2:7" ht="15" hidden="1" x14ac:dyDescent="0.25">
      <c r="B8946" s="4">
        <v>584689323</v>
      </c>
      <c r="C8946" s="4" t="s">
        <v>268</v>
      </c>
      <c r="D8946" s="4">
        <v>348</v>
      </c>
      <c r="E8946" s="4">
        <v>7</v>
      </c>
      <c r="G8946">
        <f t="shared" si="139"/>
        <v>112</v>
      </c>
    </row>
    <row r="8947" spans="2:7" ht="15" hidden="1" x14ac:dyDescent="0.25">
      <c r="B8947" s="4">
        <v>584689323</v>
      </c>
      <c r="C8947" s="4" t="s">
        <v>268</v>
      </c>
      <c r="D8947" s="4">
        <v>348</v>
      </c>
      <c r="E8947" s="4">
        <v>7</v>
      </c>
      <c r="G8947">
        <f t="shared" si="139"/>
        <v>112</v>
      </c>
    </row>
    <row r="8948" spans="2:7" ht="15" hidden="1" x14ac:dyDescent="0.25">
      <c r="B8948" s="4">
        <v>584689326</v>
      </c>
      <c r="C8948" s="4" t="s">
        <v>268</v>
      </c>
      <c r="D8948" s="4">
        <v>349</v>
      </c>
      <c r="E8948" s="4">
        <v>7</v>
      </c>
      <c r="G8948">
        <f t="shared" si="139"/>
        <v>112</v>
      </c>
    </row>
    <row r="8949" spans="2:7" ht="15" hidden="1" x14ac:dyDescent="0.25">
      <c r="B8949" s="4">
        <v>584689326</v>
      </c>
      <c r="C8949" s="4" t="s">
        <v>268</v>
      </c>
      <c r="D8949" s="4">
        <v>349</v>
      </c>
      <c r="E8949" s="4">
        <v>7</v>
      </c>
      <c r="G8949">
        <f t="shared" si="139"/>
        <v>112</v>
      </c>
    </row>
    <row r="8950" spans="2:7" ht="15" hidden="1" x14ac:dyDescent="0.25">
      <c r="B8950" s="4">
        <v>584689326</v>
      </c>
      <c r="C8950" s="4" t="s">
        <v>268</v>
      </c>
      <c r="D8950" s="4">
        <v>350</v>
      </c>
      <c r="E8950" s="4">
        <v>7</v>
      </c>
      <c r="G8950">
        <f t="shared" si="139"/>
        <v>112</v>
      </c>
    </row>
    <row r="8951" spans="2:7" ht="15" hidden="1" x14ac:dyDescent="0.25">
      <c r="B8951" s="4">
        <v>584689326</v>
      </c>
      <c r="C8951" s="4" t="s">
        <v>268</v>
      </c>
      <c r="D8951" s="4">
        <v>350</v>
      </c>
      <c r="E8951" s="4">
        <v>7</v>
      </c>
      <c r="G8951">
        <f t="shared" si="139"/>
        <v>112</v>
      </c>
    </row>
    <row r="8952" spans="2:7" ht="15" hidden="1" x14ac:dyDescent="0.25">
      <c r="B8952" s="4">
        <v>584689326</v>
      </c>
      <c r="C8952" s="4" t="s">
        <v>268</v>
      </c>
      <c r="D8952" s="4">
        <v>351</v>
      </c>
      <c r="E8952" s="4">
        <v>7</v>
      </c>
      <c r="G8952">
        <f t="shared" si="139"/>
        <v>112</v>
      </c>
    </row>
    <row r="8953" spans="2:7" ht="15" hidden="1" x14ac:dyDescent="0.25">
      <c r="B8953" s="4">
        <v>584689326</v>
      </c>
      <c r="C8953" s="4" t="s">
        <v>268</v>
      </c>
      <c r="D8953" s="4">
        <v>351</v>
      </c>
      <c r="E8953" s="4">
        <v>7</v>
      </c>
      <c r="G8953">
        <f t="shared" si="139"/>
        <v>112</v>
      </c>
    </row>
    <row r="8954" spans="2:7" ht="15" hidden="1" x14ac:dyDescent="0.25">
      <c r="B8954" s="4">
        <v>584689329</v>
      </c>
      <c r="C8954" s="4" t="s">
        <v>268</v>
      </c>
      <c r="D8954" s="4">
        <v>352</v>
      </c>
      <c r="E8954" s="4">
        <v>7</v>
      </c>
      <c r="G8954">
        <f t="shared" si="139"/>
        <v>112</v>
      </c>
    </row>
    <row r="8955" spans="2:7" ht="15" hidden="1" x14ac:dyDescent="0.25">
      <c r="B8955" s="4">
        <v>584689329</v>
      </c>
      <c r="C8955" s="4" t="s">
        <v>268</v>
      </c>
      <c r="D8955" s="4">
        <v>352</v>
      </c>
      <c r="E8955" s="4">
        <v>7</v>
      </c>
      <c r="G8955">
        <f t="shared" si="139"/>
        <v>112</v>
      </c>
    </row>
    <row r="8956" spans="2:7" ht="15" hidden="1" x14ac:dyDescent="0.25">
      <c r="B8956" s="4">
        <v>584689329</v>
      </c>
      <c r="C8956" s="4" t="s">
        <v>268</v>
      </c>
      <c r="D8956" s="4">
        <v>353</v>
      </c>
      <c r="E8956" s="4">
        <v>7</v>
      </c>
      <c r="G8956">
        <f t="shared" si="139"/>
        <v>112</v>
      </c>
    </row>
    <row r="8957" spans="2:7" ht="15" hidden="1" x14ac:dyDescent="0.25">
      <c r="B8957" s="4">
        <v>584689329</v>
      </c>
      <c r="C8957" s="4" t="s">
        <v>268</v>
      </c>
      <c r="D8957" s="4">
        <v>353</v>
      </c>
      <c r="E8957" s="4">
        <v>7</v>
      </c>
      <c r="G8957">
        <f t="shared" si="139"/>
        <v>112</v>
      </c>
    </row>
    <row r="8958" spans="2:7" ht="15" hidden="1" x14ac:dyDescent="0.25">
      <c r="B8958" s="4">
        <v>584689329</v>
      </c>
      <c r="C8958" s="4" t="s">
        <v>268</v>
      </c>
      <c r="D8958" s="4">
        <v>354</v>
      </c>
      <c r="E8958" s="4">
        <v>7</v>
      </c>
      <c r="G8958">
        <f t="shared" si="139"/>
        <v>112</v>
      </c>
    </row>
    <row r="8959" spans="2:7" ht="15" hidden="1" x14ac:dyDescent="0.25">
      <c r="B8959" s="4">
        <v>584689329</v>
      </c>
      <c r="C8959" s="4" t="s">
        <v>268</v>
      </c>
      <c r="D8959" s="4">
        <v>354</v>
      </c>
      <c r="E8959" s="4">
        <v>7</v>
      </c>
      <c r="G8959">
        <f t="shared" si="139"/>
        <v>112</v>
      </c>
    </row>
    <row r="8960" spans="2:7" ht="15" hidden="1" x14ac:dyDescent="0.25">
      <c r="B8960" s="4">
        <v>584689332</v>
      </c>
      <c r="C8960" s="4" t="s">
        <v>268</v>
      </c>
      <c r="D8960" s="4">
        <v>355</v>
      </c>
      <c r="E8960" s="4">
        <v>7</v>
      </c>
      <c r="G8960">
        <f t="shared" si="139"/>
        <v>112</v>
      </c>
    </row>
    <row r="8961" spans="2:7" ht="15" hidden="1" x14ac:dyDescent="0.25">
      <c r="B8961" s="4">
        <v>584689332</v>
      </c>
      <c r="C8961" s="4" t="s">
        <v>268</v>
      </c>
      <c r="D8961" s="4">
        <v>355</v>
      </c>
      <c r="E8961" s="4">
        <v>7</v>
      </c>
      <c r="G8961">
        <f t="shared" si="139"/>
        <v>112</v>
      </c>
    </row>
    <row r="8962" spans="2:7" ht="15" hidden="1" x14ac:dyDescent="0.25">
      <c r="B8962" s="4">
        <v>584689332</v>
      </c>
      <c r="C8962" s="4" t="s">
        <v>268</v>
      </c>
      <c r="D8962" s="4">
        <v>356</v>
      </c>
      <c r="E8962" s="4">
        <v>7</v>
      </c>
      <c r="G8962">
        <f t="shared" si="139"/>
        <v>112</v>
      </c>
    </row>
    <row r="8963" spans="2:7" ht="15" hidden="1" x14ac:dyDescent="0.25">
      <c r="B8963" s="4">
        <v>584689332</v>
      </c>
      <c r="C8963" s="4" t="s">
        <v>268</v>
      </c>
      <c r="D8963" s="4">
        <v>356</v>
      </c>
      <c r="E8963" s="4">
        <v>7</v>
      </c>
      <c r="G8963">
        <f t="shared" si="139"/>
        <v>112</v>
      </c>
    </row>
    <row r="8964" spans="2:7" ht="15" hidden="1" x14ac:dyDescent="0.25">
      <c r="B8964" s="4">
        <v>584689332</v>
      </c>
      <c r="C8964" s="4" t="s">
        <v>268</v>
      </c>
      <c r="D8964" s="4">
        <v>357</v>
      </c>
      <c r="E8964" s="4">
        <v>7</v>
      </c>
      <c r="G8964">
        <f t="shared" ref="G8964:G9027" si="140">(E8964+7)*8</f>
        <v>112</v>
      </c>
    </row>
    <row r="8965" spans="2:7" ht="15" hidden="1" x14ac:dyDescent="0.25">
      <c r="B8965" s="4">
        <v>584689332</v>
      </c>
      <c r="C8965" s="4" t="s">
        <v>268</v>
      </c>
      <c r="D8965" s="4">
        <v>357</v>
      </c>
      <c r="E8965" s="4">
        <v>7</v>
      </c>
      <c r="G8965">
        <f t="shared" si="140"/>
        <v>112</v>
      </c>
    </row>
    <row r="8966" spans="2:7" ht="15" hidden="1" x14ac:dyDescent="0.25">
      <c r="B8966" s="4">
        <v>584689335</v>
      </c>
      <c r="C8966" s="4" t="s">
        <v>268</v>
      </c>
      <c r="D8966" s="4">
        <v>358</v>
      </c>
      <c r="E8966" s="4">
        <v>7</v>
      </c>
      <c r="G8966">
        <f t="shared" si="140"/>
        <v>112</v>
      </c>
    </row>
    <row r="8967" spans="2:7" ht="15" hidden="1" x14ac:dyDescent="0.25">
      <c r="B8967" s="4">
        <v>584689335</v>
      </c>
      <c r="C8967" s="4" t="s">
        <v>268</v>
      </c>
      <c r="D8967" s="4">
        <v>358</v>
      </c>
      <c r="E8967" s="4">
        <v>7</v>
      </c>
      <c r="G8967">
        <f t="shared" si="140"/>
        <v>112</v>
      </c>
    </row>
    <row r="8968" spans="2:7" ht="15" hidden="1" x14ac:dyDescent="0.25">
      <c r="B8968" s="4">
        <v>584689335</v>
      </c>
      <c r="C8968" s="4" t="s">
        <v>268</v>
      </c>
      <c r="D8968" s="4">
        <v>359</v>
      </c>
      <c r="E8968" s="4">
        <v>7</v>
      </c>
      <c r="G8968">
        <f t="shared" si="140"/>
        <v>112</v>
      </c>
    </row>
    <row r="8969" spans="2:7" ht="15" hidden="1" x14ac:dyDescent="0.25">
      <c r="B8969" s="4">
        <v>584689335</v>
      </c>
      <c r="C8969" s="4" t="s">
        <v>268</v>
      </c>
      <c r="D8969" s="4">
        <v>359</v>
      </c>
      <c r="E8969" s="4">
        <v>7</v>
      </c>
      <c r="G8969">
        <f t="shared" si="140"/>
        <v>112</v>
      </c>
    </row>
    <row r="8970" spans="2:7" ht="15" hidden="1" x14ac:dyDescent="0.25">
      <c r="B8970" s="4">
        <v>584689335</v>
      </c>
      <c r="C8970" s="4" t="s">
        <v>268</v>
      </c>
      <c r="D8970" s="4">
        <v>360</v>
      </c>
      <c r="E8970" s="4">
        <v>7</v>
      </c>
      <c r="G8970">
        <f t="shared" si="140"/>
        <v>112</v>
      </c>
    </row>
    <row r="8971" spans="2:7" ht="15" hidden="1" x14ac:dyDescent="0.25">
      <c r="B8971" s="4">
        <v>584689335</v>
      </c>
      <c r="C8971" s="4" t="s">
        <v>268</v>
      </c>
      <c r="D8971" s="4">
        <v>360</v>
      </c>
      <c r="E8971" s="4">
        <v>7</v>
      </c>
      <c r="G8971">
        <f t="shared" si="140"/>
        <v>112</v>
      </c>
    </row>
    <row r="8972" spans="2:7" ht="15" hidden="1" x14ac:dyDescent="0.25">
      <c r="B8972" s="4">
        <v>584689338</v>
      </c>
      <c r="C8972" s="4" t="s">
        <v>268</v>
      </c>
      <c r="D8972" s="4">
        <v>361</v>
      </c>
      <c r="E8972" s="4">
        <v>7</v>
      </c>
      <c r="G8972">
        <f t="shared" si="140"/>
        <v>112</v>
      </c>
    </row>
    <row r="8973" spans="2:7" ht="15" hidden="1" x14ac:dyDescent="0.25">
      <c r="B8973" s="4">
        <v>584689338</v>
      </c>
      <c r="C8973" s="4" t="s">
        <v>268</v>
      </c>
      <c r="D8973" s="4">
        <v>361</v>
      </c>
      <c r="E8973" s="4">
        <v>7</v>
      </c>
      <c r="G8973">
        <f t="shared" si="140"/>
        <v>112</v>
      </c>
    </row>
    <row r="8974" spans="2:7" ht="15" hidden="1" x14ac:dyDescent="0.25">
      <c r="B8974" s="4">
        <v>584689338</v>
      </c>
      <c r="C8974" s="4" t="s">
        <v>268</v>
      </c>
      <c r="D8974" s="4">
        <v>362</v>
      </c>
      <c r="E8974" s="4">
        <v>7</v>
      </c>
      <c r="G8974">
        <f t="shared" si="140"/>
        <v>112</v>
      </c>
    </row>
    <row r="8975" spans="2:7" ht="15" hidden="1" x14ac:dyDescent="0.25">
      <c r="B8975" s="4">
        <v>584689338</v>
      </c>
      <c r="C8975" s="4" t="s">
        <v>268</v>
      </c>
      <c r="D8975" s="4">
        <v>362</v>
      </c>
      <c r="E8975" s="4">
        <v>7</v>
      </c>
      <c r="G8975">
        <f t="shared" si="140"/>
        <v>112</v>
      </c>
    </row>
    <row r="8976" spans="2:7" ht="15" hidden="1" x14ac:dyDescent="0.25">
      <c r="B8976" s="4">
        <v>584689338</v>
      </c>
      <c r="C8976" s="4" t="s">
        <v>268</v>
      </c>
      <c r="D8976" s="4">
        <v>363</v>
      </c>
      <c r="E8976" s="4">
        <v>7</v>
      </c>
      <c r="G8976">
        <f t="shared" si="140"/>
        <v>112</v>
      </c>
    </row>
    <row r="8977" spans="2:7" ht="15" hidden="1" x14ac:dyDescent="0.25">
      <c r="B8977" s="4">
        <v>584689338</v>
      </c>
      <c r="C8977" s="4" t="s">
        <v>268</v>
      </c>
      <c r="D8977" s="4">
        <v>363</v>
      </c>
      <c r="E8977" s="4">
        <v>7</v>
      </c>
      <c r="G8977">
        <f t="shared" si="140"/>
        <v>112</v>
      </c>
    </row>
    <row r="8978" spans="2:7" ht="15" hidden="1" x14ac:dyDescent="0.25">
      <c r="B8978" s="4">
        <v>584689341</v>
      </c>
      <c r="C8978" s="4" t="s">
        <v>268</v>
      </c>
      <c r="D8978" s="4">
        <v>364</v>
      </c>
      <c r="E8978" s="4">
        <v>7</v>
      </c>
      <c r="G8978">
        <f t="shared" si="140"/>
        <v>112</v>
      </c>
    </row>
    <row r="8979" spans="2:7" ht="15" hidden="1" x14ac:dyDescent="0.25">
      <c r="B8979" s="4">
        <v>584689341</v>
      </c>
      <c r="C8979" s="4" t="s">
        <v>268</v>
      </c>
      <c r="D8979" s="4">
        <v>364</v>
      </c>
      <c r="E8979" s="4">
        <v>7</v>
      </c>
      <c r="G8979">
        <f t="shared" si="140"/>
        <v>112</v>
      </c>
    </row>
    <row r="8980" spans="2:7" ht="15" hidden="1" x14ac:dyDescent="0.25">
      <c r="B8980" s="4">
        <v>584689341</v>
      </c>
      <c r="C8980" s="4" t="s">
        <v>268</v>
      </c>
      <c r="D8980" s="4">
        <v>365</v>
      </c>
      <c r="E8980" s="4">
        <v>7</v>
      </c>
      <c r="G8980">
        <f t="shared" si="140"/>
        <v>112</v>
      </c>
    </row>
    <row r="8981" spans="2:7" ht="15" hidden="1" x14ac:dyDescent="0.25">
      <c r="B8981" s="4">
        <v>584689341</v>
      </c>
      <c r="C8981" s="4" t="s">
        <v>268</v>
      </c>
      <c r="D8981" s="4">
        <v>365</v>
      </c>
      <c r="E8981" s="4">
        <v>7</v>
      </c>
      <c r="G8981">
        <f t="shared" si="140"/>
        <v>112</v>
      </c>
    </row>
    <row r="8982" spans="2:7" ht="15" hidden="1" x14ac:dyDescent="0.25">
      <c r="B8982" s="4">
        <v>584689341</v>
      </c>
      <c r="C8982" s="4" t="s">
        <v>268</v>
      </c>
      <c r="D8982" s="4">
        <v>366</v>
      </c>
      <c r="E8982" s="4">
        <v>7</v>
      </c>
      <c r="G8982">
        <f t="shared" si="140"/>
        <v>112</v>
      </c>
    </row>
    <row r="8983" spans="2:7" ht="15" hidden="1" x14ac:dyDescent="0.25">
      <c r="B8983" s="4">
        <v>584689341</v>
      </c>
      <c r="C8983" s="4" t="s">
        <v>268</v>
      </c>
      <c r="D8983" s="4">
        <v>366</v>
      </c>
      <c r="E8983" s="4">
        <v>7</v>
      </c>
      <c r="G8983">
        <f t="shared" si="140"/>
        <v>112</v>
      </c>
    </row>
    <row r="8984" spans="2:7" ht="15" hidden="1" x14ac:dyDescent="0.25">
      <c r="B8984" s="4">
        <v>584689344</v>
      </c>
      <c r="C8984" s="4" t="s">
        <v>268</v>
      </c>
      <c r="D8984" s="4">
        <v>367</v>
      </c>
      <c r="E8984" s="4">
        <v>7</v>
      </c>
      <c r="G8984">
        <f t="shared" si="140"/>
        <v>112</v>
      </c>
    </row>
    <row r="8985" spans="2:7" ht="15" hidden="1" x14ac:dyDescent="0.25">
      <c r="B8985" s="4">
        <v>584689344</v>
      </c>
      <c r="C8985" s="4" t="s">
        <v>268</v>
      </c>
      <c r="D8985" s="4">
        <v>367</v>
      </c>
      <c r="E8985" s="4">
        <v>7</v>
      </c>
      <c r="G8985">
        <f t="shared" si="140"/>
        <v>112</v>
      </c>
    </row>
    <row r="8986" spans="2:7" ht="15" hidden="1" x14ac:dyDescent="0.25">
      <c r="B8986" s="4">
        <v>584689344</v>
      </c>
      <c r="C8986" s="4" t="s">
        <v>268</v>
      </c>
      <c r="D8986" s="4">
        <v>368</v>
      </c>
      <c r="E8986" s="4">
        <v>7</v>
      </c>
      <c r="G8986">
        <f t="shared" si="140"/>
        <v>112</v>
      </c>
    </row>
    <row r="8987" spans="2:7" ht="15" hidden="1" x14ac:dyDescent="0.25">
      <c r="B8987" s="4">
        <v>584689344</v>
      </c>
      <c r="C8987" s="4" t="s">
        <v>268</v>
      </c>
      <c r="D8987" s="4">
        <v>368</v>
      </c>
      <c r="E8987" s="4">
        <v>7</v>
      </c>
      <c r="G8987">
        <f t="shared" si="140"/>
        <v>112</v>
      </c>
    </row>
    <row r="8988" spans="2:7" ht="15" hidden="1" x14ac:dyDescent="0.25">
      <c r="B8988" s="4">
        <v>584689344</v>
      </c>
      <c r="C8988" s="4" t="s">
        <v>268</v>
      </c>
      <c r="D8988" s="4">
        <v>369</v>
      </c>
      <c r="E8988" s="4">
        <v>7</v>
      </c>
      <c r="G8988">
        <f t="shared" si="140"/>
        <v>112</v>
      </c>
    </row>
    <row r="8989" spans="2:7" ht="15" hidden="1" x14ac:dyDescent="0.25">
      <c r="B8989" s="4">
        <v>584689344</v>
      </c>
      <c r="C8989" s="4" t="s">
        <v>268</v>
      </c>
      <c r="D8989" s="4">
        <v>369</v>
      </c>
      <c r="E8989" s="4">
        <v>7</v>
      </c>
      <c r="G8989">
        <f t="shared" si="140"/>
        <v>112</v>
      </c>
    </row>
    <row r="8990" spans="2:7" ht="15" hidden="1" x14ac:dyDescent="0.25">
      <c r="B8990" s="4">
        <v>584689347</v>
      </c>
      <c r="C8990" s="4" t="s">
        <v>268</v>
      </c>
      <c r="D8990" s="4">
        <v>370</v>
      </c>
      <c r="E8990" s="4">
        <v>7</v>
      </c>
      <c r="G8990">
        <f t="shared" si="140"/>
        <v>112</v>
      </c>
    </row>
    <row r="8991" spans="2:7" ht="15" hidden="1" x14ac:dyDescent="0.25">
      <c r="B8991" s="4">
        <v>584689347</v>
      </c>
      <c r="C8991" s="4" t="s">
        <v>268</v>
      </c>
      <c r="D8991" s="4">
        <v>370</v>
      </c>
      <c r="E8991" s="4">
        <v>7</v>
      </c>
      <c r="G8991">
        <f t="shared" si="140"/>
        <v>112</v>
      </c>
    </row>
    <row r="8992" spans="2:7" ht="15" hidden="1" x14ac:dyDescent="0.25">
      <c r="B8992" s="4">
        <v>584689347</v>
      </c>
      <c r="C8992" s="4" t="s">
        <v>268</v>
      </c>
      <c r="D8992" s="4">
        <v>371</v>
      </c>
      <c r="E8992" s="4">
        <v>7</v>
      </c>
      <c r="G8992">
        <f t="shared" si="140"/>
        <v>112</v>
      </c>
    </row>
    <row r="8993" spans="2:7" ht="15" hidden="1" x14ac:dyDescent="0.25">
      <c r="B8993" s="4">
        <v>584689347</v>
      </c>
      <c r="C8993" s="4" t="s">
        <v>268</v>
      </c>
      <c r="D8993" s="4">
        <v>371</v>
      </c>
      <c r="E8993" s="4">
        <v>7</v>
      </c>
      <c r="G8993">
        <f t="shared" si="140"/>
        <v>112</v>
      </c>
    </row>
    <row r="8994" spans="2:7" ht="15" hidden="1" x14ac:dyDescent="0.25">
      <c r="B8994" s="4">
        <v>584689347</v>
      </c>
      <c r="C8994" s="4" t="s">
        <v>268</v>
      </c>
      <c r="D8994" s="4">
        <v>372</v>
      </c>
      <c r="E8994" s="4">
        <v>7</v>
      </c>
      <c r="G8994">
        <f t="shared" si="140"/>
        <v>112</v>
      </c>
    </row>
    <row r="8995" spans="2:7" ht="15" hidden="1" x14ac:dyDescent="0.25">
      <c r="B8995" s="4">
        <v>584689347</v>
      </c>
      <c r="C8995" s="4" t="s">
        <v>268</v>
      </c>
      <c r="D8995" s="4">
        <v>372</v>
      </c>
      <c r="E8995" s="4">
        <v>7</v>
      </c>
      <c r="G8995">
        <f t="shared" si="140"/>
        <v>112</v>
      </c>
    </row>
    <row r="8996" spans="2:7" ht="15" hidden="1" x14ac:dyDescent="0.25">
      <c r="B8996" s="4">
        <v>584689348</v>
      </c>
      <c r="C8996" s="4" t="s">
        <v>272</v>
      </c>
      <c r="D8996" s="4">
        <v>675</v>
      </c>
      <c r="E8996" s="4">
        <v>265</v>
      </c>
      <c r="G8996">
        <f t="shared" si="140"/>
        <v>2176</v>
      </c>
    </row>
    <row r="8997" spans="2:7" ht="15" hidden="1" x14ac:dyDescent="0.25">
      <c r="B8997" s="4">
        <v>584689350</v>
      </c>
      <c r="C8997" s="4" t="s">
        <v>268</v>
      </c>
      <c r="D8997" s="4">
        <v>373</v>
      </c>
      <c r="E8997" s="4">
        <v>7</v>
      </c>
      <c r="G8997">
        <f t="shared" si="140"/>
        <v>112</v>
      </c>
    </row>
    <row r="8998" spans="2:7" ht="15" hidden="1" x14ac:dyDescent="0.25">
      <c r="B8998" s="4">
        <v>584689350</v>
      </c>
      <c r="C8998" s="4" t="s">
        <v>268</v>
      </c>
      <c r="D8998" s="4">
        <v>373</v>
      </c>
      <c r="E8998" s="4">
        <v>7</v>
      </c>
      <c r="G8998">
        <f t="shared" si="140"/>
        <v>112</v>
      </c>
    </row>
    <row r="8999" spans="2:7" ht="15" hidden="1" x14ac:dyDescent="0.25">
      <c r="B8999" s="4">
        <v>584689350</v>
      </c>
      <c r="C8999" s="4" t="s">
        <v>268</v>
      </c>
      <c r="D8999" s="4">
        <v>374</v>
      </c>
      <c r="E8999" s="4">
        <v>7</v>
      </c>
      <c r="G8999">
        <f t="shared" si="140"/>
        <v>112</v>
      </c>
    </row>
    <row r="9000" spans="2:7" ht="15" hidden="1" x14ac:dyDescent="0.25">
      <c r="B9000" s="4">
        <v>584689350</v>
      </c>
      <c r="C9000" s="4" t="s">
        <v>268</v>
      </c>
      <c r="D9000" s="4">
        <v>374</v>
      </c>
      <c r="E9000" s="4">
        <v>7</v>
      </c>
      <c r="G9000">
        <f t="shared" si="140"/>
        <v>112</v>
      </c>
    </row>
    <row r="9001" spans="2:7" ht="15" hidden="1" x14ac:dyDescent="0.25">
      <c r="B9001" s="4">
        <v>584689353</v>
      </c>
      <c r="C9001" s="4" t="s">
        <v>268</v>
      </c>
      <c r="D9001" s="4">
        <v>375</v>
      </c>
      <c r="E9001" s="4">
        <v>7</v>
      </c>
      <c r="G9001">
        <f t="shared" si="140"/>
        <v>112</v>
      </c>
    </row>
    <row r="9002" spans="2:7" ht="15" hidden="1" x14ac:dyDescent="0.25">
      <c r="B9002" s="4">
        <v>584689353</v>
      </c>
      <c r="C9002" s="4" t="s">
        <v>268</v>
      </c>
      <c r="D9002" s="4">
        <v>375</v>
      </c>
      <c r="E9002" s="4">
        <v>7</v>
      </c>
      <c r="G9002">
        <f t="shared" si="140"/>
        <v>112</v>
      </c>
    </row>
    <row r="9003" spans="2:7" ht="15" hidden="1" x14ac:dyDescent="0.25">
      <c r="B9003" s="4">
        <v>584689353</v>
      </c>
      <c r="C9003" s="4" t="s">
        <v>268</v>
      </c>
      <c r="D9003" s="4">
        <v>376</v>
      </c>
      <c r="E9003" s="4">
        <v>7</v>
      </c>
      <c r="G9003">
        <f t="shared" si="140"/>
        <v>112</v>
      </c>
    </row>
    <row r="9004" spans="2:7" ht="15" hidden="1" x14ac:dyDescent="0.25">
      <c r="B9004" s="4">
        <v>584689353</v>
      </c>
      <c r="C9004" s="4" t="s">
        <v>268</v>
      </c>
      <c r="D9004" s="4">
        <v>376</v>
      </c>
      <c r="E9004" s="4">
        <v>7</v>
      </c>
      <c r="G9004">
        <f t="shared" si="140"/>
        <v>112</v>
      </c>
    </row>
    <row r="9005" spans="2:7" ht="15" hidden="1" x14ac:dyDescent="0.25">
      <c r="B9005" s="4">
        <v>584689356</v>
      </c>
      <c r="C9005" s="4" t="s">
        <v>268</v>
      </c>
      <c r="D9005" s="4">
        <v>377</v>
      </c>
      <c r="E9005" s="4">
        <v>9</v>
      </c>
      <c r="G9005">
        <f t="shared" si="140"/>
        <v>128</v>
      </c>
    </row>
    <row r="9006" spans="2:7" ht="15" hidden="1" x14ac:dyDescent="0.25">
      <c r="B9006" s="4">
        <v>584689356</v>
      </c>
      <c r="C9006" s="4" t="s">
        <v>268</v>
      </c>
      <c r="D9006" s="4">
        <v>377</v>
      </c>
      <c r="E9006" s="4">
        <v>9</v>
      </c>
      <c r="G9006">
        <f t="shared" si="140"/>
        <v>128</v>
      </c>
    </row>
    <row r="9007" spans="2:7" ht="15" hidden="1" x14ac:dyDescent="0.25">
      <c r="B9007" s="4">
        <v>584689356</v>
      </c>
      <c r="C9007" s="4" t="s">
        <v>268</v>
      </c>
      <c r="D9007" s="4">
        <v>378</v>
      </c>
      <c r="E9007" s="4">
        <v>7</v>
      </c>
      <c r="G9007">
        <f t="shared" si="140"/>
        <v>112</v>
      </c>
    </row>
    <row r="9008" spans="2:7" ht="15" hidden="1" x14ac:dyDescent="0.25">
      <c r="B9008" s="4">
        <v>584689356</v>
      </c>
      <c r="C9008" s="4" t="s">
        <v>268</v>
      </c>
      <c r="D9008" s="4">
        <v>378</v>
      </c>
      <c r="E9008" s="4">
        <v>7</v>
      </c>
      <c r="G9008">
        <f t="shared" si="140"/>
        <v>112</v>
      </c>
    </row>
    <row r="9009" spans="2:7" ht="15" hidden="1" x14ac:dyDescent="0.25">
      <c r="B9009" s="4">
        <v>584689356</v>
      </c>
      <c r="C9009" s="4" t="s">
        <v>268</v>
      </c>
      <c r="D9009" s="4">
        <v>379</v>
      </c>
      <c r="E9009" s="4">
        <v>9</v>
      </c>
      <c r="G9009">
        <f t="shared" si="140"/>
        <v>128</v>
      </c>
    </row>
    <row r="9010" spans="2:7" ht="15" hidden="1" x14ac:dyDescent="0.25">
      <c r="B9010" s="4">
        <v>584689356</v>
      </c>
      <c r="C9010" s="4" t="s">
        <v>268</v>
      </c>
      <c r="D9010" s="4">
        <v>379</v>
      </c>
      <c r="E9010" s="4">
        <v>9</v>
      </c>
      <c r="G9010">
        <f t="shared" si="140"/>
        <v>128</v>
      </c>
    </row>
    <row r="9011" spans="2:7" ht="15" hidden="1" x14ac:dyDescent="0.25">
      <c r="B9011" s="4">
        <v>584689356</v>
      </c>
      <c r="C9011" s="4" t="s">
        <v>268</v>
      </c>
      <c r="D9011" s="4">
        <v>380</v>
      </c>
      <c r="E9011" s="4">
        <v>9</v>
      </c>
      <c r="G9011">
        <f t="shared" si="140"/>
        <v>128</v>
      </c>
    </row>
    <row r="9012" spans="2:7" ht="15" hidden="1" x14ac:dyDescent="0.25">
      <c r="B9012" s="4">
        <v>584689356</v>
      </c>
      <c r="C9012" s="4" t="s">
        <v>268</v>
      </c>
      <c r="D9012" s="4">
        <v>380</v>
      </c>
      <c r="E9012" s="4">
        <v>9</v>
      </c>
      <c r="G9012">
        <f t="shared" si="140"/>
        <v>128</v>
      </c>
    </row>
    <row r="9013" spans="2:7" ht="15" hidden="1" x14ac:dyDescent="0.25">
      <c r="B9013" s="4">
        <v>584689356</v>
      </c>
      <c r="C9013" s="4" t="s">
        <v>268</v>
      </c>
      <c r="D9013" s="4">
        <v>381</v>
      </c>
      <c r="E9013" s="4">
        <v>9</v>
      </c>
      <c r="G9013">
        <f t="shared" si="140"/>
        <v>128</v>
      </c>
    </row>
    <row r="9014" spans="2:7" ht="15" hidden="1" x14ac:dyDescent="0.25">
      <c r="B9014" s="4">
        <v>584689356</v>
      </c>
      <c r="C9014" s="4" t="s">
        <v>268</v>
      </c>
      <c r="D9014" s="4">
        <v>381</v>
      </c>
      <c r="E9014" s="4">
        <v>9</v>
      </c>
      <c r="G9014">
        <f t="shared" si="140"/>
        <v>128</v>
      </c>
    </row>
    <row r="9015" spans="2:7" ht="15" hidden="1" x14ac:dyDescent="0.25">
      <c r="B9015" s="4">
        <v>584689356</v>
      </c>
      <c r="C9015" s="4" t="s">
        <v>268</v>
      </c>
      <c r="D9015" s="4">
        <v>382</v>
      </c>
      <c r="E9015" s="4">
        <v>5</v>
      </c>
      <c r="G9015">
        <f t="shared" si="140"/>
        <v>96</v>
      </c>
    </row>
    <row r="9016" spans="2:7" ht="15" hidden="1" x14ac:dyDescent="0.25">
      <c r="B9016" s="4">
        <v>584689356</v>
      </c>
      <c r="C9016" s="4" t="s">
        <v>268</v>
      </c>
      <c r="D9016" s="4">
        <v>382</v>
      </c>
      <c r="E9016" s="4">
        <v>5</v>
      </c>
      <c r="G9016">
        <f t="shared" si="140"/>
        <v>96</v>
      </c>
    </row>
    <row r="9017" spans="2:7" ht="15" hidden="1" x14ac:dyDescent="0.25">
      <c r="B9017" s="4">
        <v>584691422</v>
      </c>
      <c r="C9017" s="4" t="s">
        <v>273</v>
      </c>
      <c r="D9017" s="4">
        <v>15101</v>
      </c>
      <c r="E9017" s="4">
        <v>317</v>
      </c>
      <c r="G9017">
        <f t="shared" si="140"/>
        <v>2592</v>
      </c>
    </row>
    <row r="9018" spans="2:7" ht="15" hidden="1" x14ac:dyDescent="0.25">
      <c r="B9018" s="4">
        <v>584693523</v>
      </c>
      <c r="C9018" s="4" t="s">
        <v>273</v>
      </c>
      <c r="D9018" s="4">
        <v>818</v>
      </c>
      <c r="E9018" s="4">
        <v>317</v>
      </c>
      <c r="G9018">
        <f t="shared" si="140"/>
        <v>2592</v>
      </c>
    </row>
    <row r="9019" spans="2:7" ht="15" hidden="1" x14ac:dyDescent="0.25">
      <c r="B9019" s="4">
        <v>584696279</v>
      </c>
      <c r="C9019" s="4" t="s">
        <v>273</v>
      </c>
      <c r="D9019" s="4">
        <v>3574</v>
      </c>
      <c r="E9019" s="4">
        <v>317</v>
      </c>
      <c r="G9019">
        <f t="shared" si="140"/>
        <v>2592</v>
      </c>
    </row>
    <row r="9020" spans="2:7" ht="15" hidden="1" x14ac:dyDescent="0.25">
      <c r="B9020" s="4">
        <v>584696748</v>
      </c>
      <c r="C9020" s="4" t="s">
        <v>273</v>
      </c>
      <c r="D9020" s="4">
        <v>4043</v>
      </c>
      <c r="E9020" s="4">
        <v>317</v>
      </c>
      <c r="G9020">
        <f t="shared" si="140"/>
        <v>2592</v>
      </c>
    </row>
    <row r="9021" spans="2:7" ht="15" hidden="1" x14ac:dyDescent="0.25">
      <c r="B9021" s="4">
        <v>584696812</v>
      </c>
      <c r="C9021" s="4" t="s">
        <v>273</v>
      </c>
      <c r="D9021" s="4">
        <v>4107</v>
      </c>
      <c r="E9021" s="4">
        <v>317</v>
      </c>
      <c r="G9021">
        <f t="shared" si="140"/>
        <v>2592</v>
      </c>
    </row>
    <row r="9022" spans="2:7" ht="15" hidden="1" x14ac:dyDescent="0.25">
      <c r="B9022" s="4">
        <v>584696860</v>
      </c>
      <c r="C9022" s="4" t="s">
        <v>273</v>
      </c>
      <c r="D9022" s="4">
        <v>4155</v>
      </c>
      <c r="E9022" s="4">
        <v>317</v>
      </c>
      <c r="G9022">
        <f t="shared" si="140"/>
        <v>2592</v>
      </c>
    </row>
    <row r="9023" spans="2:7" ht="15" hidden="1" x14ac:dyDescent="0.25">
      <c r="B9023" s="4">
        <v>584696939</v>
      </c>
      <c r="C9023" s="4" t="s">
        <v>273</v>
      </c>
      <c r="D9023" s="4">
        <v>4234</v>
      </c>
      <c r="E9023" s="4">
        <v>317</v>
      </c>
      <c r="G9023">
        <f t="shared" si="140"/>
        <v>2592</v>
      </c>
    </row>
    <row r="9024" spans="2:7" ht="15" hidden="1" x14ac:dyDescent="0.25">
      <c r="B9024" s="4">
        <v>584696987</v>
      </c>
      <c r="C9024" s="4" t="s">
        <v>273</v>
      </c>
      <c r="D9024" s="4">
        <v>4282</v>
      </c>
      <c r="E9024" s="4">
        <v>317</v>
      </c>
      <c r="G9024">
        <f t="shared" si="140"/>
        <v>2592</v>
      </c>
    </row>
    <row r="9025" spans="2:7" ht="15" hidden="1" x14ac:dyDescent="0.25">
      <c r="B9025" s="4">
        <v>584697051</v>
      </c>
      <c r="C9025" s="4" t="s">
        <v>273</v>
      </c>
      <c r="D9025" s="4">
        <v>4346</v>
      </c>
      <c r="E9025" s="4">
        <v>317</v>
      </c>
      <c r="G9025">
        <f t="shared" si="140"/>
        <v>2592</v>
      </c>
    </row>
    <row r="9026" spans="2:7" ht="15" hidden="1" x14ac:dyDescent="0.25">
      <c r="B9026" s="4">
        <v>584697115</v>
      </c>
      <c r="C9026" s="4" t="s">
        <v>273</v>
      </c>
      <c r="D9026" s="4">
        <v>4410</v>
      </c>
      <c r="E9026" s="4">
        <v>317</v>
      </c>
      <c r="G9026">
        <f t="shared" si="140"/>
        <v>2592</v>
      </c>
    </row>
    <row r="9027" spans="2:7" ht="15" hidden="1" x14ac:dyDescent="0.25">
      <c r="B9027" s="4">
        <v>584697162</v>
      </c>
      <c r="C9027" s="4" t="s">
        <v>273</v>
      </c>
      <c r="D9027" s="4">
        <v>4457</v>
      </c>
      <c r="E9027" s="4">
        <v>317</v>
      </c>
      <c r="G9027">
        <f t="shared" si="140"/>
        <v>2592</v>
      </c>
    </row>
    <row r="9028" spans="2:7" ht="15" hidden="1" x14ac:dyDescent="0.25">
      <c r="B9028" s="4">
        <v>584697369</v>
      </c>
      <c r="C9028" s="4" t="s">
        <v>273</v>
      </c>
      <c r="D9028" s="4">
        <v>4664</v>
      </c>
      <c r="E9028" s="4">
        <v>317</v>
      </c>
      <c r="G9028">
        <f t="shared" ref="G9028:G9091" si="141">(E9028+7)*8</f>
        <v>2592</v>
      </c>
    </row>
    <row r="9029" spans="2:7" ht="15" hidden="1" x14ac:dyDescent="0.25">
      <c r="B9029" s="4">
        <v>584697433</v>
      </c>
      <c r="C9029" s="4" t="s">
        <v>273</v>
      </c>
      <c r="D9029" s="4">
        <v>4728</v>
      </c>
      <c r="E9029" s="4">
        <v>317</v>
      </c>
      <c r="G9029">
        <f t="shared" si="141"/>
        <v>2592</v>
      </c>
    </row>
    <row r="9030" spans="2:7" ht="15" hidden="1" x14ac:dyDescent="0.25">
      <c r="B9030" s="4">
        <v>584697478</v>
      </c>
      <c r="C9030" s="4" t="s">
        <v>273</v>
      </c>
      <c r="D9030" s="4">
        <v>4773</v>
      </c>
      <c r="E9030" s="4">
        <v>317</v>
      </c>
      <c r="G9030">
        <f t="shared" si="141"/>
        <v>2592</v>
      </c>
    </row>
    <row r="9031" spans="2:7" ht="15" hidden="1" x14ac:dyDescent="0.25">
      <c r="B9031" s="4">
        <v>584697497</v>
      </c>
      <c r="C9031" s="4" t="s">
        <v>273</v>
      </c>
      <c r="D9031" s="4">
        <v>4792</v>
      </c>
      <c r="E9031" s="4">
        <v>317</v>
      </c>
      <c r="G9031">
        <f t="shared" si="141"/>
        <v>2592</v>
      </c>
    </row>
    <row r="9032" spans="2:7" ht="15" hidden="1" x14ac:dyDescent="0.25">
      <c r="B9032" s="4">
        <v>584697561</v>
      </c>
      <c r="C9032" s="4" t="s">
        <v>273</v>
      </c>
      <c r="D9032" s="4">
        <v>4856</v>
      </c>
      <c r="E9032" s="4">
        <v>317</v>
      </c>
      <c r="G9032">
        <f t="shared" si="141"/>
        <v>2592</v>
      </c>
    </row>
    <row r="9033" spans="2:7" ht="15" hidden="1" x14ac:dyDescent="0.25">
      <c r="B9033" s="4">
        <v>584697975</v>
      </c>
      <c r="C9033" s="4" t="s">
        <v>273</v>
      </c>
      <c r="D9033" s="4">
        <v>5270</v>
      </c>
      <c r="E9033" s="4">
        <v>317</v>
      </c>
      <c r="G9033">
        <f t="shared" si="141"/>
        <v>2592</v>
      </c>
    </row>
    <row r="9034" spans="2:7" ht="15" hidden="1" x14ac:dyDescent="0.25">
      <c r="B9034" s="4">
        <v>584698548</v>
      </c>
      <c r="C9034" s="4" t="s">
        <v>273</v>
      </c>
      <c r="D9034" s="4">
        <v>5843</v>
      </c>
      <c r="E9034" s="4">
        <v>317</v>
      </c>
      <c r="G9034">
        <f t="shared" si="141"/>
        <v>2592</v>
      </c>
    </row>
    <row r="9035" spans="2:7" ht="15" hidden="1" x14ac:dyDescent="0.25">
      <c r="B9035" s="4">
        <v>584698677</v>
      </c>
      <c r="C9035" s="4" t="s">
        <v>273</v>
      </c>
      <c r="D9035" s="4">
        <v>5972</v>
      </c>
      <c r="E9035" s="4">
        <v>317</v>
      </c>
      <c r="G9035">
        <f t="shared" si="141"/>
        <v>2592</v>
      </c>
    </row>
    <row r="9036" spans="2:7" ht="15" hidden="1" x14ac:dyDescent="0.25">
      <c r="B9036" s="4">
        <v>584699265</v>
      </c>
      <c r="C9036" s="4" t="s">
        <v>273</v>
      </c>
      <c r="D9036" s="4">
        <v>6560</v>
      </c>
      <c r="E9036" s="4">
        <v>317</v>
      </c>
      <c r="G9036">
        <f t="shared" si="141"/>
        <v>2592</v>
      </c>
    </row>
    <row r="9037" spans="2:7" ht="15" hidden="1" x14ac:dyDescent="0.25">
      <c r="B9037" s="4">
        <v>584699876</v>
      </c>
      <c r="C9037" s="4" t="s">
        <v>273</v>
      </c>
      <c r="D9037" s="4">
        <v>7171</v>
      </c>
      <c r="E9037" s="4">
        <v>317</v>
      </c>
      <c r="G9037">
        <f t="shared" si="141"/>
        <v>2592</v>
      </c>
    </row>
    <row r="9038" spans="2:7" ht="15" hidden="1" x14ac:dyDescent="0.25">
      <c r="B9038" s="4">
        <v>584699981</v>
      </c>
      <c r="C9038" s="4" t="s">
        <v>273</v>
      </c>
      <c r="D9038" s="4">
        <v>7276</v>
      </c>
      <c r="E9038" s="4">
        <v>317</v>
      </c>
      <c r="G9038">
        <f t="shared" si="141"/>
        <v>2592</v>
      </c>
    </row>
    <row r="9039" spans="2:7" ht="15" hidden="1" x14ac:dyDescent="0.25">
      <c r="B9039" s="4">
        <v>584700698</v>
      </c>
      <c r="C9039" s="4" t="s">
        <v>273</v>
      </c>
      <c r="D9039" s="4">
        <v>7993</v>
      </c>
      <c r="E9039" s="4">
        <v>317</v>
      </c>
      <c r="G9039">
        <f t="shared" si="141"/>
        <v>2592</v>
      </c>
    </row>
    <row r="9040" spans="2:7" ht="15" hidden="1" x14ac:dyDescent="0.25">
      <c r="B9040" s="4">
        <v>584701075</v>
      </c>
      <c r="C9040" s="4" t="s">
        <v>273</v>
      </c>
      <c r="D9040" s="4">
        <v>8370</v>
      </c>
      <c r="E9040" s="4">
        <v>317</v>
      </c>
      <c r="G9040">
        <f t="shared" si="141"/>
        <v>2592</v>
      </c>
    </row>
    <row r="9041" spans="2:7" ht="15" hidden="1" x14ac:dyDescent="0.25">
      <c r="B9041" s="4">
        <v>584701415</v>
      </c>
      <c r="C9041" s="4" t="s">
        <v>273</v>
      </c>
      <c r="D9041" s="4">
        <v>8710</v>
      </c>
      <c r="E9041" s="4">
        <v>317</v>
      </c>
      <c r="G9041">
        <f t="shared" si="141"/>
        <v>2592</v>
      </c>
    </row>
    <row r="9042" spans="2:7" ht="15" hidden="1" x14ac:dyDescent="0.25">
      <c r="B9042" s="4">
        <v>584702132</v>
      </c>
      <c r="C9042" s="4" t="s">
        <v>273</v>
      </c>
      <c r="D9042" s="4">
        <v>9427</v>
      </c>
      <c r="E9042" s="4">
        <v>317</v>
      </c>
      <c r="G9042">
        <f t="shared" si="141"/>
        <v>2592</v>
      </c>
    </row>
    <row r="9043" spans="2:7" ht="15" hidden="1" x14ac:dyDescent="0.25">
      <c r="B9043" s="4">
        <v>584702274</v>
      </c>
      <c r="C9043" s="4" t="s">
        <v>273</v>
      </c>
      <c r="D9043" s="4">
        <v>9569</v>
      </c>
      <c r="E9043" s="4">
        <v>317</v>
      </c>
      <c r="G9043">
        <f t="shared" si="141"/>
        <v>2592</v>
      </c>
    </row>
    <row r="9044" spans="2:7" ht="15" hidden="1" x14ac:dyDescent="0.25">
      <c r="B9044" s="4">
        <v>584702705</v>
      </c>
      <c r="C9044" s="4" t="s">
        <v>273</v>
      </c>
      <c r="D9044" s="4">
        <v>10000</v>
      </c>
      <c r="E9044" s="4">
        <v>317</v>
      </c>
      <c r="G9044">
        <f t="shared" si="141"/>
        <v>2592</v>
      </c>
    </row>
    <row r="9045" spans="2:7" ht="15" hidden="1" x14ac:dyDescent="0.25">
      <c r="B9045" s="4">
        <v>584703422</v>
      </c>
      <c r="C9045" s="4" t="s">
        <v>273</v>
      </c>
      <c r="D9045" s="4">
        <v>10717</v>
      </c>
      <c r="E9045" s="4">
        <v>317</v>
      </c>
      <c r="G9045">
        <f t="shared" si="141"/>
        <v>2592</v>
      </c>
    </row>
    <row r="9046" spans="2:7" ht="15" hidden="1" x14ac:dyDescent="0.25">
      <c r="B9046" s="4">
        <v>584703473</v>
      </c>
      <c r="C9046" s="4" t="s">
        <v>273</v>
      </c>
      <c r="D9046" s="4">
        <v>10768</v>
      </c>
      <c r="E9046" s="4">
        <v>317</v>
      </c>
      <c r="G9046">
        <f t="shared" si="141"/>
        <v>2592</v>
      </c>
    </row>
    <row r="9047" spans="2:7" ht="15" hidden="1" x14ac:dyDescent="0.25">
      <c r="B9047" s="4">
        <v>584704139</v>
      </c>
      <c r="C9047" s="4" t="s">
        <v>273</v>
      </c>
      <c r="D9047" s="4">
        <v>11434</v>
      </c>
      <c r="E9047" s="4">
        <v>317</v>
      </c>
      <c r="G9047">
        <f t="shared" si="141"/>
        <v>2592</v>
      </c>
    </row>
    <row r="9048" spans="2:7" ht="15" hidden="1" x14ac:dyDescent="0.25">
      <c r="B9048" s="4">
        <v>584704672</v>
      </c>
      <c r="C9048" s="4" t="s">
        <v>273</v>
      </c>
      <c r="D9048" s="4">
        <v>11967</v>
      </c>
      <c r="E9048" s="4">
        <v>317</v>
      </c>
      <c r="G9048">
        <f t="shared" si="141"/>
        <v>2592</v>
      </c>
    </row>
    <row r="9049" spans="2:7" ht="15" hidden="1" x14ac:dyDescent="0.25">
      <c r="B9049" s="4">
        <v>584704855</v>
      </c>
      <c r="C9049" s="4" t="s">
        <v>273</v>
      </c>
      <c r="D9049" s="4">
        <v>12150</v>
      </c>
      <c r="E9049" s="4">
        <v>317</v>
      </c>
      <c r="G9049">
        <f t="shared" si="141"/>
        <v>2592</v>
      </c>
    </row>
    <row r="9050" spans="2:7" ht="15" hidden="1" x14ac:dyDescent="0.25">
      <c r="B9050" s="4">
        <v>584705572</v>
      </c>
      <c r="C9050" s="4" t="s">
        <v>273</v>
      </c>
      <c r="D9050" s="4">
        <v>12867</v>
      </c>
      <c r="E9050" s="4">
        <v>317</v>
      </c>
      <c r="G9050">
        <f t="shared" si="141"/>
        <v>2592</v>
      </c>
    </row>
    <row r="9051" spans="2:7" ht="15" hidden="1" x14ac:dyDescent="0.25">
      <c r="B9051" s="4">
        <v>584705871</v>
      </c>
      <c r="C9051" s="4" t="s">
        <v>273</v>
      </c>
      <c r="D9051" s="4">
        <v>13166</v>
      </c>
      <c r="E9051" s="4">
        <v>317</v>
      </c>
      <c r="G9051">
        <f t="shared" si="141"/>
        <v>2592</v>
      </c>
    </row>
    <row r="9052" spans="2:7" ht="15" hidden="1" x14ac:dyDescent="0.25">
      <c r="B9052" s="4">
        <v>584706289</v>
      </c>
      <c r="C9052" s="4" t="s">
        <v>273</v>
      </c>
      <c r="D9052" s="4">
        <v>13584</v>
      </c>
      <c r="E9052" s="4">
        <v>317</v>
      </c>
      <c r="G9052">
        <f t="shared" si="141"/>
        <v>2592</v>
      </c>
    </row>
    <row r="9053" spans="2:7" ht="15" hidden="1" x14ac:dyDescent="0.25">
      <c r="B9053" s="4">
        <v>584706862</v>
      </c>
      <c r="C9053" s="4" t="s">
        <v>273</v>
      </c>
      <c r="D9053" s="4">
        <v>14157</v>
      </c>
      <c r="E9053" s="4">
        <v>317</v>
      </c>
      <c r="G9053">
        <f t="shared" si="141"/>
        <v>2592</v>
      </c>
    </row>
    <row r="9054" spans="2:7" ht="15" hidden="1" x14ac:dyDescent="0.25">
      <c r="B9054" s="4">
        <v>584707070</v>
      </c>
      <c r="C9054" s="4" t="s">
        <v>273</v>
      </c>
      <c r="D9054" s="4">
        <v>14365</v>
      </c>
      <c r="E9054" s="4">
        <v>317</v>
      </c>
      <c r="G9054">
        <f t="shared" si="141"/>
        <v>2592</v>
      </c>
    </row>
    <row r="9055" spans="2:7" ht="15" hidden="1" x14ac:dyDescent="0.25">
      <c r="B9055" s="4">
        <v>584707579</v>
      </c>
      <c r="C9055" s="4" t="s">
        <v>273</v>
      </c>
      <c r="D9055" s="4">
        <v>14874</v>
      </c>
      <c r="E9055" s="4">
        <v>317</v>
      </c>
      <c r="G9055">
        <f t="shared" si="141"/>
        <v>2592</v>
      </c>
    </row>
    <row r="9056" spans="2:7" ht="15" hidden="1" x14ac:dyDescent="0.25">
      <c r="B9056" s="4">
        <v>584708269</v>
      </c>
      <c r="C9056" s="4" t="s">
        <v>273</v>
      </c>
      <c r="D9056" s="4">
        <v>15564</v>
      </c>
      <c r="E9056" s="4">
        <v>317</v>
      </c>
      <c r="G9056">
        <f t="shared" si="141"/>
        <v>2592</v>
      </c>
    </row>
    <row r="9057" spans="2:7" ht="15" hidden="1" x14ac:dyDescent="0.25">
      <c r="B9057" s="4">
        <v>584708296</v>
      </c>
      <c r="C9057" s="4" t="s">
        <v>273</v>
      </c>
      <c r="D9057" s="4">
        <v>15591</v>
      </c>
      <c r="E9057" s="4">
        <v>317</v>
      </c>
      <c r="G9057">
        <f t="shared" si="141"/>
        <v>2592</v>
      </c>
    </row>
    <row r="9058" spans="2:7" ht="15" hidden="1" x14ac:dyDescent="0.25">
      <c r="B9058" s="4">
        <v>584709012</v>
      </c>
      <c r="C9058" s="4" t="s">
        <v>273</v>
      </c>
      <c r="D9058" s="4">
        <v>16307</v>
      </c>
      <c r="E9058" s="4">
        <v>317</v>
      </c>
      <c r="G9058">
        <f t="shared" si="141"/>
        <v>2592</v>
      </c>
    </row>
    <row r="9059" spans="2:7" ht="15" hidden="1" x14ac:dyDescent="0.25">
      <c r="B9059" s="4">
        <v>584709468</v>
      </c>
      <c r="C9059" s="4" t="s">
        <v>273</v>
      </c>
      <c r="D9059" s="4">
        <v>379</v>
      </c>
      <c r="E9059" s="4">
        <v>317</v>
      </c>
      <c r="G9059">
        <f t="shared" si="141"/>
        <v>2592</v>
      </c>
    </row>
    <row r="9060" spans="2:7" ht="15" hidden="1" x14ac:dyDescent="0.25">
      <c r="B9060" s="4">
        <v>584709586</v>
      </c>
      <c r="C9060" s="4" t="s">
        <v>273</v>
      </c>
      <c r="D9060" s="4">
        <v>497</v>
      </c>
      <c r="E9060" s="4">
        <v>317</v>
      </c>
      <c r="G9060">
        <f t="shared" si="141"/>
        <v>2592</v>
      </c>
    </row>
    <row r="9061" spans="2:7" ht="15" hidden="1" x14ac:dyDescent="0.25">
      <c r="B9061" s="4">
        <v>584710446</v>
      </c>
      <c r="C9061" s="4" t="s">
        <v>273</v>
      </c>
      <c r="D9061" s="4">
        <v>1357</v>
      </c>
      <c r="E9061" s="4">
        <v>317</v>
      </c>
      <c r="G9061">
        <f t="shared" si="141"/>
        <v>2592</v>
      </c>
    </row>
    <row r="9062" spans="2:7" ht="15" hidden="1" x14ac:dyDescent="0.25">
      <c r="B9062" s="4">
        <v>584710667</v>
      </c>
      <c r="C9062" s="4" t="s">
        <v>273</v>
      </c>
      <c r="D9062" s="4">
        <v>1578</v>
      </c>
      <c r="E9062" s="4">
        <v>317</v>
      </c>
      <c r="G9062">
        <f t="shared" si="141"/>
        <v>2592</v>
      </c>
    </row>
    <row r="9063" spans="2:7" ht="15" hidden="1" x14ac:dyDescent="0.25">
      <c r="B9063" s="4">
        <v>584711019</v>
      </c>
      <c r="C9063" s="4" t="s">
        <v>273</v>
      </c>
      <c r="D9063" s="4">
        <v>1930</v>
      </c>
      <c r="E9063" s="4">
        <v>317</v>
      </c>
      <c r="G9063">
        <f t="shared" si="141"/>
        <v>2592</v>
      </c>
    </row>
    <row r="9064" spans="2:7" ht="15" hidden="1" x14ac:dyDescent="0.25">
      <c r="B9064" s="4">
        <v>584711736</v>
      </c>
      <c r="C9064" s="4" t="s">
        <v>273</v>
      </c>
      <c r="D9064" s="4">
        <v>2647</v>
      </c>
      <c r="E9064" s="4">
        <v>317</v>
      </c>
      <c r="G9064">
        <f t="shared" si="141"/>
        <v>2592</v>
      </c>
    </row>
    <row r="9065" spans="2:7" ht="15" hidden="1" x14ac:dyDescent="0.25">
      <c r="B9065" s="4">
        <v>584711866</v>
      </c>
      <c r="C9065" s="4" t="s">
        <v>273</v>
      </c>
      <c r="D9065" s="4">
        <v>2777</v>
      </c>
      <c r="E9065" s="4">
        <v>317</v>
      </c>
      <c r="G9065">
        <f t="shared" si="141"/>
        <v>2592</v>
      </c>
    </row>
    <row r="9066" spans="2:7" ht="15" hidden="1" x14ac:dyDescent="0.25">
      <c r="B9066" s="4">
        <v>584712453</v>
      </c>
      <c r="C9066" s="4" t="s">
        <v>273</v>
      </c>
      <c r="D9066" s="4">
        <v>3364</v>
      </c>
      <c r="E9066" s="4">
        <v>317</v>
      </c>
      <c r="G9066">
        <f t="shared" si="141"/>
        <v>2592</v>
      </c>
    </row>
    <row r="9067" spans="2:7" ht="15" hidden="1" x14ac:dyDescent="0.25">
      <c r="B9067" s="4">
        <v>584713065</v>
      </c>
      <c r="C9067" s="4" t="s">
        <v>273</v>
      </c>
      <c r="D9067" s="4">
        <v>3976</v>
      </c>
      <c r="E9067" s="4">
        <v>317</v>
      </c>
      <c r="G9067">
        <f t="shared" si="141"/>
        <v>2592</v>
      </c>
    </row>
    <row r="9068" spans="2:7" ht="15" hidden="1" x14ac:dyDescent="0.25">
      <c r="B9068" s="4">
        <v>584713169</v>
      </c>
      <c r="C9068" s="4" t="s">
        <v>273</v>
      </c>
      <c r="D9068" s="4">
        <v>4080</v>
      </c>
      <c r="E9068" s="4">
        <v>317</v>
      </c>
      <c r="G9068">
        <f t="shared" si="141"/>
        <v>2592</v>
      </c>
    </row>
    <row r="9069" spans="2:7" ht="15" hidden="1" x14ac:dyDescent="0.25">
      <c r="B9069" s="4">
        <v>584713711</v>
      </c>
      <c r="C9069" s="4" t="s">
        <v>273</v>
      </c>
      <c r="D9069" s="4">
        <v>4622</v>
      </c>
      <c r="E9069" s="4">
        <v>317</v>
      </c>
      <c r="G9069">
        <f t="shared" si="141"/>
        <v>2592</v>
      </c>
    </row>
    <row r="9070" spans="2:7" ht="15" hidden="1" x14ac:dyDescent="0.25">
      <c r="B9070" s="4">
        <v>584714264</v>
      </c>
      <c r="C9070" s="4" t="s">
        <v>273</v>
      </c>
      <c r="D9070" s="4">
        <v>5175</v>
      </c>
      <c r="E9070" s="4">
        <v>317</v>
      </c>
      <c r="G9070">
        <f t="shared" si="141"/>
        <v>2592</v>
      </c>
    </row>
    <row r="9071" spans="2:7" ht="15" hidden="1" x14ac:dyDescent="0.25">
      <c r="B9071" s="4">
        <v>584715463</v>
      </c>
      <c r="C9071" s="4" t="s">
        <v>273</v>
      </c>
      <c r="D9071" s="4">
        <v>6374</v>
      </c>
      <c r="E9071" s="4">
        <v>317</v>
      </c>
      <c r="G9071">
        <f t="shared" si="141"/>
        <v>2592</v>
      </c>
    </row>
    <row r="9072" spans="2:7" ht="15" hidden="1" x14ac:dyDescent="0.25">
      <c r="B9072" s="4">
        <v>584716662</v>
      </c>
      <c r="C9072" s="4" t="s">
        <v>273</v>
      </c>
      <c r="D9072" s="4">
        <v>7573</v>
      </c>
      <c r="E9072" s="4">
        <v>317</v>
      </c>
      <c r="G9072">
        <f t="shared" si="141"/>
        <v>2592</v>
      </c>
    </row>
    <row r="9073" spans="2:7" ht="15" hidden="1" x14ac:dyDescent="0.25">
      <c r="B9073" s="4">
        <v>584717861</v>
      </c>
      <c r="C9073" s="4" t="s">
        <v>273</v>
      </c>
      <c r="D9073" s="4">
        <v>8772</v>
      </c>
      <c r="E9073" s="4">
        <v>317</v>
      </c>
      <c r="G9073">
        <f t="shared" si="141"/>
        <v>2592</v>
      </c>
    </row>
    <row r="9074" spans="2:7" ht="15" hidden="1" x14ac:dyDescent="0.25">
      <c r="B9074" s="4">
        <v>584719060</v>
      </c>
      <c r="C9074" s="4" t="s">
        <v>273</v>
      </c>
      <c r="D9074" s="4">
        <v>9971</v>
      </c>
      <c r="E9074" s="4">
        <v>317</v>
      </c>
      <c r="G9074">
        <f t="shared" si="141"/>
        <v>2592</v>
      </c>
    </row>
    <row r="9075" spans="2:7" ht="15" hidden="1" x14ac:dyDescent="0.25">
      <c r="B9075" s="4">
        <v>584720259</v>
      </c>
      <c r="C9075" s="4" t="s">
        <v>273</v>
      </c>
      <c r="D9075" s="4">
        <v>11170</v>
      </c>
      <c r="E9075" s="4">
        <v>317</v>
      </c>
      <c r="G9075">
        <f t="shared" si="141"/>
        <v>2592</v>
      </c>
    </row>
    <row r="9076" spans="2:7" ht="15" hidden="1" x14ac:dyDescent="0.25">
      <c r="B9076" s="4">
        <v>584721458</v>
      </c>
      <c r="C9076" s="4" t="s">
        <v>273</v>
      </c>
      <c r="D9076" s="4">
        <v>12369</v>
      </c>
      <c r="E9076" s="4">
        <v>317</v>
      </c>
      <c r="G9076">
        <f t="shared" si="141"/>
        <v>2592</v>
      </c>
    </row>
    <row r="9077" spans="2:7" ht="15" hidden="1" x14ac:dyDescent="0.25">
      <c r="B9077" s="4">
        <v>584722657</v>
      </c>
      <c r="C9077" s="4" t="s">
        <v>273</v>
      </c>
      <c r="D9077" s="4">
        <v>13568</v>
      </c>
      <c r="E9077" s="4">
        <v>317</v>
      </c>
      <c r="G9077">
        <f t="shared" si="141"/>
        <v>2592</v>
      </c>
    </row>
    <row r="9078" spans="2:7" ht="15" hidden="1" x14ac:dyDescent="0.25">
      <c r="B9078" s="4">
        <v>584723856</v>
      </c>
      <c r="C9078" s="4" t="s">
        <v>273</v>
      </c>
      <c r="D9078" s="4">
        <v>14767</v>
      </c>
      <c r="E9078" s="4">
        <v>317</v>
      </c>
      <c r="G9078">
        <f t="shared" si="141"/>
        <v>2592</v>
      </c>
    </row>
    <row r="9079" spans="2:7" ht="15" hidden="1" x14ac:dyDescent="0.25">
      <c r="B9079" s="4">
        <v>584725055</v>
      </c>
      <c r="C9079" s="4" t="s">
        <v>273</v>
      </c>
      <c r="D9079" s="4">
        <v>15966</v>
      </c>
      <c r="E9079" s="4">
        <v>317</v>
      </c>
      <c r="G9079">
        <f t="shared" si="141"/>
        <v>2592</v>
      </c>
    </row>
    <row r="9080" spans="2:7" ht="15" hidden="1" x14ac:dyDescent="0.25">
      <c r="B9080" s="4">
        <v>584726254</v>
      </c>
      <c r="C9080" s="4" t="s">
        <v>273</v>
      </c>
      <c r="D9080" s="4">
        <v>781</v>
      </c>
      <c r="E9080" s="4">
        <v>317</v>
      </c>
      <c r="G9080">
        <f t="shared" si="141"/>
        <v>2592</v>
      </c>
    </row>
    <row r="9081" spans="2:7" ht="15" hidden="1" x14ac:dyDescent="0.25">
      <c r="B9081" s="4">
        <v>584727453</v>
      </c>
      <c r="C9081" s="4" t="s">
        <v>273</v>
      </c>
      <c r="D9081" s="4">
        <v>1980</v>
      </c>
      <c r="E9081" s="4">
        <v>317</v>
      </c>
      <c r="G9081">
        <f t="shared" si="141"/>
        <v>2592</v>
      </c>
    </row>
    <row r="9082" spans="2:7" ht="15" hidden="1" x14ac:dyDescent="0.25">
      <c r="B9082" s="4">
        <v>584728652</v>
      </c>
      <c r="C9082" s="4" t="s">
        <v>273</v>
      </c>
      <c r="D9082" s="4">
        <v>3179</v>
      </c>
      <c r="E9082" s="4">
        <v>317</v>
      </c>
      <c r="G9082">
        <f t="shared" si="141"/>
        <v>2592</v>
      </c>
    </row>
    <row r="9083" spans="2:7" ht="15" hidden="1" x14ac:dyDescent="0.25">
      <c r="B9083" s="4">
        <v>584729851</v>
      </c>
      <c r="C9083" s="4" t="s">
        <v>273</v>
      </c>
      <c r="D9083" s="4">
        <v>4378</v>
      </c>
      <c r="E9083" s="4">
        <v>317</v>
      </c>
      <c r="G9083">
        <f t="shared" si="141"/>
        <v>2592</v>
      </c>
    </row>
    <row r="9084" spans="2:7" ht="15" hidden="1" x14ac:dyDescent="0.25">
      <c r="B9084" s="4">
        <v>584731050</v>
      </c>
      <c r="C9084" s="4" t="s">
        <v>273</v>
      </c>
      <c r="D9084" s="4">
        <v>5577</v>
      </c>
      <c r="E9084" s="4">
        <v>317</v>
      </c>
      <c r="G9084">
        <f t="shared" si="141"/>
        <v>2592</v>
      </c>
    </row>
    <row r="9085" spans="2:7" ht="15" hidden="1" x14ac:dyDescent="0.25">
      <c r="B9085" s="4">
        <v>584732249</v>
      </c>
      <c r="C9085" s="4" t="s">
        <v>273</v>
      </c>
      <c r="D9085" s="4">
        <v>6776</v>
      </c>
      <c r="E9085" s="4">
        <v>317</v>
      </c>
      <c r="G9085">
        <f t="shared" si="141"/>
        <v>2592</v>
      </c>
    </row>
    <row r="9086" spans="2:7" ht="15" hidden="1" x14ac:dyDescent="0.25">
      <c r="B9086" s="4">
        <v>584733448</v>
      </c>
      <c r="C9086" s="4" t="s">
        <v>273</v>
      </c>
      <c r="D9086" s="4">
        <v>7975</v>
      </c>
      <c r="E9086" s="4">
        <v>317</v>
      </c>
      <c r="G9086">
        <f t="shared" si="141"/>
        <v>2592</v>
      </c>
    </row>
    <row r="9087" spans="2:7" ht="15" hidden="1" x14ac:dyDescent="0.25">
      <c r="B9087" s="4">
        <v>584734647</v>
      </c>
      <c r="C9087" s="4" t="s">
        <v>273</v>
      </c>
      <c r="D9087" s="4">
        <v>9174</v>
      </c>
      <c r="E9087" s="4">
        <v>317</v>
      </c>
      <c r="G9087">
        <f t="shared" si="141"/>
        <v>2592</v>
      </c>
    </row>
    <row r="9088" spans="2:7" ht="15" hidden="1" x14ac:dyDescent="0.25">
      <c r="B9088" s="4">
        <v>584735846</v>
      </c>
      <c r="C9088" s="4" t="s">
        <v>273</v>
      </c>
      <c r="D9088" s="4">
        <v>10373</v>
      </c>
      <c r="E9088" s="4">
        <v>317</v>
      </c>
      <c r="G9088">
        <f t="shared" si="141"/>
        <v>2592</v>
      </c>
    </row>
    <row r="9089" spans="2:7" ht="15" hidden="1" x14ac:dyDescent="0.25">
      <c r="B9089" s="4">
        <v>584737045</v>
      </c>
      <c r="C9089" s="4" t="s">
        <v>273</v>
      </c>
      <c r="D9089" s="4">
        <v>11572</v>
      </c>
      <c r="E9089" s="4">
        <v>317</v>
      </c>
      <c r="G9089">
        <f t="shared" si="141"/>
        <v>2592</v>
      </c>
    </row>
    <row r="9090" spans="2:7" ht="15" hidden="1" x14ac:dyDescent="0.25">
      <c r="B9090" s="4">
        <v>584738244</v>
      </c>
      <c r="C9090" s="4" t="s">
        <v>273</v>
      </c>
      <c r="D9090" s="4">
        <v>12771</v>
      </c>
      <c r="E9090" s="4">
        <v>317</v>
      </c>
      <c r="G9090">
        <f t="shared" si="141"/>
        <v>2592</v>
      </c>
    </row>
    <row r="9091" spans="2:7" ht="15" hidden="1" x14ac:dyDescent="0.25">
      <c r="B9091" s="4">
        <v>584739443</v>
      </c>
      <c r="C9091" s="4" t="s">
        <v>273</v>
      </c>
      <c r="D9091" s="4">
        <v>13970</v>
      </c>
      <c r="E9091" s="4">
        <v>317</v>
      </c>
      <c r="G9091">
        <f t="shared" si="141"/>
        <v>2592</v>
      </c>
    </row>
    <row r="9092" spans="2:7" ht="15" hidden="1" x14ac:dyDescent="0.25">
      <c r="B9092" s="4">
        <v>584740642</v>
      </c>
      <c r="C9092" s="4" t="s">
        <v>273</v>
      </c>
      <c r="D9092" s="4">
        <v>15169</v>
      </c>
      <c r="E9092" s="4">
        <v>317</v>
      </c>
      <c r="G9092">
        <f t="shared" ref="G9092:G9155" si="142">(E9092+7)*8</f>
        <v>2592</v>
      </c>
    </row>
    <row r="9093" spans="2:7" ht="15" hidden="1" x14ac:dyDescent="0.25">
      <c r="B9093" s="4">
        <v>584741841</v>
      </c>
      <c r="C9093" s="4" t="s">
        <v>273</v>
      </c>
      <c r="D9093" s="4">
        <v>16368</v>
      </c>
      <c r="E9093" s="4">
        <v>317</v>
      </c>
      <c r="G9093">
        <f t="shared" si="142"/>
        <v>2592</v>
      </c>
    </row>
    <row r="9094" spans="2:7" ht="15" hidden="1" x14ac:dyDescent="0.25">
      <c r="B9094" s="4">
        <v>584743040</v>
      </c>
      <c r="C9094" s="4" t="s">
        <v>273</v>
      </c>
      <c r="D9094" s="4">
        <v>1183</v>
      </c>
      <c r="E9094" s="4">
        <v>317</v>
      </c>
      <c r="G9094">
        <f t="shared" si="142"/>
        <v>2592</v>
      </c>
    </row>
    <row r="9095" spans="2:7" ht="15" hidden="1" x14ac:dyDescent="0.25">
      <c r="B9095" s="4">
        <v>584744239</v>
      </c>
      <c r="C9095" s="4" t="s">
        <v>273</v>
      </c>
      <c r="D9095" s="4">
        <v>2382</v>
      </c>
      <c r="E9095" s="4">
        <v>317</v>
      </c>
      <c r="G9095">
        <f t="shared" si="142"/>
        <v>2592</v>
      </c>
    </row>
    <row r="9096" spans="2:7" ht="15" hidden="1" x14ac:dyDescent="0.25">
      <c r="B9096" s="4">
        <v>584745438</v>
      </c>
      <c r="C9096" s="4" t="s">
        <v>273</v>
      </c>
      <c r="D9096" s="4">
        <v>3581</v>
      </c>
      <c r="E9096" s="4">
        <v>317</v>
      </c>
      <c r="G9096">
        <f t="shared" si="142"/>
        <v>2592</v>
      </c>
    </row>
    <row r="9097" spans="2:7" ht="15" hidden="1" x14ac:dyDescent="0.25">
      <c r="B9097" s="4">
        <v>584746637</v>
      </c>
      <c r="C9097" s="4" t="s">
        <v>273</v>
      </c>
      <c r="D9097" s="4">
        <v>4780</v>
      </c>
      <c r="E9097" s="4">
        <v>317</v>
      </c>
      <c r="G9097">
        <f t="shared" si="142"/>
        <v>2592</v>
      </c>
    </row>
    <row r="9098" spans="2:7" ht="15" hidden="1" x14ac:dyDescent="0.25">
      <c r="B9098" s="4">
        <v>584747836</v>
      </c>
      <c r="C9098" s="4" t="s">
        <v>273</v>
      </c>
      <c r="D9098" s="4">
        <v>5979</v>
      </c>
      <c r="E9098" s="4">
        <v>317</v>
      </c>
      <c r="G9098">
        <f t="shared" si="142"/>
        <v>2592</v>
      </c>
    </row>
    <row r="9099" spans="2:7" ht="15" hidden="1" x14ac:dyDescent="0.25">
      <c r="B9099" s="4">
        <v>584749035</v>
      </c>
      <c r="C9099" s="4" t="s">
        <v>273</v>
      </c>
      <c r="D9099" s="4">
        <v>7178</v>
      </c>
      <c r="E9099" s="4">
        <v>317</v>
      </c>
      <c r="G9099">
        <f t="shared" si="142"/>
        <v>2592</v>
      </c>
    </row>
    <row r="9100" spans="2:7" ht="15" hidden="1" x14ac:dyDescent="0.25">
      <c r="B9100" s="4">
        <v>584750234</v>
      </c>
      <c r="C9100" s="4" t="s">
        <v>273</v>
      </c>
      <c r="D9100" s="4">
        <v>8377</v>
      </c>
      <c r="E9100" s="4">
        <v>317</v>
      </c>
      <c r="G9100">
        <f t="shared" si="142"/>
        <v>2592</v>
      </c>
    </row>
    <row r="9101" spans="2:7" ht="15" hidden="1" x14ac:dyDescent="0.25">
      <c r="B9101" s="4">
        <v>584751433</v>
      </c>
      <c r="C9101" s="4" t="s">
        <v>273</v>
      </c>
      <c r="D9101" s="4">
        <v>9576</v>
      </c>
      <c r="E9101" s="4">
        <v>317</v>
      </c>
      <c r="G9101">
        <f t="shared" si="142"/>
        <v>2592</v>
      </c>
    </row>
    <row r="9102" spans="2:7" ht="15" hidden="1" x14ac:dyDescent="0.25">
      <c r="B9102" s="4">
        <v>584752632</v>
      </c>
      <c r="C9102" s="4" t="s">
        <v>273</v>
      </c>
      <c r="D9102" s="4">
        <v>10775</v>
      </c>
      <c r="E9102" s="4">
        <v>317</v>
      </c>
      <c r="G9102">
        <f t="shared" si="142"/>
        <v>2592</v>
      </c>
    </row>
    <row r="9103" spans="2:7" ht="15" hidden="1" x14ac:dyDescent="0.25">
      <c r="B9103" s="4">
        <v>584753831</v>
      </c>
      <c r="C9103" s="4" t="s">
        <v>273</v>
      </c>
      <c r="D9103" s="4">
        <v>11974</v>
      </c>
      <c r="E9103" s="4">
        <v>317</v>
      </c>
      <c r="G9103">
        <f t="shared" si="142"/>
        <v>2592</v>
      </c>
    </row>
    <row r="9104" spans="2:7" ht="15" hidden="1" x14ac:dyDescent="0.25">
      <c r="B9104" s="4">
        <v>584755030</v>
      </c>
      <c r="C9104" s="4" t="s">
        <v>273</v>
      </c>
      <c r="D9104" s="4">
        <v>13173</v>
      </c>
      <c r="E9104" s="4">
        <v>317</v>
      </c>
      <c r="G9104">
        <f t="shared" si="142"/>
        <v>2592</v>
      </c>
    </row>
    <row r="9105" spans="2:7" ht="15" hidden="1" x14ac:dyDescent="0.25">
      <c r="B9105" s="4">
        <v>584756229</v>
      </c>
      <c r="C9105" s="4" t="s">
        <v>273</v>
      </c>
      <c r="D9105" s="4">
        <v>14372</v>
      </c>
      <c r="E9105" s="4">
        <v>317</v>
      </c>
      <c r="G9105">
        <f t="shared" si="142"/>
        <v>2592</v>
      </c>
    </row>
    <row r="9106" spans="2:7" ht="15" hidden="1" x14ac:dyDescent="0.25">
      <c r="B9106" s="4">
        <v>584757428</v>
      </c>
      <c r="C9106" s="4" t="s">
        <v>273</v>
      </c>
      <c r="D9106" s="4">
        <v>15571</v>
      </c>
      <c r="E9106" s="4">
        <v>317</v>
      </c>
      <c r="G9106">
        <f t="shared" si="142"/>
        <v>2592</v>
      </c>
    </row>
    <row r="9107" spans="2:7" ht="15" hidden="1" x14ac:dyDescent="0.25">
      <c r="B9107" s="4">
        <v>584758319</v>
      </c>
      <c r="C9107" s="4" t="s">
        <v>274</v>
      </c>
      <c r="D9107" s="4">
        <v>0</v>
      </c>
      <c r="E9107" s="4">
        <v>19</v>
      </c>
      <c r="G9107">
        <f t="shared" si="142"/>
        <v>208</v>
      </c>
    </row>
    <row r="9108" spans="2:7" ht="15" hidden="1" x14ac:dyDescent="0.25">
      <c r="B9108" s="4">
        <v>584758321</v>
      </c>
      <c r="C9108" s="4" t="s">
        <v>274</v>
      </c>
      <c r="D9108" s="4">
        <v>1</v>
      </c>
      <c r="E9108" s="4">
        <v>19</v>
      </c>
      <c r="G9108">
        <f t="shared" si="142"/>
        <v>208</v>
      </c>
    </row>
    <row r="9109" spans="2:7" ht="15" hidden="1" x14ac:dyDescent="0.25">
      <c r="B9109" s="4">
        <v>584758323</v>
      </c>
      <c r="C9109" s="4" t="s">
        <v>274</v>
      </c>
      <c r="D9109" s="4">
        <v>2</v>
      </c>
      <c r="E9109" s="4">
        <v>19</v>
      </c>
      <c r="G9109">
        <f t="shared" si="142"/>
        <v>208</v>
      </c>
    </row>
    <row r="9110" spans="2:7" ht="15" hidden="1" x14ac:dyDescent="0.25">
      <c r="B9110" s="4">
        <v>584758325</v>
      </c>
      <c r="C9110" s="4" t="s">
        <v>274</v>
      </c>
      <c r="D9110" s="4">
        <v>3</v>
      </c>
      <c r="E9110" s="4">
        <v>19</v>
      </c>
      <c r="G9110">
        <f t="shared" si="142"/>
        <v>208</v>
      </c>
    </row>
    <row r="9111" spans="2:7" ht="15" hidden="1" x14ac:dyDescent="0.25">
      <c r="B9111" s="4">
        <v>584758329</v>
      </c>
      <c r="C9111" s="4" t="s">
        <v>269</v>
      </c>
      <c r="D9111" s="4">
        <v>0</v>
      </c>
      <c r="E9111" s="4">
        <v>57</v>
      </c>
      <c r="G9111">
        <f t="shared" si="142"/>
        <v>512</v>
      </c>
    </row>
    <row r="9112" spans="2:7" ht="15" hidden="1" x14ac:dyDescent="0.25">
      <c r="B9112" s="4">
        <v>584758330</v>
      </c>
      <c r="C9112" s="4" t="s">
        <v>269</v>
      </c>
      <c r="D9112" s="4">
        <v>1</v>
      </c>
      <c r="E9112" s="4">
        <v>57</v>
      </c>
      <c r="G9112">
        <f t="shared" si="142"/>
        <v>512</v>
      </c>
    </row>
    <row r="9113" spans="2:7" ht="15" hidden="1" x14ac:dyDescent="0.25">
      <c r="B9113" s="4">
        <v>584758331</v>
      </c>
      <c r="C9113" s="4" t="s">
        <v>268</v>
      </c>
      <c r="D9113" s="4">
        <v>0</v>
      </c>
      <c r="E9113" s="4">
        <v>9</v>
      </c>
      <c r="G9113">
        <f t="shared" si="142"/>
        <v>128</v>
      </c>
    </row>
    <row r="9114" spans="2:7" ht="15" hidden="1" x14ac:dyDescent="0.25">
      <c r="B9114" s="4">
        <v>584758331</v>
      </c>
      <c r="C9114" s="4" t="s">
        <v>268</v>
      </c>
      <c r="D9114" s="4">
        <v>0</v>
      </c>
      <c r="E9114" s="4">
        <v>9</v>
      </c>
      <c r="G9114">
        <f t="shared" si="142"/>
        <v>128</v>
      </c>
    </row>
    <row r="9115" spans="2:7" ht="15" hidden="1" x14ac:dyDescent="0.25">
      <c r="B9115" s="4">
        <v>584758331</v>
      </c>
      <c r="C9115" s="4" t="s">
        <v>269</v>
      </c>
      <c r="D9115" s="4">
        <v>2</v>
      </c>
      <c r="E9115" s="4">
        <v>57</v>
      </c>
      <c r="G9115">
        <f t="shared" si="142"/>
        <v>512</v>
      </c>
    </row>
    <row r="9116" spans="2:7" ht="15" hidden="1" x14ac:dyDescent="0.25">
      <c r="B9116" s="4">
        <v>584758332</v>
      </c>
      <c r="C9116" s="4" t="s">
        <v>269</v>
      </c>
      <c r="D9116" s="4">
        <v>3</v>
      </c>
      <c r="E9116" s="4">
        <v>57</v>
      </c>
      <c r="G9116">
        <f t="shared" si="142"/>
        <v>512</v>
      </c>
    </row>
    <row r="9117" spans="2:7" ht="15" hidden="1" x14ac:dyDescent="0.25">
      <c r="B9117" s="4">
        <v>584758333</v>
      </c>
      <c r="C9117" s="4" t="s">
        <v>269</v>
      </c>
      <c r="D9117" s="4">
        <v>4</v>
      </c>
      <c r="E9117" s="4">
        <v>57</v>
      </c>
      <c r="G9117">
        <f t="shared" si="142"/>
        <v>512</v>
      </c>
    </row>
    <row r="9118" spans="2:7" ht="15" hidden="1" x14ac:dyDescent="0.25">
      <c r="B9118" s="4">
        <v>584758334</v>
      </c>
      <c r="C9118" s="4" t="s">
        <v>269</v>
      </c>
      <c r="D9118" s="4">
        <v>5</v>
      </c>
      <c r="E9118" s="4">
        <v>57</v>
      </c>
      <c r="G9118">
        <f t="shared" si="142"/>
        <v>512</v>
      </c>
    </row>
    <row r="9119" spans="2:7" ht="15" hidden="1" x14ac:dyDescent="0.25">
      <c r="B9119" s="4">
        <v>584758335</v>
      </c>
      <c r="C9119" s="4" t="s">
        <v>269</v>
      </c>
      <c r="D9119" s="4">
        <v>6</v>
      </c>
      <c r="E9119" s="4">
        <v>57</v>
      </c>
      <c r="G9119">
        <f t="shared" si="142"/>
        <v>512</v>
      </c>
    </row>
    <row r="9120" spans="2:7" ht="15" hidden="1" x14ac:dyDescent="0.25">
      <c r="B9120" s="4">
        <v>584758336</v>
      </c>
      <c r="C9120" s="4" t="s">
        <v>269</v>
      </c>
      <c r="D9120" s="4">
        <v>7</v>
      </c>
      <c r="E9120" s="4">
        <v>57</v>
      </c>
      <c r="G9120">
        <f t="shared" si="142"/>
        <v>512</v>
      </c>
    </row>
    <row r="9121" spans="2:7" ht="15" hidden="1" x14ac:dyDescent="0.25">
      <c r="B9121" s="4">
        <v>584758337</v>
      </c>
      <c r="C9121" s="4" t="s">
        <v>269</v>
      </c>
      <c r="D9121" s="4">
        <v>8</v>
      </c>
      <c r="E9121" s="4">
        <v>57</v>
      </c>
      <c r="G9121">
        <f t="shared" si="142"/>
        <v>512</v>
      </c>
    </row>
    <row r="9122" spans="2:7" ht="15" hidden="1" x14ac:dyDescent="0.25">
      <c r="B9122" s="4">
        <v>584758338</v>
      </c>
      <c r="C9122" s="4" t="s">
        <v>269</v>
      </c>
      <c r="D9122" s="4">
        <v>9</v>
      </c>
      <c r="E9122" s="4">
        <v>57</v>
      </c>
      <c r="G9122">
        <f t="shared" si="142"/>
        <v>512</v>
      </c>
    </row>
    <row r="9123" spans="2:7" ht="15" hidden="1" x14ac:dyDescent="0.25">
      <c r="B9123" s="4">
        <v>584758339</v>
      </c>
      <c r="C9123" s="4" t="s">
        <v>269</v>
      </c>
      <c r="D9123" s="4">
        <v>10</v>
      </c>
      <c r="E9123" s="4">
        <v>57</v>
      </c>
      <c r="G9123">
        <f t="shared" si="142"/>
        <v>512</v>
      </c>
    </row>
    <row r="9124" spans="2:7" ht="15" hidden="1" x14ac:dyDescent="0.25">
      <c r="B9124" s="4">
        <v>584758340</v>
      </c>
      <c r="C9124" s="4" t="s">
        <v>269</v>
      </c>
      <c r="D9124" s="4">
        <v>11</v>
      </c>
      <c r="E9124" s="4">
        <v>57</v>
      </c>
      <c r="G9124">
        <f t="shared" si="142"/>
        <v>512</v>
      </c>
    </row>
    <row r="9125" spans="2:7" ht="15" hidden="1" x14ac:dyDescent="0.25">
      <c r="B9125" s="4">
        <v>584758341</v>
      </c>
      <c r="C9125" s="4" t="s">
        <v>268</v>
      </c>
      <c r="D9125" s="4">
        <v>1</v>
      </c>
      <c r="E9125" s="4">
        <v>6</v>
      </c>
      <c r="G9125">
        <f t="shared" si="142"/>
        <v>104</v>
      </c>
    </row>
    <row r="9126" spans="2:7" ht="15" hidden="1" x14ac:dyDescent="0.25">
      <c r="B9126" s="4">
        <v>584758341</v>
      </c>
      <c r="C9126" s="4" t="s">
        <v>268</v>
      </c>
      <c r="D9126" s="4">
        <v>1</v>
      </c>
      <c r="E9126" s="4">
        <v>6</v>
      </c>
      <c r="G9126">
        <f t="shared" si="142"/>
        <v>104</v>
      </c>
    </row>
    <row r="9127" spans="2:7" ht="15" hidden="1" x14ac:dyDescent="0.25">
      <c r="B9127" s="4">
        <v>584758341</v>
      </c>
      <c r="C9127" s="4" t="s">
        <v>269</v>
      </c>
      <c r="D9127" s="4">
        <v>12</v>
      </c>
      <c r="E9127" s="4">
        <v>57</v>
      </c>
      <c r="G9127">
        <f t="shared" si="142"/>
        <v>512</v>
      </c>
    </row>
    <row r="9128" spans="2:7" ht="15" hidden="1" x14ac:dyDescent="0.25">
      <c r="B9128" s="4">
        <v>584758342</v>
      </c>
      <c r="C9128" s="4" t="s">
        <v>269</v>
      </c>
      <c r="D9128" s="4">
        <v>13</v>
      </c>
      <c r="E9128" s="4">
        <v>57</v>
      </c>
      <c r="G9128">
        <f t="shared" si="142"/>
        <v>512</v>
      </c>
    </row>
    <row r="9129" spans="2:7" ht="15" hidden="1" x14ac:dyDescent="0.25">
      <c r="B9129" s="4">
        <v>584758343</v>
      </c>
      <c r="C9129" s="4" t="s">
        <v>269</v>
      </c>
      <c r="D9129" s="4">
        <v>14</v>
      </c>
      <c r="E9129" s="4">
        <v>57</v>
      </c>
      <c r="G9129">
        <f t="shared" si="142"/>
        <v>512</v>
      </c>
    </row>
    <row r="9130" spans="2:7" ht="15" hidden="1" x14ac:dyDescent="0.25">
      <c r="B9130" s="4">
        <v>584758344</v>
      </c>
      <c r="C9130" s="4" t="s">
        <v>269</v>
      </c>
      <c r="D9130" s="4">
        <v>15</v>
      </c>
      <c r="E9130" s="4">
        <v>57</v>
      </c>
      <c r="G9130">
        <f t="shared" si="142"/>
        <v>512</v>
      </c>
    </row>
    <row r="9131" spans="2:7" ht="15" hidden="1" x14ac:dyDescent="0.25">
      <c r="B9131" s="4">
        <v>584758345</v>
      </c>
      <c r="C9131" s="4" t="s">
        <v>269</v>
      </c>
      <c r="D9131" s="4">
        <v>16</v>
      </c>
      <c r="E9131" s="4">
        <v>57</v>
      </c>
      <c r="G9131">
        <f t="shared" si="142"/>
        <v>512</v>
      </c>
    </row>
    <row r="9132" spans="2:7" ht="15" hidden="1" x14ac:dyDescent="0.25">
      <c r="B9132" s="4">
        <v>584758346</v>
      </c>
      <c r="C9132" s="4" t="s">
        <v>269</v>
      </c>
      <c r="D9132" s="4">
        <v>17</v>
      </c>
      <c r="E9132" s="4">
        <v>57</v>
      </c>
      <c r="G9132">
        <f t="shared" si="142"/>
        <v>512</v>
      </c>
    </row>
    <row r="9133" spans="2:7" ht="15" hidden="1" x14ac:dyDescent="0.25">
      <c r="B9133" s="4">
        <v>584758347</v>
      </c>
      <c r="C9133" s="4" t="s">
        <v>269</v>
      </c>
      <c r="D9133" s="4">
        <v>18</v>
      </c>
      <c r="E9133" s="4">
        <v>57</v>
      </c>
      <c r="G9133">
        <f t="shared" si="142"/>
        <v>512</v>
      </c>
    </row>
    <row r="9134" spans="2:7" ht="15" hidden="1" x14ac:dyDescent="0.25">
      <c r="B9134" s="4">
        <v>584758348</v>
      </c>
      <c r="C9134" s="4" t="s">
        <v>269</v>
      </c>
      <c r="D9134" s="4">
        <v>19</v>
      </c>
      <c r="E9134" s="4">
        <v>57</v>
      </c>
      <c r="G9134">
        <f t="shared" si="142"/>
        <v>512</v>
      </c>
    </row>
    <row r="9135" spans="2:7" ht="15" hidden="1" x14ac:dyDescent="0.25">
      <c r="B9135" s="4">
        <v>584758349</v>
      </c>
      <c r="C9135" s="4" t="s">
        <v>269</v>
      </c>
      <c r="D9135" s="4">
        <v>20</v>
      </c>
      <c r="E9135" s="4">
        <v>57</v>
      </c>
      <c r="G9135">
        <f t="shared" si="142"/>
        <v>512</v>
      </c>
    </row>
    <row r="9136" spans="2:7" ht="15" hidden="1" x14ac:dyDescent="0.25">
      <c r="B9136" s="4">
        <v>584758350</v>
      </c>
      <c r="C9136" s="4" t="s">
        <v>269</v>
      </c>
      <c r="D9136" s="4">
        <v>21</v>
      </c>
      <c r="E9136" s="4">
        <v>57</v>
      </c>
      <c r="G9136">
        <f t="shared" si="142"/>
        <v>512</v>
      </c>
    </row>
    <row r="9137" spans="2:7" ht="15" hidden="1" x14ac:dyDescent="0.25">
      <c r="B9137" s="4">
        <v>584758351</v>
      </c>
      <c r="C9137" s="4" t="s">
        <v>269</v>
      </c>
      <c r="D9137" s="4">
        <v>22</v>
      </c>
      <c r="E9137" s="4">
        <v>57</v>
      </c>
      <c r="G9137">
        <f t="shared" si="142"/>
        <v>512</v>
      </c>
    </row>
    <row r="9138" spans="2:7" ht="15" hidden="1" x14ac:dyDescent="0.25">
      <c r="B9138" s="4">
        <v>584758352</v>
      </c>
      <c r="C9138" s="4" t="s">
        <v>269</v>
      </c>
      <c r="D9138" s="4">
        <v>23</v>
      </c>
      <c r="E9138" s="4">
        <v>57</v>
      </c>
      <c r="G9138">
        <f t="shared" si="142"/>
        <v>512</v>
      </c>
    </row>
    <row r="9139" spans="2:7" ht="15" hidden="1" x14ac:dyDescent="0.25">
      <c r="B9139" s="4">
        <v>584758353</v>
      </c>
      <c r="C9139" s="4" t="s">
        <v>269</v>
      </c>
      <c r="D9139" s="4">
        <v>24</v>
      </c>
      <c r="E9139" s="4">
        <v>57</v>
      </c>
      <c r="G9139">
        <f t="shared" si="142"/>
        <v>512</v>
      </c>
    </row>
    <row r="9140" spans="2:7" ht="15" hidden="1" x14ac:dyDescent="0.25">
      <c r="B9140" s="4">
        <v>584758354</v>
      </c>
      <c r="C9140" s="4" t="s">
        <v>269</v>
      </c>
      <c r="D9140" s="4">
        <v>25</v>
      </c>
      <c r="E9140" s="4">
        <v>57</v>
      </c>
      <c r="G9140">
        <f t="shared" si="142"/>
        <v>512</v>
      </c>
    </row>
    <row r="9141" spans="2:7" ht="15" hidden="1" x14ac:dyDescent="0.25">
      <c r="B9141" s="4">
        <v>584758355</v>
      </c>
      <c r="C9141" s="4" t="s">
        <v>268</v>
      </c>
      <c r="D9141" s="4">
        <v>2</v>
      </c>
      <c r="E9141" s="4">
        <v>5</v>
      </c>
      <c r="G9141">
        <f t="shared" si="142"/>
        <v>96</v>
      </c>
    </row>
    <row r="9142" spans="2:7" ht="15" hidden="1" x14ac:dyDescent="0.25">
      <c r="B9142" s="4">
        <v>584758355</v>
      </c>
      <c r="C9142" s="4" t="s">
        <v>268</v>
      </c>
      <c r="D9142" s="4">
        <v>2</v>
      </c>
      <c r="E9142" s="4">
        <v>5</v>
      </c>
      <c r="G9142">
        <f t="shared" si="142"/>
        <v>96</v>
      </c>
    </row>
    <row r="9143" spans="2:7" ht="15" hidden="1" x14ac:dyDescent="0.25">
      <c r="B9143" s="4">
        <v>584758355</v>
      </c>
      <c r="C9143" s="4" t="s">
        <v>269</v>
      </c>
      <c r="D9143" s="4">
        <v>26</v>
      </c>
      <c r="E9143" s="4">
        <v>57</v>
      </c>
      <c r="G9143">
        <f t="shared" si="142"/>
        <v>512</v>
      </c>
    </row>
    <row r="9144" spans="2:7" ht="15" hidden="1" x14ac:dyDescent="0.25">
      <c r="B9144" s="4">
        <v>584758356</v>
      </c>
      <c r="C9144" s="4" t="s">
        <v>269</v>
      </c>
      <c r="D9144" s="4">
        <v>27</v>
      </c>
      <c r="E9144" s="4">
        <v>57</v>
      </c>
      <c r="G9144">
        <f t="shared" si="142"/>
        <v>512</v>
      </c>
    </row>
    <row r="9145" spans="2:7" ht="15" hidden="1" x14ac:dyDescent="0.25">
      <c r="B9145" s="4">
        <v>584758357</v>
      </c>
      <c r="C9145" s="4" t="s">
        <v>269</v>
      </c>
      <c r="D9145" s="4">
        <v>28</v>
      </c>
      <c r="E9145" s="4">
        <v>57</v>
      </c>
      <c r="G9145">
        <f t="shared" si="142"/>
        <v>512</v>
      </c>
    </row>
    <row r="9146" spans="2:7" ht="15" hidden="1" x14ac:dyDescent="0.25">
      <c r="B9146" s="4">
        <v>584758358</v>
      </c>
      <c r="C9146" s="4" t="s">
        <v>269</v>
      </c>
      <c r="D9146" s="4">
        <v>29</v>
      </c>
      <c r="E9146" s="4">
        <v>57</v>
      </c>
      <c r="G9146">
        <f t="shared" si="142"/>
        <v>512</v>
      </c>
    </row>
    <row r="9147" spans="2:7" ht="15" hidden="1" x14ac:dyDescent="0.25">
      <c r="B9147" s="4">
        <v>584758359</v>
      </c>
      <c r="C9147" s="4" t="s">
        <v>269</v>
      </c>
      <c r="D9147" s="4">
        <v>30</v>
      </c>
      <c r="E9147" s="4">
        <v>57</v>
      </c>
      <c r="G9147">
        <f t="shared" si="142"/>
        <v>512</v>
      </c>
    </row>
    <row r="9148" spans="2:7" ht="15" hidden="1" x14ac:dyDescent="0.25">
      <c r="B9148" s="4">
        <v>584758360</v>
      </c>
      <c r="C9148" s="4" t="s">
        <v>269</v>
      </c>
      <c r="D9148" s="4">
        <v>31</v>
      </c>
      <c r="E9148" s="4">
        <v>57</v>
      </c>
      <c r="G9148">
        <f t="shared" si="142"/>
        <v>512</v>
      </c>
    </row>
    <row r="9149" spans="2:7" ht="15" hidden="1" x14ac:dyDescent="0.25">
      <c r="B9149" s="4">
        <v>584758361</v>
      </c>
      <c r="C9149" s="4" t="s">
        <v>268</v>
      </c>
      <c r="D9149" s="4">
        <v>3</v>
      </c>
      <c r="E9149" s="4">
        <v>6</v>
      </c>
      <c r="G9149">
        <f t="shared" si="142"/>
        <v>104</v>
      </c>
    </row>
    <row r="9150" spans="2:7" ht="15" hidden="1" x14ac:dyDescent="0.25">
      <c r="B9150" s="4">
        <v>584758361</v>
      </c>
      <c r="C9150" s="4" t="s">
        <v>268</v>
      </c>
      <c r="D9150" s="4">
        <v>3</v>
      </c>
      <c r="E9150" s="4">
        <v>6</v>
      </c>
      <c r="G9150">
        <f t="shared" si="142"/>
        <v>104</v>
      </c>
    </row>
    <row r="9151" spans="2:7" ht="15" hidden="1" x14ac:dyDescent="0.25">
      <c r="B9151" s="4">
        <v>584758361</v>
      </c>
      <c r="C9151" s="4" t="s">
        <v>268</v>
      </c>
      <c r="D9151" s="4">
        <v>4</v>
      </c>
      <c r="E9151" s="4">
        <v>9</v>
      </c>
      <c r="G9151">
        <f t="shared" si="142"/>
        <v>128</v>
      </c>
    </row>
    <row r="9152" spans="2:7" ht="15" hidden="1" x14ac:dyDescent="0.25">
      <c r="B9152" s="4">
        <v>584758361</v>
      </c>
      <c r="C9152" s="4" t="s">
        <v>268</v>
      </c>
      <c r="D9152" s="4">
        <v>4</v>
      </c>
      <c r="E9152" s="4">
        <v>9</v>
      </c>
      <c r="G9152">
        <f t="shared" si="142"/>
        <v>128</v>
      </c>
    </row>
    <row r="9153" spans="2:7" ht="15" hidden="1" x14ac:dyDescent="0.25">
      <c r="B9153" s="4">
        <v>584758361</v>
      </c>
      <c r="C9153" s="4" t="s">
        <v>268</v>
      </c>
      <c r="D9153" s="4">
        <v>5</v>
      </c>
      <c r="E9153" s="4">
        <v>7</v>
      </c>
      <c r="G9153">
        <f t="shared" si="142"/>
        <v>112</v>
      </c>
    </row>
    <row r="9154" spans="2:7" ht="15" hidden="1" x14ac:dyDescent="0.25">
      <c r="B9154" s="4">
        <v>584758361</v>
      </c>
      <c r="C9154" s="4" t="s">
        <v>268</v>
      </c>
      <c r="D9154" s="4">
        <v>5</v>
      </c>
      <c r="E9154" s="4">
        <v>7</v>
      </c>
      <c r="G9154">
        <f t="shared" si="142"/>
        <v>112</v>
      </c>
    </row>
    <row r="9155" spans="2:7" ht="15" hidden="1" x14ac:dyDescent="0.25">
      <c r="B9155" s="4">
        <v>584758361</v>
      </c>
      <c r="C9155" s="4" t="s">
        <v>269</v>
      </c>
      <c r="D9155" s="4">
        <v>32</v>
      </c>
      <c r="E9155" s="4">
        <v>57</v>
      </c>
      <c r="G9155">
        <f t="shared" si="142"/>
        <v>512</v>
      </c>
    </row>
    <row r="9156" spans="2:7" ht="15" hidden="1" x14ac:dyDescent="0.25">
      <c r="B9156" s="4">
        <v>584758362</v>
      </c>
      <c r="C9156" s="4" t="s">
        <v>268</v>
      </c>
      <c r="D9156" s="4">
        <v>6</v>
      </c>
      <c r="E9156" s="4">
        <v>9</v>
      </c>
      <c r="G9156">
        <f t="shared" ref="G9156:G9219" si="143">(E9156+7)*8</f>
        <v>128</v>
      </c>
    </row>
    <row r="9157" spans="2:7" ht="15" hidden="1" x14ac:dyDescent="0.25">
      <c r="B9157" s="4">
        <v>584758362</v>
      </c>
      <c r="C9157" s="4" t="s">
        <v>268</v>
      </c>
      <c r="D9157" s="4">
        <v>6</v>
      </c>
      <c r="E9157" s="4">
        <v>9</v>
      </c>
      <c r="G9157">
        <f t="shared" si="143"/>
        <v>128</v>
      </c>
    </row>
    <row r="9158" spans="2:7" ht="15" hidden="1" x14ac:dyDescent="0.25">
      <c r="B9158" s="4">
        <v>584758362</v>
      </c>
      <c r="C9158" s="4" t="s">
        <v>268</v>
      </c>
      <c r="D9158" s="4">
        <v>7</v>
      </c>
      <c r="E9158" s="4">
        <v>7</v>
      </c>
      <c r="G9158">
        <f t="shared" si="143"/>
        <v>112</v>
      </c>
    </row>
    <row r="9159" spans="2:7" ht="15" hidden="1" x14ac:dyDescent="0.25">
      <c r="B9159" s="4">
        <v>584758362</v>
      </c>
      <c r="C9159" s="4" t="s">
        <v>268</v>
      </c>
      <c r="D9159" s="4">
        <v>7</v>
      </c>
      <c r="E9159" s="4">
        <v>7</v>
      </c>
      <c r="G9159">
        <f t="shared" si="143"/>
        <v>112</v>
      </c>
    </row>
    <row r="9160" spans="2:7" ht="15" hidden="1" x14ac:dyDescent="0.25">
      <c r="B9160" s="4">
        <v>584758362</v>
      </c>
      <c r="C9160" s="4" t="s">
        <v>269</v>
      </c>
      <c r="D9160" s="4">
        <v>33</v>
      </c>
      <c r="E9160" s="4">
        <v>57</v>
      </c>
      <c r="G9160">
        <f t="shared" si="143"/>
        <v>512</v>
      </c>
    </row>
    <row r="9161" spans="2:7" ht="15" hidden="1" x14ac:dyDescent="0.25">
      <c r="B9161" s="4">
        <v>584758363</v>
      </c>
      <c r="C9161" s="4" t="s">
        <v>268</v>
      </c>
      <c r="D9161" s="4">
        <v>8</v>
      </c>
      <c r="E9161" s="4">
        <v>9</v>
      </c>
      <c r="G9161">
        <f t="shared" si="143"/>
        <v>128</v>
      </c>
    </row>
    <row r="9162" spans="2:7" ht="15" hidden="1" x14ac:dyDescent="0.25">
      <c r="B9162" s="4">
        <v>584758363</v>
      </c>
      <c r="C9162" s="4" t="s">
        <v>268</v>
      </c>
      <c r="D9162" s="4">
        <v>8</v>
      </c>
      <c r="E9162" s="4">
        <v>9</v>
      </c>
      <c r="G9162">
        <f t="shared" si="143"/>
        <v>128</v>
      </c>
    </row>
    <row r="9163" spans="2:7" ht="15" hidden="1" x14ac:dyDescent="0.25">
      <c r="B9163" s="4">
        <v>584758363</v>
      </c>
      <c r="C9163" s="4" t="s">
        <v>268</v>
      </c>
      <c r="D9163" s="4">
        <v>9</v>
      </c>
      <c r="E9163" s="4">
        <v>7</v>
      </c>
      <c r="G9163">
        <f t="shared" si="143"/>
        <v>112</v>
      </c>
    </row>
    <row r="9164" spans="2:7" ht="15" hidden="1" x14ac:dyDescent="0.25">
      <c r="B9164" s="4">
        <v>584758363</v>
      </c>
      <c r="C9164" s="4" t="s">
        <v>268</v>
      </c>
      <c r="D9164" s="4">
        <v>9</v>
      </c>
      <c r="E9164" s="4">
        <v>7</v>
      </c>
      <c r="G9164">
        <f t="shared" si="143"/>
        <v>112</v>
      </c>
    </row>
    <row r="9165" spans="2:7" ht="15" hidden="1" x14ac:dyDescent="0.25">
      <c r="B9165" s="4">
        <v>584758363</v>
      </c>
      <c r="C9165" s="4" t="s">
        <v>269</v>
      </c>
      <c r="D9165" s="4">
        <v>34</v>
      </c>
      <c r="E9165" s="4">
        <v>57</v>
      </c>
      <c r="G9165">
        <f t="shared" si="143"/>
        <v>512</v>
      </c>
    </row>
    <row r="9166" spans="2:7" ht="15" hidden="1" x14ac:dyDescent="0.25">
      <c r="B9166" s="4">
        <v>584758364</v>
      </c>
      <c r="C9166" s="4" t="s">
        <v>268</v>
      </c>
      <c r="D9166" s="4">
        <v>10</v>
      </c>
      <c r="E9166" s="4">
        <v>7</v>
      </c>
      <c r="G9166">
        <f t="shared" si="143"/>
        <v>112</v>
      </c>
    </row>
    <row r="9167" spans="2:7" ht="15" hidden="1" x14ac:dyDescent="0.25">
      <c r="B9167" s="4">
        <v>584758364</v>
      </c>
      <c r="C9167" s="4" t="s">
        <v>268</v>
      </c>
      <c r="D9167" s="4">
        <v>10</v>
      </c>
      <c r="E9167" s="4">
        <v>7</v>
      </c>
      <c r="G9167">
        <f t="shared" si="143"/>
        <v>112</v>
      </c>
    </row>
    <row r="9168" spans="2:7" ht="15" hidden="1" x14ac:dyDescent="0.25">
      <c r="B9168" s="4">
        <v>584758364</v>
      </c>
      <c r="C9168" s="4" t="s">
        <v>268</v>
      </c>
      <c r="D9168" s="4">
        <v>11</v>
      </c>
      <c r="E9168" s="4">
        <v>7</v>
      </c>
      <c r="G9168">
        <f t="shared" si="143"/>
        <v>112</v>
      </c>
    </row>
    <row r="9169" spans="2:7" ht="15" hidden="1" x14ac:dyDescent="0.25">
      <c r="B9169" s="4">
        <v>584758364</v>
      </c>
      <c r="C9169" s="4" t="s">
        <v>268</v>
      </c>
      <c r="D9169" s="4">
        <v>11</v>
      </c>
      <c r="E9169" s="4">
        <v>7</v>
      </c>
      <c r="G9169">
        <f t="shared" si="143"/>
        <v>112</v>
      </c>
    </row>
    <row r="9170" spans="2:7" ht="15" hidden="1" x14ac:dyDescent="0.25">
      <c r="B9170" s="4">
        <v>584758364</v>
      </c>
      <c r="C9170" s="4" t="s">
        <v>268</v>
      </c>
      <c r="D9170" s="4">
        <v>12</v>
      </c>
      <c r="E9170" s="4">
        <v>7</v>
      </c>
      <c r="G9170">
        <f t="shared" si="143"/>
        <v>112</v>
      </c>
    </row>
    <row r="9171" spans="2:7" ht="15" hidden="1" x14ac:dyDescent="0.25">
      <c r="B9171" s="4">
        <v>584758364</v>
      </c>
      <c r="C9171" s="4" t="s">
        <v>268</v>
      </c>
      <c r="D9171" s="4">
        <v>12</v>
      </c>
      <c r="E9171" s="4">
        <v>7</v>
      </c>
      <c r="G9171">
        <f t="shared" si="143"/>
        <v>112</v>
      </c>
    </row>
    <row r="9172" spans="2:7" ht="15" hidden="1" x14ac:dyDescent="0.25">
      <c r="B9172" s="4">
        <v>584758364</v>
      </c>
      <c r="C9172" s="4" t="s">
        <v>269</v>
      </c>
      <c r="D9172" s="4">
        <v>35</v>
      </c>
      <c r="E9172" s="4">
        <v>57</v>
      </c>
      <c r="G9172">
        <f t="shared" si="143"/>
        <v>512</v>
      </c>
    </row>
    <row r="9173" spans="2:7" ht="15" hidden="1" x14ac:dyDescent="0.25">
      <c r="B9173" s="4">
        <v>584758365</v>
      </c>
      <c r="C9173" s="4" t="s">
        <v>268</v>
      </c>
      <c r="D9173" s="4">
        <v>13</v>
      </c>
      <c r="E9173" s="4">
        <v>7</v>
      </c>
      <c r="G9173">
        <f t="shared" si="143"/>
        <v>112</v>
      </c>
    </row>
    <row r="9174" spans="2:7" ht="15" hidden="1" x14ac:dyDescent="0.25">
      <c r="B9174" s="4">
        <v>584758365</v>
      </c>
      <c r="C9174" s="4" t="s">
        <v>268</v>
      </c>
      <c r="D9174" s="4">
        <v>13</v>
      </c>
      <c r="E9174" s="4">
        <v>7</v>
      </c>
      <c r="G9174">
        <f t="shared" si="143"/>
        <v>112</v>
      </c>
    </row>
    <row r="9175" spans="2:7" ht="15" hidden="1" x14ac:dyDescent="0.25">
      <c r="B9175" s="4">
        <v>584758365</v>
      </c>
      <c r="C9175" s="4" t="s">
        <v>268</v>
      </c>
      <c r="D9175" s="4">
        <v>14</v>
      </c>
      <c r="E9175" s="4">
        <v>7</v>
      </c>
      <c r="G9175">
        <f t="shared" si="143"/>
        <v>112</v>
      </c>
    </row>
    <row r="9176" spans="2:7" ht="15" hidden="1" x14ac:dyDescent="0.25">
      <c r="B9176" s="4">
        <v>584758365</v>
      </c>
      <c r="C9176" s="4" t="s">
        <v>268</v>
      </c>
      <c r="D9176" s="4">
        <v>14</v>
      </c>
      <c r="E9176" s="4">
        <v>7</v>
      </c>
      <c r="G9176">
        <f t="shared" si="143"/>
        <v>112</v>
      </c>
    </row>
    <row r="9177" spans="2:7" ht="15" hidden="1" x14ac:dyDescent="0.25">
      <c r="B9177" s="4">
        <v>584758365</v>
      </c>
      <c r="C9177" s="4" t="s">
        <v>269</v>
      </c>
      <c r="D9177" s="4">
        <v>36</v>
      </c>
      <c r="E9177" s="4">
        <v>57</v>
      </c>
      <c r="G9177">
        <f t="shared" si="143"/>
        <v>512</v>
      </c>
    </row>
    <row r="9178" spans="2:7" ht="15" hidden="1" x14ac:dyDescent="0.25">
      <c r="B9178" s="4">
        <v>584758366</v>
      </c>
      <c r="C9178" s="4" t="s">
        <v>268</v>
      </c>
      <c r="D9178" s="4">
        <v>15</v>
      </c>
      <c r="E9178" s="4">
        <v>9</v>
      </c>
      <c r="G9178">
        <f t="shared" si="143"/>
        <v>128</v>
      </c>
    </row>
    <row r="9179" spans="2:7" ht="15" hidden="1" x14ac:dyDescent="0.25">
      <c r="B9179" s="4">
        <v>584758366</v>
      </c>
      <c r="C9179" s="4" t="s">
        <v>268</v>
      </c>
      <c r="D9179" s="4">
        <v>15</v>
      </c>
      <c r="E9179" s="4">
        <v>9</v>
      </c>
      <c r="G9179">
        <f t="shared" si="143"/>
        <v>128</v>
      </c>
    </row>
    <row r="9180" spans="2:7" ht="15" hidden="1" x14ac:dyDescent="0.25">
      <c r="B9180" s="4">
        <v>584758366</v>
      </c>
      <c r="C9180" s="4" t="s">
        <v>268</v>
      </c>
      <c r="D9180" s="4">
        <v>16</v>
      </c>
      <c r="E9180" s="4">
        <v>7</v>
      </c>
      <c r="G9180">
        <f t="shared" si="143"/>
        <v>112</v>
      </c>
    </row>
    <row r="9181" spans="2:7" ht="15" hidden="1" x14ac:dyDescent="0.25">
      <c r="B9181" s="4">
        <v>584758366</v>
      </c>
      <c r="C9181" s="4" t="s">
        <v>268</v>
      </c>
      <c r="D9181" s="4">
        <v>16</v>
      </c>
      <c r="E9181" s="4">
        <v>7</v>
      </c>
      <c r="G9181">
        <f t="shared" si="143"/>
        <v>112</v>
      </c>
    </row>
    <row r="9182" spans="2:7" ht="15" hidden="1" x14ac:dyDescent="0.25">
      <c r="B9182" s="4">
        <v>584758366</v>
      </c>
      <c r="C9182" s="4" t="s">
        <v>268</v>
      </c>
      <c r="D9182" s="4">
        <v>17</v>
      </c>
      <c r="E9182" s="4">
        <v>7</v>
      </c>
      <c r="G9182">
        <f t="shared" si="143"/>
        <v>112</v>
      </c>
    </row>
    <row r="9183" spans="2:7" ht="15" hidden="1" x14ac:dyDescent="0.25">
      <c r="B9183" s="4">
        <v>584758366</v>
      </c>
      <c r="C9183" s="4" t="s">
        <v>268</v>
      </c>
      <c r="D9183" s="4">
        <v>17</v>
      </c>
      <c r="E9183" s="4">
        <v>7</v>
      </c>
      <c r="G9183">
        <f t="shared" si="143"/>
        <v>112</v>
      </c>
    </row>
    <row r="9184" spans="2:7" ht="15" hidden="1" x14ac:dyDescent="0.25">
      <c r="B9184" s="4">
        <v>584758366</v>
      </c>
      <c r="C9184" s="4" t="s">
        <v>268</v>
      </c>
      <c r="D9184" s="4">
        <v>18</v>
      </c>
      <c r="E9184" s="4">
        <v>7</v>
      </c>
      <c r="G9184">
        <f t="shared" si="143"/>
        <v>112</v>
      </c>
    </row>
    <row r="9185" spans="2:7" ht="15" hidden="1" x14ac:dyDescent="0.25">
      <c r="B9185" s="4">
        <v>584758366</v>
      </c>
      <c r="C9185" s="4" t="s">
        <v>268</v>
      </c>
      <c r="D9185" s="4">
        <v>18</v>
      </c>
      <c r="E9185" s="4">
        <v>7</v>
      </c>
      <c r="G9185">
        <f t="shared" si="143"/>
        <v>112</v>
      </c>
    </row>
    <row r="9186" spans="2:7" ht="15" hidden="1" x14ac:dyDescent="0.25">
      <c r="B9186" s="4">
        <v>584758366</v>
      </c>
      <c r="C9186" s="4" t="s">
        <v>268</v>
      </c>
      <c r="D9186" s="4">
        <v>19</v>
      </c>
      <c r="E9186" s="4">
        <v>7</v>
      </c>
      <c r="G9186">
        <f t="shared" si="143"/>
        <v>112</v>
      </c>
    </row>
    <row r="9187" spans="2:7" ht="15" hidden="1" x14ac:dyDescent="0.25">
      <c r="B9187" s="4">
        <v>584758366</v>
      </c>
      <c r="C9187" s="4" t="s">
        <v>268</v>
      </c>
      <c r="D9187" s="4">
        <v>19</v>
      </c>
      <c r="E9187" s="4">
        <v>7</v>
      </c>
      <c r="G9187">
        <f t="shared" si="143"/>
        <v>112</v>
      </c>
    </row>
    <row r="9188" spans="2:7" ht="15" hidden="1" x14ac:dyDescent="0.25">
      <c r="B9188" s="4">
        <v>584758366</v>
      </c>
      <c r="C9188" s="4" t="s">
        <v>268</v>
      </c>
      <c r="D9188" s="4">
        <v>20</v>
      </c>
      <c r="E9188" s="4">
        <v>7</v>
      </c>
      <c r="G9188">
        <f t="shared" si="143"/>
        <v>112</v>
      </c>
    </row>
    <row r="9189" spans="2:7" ht="15" hidden="1" x14ac:dyDescent="0.25">
      <c r="B9189" s="4">
        <v>584758366</v>
      </c>
      <c r="C9189" s="4" t="s">
        <v>268</v>
      </c>
      <c r="D9189" s="4">
        <v>20</v>
      </c>
      <c r="E9189" s="4">
        <v>7</v>
      </c>
      <c r="G9189">
        <f t="shared" si="143"/>
        <v>112</v>
      </c>
    </row>
    <row r="9190" spans="2:7" ht="15" hidden="1" x14ac:dyDescent="0.25">
      <c r="B9190" s="4">
        <v>584758366</v>
      </c>
      <c r="C9190" s="4" t="s">
        <v>269</v>
      </c>
      <c r="D9190" s="4">
        <v>37</v>
      </c>
      <c r="E9190" s="4">
        <v>57</v>
      </c>
      <c r="G9190">
        <f t="shared" si="143"/>
        <v>512</v>
      </c>
    </row>
    <row r="9191" spans="2:7" ht="15" hidden="1" x14ac:dyDescent="0.25">
      <c r="B9191" s="4">
        <v>584758367</v>
      </c>
      <c r="C9191" s="4" t="s">
        <v>268</v>
      </c>
      <c r="D9191" s="4">
        <v>21</v>
      </c>
      <c r="E9191" s="4">
        <v>7</v>
      </c>
      <c r="G9191">
        <f t="shared" si="143"/>
        <v>112</v>
      </c>
    </row>
    <row r="9192" spans="2:7" ht="15" hidden="1" x14ac:dyDescent="0.25">
      <c r="B9192" s="4">
        <v>584758367</v>
      </c>
      <c r="C9192" s="4" t="s">
        <v>268</v>
      </c>
      <c r="D9192" s="4">
        <v>21</v>
      </c>
      <c r="E9192" s="4">
        <v>7</v>
      </c>
      <c r="G9192">
        <f t="shared" si="143"/>
        <v>112</v>
      </c>
    </row>
    <row r="9193" spans="2:7" ht="15" hidden="1" x14ac:dyDescent="0.25">
      <c r="B9193" s="4">
        <v>584758367</v>
      </c>
      <c r="C9193" s="4" t="s">
        <v>268</v>
      </c>
      <c r="D9193" s="4">
        <v>22</v>
      </c>
      <c r="E9193" s="4">
        <v>7</v>
      </c>
      <c r="G9193">
        <f t="shared" si="143"/>
        <v>112</v>
      </c>
    </row>
    <row r="9194" spans="2:7" ht="15" hidden="1" x14ac:dyDescent="0.25">
      <c r="B9194" s="4">
        <v>584758367</v>
      </c>
      <c r="C9194" s="4" t="s">
        <v>268</v>
      </c>
      <c r="D9194" s="4">
        <v>22</v>
      </c>
      <c r="E9194" s="4">
        <v>7</v>
      </c>
      <c r="G9194">
        <f t="shared" si="143"/>
        <v>112</v>
      </c>
    </row>
    <row r="9195" spans="2:7" ht="15" hidden="1" x14ac:dyDescent="0.25">
      <c r="B9195" s="4">
        <v>584758367</v>
      </c>
      <c r="C9195" s="4" t="s">
        <v>269</v>
      </c>
      <c r="D9195" s="4">
        <v>38</v>
      </c>
      <c r="E9195" s="4">
        <v>57</v>
      </c>
      <c r="G9195">
        <f t="shared" si="143"/>
        <v>512</v>
      </c>
    </row>
    <row r="9196" spans="2:7" ht="15" hidden="1" x14ac:dyDescent="0.25">
      <c r="B9196" s="4">
        <v>584758368</v>
      </c>
      <c r="C9196" s="4" t="s">
        <v>268</v>
      </c>
      <c r="D9196" s="4">
        <v>23</v>
      </c>
      <c r="E9196" s="4">
        <v>7</v>
      </c>
      <c r="G9196">
        <f t="shared" si="143"/>
        <v>112</v>
      </c>
    </row>
    <row r="9197" spans="2:7" ht="15" hidden="1" x14ac:dyDescent="0.25">
      <c r="B9197" s="4">
        <v>584758368</v>
      </c>
      <c r="C9197" s="4" t="s">
        <v>268</v>
      </c>
      <c r="D9197" s="4">
        <v>23</v>
      </c>
      <c r="E9197" s="4">
        <v>7</v>
      </c>
      <c r="G9197">
        <f t="shared" si="143"/>
        <v>112</v>
      </c>
    </row>
    <row r="9198" spans="2:7" ht="15" hidden="1" x14ac:dyDescent="0.25">
      <c r="B9198" s="4">
        <v>584758368</v>
      </c>
      <c r="C9198" s="4" t="s">
        <v>268</v>
      </c>
      <c r="D9198" s="4">
        <v>24</v>
      </c>
      <c r="E9198" s="4">
        <v>7</v>
      </c>
      <c r="G9198">
        <f t="shared" si="143"/>
        <v>112</v>
      </c>
    </row>
    <row r="9199" spans="2:7" ht="15" hidden="1" x14ac:dyDescent="0.25">
      <c r="B9199" s="4">
        <v>584758368</v>
      </c>
      <c r="C9199" s="4" t="s">
        <v>268</v>
      </c>
      <c r="D9199" s="4">
        <v>24</v>
      </c>
      <c r="E9199" s="4">
        <v>7</v>
      </c>
      <c r="G9199">
        <f t="shared" si="143"/>
        <v>112</v>
      </c>
    </row>
    <row r="9200" spans="2:7" ht="15" hidden="1" x14ac:dyDescent="0.25">
      <c r="B9200" s="4">
        <v>584758368</v>
      </c>
      <c r="C9200" s="4" t="s">
        <v>269</v>
      </c>
      <c r="D9200" s="4">
        <v>39</v>
      </c>
      <c r="E9200" s="4">
        <v>57</v>
      </c>
      <c r="G9200">
        <f t="shared" si="143"/>
        <v>512</v>
      </c>
    </row>
    <row r="9201" spans="2:7" ht="15" hidden="1" x14ac:dyDescent="0.25">
      <c r="B9201" s="4">
        <v>584758369</v>
      </c>
      <c r="C9201" s="4" t="s">
        <v>268</v>
      </c>
      <c r="D9201" s="4">
        <v>25</v>
      </c>
      <c r="E9201" s="4">
        <v>9</v>
      </c>
      <c r="G9201">
        <f t="shared" si="143"/>
        <v>128</v>
      </c>
    </row>
    <row r="9202" spans="2:7" ht="15" hidden="1" x14ac:dyDescent="0.25">
      <c r="B9202" s="4">
        <v>584758369</v>
      </c>
      <c r="C9202" s="4" t="s">
        <v>268</v>
      </c>
      <c r="D9202" s="4">
        <v>25</v>
      </c>
      <c r="E9202" s="4">
        <v>9</v>
      </c>
      <c r="G9202">
        <f t="shared" si="143"/>
        <v>128</v>
      </c>
    </row>
    <row r="9203" spans="2:7" ht="15" hidden="1" x14ac:dyDescent="0.25">
      <c r="B9203" s="4">
        <v>584758369</v>
      </c>
      <c r="C9203" s="4" t="s">
        <v>268</v>
      </c>
      <c r="D9203" s="4">
        <v>26</v>
      </c>
      <c r="E9203" s="4">
        <v>7</v>
      </c>
      <c r="G9203">
        <f t="shared" si="143"/>
        <v>112</v>
      </c>
    </row>
    <row r="9204" spans="2:7" ht="15" hidden="1" x14ac:dyDescent="0.25">
      <c r="B9204" s="4">
        <v>584758369</v>
      </c>
      <c r="C9204" s="4" t="s">
        <v>268</v>
      </c>
      <c r="D9204" s="4">
        <v>26</v>
      </c>
      <c r="E9204" s="4">
        <v>7</v>
      </c>
      <c r="G9204">
        <f t="shared" si="143"/>
        <v>112</v>
      </c>
    </row>
    <row r="9205" spans="2:7" ht="15" hidden="1" x14ac:dyDescent="0.25">
      <c r="B9205" s="4">
        <v>584758369</v>
      </c>
      <c r="C9205" s="4" t="s">
        <v>269</v>
      </c>
      <c r="D9205" s="4">
        <v>40</v>
      </c>
      <c r="E9205" s="4">
        <v>57</v>
      </c>
      <c r="G9205">
        <f t="shared" si="143"/>
        <v>512</v>
      </c>
    </row>
    <row r="9206" spans="2:7" ht="15" hidden="1" x14ac:dyDescent="0.25">
      <c r="B9206" s="4">
        <v>584758370</v>
      </c>
      <c r="C9206" s="4" t="s">
        <v>268</v>
      </c>
      <c r="D9206" s="4">
        <v>27</v>
      </c>
      <c r="E9206" s="4">
        <v>9</v>
      </c>
      <c r="G9206">
        <f t="shared" si="143"/>
        <v>128</v>
      </c>
    </row>
    <row r="9207" spans="2:7" ht="15" hidden="1" x14ac:dyDescent="0.25">
      <c r="B9207" s="4">
        <v>584758370</v>
      </c>
      <c r="C9207" s="4" t="s">
        <v>268</v>
      </c>
      <c r="D9207" s="4">
        <v>27</v>
      </c>
      <c r="E9207" s="4">
        <v>9</v>
      </c>
      <c r="G9207">
        <f t="shared" si="143"/>
        <v>128</v>
      </c>
    </row>
    <row r="9208" spans="2:7" ht="15" hidden="1" x14ac:dyDescent="0.25">
      <c r="B9208" s="4">
        <v>584758370</v>
      </c>
      <c r="C9208" s="4" t="s">
        <v>268</v>
      </c>
      <c r="D9208" s="4">
        <v>28</v>
      </c>
      <c r="E9208" s="4">
        <v>7</v>
      </c>
      <c r="G9208">
        <f t="shared" si="143"/>
        <v>112</v>
      </c>
    </row>
    <row r="9209" spans="2:7" ht="15" hidden="1" x14ac:dyDescent="0.25">
      <c r="B9209" s="4">
        <v>584758370</v>
      </c>
      <c r="C9209" s="4" t="s">
        <v>268</v>
      </c>
      <c r="D9209" s="4">
        <v>28</v>
      </c>
      <c r="E9209" s="4">
        <v>7</v>
      </c>
      <c r="G9209">
        <f t="shared" si="143"/>
        <v>112</v>
      </c>
    </row>
    <row r="9210" spans="2:7" ht="15" hidden="1" x14ac:dyDescent="0.25">
      <c r="B9210" s="4">
        <v>584758370</v>
      </c>
      <c r="C9210" s="4" t="s">
        <v>269</v>
      </c>
      <c r="D9210" s="4">
        <v>41</v>
      </c>
      <c r="E9210" s="4">
        <v>57</v>
      </c>
      <c r="G9210">
        <f t="shared" si="143"/>
        <v>512</v>
      </c>
    </row>
    <row r="9211" spans="2:7" ht="15" hidden="1" x14ac:dyDescent="0.25">
      <c r="B9211" s="4">
        <v>584758371</v>
      </c>
      <c r="C9211" s="4" t="s">
        <v>268</v>
      </c>
      <c r="D9211" s="4">
        <v>29</v>
      </c>
      <c r="E9211" s="4">
        <v>7</v>
      </c>
      <c r="G9211">
        <f t="shared" si="143"/>
        <v>112</v>
      </c>
    </row>
    <row r="9212" spans="2:7" ht="15" hidden="1" x14ac:dyDescent="0.25">
      <c r="B9212" s="4">
        <v>584758371</v>
      </c>
      <c r="C9212" s="4" t="s">
        <v>268</v>
      </c>
      <c r="D9212" s="4">
        <v>29</v>
      </c>
      <c r="E9212" s="4">
        <v>7</v>
      </c>
      <c r="G9212">
        <f t="shared" si="143"/>
        <v>112</v>
      </c>
    </row>
    <row r="9213" spans="2:7" ht="15" hidden="1" x14ac:dyDescent="0.25">
      <c r="B9213" s="4">
        <v>584758371</v>
      </c>
      <c r="C9213" s="4" t="s">
        <v>268</v>
      </c>
      <c r="D9213" s="4">
        <v>30</v>
      </c>
      <c r="E9213" s="4">
        <v>7</v>
      </c>
      <c r="G9213">
        <f t="shared" si="143"/>
        <v>112</v>
      </c>
    </row>
    <row r="9214" spans="2:7" ht="15" hidden="1" x14ac:dyDescent="0.25">
      <c r="B9214" s="4">
        <v>584758371</v>
      </c>
      <c r="C9214" s="4" t="s">
        <v>268</v>
      </c>
      <c r="D9214" s="4">
        <v>30</v>
      </c>
      <c r="E9214" s="4">
        <v>7</v>
      </c>
      <c r="G9214">
        <f t="shared" si="143"/>
        <v>112</v>
      </c>
    </row>
    <row r="9215" spans="2:7" ht="15" hidden="1" x14ac:dyDescent="0.25">
      <c r="B9215" s="4">
        <v>584758371</v>
      </c>
      <c r="C9215" s="4" t="s">
        <v>268</v>
      </c>
      <c r="D9215" s="4">
        <v>31</v>
      </c>
      <c r="E9215" s="4">
        <v>7</v>
      </c>
      <c r="G9215">
        <f t="shared" si="143"/>
        <v>112</v>
      </c>
    </row>
    <row r="9216" spans="2:7" ht="15" hidden="1" x14ac:dyDescent="0.25">
      <c r="B9216" s="4">
        <v>584758371</v>
      </c>
      <c r="C9216" s="4" t="s">
        <v>268</v>
      </c>
      <c r="D9216" s="4">
        <v>31</v>
      </c>
      <c r="E9216" s="4">
        <v>7</v>
      </c>
      <c r="G9216">
        <f t="shared" si="143"/>
        <v>112</v>
      </c>
    </row>
    <row r="9217" spans="2:7" ht="15" hidden="1" x14ac:dyDescent="0.25">
      <c r="B9217" s="4">
        <v>584758371</v>
      </c>
      <c r="C9217" s="4" t="s">
        <v>268</v>
      </c>
      <c r="D9217" s="4">
        <v>32</v>
      </c>
      <c r="E9217" s="4">
        <v>7</v>
      </c>
      <c r="G9217">
        <f t="shared" si="143"/>
        <v>112</v>
      </c>
    </row>
    <row r="9218" spans="2:7" ht="15" hidden="1" x14ac:dyDescent="0.25">
      <c r="B9218" s="4">
        <v>584758371</v>
      </c>
      <c r="C9218" s="4" t="s">
        <v>268</v>
      </c>
      <c r="D9218" s="4">
        <v>32</v>
      </c>
      <c r="E9218" s="4">
        <v>7</v>
      </c>
      <c r="G9218">
        <f t="shared" si="143"/>
        <v>112</v>
      </c>
    </row>
    <row r="9219" spans="2:7" ht="15" hidden="1" x14ac:dyDescent="0.25">
      <c r="B9219" s="4">
        <v>584758371</v>
      </c>
      <c r="C9219" s="4" t="s">
        <v>268</v>
      </c>
      <c r="D9219" s="4">
        <v>33</v>
      </c>
      <c r="E9219" s="4">
        <v>7</v>
      </c>
      <c r="G9219">
        <f t="shared" si="143"/>
        <v>112</v>
      </c>
    </row>
    <row r="9220" spans="2:7" ht="15" hidden="1" x14ac:dyDescent="0.25">
      <c r="B9220" s="4">
        <v>584758371</v>
      </c>
      <c r="C9220" s="4" t="s">
        <v>268</v>
      </c>
      <c r="D9220" s="4">
        <v>33</v>
      </c>
      <c r="E9220" s="4">
        <v>7</v>
      </c>
      <c r="G9220">
        <f t="shared" ref="G9220:G9283" si="144">(E9220+7)*8</f>
        <v>112</v>
      </c>
    </row>
    <row r="9221" spans="2:7" ht="15" hidden="1" x14ac:dyDescent="0.25">
      <c r="B9221" s="4">
        <v>584758371</v>
      </c>
      <c r="C9221" s="4" t="s">
        <v>268</v>
      </c>
      <c r="D9221" s="4">
        <v>34</v>
      </c>
      <c r="E9221" s="4">
        <v>7</v>
      </c>
      <c r="G9221">
        <f t="shared" si="144"/>
        <v>112</v>
      </c>
    </row>
    <row r="9222" spans="2:7" ht="15" hidden="1" x14ac:dyDescent="0.25">
      <c r="B9222" s="4">
        <v>584758371</v>
      </c>
      <c r="C9222" s="4" t="s">
        <v>268</v>
      </c>
      <c r="D9222" s="4">
        <v>34</v>
      </c>
      <c r="E9222" s="4">
        <v>7</v>
      </c>
      <c r="G9222">
        <f t="shared" si="144"/>
        <v>112</v>
      </c>
    </row>
    <row r="9223" spans="2:7" ht="15" hidden="1" x14ac:dyDescent="0.25">
      <c r="B9223" s="4">
        <v>584758371</v>
      </c>
      <c r="C9223" s="4" t="s">
        <v>269</v>
      </c>
      <c r="D9223" s="4">
        <v>42</v>
      </c>
      <c r="E9223" s="4">
        <v>57</v>
      </c>
      <c r="G9223">
        <f t="shared" si="144"/>
        <v>512</v>
      </c>
    </row>
    <row r="9224" spans="2:7" ht="15" hidden="1" x14ac:dyDescent="0.25">
      <c r="B9224" s="4">
        <v>584758372</v>
      </c>
      <c r="C9224" s="4" t="s">
        <v>268</v>
      </c>
      <c r="D9224" s="4">
        <v>35</v>
      </c>
      <c r="E9224" s="4">
        <v>7</v>
      </c>
      <c r="G9224">
        <f t="shared" si="144"/>
        <v>112</v>
      </c>
    </row>
    <row r="9225" spans="2:7" ht="15" hidden="1" x14ac:dyDescent="0.25">
      <c r="B9225" s="4">
        <v>584758372</v>
      </c>
      <c r="C9225" s="4" t="s">
        <v>268</v>
      </c>
      <c r="D9225" s="4">
        <v>35</v>
      </c>
      <c r="E9225" s="4">
        <v>7</v>
      </c>
      <c r="G9225">
        <f t="shared" si="144"/>
        <v>112</v>
      </c>
    </row>
    <row r="9226" spans="2:7" ht="15" hidden="1" x14ac:dyDescent="0.25">
      <c r="B9226" s="4">
        <v>584758372</v>
      </c>
      <c r="C9226" s="4" t="s">
        <v>268</v>
      </c>
      <c r="D9226" s="4">
        <v>36</v>
      </c>
      <c r="E9226" s="4">
        <v>7</v>
      </c>
      <c r="G9226">
        <f t="shared" si="144"/>
        <v>112</v>
      </c>
    </row>
    <row r="9227" spans="2:7" ht="15" hidden="1" x14ac:dyDescent="0.25">
      <c r="B9227" s="4">
        <v>584758372</v>
      </c>
      <c r="C9227" s="4" t="s">
        <v>268</v>
      </c>
      <c r="D9227" s="4">
        <v>36</v>
      </c>
      <c r="E9227" s="4">
        <v>7</v>
      </c>
      <c r="G9227">
        <f t="shared" si="144"/>
        <v>112</v>
      </c>
    </row>
    <row r="9228" spans="2:7" ht="15" hidden="1" x14ac:dyDescent="0.25">
      <c r="B9228" s="4">
        <v>584758372</v>
      </c>
      <c r="C9228" s="4" t="s">
        <v>268</v>
      </c>
      <c r="D9228" s="4">
        <v>37</v>
      </c>
      <c r="E9228" s="4">
        <v>7</v>
      </c>
      <c r="G9228">
        <f t="shared" si="144"/>
        <v>112</v>
      </c>
    </row>
    <row r="9229" spans="2:7" ht="15" hidden="1" x14ac:dyDescent="0.25">
      <c r="B9229" s="4">
        <v>584758372</v>
      </c>
      <c r="C9229" s="4" t="s">
        <v>268</v>
      </c>
      <c r="D9229" s="4">
        <v>37</v>
      </c>
      <c r="E9229" s="4">
        <v>7</v>
      </c>
      <c r="G9229">
        <f t="shared" si="144"/>
        <v>112</v>
      </c>
    </row>
    <row r="9230" spans="2:7" ht="15" hidden="1" x14ac:dyDescent="0.25">
      <c r="B9230" s="4">
        <v>584758372</v>
      </c>
      <c r="C9230" s="4" t="s">
        <v>268</v>
      </c>
      <c r="D9230" s="4">
        <v>38</v>
      </c>
      <c r="E9230" s="4">
        <v>7</v>
      </c>
      <c r="G9230">
        <f t="shared" si="144"/>
        <v>112</v>
      </c>
    </row>
    <row r="9231" spans="2:7" ht="15" hidden="1" x14ac:dyDescent="0.25">
      <c r="B9231" s="4">
        <v>584758372</v>
      </c>
      <c r="C9231" s="4" t="s">
        <v>268</v>
      </c>
      <c r="D9231" s="4">
        <v>38</v>
      </c>
      <c r="E9231" s="4">
        <v>7</v>
      </c>
      <c r="G9231">
        <f t="shared" si="144"/>
        <v>112</v>
      </c>
    </row>
    <row r="9232" spans="2:7" ht="15" hidden="1" x14ac:dyDescent="0.25">
      <c r="B9232" s="4">
        <v>584758372</v>
      </c>
      <c r="C9232" s="4" t="s">
        <v>268</v>
      </c>
      <c r="D9232" s="4">
        <v>39</v>
      </c>
      <c r="E9232" s="4">
        <v>7</v>
      </c>
      <c r="G9232">
        <f t="shared" si="144"/>
        <v>112</v>
      </c>
    </row>
    <row r="9233" spans="2:7" ht="15" hidden="1" x14ac:dyDescent="0.25">
      <c r="B9233" s="4">
        <v>584758372</v>
      </c>
      <c r="C9233" s="4" t="s">
        <v>268</v>
      </c>
      <c r="D9233" s="4">
        <v>39</v>
      </c>
      <c r="E9233" s="4">
        <v>7</v>
      </c>
      <c r="G9233">
        <f t="shared" si="144"/>
        <v>112</v>
      </c>
    </row>
    <row r="9234" spans="2:7" ht="15" hidden="1" x14ac:dyDescent="0.25">
      <c r="B9234" s="4">
        <v>584758372</v>
      </c>
      <c r="C9234" s="4" t="s">
        <v>268</v>
      </c>
      <c r="D9234" s="4">
        <v>40</v>
      </c>
      <c r="E9234" s="4">
        <v>7</v>
      </c>
      <c r="G9234">
        <f t="shared" si="144"/>
        <v>112</v>
      </c>
    </row>
    <row r="9235" spans="2:7" ht="15" hidden="1" x14ac:dyDescent="0.25">
      <c r="B9235" s="4">
        <v>584758372</v>
      </c>
      <c r="C9235" s="4" t="s">
        <v>268</v>
      </c>
      <c r="D9235" s="4">
        <v>40</v>
      </c>
      <c r="E9235" s="4">
        <v>7</v>
      </c>
      <c r="G9235">
        <f t="shared" si="144"/>
        <v>112</v>
      </c>
    </row>
    <row r="9236" spans="2:7" ht="15" hidden="1" x14ac:dyDescent="0.25">
      <c r="B9236" s="4">
        <v>584758372</v>
      </c>
      <c r="C9236" s="4" t="s">
        <v>269</v>
      </c>
      <c r="D9236" s="4">
        <v>43</v>
      </c>
      <c r="E9236" s="4">
        <v>57</v>
      </c>
      <c r="G9236">
        <f t="shared" si="144"/>
        <v>512</v>
      </c>
    </row>
    <row r="9237" spans="2:7" ht="15" hidden="1" x14ac:dyDescent="0.25">
      <c r="B9237" s="4">
        <v>584758373</v>
      </c>
      <c r="C9237" s="4" t="s">
        <v>268</v>
      </c>
      <c r="D9237" s="4">
        <v>41</v>
      </c>
      <c r="E9237" s="4">
        <v>7</v>
      </c>
      <c r="G9237">
        <f t="shared" si="144"/>
        <v>112</v>
      </c>
    </row>
    <row r="9238" spans="2:7" ht="15" hidden="1" x14ac:dyDescent="0.25">
      <c r="B9238" s="4">
        <v>584758373</v>
      </c>
      <c r="C9238" s="4" t="s">
        <v>268</v>
      </c>
      <c r="D9238" s="4">
        <v>41</v>
      </c>
      <c r="E9238" s="4">
        <v>7</v>
      </c>
      <c r="G9238">
        <f t="shared" si="144"/>
        <v>112</v>
      </c>
    </row>
    <row r="9239" spans="2:7" ht="15" hidden="1" x14ac:dyDescent="0.25">
      <c r="B9239" s="4">
        <v>584758373</v>
      </c>
      <c r="C9239" s="4" t="s">
        <v>268</v>
      </c>
      <c r="D9239" s="4">
        <v>42</v>
      </c>
      <c r="E9239" s="4">
        <v>7</v>
      </c>
      <c r="G9239">
        <f t="shared" si="144"/>
        <v>112</v>
      </c>
    </row>
    <row r="9240" spans="2:7" ht="15" hidden="1" x14ac:dyDescent="0.25">
      <c r="B9240" s="4">
        <v>584758373</v>
      </c>
      <c r="C9240" s="4" t="s">
        <v>268</v>
      </c>
      <c r="D9240" s="4">
        <v>42</v>
      </c>
      <c r="E9240" s="4">
        <v>7</v>
      </c>
      <c r="G9240">
        <f t="shared" si="144"/>
        <v>112</v>
      </c>
    </row>
    <row r="9241" spans="2:7" ht="15" hidden="1" x14ac:dyDescent="0.25">
      <c r="B9241" s="4">
        <v>584758373</v>
      </c>
      <c r="C9241" s="4" t="s">
        <v>268</v>
      </c>
      <c r="D9241" s="4">
        <v>43</v>
      </c>
      <c r="E9241" s="4">
        <v>7</v>
      </c>
      <c r="G9241">
        <f t="shared" si="144"/>
        <v>112</v>
      </c>
    </row>
    <row r="9242" spans="2:7" ht="15" hidden="1" x14ac:dyDescent="0.25">
      <c r="B9242" s="4">
        <v>584758373</v>
      </c>
      <c r="C9242" s="4" t="s">
        <v>268</v>
      </c>
      <c r="D9242" s="4">
        <v>43</v>
      </c>
      <c r="E9242" s="4">
        <v>7</v>
      </c>
      <c r="G9242">
        <f t="shared" si="144"/>
        <v>112</v>
      </c>
    </row>
    <row r="9243" spans="2:7" ht="15" hidden="1" x14ac:dyDescent="0.25">
      <c r="B9243" s="4">
        <v>584758373</v>
      </c>
      <c r="C9243" s="4" t="s">
        <v>268</v>
      </c>
      <c r="D9243" s="4">
        <v>44</v>
      </c>
      <c r="E9243" s="4">
        <v>7</v>
      </c>
      <c r="G9243">
        <f t="shared" si="144"/>
        <v>112</v>
      </c>
    </row>
    <row r="9244" spans="2:7" ht="15" hidden="1" x14ac:dyDescent="0.25">
      <c r="B9244" s="4">
        <v>584758373</v>
      </c>
      <c r="C9244" s="4" t="s">
        <v>268</v>
      </c>
      <c r="D9244" s="4">
        <v>44</v>
      </c>
      <c r="E9244" s="4">
        <v>7</v>
      </c>
      <c r="G9244">
        <f t="shared" si="144"/>
        <v>112</v>
      </c>
    </row>
    <row r="9245" spans="2:7" ht="15" hidden="1" x14ac:dyDescent="0.25">
      <c r="B9245" s="4">
        <v>584758373</v>
      </c>
      <c r="C9245" s="4" t="s">
        <v>268</v>
      </c>
      <c r="D9245" s="4">
        <v>45</v>
      </c>
      <c r="E9245" s="4">
        <v>7</v>
      </c>
      <c r="G9245">
        <f t="shared" si="144"/>
        <v>112</v>
      </c>
    </row>
    <row r="9246" spans="2:7" ht="15" hidden="1" x14ac:dyDescent="0.25">
      <c r="B9246" s="4">
        <v>584758373</v>
      </c>
      <c r="C9246" s="4" t="s">
        <v>268</v>
      </c>
      <c r="D9246" s="4">
        <v>45</v>
      </c>
      <c r="E9246" s="4">
        <v>7</v>
      </c>
      <c r="G9246">
        <f t="shared" si="144"/>
        <v>112</v>
      </c>
    </row>
    <row r="9247" spans="2:7" ht="15" hidden="1" x14ac:dyDescent="0.25">
      <c r="B9247" s="4">
        <v>584758373</v>
      </c>
      <c r="C9247" s="4" t="s">
        <v>269</v>
      </c>
      <c r="D9247" s="4">
        <v>44</v>
      </c>
      <c r="E9247" s="4">
        <v>57</v>
      </c>
      <c r="G9247">
        <f t="shared" si="144"/>
        <v>512</v>
      </c>
    </row>
    <row r="9248" spans="2:7" ht="15" hidden="1" x14ac:dyDescent="0.25">
      <c r="B9248" s="4">
        <v>584758374</v>
      </c>
      <c r="C9248" s="4" t="s">
        <v>268</v>
      </c>
      <c r="D9248" s="4">
        <v>46</v>
      </c>
      <c r="E9248" s="4">
        <v>7</v>
      </c>
      <c r="G9248">
        <f t="shared" si="144"/>
        <v>112</v>
      </c>
    </row>
    <row r="9249" spans="2:7" ht="15" hidden="1" x14ac:dyDescent="0.25">
      <c r="B9249" s="4">
        <v>584758374</v>
      </c>
      <c r="C9249" s="4" t="s">
        <v>268</v>
      </c>
      <c r="D9249" s="4">
        <v>46</v>
      </c>
      <c r="E9249" s="4">
        <v>7</v>
      </c>
      <c r="G9249">
        <f t="shared" si="144"/>
        <v>112</v>
      </c>
    </row>
    <row r="9250" spans="2:7" ht="15" hidden="1" x14ac:dyDescent="0.25">
      <c r="B9250" s="4">
        <v>584758374</v>
      </c>
      <c r="C9250" s="4" t="s">
        <v>268</v>
      </c>
      <c r="D9250" s="4">
        <v>47</v>
      </c>
      <c r="E9250" s="4">
        <v>7</v>
      </c>
      <c r="G9250">
        <f t="shared" si="144"/>
        <v>112</v>
      </c>
    </row>
    <row r="9251" spans="2:7" ht="15" hidden="1" x14ac:dyDescent="0.25">
      <c r="B9251" s="4">
        <v>584758374</v>
      </c>
      <c r="C9251" s="4" t="s">
        <v>268</v>
      </c>
      <c r="D9251" s="4">
        <v>47</v>
      </c>
      <c r="E9251" s="4">
        <v>7</v>
      </c>
      <c r="G9251">
        <f t="shared" si="144"/>
        <v>112</v>
      </c>
    </row>
    <row r="9252" spans="2:7" ht="15" hidden="1" x14ac:dyDescent="0.25">
      <c r="B9252" s="4">
        <v>584758374</v>
      </c>
      <c r="C9252" s="4" t="s">
        <v>268</v>
      </c>
      <c r="D9252" s="4">
        <v>48</v>
      </c>
      <c r="E9252" s="4">
        <v>7</v>
      </c>
      <c r="G9252">
        <f t="shared" si="144"/>
        <v>112</v>
      </c>
    </row>
    <row r="9253" spans="2:7" ht="15" hidden="1" x14ac:dyDescent="0.25">
      <c r="B9253" s="4">
        <v>584758374</v>
      </c>
      <c r="C9253" s="4" t="s">
        <v>268</v>
      </c>
      <c r="D9253" s="4">
        <v>48</v>
      </c>
      <c r="E9253" s="4">
        <v>7</v>
      </c>
      <c r="G9253">
        <f t="shared" si="144"/>
        <v>112</v>
      </c>
    </row>
    <row r="9254" spans="2:7" ht="15" hidden="1" x14ac:dyDescent="0.25">
      <c r="B9254" s="4">
        <v>584758374</v>
      </c>
      <c r="C9254" s="4" t="s">
        <v>268</v>
      </c>
      <c r="D9254" s="4">
        <v>49</v>
      </c>
      <c r="E9254" s="4">
        <v>7</v>
      </c>
      <c r="G9254">
        <f t="shared" si="144"/>
        <v>112</v>
      </c>
    </row>
    <row r="9255" spans="2:7" ht="15" hidden="1" x14ac:dyDescent="0.25">
      <c r="B9255" s="4">
        <v>584758374</v>
      </c>
      <c r="C9255" s="4" t="s">
        <v>268</v>
      </c>
      <c r="D9255" s="4">
        <v>49</v>
      </c>
      <c r="E9255" s="4">
        <v>7</v>
      </c>
      <c r="G9255">
        <f t="shared" si="144"/>
        <v>112</v>
      </c>
    </row>
    <row r="9256" spans="2:7" ht="15" hidden="1" x14ac:dyDescent="0.25">
      <c r="B9256" s="4">
        <v>584758374</v>
      </c>
      <c r="C9256" s="4" t="s">
        <v>268</v>
      </c>
      <c r="D9256" s="4">
        <v>50</v>
      </c>
      <c r="E9256" s="4">
        <v>7</v>
      </c>
      <c r="G9256">
        <f t="shared" si="144"/>
        <v>112</v>
      </c>
    </row>
    <row r="9257" spans="2:7" ht="15" hidden="1" x14ac:dyDescent="0.25">
      <c r="B9257" s="4">
        <v>584758374</v>
      </c>
      <c r="C9257" s="4" t="s">
        <v>268</v>
      </c>
      <c r="D9257" s="4">
        <v>50</v>
      </c>
      <c r="E9257" s="4">
        <v>7</v>
      </c>
      <c r="G9257">
        <f t="shared" si="144"/>
        <v>112</v>
      </c>
    </row>
    <row r="9258" spans="2:7" ht="15" hidden="1" x14ac:dyDescent="0.25">
      <c r="B9258" s="4">
        <v>584758374</v>
      </c>
      <c r="C9258" s="4" t="s">
        <v>269</v>
      </c>
      <c r="D9258" s="4">
        <v>45</v>
      </c>
      <c r="E9258" s="4">
        <v>57</v>
      </c>
      <c r="G9258">
        <f t="shared" si="144"/>
        <v>512</v>
      </c>
    </row>
    <row r="9259" spans="2:7" ht="15" hidden="1" x14ac:dyDescent="0.25">
      <c r="B9259" s="4">
        <v>584758375</v>
      </c>
      <c r="C9259" s="4" t="s">
        <v>268</v>
      </c>
      <c r="D9259" s="4">
        <v>51</v>
      </c>
      <c r="E9259" s="4">
        <v>7</v>
      </c>
      <c r="G9259">
        <f t="shared" si="144"/>
        <v>112</v>
      </c>
    </row>
    <row r="9260" spans="2:7" ht="15" hidden="1" x14ac:dyDescent="0.25">
      <c r="B9260" s="4">
        <v>584758375</v>
      </c>
      <c r="C9260" s="4" t="s">
        <v>268</v>
      </c>
      <c r="D9260" s="4">
        <v>51</v>
      </c>
      <c r="E9260" s="4">
        <v>7</v>
      </c>
      <c r="G9260">
        <f t="shared" si="144"/>
        <v>112</v>
      </c>
    </row>
    <row r="9261" spans="2:7" ht="15" hidden="1" x14ac:dyDescent="0.25">
      <c r="B9261" s="4">
        <v>584758375</v>
      </c>
      <c r="C9261" s="4" t="s">
        <v>268</v>
      </c>
      <c r="D9261" s="4">
        <v>52</v>
      </c>
      <c r="E9261" s="4">
        <v>7</v>
      </c>
      <c r="G9261">
        <f t="shared" si="144"/>
        <v>112</v>
      </c>
    </row>
    <row r="9262" spans="2:7" ht="15" hidden="1" x14ac:dyDescent="0.25">
      <c r="B9262" s="4">
        <v>584758375</v>
      </c>
      <c r="C9262" s="4" t="s">
        <v>268</v>
      </c>
      <c r="D9262" s="4">
        <v>52</v>
      </c>
      <c r="E9262" s="4">
        <v>7</v>
      </c>
      <c r="G9262">
        <f t="shared" si="144"/>
        <v>112</v>
      </c>
    </row>
    <row r="9263" spans="2:7" ht="15" hidden="1" x14ac:dyDescent="0.25">
      <c r="B9263" s="4">
        <v>584758375</v>
      </c>
      <c r="C9263" s="4" t="s">
        <v>268</v>
      </c>
      <c r="D9263" s="4">
        <v>53</v>
      </c>
      <c r="E9263" s="4">
        <v>7</v>
      </c>
      <c r="G9263">
        <f t="shared" si="144"/>
        <v>112</v>
      </c>
    </row>
    <row r="9264" spans="2:7" ht="15" hidden="1" x14ac:dyDescent="0.25">
      <c r="B9264" s="4">
        <v>584758375</v>
      </c>
      <c r="C9264" s="4" t="s">
        <v>268</v>
      </c>
      <c r="D9264" s="4">
        <v>53</v>
      </c>
      <c r="E9264" s="4">
        <v>7</v>
      </c>
      <c r="G9264">
        <f t="shared" si="144"/>
        <v>112</v>
      </c>
    </row>
    <row r="9265" spans="2:7" ht="15" hidden="1" x14ac:dyDescent="0.25">
      <c r="B9265" s="4">
        <v>584758375</v>
      </c>
      <c r="C9265" s="4" t="s">
        <v>268</v>
      </c>
      <c r="D9265" s="4">
        <v>54</v>
      </c>
      <c r="E9265" s="4">
        <v>7</v>
      </c>
      <c r="G9265">
        <f t="shared" si="144"/>
        <v>112</v>
      </c>
    </row>
    <row r="9266" spans="2:7" ht="15" hidden="1" x14ac:dyDescent="0.25">
      <c r="B9266" s="4">
        <v>584758375</v>
      </c>
      <c r="C9266" s="4" t="s">
        <v>268</v>
      </c>
      <c r="D9266" s="4">
        <v>54</v>
      </c>
      <c r="E9266" s="4">
        <v>7</v>
      </c>
      <c r="G9266">
        <f t="shared" si="144"/>
        <v>112</v>
      </c>
    </row>
    <row r="9267" spans="2:7" ht="15" hidden="1" x14ac:dyDescent="0.25">
      <c r="B9267" s="4">
        <v>584758375</v>
      </c>
      <c r="C9267" s="4" t="s">
        <v>268</v>
      </c>
      <c r="D9267" s="4">
        <v>55</v>
      </c>
      <c r="E9267" s="4">
        <v>7</v>
      </c>
      <c r="G9267">
        <f t="shared" si="144"/>
        <v>112</v>
      </c>
    </row>
    <row r="9268" spans="2:7" ht="15" hidden="1" x14ac:dyDescent="0.25">
      <c r="B9268" s="4">
        <v>584758375</v>
      </c>
      <c r="C9268" s="4" t="s">
        <v>268</v>
      </c>
      <c r="D9268" s="4">
        <v>55</v>
      </c>
      <c r="E9268" s="4">
        <v>7</v>
      </c>
      <c r="G9268">
        <f t="shared" si="144"/>
        <v>112</v>
      </c>
    </row>
    <row r="9269" spans="2:7" ht="15" hidden="1" x14ac:dyDescent="0.25">
      <c r="B9269" s="4">
        <v>584758375</v>
      </c>
      <c r="C9269" s="4" t="s">
        <v>269</v>
      </c>
      <c r="D9269" s="4">
        <v>46</v>
      </c>
      <c r="E9269" s="4">
        <v>57</v>
      </c>
      <c r="G9269">
        <f t="shared" si="144"/>
        <v>512</v>
      </c>
    </row>
    <row r="9270" spans="2:7" ht="15" hidden="1" x14ac:dyDescent="0.25">
      <c r="B9270" s="4">
        <v>584758376</v>
      </c>
      <c r="C9270" s="4" t="s">
        <v>268</v>
      </c>
      <c r="D9270" s="4">
        <v>56</v>
      </c>
      <c r="E9270" s="4">
        <v>7</v>
      </c>
      <c r="G9270">
        <f t="shared" si="144"/>
        <v>112</v>
      </c>
    </row>
    <row r="9271" spans="2:7" ht="15" hidden="1" x14ac:dyDescent="0.25">
      <c r="B9271" s="4">
        <v>584758376</v>
      </c>
      <c r="C9271" s="4" t="s">
        <v>268</v>
      </c>
      <c r="D9271" s="4">
        <v>56</v>
      </c>
      <c r="E9271" s="4">
        <v>7</v>
      </c>
      <c r="G9271">
        <f t="shared" si="144"/>
        <v>112</v>
      </c>
    </row>
    <row r="9272" spans="2:7" ht="15" hidden="1" x14ac:dyDescent="0.25">
      <c r="B9272" s="4">
        <v>584758376</v>
      </c>
      <c r="C9272" s="4" t="s">
        <v>268</v>
      </c>
      <c r="D9272" s="4">
        <v>57</v>
      </c>
      <c r="E9272" s="4">
        <v>7</v>
      </c>
      <c r="G9272">
        <f t="shared" si="144"/>
        <v>112</v>
      </c>
    </row>
    <row r="9273" spans="2:7" ht="15" hidden="1" x14ac:dyDescent="0.25">
      <c r="B9273" s="4">
        <v>584758376</v>
      </c>
      <c r="C9273" s="4" t="s">
        <v>268</v>
      </c>
      <c r="D9273" s="4">
        <v>57</v>
      </c>
      <c r="E9273" s="4">
        <v>7</v>
      </c>
      <c r="G9273">
        <f t="shared" si="144"/>
        <v>112</v>
      </c>
    </row>
    <row r="9274" spans="2:7" ht="15" hidden="1" x14ac:dyDescent="0.25">
      <c r="B9274" s="4">
        <v>584758376</v>
      </c>
      <c r="C9274" s="4" t="s">
        <v>268</v>
      </c>
      <c r="D9274" s="4">
        <v>58</v>
      </c>
      <c r="E9274" s="4">
        <v>7</v>
      </c>
      <c r="G9274">
        <f t="shared" si="144"/>
        <v>112</v>
      </c>
    </row>
    <row r="9275" spans="2:7" ht="15" hidden="1" x14ac:dyDescent="0.25">
      <c r="B9275" s="4">
        <v>584758376</v>
      </c>
      <c r="C9275" s="4" t="s">
        <v>268</v>
      </c>
      <c r="D9275" s="4">
        <v>58</v>
      </c>
      <c r="E9275" s="4">
        <v>7</v>
      </c>
      <c r="G9275">
        <f t="shared" si="144"/>
        <v>112</v>
      </c>
    </row>
    <row r="9276" spans="2:7" ht="15" hidden="1" x14ac:dyDescent="0.25">
      <c r="B9276" s="4">
        <v>584758376</v>
      </c>
      <c r="C9276" s="4" t="s">
        <v>269</v>
      </c>
      <c r="D9276" s="4">
        <v>47</v>
      </c>
      <c r="E9276" s="4">
        <v>57</v>
      </c>
      <c r="G9276">
        <f t="shared" si="144"/>
        <v>512</v>
      </c>
    </row>
    <row r="9277" spans="2:7" ht="15" hidden="1" x14ac:dyDescent="0.25">
      <c r="B9277" s="4">
        <v>584758377</v>
      </c>
      <c r="C9277" s="4" t="s">
        <v>268</v>
      </c>
      <c r="D9277" s="4">
        <v>59</v>
      </c>
      <c r="E9277" s="4">
        <v>6</v>
      </c>
      <c r="G9277">
        <f t="shared" si="144"/>
        <v>104</v>
      </c>
    </row>
    <row r="9278" spans="2:7" ht="15" hidden="1" x14ac:dyDescent="0.25">
      <c r="B9278" s="4">
        <v>584758377</v>
      </c>
      <c r="C9278" s="4" t="s">
        <v>268</v>
      </c>
      <c r="D9278" s="4">
        <v>59</v>
      </c>
      <c r="E9278" s="4">
        <v>6</v>
      </c>
      <c r="G9278">
        <f t="shared" si="144"/>
        <v>104</v>
      </c>
    </row>
    <row r="9279" spans="2:7" ht="15" hidden="1" x14ac:dyDescent="0.25">
      <c r="B9279" s="4">
        <v>584758377</v>
      </c>
      <c r="C9279" s="4" t="s">
        <v>268</v>
      </c>
      <c r="D9279" s="4">
        <v>60</v>
      </c>
      <c r="E9279" s="4">
        <v>9</v>
      </c>
      <c r="G9279">
        <f t="shared" si="144"/>
        <v>128</v>
      </c>
    </row>
    <row r="9280" spans="2:7" ht="15" hidden="1" x14ac:dyDescent="0.25">
      <c r="B9280" s="4">
        <v>584758377</v>
      </c>
      <c r="C9280" s="4" t="s">
        <v>268</v>
      </c>
      <c r="D9280" s="4">
        <v>60</v>
      </c>
      <c r="E9280" s="4">
        <v>9</v>
      </c>
      <c r="G9280">
        <f t="shared" si="144"/>
        <v>128</v>
      </c>
    </row>
    <row r="9281" spans="2:7" ht="15" hidden="1" x14ac:dyDescent="0.25">
      <c r="B9281" s="4">
        <v>584758377</v>
      </c>
      <c r="C9281" s="4" t="s">
        <v>268</v>
      </c>
      <c r="D9281" s="4">
        <v>61</v>
      </c>
      <c r="E9281" s="4">
        <v>7</v>
      </c>
      <c r="G9281">
        <f t="shared" si="144"/>
        <v>112</v>
      </c>
    </row>
    <row r="9282" spans="2:7" ht="15" hidden="1" x14ac:dyDescent="0.25">
      <c r="B9282" s="4">
        <v>584758377</v>
      </c>
      <c r="C9282" s="4" t="s">
        <v>268</v>
      </c>
      <c r="D9282" s="4">
        <v>61</v>
      </c>
      <c r="E9282" s="4">
        <v>7</v>
      </c>
      <c r="G9282">
        <f t="shared" si="144"/>
        <v>112</v>
      </c>
    </row>
    <row r="9283" spans="2:7" ht="15" hidden="1" x14ac:dyDescent="0.25">
      <c r="B9283" s="4">
        <v>584758377</v>
      </c>
      <c r="C9283" s="4" t="s">
        <v>269</v>
      </c>
      <c r="D9283" s="4">
        <v>48</v>
      </c>
      <c r="E9283" s="4">
        <v>57</v>
      </c>
      <c r="G9283">
        <f t="shared" si="144"/>
        <v>512</v>
      </c>
    </row>
    <row r="9284" spans="2:7" ht="15" hidden="1" x14ac:dyDescent="0.25">
      <c r="B9284" s="4">
        <v>584758378</v>
      </c>
      <c r="C9284" s="4" t="s">
        <v>269</v>
      </c>
      <c r="D9284" s="4">
        <v>49</v>
      </c>
      <c r="E9284" s="4">
        <v>57</v>
      </c>
      <c r="G9284">
        <f t="shared" ref="G9284:G9347" si="145">(E9284+7)*8</f>
        <v>512</v>
      </c>
    </row>
    <row r="9285" spans="2:7" ht="15" hidden="1" x14ac:dyDescent="0.25">
      <c r="B9285" s="4">
        <v>584758379</v>
      </c>
      <c r="C9285" s="4" t="s">
        <v>269</v>
      </c>
      <c r="D9285" s="4">
        <v>50</v>
      </c>
      <c r="E9285" s="4">
        <v>57</v>
      </c>
      <c r="G9285">
        <f t="shared" si="145"/>
        <v>512</v>
      </c>
    </row>
    <row r="9286" spans="2:7" ht="15" hidden="1" x14ac:dyDescent="0.25">
      <c r="B9286" s="4">
        <v>584758380</v>
      </c>
      <c r="C9286" s="4" t="s">
        <v>268</v>
      </c>
      <c r="D9286" s="4">
        <v>62</v>
      </c>
      <c r="E9286" s="4">
        <v>9</v>
      </c>
      <c r="G9286">
        <f t="shared" si="145"/>
        <v>128</v>
      </c>
    </row>
    <row r="9287" spans="2:7" ht="15" hidden="1" x14ac:dyDescent="0.25">
      <c r="B9287" s="4">
        <v>584758380</v>
      </c>
      <c r="C9287" s="4" t="s">
        <v>268</v>
      </c>
      <c r="D9287" s="4">
        <v>62</v>
      </c>
      <c r="E9287" s="4">
        <v>9</v>
      </c>
      <c r="G9287">
        <f t="shared" si="145"/>
        <v>128</v>
      </c>
    </row>
    <row r="9288" spans="2:7" ht="15" hidden="1" x14ac:dyDescent="0.25">
      <c r="B9288" s="4">
        <v>584758380</v>
      </c>
      <c r="C9288" s="4" t="s">
        <v>268</v>
      </c>
      <c r="D9288" s="4">
        <v>63</v>
      </c>
      <c r="E9288" s="4">
        <v>7</v>
      </c>
      <c r="G9288">
        <f t="shared" si="145"/>
        <v>112</v>
      </c>
    </row>
    <row r="9289" spans="2:7" ht="15" hidden="1" x14ac:dyDescent="0.25">
      <c r="B9289" s="4">
        <v>584758380</v>
      </c>
      <c r="C9289" s="4" t="s">
        <v>268</v>
      </c>
      <c r="D9289" s="4">
        <v>63</v>
      </c>
      <c r="E9289" s="4">
        <v>7</v>
      </c>
      <c r="G9289">
        <f t="shared" si="145"/>
        <v>112</v>
      </c>
    </row>
    <row r="9290" spans="2:7" ht="15" hidden="1" x14ac:dyDescent="0.25">
      <c r="B9290" s="4">
        <v>584758380</v>
      </c>
      <c r="C9290" s="4" t="s">
        <v>268</v>
      </c>
      <c r="D9290" s="4">
        <v>64</v>
      </c>
      <c r="E9290" s="4">
        <v>7</v>
      </c>
      <c r="G9290">
        <f t="shared" si="145"/>
        <v>112</v>
      </c>
    </row>
    <row r="9291" spans="2:7" ht="15" hidden="1" x14ac:dyDescent="0.25">
      <c r="B9291" s="4">
        <v>584758380</v>
      </c>
      <c r="C9291" s="4" t="s">
        <v>268</v>
      </c>
      <c r="D9291" s="4">
        <v>64</v>
      </c>
      <c r="E9291" s="4">
        <v>7</v>
      </c>
      <c r="G9291">
        <f t="shared" si="145"/>
        <v>112</v>
      </c>
    </row>
    <row r="9292" spans="2:7" ht="15" hidden="1" x14ac:dyDescent="0.25">
      <c r="B9292" s="4">
        <v>584758380</v>
      </c>
      <c r="C9292" s="4" t="s">
        <v>269</v>
      </c>
      <c r="D9292" s="4">
        <v>51</v>
      </c>
      <c r="E9292" s="4">
        <v>57</v>
      </c>
      <c r="G9292">
        <f t="shared" si="145"/>
        <v>512</v>
      </c>
    </row>
    <row r="9293" spans="2:7" ht="15" hidden="1" x14ac:dyDescent="0.25">
      <c r="B9293" s="4">
        <v>584758381</v>
      </c>
      <c r="C9293" s="4" t="s">
        <v>269</v>
      </c>
      <c r="D9293" s="4">
        <v>52</v>
      </c>
      <c r="E9293" s="4">
        <v>57</v>
      </c>
      <c r="G9293">
        <f t="shared" si="145"/>
        <v>512</v>
      </c>
    </row>
    <row r="9294" spans="2:7" ht="15" hidden="1" x14ac:dyDescent="0.25">
      <c r="B9294" s="4">
        <v>584758382</v>
      </c>
      <c r="C9294" s="4" t="s">
        <v>269</v>
      </c>
      <c r="D9294" s="4">
        <v>53</v>
      </c>
      <c r="E9294" s="4">
        <v>57</v>
      </c>
      <c r="G9294">
        <f t="shared" si="145"/>
        <v>512</v>
      </c>
    </row>
    <row r="9295" spans="2:7" ht="15" hidden="1" x14ac:dyDescent="0.25">
      <c r="B9295" s="4">
        <v>584758383</v>
      </c>
      <c r="C9295" s="4" t="s">
        <v>268</v>
      </c>
      <c r="D9295" s="4">
        <v>65</v>
      </c>
      <c r="E9295" s="4">
        <v>9</v>
      </c>
      <c r="G9295">
        <f t="shared" si="145"/>
        <v>128</v>
      </c>
    </row>
    <row r="9296" spans="2:7" ht="15" hidden="1" x14ac:dyDescent="0.25">
      <c r="B9296" s="4">
        <v>584758383</v>
      </c>
      <c r="C9296" s="4" t="s">
        <v>268</v>
      </c>
      <c r="D9296" s="4">
        <v>65</v>
      </c>
      <c r="E9296" s="4">
        <v>9</v>
      </c>
      <c r="G9296">
        <f t="shared" si="145"/>
        <v>128</v>
      </c>
    </row>
    <row r="9297" spans="2:7" ht="15" hidden="1" x14ac:dyDescent="0.25">
      <c r="B9297" s="4">
        <v>584758383</v>
      </c>
      <c r="C9297" s="4" t="s">
        <v>268</v>
      </c>
      <c r="D9297" s="4">
        <v>66</v>
      </c>
      <c r="E9297" s="4">
        <v>7</v>
      </c>
      <c r="G9297">
        <f t="shared" si="145"/>
        <v>112</v>
      </c>
    </row>
    <row r="9298" spans="2:7" ht="15" hidden="1" x14ac:dyDescent="0.25">
      <c r="B9298" s="4">
        <v>584758383</v>
      </c>
      <c r="C9298" s="4" t="s">
        <v>268</v>
      </c>
      <c r="D9298" s="4">
        <v>66</v>
      </c>
      <c r="E9298" s="4">
        <v>7</v>
      </c>
      <c r="G9298">
        <f t="shared" si="145"/>
        <v>112</v>
      </c>
    </row>
    <row r="9299" spans="2:7" ht="15" hidden="1" x14ac:dyDescent="0.25">
      <c r="B9299" s="4">
        <v>584758383</v>
      </c>
      <c r="C9299" s="4" t="s">
        <v>268</v>
      </c>
      <c r="D9299" s="4">
        <v>67</v>
      </c>
      <c r="E9299" s="4">
        <v>7</v>
      </c>
      <c r="G9299">
        <f t="shared" si="145"/>
        <v>112</v>
      </c>
    </row>
    <row r="9300" spans="2:7" ht="15" hidden="1" x14ac:dyDescent="0.25">
      <c r="B9300" s="4">
        <v>584758383</v>
      </c>
      <c r="C9300" s="4" t="s">
        <v>268</v>
      </c>
      <c r="D9300" s="4">
        <v>67</v>
      </c>
      <c r="E9300" s="4">
        <v>7</v>
      </c>
      <c r="G9300">
        <f t="shared" si="145"/>
        <v>112</v>
      </c>
    </row>
    <row r="9301" spans="2:7" ht="15" hidden="1" x14ac:dyDescent="0.25">
      <c r="B9301" s="4">
        <v>584758383</v>
      </c>
      <c r="C9301" s="4" t="s">
        <v>269</v>
      </c>
      <c r="D9301" s="4">
        <v>54</v>
      </c>
      <c r="E9301" s="4">
        <v>57</v>
      </c>
      <c r="G9301">
        <f t="shared" si="145"/>
        <v>512</v>
      </c>
    </row>
    <row r="9302" spans="2:7" ht="15" hidden="1" x14ac:dyDescent="0.25">
      <c r="B9302" s="4">
        <v>584758384</v>
      </c>
      <c r="C9302" s="4" t="s">
        <v>269</v>
      </c>
      <c r="D9302" s="4">
        <v>55</v>
      </c>
      <c r="E9302" s="4">
        <v>57</v>
      </c>
      <c r="G9302">
        <f t="shared" si="145"/>
        <v>512</v>
      </c>
    </row>
    <row r="9303" spans="2:7" ht="15" hidden="1" x14ac:dyDescent="0.25">
      <c r="B9303" s="4">
        <v>584758385</v>
      </c>
      <c r="C9303" s="4" t="s">
        <v>269</v>
      </c>
      <c r="D9303" s="4">
        <v>56</v>
      </c>
      <c r="E9303" s="4">
        <v>57</v>
      </c>
      <c r="G9303">
        <f t="shared" si="145"/>
        <v>512</v>
      </c>
    </row>
    <row r="9304" spans="2:7" ht="15" hidden="1" x14ac:dyDescent="0.25">
      <c r="B9304" s="4">
        <v>584758386</v>
      </c>
      <c r="C9304" s="4" t="s">
        <v>268</v>
      </c>
      <c r="D9304" s="4">
        <v>68</v>
      </c>
      <c r="E9304" s="4">
        <v>9</v>
      </c>
      <c r="G9304">
        <f t="shared" si="145"/>
        <v>128</v>
      </c>
    </row>
    <row r="9305" spans="2:7" ht="15" hidden="1" x14ac:dyDescent="0.25">
      <c r="B9305" s="4">
        <v>584758386</v>
      </c>
      <c r="C9305" s="4" t="s">
        <v>268</v>
      </c>
      <c r="D9305" s="4">
        <v>68</v>
      </c>
      <c r="E9305" s="4">
        <v>9</v>
      </c>
      <c r="G9305">
        <f t="shared" si="145"/>
        <v>128</v>
      </c>
    </row>
    <row r="9306" spans="2:7" ht="15" hidden="1" x14ac:dyDescent="0.25">
      <c r="B9306" s="4">
        <v>584758386</v>
      </c>
      <c r="C9306" s="4" t="s">
        <v>268</v>
      </c>
      <c r="D9306" s="4">
        <v>69</v>
      </c>
      <c r="E9306" s="4">
        <v>7</v>
      </c>
      <c r="G9306">
        <f t="shared" si="145"/>
        <v>112</v>
      </c>
    </row>
    <row r="9307" spans="2:7" ht="15" hidden="1" x14ac:dyDescent="0.25">
      <c r="B9307" s="4">
        <v>584758386</v>
      </c>
      <c r="C9307" s="4" t="s">
        <v>268</v>
      </c>
      <c r="D9307" s="4">
        <v>69</v>
      </c>
      <c r="E9307" s="4">
        <v>7</v>
      </c>
      <c r="G9307">
        <f t="shared" si="145"/>
        <v>112</v>
      </c>
    </row>
    <row r="9308" spans="2:7" ht="15" hidden="1" x14ac:dyDescent="0.25">
      <c r="B9308" s="4">
        <v>584758386</v>
      </c>
      <c r="C9308" s="4" t="s">
        <v>268</v>
      </c>
      <c r="D9308" s="4">
        <v>70</v>
      </c>
      <c r="E9308" s="4">
        <v>7</v>
      </c>
      <c r="G9308">
        <f t="shared" si="145"/>
        <v>112</v>
      </c>
    </row>
    <row r="9309" spans="2:7" ht="15" hidden="1" x14ac:dyDescent="0.25">
      <c r="B9309" s="4">
        <v>584758386</v>
      </c>
      <c r="C9309" s="4" t="s">
        <v>268</v>
      </c>
      <c r="D9309" s="4">
        <v>70</v>
      </c>
      <c r="E9309" s="4">
        <v>7</v>
      </c>
      <c r="G9309">
        <f t="shared" si="145"/>
        <v>112</v>
      </c>
    </row>
    <row r="9310" spans="2:7" ht="15" hidden="1" x14ac:dyDescent="0.25">
      <c r="B9310" s="4">
        <v>584758386</v>
      </c>
      <c r="C9310" s="4" t="s">
        <v>269</v>
      </c>
      <c r="D9310" s="4">
        <v>57</v>
      </c>
      <c r="E9310" s="4">
        <v>57</v>
      </c>
      <c r="G9310">
        <f t="shared" si="145"/>
        <v>512</v>
      </c>
    </row>
    <row r="9311" spans="2:7" ht="15" hidden="1" x14ac:dyDescent="0.25">
      <c r="B9311" s="4">
        <v>584758387</v>
      </c>
      <c r="C9311" s="4" t="s">
        <v>269</v>
      </c>
      <c r="D9311" s="4">
        <v>58</v>
      </c>
      <c r="E9311" s="4">
        <v>57</v>
      </c>
      <c r="G9311">
        <f t="shared" si="145"/>
        <v>512</v>
      </c>
    </row>
    <row r="9312" spans="2:7" ht="15" hidden="1" x14ac:dyDescent="0.25">
      <c r="B9312" s="4">
        <v>584758388</v>
      </c>
      <c r="C9312" s="4" t="s">
        <v>269</v>
      </c>
      <c r="D9312" s="4">
        <v>59</v>
      </c>
      <c r="E9312" s="4">
        <v>57</v>
      </c>
      <c r="G9312">
        <f t="shared" si="145"/>
        <v>512</v>
      </c>
    </row>
    <row r="9313" spans="2:7" ht="15" hidden="1" x14ac:dyDescent="0.25">
      <c r="B9313" s="4">
        <v>584758389</v>
      </c>
      <c r="C9313" s="4" t="s">
        <v>268</v>
      </c>
      <c r="D9313" s="4">
        <v>71</v>
      </c>
      <c r="E9313" s="4">
        <v>9</v>
      </c>
      <c r="G9313">
        <f t="shared" si="145"/>
        <v>128</v>
      </c>
    </row>
    <row r="9314" spans="2:7" ht="15" hidden="1" x14ac:dyDescent="0.25">
      <c r="B9314" s="4">
        <v>584758389</v>
      </c>
      <c r="C9314" s="4" t="s">
        <v>268</v>
      </c>
      <c r="D9314" s="4">
        <v>71</v>
      </c>
      <c r="E9314" s="4">
        <v>9</v>
      </c>
      <c r="G9314">
        <f t="shared" si="145"/>
        <v>128</v>
      </c>
    </row>
    <row r="9315" spans="2:7" ht="15" hidden="1" x14ac:dyDescent="0.25">
      <c r="B9315" s="4">
        <v>584758389</v>
      </c>
      <c r="C9315" s="4" t="s">
        <v>268</v>
      </c>
      <c r="D9315" s="4">
        <v>72</v>
      </c>
      <c r="E9315" s="4">
        <v>7</v>
      </c>
      <c r="G9315">
        <f t="shared" si="145"/>
        <v>112</v>
      </c>
    </row>
    <row r="9316" spans="2:7" ht="15" hidden="1" x14ac:dyDescent="0.25">
      <c r="B9316" s="4">
        <v>584758389</v>
      </c>
      <c r="C9316" s="4" t="s">
        <v>268</v>
      </c>
      <c r="D9316" s="4">
        <v>72</v>
      </c>
      <c r="E9316" s="4">
        <v>7</v>
      </c>
      <c r="G9316">
        <f t="shared" si="145"/>
        <v>112</v>
      </c>
    </row>
    <row r="9317" spans="2:7" ht="15" hidden="1" x14ac:dyDescent="0.25">
      <c r="B9317" s="4">
        <v>584758389</v>
      </c>
      <c r="C9317" s="4" t="s">
        <v>268</v>
      </c>
      <c r="D9317" s="4">
        <v>73</v>
      </c>
      <c r="E9317" s="4">
        <v>7</v>
      </c>
      <c r="G9317">
        <f t="shared" si="145"/>
        <v>112</v>
      </c>
    </row>
    <row r="9318" spans="2:7" ht="15" hidden="1" x14ac:dyDescent="0.25">
      <c r="B9318" s="4">
        <v>584758389</v>
      </c>
      <c r="C9318" s="4" t="s">
        <v>268</v>
      </c>
      <c r="D9318" s="4">
        <v>73</v>
      </c>
      <c r="E9318" s="4">
        <v>7</v>
      </c>
      <c r="G9318">
        <f t="shared" si="145"/>
        <v>112</v>
      </c>
    </row>
    <row r="9319" spans="2:7" ht="15" hidden="1" x14ac:dyDescent="0.25">
      <c r="B9319" s="4">
        <v>584758389</v>
      </c>
      <c r="C9319" s="4" t="s">
        <v>269</v>
      </c>
      <c r="D9319" s="4">
        <v>60</v>
      </c>
      <c r="E9319" s="4">
        <v>57</v>
      </c>
      <c r="G9319">
        <f t="shared" si="145"/>
        <v>512</v>
      </c>
    </row>
    <row r="9320" spans="2:7" ht="15" hidden="1" x14ac:dyDescent="0.25">
      <c r="B9320" s="4">
        <v>584758390</v>
      </c>
      <c r="C9320" s="4" t="s">
        <v>269</v>
      </c>
      <c r="D9320" s="4">
        <v>61</v>
      </c>
      <c r="E9320" s="4">
        <v>57</v>
      </c>
      <c r="G9320">
        <f t="shared" si="145"/>
        <v>512</v>
      </c>
    </row>
    <row r="9321" spans="2:7" ht="15" hidden="1" x14ac:dyDescent="0.25">
      <c r="B9321" s="4">
        <v>584758391</v>
      </c>
      <c r="C9321" s="4" t="s">
        <v>269</v>
      </c>
      <c r="D9321" s="4">
        <v>62</v>
      </c>
      <c r="E9321" s="4">
        <v>57</v>
      </c>
      <c r="G9321">
        <f t="shared" si="145"/>
        <v>512</v>
      </c>
    </row>
    <row r="9322" spans="2:7" ht="15" hidden="1" x14ac:dyDescent="0.25">
      <c r="B9322" s="4">
        <v>584758392</v>
      </c>
      <c r="C9322" s="4" t="s">
        <v>268</v>
      </c>
      <c r="D9322" s="4">
        <v>74</v>
      </c>
      <c r="E9322" s="4">
        <v>9</v>
      </c>
      <c r="G9322">
        <f t="shared" si="145"/>
        <v>128</v>
      </c>
    </row>
    <row r="9323" spans="2:7" ht="15" hidden="1" x14ac:dyDescent="0.25">
      <c r="B9323" s="4">
        <v>584758392</v>
      </c>
      <c r="C9323" s="4" t="s">
        <v>268</v>
      </c>
      <c r="D9323" s="4">
        <v>74</v>
      </c>
      <c r="E9323" s="4">
        <v>9</v>
      </c>
      <c r="G9323">
        <f t="shared" si="145"/>
        <v>128</v>
      </c>
    </row>
    <row r="9324" spans="2:7" ht="15" hidden="1" x14ac:dyDescent="0.25">
      <c r="B9324" s="4">
        <v>584758392</v>
      </c>
      <c r="C9324" s="4" t="s">
        <v>268</v>
      </c>
      <c r="D9324" s="4">
        <v>75</v>
      </c>
      <c r="E9324" s="4">
        <v>7</v>
      </c>
      <c r="G9324">
        <f t="shared" si="145"/>
        <v>112</v>
      </c>
    </row>
    <row r="9325" spans="2:7" ht="15" hidden="1" x14ac:dyDescent="0.25">
      <c r="B9325" s="4">
        <v>584758392</v>
      </c>
      <c r="C9325" s="4" t="s">
        <v>268</v>
      </c>
      <c r="D9325" s="4">
        <v>75</v>
      </c>
      <c r="E9325" s="4">
        <v>7</v>
      </c>
      <c r="G9325">
        <f t="shared" si="145"/>
        <v>112</v>
      </c>
    </row>
    <row r="9326" spans="2:7" ht="15" hidden="1" x14ac:dyDescent="0.25">
      <c r="B9326" s="4">
        <v>584758392</v>
      </c>
      <c r="C9326" s="4" t="s">
        <v>268</v>
      </c>
      <c r="D9326" s="4">
        <v>76</v>
      </c>
      <c r="E9326" s="4">
        <v>7</v>
      </c>
      <c r="G9326">
        <f t="shared" si="145"/>
        <v>112</v>
      </c>
    </row>
    <row r="9327" spans="2:7" ht="15" hidden="1" x14ac:dyDescent="0.25">
      <c r="B9327" s="4">
        <v>584758392</v>
      </c>
      <c r="C9327" s="4" t="s">
        <v>268</v>
      </c>
      <c r="D9327" s="4">
        <v>76</v>
      </c>
      <c r="E9327" s="4">
        <v>7</v>
      </c>
      <c r="G9327">
        <f t="shared" si="145"/>
        <v>112</v>
      </c>
    </row>
    <row r="9328" spans="2:7" ht="15" hidden="1" x14ac:dyDescent="0.25">
      <c r="B9328" s="4">
        <v>584758392</v>
      </c>
      <c r="C9328" s="4" t="s">
        <v>269</v>
      </c>
      <c r="D9328" s="4">
        <v>63</v>
      </c>
      <c r="E9328" s="4">
        <v>57</v>
      </c>
      <c r="G9328">
        <f t="shared" si="145"/>
        <v>512</v>
      </c>
    </row>
    <row r="9329" spans="2:7" ht="15" hidden="1" x14ac:dyDescent="0.25">
      <c r="B9329" s="4">
        <v>584758393</v>
      </c>
      <c r="C9329" s="4" t="s">
        <v>269</v>
      </c>
      <c r="D9329" s="4">
        <v>64</v>
      </c>
      <c r="E9329" s="4">
        <v>57</v>
      </c>
      <c r="G9329">
        <f t="shared" si="145"/>
        <v>512</v>
      </c>
    </row>
    <row r="9330" spans="2:7" ht="15" hidden="1" x14ac:dyDescent="0.25">
      <c r="B9330" s="4">
        <v>584758394</v>
      </c>
      <c r="C9330" s="4" t="s">
        <v>269</v>
      </c>
      <c r="D9330" s="4">
        <v>65</v>
      </c>
      <c r="E9330" s="4">
        <v>57</v>
      </c>
      <c r="G9330">
        <f t="shared" si="145"/>
        <v>512</v>
      </c>
    </row>
    <row r="9331" spans="2:7" ht="15" hidden="1" x14ac:dyDescent="0.25">
      <c r="B9331" s="4">
        <v>584758395</v>
      </c>
      <c r="C9331" s="4" t="s">
        <v>268</v>
      </c>
      <c r="D9331" s="4">
        <v>77</v>
      </c>
      <c r="E9331" s="4">
        <v>9</v>
      </c>
      <c r="G9331">
        <f t="shared" si="145"/>
        <v>128</v>
      </c>
    </row>
    <row r="9332" spans="2:7" ht="15" hidden="1" x14ac:dyDescent="0.25">
      <c r="B9332" s="4">
        <v>584758395</v>
      </c>
      <c r="C9332" s="4" t="s">
        <v>268</v>
      </c>
      <c r="D9332" s="4">
        <v>77</v>
      </c>
      <c r="E9332" s="4">
        <v>9</v>
      </c>
      <c r="G9332">
        <f t="shared" si="145"/>
        <v>128</v>
      </c>
    </row>
    <row r="9333" spans="2:7" ht="15" hidden="1" x14ac:dyDescent="0.25">
      <c r="B9333" s="4">
        <v>584758395</v>
      </c>
      <c r="C9333" s="4" t="s">
        <v>268</v>
      </c>
      <c r="D9333" s="4">
        <v>78</v>
      </c>
      <c r="E9333" s="4">
        <v>7</v>
      </c>
      <c r="G9333">
        <f t="shared" si="145"/>
        <v>112</v>
      </c>
    </row>
    <row r="9334" spans="2:7" ht="15" hidden="1" x14ac:dyDescent="0.25">
      <c r="B9334" s="4">
        <v>584758395</v>
      </c>
      <c r="C9334" s="4" t="s">
        <v>268</v>
      </c>
      <c r="D9334" s="4">
        <v>78</v>
      </c>
      <c r="E9334" s="4">
        <v>7</v>
      </c>
      <c r="G9334">
        <f t="shared" si="145"/>
        <v>112</v>
      </c>
    </row>
    <row r="9335" spans="2:7" ht="15" hidden="1" x14ac:dyDescent="0.25">
      <c r="B9335" s="4">
        <v>584758395</v>
      </c>
      <c r="C9335" s="4" t="s">
        <v>268</v>
      </c>
      <c r="D9335" s="4">
        <v>79</v>
      </c>
      <c r="E9335" s="4">
        <v>7</v>
      </c>
      <c r="G9335">
        <f t="shared" si="145"/>
        <v>112</v>
      </c>
    </row>
    <row r="9336" spans="2:7" ht="15" hidden="1" x14ac:dyDescent="0.25">
      <c r="B9336" s="4">
        <v>584758395</v>
      </c>
      <c r="C9336" s="4" t="s">
        <v>268</v>
      </c>
      <c r="D9336" s="4">
        <v>79</v>
      </c>
      <c r="E9336" s="4">
        <v>7</v>
      </c>
      <c r="G9336">
        <f t="shared" si="145"/>
        <v>112</v>
      </c>
    </row>
    <row r="9337" spans="2:7" ht="15" hidden="1" x14ac:dyDescent="0.25">
      <c r="B9337" s="4">
        <v>584758395</v>
      </c>
      <c r="C9337" s="4" t="s">
        <v>269</v>
      </c>
      <c r="D9337" s="4">
        <v>66</v>
      </c>
      <c r="E9337" s="4">
        <v>57</v>
      </c>
      <c r="G9337">
        <f t="shared" si="145"/>
        <v>512</v>
      </c>
    </row>
    <row r="9338" spans="2:7" ht="15" hidden="1" x14ac:dyDescent="0.25">
      <c r="B9338" s="4">
        <v>584758396</v>
      </c>
      <c r="C9338" s="4" t="s">
        <v>269</v>
      </c>
      <c r="D9338" s="4">
        <v>67</v>
      </c>
      <c r="E9338" s="4">
        <v>57</v>
      </c>
      <c r="G9338">
        <f t="shared" si="145"/>
        <v>512</v>
      </c>
    </row>
    <row r="9339" spans="2:7" ht="15" hidden="1" x14ac:dyDescent="0.25">
      <c r="B9339" s="4">
        <v>584758397</v>
      </c>
      <c r="C9339" s="4" t="s">
        <v>269</v>
      </c>
      <c r="D9339" s="4">
        <v>68</v>
      </c>
      <c r="E9339" s="4">
        <v>57</v>
      </c>
      <c r="G9339">
        <f t="shared" si="145"/>
        <v>512</v>
      </c>
    </row>
    <row r="9340" spans="2:7" ht="15" hidden="1" x14ac:dyDescent="0.25">
      <c r="B9340" s="4">
        <v>584758398</v>
      </c>
      <c r="C9340" s="4" t="s">
        <v>268</v>
      </c>
      <c r="D9340" s="4">
        <v>80</v>
      </c>
      <c r="E9340" s="4">
        <v>9</v>
      </c>
      <c r="G9340">
        <f t="shared" si="145"/>
        <v>128</v>
      </c>
    </row>
    <row r="9341" spans="2:7" ht="15" hidden="1" x14ac:dyDescent="0.25">
      <c r="B9341" s="4">
        <v>584758398</v>
      </c>
      <c r="C9341" s="4" t="s">
        <v>268</v>
      </c>
      <c r="D9341" s="4">
        <v>80</v>
      </c>
      <c r="E9341" s="4">
        <v>9</v>
      </c>
      <c r="G9341">
        <f t="shared" si="145"/>
        <v>128</v>
      </c>
    </row>
    <row r="9342" spans="2:7" ht="15" hidden="1" x14ac:dyDescent="0.25">
      <c r="B9342" s="4">
        <v>584758398</v>
      </c>
      <c r="C9342" s="4" t="s">
        <v>268</v>
      </c>
      <c r="D9342" s="4">
        <v>81</v>
      </c>
      <c r="E9342" s="4">
        <v>7</v>
      </c>
      <c r="G9342">
        <f t="shared" si="145"/>
        <v>112</v>
      </c>
    </row>
    <row r="9343" spans="2:7" ht="15" hidden="1" x14ac:dyDescent="0.25">
      <c r="B9343" s="4">
        <v>584758398</v>
      </c>
      <c r="C9343" s="4" t="s">
        <v>268</v>
      </c>
      <c r="D9343" s="4">
        <v>81</v>
      </c>
      <c r="E9343" s="4">
        <v>7</v>
      </c>
      <c r="G9343">
        <f t="shared" si="145"/>
        <v>112</v>
      </c>
    </row>
    <row r="9344" spans="2:7" ht="15" hidden="1" x14ac:dyDescent="0.25">
      <c r="B9344" s="4">
        <v>584758398</v>
      </c>
      <c r="C9344" s="4" t="s">
        <v>268</v>
      </c>
      <c r="D9344" s="4">
        <v>82</v>
      </c>
      <c r="E9344" s="4">
        <v>7</v>
      </c>
      <c r="G9344">
        <f t="shared" si="145"/>
        <v>112</v>
      </c>
    </row>
    <row r="9345" spans="2:7" ht="15" hidden="1" x14ac:dyDescent="0.25">
      <c r="B9345" s="4">
        <v>584758398</v>
      </c>
      <c r="C9345" s="4" t="s">
        <v>268</v>
      </c>
      <c r="D9345" s="4">
        <v>82</v>
      </c>
      <c r="E9345" s="4">
        <v>7</v>
      </c>
      <c r="G9345">
        <f t="shared" si="145"/>
        <v>112</v>
      </c>
    </row>
    <row r="9346" spans="2:7" ht="15" hidden="1" x14ac:dyDescent="0.25">
      <c r="B9346" s="4">
        <v>584758398</v>
      </c>
      <c r="C9346" s="4" t="s">
        <v>269</v>
      </c>
      <c r="D9346" s="4">
        <v>69</v>
      </c>
      <c r="E9346" s="4">
        <v>57</v>
      </c>
      <c r="G9346">
        <f t="shared" si="145"/>
        <v>512</v>
      </c>
    </row>
    <row r="9347" spans="2:7" ht="15" hidden="1" x14ac:dyDescent="0.25">
      <c r="B9347" s="4">
        <v>584758399</v>
      </c>
      <c r="C9347" s="4" t="s">
        <v>269</v>
      </c>
      <c r="D9347" s="4">
        <v>70</v>
      </c>
      <c r="E9347" s="4">
        <v>57</v>
      </c>
      <c r="G9347">
        <f t="shared" si="145"/>
        <v>512</v>
      </c>
    </row>
    <row r="9348" spans="2:7" ht="15" hidden="1" x14ac:dyDescent="0.25">
      <c r="B9348" s="4">
        <v>584758400</v>
      </c>
      <c r="C9348" s="4" t="s">
        <v>269</v>
      </c>
      <c r="D9348" s="4">
        <v>71</v>
      </c>
      <c r="E9348" s="4">
        <v>57</v>
      </c>
      <c r="G9348">
        <f t="shared" ref="G9348:G9411" si="146">(E9348+7)*8</f>
        <v>512</v>
      </c>
    </row>
    <row r="9349" spans="2:7" ht="15" hidden="1" x14ac:dyDescent="0.25">
      <c r="B9349" s="4">
        <v>584758401</v>
      </c>
      <c r="C9349" s="4" t="s">
        <v>268</v>
      </c>
      <c r="D9349" s="4">
        <v>83</v>
      </c>
      <c r="E9349" s="4">
        <v>9</v>
      </c>
      <c r="G9349">
        <f t="shared" si="146"/>
        <v>128</v>
      </c>
    </row>
    <row r="9350" spans="2:7" ht="15" hidden="1" x14ac:dyDescent="0.25">
      <c r="B9350" s="4">
        <v>584758401</v>
      </c>
      <c r="C9350" s="4" t="s">
        <v>268</v>
      </c>
      <c r="D9350" s="4">
        <v>83</v>
      </c>
      <c r="E9350" s="4">
        <v>9</v>
      </c>
      <c r="G9350">
        <f t="shared" si="146"/>
        <v>128</v>
      </c>
    </row>
    <row r="9351" spans="2:7" ht="15" hidden="1" x14ac:dyDescent="0.25">
      <c r="B9351" s="4">
        <v>584758401</v>
      </c>
      <c r="C9351" s="4" t="s">
        <v>268</v>
      </c>
      <c r="D9351" s="4">
        <v>84</v>
      </c>
      <c r="E9351" s="4">
        <v>7</v>
      </c>
      <c r="G9351">
        <f t="shared" si="146"/>
        <v>112</v>
      </c>
    </row>
    <row r="9352" spans="2:7" ht="15" hidden="1" x14ac:dyDescent="0.25">
      <c r="B9352" s="4">
        <v>584758401</v>
      </c>
      <c r="C9352" s="4" t="s">
        <v>268</v>
      </c>
      <c r="D9352" s="4">
        <v>84</v>
      </c>
      <c r="E9352" s="4">
        <v>7</v>
      </c>
      <c r="G9352">
        <f t="shared" si="146"/>
        <v>112</v>
      </c>
    </row>
    <row r="9353" spans="2:7" ht="15" hidden="1" x14ac:dyDescent="0.25">
      <c r="B9353" s="4">
        <v>584758401</v>
      </c>
      <c r="C9353" s="4" t="s">
        <v>268</v>
      </c>
      <c r="D9353" s="4">
        <v>85</v>
      </c>
      <c r="E9353" s="4">
        <v>7</v>
      </c>
      <c r="G9353">
        <f t="shared" si="146"/>
        <v>112</v>
      </c>
    </row>
    <row r="9354" spans="2:7" ht="15" hidden="1" x14ac:dyDescent="0.25">
      <c r="B9354" s="4">
        <v>584758401</v>
      </c>
      <c r="C9354" s="4" t="s">
        <v>268</v>
      </c>
      <c r="D9354" s="4">
        <v>85</v>
      </c>
      <c r="E9354" s="4">
        <v>7</v>
      </c>
      <c r="G9354">
        <f t="shared" si="146"/>
        <v>112</v>
      </c>
    </row>
    <row r="9355" spans="2:7" ht="15" hidden="1" x14ac:dyDescent="0.25">
      <c r="B9355" s="4">
        <v>584758401</v>
      </c>
      <c r="C9355" s="4" t="s">
        <v>269</v>
      </c>
      <c r="D9355" s="4">
        <v>72</v>
      </c>
      <c r="E9355" s="4">
        <v>57</v>
      </c>
      <c r="G9355">
        <f t="shared" si="146"/>
        <v>512</v>
      </c>
    </row>
    <row r="9356" spans="2:7" ht="15" hidden="1" x14ac:dyDescent="0.25">
      <c r="B9356" s="4">
        <v>584758402</v>
      </c>
      <c r="C9356" s="4" t="s">
        <v>269</v>
      </c>
      <c r="D9356" s="4">
        <v>73</v>
      </c>
      <c r="E9356" s="4">
        <v>57</v>
      </c>
      <c r="G9356">
        <f t="shared" si="146"/>
        <v>512</v>
      </c>
    </row>
    <row r="9357" spans="2:7" ht="15" hidden="1" x14ac:dyDescent="0.25">
      <c r="B9357" s="4">
        <v>584758403</v>
      </c>
      <c r="C9357" s="4" t="s">
        <v>269</v>
      </c>
      <c r="D9357" s="4">
        <v>74</v>
      </c>
      <c r="E9357" s="4">
        <v>57</v>
      </c>
      <c r="G9357">
        <f t="shared" si="146"/>
        <v>512</v>
      </c>
    </row>
    <row r="9358" spans="2:7" ht="15" hidden="1" x14ac:dyDescent="0.25">
      <c r="B9358" s="4">
        <v>584758404</v>
      </c>
      <c r="C9358" s="4" t="s">
        <v>268</v>
      </c>
      <c r="D9358" s="4">
        <v>86</v>
      </c>
      <c r="E9358" s="4">
        <v>9</v>
      </c>
      <c r="G9358">
        <f t="shared" si="146"/>
        <v>128</v>
      </c>
    </row>
    <row r="9359" spans="2:7" ht="15" hidden="1" x14ac:dyDescent="0.25">
      <c r="B9359" s="4">
        <v>584758404</v>
      </c>
      <c r="C9359" s="4" t="s">
        <v>268</v>
      </c>
      <c r="D9359" s="4">
        <v>86</v>
      </c>
      <c r="E9359" s="4">
        <v>9</v>
      </c>
      <c r="G9359">
        <f t="shared" si="146"/>
        <v>128</v>
      </c>
    </row>
    <row r="9360" spans="2:7" ht="15" hidden="1" x14ac:dyDescent="0.25">
      <c r="B9360" s="4">
        <v>584758404</v>
      </c>
      <c r="C9360" s="4" t="s">
        <v>268</v>
      </c>
      <c r="D9360" s="4">
        <v>87</v>
      </c>
      <c r="E9360" s="4">
        <v>7</v>
      </c>
      <c r="G9360">
        <f t="shared" si="146"/>
        <v>112</v>
      </c>
    </row>
    <row r="9361" spans="2:7" ht="15" hidden="1" x14ac:dyDescent="0.25">
      <c r="B9361" s="4">
        <v>584758404</v>
      </c>
      <c r="C9361" s="4" t="s">
        <v>268</v>
      </c>
      <c r="D9361" s="4">
        <v>87</v>
      </c>
      <c r="E9361" s="4">
        <v>7</v>
      </c>
      <c r="G9361">
        <f t="shared" si="146"/>
        <v>112</v>
      </c>
    </row>
    <row r="9362" spans="2:7" ht="15" hidden="1" x14ac:dyDescent="0.25">
      <c r="B9362" s="4">
        <v>584758404</v>
      </c>
      <c r="C9362" s="4" t="s">
        <v>268</v>
      </c>
      <c r="D9362" s="4">
        <v>88</v>
      </c>
      <c r="E9362" s="4">
        <v>7</v>
      </c>
      <c r="G9362">
        <f t="shared" si="146"/>
        <v>112</v>
      </c>
    </row>
    <row r="9363" spans="2:7" ht="15" hidden="1" x14ac:dyDescent="0.25">
      <c r="B9363" s="4">
        <v>584758404</v>
      </c>
      <c r="C9363" s="4" t="s">
        <v>268</v>
      </c>
      <c r="D9363" s="4">
        <v>88</v>
      </c>
      <c r="E9363" s="4">
        <v>7</v>
      </c>
      <c r="G9363">
        <f t="shared" si="146"/>
        <v>112</v>
      </c>
    </row>
    <row r="9364" spans="2:7" ht="15" hidden="1" x14ac:dyDescent="0.25">
      <c r="B9364" s="4">
        <v>584758404</v>
      </c>
      <c r="C9364" s="4" t="s">
        <v>269</v>
      </c>
      <c r="D9364" s="4">
        <v>75</v>
      </c>
      <c r="E9364" s="4">
        <v>57</v>
      </c>
      <c r="G9364">
        <f t="shared" si="146"/>
        <v>512</v>
      </c>
    </row>
    <row r="9365" spans="2:7" ht="15" hidden="1" x14ac:dyDescent="0.25">
      <c r="B9365" s="4">
        <v>584758405</v>
      </c>
      <c r="C9365" s="4" t="s">
        <v>269</v>
      </c>
      <c r="D9365" s="4">
        <v>76</v>
      </c>
      <c r="E9365" s="4">
        <v>57</v>
      </c>
      <c r="G9365">
        <f t="shared" si="146"/>
        <v>512</v>
      </c>
    </row>
    <row r="9366" spans="2:7" ht="15" hidden="1" x14ac:dyDescent="0.25">
      <c r="B9366" s="4">
        <v>584758406</v>
      </c>
      <c r="C9366" s="4" t="s">
        <v>269</v>
      </c>
      <c r="D9366" s="4">
        <v>77</v>
      </c>
      <c r="E9366" s="4">
        <v>57</v>
      </c>
      <c r="G9366">
        <f t="shared" si="146"/>
        <v>512</v>
      </c>
    </row>
    <row r="9367" spans="2:7" ht="15" hidden="1" x14ac:dyDescent="0.25">
      <c r="B9367" s="4">
        <v>584758407</v>
      </c>
      <c r="C9367" s="4" t="s">
        <v>268</v>
      </c>
      <c r="D9367" s="4">
        <v>89</v>
      </c>
      <c r="E9367" s="4">
        <v>9</v>
      </c>
      <c r="G9367">
        <f t="shared" si="146"/>
        <v>128</v>
      </c>
    </row>
    <row r="9368" spans="2:7" ht="15" hidden="1" x14ac:dyDescent="0.25">
      <c r="B9368" s="4">
        <v>584758407</v>
      </c>
      <c r="C9368" s="4" t="s">
        <v>268</v>
      </c>
      <c r="D9368" s="4">
        <v>89</v>
      </c>
      <c r="E9368" s="4">
        <v>9</v>
      </c>
      <c r="G9368">
        <f t="shared" si="146"/>
        <v>128</v>
      </c>
    </row>
    <row r="9369" spans="2:7" ht="15" hidden="1" x14ac:dyDescent="0.25">
      <c r="B9369" s="4">
        <v>584758407</v>
      </c>
      <c r="C9369" s="4" t="s">
        <v>268</v>
      </c>
      <c r="D9369" s="4">
        <v>90</v>
      </c>
      <c r="E9369" s="4">
        <v>7</v>
      </c>
      <c r="G9369">
        <f t="shared" si="146"/>
        <v>112</v>
      </c>
    </row>
    <row r="9370" spans="2:7" ht="15" hidden="1" x14ac:dyDescent="0.25">
      <c r="B9370" s="4">
        <v>584758407</v>
      </c>
      <c r="C9370" s="4" t="s">
        <v>268</v>
      </c>
      <c r="D9370" s="4">
        <v>90</v>
      </c>
      <c r="E9370" s="4">
        <v>7</v>
      </c>
      <c r="G9370">
        <f t="shared" si="146"/>
        <v>112</v>
      </c>
    </row>
    <row r="9371" spans="2:7" ht="15" hidden="1" x14ac:dyDescent="0.25">
      <c r="B9371" s="4">
        <v>584758407</v>
      </c>
      <c r="C9371" s="4" t="s">
        <v>268</v>
      </c>
      <c r="D9371" s="4">
        <v>91</v>
      </c>
      <c r="E9371" s="4">
        <v>7</v>
      </c>
      <c r="G9371">
        <f t="shared" si="146"/>
        <v>112</v>
      </c>
    </row>
    <row r="9372" spans="2:7" ht="15" hidden="1" x14ac:dyDescent="0.25">
      <c r="B9372" s="4">
        <v>584758407</v>
      </c>
      <c r="C9372" s="4" t="s">
        <v>268</v>
      </c>
      <c r="D9372" s="4">
        <v>91</v>
      </c>
      <c r="E9372" s="4">
        <v>7</v>
      </c>
      <c r="G9372">
        <f t="shared" si="146"/>
        <v>112</v>
      </c>
    </row>
    <row r="9373" spans="2:7" ht="15" hidden="1" x14ac:dyDescent="0.25">
      <c r="B9373" s="4">
        <v>584758407</v>
      </c>
      <c r="C9373" s="4" t="s">
        <v>269</v>
      </c>
      <c r="D9373" s="4">
        <v>78</v>
      </c>
      <c r="E9373" s="4">
        <v>57</v>
      </c>
      <c r="G9373">
        <f t="shared" si="146"/>
        <v>512</v>
      </c>
    </row>
    <row r="9374" spans="2:7" ht="15" hidden="1" x14ac:dyDescent="0.25">
      <c r="B9374" s="4">
        <v>584758408</v>
      </c>
      <c r="C9374" s="4" t="s">
        <v>269</v>
      </c>
      <c r="D9374" s="4">
        <v>79</v>
      </c>
      <c r="E9374" s="4">
        <v>57</v>
      </c>
      <c r="G9374">
        <f t="shared" si="146"/>
        <v>512</v>
      </c>
    </row>
    <row r="9375" spans="2:7" ht="15" hidden="1" x14ac:dyDescent="0.25">
      <c r="B9375" s="4">
        <v>584758409</v>
      </c>
      <c r="C9375" s="4" t="s">
        <v>269</v>
      </c>
      <c r="D9375" s="4">
        <v>80</v>
      </c>
      <c r="E9375" s="4">
        <v>57</v>
      </c>
      <c r="G9375">
        <f t="shared" si="146"/>
        <v>512</v>
      </c>
    </row>
    <row r="9376" spans="2:7" ht="15" hidden="1" x14ac:dyDescent="0.25">
      <c r="B9376" s="4">
        <v>584758410</v>
      </c>
      <c r="C9376" s="4" t="s">
        <v>268</v>
      </c>
      <c r="D9376" s="4">
        <v>92</v>
      </c>
      <c r="E9376" s="4">
        <v>9</v>
      </c>
      <c r="G9376">
        <f t="shared" si="146"/>
        <v>128</v>
      </c>
    </row>
    <row r="9377" spans="2:7" ht="15" hidden="1" x14ac:dyDescent="0.25">
      <c r="B9377" s="4">
        <v>584758410</v>
      </c>
      <c r="C9377" s="4" t="s">
        <v>268</v>
      </c>
      <c r="D9377" s="4">
        <v>92</v>
      </c>
      <c r="E9377" s="4">
        <v>9</v>
      </c>
      <c r="G9377">
        <f t="shared" si="146"/>
        <v>128</v>
      </c>
    </row>
    <row r="9378" spans="2:7" ht="15" hidden="1" x14ac:dyDescent="0.25">
      <c r="B9378" s="4">
        <v>584758410</v>
      </c>
      <c r="C9378" s="4" t="s">
        <v>268</v>
      </c>
      <c r="D9378" s="4">
        <v>93</v>
      </c>
      <c r="E9378" s="4">
        <v>7</v>
      </c>
      <c r="G9378">
        <f t="shared" si="146"/>
        <v>112</v>
      </c>
    </row>
    <row r="9379" spans="2:7" ht="15" hidden="1" x14ac:dyDescent="0.25">
      <c r="B9379" s="4">
        <v>584758410</v>
      </c>
      <c r="C9379" s="4" t="s">
        <v>268</v>
      </c>
      <c r="D9379" s="4">
        <v>93</v>
      </c>
      <c r="E9379" s="4">
        <v>7</v>
      </c>
      <c r="G9379">
        <f t="shared" si="146"/>
        <v>112</v>
      </c>
    </row>
    <row r="9380" spans="2:7" ht="15" hidden="1" x14ac:dyDescent="0.25">
      <c r="B9380" s="4">
        <v>584758410</v>
      </c>
      <c r="C9380" s="4" t="s">
        <v>268</v>
      </c>
      <c r="D9380" s="4">
        <v>94</v>
      </c>
      <c r="E9380" s="4">
        <v>7</v>
      </c>
      <c r="G9380">
        <f t="shared" si="146"/>
        <v>112</v>
      </c>
    </row>
    <row r="9381" spans="2:7" ht="15" hidden="1" x14ac:dyDescent="0.25">
      <c r="B9381" s="4">
        <v>584758410</v>
      </c>
      <c r="C9381" s="4" t="s">
        <v>268</v>
      </c>
      <c r="D9381" s="4">
        <v>94</v>
      </c>
      <c r="E9381" s="4">
        <v>7</v>
      </c>
      <c r="G9381">
        <f t="shared" si="146"/>
        <v>112</v>
      </c>
    </row>
    <row r="9382" spans="2:7" ht="15" hidden="1" x14ac:dyDescent="0.25">
      <c r="B9382" s="4">
        <v>584758410</v>
      </c>
      <c r="C9382" s="4" t="s">
        <v>269</v>
      </c>
      <c r="D9382" s="4">
        <v>81</v>
      </c>
      <c r="E9382" s="4">
        <v>57</v>
      </c>
      <c r="G9382">
        <f t="shared" si="146"/>
        <v>512</v>
      </c>
    </row>
    <row r="9383" spans="2:7" ht="15" hidden="1" x14ac:dyDescent="0.25">
      <c r="B9383" s="4">
        <v>584758411</v>
      </c>
      <c r="C9383" s="4" t="s">
        <v>269</v>
      </c>
      <c r="D9383" s="4">
        <v>82</v>
      </c>
      <c r="E9383" s="4">
        <v>57</v>
      </c>
      <c r="G9383">
        <f t="shared" si="146"/>
        <v>512</v>
      </c>
    </row>
    <row r="9384" spans="2:7" ht="15" hidden="1" x14ac:dyDescent="0.25">
      <c r="B9384" s="4">
        <v>584758412</v>
      </c>
      <c r="C9384" s="4" t="s">
        <v>269</v>
      </c>
      <c r="D9384" s="4">
        <v>83</v>
      </c>
      <c r="E9384" s="4">
        <v>57</v>
      </c>
      <c r="G9384">
        <f t="shared" si="146"/>
        <v>512</v>
      </c>
    </row>
    <row r="9385" spans="2:7" ht="15" hidden="1" x14ac:dyDescent="0.25">
      <c r="B9385" s="4">
        <v>584758413</v>
      </c>
      <c r="C9385" s="4" t="s">
        <v>268</v>
      </c>
      <c r="D9385" s="4">
        <v>95</v>
      </c>
      <c r="E9385" s="4">
        <v>9</v>
      </c>
      <c r="G9385">
        <f t="shared" si="146"/>
        <v>128</v>
      </c>
    </row>
    <row r="9386" spans="2:7" ht="15" hidden="1" x14ac:dyDescent="0.25">
      <c r="B9386" s="4">
        <v>584758413</v>
      </c>
      <c r="C9386" s="4" t="s">
        <v>268</v>
      </c>
      <c r="D9386" s="4">
        <v>95</v>
      </c>
      <c r="E9386" s="4">
        <v>9</v>
      </c>
      <c r="G9386">
        <f t="shared" si="146"/>
        <v>128</v>
      </c>
    </row>
    <row r="9387" spans="2:7" ht="15" hidden="1" x14ac:dyDescent="0.25">
      <c r="B9387" s="4">
        <v>584758413</v>
      </c>
      <c r="C9387" s="4" t="s">
        <v>268</v>
      </c>
      <c r="D9387" s="4">
        <v>96</v>
      </c>
      <c r="E9387" s="4">
        <v>7</v>
      </c>
      <c r="G9387">
        <f t="shared" si="146"/>
        <v>112</v>
      </c>
    </row>
    <row r="9388" spans="2:7" ht="15" hidden="1" x14ac:dyDescent="0.25">
      <c r="B9388" s="4">
        <v>584758413</v>
      </c>
      <c r="C9388" s="4" t="s">
        <v>268</v>
      </c>
      <c r="D9388" s="4">
        <v>96</v>
      </c>
      <c r="E9388" s="4">
        <v>7</v>
      </c>
      <c r="G9388">
        <f t="shared" si="146"/>
        <v>112</v>
      </c>
    </row>
    <row r="9389" spans="2:7" ht="15" hidden="1" x14ac:dyDescent="0.25">
      <c r="B9389" s="4">
        <v>584758413</v>
      </c>
      <c r="C9389" s="4" t="s">
        <v>268</v>
      </c>
      <c r="D9389" s="4">
        <v>97</v>
      </c>
      <c r="E9389" s="4">
        <v>7</v>
      </c>
      <c r="G9389">
        <f t="shared" si="146"/>
        <v>112</v>
      </c>
    </row>
    <row r="9390" spans="2:7" ht="15" hidden="1" x14ac:dyDescent="0.25">
      <c r="B9390" s="4">
        <v>584758413</v>
      </c>
      <c r="C9390" s="4" t="s">
        <v>268</v>
      </c>
      <c r="D9390" s="4">
        <v>97</v>
      </c>
      <c r="E9390" s="4">
        <v>7</v>
      </c>
      <c r="G9390">
        <f t="shared" si="146"/>
        <v>112</v>
      </c>
    </row>
    <row r="9391" spans="2:7" ht="15" hidden="1" x14ac:dyDescent="0.25">
      <c r="B9391" s="4">
        <v>584758413</v>
      </c>
      <c r="C9391" s="4" t="s">
        <v>269</v>
      </c>
      <c r="D9391" s="4">
        <v>84</v>
      </c>
      <c r="E9391" s="4">
        <v>57</v>
      </c>
      <c r="G9391">
        <f t="shared" si="146"/>
        <v>512</v>
      </c>
    </row>
    <row r="9392" spans="2:7" ht="15" hidden="1" x14ac:dyDescent="0.25">
      <c r="B9392" s="4">
        <v>584758414</v>
      </c>
      <c r="C9392" s="4" t="s">
        <v>269</v>
      </c>
      <c r="D9392" s="4">
        <v>85</v>
      </c>
      <c r="E9392" s="4">
        <v>57</v>
      </c>
      <c r="G9392">
        <f t="shared" si="146"/>
        <v>512</v>
      </c>
    </row>
    <row r="9393" spans="2:7" ht="15" hidden="1" x14ac:dyDescent="0.25">
      <c r="B9393" s="4">
        <v>584758415</v>
      </c>
      <c r="C9393" s="4" t="s">
        <v>269</v>
      </c>
      <c r="D9393" s="4">
        <v>86</v>
      </c>
      <c r="E9393" s="4">
        <v>57</v>
      </c>
      <c r="G9393">
        <f t="shared" si="146"/>
        <v>512</v>
      </c>
    </row>
    <row r="9394" spans="2:7" ht="15" hidden="1" x14ac:dyDescent="0.25">
      <c r="B9394" s="4">
        <v>584758416</v>
      </c>
      <c r="C9394" s="4" t="s">
        <v>268</v>
      </c>
      <c r="D9394" s="4">
        <v>98</v>
      </c>
      <c r="E9394" s="4">
        <v>9</v>
      </c>
      <c r="G9394">
        <f t="shared" si="146"/>
        <v>128</v>
      </c>
    </row>
    <row r="9395" spans="2:7" ht="15" hidden="1" x14ac:dyDescent="0.25">
      <c r="B9395" s="4">
        <v>584758416</v>
      </c>
      <c r="C9395" s="4" t="s">
        <v>268</v>
      </c>
      <c r="D9395" s="4">
        <v>98</v>
      </c>
      <c r="E9395" s="4">
        <v>9</v>
      </c>
      <c r="G9395">
        <f t="shared" si="146"/>
        <v>128</v>
      </c>
    </row>
    <row r="9396" spans="2:7" ht="15" hidden="1" x14ac:dyDescent="0.25">
      <c r="B9396" s="4">
        <v>584758416</v>
      </c>
      <c r="C9396" s="4" t="s">
        <v>268</v>
      </c>
      <c r="D9396" s="4">
        <v>99</v>
      </c>
      <c r="E9396" s="4">
        <v>7</v>
      </c>
      <c r="G9396">
        <f t="shared" si="146"/>
        <v>112</v>
      </c>
    </row>
    <row r="9397" spans="2:7" ht="15" hidden="1" x14ac:dyDescent="0.25">
      <c r="B9397" s="4">
        <v>584758416</v>
      </c>
      <c r="C9397" s="4" t="s">
        <v>268</v>
      </c>
      <c r="D9397" s="4">
        <v>99</v>
      </c>
      <c r="E9397" s="4">
        <v>7</v>
      </c>
      <c r="G9397">
        <f t="shared" si="146"/>
        <v>112</v>
      </c>
    </row>
    <row r="9398" spans="2:7" ht="15" hidden="1" x14ac:dyDescent="0.25">
      <c r="B9398" s="4">
        <v>584758416</v>
      </c>
      <c r="C9398" s="4" t="s">
        <v>268</v>
      </c>
      <c r="D9398" s="4">
        <v>100</v>
      </c>
      <c r="E9398" s="4">
        <v>7</v>
      </c>
      <c r="G9398">
        <f t="shared" si="146"/>
        <v>112</v>
      </c>
    </row>
    <row r="9399" spans="2:7" ht="15" hidden="1" x14ac:dyDescent="0.25">
      <c r="B9399" s="4">
        <v>584758416</v>
      </c>
      <c r="C9399" s="4" t="s">
        <v>268</v>
      </c>
      <c r="D9399" s="4">
        <v>100</v>
      </c>
      <c r="E9399" s="4">
        <v>7</v>
      </c>
      <c r="G9399">
        <f t="shared" si="146"/>
        <v>112</v>
      </c>
    </row>
    <row r="9400" spans="2:7" ht="15" hidden="1" x14ac:dyDescent="0.25">
      <c r="B9400" s="4">
        <v>584758416</v>
      </c>
      <c r="C9400" s="4" t="s">
        <v>269</v>
      </c>
      <c r="D9400" s="4">
        <v>87</v>
      </c>
      <c r="E9400" s="4">
        <v>57</v>
      </c>
      <c r="G9400">
        <f t="shared" si="146"/>
        <v>512</v>
      </c>
    </row>
    <row r="9401" spans="2:7" ht="15" hidden="1" x14ac:dyDescent="0.25">
      <c r="B9401" s="4">
        <v>584758417</v>
      </c>
      <c r="C9401" s="4" t="s">
        <v>269</v>
      </c>
      <c r="D9401" s="4">
        <v>88</v>
      </c>
      <c r="E9401" s="4">
        <v>57</v>
      </c>
      <c r="G9401">
        <f t="shared" si="146"/>
        <v>512</v>
      </c>
    </row>
    <row r="9402" spans="2:7" ht="15" hidden="1" x14ac:dyDescent="0.25">
      <c r="B9402" s="4">
        <v>584758418</v>
      </c>
      <c r="C9402" s="4" t="s">
        <v>269</v>
      </c>
      <c r="D9402" s="4">
        <v>89</v>
      </c>
      <c r="E9402" s="4">
        <v>57</v>
      </c>
      <c r="G9402">
        <f t="shared" si="146"/>
        <v>512</v>
      </c>
    </row>
    <row r="9403" spans="2:7" ht="15" hidden="1" x14ac:dyDescent="0.25">
      <c r="B9403" s="4">
        <v>584758419</v>
      </c>
      <c r="C9403" s="4" t="s">
        <v>268</v>
      </c>
      <c r="D9403" s="4">
        <v>101</v>
      </c>
      <c r="E9403" s="4">
        <v>9</v>
      </c>
      <c r="G9403">
        <f t="shared" si="146"/>
        <v>128</v>
      </c>
    </row>
    <row r="9404" spans="2:7" ht="15" hidden="1" x14ac:dyDescent="0.25">
      <c r="B9404" s="4">
        <v>584758419</v>
      </c>
      <c r="C9404" s="4" t="s">
        <v>268</v>
      </c>
      <c r="D9404" s="4">
        <v>101</v>
      </c>
      <c r="E9404" s="4">
        <v>9</v>
      </c>
      <c r="G9404">
        <f t="shared" si="146"/>
        <v>128</v>
      </c>
    </row>
    <row r="9405" spans="2:7" ht="15" hidden="1" x14ac:dyDescent="0.25">
      <c r="B9405" s="4">
        <v>584758419</v>
      </c>
      <c r="C9405" s="4" t="s">
        <v>268</v>
      </c>
      <c r="D9405" s="4">
        <v>102</v>
      </c>
      <c r="E9405" s="4">
        <v>7</v>
      </c>
      <c r="G9405">
        <f t="shared" si="146"/>
        <v>112</v>
      </c>
    </row>
    <row r="9406" spans="2:7" ht="15" hidden="1" x14ac:dyDescent="0.25">
      <c r="B9406" s="4">
        <v>584758419</v>
      </c>
      <c r="C9406" s="4" t="s">
        <v>268</v>
      </c>
      <c r="D9406" s="4">
        <v>102</v>
      </c>
      <c r="E9406" s="4">
        <v>7</v>
      </c>
      <c r="G9406">
        <f t="shared" si="146"/>
        <v>112</v>
      </c>
    </row>
    <row r="9407" spans="2:7" ht="15" hidden="1" x14ac:dyDescent="0.25">
      <c r="B9407" s="4">
        <v>584758419</v>
      </c>
      <c r="C9407" s="4" t="s">
        <v>268</v>
      </c>
      <c r="D9407" s="4">
        <v>103</v>
      </c>
      <c r="E9407" s="4">
        <v>7</v>
      </c>
      <c r="G9407">
        <f t="shared" si="146"/>
        <v>112</v>
      </c>
    </row>
    <row r="9408" spans="2:7" ht="15" hidden="1" x14ac:dyDescent="0.25">
      <c r="B9408" s="4">
        <v>584758419</v>
      </c>
      <c r="C9408" s="4" t="s">
        <v>268</v>
      </c>
      <c r="D9408" s="4">
        <v>103</v>
      </c>
      <c r="E9408" s="4">
        <v>7</v>
      </c>
      <c r="G9408">
        <f t="shared" si="146"/>
        <v>112</v>
      </c>
    </row>
    <row r="9409" spans="2:7" ht="15" hidden="1" x14ac:dyDescent="0.25">
      <c r="B9409" s="4">
        <v>584758419</v>
      </c>
      <c r="C9409" s="4" t="s">
        <v>269</v>
      </c>
      <c r="D9409" s="4">
        <v>90</v>
      </c>
      <c r="E9409" s="4">
        <v>57</v>
      </c>
      <c r="G9409">
        <f t="shared" si="146"/>
        <v>512</v>
      </c>
    </row>
    <row r="9410" spans="2:7" ht="15" hidden="1" x14ac:dyDescent="0.25">
      <c r="B9410" s="4">
        <v>584758420</v>
      </c>
      <c r="C9410" s="4" t="s">
        <v>269</v>
      </c>
      <c r="D9410" s="4">
        <v>91</v>
      </c>
      <c r="E9410" s="4">
        <v>57</v>
      </c>
      <c r="G9410">
        <f t="shared" si="146"/>
        <v>512</v>
      </c>
    </row>
    <row r="9411" spans="2:7" ht="15" hidden="1" x14ac:dyDescent="0.25">
      <c r="B9411" s="4">
        <v>584758421</v>
      </c>
      <c r="C9411" s="4" t="s">
        <v>269</v>
      </c>
      <c r="D9411" s="4">
        <v>92</v>
      </c>
      <c r="E9411" s="4">
        <v>57</v>
      </c>
      <c r="G9411">
        <f t="shared" si="146"/>
        <v>512</v>
      </c>
    </row>
    <row r="9412" spans="2:7" ht="15" hidden="1" x14ac:dyDescent="0.25">
      <c r="B9412" s="4">
        <v>584758422</v>
      </c>
      <c r="C9412" s="4" t="s">
        <v>268</v>
      </c>
      <c r="D9412" s="4">
        <v>104</v>
      </c>
      <c r="E9412" s="4">
        <v>9</v>
      </c>
      <c r="G9412">
        <f t="shared" ref="G9412:G9475" si="147">(E9412+7)*8</f>
        <v>128</v>
      </c>
    </row>
    <row r="9413" spans="2:7" ht="15" hidden="1" x14ac:dyDescent="0.25">
      <c r="B9413" s="4">
        <v>584758422</v>
      </c>
      <c r="C9413" s="4" t="s">
        <v>268</v>
      </c>
      <c r="D9413" s="4">
        <v>104</v>
      </c>
      <c r="E9413" s="4">
        <v>9</v>
      </c>
      <c r="G9413">
        <f t="shared" si="147"/>
        <v>128</v>
      </c>
    </row>
    <row r="9414" spans="2:7" ht="15" hidden="1" x14ac:dyDescent="0.25">
      <c r="B9414" s="4">
        <v>584758422</v>
      </c>
      <c r="C9414" s="4" t="s">
        <v>268</v>
      </c>
      <c r="D9414" s="4">
        <v>105</v>
      </c>
      <c r="E9414" s="4">
        <v>7</v>
      </c>
      <c r="G9414">
        <f t="shared" si="147"/>
        <v>112</v>
      </c>
    </row>
    <row r="9415" spans="2:7" ht="15" hidden="1" x14ac:dyDescent="0.25">
      <c r="B9415" s="4">
        <v>584758422</v>
      </c>
      <c r="C9415" s="4" t="s">
        <v>268</v>
      </c>
      <c r="D9415" s="4">
        <v>105</v>
      </c>
      <c r="E9415" s="4">
        <v>7</v>
      </c>
      <c r="G9415">
        <f t="shared" si="147"/>
        <v>112</v>
      </c>
    </row>
    <row r="9416" spans="2:7" ht="15" hidden="1" x14ac:dyDescent="0.25">
      <c r="B9416" s="4">
        <v>584758422</v>
      </c>
      <c r="C9416" s="4" t="s">
        <v>268</v>
      </c>
      <c r="D9416" s="4">
        <v>106</v>
      </c>
      <c r="E9416" s="4">
        <v>7</v>
      </c>
      <c r="G9416">
        <f t="shared" si="147"/>
        <v>112</v>
      </c>
    </row>
    <row r="9417" spans="2:7" ht="15" hidden="1" x14ac:dyDescent="0.25">
      <c r="B9417" s="4">
        <v>584758422</v>
      </c>
      <c r="C9417" s="4" t="s">
        <v>268</v>
      </c>
      <c r="D9417" s="4">
        <v>106</v>
      </c>
      <c r="E9417" s="4">
        <v>7</v>
      </c>
      <c r="G9417">
        <f t="shared" si="147"/>
        <v>112</v>
      </c>
    </row>
    <row r="9418" spans="2:7" ht="15" hidden="1" x14ac:dyDescent="0.25">
      <c r="B9418" s="4">
        <v>584758422</v>
      </c>
      <c r="C9418" s="4" t="s">
        <v>269</v>
      </c>
      <c r="D9418" s="4">
        <v>93</v>
      </c>
      <c r="E9418" s="4">
        <v>57</v>
      </c>
      <c r="G9418">
        <f t="shared" si="147"/>
        <v>512</v>
      </c>
    </row>
    <row r="9419" spans="2:7" ht="15" hidden="1" x14ac:dyDescent="0.25">
      <c r="B9419" s="4">
        <v>584758423</v>
      </c>
      <c r="C9419" s="4" t="s">
        <v>269</v>
      </c>
      <c r="D9419" s="4">
        <v>94</v>
      </c>
      <c r="E9419" s="4">
        <v>57</v>
      </c>
      <c r="G9419">
        <f t="shared" si="147"/>
        <v>512</v>
      </c>
    </row>
    <row r="9420" spans="2:7" ht="15" hidden="1" x14ac:dyDescent="0.25">
      <c r="B9420" s="4">
        <v>584758424</v>
      </c>
      <c r="C9420" s="4" t="s">
        <v>269</v>
      </c>
      <c r="D9420" s="4">
        <v>95</v>
      </c>
      <c r="E9420" s="4">
        <v>57</v>
      </c>
      <c r="G9420">
        <f t="shared" si="147"/>
        <v>512</v>
      </c>
    </row>
    <row r="9421" spans="2:7" ht="15" hidden="1" x14ac:dyDescent="0.25">
      <c r="B9421" s="4">
        <v>584758425</v>
      </c>
      <c r="C9421" s="4" t="s">
        <v>268</v>
      </c>
      <c r="D9421" s="4">
        <v>107</v>
      </c>
      <c r="E9421" s="4">
        <v>9</v>
      </c>
      <c r="G9421">
        <f t="shared" si="147"/>
        <v>128</v>
      </c>
    </row>
    <row r="9422" spans="2:7" ht="15" hidden="1" x14ac:dyDescent="0.25">
      <c r="B9422" s="4">
        <v>584758425</v>
      </c>
      <c r="C9422" s="4" t="s">
        <v>268</v>
      </c>
      <c r="D9422" s="4">
        <v>107</v>
      </c>
      <c r="E9422" s="4">
        <v>9</v>
      </c>
      <c r="G9422">
        <f t="shared" si="147"/>
        <v>128</v>
      </c>
    </row>
    <row r="9423" spans="2:7" ht="15" hidden="1" x14ac:dyDescent="0.25">
      <c r="B9423" s="4">
        <v>584758425</v>
      </c>
      <c r="C9423" s="4" t="s">
        <v>268</v>
      </c>
      <c r="D9423" s="4">
        <v>108</v>
      </c>
      <c r="E9423" s="4">
        <v>7</v>
      </c>
      <c r="G9423">
        <f t="shared" si="147"/>
        <v>112</v>
      </c>
    </row>
    <row r="9424" spans="2:7" ht="15" hidden="1" x14ac:dyDescent="0.25">
      <c r="B9424" s="4">
        <v>584758425</v>
      </c>
      <c r="C9424" s="4" t="s">
        <v>268</v>
      </c>
      <c r="D9424" s="4">
        <v>108</v>
      </c>
      <c r="E9424" s="4">
        <v>7</v>
      </c>
      <c r="G9424">
        <f t="shared" si="147"/>
        <v>112</v>
      </c>
    </row>
    <row r="9425" spans="2:7" ht="15" hidden="1" x14ac:dyDescent="0.25">
      <c r="B9425" s="4">
        <v>584758425</v>
      </c>
      <c r="C9425" s="4" t="s">
        <v>268</v>
      </c>
      <c r="D9425" s="4">
        <v>109</v>
      </c>
      <c r="E9425" s="4">
        <v>7</v>
      </c>
      <c r="G9425">
        <f t="shared" si="147"/>
        <v>112</v>
      </c>
    </row>
    <row r="9426" spans="2:7" ht="15" hidden="1" x14ac:dyDescent="0.25">
      <c r="B9426" s="4">
        <v>584758425</v>
      </c>
      <c r="C9426" s="4" t="s">
        <v>268</v>
      </c>
      <c r="D9426" s="4">
        <v>109</v>
      </c>
      <c r="E9426" s="4">
        <v>7</v>
      </c>
      <c r="G9426">
        <f t="shared" si="147"/>
        <v>112</v>
      </c>
    </row>
    <row r="9427" spans="2:7" ht="15" hidden="1" x14ac:dyDescent="0.25">
      <c r="B9427" s="4">
        <v>584758425</v>
      </c>
      <c r="C9427" s="4" t="s">
        <v>269</v>
      </c>
      <c r="D9427" s="4">
        <v>96</v>
      </c>
      <c r="E9427" s="4">
        <v>57</v>
      </c>
      <c r="G9427">
        <f t="shared" si="147"/>
        <v>512</v>
      </c>
    </row>
    <row r="9428" spans="2:7" ht="15" hidden="1" x14ac:dyDescent="0.25">
      <c r="B9428" s="4">
        <v>584758426</v>
      </c>
      <c r="C9428" s="4" t="s">
        <v>269</v>
      </c>
      <c r="D9428" s="4">
        <v>97</v>
      </c>
      <c r="E9428" s="4">
        <v>57</v>
      </c>
      <c r="G9428">
        <f t="shared" si="147"/>
        <v>512</v>
      </c>
    </row>
    <row r="9429" spans="2:7" ht="15" hidden="1" x14ac:dyDescent="0.25">
      <c r="B9429" s="4">
        <v>584758427</v>
      </c>
      <c r="C9429" s="4" t="s">
        <v>269</v>
      </c>
      <c r="D9429" s="4">
        <v>98</v>
      </c>
      <c r="E9429" s="4">
        <v>57</v>
      </c>
      <c r="G9429">
        <f t="shared" si="147"/>
        <v>512</v>
      </c>
    </row>
    <row r="9430" spans="2:7" ht="15" hidden="1" x14ac:dyDescent="0.25">
      <c r="B9430" s="4">
        <v>584758428</v>
      </c>
      <c r="C9430" s="4" t="s">
        <v>268</v>
      </c>
      <c r="D9430" s="4">
        <v>110</v>
      </c>
      <c r="E9430" s="4">
        <v>9</v>
      </c>
      <c r="G9430">
        <f t="shared" si="147"/>
        <v>128</v>
      </c>
    </row>
    <row r="9431" spans="2:7" ht="15" hidden="1" x14ac:dyDescent="0.25">
      <c r="B9431" s="4">
        <v>584758428</v>
      </c>
      <c r="C9431" s="4" t="s">
        <v>268</v>
      </c>
      <c r="D9431" s="4">
        <v>110</v>
      </c>
      <c r="E9431" s="4">
        <v>9</v>
      </c>
      <c r="G9431">
        <f t="shared" si="147"/>
        <v>128</v>
      </c>
    </row>
    <row r="9432" spans="2:7" ht="15" hidden="1" x14ac:dyDescent="0.25">
      <c r="B9432" s="4">
        <v>584758428</v>
      </c>
      <c r="C9432" s="4" t="s">
        <v>268</v>
      </c>
      <c r="D9432" s="4">
        <v>111</v>
      </c>
      <c r="E9432" s="4">
        <v>7</v>
      </c>
      <c r="G9432">
        <f t="shared" si="147"/>
        <v>112</v>
      </c>
    </row>
    <row r="9433" spans="2:7" ht="15" hidden="1" x14ac:dyDescent="0.25">
      <c r="B9433" s="4">
        <v>584758428</v>
      </c>
      <c r="C9433" s="4" t="s">
        <v>268</v>
      </c>
      <c r="D9433" s="4">
        <v>111</v>
      </c>
      <c r="E9433" s="4">
        <v>7</v>
      </c>
      <c r="G9433">
        <f t="shared" si="147"/>
        <v>112</v>
      </c>
    </row>
    <row r="9434" spans="2:7" ht="15" hidden="1" x14ac:dyDescent="0.25">
      <c r="B9434" s="4">
        <v>584758428</v>
      </c>
      <c r="C9434" s="4" t="s">
        <v>268</v>
      </c>
      <c r="D9434" s="4">
        <v>112</v>
      </c>
      <c r="E9434" s="4">
        <v>5</v>
      </c>
      <c r="G9434">
        <f t="shared" si="147"/>
        <v>96</v>
      </c>
    </row>
    <row r="9435" spans="2:7" ht="15" hidden="1" x14ac:dyDescent="0.25">
      <c r="B9435" s="4">
        <v>584758428</v>
      </c>
      <c r="C9435" s="4" t="s">
        <v>268</v>
      </c>
      <c r="D9435" s="4">
        <v>112</v>
      </c>
      <c r="E9435" s="4">
        <v>5</v>
      </c>
      <c r="G9435">
        <f t="shared" si="147"/>
        <v>96</v>
      </c>
    </row>
    <row r="9436" spans="2:7" ht="15" hidden="1" x14ac:dyDescent="0.25">
      <c r="B9436" s="4">
        <v>584758428</v>
      </c>
      <c r="C9436" s="4" t="s">
        <v>268</v>
      </c>
      <c r="D9436" s="4">
        <v>113</v>
      </c>
      <c r="E9436" s="4">
        <v>9</v>
      </c>
      <c r="G9436">
        <f t="shared" si="147"/>
        <v>128</v>
      </c>
    </row>
    <row r="9437" spans="2:7" ht="15" hidden="1" x14ac:dyDescent="0.25">
      <c r="B9437" s="4">
        <v>584758428</v>
      </c>
      <c r="C9437" s="4" t="s">
        <v>268</v>
      </c>
      <c r="D9437" s="4">
        <v>113</v>
      </c>
      <c r="E9437" s="4">
        <v>9</v>
      </c>
      <c r="G9437">
        <f t="shared" si="147"/>
        <v>128</v>
      </c>
    </row>
    <row r="9438" spans="2:7" ht="15" hidden="1" x14ac:dyDescent="0.25">
      <c r="B9438" s="4">
        <v>584758428</v>
      </c>
      <c r="C9438" s="4" t="s">
        <v>268</v>
      </c>
      <c r="D9438" s="4">
        <v>114</v>
      </c>
      <c r="E9438" s="4">
        <v>6</v>
      </c>
      <c r="G9438">
        <f t="shared" si="147"/>
        <v>104</v>
      </c>
    </row>
    <row r="9439" spans="2:7" ht="15" hidden="1" x14ac:dyDescent="0.25">
      <c r="B9439" s="4">
        <v>584758428</v>
      </c>
      <c r="C9439" s="4" t="s">
        <v>268</v>
      </c>
      <c r="D9439" s="4">
        <v>114</v>
      </c>
      <c r="E9439" s="4">
        <v>6</v>
      </c>
      <c r="G9439">
        <f t="shared" si="147"/>
        <v>104</v>
      </c>
    </row>
    <row r="9440" spans="2:7" ht="15" hidden="1" x14ac:dyDescent="0.25">
      <c r="B9440" s="4">
        <v>584758428</v>
      </c>
      <c r="C9440" s="4" t="s">
        <v>268</v>
      </c>
      <c r="D9440" s="4">
        <v>115</v>
      </c>
      <c r="E9440" s="4">
        <v>9</v>
      </c>
      <c r="G9440">
        <f t="shared" si="147"/>
        <v>128</v>
      </c>
    </row>
    <row r="9441" spans="2:7" ht="15" hidden="1" x14ac:dyDescent="0.25">
      <c r="B9441" s="4">
        <v>584758428</v>
      </c>
      <c r="C9441" s="4" t="s">
        <v>268</v>
      </c>
      <c r="D9441" s="4">
        <v>115</v>
      </c>
      <c r="E9441" s="4">
        <v>9</v>
      </c>
      <c r="G9441">
        <f t="shared" si="147"/>
        <v>128</v>
      </c>
    </row>
    <row r="9442" spans="2:7" ht="15" hidden="1" x14ac:dyDescent="0.25">
      <c r="B9442" s="4">
        <v>584758428</v>
      </c>
      <c r="C9442" s="4" t="s">
        <v>268</v>
      </c>
      <c r="D9442" s="4">
        <v>116</v>
      </c>
      <c r="E9442" s="4">
        <v>7</v>
      </c>
      <c r="G9442">
        <f t="shared" si="147"/>
        <v>112</v>
      </c>
    </row>
    <row r="9443" spans="2:7" ht="15" hidden="1" x14ac:dyDescent="0.25">
      <c r="B9443" s="4">
        <v>584758428</v>
      </c>
      <c r="C9443" s="4" t="s">
        <v>268</v>
      </c>
      <c r="D9443" s="4">
        <v>116</v>
      </c>
      <c r="E9443" s="4">
        <v>7</v>
      </c>
      <c r="G9443">
        <f t="shared" si="147"/>
        <v>112</v>
      </c>
    </row>
    <row r="9444" spans="2:7" ht="15" hidden="1" x14ac:dyDescent="0.25">
      <c r="B9444" s="4">
        <v>584758428</v>
      </c>
      <c r="C9444" s="4" t="s">
        <v>268</v>
      </c>
      <c r="D9444" s="4">
        <v>117</v>
      </c>
      <c r="E9444" s="4">
        <v>7</v>
      </c>
      <c r="G9444">
        <f t="shared" si="147"/>
        <v>112</v>
      </c>
    </row>
    <row r="9445" spans="2:7" ht="15" hidden="1" x14ac:dyDescent="0.25">
      <c r="B9445" s="4">
        <v>584758428</v>
      </c>
      <c r="C9445" s="4" t="s">
        <v>268</v>
      </c>
      <c r="D9445" s="4">
        <v>117</v>
      </c>
      <c r="E9445" s="4">
        <v>7</v>
      </c>
      <c r="G9445">
        <f t="shared" si="147"/>
        <v>112</v>
      </c>
    </row>
    <row r="9446" spans="2:7" ht="15" hidden="1" x14ac:dyDescent="0.25">
      <c r="B9446" s="4">
        <v>584758428</v>
      </c>
      <c r="C9446" s="4" t="s">
        <v>268</v>
      </c>
      <c r="D9446" s="4">
        <v>118</v>
      </c>
      <c r="E9446" s="4">
        <v>7</v>
      </c>
      <c r="G9446">
        <f t="shared" si="147"/>
        <v>112</v>
      </c>
    </row>
    <row r="9447" spans="2:7" ht="15" hidden="1" x14ac:dyDescent="0.25">
      <c r="B9447" s="4">
        <v>584758428</v>
      </c>
      <c r="C9447" s="4" t="s">
        <v>268</v>
      </c>
      <c r="D9447" s="4">
        <v>118</v>
      </c>
      <c r="E9447" s="4">
        <v>7</v>
      </c>
      <c r="G9447">
        <f t="shared" si="147"/>
        <v>112</v>
      </c>
    </row>
    <row r="9448" spans="2:7" ht="15" hidden="1" x14ac:dyDescent="0.25">
      <c r="B9448" s="4">
        <v>584758428</v>
      </c>
      <c r="C9448" s="4" t="s">
        <v>269</v>
      </c>
      <c r="D9448" s="4">
        <v>99</v>
      </c>
      <c r="E9448" s="4">
        <v>57</v>
      </c>
      <c r="G9448">
        <f t="shared" si="147"/>
        <v>512</v>
      </c>
    </row>
    <row r="9449" spans="2:7" ht="15" hidden="1" x14ac:dyDescent="0.25">
      <c r="B9449" s="4">
        <v>584758429</v>
      </c>
      <c r="C9449" s="4" t="s">
        <v>269</v>
      </c>
      <c r="D9449" s="4">
        <v>100</v>
      </c>
      <c r="E9449" s="4">
        <v>57</v>
      </c>
      <c r="G9449">
        <f t="shared" si="147"/>
        <v>512</v>
      </c>
    </row>
    <row r="9450" spans="2:7" ht="15" hidden="1" x14ac:dyDescent="0.25">
      <c r="B9450" s="4">
        <v>584758430</v>
      </c>
      <c r="C9450" s="4" t="s">
        <v>268</v>
      </c>
      <c r="D9450" s="4">
        <v>119</v>
      </c>
      <c r="E9450" s="4">
        <v>7</v>
      </c>
      <c r="G9450">
        <f t="shared" si="147"/>
        <v>112</v>
      </c>
    </row>
    <row r="9451" spans="2:7" ht="15" hidden="1" x14ac:dyDescent="0.25">
      <c r="B9451" s="4">
        <v>584758430</v>
      </c>
      <c r="C9451" s="4" t="s">
        <v>268</v>
      </c>
      <c r="D9451" s="4">
        <v>119</v>
      </c>
      <c r="E9451" s="4">
        <v>7</v>
      </c>
      <c r="G9451">
        <f t="shared" si="147"/>
        <v>112</v>
      </c>
    </row>
    <row r="9452" spans="2:7" ht="15" hidden="1" x14ac:dyDescent="0.25">
      <c r="B9452" s="4">
        <v>584758430</v>
      </c>
      <c r="C9452" s="4" t="s">
        <v>268</v>
      </c>
      <c r="D9452" s="4">
        <v>120</v>
      </c>
      <c r="E9452" s="4">
        <v>5</v>
      </c>
      <c r="G9452">
        <f t="shared" si="147"/>
        <v>96</v>
      </c>
    </row>
    <row r="9453" spans="2:7" ht="15" hidden="1" x14ac:dyDescent="0.25">
      <c r="B9453" s="4">
        <v>584758430</v>
      </c>
      <c r="C9453" s="4" t="s">
        <v>268</v>
      </c>
      <c r="D9453" s="4">
        <v>120</v>
      </c>
      <c r="E9453" s="4">
        <v>5</v>
      </c>
      <c r="G9453">
        <f t="shared" si="147"/>
        <v>96</v>
      </c>
    </row>
    <row r="9454" spans="2:7" ht="15" hidden="1" x14ac:dyDescent="0.25">
      <c r="B9454" s="4">
        <v>584758430</v>
      </c>
      <c r="C9454" s="4" t="s">
        <v>268</v>
      </c>
      <c r="D9454" s="4">
        <v>121</v>
      </c>
      <c r="E9454" s="4">
        <v>7</v>
      </c>
      <c r="G9454">
        <f t="shared" si="147"/>
        <v>112</v>
      </c>
    </row>
    <row r="9455" spans="2:7" ht="15" hidden="1" x14ac:dyDescent="0.25">
      <c r="B9455" s="4">
        <v>584758430</v>
      </c>
      <c r="C9455" s="4" t="s">
        <v>268</v>
      </c>
      <c r="D9455" s="4">
        <v>121</v>
      </c>
      <c r="E9455" s="4">
        <v>7</v>
      </c>
      <c r="G9455">
        <f t="shared" si="147"/>
        <v>112</v>
      </c>
    </row>
    <row r="9456" spans="2:7" ht="15" hidden="1" x14ac:dyDescent="0.25">
      <c r="B9456" s="4">
        <v>584758430</v>
      </c>
      <c r="C9456" s="4" t="s">
        <v>269</v>
      </c>
      <c r="D9456" s="4">
        <v>101</v>
      </c>
      <c r="E9456" s="4">
        <v>57</v>
      </c>
      <c r="G9456">
        <f t="shared" si="147"/>
        <v>512</v>
      </c>
    </row>
    <row r="9457" spans="2:7" ht="15" hidden="1" x14ac:dyDescent="0.25">
      <c r="B9457" s="4">
        <v>584758431</v>
      </c>
      <c r="C9457" s="4" t="s">
        <v>269</v>
      </c>
      <c r="D9457" s="4">
        <v>102</v>
      </c>
      <c r="E9457" s="4">
        <v>57</v>
      </c>
      <c r="G9457">
        <f t="shared" si="147"/>
        <v>512</v>
      </c>
    </row>
    <row r="9458" spans="2:7" ht="15" hidden="1" x14ac:dyDescent="0.25">
      <c r="B9458" s="4">
        <v>584758432</v>
      </c>
      <c r="C9458" s="4" t="s">
        <v>269</v>
      </c>
      <c r="D9458" s="4">
        <v>103</v>
      </c>
      <c r="E9458" s="4">
        <v>57</v>
      </c>
      <c r="G9458">
        <f t="shared" si="147"/>
        <v>512</v>
      </c>
    </row>
    <row r="9459" spans="2:7" ht="15" hidden="1" x14ac:dyDescent="0.25">
      <c r="B9459" s="4">
        <v>584758433</v>
      </c>
      <c r="C9459" s="4" t="s">
        <v>269</v>
      </c>
      <c r="D9459" s="4">
        <v>104</v>
      </c>
      <c r="E9459" s="4">
        <v>57</v>
      </c>
      <c r="G9459">
        <f t="shared" si="147"/>
        <v>512</v>
      </c>
    </row>
    <row r="9460" spans="2:7" ht="15" hidden="1" x14ac:dyDescent="0.25">
      <c r="B9460" s="4">
        <v>584758434</v>
      </c>
      <c r="C9460" s="4" t="s">
        <v>269</v>
      </c>
      <c r="D9460" s="4">
        <v>105</v>
      </c>
      <c r="E9460" s="4">
        <v>57</v>
      </c>
      <c r="G9460">
        <f t="shared" si="147"/>
        <v>512</v>
      </c>
    </row>
    <row r="9461" spans="2:7" ht="15" hidden="1" x14ac:dyDescent="0.25">
      <c r="B9461" s="4">
        <v>584758435</v>
      </c>
      <c r="C9461" s="4" t="s">
        <v>269</v>
      </c>
      <c r="D9461" s="4">
        <v>106</v>
      </c>
      <c r="E9461" s="4">
        <v>57</v>
      </c>
      <c r="G9461">
        <f t="shared" si="147"/>
        <v>512</v>
      </c>
    </row>
    <row r="9462" spans="2:7" ht="15" hidden="1" x14ac:dyDescent="0.25">
      <c r="B9462" s="4">
        <v>584758436</v>
      </c>
      <c r="C9462" s="4" t="s">
        <v>269</v>
      </c>
      <c r="D9462" s="4">
        <v>107</v>
      </c>
      <c r="E9462" s="4">
        <v>57</v>
      </c>
      <c r="G9462">
        <f t="shared" si="147"/>
        <v>512</v>
      </c>
    </row>
    <row r="9463" spans="2:7" ht="15" hidden="1" x14ac:dyDescent="0.25">
      <c r="B9463" s="4">
        <v>584758437</v>
      </c>
      <c r="C9463" s="4" t="s">
        <v>269</v>
      </c>
      <c r="D9463" s="4">
        <v>108</v>
      </c>
      <c r="E9463" s="4">
        <v>57</v>
      </c>
      <c r="G9463">
        <f t="shared" si="147"/>
        <v>512</v>
      </c>
    </row>
    <row r="9464" spans="2:7" ht="15" hidden="1" x14ac:dyDescent="0.25">
      <c r="B9464" s="4">
        <v>584758438</v>
      </c>
      <c r="C9464" s="4" t="s">
        <v>269</v>
      </c>
      <c r="D9464" s="4">
        <v>109</v>
      </c>
      <c r="E9464" s="4">
        <v>57</v>
      </c>
      <c r="G9464">
        <f t="shared" si="147"/>
        <v>512</v>
      </c>
    </row>
    <row r="9465" spans="2:7" ht="15" hidden="1" x14ac:dyDescent="0.25">
      <c r="B9465" s="4">
        <v>584758439</v>
      </c>
      <c r="C9465" s="4" t="s">
        <v>269</v>
      </c>
      <c r="D9465" s="4">
        <v>110</v>
      </c>
      <c r="E9465" s="4">
        <v>57</v>
      </c>
      <c r="G9465">
        <f t="shared" si="147"/>
        <v>512</v>
      </c>
    </row>
    <row r="9466" spans="2:7" ht="15" hidden="1" x14ac:dyDescent="0.25">
      <c r="B9466" s="4">
        <v>584758440</v>
      </c>
      <c r="C9466" s="4" t="s">
        <v>269</v>
      </c>
      <c r="D9466" s="4">
        <v>111</v>
      </c>
      <c r="E9466" s="4">
        <v>57</v>
      </c>
      <c r="G9466">
        <f t="shared" si="147"/>
        <v>512</v>
      </c>
    </row>
    <row r="9467" spans="2:7" ht="15" hidden="1" x14ac:dyDescent="0.25">
      <c r="B9467" s="4">
        <v>584758441</v>
      </c>
      <c r="C9467" s="4" t="s">
        <v>269</v>
      </c>
      <c r="D9467" s="4">
        <v>112</v>
      </c>
      <c r="E9467" s="4">
        <v>57</v>
      </c>
      <c r="G9467">
        <f t="shared" si="147"/>
        <v>512</v>
      </c>
    </row>
    <row r="9468" spans="2:7" ht="15" hidden="1" x14ac:dyDescent="0.25">
      <c r="B9468" s="4">
        <v>584758442</v>
      </c>
      <c r="C9468" s="4" t="s">
        <v>269</v>
      </c>
      <c r="D9468" s="4">
        <v>113</v>
      </c>
      <c r="E9468" s="4">
        <v>57</v>
      </c>
      <c r="G9468">
        <f t="shared" si="147"/>
        <v>512</v>
      </c>
    </row>
    <row r="9469" spans="2:7" ht="15" hidden="1" x14ac:dyDescent="0.25">
      <c r="B9469" s="4">
        <v>584758443</v>
      </c>
      <c r="C9469" s="4" t="s">
        <v>269</v>
      </c>
      <c r="D9469" s="4">
        <v>114</v>
      </c>
      <c r="E9469" s="4">
        <v>57</v>
      </c>
      <c r="G9469">
        <f t="shared" si="147"/>
        <v>512</v>
      </c>
    </row>
    <row r="9470" spans="2:7" ht="15" hidden="1" x14ac:dyDescent="0.25">
      <c r="B9470" s="4">
        <v>584758444</v>
      </c>
      <c r="C9470" s="4" t="s">
        <v>269</v>
      </c>
      <c r="D9470" s="4">
        <v>115</v>
      </c>
      <c r="E9470" s="4">
        <v>57</v>
      </c>
      <c r="G9470">
        <f t="shared" si="147"/>
        <v>512</v>
      </c>
    </row>
    <row r="9471" spans="2:7" ht="15" hidden="1" x14ac:dyDescent="0.25">
      <c r="B9471" s="4">
        <v>584758445</v>
      </c>
      <c r="C9471" s="4" t="s">
        <v>269</v>
      </c>
      <c r="D9471" s="4">
        <v>116</v>
      </c>
      <c r="E9471" s="4">
        <v>57</v>
      </c>
      <c r="G9471">
        <f t="shared" si="147"/>
        <v>512</v>
      </c>
    </row>
    <row r="9472" spans="2:7" ht="15" hidden="1" x14ac:dyDescent="0.25">
      <c r="B9472" s="4">
        <v>584758446</v>
      </c>
      <c r="C9472" s="4" t="s">
        <v>269</v>
      </c>
      <c r="D9472" s="4">
        <v>117</v>
      </c>
      <c r="E9472" s="4">
        <v>57</v>
      </c>
      <c r="G9472">
        <f t="shared" si="147"/>
        <v>512</v>
      </c>
    </row>
    <row r="9473" spans="2:7" ht="15" hidden="1" x14ac:dyDescent="0.25">
      <c r="B9473" s="4">
        <v>584758447</v>
      </c>
      <c r="C9473" s="4" t="s">
        <v>269</v>
      </c>
      <c r="D9473" s="4">
        <v>118</v>
      </c>
      <c r="E9473" s="4">
        <v>57</v>
      </c>
      <c r="G9473">
        <f t="shared" si="147"/>
        <v>512</v>
      </c>
    </row>
    <row r="9474" spans="2:7" ht="15" hidden="1" x14ac:dyDescent="0.25">
      <c r="B9474" s="4">
        <v>584758448</v>
      </c>
      <c r="C9474" s="4" t="s">
        <v>269</v>
      </c>
      <c r="D9474" s="4">
        <v>119</v>
      </c>
      <c r="E9474" s="4">
        <v>57</v>
      </c>
      <c r="G9474">
        <f t="shared" si="147"/>
        <v>512</v>
      </c>
    </row>
    <row r="9475" spans="2:7" ht="15" x14ac:dyDescent="0.25">
      <c r="B9475" s="4">
        <v>584758448</v>
      </c>
      <c r="C9475" s="4" t="s">
        <v>270</v>
      </c>
      <c r="D9475" s="4">
        <v>0</v>
      </c>
      <c r="E9475" s="4">
        <v>1100</v>
      </c>
      <c r="G9475">
        <f t="shared" si="147"/>
        <v>8856</v>
      </c>
    </row>
    <row r="9476" spans="2:7" ht="15" x14ac:dyDescent="0.25">
      <c r="B9476" s="4">
        <v>584758448</v>
      </c>
      <c r="C9476" s="4" t="s">
        <v>271</v>
      </c>
      <c r="D9476" s="4">
        <v>0</v>
      </c>
      <c r="E9476" s="4">
        <v>1100</v>
      </c>
      <c r="G9476">
        <f t="shared" ref="G9476:G9539" si="148">(E9476+7)*8</f>
        <v>8856</v>
      </c>
    </row>
    <row r="9477" spans="2:7" ht="15" hidden="1" x14ac:dyDescent="0.25">
      <c r="B9477" s="4">
        <v>584758449</v>
      </c>
      <c r="C9477" s="4" t="s">
        <v>269</v>
      </c>
      <c r="D9477" s="4">
        <v>120</v>
      </c>
      <c r="E9477" s="4">
        <v>57</v>
      </c>
      <c r="G9477">
        <f t="shared" si="148"/>
        <v>512</v>
      </c>
    </row>
    <row r="9478" spans="2:7" ht="15" hidden="1" x14ac:dyDescent="0.25">
      <c r="B9478" s="4">
        <v>584758449</v>
      </c>
      <c r="C9478" s="4" t="s">
        <v>272</v>
      </c>
      <c r="D9478" s="4">
        <v>0</v>
      </c>
      <c r="E9478" s="4">
        <v>227</v>
      </c>
      <c r="G9478">
        <f t="shared" si="148"/>
        <v>1872</v>
      </c>
    </row>
    <row r="9479" spans="2:7" ht="15" hidden="1" x14ac:dyDescent="0.25">
      <c r="B9479" s="4">
        <v>584758450</v>
      </c>
      <c r="C9479" s="4" t="s">
        <v>269</v>
      </c>
      <c r="D9479" s="4">
        <v>121</v>
      </c>
      <c r="E9479" s="4">
        <v>57</v>
      </c>
      <c r="G9479">
        <f t="shared" si="148"/>
        <v>512</v>
      </c>
    </row>
    <row r="9480" spans="2:7" ht="15" hidden="1" x14ac:dyDescent="0.25">
      <c r="B9480" s="4">
        <v>584758451</v>
      </c>
      <c r="C9480" s="4" t="s">
        <v>269</v>
      </c>
      <c r="D9480" s="4">
        <v>122</v>
      </c>
      <c r="E9480" s="4">
        <v>57</v>
      </c>
      <c r="G9480">
        <f t="shared" si="148"/>
        <v>512</v>
      </c>
    </row>
    <row r="9481" spans="2:7" ht="15" hidden="1" x14ac:dyDescent="0.25">
      <c r="B9481" s="4">
        <v>584758452</v>
      </c>
      <c r="C9481" s="4" t="s">
        <v>269</v>
      </c>
      <c r="D9481" s="4">
        <v>123</v>
      </c>
      <c r="E9481" s="4">
        <v>57</v>
      </c>
      <c r="G9481">
        <f t="shared" si="148"/>
        <v>512</v>
      </c>
    </row>
    <row r="9482" spans="2:7" ht="15" hidden="1" x14ac:dyDescent="0.25">
      <c r="B9482" s="4">
        <v>584758453</v>
      </c>
      <c r="C9482" s="4" t="s">
        <v>269</v>
      </c>
      <c r="D9482" s="4">
        <v>124</v>
      </c>
      <c r="E9482" s="4">
        <v>57</v>
      </c>
      <c r="G9482">
        <f t="shared" si="148"/>
        <v>512</v>
      </c>
    </row>
    <row r="9483" spans="2:7" ht="15" hidden="1" x14ac:dyDescent="0.25">
      <c r="B9483" s="4">
        <v>584758454</v>
      </c>
      <c r="C9483" s="4" t="s">
        <v>269</v>
      </c>
      <c r="D9483" s="4">
        <v>125</v>
      </c>
      <c r="E9483" s="4">
        <v>57</v>
      </c>
      <c r="G9483">
        <f t="shared" si="148"/>
        <v>512</v>
      </c>
    </row>
    <row r="9484" spans="2:7" ht="15" hidden="1" x14ac:dyDescent="0.25">
      <c r="B9484" s="4">
        <v>584758455</v>
      </c>
      <c r="C9484" s="4" t="s">
        <v>269</v>
      </c>
      <c r="D9484" s="4">
        <v>126</v>
      </c>
      <c r="E9484" s="4">
        <v>57</v>
      </c>
      <c r="G9484">
        <f t="shared" si="148"/>
        <v>512</v>
      </c>
    </row>
    <row r="9485" spans="2:7" ht="15" hidden="1" x14ac:dyDescent="0.25">
      <c r="B9485" s="4">
        <v>584758456</v>
      </c>
      <c r="C9485" s="4" t="s">
        <v>269</v>
      </c>
      <c r="D9485" s="4">
        <v>127</v>
      </c>
      <c r="E9485" s="4">
        <v>57</v>
      </c>
      <c r="G9485">
        <f t="shared" si="148"/>
        <v>512</v>
      </c>
    </row>
    <row r="9486" spans="2:7" ht="15" hidden="1" x14ac:dyDescent="0.25">
      <c r="B9486" s="4">
        <v>584758457</v>
      </c>
      <c r="C9486" s="4" t="s">
        <v>269</v>
      </c>
      <c r="D9486" s="4">
        <v>128</v>
      </c>
      <c r="E9486" s="4">
        <v>57</v>
      </c>
      <c r="G9486">
        <f t="shared" si="148"/>
        <v>512</v>
      </c>
    </row>
    <row r="9487" spans="2:7" ht="15" hidden="1" x14ac:dyDescent="0.25">
      <c r="B9487" s="4">
        <v>584758458</v>
      </c>
      <c r="C9487" s="4" t="s">
        <v>269</v>
      </c>
      <c r="D9487" s="4">
        <v>129</v>
      </c>
      <c r="E9487" s="4">
        <v>57</v>
      </c>
      <c r="G9487">
        <f t="shared" si="148"/>
        <v>512</v>
      </c>
    </row>
    <row r="9488" spans="2:7" ht="15" hidden="1" x14ac:dyDescent="0.25">
      <c r="B9488" s="4">
        <v>584758458</v>
      </c>
      <c r="C9488" s="4" t="s">
        <v>272</v>
      </c>
      <c r="D9488" s="4">
        <v>1</v>
      </c>
      <c r="E9488" s="4">
        <v>211</v>
      </c>
      <c r="G9488">
        <f t="shared" si="148"/>
        <v>1744</v>
      </c>
    </row>
    <row r="9489" spans="2:7" ht="15" hidden="1" x14ac:dyDescent="0.25">
      <c r="B9489" s="4">
        <v>584758459</v>
      </c>
      <c r="C9489" s="4" t="s">
        <v>269</v>
      </c>
      <c r="D9489" s="4">
        <v>130</v>
      </c>
      <c r="E9489" s="4">
        <v>57</v>
      </c>
      <c r="G9489">
        <f t="shared" si="148"/>
        <v>512</v>
      </c>
    </row>
    <row r="9490" spans="2:7" ht="15" hidden="1" x14ac:dyDescent="0.25">
      <c r="B9490" s="4">
        <v>584758460</v>
      </c>
      <c r="C9490" s="4" t="s">
        <v>268</v>
      </c>
      <c r="D9490" s="4">
        <v>122</v>
      </c>
      <c r="E9490" s="4">
        <v>6</v>
      </c>
      <c r="G9490">
        <f t="shared" si="148"/>
        <v>104</v>
      </c>
    </row>
    <row r="9491" spans="2:7" ht="15" hidden="1" x14ac:dyDescent="0.25">
      <c r="B9491" s="4">
        <v>584758460</v>
      </c>
      <c r="C9491" s="4" t="s">
        <v>268</v>
      </c>
      <c r="D9491" s="4">
        <v>122</v>
      </c>
      <c r="E9491" s="4">
        <v>6</v>
      </c>
      <c r="G9491">
        <f t="shared" si="148"/>
        <v>104</v>
      </c>
    </row>
    <row r="9492" spans="2:7" ht="15" hidden="1" x14ac:dyDescent="0.25">
      <c r="B9492" s="4">
        <v>584758460</v>
      </c>
      <c r="C9492" s="4" t="s">
        <v>268</v>
      </c>
      <c r="D9492" s="4">
        <v>123</v>
      </c>
      <c r="E9492" s="4">
        <v>9</v>
      </c>
      <c r="G9492">
        <f t="shared" si="148"/>
        <v>128</v>
      </c>
    </row>
    <row r="9493" spans="2:7" ht="15" hidden="1" x14ac:dyDescent="0.25">
      <c r="B9493" s="4">
        <v>584758460</v>
      </c>
      <c r="C9493" s="4" t="s">
        <v>268</v>
      </c>
      <c r="D9493" s="4">
        <v>123</v>
      </c>
      <c r="E9493" s="4">
        <v>9</v>
      </c>
      <c r="G9493">
        <f t="shared" si="148"/>
        <v>128</v>
      </c>
    </row>
    <row r="9494" spans="2:7" ht="15" hidden="1" x14ac:dyDescent="0.25">
      <c r="B9494" s="4">
        <v>584758460</v>
      </c>
      <c r="C9494" s="4" t="s">
        <v>268</v>
      </c>
      <c r="D9494" s="4">
        <v>124</v>
      </c>
      <c r="E9494" s="4">
        <v>7</v>
      </c>
      <c r="G9494">
        <f t="shared" si="148"/>
        <v>112</v>
      </c>
    </row>
    <row r="9495" spans="2:7" ht="15" hidden="1" x14ac:dyDescent="0.25">
      <c r="B9495" s="4">
        <v>584758460</v>
      </c>
      <c r="C9495" s="4" t="s">
        <v>268</v>
      </c>
      <c r="D9495" s="4">
        <v>124</v>
      </c>
      <c r="E9495" s="4">
        <v>7</v>
      </c>
      <c r="G9495">
        <f t="shared" si="148"/>
        <v>112</v>
      </c>
    </row>
    <row r="9496" spans="2:7" ht="15" hidden="1" x14ac:dyDescent="0.25">
      <c r="B9496" s="4">
        <v>584758460</v>
      </c>
      <c r="C9496" s="4" t="s">
        <v>268</v>
      </c>
      <c r="D9496" s="4">
        <v>125</v>
      </c>
      <c r="E9496" s="4">
        <v>7</v>
      </c>
      <c r="G9496">
        <f t="shared" si="148"/>
        <v>112</v>
      </c>
    </row>
    <row r="9497" spans="2:7" ht="15" hidden="1" x14ac:dyDescent="0.25">
      <c r="B9497" s="4">
        <v>584758460</v>
      </c>
      <c r="C9497" s="4" t="s">
        <v>268</v>
      </c>
      <c r="D9497" s="4">
        <v>125</v>
      </c>
      <c r="E9497" s="4">
        <v>7</v>
      </c>
      <c r="G9497">
        <f t="shared" si="148"/>
        <v>112</v>
      </c>
    </row>
    <row r="9498" spans="2:7" ht="15" hidden="1" x14ac:dyDescent="0.25">
      <c r="B9498" s="4">
        <v>584758460</v>
      </c>
      <c r="C9498" s="4" t="s">
        <v>268</v>
      </c>
      <c r="D9498" s="4">
        <v>126</v>
      </c>
      <c r="E9498" s="4">
        <v>7</v>
      </c>
      <c r="G9498">
        <f t="shared" si="148"/>
        <v>112</v>
      </c>
    </row>
    <row r="9499" spans="2:7" ht="15" hidden="1" x14ac:dyDescent="0.25">
      <c r="B9499" s="4">
        <v>584758460</v>
      </c>
      <c r="C9499" s="4" t="s">
        <v>268</v>
      </c>
      <c r="D9499" s="4">
        <v>126</v>
      </c>
      <c r="E9499" s="4">
        <v>7</v>
      </c>
      <c r="G9499">
        <f t="shared" si="148"/>
        <v>112</v>
      </c>
    </row>
    <row r="9500" spans="2:7" ht="15" hidden="1" x14ac:dyDescent="0.25">
      <c r="B9500" s="4">
        <v>584758460</v>
      </c>
      <c r="C9500" s="4" t="s">
        <v>269</v>
      </c>
      <c r="D9500" s="4">
        <v>131</v>
      </c>
      <c r="E9500" s="4">
        <v>57</v>
      </c>
      <c r="G9500">
        <f t="shared" si="148"/>
        <v>512</v>
      </c>
    </row>
    <row r="9501" spans="2:7" ht="15" hidden="1" x14ac:dyDescent="0.25">
      <c r="B9501" s="4">
        <v>584758461</v>
      </c>
      <c r="C9501" s="4" t="s">
        <v>269</v>
      </c>
      <c r="D9501" s="4">
        <v>132</v>
      </c>
      <c r="E9501" s="4">
        <v>57</v>
      </c>
      <c r="G9501">
        <f t="shared" si="148"/>
        <v>512</v>
      </c>
    </row>
    <row r="9502" spans="2:7" ht="15" hidden="1" x14ac:dyDescent="0.25">
      <c r="B9502" s="4">
        <v>584758462</v>
      </c>
      <c r="C9502" s="4" t="s">
        <v>268</v>
      </c>
      <c r="D9502" s="4">
        <v>127</v>
      </c>
      <c r="E9502" s="4">
        <v>7</v>
      </c>
      <c r="G9502">
        <f t="shared" si="148"/>
        <v>112</v>
      </c>
    </row>
    <row r="9503" spans="2:7" ht="15" hidden="1" x14ac:dyDescent="0.25">
      <c r="B9503" s="4">
        <v>584758462</v>
      </c>
      <c r="C9503" s="4" t="s">
        <v>268</v>
      </c>
      <c r="D9503" s="4">
        <v>127</v>
      </c>
      <c r="E9503" s="4">
        <v>7</v>
      </c>
      <c r="G9503">
        <f t="shared" si="148"/>
        <v>112</v>
      </c>
    </row>
    <row r="9504" spans="2:7" ht="15" hidden="1" x14ac:dyDescent="0.25">
      <c r="B9504" s="4">
        <v>584758462</v>
      </c>
      <c r="C9504" s="4" t="s">
        <v>268</v>
      </c>
      <c r="D9504" s="4">
        <v>128</v>
      </c>
      <c r="E9504" s="4">
        <v>5</v>
      </c>
      <c r="G9504">
        <f t="shared" si="148"/>
        <v>96</v>
      </c>
    </row>
    <row r="9505" spans="2:7" ht="15" hidden="1" x14ac:dyDescent="0.25">
      <c r="B9505" s="4">
        <v>584758462</v>
      </c>
      <c r="C9505" s="4" t="s">
        <v>268</v>
      </c>
      <c r="D9505" s="4">
        <v>128</v>
      </c>
      <c r="E9505" s="4">
        <v>5</v>
      </c>
      <c r="G9505">
        <f t="shared" si="148"/>
        <v>96</v>
      </c>
    </row>
    <row r="9506" spans="2:7" ht="15" hidden="1" x14ac:dyDescent="0.25">
      <c r="B9506" s="4">
        <v>584758462</v>
      </c>
      <c r="C9506" s="4" t="s">
        <v>268</v>
      </c>
      <c r="D9506" s="4">
        <v>129</v>
      </c>
      <c r="E9506" s="4">
        <v>7</v>
      </c>
      <c r="G9506">
        <f t="shared" si="148"/>
        <v>112</v>
      </c>
    </row>
    <row r="9507" spans="2:7" ht="15" hidden="1" x14ac:dyDescent="0.25">
      <c r="B9507" s="4">
        <v>584758462</v>
      </c>
      <c r="C9507" s="4" t="s">
        <v>268</v>
      </c>
      <c r="D9507" s="4">
        <v>129</v>
      </c>
      <c r="E9507" s="4">
        <v>7</v>
      </c>
      <c r="G9507">
        <f t="shared" si="148"/>
        <v>112</v>
      </c>
    </row>
    <row r="9508" spans="2:7" ht="15" hidden="1" x14ac:dyDescent="0.25">
      <c r="B9508" s="4">
        <v>584758462</v>
      </c>
      <c r="C9508" s="4" t="s">
        <v>269</v>
      </c>
      <c r="D9508" s="4">
        <v>133</v>
      </c>
      <c r="E9508" s="4">
        <v>57</v>
      </c>
      <c r="G9508">
        <f t="shared" si="148"/>
        <v>512</v>
      </c>
    </row>
    <row r="9509" spans="2:7" ht="15" hidden="1" x14ac:dyDescent="0.25">
      <c r="B9509" s="4">
        <v>584758463</v>
      </c>
      <c r="C9509" s="4" t="s">
        <v>269</v>
      </c>
      <c r="D9509" s="4">
        <v>134</v>
      </c>
      <c r="E9509" s="4">
        <v>57</v>
      </c>
      <c r="G9509">
        <f t="shared" si="148"/>
        <v>512</v>
      </c>
    </row>
    <row r="9510" spans="2:7" ht="15" hidden="1" x14ac:dyDescent="0.25">
      <c r="B9510" s="4">
        <v>584758464</v>
      </c>
      <c r="C9510" s="4" t="s">
        <v>269</v>
      </c>
      <c r="D9510" s="4">
        <v>135</v>
      </c>
      <c r="E9510" s="4">
        <v>57</v>
      </c>
      <c r="G9510">
        <f t="shared" si="148"/>
        <v>512</v>
      </c>
    </row>
    <row r="9511" spans="2:7" ht="15" hidden="1" x14ac:dyDescent="0.25">
      <c r="B9511" s="4">
        <v>584758465</v>
      </c>
      <c r="C9511" s="4" t="s">
        <v>269</v>
      </c>
      <c r="D9511" s="4">
        <v>136</v>
      </c>
      <c r="E9511" s="4">
        <v>57</v>
      </c>
      <c r="G9511">
        <f t="shared" si="148"/>
        <v>512</v>
      </c>
    </row>
    <row r="9512" spans="2:7" ht="15" hidden="1" x14ac:dyDescent="0.25">
      <c r="B9512" s="4">
        <v>584758466</v>
      </c>
      <c r="C9512" s="4" t="s">
        <v>269</v>
      </c>
      <c r="D9512" s="4">
        <v>137</v>
      </c>
      <c r="E9512" s="4">
        <v>57</v>
      </c>
      <c r="G9512">
        <f t="shared" si="148"/>
        <v>512</v>
      </c>
    </row>
    <row r="9513" spans="2:7" ht="15" hidden="1" x14ac:dyDescent="0.25">
      <c r="B9513" s="4">
        <v>584758467</v>
      </c>
      <c r="C9513" s="4" t="s">
        <v>269</v>
      </c>
      <c r="D9513" s="4">
        <v>138</v>
      </c>
      <c r="E9513" s="4">
        <v>57</v>
      </c>
      <c r="G9513">
        <f t="shared" si="148"/>
        <v>512</v>
      </c>
    </row>
    <row r="9514" spans="2:7" ht="15" hidden="1" x14ac:dyDescent="0.25">
      <c r="B9514" s="4">
        <v>584758468</v>
      </c>
      <c r="C9514" s="4" t="s">
        <v>269</v>
      </c>
      <c r="D9514" s="4">
        <v>139</v>
      </c>
      <c r="E9514" s="4">
        <v>57</v>
      </c>
      <c r="G9514">
        <f t="shared" si="148"/>
        <v>512</v>
      </c>
    </row>
    <row r="9515" spans="2:7" ht="15" hidden="1" x14ac:dyDescent="0.25">
      <c r="B9515" s="4">
        <v>584758468</v>
      </c>
      <c r="C9515" s="4" t="s">
        <v>272</v>
      </c>
      <c r="D9515" s="4">
        <v>2</v>
      </c>
      <c r="E9515" s="4">
        <v>211</v>
      </c>
      <c r="G9515">
        <f t="shared" si="148"/>
        <v>1744</v>
      </c>
    </row>
    <row r="9516" spans="2:7" ht="15" hidden="1" x14ac:dyDescent="0.25">
      <c r="B9516" s="4">
        <v>584758469</v>
      </c>
      <c r="C9516" s="4" t="s">
        <v>269</v>
      </c>
      <c r="D9516" s="4">
        <v>140</v>
      </c>
      <c r="E9516" s="4">
        <v>57</v>
      </c>
      <c r="G9516">
        <f t="shared" si="148"/>
        <v>512</v>
      </c>
    </row>
    <row r="9517" spans="2:7" ht="15" hidden="1" x14ac:dyDescent="0.25">
      <c r="B9517" s="4">
        <v>584758470</v>
      </c>
      <c r="C9517" s="4" t="s">
        <v>269</v>
      </c>
      <c r="D9517" s="4">
        <v>141</v>
      </c>
      <c r="E9517" s="4">
        <v>57</v>
      </c>
      <c r="G9517">
        <f t="shared" si="148"/>
        <v>512</v>
      </c>
    </row>
    <row r="9518" spans="2:7" ht="15" hidden="1" x14ac:dyDescent="0.25">
      <c r="B9518" s="4">
        <v>584758471</v>
      </c>
      <c r="C9518" s="4" t="s">
        <v>269</v>
      </c>
      <c r="D9518" s="4">
        <v>142</v>
      </c>
      <c r="E9518" s="4">
        <v>57</v>
      </c>
      <c r="G9518">
        <f t="shared" si="148"/>
        <v>512</v>
      </c>
    </row>
    <row r="9519" spans="2:7" ht="15" hidden="1" x14ac:dyDescent="0.25">
      <c r="B9519" s="4">
        <v>584758472</v>
      </c>
      <c r="C9519" s="4" t="s">
        <v>269</v>
      </c>
      <c r="D9519" s="4">
        <v>143</v>
      </c>
      <c r="E9519" s="4">
        <v>57</v>
      </c>
      <c r="G9519">
        <f t="shared" si="148"/>
        <v>512</v>
      </c>
    </row>
    <row r="9520" spans="2:7" ht="15" hidden="1" x14ac:dyDescent="0.25">
      <c r="B9520" s="4">
        <v>584758473</v>
      </c>
      <c r="C9520" s="4" t="s">
        <v>269</v>
      </c>
      <c r="D9520" s="4">
        <v>144</v>
      </c>
      <c r="E9520" s="4">
        <v>57</v>
      </c>
      <c r="G9520">
        <f t="shared" si="148"/>
        <v>512</v>
      </c>
    </row>
    <row r="9521" spans="2:7" ht="15" hidden="1" x14ac:dyDescent="0.25">
      <c r="B9521" s="4">
        <v>584758474</v>
      </c>
      <c r="C9521" s="4" t="s">
        <v>269</v>
      </c>
      <c r="D9521" s="4">
        <v>145</v>
      </c>
      <c r="E9521" s="4">
        <v>57</v>
      </c>
      <c r="G9521">
        <f t="shared" si="148"/>
        <v>512</v>
      </c>
    </row>
    <row r="9522" spans="2:7" ht="15" hidden="1" x14ac:dyDescent="0.25">
      <c r="B9522" s="4">
        <v>584758475</v>
      </c>
      <c r="C9522" s="4" t="s">
        <v>269</v>
      </c>
      <c r="D9522" s="4">
        <v>146</v>
      </c>
      <c r="E9522" s="4">
        <v>57</v>
      </c>
      <c r="G9522">
        <f t="shared" si="148"/>
        <v>512</v>
      </c>
    </row>
    <row r="9523" spans="2:7" ht="15" hidden="1" x14ac:dyDescent="0.25">
      <c r="B9523" s="4">
        <v>584758476</v>
      </c>
      <c r="C9523" s="4" t="s">
        <v>269</v>
      </c>
      <c r="D9523" s="4">
        <v>147</v>
      </c>
      <c r="E9523" s="4">
        <v>57</v>
      </c>
      <c r="G9523">
        <f t="shared" si="148"/>
        <v>512</v>
      </c>
    </row>
    <row r="9524" spans="2:7" ht="15" hidden="1" x14ac:dyDescent="0.25">
      <c r="B9524" s="4">
        <v>584758477</v>
      </c>
      <c r="C9524" s="4" t="s">
        <v>269</v>
      </c>
      <c r="D9524" s="4">
        <v>148</v>
      </c>
      <c r="E9524" s="4">
        <v>57</v>
      </c>
      <c r="G9524">
        <f t="shared" si="148"/>
        <v>512</v>
      </c>
    </row>
    <row r="9525" spans="2:7" ht="15" hidden="1" x14ac:dyDescent="0.25">
      <c r="B9525" s="4">
        <v>584758478</v>
      </c>
      <c r="C9525" s="4" t="s">
        <v>269</v>
      </c>
      <c r="D9525" s="4">
        <v>149</v>
      </c>
      <c r="E9525" s="4">
        <v>57</v>
      </c>
      <c r="G9525">
        <f t="shared" si="148"/>
        <v>512</v>
      </c>
    </row>
    <row r="9526" spans="2:7" ht="15" hidden="1" x14ac:dyDescent="0.25">
      <c r="B9526" s="4">
        <v>584758478</v>
      </c>
      <c r="C9526" s="4" t="s">
        <v>272</v>
      </c>
      <c r="D9526" s="4">
        <v>3</v>
      </c>
      <c r="E9526" s="4">
        <v>209</v>
      </c>
      <c r="G9526">
        <f t="shared" si="148"/>
        <v>1728</v>
      </c>
    </row>
    <row r="9527" spans="2:7" ht="15" hidden="1" x14ac:dyDescent="0.25">
      <c r="B9527" s="4">
        <v>584758479</v>
      </c>
      <c r="C9527" s="4" t="s">
        <v>269</v>
      </c>
      <c r="D9527" s="4">
        <v>150</v>
      </c>
      <c r="E9527" s="4">
        <v>57</v>
      </c>
      <c r="G9527">
        <f t="shared" si="148"/>
        <v>512</v>
      </c>
    </row>
    <row r="9528" spans="2:7" ht="15" hidden="1" x14ac:dyDescent="0.25">
      <c r="B9528" s="4">
        <v>584758480</v>
      </c>
      <c r="C9528" s="4" t="s">
        <v>269</v>
      </c>
      <c r="D9528" s="4">
        <v>151</v>
      </c>
      <c r="E9528" s="4">
        <v>57</v>
      </c>
      <c r="G9528">
        <f t="shared" si="148"/>
        <v>512</v>
      </c>
    </row>
    <row r="9529" spans="2:7" ht="15" hidden="1" x14ac:dyDescent="0.25">
      <c r="B9529" s="4">
        <v>584758481</v>
      </c>
      <c r="C9529" s="4" t="s">
        <v>269</v>
      </c>
      <c r="D9529" s="4">
        <v>152</v>
      </c>
      <c r="E9529" s="4">
        <v>57</v>
      </c>
      <c r="G9529">
        <f t="shared" si="148"/>
        <v>512</v>
      </c>
    </row>
    <row r="9530" spans="2:7" ht="15" hidden="1" x14ac:dyDescent="0.25">
      <c r="B9530" s="4">
        <v>584758482</v>
      </c>
      <c r="C9530" s="4" t="s">
        <v>269</v>
      </c>
      <c r="D9530" s="4">
        <v>153</v>
      </c>
      <c r="E9530" s="4">
        <v>57</v>
      </c>
      <c r="G9530">
        <f t="shared" si="148"/>
        <v>512</v>
      </c>
    </row>
    <row r="9531" spans="2:7" ht="15" hidden="1" x14ac:dyDescent="0.25">
      <c r="B9531" s="4">
        <v>584758483</v>
      </c>
      <c r="C9531" s="4" t="s">
        <v>269</v>
      </c>
      <c r="D9531" s="4">
        <v>154</v>
      </c>
      <c r="E9531" s="4">
        <v>57</v>
      </c>
      <c r="G9531">
        <f t="shared" si="148"/>
        <v>512</v>
      </c>
    </row>
    <row r="9532" spans="2:7" ht="15" hidden="1" x14ac:dyDescent="0.25">
      <c r="B9532" s="4">
        <v>584758484</v>
      </c>
      <c r="C9532" s="4" t="s">
        <v>269</v>
      </c>
      <c r="D9532" s="4">
        <v>155</v>
      </c>
      <c r="E9532" s="4">
        <v>57</v>
      </c>
      <c r="G9532">
        <f t="shared" si="148"/>
        <v>512</v>
      </c>
    </row>
    <row r="9533" spans="2:7" ht="15" hidden="1" x14ac:dyDescent="0.25">
      <c r="B9533" s="4">
        <v>584758485</v>
      </c>
      <c r="C9533" s="4" t="s">
        <v>269</v>
      </c>
      <c r="D9533" s="4">
        <v>156</v>
      </c>
      <c r="E9533" s="4">
        <v>57</v>
      </c>
      <c r="G9533">
        <f t="shared" si="148"/>
        <v>512</v>
      </c>
    </row>
    <row r="9534" spans="2:7" ht="15" hidden="1" x14ac:dyDescent="0.25">
      <c r="B9534" s="4">
        <v>584758486</v>
      </c>
      <c r="C9534" s="4" t="s">
        <v>269</v>
      </c>
      <c r="D9534" s="4">
        <v>157</v>
      </c>
      <c r="E9534" s="4">
        <v>57</v>
      </c>
      <c r="G9534">
        <f t="shared" si="148"/>
        <v>512</v>
      </c>
    </row>
    <row r="9535" spans="2:7" ht="15" hidden="1" x14ac:dyDescent="0.25">
      <c r="B9535" s="4">
        <v>584758487</v>
      </c>
      <c r="C9535" s="4" t="s">
        <v>269</v>
      </c>
      <c r="D9535" s="4">
        <v>158</v>
      </c>
      <c r="E9535" s="4">
        <v>57</v>
      </c>
      <c r="G9535">
        <f t="shared" si="148"/>
        <v>512</v>
      </c>
    </row>
    <row r="9536" spans="2:7" ht="15" hidden="1" x14ac:dyDescent="0.25">
      <c r="B9536" s="4">
        <v>584758488</v>
      </c>
      <c r="C9536" s="4" t="s">
        <v>269</v>
      </c>
      <c r="D9536" s="4">
        <v>159</v>
      </c>
      <c r="E9536" s="4">
        <v>57</v>
      </c>
      <c r="G9536">
        <f t="shared" si="148"/>
        <v>512</v>
      </c>
    </row>
    <row r="9537" spans="2:7" ht="15" hidden="1" x14ac:dyDescent="0.25">
      <c r="B9537" s="4">
        <v>584758488</v>
      </c>
      <c r="C9537" s="4" t="s">
        <v>272</v>
      </c>
      <c r="D9537" s="4">
        <v>4</v>
      </c>
      <c r="E9537" s="4">
        <v>211</v>
      </c>
      <c r="G9537">
        <f t="shared" si="148"/>
        <v>1744</v>
      </c>
    </row>
    <row r="9538" spans="2:7" ht="15" hidden="1" x14ac:dyDescent="0.25">
      <c r="B9538" s="4">
        <v>584758489</v>
      </c>
      <c r="C9538" s="4" t="s">
        <v>269</v>
      </c>
      <c r="D9538" s="4">
        <v>160</v>
      </c>
      <c r="E9538" s="4">
        <v>57</v>
      </c>
      <c r="G9538">
        <f t="shared" si="148"/>
        <v>512</v>
      </c>
    </row>
    <row r="9539" spans="2:7" ht="15" hidden="1" x14ac:dyDescent="0.25">
      <c r="B9539" s="4">
        <v>584758490</v>
      </c>
      <c r="C9539" s="4" t="s">
        <v>269</v>
      </c>
      <c r="D9539" s="4">
        <v>161</v>
      </c>
      <c r="E9539" s="4">
        <v>57</v>
      </c>
      <c r="G9539">
        <f t="shared" si="148"/>
        <v>512</v>
      </c>
    </row>
    <row r="9540" spans="2:7" ht="15" hidden="1" x14ac:dyDescent="0.25">
      <c r="B9540" s="4">
        <v>584758491</v>
      </c>
      <c r="C9540" s="4" t="s">
        <v>269</v>
      </c>
      <c r="D9540" s="4">
        <v>162</v>
      </c>
      <c r="E9540" s="4">
        <v>57</v>
      </c>
      <c r="G9540">
        <f t="shared" ref="G9540:G9603" si="149">(E9540+7)*8</f>
        <v>512</v>
      </c>
    </row>
    <row r="9541" spans="2:7" ht="15" hidden="1" x14ac:dyDescent="0.25">
      <c r="B9541" s="4">
        <v>584758492</v>
      </c>
      <c r="C9541" s="4" t="s">
        <v>268</v>
      </c>
      <c r="D9541" s="4">
        <v>130</v>
      </c>
      <c r="E9541" s="4">
        <v>6</v>
      </c>
      <c r="G9541">
        <f t="shared" si="149"/>
        <v>104</v>
      </c>
    </row>
    <row r="9542" spans="2:7" ht="15" hidden="1" x14ac:dyDescent="0.25">
      <c r="B9542" s="4">
        <v>584758492</v>
      </c>
      <c r="C9542" s="4" t="s">
        <v>268</v>
      </c>
      <c r="D9542" s="4">
        <v>130</v>
      </c>
      <c r="E9542" s="4">
        <v>6</v>
      </c>
      <c r="G9542">
        <f t="shared" si="149"/>
        <v>104</v>
      </c>
    </row>
    <row r="9543" spans="2:7" ht="15" hidden="1" x14ac:dyDescent="0.25">
      <c r="B9543" s="4">
        <v>584758492</v>
      </c>
      <c r="C9543" s="4" t="s">
        <v>268</v>
      </c>
      <c r="D9543" s="4">
        <v>131</v>
      </c>
      <c r="E9543" s="4">
        <v>9</v>
      </c>
      <c r="G9543">
        <f t="shared" si="149"/>
        <v>128</v>
      </c>
    </row>
    <row r="9544" spans="2:7" ht="15" hidden="1" x14ac:dyDescent="0.25">
      <c r="B9544" s="4">
        <v>584758492</v>
      </c>
      <c r="C9544" s="4" t="s">
        <v>268</v>
      </c>
      <c r="D9544" s="4">
        <v>131</v>
      </c>
      <c r="E9544" s="4">
        <v>9</v>
      </c>
      <c r="G9544">
        <f t="shared" si="149"/>
        <v>128</v>
      </c>
    </row>
    <row r="9545" spans="2:7" ht="15" hidden="1" x14ac:dyDescent="0.25">
      <c r="B9545" s="4">
        <v>584758492</v>
      </c>
      <c r="C9545" s="4" t="s">
        <v>268</v>
      </c>
      <c r="D9545" s="4">
        <v>132</v>
      </c>
      <c r="E9545" s="4">
        <v>7</v>
      </c>
      <c r="G9545">
        <f t="shared" si="149"/>
        <v>112</v>
      </c>
    </row>
    <row r="9546" spans="2:7" ht="15" hidden="1" x14ac:dyDescent="0.25">
      <c r="B9546" s="4">
        <v>584758492</v>
      </c>
      <c r="C9546" s="4" t="s">
        <v>268</v>
      </c>
      <c r="D9546" s="4">
        <v>132</v>
      </c>
      <c r="E9546" s="4">
        <v>7</v>
      </c>
      <c r="G9546">
        <f t="shared" si="149"/>
        <v>112</v>
      </c>
    </row>
    <row r="9547" spans="2:7" ht="15" hidden="1" x14ac:dyDescent="0.25">
      <c r="B9547" s="4">
        <v>584758492</v>
      </c>
      <c r="C9547" s="4" t="s">
        <v>268</v>
      </c>
      <c r="D9547" s="4">
        <v>133</v>
      </c>
      <c r="E9547" s="4">
        <v>7</v>
      </c>
      <c r="G9547">
        <f t="shared" si="149"/>
        <v>112</v>
      </c>
    </row>
    <row r="9548" spans="2:7" ht="15" hidden="1" x14ac:dyDescent="0.25">
      <c r="B9548" s="4">
        <v>584758492</v>
      </c>
      <c r="C9548" s="4" t="s">
        <v>268</v>
      </c>
      <c r="D9548" s="4">
        <v>133</v>
      </c>
      <c r="E9548" s="4">
        <v>7</v>
      </c>
      <c r="G9548">
        <f t="shared" si="149"/>
        <v>112</v>
      </c>
    </row>
    <row r="9549" spans="2:7" ht="15" hidden="1" x14ac:dyDescent="0.25">
      <c r="B9549" s="4">
        <v>584758492</v>
      </c>
      <c r="C9549" s="4" t="s">
        <v>268</v>
      </c>
      <c r="D9549" s="4">
        <v>134</v>
      </c>
      <c r="E9549" s="4">
        <v>7</v>
      </c>
      <c r="G9549">
        <f t="shared" si="149"/>
        <v>112</v>
      </c>
    </row>
    <row r="9550" spans="2:7" ht="15" hidden="1" x14ac:dyDescent="0.25">
      <c r="B9550" s="4">
        <v>584758492</v>
      </c>
      <c r="C9550" s="4" t="s">
        <v>268</v>
      </c>
      <c r="D9550" s="4">
        <v>134</v>
      </c>
      <c r="E9550" s="4">
        <v>7</v>
      </c>
      <c r="G9550">
        <f t="shared" si="149"/>
        <v>112</v>
      </c>
    </row>
    <row r="9551" spans="2:7" ht="15" hidden="1" x14ac:dyDescent="0.25">
      <c r="B9551" s="4">
        <v>584758492</v>
      </c>
      <c r="C9551" s="4" t="s">
        <v>269</v>
      </c>
      <c r="D9551" s="4">
        <v>163</v>
      </c>
      <c r="E9551" s="4">
        <v>57</v>
      </c>
      <c r="G9551">
        <f t="shared" si="149"/>
        <v>512</v>
      </c>
    </row>
    <row r="9552" spans="2:7" ht="15" hidden="1" x14ac:dyDescent="0.25">
      <c r="B9552" s="4">
        <v>584758493</v>
      </c>
      <c r="C9552" s="4" t="s">
        <v>269</v>
      </c>
      <c r="D9552" s="4">
        <v>164</v>
      </c>
      <c r="E9552" s="4">
        <v>57</v>
      </c>
      <c r="G9552">
        <f t="shared" si="149"/>
        <v>512</v>
      </c>
    </row>
    <row r="9553" spans="2:7" ht="15" hidden="1" x14ac:dyDescent="0.25">
      <c r="B9553" s="4">
        <v>584758494</v>
      </c>
      <c r="C9553" s="4" t="s">
        <v>268</v>
      </c>
      <c r="D9553" s="4">
        <v>135</v>
      </c>
      <c r="E9553" s="4">
        <v>7</v>
      </c>
      <c r="G9553">
        <f t="shared" si="149"/>
        <v>112</v>
      </c>
    </row>
    <row r="9554" spans="2:7" ht="15" hidden="1" x14ac:dyDescent="0.25">
      <c r="B9554" s="4">
        <v>584758494</v>
      </c>
      <c r="C9554" s="4" t="s">
        <v>268</v>
      </c>
      <c r="D9554" s="4">
        <v>135</v>
      </c>
      <c r="E9554" s="4">
        <v>7</v>
      </c>
      <c r="G9554">
        <f t="shared" si="149"/>
        <v>112</v>
      </c>
    </row>
    <row r="9555" spans="2:7" ht="15" hidden="1" x14ac:dyDescent="0.25">
      <c r="B9555" s="4">
        <v>584758494</v>
      </c>
      <c r="C9555" s="4" t="s">
        <v>268</v>
      </c>
      <c r="D9555" s="4">
        <v>136</v>
      </c>
      <c r="E9555" s="4">
        <v>5</v>
      </c>
      <c r="G9555">
        <f t="shared" si="149"/>
        <v>96</v>
      </c>
    </row>
    <row r="9556" spans="2:7" ht="15" hidden="1" x14ac:dyDescent="0.25">
      <c r="B9556" s="4">
        <v>584758494</v>
      </c>
      <c r="C9556" s="4" t="s">
        <v>268</v>
      </c>
      <c r="D9556" s="4">
        <v>136</v>
      </c>
      <c r="E9556" s="4">
        <v>5</v>
      </c>
      <c r="G9556">
        <f t="shared" si="149"/>
        <v>96</v>
      </c>
    </row>
    <row r="9557" spans="2:7" ht="15" hidden="1" x14ac:dyDescent="0.25">
      <c r="B9557" s="4">
        <v>584758494</v>
      </c>
      <c r="C9557" s="4" t="s">
        <v>268</v>
      </c>
      <c r="D9557" s="4">
        <v>137</v>
      </c>
      <c r="E9557" s="4">
        <v>7</v>
      </c>
      <c r="G9557">
        <f t="shared" si="149"/>
        <v>112</v>
      </c>
    </row>
    <row r="9558" spans="2:7" ht="15" hidden="1" x14ac:dyDescent="0.25">
      <c r="B9558" s="4">
        <v>584758494</v>
      </c>
      <c r="C9558" s="4" t="s">
        <v>268</v>
      </c>
      <c r="D9558" s="4">
        <v>137</v>
      </c>
      <c r="E9558" s="4">
        <v>7</v>
      </c>
      <c r="G9558">
        <f t="shared" si="149"/>
        <v>112</v>
      </c>
    </row>
    <row r="9559" spans="2:7" ht="15" hidden="1" x14ac:dyDescent="0.25">
      <c r="B9559" s="4">
        <v>584758494</v>
      </c>
      <c r="C9559" s="4" t="s">
        <v>269</v>
      </c>
      <c r="D9559" s="4">
        <v>165</v>
      </c>
      <c r="E9559" s="4">
        <v>57</v>
      </c>
      <c r="G9559">
        <f t="shared" si="149"/>
        <v>512</v>
      </c>
    </row>
    <row r="9560" spans="2:7" ht="15" hidden="1" x14ac:dyDescent="0.25">
      <c r="B9560" s="4">
        <v>584758495</v>
      </c>
      <c r="C9560" s="4" t="s">
        <v>269</v>
      </c>
      <c r="D9560" s="4">
        <v>166</v>
      </c>
      <c r="E9560" s="4">
        <v>57</v>
      </c>
      <c r="G9560">
        <f t="shared" si="149"/>
        <v>512</v>
      </c>
    </row>
    <row r="9561" spans="2:7" ht="15" hidden="1" x14ac:dyDescent="0.25">
      <c r="B9561" s="4">
        <v>584758496</v>
      </c>
      <c r="C9561" s="4" t="s">
        <v>269</v>
      </c>
      <c r="D9561" s="4">
        <v>167</v>
      </c>
      <c r="E9561" s="4">
        <v>57</v>
      </c>
      <c r="G9561">
        <f t="shared" si="149"/>
        <v>512</v>
      </c>
    </row>
    <row r="9562" spans="2:7" ht="15" hidden="1" x14ac:dyDescent="0.25">
      <c r="B9562" s="4">
        <v>584758497</v>
      </c>
      <c r="C9562" s="4" t="s">
        <v>269</v>
      </c>
      <c r="D9562" s="4">
        <v>168</v>
      </c>
      <c r="E9562" s="4">
        <v>57</v>
      </c>
      <c r="G9562">
        <f t="shared" si="149"/>
        <v>512</v>
      </c>
    </row>
    <row r="9563" spans="2:7" ht="15" hidden="1" x14ac:dyDescent="0.25">
      <c r="B9563" s="4">
        <v>584758498</v>
      </c>
      <c r="C9563" s="4" t="s">
        <v>269</v>
      </c>
      <c r="D9563" s="4">
        <v>169</v>
      </c>
      <c r="E9563" s="4">
        <v>57</v>
      </c>
      <c r="G9563">
        <f t="shared" si="149"/>
        <v>512</v>
      </c>
    </row>
    <row r="9564" spans="2:7" ht="15" hidden="1" x14ac:dyDescent="0.25">
      <c r="B9564" s="4">
        <v>584758498</v>
      </c>
      <c r="C9564" s="4" t="s">
        <v>272</v>
      </c>
      <c r="D9564" s="4">
        <v>5</v>
      </c>
      <c r="E9564" s="4">
        <v>215</v>
      </c>
      <c r="G9564">
        <f t="shared" si="149"/>
        <v>1776</v>
      </c>
    </row>
    <row r="9565" spans="2:7" ht="15" hidden="1" x14ac:dyDescent="0.25">
      <c r="B9565" s="4">
        <v>584758499</v>
      </c>
      <c r="C9565" s="4" t="s">
        <v>269</v>
      </c>
      <c r="D9565" s="4">
        <v>170</v>
      </c>
      <c r="E9565" s="4">
        <v>57</v>
      </c>
      <c r="G9565">
        <f t="shared" si="149"/>
        <v>512</v>
      </c>
    </row>
    <row r="9566" spans="2:7" ht="15" hidden="1" x14ac:dyDescent="0.25">
      <c r="B9566" s="4">
        <v>584758500</v>
      </c>
      <c r="C9566" s="4" t="s">
        <v>269</v>
      </c>
      <c r="D9566" s="4">
        <v>171</v>
      </c>
      <c r="E9566" s="4">
        <v>57</v>
      </c>
      <c r="G9566">
        <f t="shared" si="149"/>
        <v>512</v>
      </c>
    </row>
    <row r="9567" spans="2:7" ht="15" hidden="1" x14ac:dyDescent="0.25">
      <c r="B9567" s="4">
        <v>584758501</v>
      </c>
      <c r="C9567" s="4" t="s">
        <v>269</v>
      </c>
      <c r="D9567" s="4">
        <v>172</v>
      </c>
      <c r="E9567" s="4">
        <v>57</v>
      </c>
      <c r="G9567">
        <f t="shared" si="149"/>
        <v>512</v>
      </c>
    </row>
    <row r="9568" spans="2:7" ht="15" hidden="1" x14ac:dyDescent="0.25">
      <c r="B9568" s="4">
        <v>584758502</v>
      </c>
      <c r="C9568" s="4" t="s">
        <v>269</v>
      </c>
      <c r="D9568" s="4">
        <v>173</v>
      </c>
      <c r="E9568" s="4">
        <v>57</v>
      </c>
      <c r="G9568">
        <f t="shared" si="149"/>
        <v>512</v>
      </c>
    </row>
    <row r="9569" spans="2:7" ht="15" hidden="1" x14ac:dyDescent="0.25">
      <c r="B9569" s="4">
        <v>584758503</v>
      </c>
      <c r="C9569" s="4" t="s">
        <v>269</v>
      </c>
      <c r="D9569" s="4">
        <v>174</v>
      </c>
      <c r="E9569" s="4">
        <v>57</v>
      </c>
      <c r="G9569">
        <f t="shared" si="149"/>
        <v>512</v>
      </c>
    </row>
    <row r="9570" spans="2:7" ht="15" hidden="1" x14ac:dyDescent="0.25">
      <c r="B9570" s="4">
        <v>584758504</v>
      </c>
      <c r="C9570" s="4" t="s">
        <v>269</v>
      </c>
      <c r="D9570" s="4">
        <v>175</v>
      </c>
      <c r="E9570" s="4">
        <v>57</v>
      </c>
      <c r="G9570">
        <f t="shared" si="149"/>
        <v>512</v>
      </c>
    </row>
    <row r="9571" spans="2:7" ht="15" hidden="1" x14ac:dyDescent="0.25">
      <c r="B9571" s="4">
        <v>584758505</v>
      </c>
      <c r="C9571" s="4" t="s">
        <v>269</v>
      </c>
      <c r="D9571" s="4">
        <v>176</v>
      </c>
      <c r="E9571" s="4">
        <v>57</v>
      </c>
      <c r="G9571">
        <f t="shared" si="149"/>
        <v>512</v>
      </c>
    </row>
    <row r="9572" spans="2:7" ht="15" hidden="1" x14ac:dyDescent="0.25">
      <c r="B9572" s="4">
        <v>584758506</v>
      </c>
      <c r="C9572" s="4" t="s">
        <v>269</v>
      </c>
      <c r="D9572" s="4">
        <v>177</v>
      </c>
      <c r="E9572" s="4">
        <v>57</v>
      </c>
      <c r="G9572">
        <f t="shared" si="149"/>
        <v>512</v>
      </c>
    </row>
    <row r="9573" spans="2:7" ht="15" hidden="1" x14ac:dyDescent="0.25">
      <c r="B9573" s="4">
        <v>584758507</v>
      </c>
      <c r="C9573" s="4" t="s">
        <v>269</v>
      </c>
      <c r="D9573" s="4">
        <v>178</v>
      </c>
      <c r="E9573" s="4">
        <v>57</v>
      </c>
      <c r="G9573">
        <f t="shared" si="149"/>
        <v>512</v>
      </c>
    </row>
    <row r="9574" spans="2:7" ht="15" hidden="1" x14ac:dyDescent="0.25">
      <c r="B9574" s="4">
        <v>584758508</v>
      </c>
      <c r="C9574" s="4" t="s">
        <v>269</v>
      </c>
      <c r="D9574" s="4">
        <v>179</v>
      </c>
      <c r="E9574" s="4">
        <v>57</v>
      </c>
      <c r="G9574">
        <f t="shared" si="149"/>
        <v>512</v>
      </c>
    </row>
    <row r="9575" spans="2:7" ht="15" hidden="1" x14ac:dyDescent="0.25">
      <c r="B9575" s="4">
        <v>584758508</v>
      </c>
      <c r="C9575" s="4" t="s">
        <v>272</v>
      </c>
      <c r="D9575" s="4">
        <v>6</v>
      </c>
      <c r="E9575" s="4">
        <v>211</v>
      </c>
      <c r="G9575">
        <f t="shared" si="149"/>
        <v>1744</v>
      </c>
    </row>
    <row r="9576" spans="2:7" ht="15" hidden="1" x14ac:dyDescent="0.25">
      <c r="B9576" s="4">
        <v>584758509</v>
      </c>
      <c r="C9576" s="4" t="s">
        <v>269</v>
      </c>
      <c r="D9576" s="4">
        <v>180</v>
      </c>
      <c r="E9576" s="4">
        <v>57</v>
      </c>
      <c r="G9576">
        <f t="shared" si="149"/>
        <v>512</v>
      </c>
    </row>
    <row r="9577" spans="2:7" ht="15" hidden="1" x14ac:dyDescent="0.25">
      <c r="B9577" s="4">
        <v>584758510</v>
      </c>
      <c r="C9577" s="4" t="s">
        <v>269</v>
      </c>
      <c r="D9577" s="4">
        <v>181</v>
      </c>
      <c r="E9577" s="4">
        <v>57</v>
      </c>
      <c r="G9577">
        <f t="shared" si="149"/>
        <v>512</v>
      </c>
    </row>
    <row r="9578" spans="2:7" ht="15" hidden="1" x14ac:dyDescent="0.25">
      <c r="B9578" s="4">
        <v>584758511</v>
      </c>
      <c r="C9578" s="4" t="s">
        <v>269</v>
      </c>
      <c r="D9578" s="4">
        <v>182</v>
      </c>
      <c r="E9578" s="4">
        <v>57</v>
      </c>
      <c r="G9578">
        <f t="shared" si="149"/>
        <v>512</v>
      </c>
    </row>
    <row r="9579" spans="2:7" ht="15" hidden="1" x14ac:dyDescent="0.25">
      <c r="B9579" s="4">
        <v>584758512</v>
      </c>
      <c r="C9579" s="4" t="s">
        <v>269</v>
      </c>
      <c r="D9579" s="4">
        <v>183</v>
      </c>
      <c r="E9579" s="4">
        <v>57</v>
      </c>
      <c r="G9579">
        <f t="shared" si="149"/>
        <v>512</v>
      </c>
    </row>
    <row r="9580" spans="2:7" ht="15" hidden="1" x14ac:dyDescent="0.25">
      <c r="B9580" s="4">
        <v>584758513</v>
      </c>
      <c r="C9580" s="4" t="s">
        <v>269</v>
      </c>
      <c r="D9580" s="4">
        <v>184</v>
      </c>
      <c r="E9580" s="4">
        <v>57</v>
      </c>
      <c r="G9580">
        <f t="shared" si="149"/>
        <v>512</v>
      </c>
    </row>
    <row r="9581" spans="2:7" ht="15" hidden="1" x14ac:dyDescent="0.25">
      <c r="B9581" s="4">
        <v>584758514</v>
      </c>
      <c r="C9581" s="4" t="s">
        <v>269</v>
      </c>
      <c r="D9581" s="4">
        <v>185</v>
      </c>
      <c r="E9581" s="4">
        <v>57</v>
      </c>
      <c r="G9581">
        <f t="shared" si="149"/>
        <v>512</v>
      </c>
    </row>
    <row r="9582" spans="2:7" ht="15" hidden="1" x14ac:dyDescent="0.25">
      <c r="B9582" s="4">
        <v>584758515</v>
      </c>
      <c r="C9582" s="4" t="s">
        <v>269</v>
      </c>
      <c r="D9582" s="4">
        <v>186</v>
      </c>
      <c r="E9582" s="4">
        <v>57</v>
      </c>
      <c r="G9582">
        <f t="shared" si="149"/>
        <v>512</v>
      </c>
    </row>
    <row r="9583" spans="2:7" ht="15" hidden="1" x14ac:dyDescent="0.25">
      <c r="B9583" s="4">
        <v>584758516</v>
      </c>
      <c r="C9583" s="4" t="s">
        <v>269</v>
      </c>
      <c r="D9583" s="4">
        <v>187</v>
      </c>
      <c r="E9583" s="4">
        <v>57</v>
      </c>
      <c r="G9583">
        <f t="shared" si="149"/>
        <v>512</v>
      </c>
    </row>
    <row r="9584" spans="2:7" ht="15" hidden="1" x14ac:dyDescent="0.25">
      <c r="B9584" s="4">
        <v>584758517</v>
      </c>
      <c r="C9584" s="4" t="s">
        <v>269</v>
      </c>
      <c r="D9584" s="4">
        <v>188</v>
      </c>
      <c r="E9584" s="4">
        <v>57</v>
      </c>
      <c r="G9584">
        <f t="shared" si="149"/>
        <v>512</v>
      </c>
    </row>
    <row r="9585" spans="2:7" ht="15" hidden="1" x14ac:dyDescent="0.25">
      <c r="B9585" s="4">
        <v>584758518</v>
      </c>
      <c r="C9585" s="4" t="s">
        <v>269</v>
      </c>
      <c r="D9585" s="4">
        <v>189</v>
      </c>
      <c r="E9585" s="4">
        <v>57</v>
      </c>
      <c r="G9585">
        <f t="shared" si="149"/>
        <v>512</v>
      </c>
    </row>
    <row r="9586" spans="2:7" ht="15" hidden="1" x14ac:dyDescent="0.25">
      <c r="B9586" s="4">
        <v>584758518</v>
      </c>
      <c r="C9586" s="4" t="s">
        <v>272</v>
      </c>
      <c r="D9586" s="4">
        <v>7</v>
      </c>
      <c r="E9586" s="4">
        <v>211</v>
      </c>
      <c r="G9586">
        <f t="shared" si="149"/>
        <v>1744</v>
      </c>
    </row>
    <row r="9587" spans="2:7" ht="15" hidden="1" x14ac:dyDescent="0.25">
      <c r="B9587" s="4">
        <v>584758519</v>
      </c>
      <c r="C9587" s="4" t="s">
        <v>269</v>
      </c>
      <c r="D9587" s="4">
        <v>190</v>
      </c>
      <c r="E9587" s="4">
        <v>57</v>
      </c>
      <c r="G9587">
        <f t="shared" si="149"/>
        <v>512</v>
      </c>
    </row>
    <row r="9588" spans="2:7" ht="15" hidden="1" x14ac:dyDescent="0.25">
      <c r="B9588" s="4">
        <v>584758520</v>
      </c>
      <c r="C9588" s="4" t="s">
        <v>269</v>
      </c>
      <c r="D9588" s="4">
        <v>191</v>
      </c>
      <c r="E9588" s="4">
        <v>57</v>
      </c>
      <c r="G9588">
        <f t="shared" si="149"/>
        <v>512</v>
      </c>
    </row>
    <row r="9589" spans="2:7" ht="15" hidden="1" x14ac:dyDescent="0.25">
      <c r="B9589" s="4">
        <v>584758521</v>
      </c>
      <c r="C9589" s="4" t="s">
        <v>269</v>
      </c>
      <c r="D9589" s="4">
        <v>192</v>
      </c>
      <c r="E9589" s="4">
        <v>57</v>
      </c>
      <c r="G9589">
        <f t="shared" si="149"/>
        <v>512</v>
      </c>
    </row>
    <row r="9590" spans="2:7" ht="15" hidden="1" x14ac:dyDescent="0.25">
      <c r="B9590" s="4">
        <v>584758522</v>
      </c>
      <c r="C9590" s="4" t="s">
        <v>269</v>
      </c>
      <c r="D9590" s="4">
        <v>193</v>
      </c>
      <c r="E9590" s="4">
        <v>57</v>
      </c>
      <c r="G9590">
        <f t="shared" si="149"/>
        <v>512</v>
      </c>
    </row>
    <row r="9591" spans="2:7" ht="15" hidden="1" x14ac:dyDescent="0.25">
      <c r="B9591" s="4">
        <v>584758523</v>
      </c>
      <c r="C9591" s="4" t="s">
        <v>269</v>
      </c>
      <c r="D9591" s="4">
        <v>194</v>
      </c>
      <c r="E9591" s="4">
        <v>57</v>
      </c>
      <c r="G9591">
        <f t="shared" si="149"/>
        <v>512</v>
      </c>
    </row>
    <row r="9592" spans="2:7" ht="15" hidden="1" x14ac:dyDescent="0.25">
      <c r="B9592" s="4">
        <v>584758524</v>
      </c>
      <c r="C9592" s="4" t="s">
        <v>268</v>
      </c>
      <c r="D9592" s="4">
        <v>138</v>
      </c>
      <c r="E9592" s="4">
        <v>6</v>
      </c>
      <c r="G9592">
        <f t="shared" si="149"/>
        <v>104</v>
      </c>
    </row>
    <row r="9593" spans="2:7" ht="15" hidden="1" x14ac:dyDescent="0.25">
      <c r="B9593" s="4">
        <v>584758524</v>
      </c>
      <c r="C9593" s="4" t="s">
        <v>268</v>
      </c>
      <c r="D9593" s="4">
        <v>138</v>
      </c>
      <c r="E9593" s="4">
        <v>6</v>
      </c>
      <c r="G9593">
        <f t="shared" si="149"/>
        <v>104</v>
      </c>
    </row>
    <row r="9594" spans="2:7" ht="15" hidden="1" x14ac:dyDescent="0.25">
      <c r="B9594" s="4">
        <v>584758524</v>
      </c>
      <c r="C9594" s="4" t="s">
        <v>268</v>
      </c>
      <c r="D9594" s="4">
        <v>139</v>
      </c>
      <c r="E9594" s="4">
        <v>9</v>
      </c>
      <c r="G9594">
        <f t="shared" si="149"/>
        <v>128</v>
      </c>
    </row>
    <row r="9595" spans="2:7" ht="15" hidden="1" x14ac:dyDescent="0.25">
      <c r="B9595" s="4">
        <v>584758524</v>
      </c>
      <c r="C9595" s="4" t="s">
        <v>268</v>
      </c>
      <c r="D9595" s="4">
        <v>139</v>
      </c>
      <c r="E9595" s="4">
        <v>9</v>
      </c>
      <c r="G9595">
        <f t="shared" si="149"/>
        <v>128</v>
      </c>
    </row>
    <row r="9596" spans="2:7" ht="15" hidden="1" x14ac:dyDescent="0.25">
      <c r="B9596" s="4">
        <v>584758524</v>
      </c>
      <c r="C9596" s="4" t="s">
        <v>268</v>
      </c>
      <c r="D9596" s="4">
        <v>140</v>
      </c>
      <c r="E9596" s="4">
        <v>7</v>
      </c>
      <c r="G9596">
        <f t="shared" si="149"/>
        <v>112</v>
      </c>
    </row>
    <row r="9597" spans="2:7" ht="15" hidden="1" x14ac:dyDescent="0.25">
      <c r="B9597" s="4">
        <v>584758524</v>
      </c>
      <c r="C9597" s="4" t="s">
        <v>268</v>
      </c>
      <c r="D9597" s="4">
        <v>140</v>
      </c>
      <c r="E9597" s="4">
        <v>7</v>
      </c>
      <c r="G9597">
        <f t="shared" si="149"/>
        <v>112</v>
      </c>
    </row>
    <row r="9598" spans="2:7" ht="15" hidden="1" x14ac:dyDescent="0.25">
      <c r="B9598" s="4">
        <v>584758524</v>
      </c>
      <c r="C9598" s="4" t="s">
        <v>268</v>
      </c>
      <c r="D9598" s="4">
        <v>141</v>
      </c>
      <c r="E9598" s="4">
        <v>7</v>
      </c>
      <c r="G9598">
        <f t="shared" si="149"/>
        <v>112</v>
      </c>
    </row>
    <row r="9599" spans="2:7" ht="15" hidden="1" x14ac:dyDescent="0.25">
      <c r="B9599" s="4">
        <v>584758524</v>
      </c>
      <c r="C9599" s="4" t="s">
        <v>268</v>
      </c>
      <c r="D9599" s="4">
        <v>141</v>
      </c>
      <c r="E9599" s="4">
        <v>7</v>
      </c>
      <c r="G9599">
        <f t="shared" si="149"/>
        <v>112</v>
      </c>
    </row>
    <row r="9600" spans="2:7" ht="15" hidden="1" x14ac:dyDescent="0.25">
      <c r="B9600" s="4">
        <v>584758524</v>
      </c>
      <c r="C9600" s="4" t="s">
        <v>268</v>
      </c>
      <c r="D9600" s="4">
        <v>142</v>
      </c>
      <c r="E9600" s="4">
        <v>7</v>
      </c>
      <c r="G9600">
        <f t="shared" si="149"/>
        <v>112</v>
      </c>
    </row>
    <row r="9601" spans="2:7" ht="15" hidden="1" x14ac:dyDescent="0.25">
      <c r="B9601" s="4">
        <v>584758524</v>
      </c>
      <c r="C9601" s="4" t="s">
        <v>268</v>
      </c>
      <c r="D9601" s="4">
        <v>142</v>
      </c>
      <c r="E9601" s="4">
        <v>7</v>
      </c>
      <c r="G9601">
        <f t="shared" si="149"/>
        <v>112</v>
      </c>
    </row>
    <row r="9602" spans="2:7" ht="15" hidden="1" x14ac:dyDescent="0.25">
      <c r="B9602" s="4">
        <v>584758524</v>
      </c>
      <c r="C9602" s="4" t="s">
        <v>269</v>
      </c>
      <c r="D9602" s="4">
        <v>195</v>
      </c>
      <c r="E9602" s="4">
        <v>57</v>
      </c>
      <c r="G9602">
        <f t="shared" si="149"/>
        <v>512</v>
      </c>
    </row>
    <row r="9603" spans="2:7" ht="15" hidden="1" x14ac:dyDescent="0.25">
      <c r="B9603" s="4">
        <v>584758525</v>
      </c>
      <c r="C9603" s="4" t="s">
        <v>269</v>
      </c>
      <c r="D9603" s="4">
        <v>196</v>
      </c>
      <c r="E9603" s="4">
        <v>57</v>
      </c>
      <c r="G9603">
        <f t="shared" si="149"/>
        <v>512</v>
      </c>
    </row>
    <row r="9604" spans="2:7" ht="15" hidden="1" x14ac:dyDescent="0.25">
      <c r="B9604" s="4">
        <v>584758526</v>
      </c>
      <c r="C9604" s="4" t="s">
        <v>268</v>
      </c>
      <c r="D9604" s="4">
        <v>143</v>
      </c>
      <c r="E9604" s="4">
        <v>7</v>
      </c>
      <c r="G9604">
        <f t="shared" ref="G9604:G9667" si="150">(E9604+7)*8</f>
        <v>112</v>
      </c>
    </row>
    <row r="9605" spans="2:7" ht="15" hidden="1" x14ac:dyDescent="0.25">
      <c r="B9605" s="4">
        <v>584758526</v>
      </c>
      <c r="C9605" s="4" t="s">
        <v>268</v>
      </c>
      <c r="D9605" s="4">
        <v>143</v>
      </c>
      <c r="E9605" s="4">
        <v>7</v>
      </c>
      <c r="G9605">
        <f t="shared" si="150"/>
        <v>112</v>
      </c>
    </row>
    <row r="9606" spans="2:7" ht="15" hidden="1" x14ac:dyDescent="0.25">
      <c r="B9606" s="4">
        <v>584758526</v>
      </c>
      <c r="C9606" s="4" t="s">
        <v>268</v>
      </c>
      <c r="D9606" s="4">
        <v>144</v>
      </c>
      <c r="E9606" s="4">
        <v>5</v>
      </c>
      <c r="G9606">
        <f t="shared" si="150"/>
        <v>96</v>
      </c>
    </row>
    <row r="9607" spans="2:7" ht="15" hidden="1" x14ac:dyDescent="0.25">
      <c r="B9607" s="4">
        <v>584758526</v>
      </c>
      <c r="C9607" s="4" t="s">
        <v>268</v>
      </c>
      <c r="D9607" s="4">
        <v>144</v>
      </c>
      <c r="E9607" s="4">
        <v>5</v>
      </c>
      <c r="G9607">
        <f t="shared" si="150"/>
        <v>96</v>
      </c>
    </row>
    <row r="9608" spans="2:7" ht="15" hidden="1" x14ac:dyDescent="0.25">
      <c r="B9608" s="4">
        <v>584758526</v>
      </c>
      <c r="C9608" s="4" t="s">
        <v>268</v>
      </c>
      <c r="D9608" s="4">
        <v>145</v>
      </c>
      <c r="E9608" s="4">
        <v>7</v>
      </c>
      <c r="G9608">
        <f t="shared" si="150"/>
        <v>112</v>
      </c>
    </row>
    <row r="9609" spans="2:7" ht="15" hidden="1" x14ac:dyDescent="0.25">
      <c r="B9609" s="4">
        <v>584758526</v>
      </c>
      <c r="C9609" s="4" t="s">
        <v>268</v>
      </c>
      <c r="D9609" s="4">
        <v>145</v>
      </c>
      <c r="E9609" s="4">
        <v>7</v>
      </c>
      <c r="G9609">
        <f t="shared" si="150"/>
        <v>112</v>
      </c>
    </row>
    <row r="9610" spans="2:7" ht="15" hidden="1" x14ac:dyDescent="0.25">
      <c r="B9610" s="4">
        <v>584758526</v>
      </c>
      <c r="C9610" s="4" t="s">
        <v>269</v>
      </c>
      <c r="D9610" s="4">
        <v>197</v>
      </c>
      <c r="E9610" s="4">
        <v>57</v>
      </c>
      <c r="G9610">
        <f t="shared" si="150"/>
        <v>512</v>
      </c>
    </row>
    <row r="9611" spans="2:7" ht="15" hidden="1" x14ac:dyDescent="0.25">
      <c r="B9611" s="4">
        <v>584758527</v>
      </c>
      <c r="C9611" s="4" t="s">
        <v>269</v>
      </c>
      <c r="D9611" s="4">
        <v>198</v>
      </c>
      <c r="E9611" s="4">
        <v>57</v>
      </c>
      <c r="G9611">
        <f t="shared" si="150"/>
        <v>512</v>
      </c>
    </row>
    <row r="9612" spans="2:7" ht="15" hidden="1" x14ac:dyDescent="0.25">
      <c r="B9612" s="4">
        <v>584758528</v>
      </c>
      <c r="C9612" s="4" t="s">
        <v>269</v>
      </c>
      <c r="D9612" s="4">
        <v>199</v>
      </c>
      <c r="E9612" s="4">
        <v>57</v>
      </c>
      <c r="G9612">
        <f t="shared" si="150"/>
        <v>512</v>
      </c>
    </row>
    <row r="9613" spans="2:7" ht="15" hidden="1" x14ac:dyDescent="0.25">
      <c r="B9613" s="4">
        <v>584758528</v>
      </c>
      <c r="C9613" s="4" t="s">
        <v>272</v>
      </c>
      <c r="D9613" s="4">
        <v>8</v>
      </c>
      <c r="E9613" s="4">
        <v>215</v>
      </c>
      <c r="G9613">
        <f t="shared" si="150"/>
        <v>1776</v>
      </c>
    </row>
    <row r="9614" spans="2:7" ht="15" hidden="1" x14ac:dyDescent="0.25">
      <c r="B9614" s="4">
        <v>584758529</v>
      </c>
      <c r="C9614" s="4" t="s">
        <v>269</v>
      </c>
      <c r="D9614" s="4">
        <v>200</v>
      </c>
      <c r="E9614" s="4">
        <v>57</v>
      </c>
      <c r="G9614">
        <f t="shared" si="150"/>
        <v>512</v>
      </c>
    </row>
    <row r="9615" spans="2:7" ht="15" hidden="1" x14ac:dyDescent="0.25">
      <c r="B9615" s="4">
        <v>584758530</v>
      </c>
      <c r="C9615" s="4" t="s">
        <v>269</v>
      </c>
      <c r="D9615" s="4">
        <v>201</v>
      </c>
      <c r="E9615" s="4">
        <v>57</v>
      </c>
      <c r="G9615">
        <f t="shared" si="150"/>
        <v>512</v>
      </c>
    </row>
    <row r="9616" spans="2:7" ht="15" hidden="1" x14ac:dyDescent="0.25">
      <c r="B9616" s="4">
        <v>584758531</v>
      </c>
      <c r="C9616" s="4" t="s">
        <v>269</v>
      </c>
      <c r="D9616" s="4">
        <v>202</v>
      </c>
      <c r="E9616" s="4">
        <v>57</v>
      </c>
      <c r="G9616">
        <f t="shared" si="150"/>
        <v>512</v>
      </c>
    </row>
    <row r="9617" spans="2:7" ht="15" hidden="1" x14ac:dyDescent="0.25">
      <c r="B9617" s="4">
        <v>584758532</v>
      </c>
      <c r="C9617" s="4" t="s">
        <v>269</v>
      </c>
      <c r="D9617" s="4">
        <v>203</v>
      </c>
      <c r="E9617" s="4">
        <v>57</v>
      </c>
      <c r="G9617">
        <f t="shared" si="150"/>
        <v>512</v>
      </c>
    </row>
    <row r="9618" spans="2:7" ht="15" hidden="1" x14ac:dyDescent="0.25">
      <c r="B9618" s="4">
        <v>584758533</v>
      </c>
      <c r="C9618" s="4" t="s">
        <v>269</v>
      </c>
      <c r="D9618" s="4">
        <v>204</v>
      </c>
      <c r="E9618" s="4">
        <v>57</v>
      </c>
      <c r="G9618">
        <f t="shared" si="150"/>
        <v>512</v>
      </c>
    </row>
    <row r="9619" spans="2:7" ht="15" hidden="1" x14ac:dyDescent="0.25">
      <c r="B9619" s="4">
        <v>584758534</v>
      </c>
      <c r="C9619" s="4" t="s">
        <v>269</v>
      </c>
      <c r="D9619" s="4">
        <v>205</v>
      </c>
      <c r="E9619" s="4">
        <v>57</v>
      </c>
      <c r="G9619">
        <f t="shared" si="150"/>
        <v>512</v>
      </c>
    </row>
    <row r="9620" spans="2:7" ht="15" hidden="1" x14ac:dyDescent="0.25">
      <c r="B9620" s="4">
        <v>584758535</v>
      </c>
      <c r="C9620" s="4" t="s">
        <v>269</v>
      </c>
      <c r="D9620" s="4">
        <v>206</v>
      </c>
      <c r="E9620" s="4">
        <v>57</v>
      </c>
      <c r="G9620">
        <f t="shared" si="150"/>
        <v>512</v>
      </c>
    </row>
    <row r="9621" spans="2:7" ht="15" hidden="1" x14ac:dyDescent="0.25">
      <c r="B9621" s="4">
        <v>584758536</v>
      </c>
      <c r="C9621" s="4" t="s">
        <v>269</v>
      </c>
      <c r="D9621" s="4">
        <v>207</v>
      </c>
      <c r="E9621" s="4">
        <v>57</v>
      </c>
      <c r="G9621">
        <f t="shared" si="150"/>
        <v>512</v>
      </c>
    </row>
    <row r="9622" spans="2:7" ht="15" hidden="1" x14ac:dyDescent="0.25">
      <c r="B9622" s="4">
        <v>584758537</v>
      </c>
      <c r="C9622" s="4" t="s">
        <v>269</v>
      </c>
      <c r="D9622" s="4">
        <v>208</v>
      </c>
      <c r="E9622" s="4">
        <v>57</v>
      </c>
      <c r="G9622">
        <f t="shared" si="150"/>
        <v>512</v>
      </c>
    </row>
    <row r="9623" spans="2:7" ht="15" hidden="1" x14ac:dyDescent="0.25">
      <c r="B9623" s="4">
        <v>584758538</v>
      </c>
      <c r="C9623" s="4" t="s">
        <v>269</v>
      </c>
      <c r="D9623" s="4">
        <v>209</v>
      </c>
      <c r="E9623" s="4">
        <v>57</v>
      </c>
      <c r="G9623">
        <f t="shared" si="150"/>
        <v>512</v>
      </c>
    </row>
    <row r="9624" spans="2:7" ht="15" hidden="1" x14ac:dyDescent="0.25">
      <c r="B9624" s="4">
        <v>584758538</v>
      </c>
      <c r="C9624" s="4" t="s">
        <v>272</v>
      </c>
      <c r="D9624" s="4">
        <v>9</v>
      </c>
      <c r="E9624" s="4">
        <v>213</v>
      </c>
      <c r="G9624">
        <f t="shared" si="150"/>
        <v>1760</v>
      </c>
    </row>
    <row r="9625" spans="2:7" ht="15" hidden="1" x14ac:dyDescent="0.25">
      <c r="B9625" s="4">
        <v>584758539</v>
      </c>
      <c r="C9625" s="4" t="s">
        <v>269</v>
      </c>
      <c r="D9625" s="4">
        <v>210</v>
      </c>
      <c r="E9625" s="4">
        <v>57</v>
      </c>
      <c r="G9625">
        <f t="shared" si="150"/>
        <v>512</v>
      </c>
    </row>
    <row r="9626" spans="2:7" ht="15" hidden="1" x14ac:dyDescent="0.25">
      <c r="B9626" s="4">
        <v>584758540</v>
      </c>
      <c r="C9626" s="4" t="s">
        <v>269</v>
      </c>
      <c r="D9626" s="4">
        <v>211</v>
      </c>
      <c r="E9626" s="4">
        <v>57</v>
      </c>
      <c r="G9626">
        <f t="shared" si="150"/>
        <v>512</v>
      </c>
    </row>
    <row r="9627" spans="2:7" ht="15" hidden="1" x14ac:dyDescent="0.25">
      <c r="B9627" s="4">
        <v>584758541</v>
      </c>
      <c r="C9627" s="4" t="s">
        <v>269</v>
      </c>
      <c r="D9627" s="4">
        <v>212</v>
      </c>
      <c r="E9627" s="4">
        <v>57</v>
      </c>
      <c r="G9627">
        <f t="shared" si="150"/>
        <v>512</v>
      </c>
    </row>
    <row r="9628" spans="2:7" ht="15" hidden="1" x14ac:dyDescent="0.25">
      <c r="B9628" s="4">
        <v>584758542</v>
      </c>
      <c r="C9628" s="4" t="s">
        <v>269</v>
      </c>
      <c r="D9628" s="4">
        <v>213</v>
      </c>
      <c r="E9628" s="4">
        <v>57</v>
      </c>
      <c r="G9628">
        <f t="shared" si="150"/>
        <v>512</v>
      </c>
    </row>
    <row r="9629" spans="2:7" ht="15" hidden="1" x14ac:dyDescent="0.25">
      <c r="B9629" s="4">
        <v>584758543</v>
      </c>
      <c r="C9629" s="4" t="s">
        <v>269</v>
      </c>
      <c r="D9629" s="4">
        <v>214</v>
      </c>
      <c r="E9629" s="4">
        <v>57</v>
      </c>
      <c r="G9629">
        <f t="shared" si="150"/>
        <v>512</v>
      </c>
    </row>
    <row r="9630" spans="2:7" ht="15" hidden="1" x14ac:dyDescent="0.25">
      <c r="B9630" s="4">
        <v>584758544</v>
      </c>
      <c r="C9630" s="4" t="s">
        <v>269</v>
      </c>
      <c r="D9630" s="4">
        <v>215</v>
      </c>
      <c r="E9630" s="4">
        <v>57</v>
      </c>
      <c r="G9630">
        <f t="shared" si="150"/>
        <v>512</v>
      </c>
    </row>
    <row r="9631" spans="2:7" ht="15" hidden="1" x14ac:dyDescent="0.25">
      <c r="B9631" s="4">
        <v>584758545</v>
      </c>
      <c r="C9631" s="4" t="s">
        <v>269</v>
      </c>
      <c r="D9631" s="4">
        <v>216</v>
      </c>
      <c r="E9631" s="4">
        <v>57</v>
      </c>
      <c r="G9631">
        <f t="shared" si="150"/>
        <v>512</v>
      </c>
    </row>
    <row r="9632" spans="2:7" ht="15" hidden="1" x14ac:dyDescent="0.25">
      <c r="B9632" s="4">
        <v>584758546</v>
      </c>
      <c r="C9632" s="4" t="s">
        <v>269</v>
      </c>
      <c r="D9632" s="4">
        <v>217</v>
      </c>
      <c r="E9632" s="4">
        <v>57</v>
      </c>
      <c r="G9632">
        <f t="shared" si="150"/>
        <v>512</v>
      </c>
    </row>
    <row r="9633" spans="2:7" ht="15" hidden="1" x14ac:dyDescent="0.25">
      <c r="B9633" s="4">
        <v>584758547</v>
      </c>
      <c r="C9633" s="4" t="s">
        <v>269</v>
      </c>
      <c r="D9633" s="4">
        <v>218</v>
      </c>
      <c r="E9633" s="4">
        <v>57</v>
      </c>
      <c r="G9633">
        <f t="shared" si="150"/>
        <v>512</v>
      </c>
    </row>
    <row r="9634" spans="2:7" ht="15" hidden="1" x14ac:dyDescent="0.25">
      <c r="B9634" s="4">
        <v>584758548</v>
      </c>
      <c r="C9634" s="4" t="s">
        <v>269</v>
      </c>
      <c r="D9634" s="4">
        <v>219</v>
      </c>
      <c r="E9634" s="4">
        <v>57</v>
      </c>
      <c r="G9634">
        <f t="shared" si="150"/>
        <v>512</v>
      </c>
    </row>
    <row r="9635" spans="2:7" ht="15" hidden="1" x14ac:dyDescent="0.25">
      <c r="B9635" s="4">
        <v>584758548</v>
      </c>
      <c r="C9635" s="4" t="s">
        <v>272</v>
      </c>
      <c r="D9635" s="4">
        <v>10</v>
      </c>
      <c r="E9635" s="4">
        <v>209</v>
      </c>
      <c r="G9635">
        <f t="shared" si="150"/>
        <v>1728</v>
      </c>
    </row>
    <row r="9636" spans="2:7" ht="15" hidden="1" x14ac:dyDescent="0.25">
      <c r="B9636" s="4">
        <v>584758549</v>
      </c>
      <c r="C9636" s="4" t="s">
        <v>269</v>
      </c>
      <c r="D9636" s="4">
        <v>220</v>
      </c>
      <c r="E9636" s="4">
        <v>57</v>
      </c>
      <c r="G9636">
        <f t="shared" si="150"/>
        <v>512</v>
      </c>
    </row>
    <row r="9637" spans="2:7" ht="15" hidden="1" x14ac:dyDescent="0.25">
      <c r="B9637" s="4">
        <v>584758550</v>
      </c>
      <c r="C9637" s="4" t="s">
        <v>269</v>
      </c>
      <c r="D9637" s="4">
        <v>221</v>
      </c>
      <c r="E9637" s="4">
        <v>57</v>
      </c>
      <c r="G9637">
        <f t="shared" si="150"/>
        <v>512</v>
      </c>
    </row>
    <row r="9638" spans="2:7" ht="15" hidden="1" x14ac:dyDescent="0.25">
      <c r="B9638" s="4">
        <v>584758551</v>
      </c>
      <c r="C9638" s="4" t="s">
        <v>269</v>
      </c>
      <c r="D9638" s="4">
        <v>222</v>
      </c>
      <c r="E9638" s="4">
        <v>57</v>
      </c>
      <c r="G9638">
        <f t="shared" si="150"/>
        <v>512</v>
      </c>
    </row>
    <row r="9639" spans="2:7" ht="15" hidden="1" x14ac:dyDescent="0.25">
      <c r="B9639" s="4">
        <v>584758552</v>
      </c>
      <c r="C9639" s="4" t="s">
        <v>269</v>
      </c>
      <c r="D9639" s="4">
        <v>223</v>
      </c>
      <c r="E9639" s="4">
        <v>57</v>
      </c>
      <c r="G9639">
        <f t="shared" si="150"/>
        <v>512</v>
      </c>
    </row>
    <row r="9640" spans="2:7" ht="15" hidden="1" x14ac:dyDescent="0.25">
      <c r="B9640" s="4">
        <v>584758553</v>
      </c>
      <c r="C9640" s="4" t="s">
        <v>269</v>
      </c>
      <c r="D9640" s="4">
        <v>224</v>
      </c>
      <c r="E9640" s="4">
        <v>57</v>
      </c>
      <c r="G9640">
        <f t="shared" si="150"/>
        <v>512</v>
      </c>
    </row>
    <row r="9641" spans="2:7" ht="15" hidden="1" x14ac:dyDescent="0.25">
      <c r="B9641" s="4">
        <v>584758554</v>
      </c>
      <c r="C9641" s="4" t="s">
        <v>269</v>
      </c>
      <c r="D9641" s="4">
        <v>225</v>
      </c>
      <c r="E9641" s="4">
        <v>57</v>
      </c>
      <c r="G9641">
        <f t="shared" si="150"/>
        <v>512</v>
      </c>
    </row>
    <row r="9642" spans="2:7" ht="15" hidden="1" x14ac:dyDescent="0.25">
      <c r="B9642" s="4">
        <v>584758555</v>
      </c>
      <c r="C9642" s="4" t="s">
        <v>269</v>
      </c>
      <c r="D9642" s="4">
        <v>226</v>
      </c>
      <c r="E9642" s="4">
        <v>57</v>
      </c>
      <c r="G9642">
        <f t="shared" si="150"/>
        <v>512</v>
      </c>
    </row>
    <row r="9643" spans="2:7" ht="15" hidden="1" x14ac:dyDescent="0.25">
      <c r="B9643" s="4">
        <v>584758556</v>
      </c>
      <c r="C9643" s="4" t="s">
        <v>268</v>
      </c>
      <c r="D9643" s="4">
        <v>146</v>
      </c>
      <c r="E9643" s="4">
        <v>6</v>
      </c>
      <c r="G9643">
        <f t="shared" si="150"/>
        <v>104</v>
      </c>
    </row>
    <row r="9644" spans="2:7" ht="15" hidden="1" x14ac:dyDescent="0.25">
      <c r="B9644" s="4">
        <v>584758556</v>
      </c>
      <c r="C9644" s="4" t="s">
        <v>268</v>
      </c>
      <c r="D9644" s="4">
        <v>146</v>
      </c>
      <c r="E9644" s="4">
        <v>6</v>
      </c>
      <c r="G9644">
        <f t="shared" si="150"/>
        <v>104</v>
      </c>
    </row>
    <row r="9645" spans="2:7" ht="15" hidden="1" x14ac:dyDescent="0.25">
      <c r="B9645" s="4">
        <v>584758556</v>
      </c>
      <c r="C9645" s="4" t="s">
        <v>268</v>
      </c>
      <c r="D9645" s="4">
        <v>147</v>
      </c>
      <c r="E9645" s="4">
        <v>9</v>
      </c>
      <c r="G9645">
        <f t="shared" si="150"/>
        <v>128</v>
      </c>
    </row>
    <row r="9646" spans="2:7" ht="15" hidden="1" x14ac:dyDescent="0.25">
      <c r="B9646" s="4">
        <v>584758556</v>
      </c>
      <c r="C9646" s="4" t="s">
        <v>268</v>
      </c>
      <c r="D9646" s="4">
        <v>147</v>
      </c>
      <c r="E9646" s="4">
        <v>9</v>
      </c>
      <c r="G9646">
        <f t="shared" si="150"/>
        <v>128</v>
      </c>
    </row>
    <row r="9647" spans="2:7" ht="15" hidden="1" x14ac:dyDescent="0.25">
      <c r="B9647" s="4">
        <v>584758556</v>
      </c>
      <c r="C9647" s="4" t="s">
        <v>268</v>
      </c>
      <c r="D9647" s="4">
        <v>148</v>
      </c>
      <c r="E9647" s="4">
        <v>7</v>
      </c>
      <c r="G9647">
        <f t="shared" si="150"/>
        <v>112</v>
      </c>
    </row>
    <row r="9648" spans="2:7" ht="15" hidden="1" x14ac:dyDescent="0.25">
      <c r="B9648" s="4">
        <v>584758556</v>
      </c>
      <c r="C9648" s="4" t="s">
        <v>268</v>
      </c>
      <c r="D9648" s="4">
        <v>148</v>
      </c>
      <c r="E9648" s="4">
        <v>7</v>
      </c>
      <c r="G9648">
        <f t="shared" si="150"/>
        <v>112</v>
      </c>
    </row>
    <row r="9649" spans="2:7" ht="15" hidden="1" x14ac:dyDescent="0.25">
      <c r="B9649" s="4">
        <v>584758556</v>
      </c>
      <c r="C9649" s="4" t="s">
        <v>268</v>
      </c>
      <c r="D9649" s="4">
        <v>149</v>
      </c>
      <c r="E9649" s="4">
        <v>7</v>
      </c>
      <c r="G9649">
        <f t="shared" si="150"/>
        <v>112</v>
      </c>
    </row>
    <row r="9650" spans="2:7" ht="15" hidden="1" x14ac:dyDescent="0.25">
      <c r="B9650" s="4">
        <v>584758556</v>
      </c>
      <c r="C9650" s="4" t="s">
        <v>268</v>
      </c>
      <c r="D9650" s="4">
        <v>149</v>
      </c>
      <c r="E9650" s="4">
        <v>7</v>
      </c>
      <c r="G9650">
        <f t="shared" si="150"/>
        <v>112</v>
      </c>
    </row>
    <row r="9651" spans="2:7" ht="15" hidden="1" x14ac:dyDescent="0.25">
      <c r="B9651" s="4">
        <v>584758556</v>
      </c>
      <c r="C9651" s="4" t="s">
        <v>268</v>
      </c>
      <c r="D9651" s="4">
        <v>150</v>
      </c>
      <c r="E9651" s="4">
        <v>7</v>
      </c>
      <c r="G9651">
        <f t="shared" si="150"/>
        <v>112</v>
      </c>
    </row>
    <row r="9652" spans="2:7" ht="15" hidden="1" x14ac:dyDescent="0.25">
      <c r="B9652" s="4">
        <v>584758556</v>
      </c>
      <c r="C9652" s="4" t="s">
        <v>268</v>
      </c>
      <c r="D9652" s="4">
        <v>150</v>
      </c>
      <c r="E9652" s="4">
        <v>7</v>
      </c>
      <c r="G9652">
        <f t="shared" si="150"/>
        <v>112</v>
      </c>
    </row>
    <row r="9653" spans="2:7" ht="15" hidden="1" x14ac:dyDescent="0.25">
      <c r="B9653" s="4">
        <v>584758556</v>
      </c>
      <c r="C9653" s="4" t="s">
        <v>269</v>
      </c>
      <c r="D9653" s="4">
        <v>227</v>
      </c>
      <c r="E9653" s="4">
        <v>57</v>
      </c>
      <c r="G9653">
        <f t="shared" si="150"/>
        <v>512</v>
      </c>
    </row>
    <row r="9654" spans="2:7" ht="15" hidden="1" x14ac:dyDescent="0.25">
      <c r="B9654" s="4">
        <v>584758557</v>
      </c>
      <c r="C9654" s="4" t="s">
        <v>269</v>
      </c>
      <c r="D9654" s="4">
        <v>228</v>
      </c>
      <c r="E9654" s="4">
        <v>57</v>
      </c>
      <c r="G9654">
        <f t="shared" si="150"/>
        <v>512</v>
      </c>
    </row>
    <row r="9655" spans="2:7" ht="15" hidden="1" x14ac:dyDescent="0.25">
      <c r="B9655" s="4">
        <v>584758558</v>
      </c>
      <c r="C9655" s="4" t="s">
        <v>268</v>
      </c>
      <c r="D9655" s="4">
        <v>151</v>
      </c>
      <c r="E9655" s="4">
        <v>7</v>
      </c>
      <c r="G9655">
        <f t="shared" si="150"/>
        <v>112</v>
      </c>
    </row>
    <row r="9656" spans="2:7" ht="15" hidden="1" x14ac:dyDescent="0.25">
      <c r="B9656" s="4">
        <v>584758558</v>
      </c>
      <c r="C9656" s="4" t="s">
        <v>268</v>
      </c>
      <c r="D9656" s="4">
        <v>151</v>
      </c>
      <c r="E9656" s="4">
        <v>7</v>
      </c>
      <c r="G9656">
        <f t="shared" si="150"/>
        <v>112</v>
      </c>
    </row>
    <row r="9657" spans="2:7" ht="15" hidden="1" x14ac:dyDescent="0.25">
      <c r="B9657" s="4">
        <v>584758558</v>
      </c>
      <c r="C9657" s="4" t="s">
        <v>268</v>
      </c>
      <c r="D9657" s="4">
        <v>152</v>
      </c>
      <c r="E9657" s="4">
        <v>5</v>
      </c>
      <c r="G9657">
        <f t="shared" si="150"/>
        <v>96</v>
      </c>
    </row>
    <row r="9658" spans="2:7" ht="15" hidden="1" x14ac:dyDescent="0.25">
      <c r="B9658" s="4">
        <v>584758558</v>
      </c>
      <c r="C9658" s="4" t="s">
        <v>268</v>
      </c>
      <c r="D9658" s="4">
        <v>152</v>
      </c>
      <c r="E9658" s="4">
        <v>5</v>
      </c>
      <c r="G9658">
        <f t="shared" si="150"/>
        <v>96</v>
      </c>
    </row>
    <row r="9659" spans="2:7" ht="15" hidden="1" x14ac:dyDescent="0.25">
      <c r="B9659" s="4">
        <v>584758558</v>
      </c>
      <c r="C9659" s="4" t="s">
        <v>268</v>
      </c>
      <c r="D9659" s="4">
        <v>153</v>
      </c>
      <c r="E9659" s="4">
        <v>7</v>
      </c>
      <c r="G9659">
        <f t="shared" si="150"/>
        <v>112</v>
      </c>
    </row>
    <row r="9660" spans="2:7" ht="15" hidden="1" x14ac:dyDescent="0.25">
      <c r="B9660" s="4">
        <v>584758558</v>
      </c>
      <c r="C9660" s="4" t="s">
        <v>268</v>
      </c>
      <c r="D9660" s="4">
        <v>153</v>
      </c>
      <c r="E9660" s="4">
        <v>7</v>
      </c>
      <c r="G9660">
        <f t="shared" si="150"/>
        <v>112</v>
      </c>
    </row>
    <row r="9661" spans="2:7" ht="15" hidden="1" x14ac:dyDescent="0.25">
      <c r="B9661" s="4">
        <v>584758558</v>
      </c>
      <c r="C9661" s="4" t="s">
        <v>269</v>
      </c>
      <c r="D9661" s="4">
        <v>229</v>
      </c>
      <c r="E9661" s="4">
        <v>57</v>
      </c>
      <c r="G9661">
        <f t="shared" si="150"/>
        <v>512</v>
      </c>
    </row>
    <row r="9662" spans="2:7" ht="15" hidden="1" x14ac:dyDescent="0.25">
      <c r="B9662" s="4">
        <v>584758558</v>
      </c>
      <c r="C9662" s="4" t="s">
        <v>272</v>
      </c>
      <c r="D9662" s="4">
        <v>11</v>
      </c>
      <c r="E9662" s="4">
        <v>215</v>
      </c>
      <c r="G9662">
        <f t="shared" si="150"/>
        <v>1776</v>
      </c>
    </row>
    <row r="9663" spans="2:7" ht="15" hidden="1" x14ac:dyDescent="0.25">
      <c r="B9663" s="4">
        <v>584758559</v>
      </c>
      <c r="C9663" s="4" t="s">
        <v>269</v>
      </c>
      <c r="D9663" s="4">
        <v>230</v>
      </c>
      <c r="E9663" s="4">
        <v>57</v>
      </c>
      <c r="G9663">
        <f t="shared" si="150"/>
        <v>512</v>
      </c>
    </row>
    <row r="9664" spans="2:7" ht="15" hidden="1" x14ac:dyDescent="0.25">
      <c r="B9664" s="4">
        <v>584758560</v>
      </c>
      <c r="C9664" s="4" t="s">
        <v>269</v>
      </c>
      <c r="D9664" s="4">
        <v>231</v>
      </c>
      <c r="E9664" s="4">
        <v>57</v>
      </c>
      <c r="G9664">
        <f t="shared" si="150"/>
        <v>512</v>
      </c>
    </row>
    <row r="9665" spans="2:7" ht="15" hidden="1" x14ac:dyDescent="0.25">
      <c r="B9665" s="4">
        <v>584758561</v>
      </c>
      <c r="C9665" s="4" t="s">
        <v>269</v>
      </c>
      <c r="D9665" s="4">
        <v>232</v>
      </c>
      <c r="E9665" s="4">
        <v>57</v>
      </c>
      <c r="G9665">
        <f t="shared" si="150"/>
        <v>512</v>
      </c>
    </row>
    <row r="9666" spans="2:7" ht="15" hidden="1" x14ac:dyDescent="0.25">
      <c r="B9666" s="4">
        <v>584758562</v>
      </c>
      <c r="C9666" s="4" t="s">
        <v>269</v>
      </c>
      <c r="D9666" s="4">
        <v>233</v>
      </c>
      <c r="E9666" s="4">
        <v>57</v>
      </c>
      <c r="G9666">
        <f t="shared" si="150"/>
        <v>512</v>
      </c>
    </row>
    <row r="9667" spans="2:7" ht="15" hidden="1" x14ac:dyDescent="0.25">
      <c r="B9667" s="4">
        <v>584758563</v>
      </c>
      <c r="C9667" s="4" t="s">
        <v>269</v>
      </c>
      <c r="D9667" s="4">
        <v>234</v>
      </c>
      <c r="E9667" s="4">
        <v>57</v>
      </c>
      <c r="G9667">
        <f t="shared" si="150"/>
        <v>512</v>
      </c>
    </row>
    <row r="9668" spans="2:7" ht="15" hidden="1" x14ac:dyDescent="0.25">
      <c r="B9668" s="4">
        <v>584758564</v>
      </c>
      <c r="C9668" s="4" t="s">
        <v>269</v>
      </c>
      <c r="D9668" s="4">
        <v>235</v>
      </c>
      <c r="E9668" s="4">
        <v>57</v>
      </c>
      <c r="G9668">
        <f t="shared" ref="G9668:G9731" si="151">(E9668+7)*8</f>
        <v>512</v>
      </c>
    </row>
    <row r="9669" spans="2:7" ht="15" hidden="1" x14ac:dyDescent="0.25">
      <c r="B9669" s="4">
        <v>584758565</v>
      </c>
      <c r="C9669" s="4" t="s">
        <v>269</v>
      </c>
      <c r="D9669" s="4">
        <v>236</v>
      </c>
      <c r="E9669" s="4">
        <v>57</v>
      </c>
      <c r="G9669">
        <f t="shared" si="151"/>
        <v>512</v>
      </c>
    </row>
    <row r="9670" spans="2:7" ht="15" hidden="1" x14ac:dyDescent="0.25">
      <c r="B9670" s="4">
        <v>584758566</v>
      </c>
      <c r="C9670" s="4" t="s">
        <v>269</v>
      </c>
      <c r="D9670" s="4">
        <v>237</v>
      </c>
      <c r="E9670" s="4">
        <v>57</v>
      </c>
      <c r="G9670">
        <f t="shared" si="151"/>
        <v>512</v>
      </c>
    </row>
    <row r="9671" spans="2:7" ht="15" hidden="1" x14ac:dyDescent="0.25">
      <c r="B9671" s="4">
        <v>584758567</v>
      </c>
      <c r="C9671" s="4" t="s">
        <v>269</v>
      </c>
      <c r="D9671" s="4">
        <v>238</v>
      </c>
      <c r="E9671" s="4">
        <v>57</v>
      </c>
      <c r="G9671">
        <f t="shared" si="151"/>
        <v>512</v>
      </c>
    </row>
    <row r="9672" spans="2:7" ht="15" hidden="1" x14ac:dyDescent="0.25">
      <c r="B9672" s="4">
        <v>584758568</v>
      </c>
      <c r="C9672" s="4" t="s">
        <v>269</v>
      </c>
      <c r="D9672" s="4">
        <v>239</v>
      </c>
      <c r="E9672" s="4">
        <v>57</v>
      </c>
      <c r="G9672">
        <f t="shared" si="151"/>
        <v>512</v>
      </c>
    </row>
    <row r="9673" spans="2:7" ht="15" hidden="1" x14ac:dyDescent="0.25">
      <c r="B9673" s="4">
        <v>584758568</v>
      </c>
      <c r="C9673" s="4" t="s">
        <v>272</v>
      </c>
      <c r="D9673" s="4">
        <v>12</v>
      </c>
      <c r="E9673" s="4">
        <v>219</v>
      </c>
      <c r="G9673">
        <f t="shared" si="151"/>
        <v>1808</v>
      </c>
    </row>
    <row r="9674" spans="2:7" ht="15" hidden="1" x14ac:dyDescent="0.25">
      <c r="B9674" s="4">
        <v>584758569</v>
      </c>
      <c r="C9674" s="4" t="s">
        <v>269</v>
      </c>
      <c r="D9674" s="4">
        <v>240</v>
      </c>
      <c r="E9674" s="4">
        <v>57</v>
      </c>
      <c r="G9674">
        <f t="shared" si="151"/>
        <v>512</v>
      </c>
    </row>
    <row r="9675" spans="2:7" ht="15" hidden="1" x14ac:dyDescent="0.25">
      <c r="B9675" s="4">
        <v>584758570</v>
      </c>
      <c r="C9675" s="4" t="s">
        <v>269</v>
      </c>
      <c r="D9675" s="4">
        <v>241</v>
      </c>
      <c r="E9675" s="4">
        <v>57</v>
      </c>
      <c r="G9675">
        <f t="shared" si="151"/>
        <v>512</v>
      </c>
    </row>
    <row r="9676" spans="2:7" ht="15" hidden="1" x14ac:dyDescent="0.25">
      <c r="B9676" s="4">
        <v>584758571</v>
      </c>
      <c r="C9676" s="4" t="s">
        <v>269</v>
      </c>
      <c r="D9676" s="4">
        <v>242</v>
      </c>
      <c r="E9676" s="4">
        <v>57</v>
      </c>
      <c r="G9676">
        <f t="shared" si="151"/>
        <v>512</v>
      </c>
    </row>
    <row r="9677" spans="2:7" ht="15" hidden="1" x14ac:dyDescent="0.25">
      <c r="B9677" s="4">
        <v>584758572</v>
      </c>
      <c r="C9677" s="4" t="s">
        <v>269</v>
      </c>
      <c r="D9677" s="4">
        <v>243</v>
      </c>
      <c r="E9677" s="4">
        <v>57</v>
      </c>
      <c r="G9677">
        <f t="shared" si="151"/>
        <v>512</v>
      </c>
    </row>
    <row r="9678" spans="2:7" ht="15" hidden="1" x14ac:dyDescent="0.25">
      <c r="B9678" s="4">
        <v>584758573</v>
      </c>
      <c r="C9678" s="4" t="s">
        <v>269</v>
      </c>
      <c r="D9678" s="4">
        <v>244</v>
      </c>
      <c r="E9678" s="4">
        <v>57</v>
      </c>
      <c r="G9678">
        <f t="shared" si="151"/>
        <v>512</v>
      </c>
    </row>
    <row r="9679" spans="2:7" ht="15" hidden="1" x14ac:dyDescent="0.25">
      <c r="B9679" s="4">
        <v>584758574</v>
      </c>
      <c r="C9679" s="4" t="s">
        <v>269</v>
      </c>
      <c r="D9679" s="4">
        <v>245</v>
      </c>
      <c r="E9679" s="4">
        <v>57</v>
      </c>
      <c r="G9679">
        <f t="shared" si="151"/>
        <v>512</v>
      </c>
    </row>
    <row r="9680" spans="2:7" ht="15" hidden="1" x14ac:dyDescent="0.25">
      <c r="B9680" s="4">
        <v>584758575</v>
      </c>
      <c r="C9680" s="4" t="s">
        <v>269</v>
      </c>
      <c r="D9680" s="4">
        <v>246</v>
      </c>
      <c r="E9680" s="4">
        <v>57</v>
      </c>
      <c r="G9680">
        <f t="shared" si="151"/>
        <v>512</v>
      </c>
    </row>
    <row r="9681" spans="2:7" ht="15" hidden="1" x14ac:dyDescent="0.25">
      <c r="B9681" s="4">
        <v>584758576</v>
      </c>
      <c r="C9681" s="4" t="s">
        <v>269</v>
      </c>
      <c r="D9681" s="4">
        <v>247</v>
      </c>
      <c r="E9681" s="4">
        <v>57</v>
      </c>
      <c r="G9681">
        <f t="shared" si="151"/>
        <v>512</v>
      </c>
    </row>
    <row r="9682" spans="2:7" ht="15" hidden="1" x14ac:dyDescent="0.25">
      <c r="B9682" s="4">
        <v>584758577</v>
      </c>
      <c r="C9682" s="4" t="s">
        <v>269</v>
      </c>
      <c r="D9682" s="4">
        <v>248</v>
      </c>
      <c r="E9682" s="4">
        <v>57</v>
      </c>
      <c r="G9682">
        <f t="shared" si="151"/>
        <v>512</v>
      </c>
    </row>
    <row r="9683" spans="2:7" ht="15" hidden="1" x14ac:dyDescent="0.25">
      <c r="B9683" s="4">
        <v>584758578</v>
      </c>
      <c r="C9683" s="4" t="s">
        <v>269</v>
      </c>
      <c r="D9683" s="4">
        <v>249</v>
      </c>
      <c r="E9683" s="4">
        <v>57</v>
      </c>
      <c r="G9683">
        <f t="shared" si="151"/>
        <v>512</v>
      </c>
    </row>
    <row r="9684" spans="2:7" ht="15" hidden="1" x14ac:dyDescent="0.25">
      <c r="B9684" s="4">
        <v>584758578</v>
      </c>
      <c r="C9684" s="4" t="s">
        <v>272</v>
      </c>
      <c r="D9684" s="4">
        <v>13</v>
      </c>
      <c r="E9684" s="4">
        <v>219</v>
      </c>
      <c r="G9684">
        <f t="shared" si="151"/>
        <v>1808</v>
      </c>
    </row>
    <row r="9685" spans="2:7" ht="15" hidden="1" x14ac:dyDescent="0.25">
      <c r="B9685" s="4">
        <v>584758579</v>
      </c>
      <c r="C9685" s="4" t="s">
        <v>269</v>
      </c>
      <c r="D9685" s="4">
        <v>250</v>
      </c>
      <c r="E9685" s="4">
        <v>57</v>
      </c>
      <c r="G9685">
        <f t="shared" si="151"/>
        <v>512</v>
      </c>
    </row>
    <row r="9686" spans="2:7" ht="15" hidden="1" x14ac:dyDescent="0.25">
      <c r="B9686" s="4">
        <v>584758580</v>
      </c>
      <c r="C9686" s="4" t="s">
        <v>269</v>
      </c>
      <c r="D9686" s="4">
        <v>251</v>
      </c>
      <c r="E9686" s="4">
        <v>57</v>
      </c>
      <c r="G9686">
        <f t="shared" si="151"/>
        <v>512</v>
      </c>
    </row>
    <row r="9687" spans="2:7" ht="15" hidden="1" x14ac:dyDescent="0.25">
      <c r="B9687" s="4">
        <v>584758581</v>
      </c>
      <c r="C9687" s="4" t="s">
        <v>269</v>
      </c>
      <c r="D9687" s="4">
        <v>252</v>
      </c>
      <c r="E9687" s="4">
        <v>57</v>
      </c>
      <c r="G9687">
        <f t="shared" si="151"/>
        <v>512</v>
      </c>
    </row>
    <row r="9688" spans="2:7" ht="15" hidden="1" x14ac:dyDescent="0.25">
      <c r="B9688" s="4">
        <v>584758582</v>
      </c>
      <c r="C9688" s="4" t="s">
        <v>269</v>
      </c>
      <c r="D9688" s="4">
        <v>253</v>
      </c>
      <c r="E9688" s="4">
        <v>57</v>
      </c>
      <c r="G9688">
        <f t="shared" si="151"/>
        <v>512</v>
      </c>
    </row>
    <row r="9689" spans="2:7" ht="15" hidden="1" x14ac:dyDescent="0.25">
      <c r="B9689" s="4">
        <v>584758583</v>
      </c>
      <c r="C9689" s="4" t="s">
        <v>269</v>
      </c>
      <c r="D9689" s="4">
        <v>254</v>
      </c>
      <c r="E9689" s="4">
        <v>57</v>
      </c>
      <c r="G9689">
        <f t="shared" si="151"/>
        <v>512</v>
      </c>
    </row>
    <row r="9690" spans="2:7" ht="15" hidden="1" x14ac:dyDescent="0.25">
      <c r="B9690" s="4">
        <v>584758584</v>
      </c>
      <c r="C9690" s="4" t="s">
        <v>269</v>
      </c>
      <c r="D9690" s="4">
        <v>255</v>
      </c>
      <c r="E9690" s="4">
        <v>57</v>
      </c>
      <c r="G9690">
        <f t="shared" si="151"/>
        <v>512</v>
      </c>
    </row>
    <row r="9691" spans="2:7" ht="15" hidden="1" x14ac:dyDescent="0.25">
      <c r="B9691" s="4">
        <v>584758585</v>
      </c>
      <c r="C9691" s="4" t="s">
        <v>269</v>
      </c>
      <c r="D9691" s="4">
        <v>256</v>
      </c>
      <c r="E9691" s="4">
        <v>57</v>
      </c>
      <c r="G9691">
        <f t="shared" si="151"/>
        <v>512</v>
      </c>
    </row>
    <row r="9692" spans="2:7" ht="15" hidden="1" x14ac:dyDescent="0.25">
      <c r="B9692" s="4">
        <v>584758586</v>
      </c>
      <c r="C9692" s="4" t="s">
        <v>269</v>
      </c>
      <c r="D9692" s="4">
        <v>257</v>
      </c>
      <c r="E9692" s="4">
        <v>57</v>
      </c>
      <c r="G9692">
        <f t="shared" si="151"/>
        <v>512</v>
      </c>
    </row>
    <row r="9693" spans="2:7" ht="15" hidden="1" x14ac:dyDescent="0.25">
      <c r="B9693" s="4">
        <v>584758587</v>
      </c>
      <c r="C9693" s="4" t="s">
        <v>269</v>
      </c>
      <c r="D9693" s="4">
        <v>258</v>
      </c>
      <c r="E9693" s="4">
        <v>57</v>
      </c>
      <c r="G9693">
        <f t="shared" si="151"/>
        <v>512</v>
      </c>
    </row>
    <row r="9694" spans="2:7" ht="15" hidden="1" x14ac:dyDescent="0.25">
      <c r="B9694" s="4">
        <v>584758588</v>
      </c>
      <c r="C9694" s="4" t="s">
        <v>268</v>
      </c>
      <c r="D9694" s="4">
        <v>154</v>
      </c>
      <c r="E9694" s="4">
        <v>6</v>
      </c>
      <c r="G9694">
        <f t="shared" si="151"/>
        <v>104</v>
      </c>
    </row>
    <row r="9695" spans="2:7" ht="15" hidden="1" x14ac:dyDescent="0.25">
      <c r="B9695" s="4">
        <v>584758588</v>
      </c>
      <c r="C9695" s="4" t="s">
        <v>268</v>
      </c>
      <c r="D9695" s="4">
        <v>154</v>
      </c>
      <c r="E9695" s="4">
        <v>6</v>
      </c>
      <c r="G9695">
        <f t="shared" si="151"/>
        <v>104</v>
      </c>
    </row>
    <row r="9696" spans="2:7" ht="15" hidden="1" x14ac:dyDescent="0.25">
      <c r="B9696" s="4">
        <v>584758588</v>
      </c>
      <c r="C9696" s="4" t="s">
        <v>268</v>
      </c>
      <c r="D9696" s="4">
        <v>155</v>
      </c>
      <c r="E9696" s="4">
        <v>9</v>
      </c>
      <c r="G9696">
        <f t="shared" si="151"/>
        <v>128</v>
      </c>
    </row>
    <row r="9697" spans="2:7" ht="15" hidden="1" x14ac:dyDescent="0.25">
      <c r="B9697" s="4">
        <v>584758588</v>
      </c>
      <c r="C9697" s="4" t="s">
        <v>268</v>
      </c>
      <c r="D9697" s="4">
        <v>155</v>
      </c>
      <c r="E9697" s="4">
        <v>9</v>
      </c>
      <c r="G9697">
        <f t="shared" si="151"/>
        <v>128</v>
      </c>
    </row>
    <row r="9698" spans="2:7" ht="15" hidden="1" x14ac:dyDescent="0.25">
      <c r="B9698" s="4">
        <v>584758588</v>
      </c>
      <c r="C9698" s="4" t="s">
        <v>268</v>
      </c>
      <c r="D9698" s="4">
        <v>156</v>
      </c>
      <c r="E9698" s="4">
        <v>7</v>
      </c>
      <c r="G9698">
        <f t="shared" si="151"/>
        <v>112</v>
      </c>
    </row>
    <row r="9699" spans="2:7" ht="15" hidden="1" x14ac:dyDescent="0.25">
      <c r="B9699" s="4">
        <v>584758588</v>
      </c>
      <c r="C9699" s="4" t="s">
        <v>268</v>
      </c>
      <c r="D9699" s="4">
        <v>156</v>
      </c>
      <c r="E9699" s="4">
        <v>7</v>
      </c>
      <c r="G9699">
        <f t="shared" si="151"/>
        <v>112</v>
      </c>
    </row>
    <row r="9700" spans="2:7" ht="15" hidden="1" x14ac:dyDescent="0.25">
      <c r="B9700" s="4">
        <v>584758588</v>
      </c>
      <c r="C9700" s="4" t="s">
        <v>268</v>
      </c>
      <c r="D9700" s="4">
        <v>157</v>
      </c>
      <c r="E9700" s="4">
        <v>7</v>
      </c>
      <c r="G9700">
        <f t="shared" si="151"/>
        <v>112</v>
      </c>
    </row>
    <row r="9701" spans="2:7" ht="15" hidden="1" x14ac:dyDescent="0.25">
      <c r="B9701" s="4">
        <v>584758588</v>
      </c>
      <c r="C9701" s="4" t="s">
        <v>268</v>
      </c>
      <c r="D9701" s="4">
        <v>157</v>
      </c>
      <c r="E9701" s="4">
        <v>7</v>
      </c>
      <c r="G9701">
        <f t="shared" si="151"/>
        <v>112</v>
      </c>
    </row>
    <row r="9702" spans="2:7" ht="15" hidden="1" x14ac:dyDescent="0.25">
      <c r="B9702" s="4">
        <v>584758588</v>
      </c>
      <c r="C9702" s="4" t="s">
        <v>268</v>
      </c>
      <c r="D9702" s="4">
        <v>158</v>
      </c>
      <c r="E9702" s="4">
        <v>7</v>
      </c>
      <c r="G9702">
        <f t="shared" si="151"/>
        <v>112</v>
      </c>
    </row>
    <row r="9703" spans="2:7" ht="15" hidden="1" x14ac:dyDescent="0.25">
      <c r="B9703" s="4">
        <v>584758588</v>
      </c>
      <c r="C9703" s="4" t="s">
        <v>268</v>
      </c>
      <c r="D9703" s="4">
        <v>158</v>
      </c>
      <c r="E9703" s="4">
        <v>7</v>
      </c>
      <c r="G9703">
        <f t="shared" si="151"/>
        <v>112</v>
      </c>
    </row>
    <row r="9704" spans="2:7" ht="15" hidden="1" x14ac:dyDescent="0.25">
      <c r="B9704" s="4">
        <v>584758588</v>
      </c>
      <c r="C9704" s="4" t="s">
        <v>269</v>
      </c>
      <c r="D9704" s="4">
        <v>259</v>
      </c>
      <c r="E9704" s="4">
        <v>57</v>
      </c>
      <c r="G9704">
        <f t="shared" si="151"/>
        <v>512</v>
      </c>
    </row>
    <row r="9705" spans="2:7" ht="15" hidden="1" x14ac:dyDescent="0.25">
      <c r="B9705" s="4">
        <v>584758588</v>
      </c>
      <c r="C9705" s="4" t="s">
        <v>272</v>
      </c>
      <c r="D9705" s="4">
        <v>14</v>
      </c>
      <c r="E9705" s="4">
        <v>219</v>
      </c>
      <c r="G9705">
        <f t="shared" si="151"/>
        <v>1808</v>
      </c>
    </row>
    <row r="9706" spans="2:7" ht="15" hidden="1" x14ac:dyDescent="0.25">
      <c r="B9706" s="4">
        <v>584758589</v>
      </c>
      <c r="C9706" s="4" t="s">
        <v>269</v>
      </c>
      <c r="D9706" s="4">
        <v>260</v>
      </c>
      <c r="E9706" s="4">
        <v>57</v>
      </c>
      <c r="G9706">
        <f t="shared" si="151"/>
        <v>512</v>
      </c>
    </row>
    <row r="9707" spans="2:7" ht="15" hidden="1" x14ac:dyDescent="0.25">
      <c r="B9707" s="4">
        <v>584758590</v>
      </c>
      <c r="C9707" s="4" t="s">
        <v>268</v>
      </c>
      <c r="D9707" s="4">
        <v>159</v>
      </c>
      <c r="E9707" s="4">
        <v>7</v>
      </c>
      <c r="G9707">
        <f t="shared" si="151"/>
        <v>112</v>
      </c>
    </row>
    <row r="9708" spans="2:7" ht="15" hidden="1" x14ac:dyDescent="0.25">
      <c r="B9708" s="4">
        <v>584758590</v>
      </c>
      <c r="C9708" s="4" t="s">
        <v>268</v>
      </c>
      <c r="D9708" s="4">
        <v>159</v>
      </c>
      <c r="E9708" s="4">
        <v>7</v>
      </c>
      <c r="G9708">
        <f t="shared" si="151"/>
        <v>112</v>
      </c>
    </row>
    <row r="9709" spans="2:7" ht="15" hidden="1" x14ac:dyDescent="0.25">
      <c r="B9709" s="4">
        <v>584758590</v>
      </c>
      <c r="C9709" s="4" t="s">
        <v>268</v>
      </c>
      <c r="D9709" s="4">
        <v>160</v>
      </c>
      <c r="E9709" s="4">
        <v>5</v>
      </c>
      <c r="G9709">
        <f t="shared" si="151"/>
        <v>96</v>
      </c>
    </row>
    <row r="9710" spans="2:7" ht="15" hidden="1" x14ac:dyDescent="0.25">
      <c r="B9710" s="4">
        <v>584758590</v>
      </c>
      <c r="C9710" s="4" t="s">
        <v>268</v>
      </c>
      <c r="D9710" s="4">
        <v>160</v>
      </c>
      <c r="E9710" s="4">
        <v>5</v>
      </c>
      <c r="G9710">
        <f t="shared" si="151"/>
        <v>96</v>
      </c>
    </row>
    <row r="9711" spans="2:7" ht="15" hidden="1" x14ac:dyDescent="0.25">
      <c r="B9711" s="4">
        <v>584758590</v>
      </c>
      <c r="C9711" s="4" t="s">
        <v>268</v>
      </c>
      <c r="D9711" s="4">
        <v>161</v>
      </c>
      <c r="E9711" s="4">
        <v>7</v>
      </c>
      <c r="G9711">
        <f t="shared" si="151"/>
        <v>112</v>
      </c>
    </row>
    <row r="9712" spans="2:7" ht="15" hidden="1" x14ac:dyDescent="0.25">
      <c r="B9712" s="4">
        <v>584758590</v>
      </c>
      <c r="C9712" s="4" t="s">
        <v>268</v>
      </c>
      <c r="D9712" s="4">
        <v>161</v>
      </c>
      <c r="E9712" s="4">
        <v>7</v>
      </c>
      <c r="G9712">
        <f t="shared" si="151"/>
        <v>112</v>
      </c>
    </row>
    <row r="9713" spans="2:7" ht="15" hidden="1" x14ac:dyDescent="0.25">
      <c r="B9713" s="4">
        <v>584758590</v>
      </c>
      <c r="C9713" s="4" t="s">
        <v>269</v>
      </c>
      <c r="D9713" s="4">
        <v>261</v>
      </c>
      <c r="E9713" s="4">
        <v>57</v>
      </c>
      <c r="G9713">
        <f t="shared" si="151"/>
        <v>512</v>
      </c>
    </row>
    <row r="9714" spans="2:7" ht="15" hidden="1" x14ac:dyDescent="0.25">
      <c r="B9714" s="4">
        <v>584758591</v>
      </c>
      <c r="C9714" s="4" t="s">
        <v>269</v>
      </c>
      <c r="D9714" s="4">
        <v>262</v>
      </c>
      <c r="E9714" s="4">
        <v>57</v>
      </c>
      <c r="G9714">
        <f t="shared" si="151"/>
        <v>512</v>
      </c>
    </row>
    <row r="9715" spans="2:7" ht="15" hidden="1" x14ac:dyDescent="0.25">
      <c r="B9715" s="4">
        <v>584758592</v>
      </c>
      <c r="C9715" s="4" t="s">
        <v>269</v>
      </c>
      <c r="D9715" s="4">
        <v>263</v>
      </c>
      <c r="E9715" s="4">
        <v>57</v>
      </c>
      <c r="G9715">
        <f t="shared" si="151"/>
        <v>512</v>
      </c>
    </row>
    <row r="9716" spans="2:7" ht="15" hidden="1" x14ac:dyDescent="0.25">
      <c r="B9716" s="4">
        <v>584758593</v>
      </c>
      <c r="C9716" s="4" t="s">
        <v>269</v>
      </c>
      <c r="D9716" s="4">
        <v>264</v>
      </c>
      <c r="E9716" s="4">
        <v>57</v>
      </c>
      <c r="G9716">
        <f t="shared" si="151"/>
        <v>512</v>
      </c>
    </row>
    <row r="9717" spans="2:7" ht="15" hidden="1" x14ac:dyDescent="0.25">
      <c r="B9717" s="4">
        <v>584758594</v>
      </c>
      <c r="C9717" s="4" t="s">
        <v>269</v>
      </c>
      <c r="D9717" s="4">
        <v>265</v>
      </c>
      <c r="E9717" s="4">
        <v>57</v>
      </c>
      <c r="G9717">
        <f t="shared" si="151"/>
        <v>512</v>
      </c>
    </row>
    <row r="9718" spans="2:7" ht="15" hidden="1" x14ac:dyDescent="0.25">
      <c r="B9718" s="4">
        <v>584758595</v>
      </c>
      <c r="C9718" s="4" t="s">
        <v>269</v>
      </c>
      <c r="D9718" s="4">
        <v>266</v>
      </c>
      <c r="E9718" s="4">
        <v>57</v>
      </c>
      <c r="G9718">
        <f t="shared" si="151"/>
        <v>512</v>
      </c>
    </row>
    <row r="9719" spans="2:7" ht="15" hidden="1" x14ac:dyDescent="0.25">
      <c r="B9719" s="4">
        <v>584758596</v>
      </c>
      <c r="C9719" s="4" t="s">
        <v>269</v>
      </c>
      <c r="D9719" s="4">
        <v>267</v>
      </c>
      <c r="E9719" s="4">
        <v>57</v>
      </c>
      <c r="G9719">
        <f t="shared" si="151"/>
        <v>512</v>
      </c>
    </row>
    <row r="9720" spans="2:7" ht="15" hidden="1" x14ac:dyDescent="0.25">
      <c r="B9720" s="4">
        <v>584758597</v>
      </c>
      <c r="C9720" s="4" t="s">
        <v>269</v>
      </c>
      <c r="D9720" s="4">
        <v>268</v>
      </c>
      <c r="E9720" s="4">
        <v>57</v>
      </c>
      <c r="G9720">
        <f t="shared" si="151"/>
        <v>512</v>
      </c>
    </row>
    <row r="9721" spans="2:7" ht="15" hidden="1" x14ac:dyDescent="0.25">
      <c r="B9721" s="4">
        <v>584758598</v>
      </c>
      <c r="C9721" s="4" t="s">
        <v>269</v>
      </c>
      <c r="D9721" s="4">
        <v>269</v>
      </c>
      <c r="E9721" s="4">
        <v>57</v>
      </c>
      <c r="G9721">
        <f t="shared" si="151"/>
        <v>512</v>
      </c>
    </row>
    <row r="9722" spans="2:7" ht="15" hidden="1" x14ac:dyDescent="0.25">
      <c r="B9722" s="4">
        <v>584758598</v>
      </c>
      <c r="C9722" s="4" t="s">
        <v>272</v>
      </c>
      <c r="D9722" s="4">
        <v>15</v>
      </c>
      <c r="E9722" s="4">
        <v>221</v>
      </c>
      <c r="G9722">
        <f t="shared" si="151"/>
        <v>1824</v>
      </c>
    </row>
    <row r="9723" spans="2:7" ht="15" hidden="1" x14ac:dyDescent="0.25">
      <c r="B9723" s="4">
        <v>584758599</v>
      </c>
      <c r="C9723" s="4" t="s">
        <v>269</v>
      </c>
      <c r="D9723" s="4">
        <v>270</v>
      </c>
      <c r="E9723" s="4">
        <v>57</v>
      </c>
      <c r="G9723">
        <f t="shared" si="151"/>
        <v>512</v>
      </c>
    </row>
    <row r="9724" spans="2:7" ht="15" hidden="1" x14ac:dyDescent="0.25">
      <c r="B9724" s="4">
        <v>584758600</v>
      </c>
      <c r="C9724" s="4" t="s">
        <v>269</v>
      </c>
      <c r="D9724" s="4">
        <v>271</v>
      </c>
      <c r="E9724" s="4">
        <v>57</v>
      </c>
      <c r="G9724">
        <f t="shared" si="151"/>
        <v>512</v>
      </c>
    </row>
    <row r="9725" spans="2:7" ht="15" hidden="1" x14ac:dyDescent="0.25">
      <c r="B9725" s="4">
        <v>584758601</v>
      </c>
      <c r="C9725" s="4" t="s">
        <v>269</v>
      </c>
      <c r="D9725" s="4">
        <v>272</v>
      </c>
      <c r="E9725" s="4">
        <v>57</v>
      </c>
      <c r="G9725">
        <f t="shared" si="151"/>
        <v>512</v>
      </c>
    </row>
    <row r="9726" spans="2:7" ht="15" hidden="1" x14ac:dyDescent="0.25">
      <c r="B9726" s="4">
        <v>584758602</v>
      </c>
      <c r="C9726" s="4" t="s">
        <v>269</v>
      </c>
      <c r="D9726" s="4">
        <v>273</v>
      </c>
      <c r="E9726" s="4">
        <v>57</v>
      </c>
      <c r="G9726">
        <f t="shared" si="151"/>
        <v>512</v>
      </c>
    </row>
    <row r="9727" spans="2:7" ht="15" hidden="1" x14ac:dyDescent="0.25">
      <c r="B9727" s="4">
        <v>584758603</v>
      </c>
      <c r="C9727" s="4" t="s">
        <v>269</v>
      </c>
      <c r="D9727" s="4">
        <v>274</v>
      </c>
      <c r="E9727" s="4">
        <v>57</v>
      </c>
      <c r="G9727">
        <f t="shared" si="151"/>
        <v>512</v>
      </c>
    </row>
    <row r="9728" spans="2:7" ht="15" hidden="1" x14ac:dyDescent="0.25">
      <c r="B9728" s="4">
        <v>584758604</v>
      </c>
      <c r="C9728" s="4" t="s">
        <v>269</v>
      </c>
      <c r="D9728" s="4">
        <v>275</v>
      </c>
      <c r="E9728" s="4">
        <v>57</v>
      </c>
      <c r="G9728">
        <f t="shared" si="151"/>
        <v>512</v>
      </c>
    </row>
    <row r="9729" spans="2:7" ht="15" hidden="1" x14ac:dyDescent="0.25">
      <c r="B9729" s="4">
        <v>584758605</v>
      </c>
      <c r="C9729" s="4" t="s">
        <v>269</v>
      </c>
      <c r="D9729" s="4">
        <v>276</v>
      </c>
      <c r="E9729" s="4">
        <v>57</v>
      </c>
      <c r="G9729">
        <f t="shared" si="151"/>
        <v>512</v>
      </c>
    </row>
    <row r="9730" spans="2:7" ht="15" hidden="1" x14ac:dyDescent="0.25">
      <c r="B9730" s="4">
        <v>584758606</v>
      </c>
      <c r="C9730" s="4" t="s">
        <v>269</v>
      </c>
      <c r="D9730" s="4">
        <v>277</v>
      </c>
      <c r="E9730" s="4">
        <v>57</v>
      </c>
      <c r="G9730">
        <f t="shared" si="151"/>
        <v>512</v>
      </c>
    </row>
    <row r="9731" spans="2:7" ht="15" hidden="1" x14ac:dyDescent="0.25">
      <c r="B9731" s="4">
        <v>584758607</v>
      </c>
      <c r="C9731" s="4" t="s">
        <v>269</v>
      </c>
      <c r="D9731" s="4">
        <v>278</v>
      </c>
      <c r="E9731" s="4">
        <v>57</v>
      </c>
      <c r="G9731">
        <f t="shared" si="151"/>
        <v>512</v>
      </c>
    </row>
    <row r="9732" spans="2:7" ht="15" hidden="1" x14ac:dyDescent="0.25">
      <c r="B9732" s="4">
        <v>584758608</v>
      </c>
      <c r="C9732" s="4" t="s">
        <v>269</v>
      </c>
      <c r="D9732" s="4">
        <v>279</v>
      </c>
      <c r="E9732" s="4">
        <v>57</v>
      </c>
      <c r="G9732">
        <f t="shared" ref="G9732:G9795" si="152">(E9732+7)*8</f>
        <v>512</v>
      </c>
    </row>
    <row r="9733" spans="2:7" ht="15" hidden="1" x14ac:dyDescent="0.25">
      <c r="B9733" s="4">
        <v>584758608</v>
      </c>
      <c r="C9733" s="4" t="s">
        <v>272</v>
      </c>
      <c r="D9733" s="4">
        <v>16</v>
      </c>
      <c r="E9733" s="4">
        <v>221</v>
      </c>
      <c r="G9733">
        <f t="shared" si="152"/>
        <v>1824</v>
      </c>
    </row>
    <row r="9734" spans="2:7" ht="15" hidden="1" x14ac:dyDescent="0.25">
      <c r="B9734" s="4">
        <v>584758609</v>
      </c>
      <c r="C9734" s="4" t="s">
        <v>269</v>
      </c>
      <c r="D9734" s="4">
        <v>280</v>
      </c>
      <c r="E9734" s="4">
        <v>57</v>
      </c>
      <c r="G9734">
        <f t="shared" si="152"/>
        <v>512</v>
      </c>
    </row>
    <row r="9735" spans="2:7" ht="15" hidden="1" x14ac:dyDescent="0.25">
      <c r="B9735" s="4">
        <v>584758610</v>
      </c>
      <c r="C9735" s="4" t="s">
        <v>269</v>
      </c>
      <c r="D9735" s="4">
        <v>281</v>
      </c>
      <c r="E9735" s="4">
        <v>57</v>
      </c>
      <c r="G9735">
        <f t="shared" si="152"/>
        <v>512</v>
      </c>
    </row>
    <row r="9736" spans="2:7" ht="15" hidden="1" x14ac:dyDescent="0.25">
      <c r="B9736" s="4">
        <v>584758611</v>
      </c>
      <c r="C9736" s="4" t="s">
        <v>269</v>
      </c>
      <c r="D9736" s="4">
        <v>282</v>
      </c>
      <c r="E9736" s="4">
        <v>57</v>
      </c>
      <c r="G9736">
        <f t="shared" si="152"/>
        <v>512</v>
      </c>
    </row>
    <row r="9737" spans="2:7" ht="15" hidden="1" x14ac:dyDescent="0.25">
      <c r="B9737" s="4">
        <v>584758612</v>
      </c>
      <c r="C9737" s="4" t="s">
        <v>269</v>
      </c>
      <c r="D9737" s="4">
        <v>283</v>
      </c>
      <c r="E9737" s="4">
        <v>57</v>
      </c>
      <c r="G9737">
        <f t="shared" si="152"/>
        <v>512</v>
      </c>
    </row>
    <row r="9738" spans="2:7" ht="15" hidden="1" x14ac:dyDescent="0.25">
      <c r="B9738" s="4">
        <v>584758613</v>
      </c>
      <c r="C9738" s="4" t="s">
        <v>269</v>
      </c>
      <c r="D9738" s="4">
        <v>284</v>
      </c>
      <c r="E9738" s="4">
        <v>57</v>
      </c>
      <c r="G9738">
        <f t="shared" si="152"/>
        <v>512</v>
      </c>
    </row>
    <row r="9739" spans="2:7" ht="15" hidden="1" x14ac:dyDescent="0.25">
      <c r="B9739" s="4">
        <v>584758614</v>
      </c>
      <c r="C9739" s="4" t="s">
        <v>269</v>
      </c>
      <c r="D9739" s="4">
        <v>285</v>
      </c>
      <c r="E9739" s="4">
        <v>57</v>
      </c>
      <c r="G9739">
        <f t="shared" si="152"/>
        <v>512</v>
      </c>
    </row>
    <row r="9740" spans="2:7" ht="15" hidden="1" x14ac:dyDescent="0.25">
      <c r="B9740" s="4">
        <v>584758615</v>
      </c>
      <c r="C9740" s="4" t="s">
        <v>269</v>
      </c>
      <c r="D9740" s="4">
        <v>286</v>
      </c>
      <c r="E9740" s="4">
        <v>57</v>
      </c>
      <c r="G9740">
        <f t="shared" si="152"/>
        <v>512</v>
      </c>
    </row>
    <row r="9741" spans="2:7" ht="15" hidden="1" x14ac:dyDescent="0.25">
      <c r="B9741" s="4">
        <v>584758616</v>
      </c>
      <c r="C9741" s="4" t="s">
        <v>269</v>
      </c>
      <c r="D9741" s="4">
        <v>287</v>
      </c>
      <c r="E9741" s="4">
        <v>57</v>
      </c>
      <c r="G9741">
        <f t="shared" si="152"/>
        <v>512</v>
      </c>
    </row>
    <row r="9742" spans="2:7" ht="15" hidden="1" x14ac:dyDescent="0.25">
      <c r="B9742" s="4">
        <v>584758617</v>
      </c>
      <c r="C9742" s="4" t="s">
        <v>269</v>
      </c>
      <c r="D9742" s="4">
        <v>288</v>
      </c>
      <c r="E9742" s="4">
        <v>57</v>
      </c>
      <c r="G9742">
        <f t="shared" si="152"/>
        <v>512</v>
      </c>
    </row>
    <row r="9743" spans="2:7" ht="15" hidden="1" x14ac:dyDescent="0.25">
      <c r="B9743" s="4">
        <v>584758618</v>
      </c>
      <c r="C9743" s="4" t="s">
        <v>269</v>
      </c>
      <c r="D9743" s="4">
        <v>289</v>
      </c>
      <c r="E9743" s="4">
        <v>57</v>
      </c>
      <c r="G9743">
        <f t="shared" si="152"/>
        <v>512</v>
      </c>
    </row>
    <row r="9744" spans="2:7" ht="15" hidden="1" x14ac:dyDescent="0.25">
      <c r="B9744" s="4">
        <v>584758618</v>
      </c>
      <c r="C9744" s="4" t="s">
        <v>272</v>
      </c>
      <c r="D9744" s="4">
        <v>17</v>
      </c>
      <c r="E9744" s="4">
        <v>221</v>
      </c>
      <c r="G9744">
        <f t="shared" si="152"/>
        <v>1824</v>
      </c>
    </row>
    <row r="9745" spans="2:7" ht="15" hidden="1" x14ac:dyDescent="0.25">
      <c r="B9745" s="4">
        <v>584758619</v>
      </c>
      <c r="C9745" s="4" t="s">
        <v>269</v>
      </c>
      <c r="D9745" s="4">
        <v>290</v>
      </c>
      <c r="E9745" s="4">
        <v>57</v>
      </c>
      <c r="G9745">
        <f t="shared" si="152"/>
        <v>512</v>
      </c>
    </row>
    <row r="9746" spans="2:7" ht="15" hidden="1" x14ac:dyDescent="0.25">
      <c r="B9746" s="4">
        <v>584758620</v>
      </c>
      <c r="C9746" s="4" t="s">
        <v>268</v>
      </c>
      <c r="D9746" s="4">
        <v>162</v>
      </c>
      <c r="E9746" s="4">
        <v>6</v>
      </c>
      <c r="G9746">
        <f t="shared" si="152"/>
        <v>104</v>
      </c>
    </row>
    <row r="9747" spans="2:7" ht="15" hidden="1" x14ac:dyDescent="0.25">
      <c r="B9747" s="4">
        <v>584758620</v>
      </c>
      <c r="C9747" s="4" t="s">
        <v>268</v>
      </c>
      <c r="D9747" s="4">
        <v>162</v>
      </c>
      <c r="E9747" s="4">
        <v>6</v>
      </c>
      <c r="G9747">
        <f t="shared" si="152"/>
        <v>104</v>
      </c>
    </row>
    <row r="9748" spans="2:7" ht="15" hidden="1" x14ac:dyDescent="0.25">
      <c r="B9748" s="4">
        <v>584758620</v>
      </c>
      <c r="C9748" s="4" t="s">
        <v>268</v>
      </c>
      <c r="D9748" s="4">
        <v>163</v>
      </c>
      <c r="E9748" s="4">
        <v>9</v>
      </c>
      <c r="G9748">
        <f t="shared" si="152"/>
        <v>128</v>
      </c>
    </row>
    <row r="9749" spans="2:7" ht="15" hidden="1" x14ac:dyDescent="0.25">
      <c r="B9749" s="4">
        <v>584758620</v>
      </c>
      <c r="C9749" s="4" t="s">
        <v>268</v>
      </c>
      <c r="D9749" s="4">
        <v>163</v>
      </c>
      <c r="E9749" s="4">
        <v>9</v>
      </c>
      <c r="G9749">
        <f t="shared" si="152"/>
        <v>128</v>
      </c>
    </row>
    <row r="9750" spans="2:7" ht="15" hidden="1" x14ac:dyDescent="0.25">
      <c r="B9750" s="4">
        <v>584758620</v>
      </c>
      <c r="C9750" s="4" t="s">
        <v>268</v>
      </c>
      <c r="D9750" s="4">
        <v>164</v>
      </c>
      <c r="E9750" s="4">
        <v>7</v>
      </c>
      <c r="G9750">
        <f t="shared" si="152"/>
        <v>112</v>
      </c>
    </row>
    <row r="9751" spans="2:7" ht="15" hidden="1" x14ac:dyDescent="0.25">
      <c r="B9751" s="4">
        <v>584758620</v>
      </c>
      <c r="C9751" s="4" t="s">
        <v>268</v>
      </c>
      <c r="D9751" s="4">
        <v>164</v>
      </c>
      <c r="E9751" s="4">
        <v>7</v>
      </c>
      <c r="G9751">
        <f t="shared" si="152"/>
        <v>112</v>
      </c>
    </row>
    <row r="9752" spans="2:7" ht="15" hidden="1" x14ac:dyDescent="0.25">
      <c r="B9752" s="4">
        <v>584758620</v>
      </c>
      <c r="C9752" s="4" t="s">
        <v>268</v>
      </c>
      <c r="D9752" s="4">
        <v>165</v>
      </c>
      <c r="E9752" s="4">
        <v>7</v>
      </c>
      <c r="G9752">
        <f t="shared" si="152"/>
        <v>112</v>
      </c>
    </row>
    <row r="9753" spans="2:7" ht="15" hidden="1" x14ac:dyDescent="0.25">
      <c r="B9753" s="4">
        <v>584758620</v>
      </c>
      <c r="C9753" s="4" t="s">
        <v>268</v>
      </c>
      <c r="D9753" s="4">
        <v>165</v>
      </c>
      <c r="E9753" s="4">
        <v>7</v>
      </c>
      <c r="G9753">
        <f t="shared" si="152"/>
        <v>112</v>
      </c>
    </row>
    <row r="9754" spans="2:7" ht="15" hidden="1" x14ac:dyDescent="0.25">
      <c r="B9754" s="4">
        <v>584758620</v>
      </c>
      <c r="C9754" s="4" t="s">
        <v>268</v>
      </c>
      <c r="D9754" s="4">
        <v>166</v>
      </c>
      <c r="E9754" s="4">
        <v>7</v>
      </c>
      <c r="G9754">
        <f t="shared" si="152"/>
        <v>112</v>
      </c>
    </row>
    <row r="9755" spans="2:7" ht="15" hidden="1" x14ac:dyDescent="0.25">
      <c r="B9755" s="4">
        <v>584758620</v>
      </c>
      <c r="C9755" s="4" t="s">
        <v>268</v>
      </c>
      <c r="D9755" s="4">
        <v>166</v>
      </c>
      <c r="E9755" s="4">
        <v>7</v>
      </c>
      <c r="G9755">
        <f t="shared" si="152"/>
        <v>112</v>
      </c>
    </row>
    <row r="9756" spans="2:7" ht="15" hidden="1" x14ac:dyDescent="0.25">
      <c r="B9756" s="4">
        <v>584758620</v>
      </c>
      <c r="C9756" s="4" t="s">
        <v>269</v>
      </c>
      <c r="D9756" s="4">
        <v>291</v>
      </c>
      <c r="E9756" s="4">
        <v>57</v>
      </c>
      <c r="G9756">
        <f t="shared" si="152"/>
        <v>512</v>
      </c>
    </row>
    <row r="9757" spans="2:7" ht="15" hidden="1" x14ac:dyDescent="0.25">
      <c r="B9757" s="4">
        <v>584758621</v>
      </c>
      <c r="C9757" s="4" t="s">
        <v>269</v>
      </c>
      <c r="D9757" s="4">
        <v>292</v>
      </c>
      <c r="E9757" s="4">
        <v>57</v>
      </c>
      <c r="G9757">
        <f t="shared" si="152"/>
        <v>512</v>
      </c>
    </row>
    <row r="9758" spans="2:7" ht="15" hidden="1" x14ac:dyDescent="0.25">
      <c r="B9758" s="4">
        <v>584758622</v>
      </c>
      <c r="C9758" s="4" t="s">
        <v>268</v>
      </c>
      <c r="D9758" s="4">
        <v>167</v>
      </c>
      <c r="E9758" s="4">
        <v>7</v>
      </c>
      <c r="G9758">
        <f t="shared" si="152"/>
        <v>112</v>
      </c>
    </row>
    <row r="9759" spans="2:7" ht="15" hidden="1" x14ac:dyDescent="0.25">
      <c r="B9759" s="4">
        <v>584758622</v>
      </c>
      <c r="C9759" s="4" t="s">
        <v>268</v>
      </c>
      <c r="D9759" s="4">
        <v>167</v>
      </c>
      <c r="E9759" s="4">
        <v>7</v>
      </c>
      <c r="G9759">
        <f t="shared" si="152"/>
        <v>112</v>
      </c>
    </row>
    <row r="9760" spans="2:7" ht="15" hidden="1" x14ac:dyDescent="0.25">
      <c r="B9760" s="4">
        <v>584758622</v>
      </c>
      <c r="C9760" s="4" t="s">
        <v>268</v>
      </c>
      <c r="D9760" s="4">
        <v>168</v>
      </c>
      <c r="E9760" s="4">
        <v>5</v>
      </c>
      <c r="G9760">
        <f t="shared" si="152"/>
        <v>96</v>
      </c>
    </row>
    <row r="9761" spans="2:7" ht="15" hidden="1" x14ac:dyDescent="0.25">
      <c r="B9761" s="4">
        <v>584758622</v>
      </c>
      <c r="C9761" s="4" t="s">
        <v>268</v>
      </c>
      <c r="D9761" s="4">
        <v>168</v>
      </c>
      <c r="E9761" s="4">
        <v>5</v>
      </c>
      <c r="G9761">
        <f t="shared" si="152"/>
        <v>96</v>
      </c>
    </row>
    <row r="9762" spans="2:7" ht="15" hidden="1" x14ac:dyDescent="0.25">
      <c r="B9762" s="4">
        <v>584758622</v>
      </c>
      <c r="C9762" s="4" t="s">
        <v>268</v>
      </c>
      <c r="D9762" s="4">
        <v>169</v>
      </c>
      <c r="E9762" s="4">
        <v>7</v>
      </c>
      <c r="G9762">
        <f t="shared" si="152"/>
        <v>112</v>
      </c>
    </row>
    <row r="9763" spans="2:7" ht="15" hidden="1" x14ac:dyDescent="0.25">
      <c r="B9763" s="4">
        <v>584758622</v>
      </c>
      <c r="C9763" s="4" t="s">
        <v>268</v>
      </c>
      <c r="D9763" s="4">
        <v>169</v>
      </c>
      <c r="E9763" s="4">
        <v>7</v>
      </c>
      <c r="G9763">
        <f t="shared" si="152"/>
        <v>112</v>
      </c>
    </row>
    <row r="9764" spans="2:7" ht="15" hidden="1" x14ac:dyDescent="0.25">
      <c r="B9764" s="4">
        <v>584758622</v>
      </c>
      <c r="C9764" s="4" t="s">
        <v>269</v>
      </c>
      <c r="D9764" s="4">
        <v>293</v>
      </c>
      <c r="E9764" s="4">
        <v>57</v>
      </c>
      <c r="G9764">
        <f t="shared" si="152"/>
        <v>512</v>
      </c>
    </row>
    <row r="9765" spans="2:7" ht="15" hidden="1" x14ac:dyDescent="0.25">
      <c r="B9765" s="4">
        <v>584758623</v>
      </c>
      <c r="C9765" s="4" t="s">
        <v>269</v>
      </c>
      <c r="D9765" s="4">
        <v>294</v>
      </c>
      <c r="E9765" s="4">
        <v>57</v>
      </c>
      <c r="G9765">
        <f t="shared" si="152"/>
        <v>512</v>
      </c>
    </row>
    <row r="9766" spans="2:7" ht="15" hidden="1" x14ac:dyDescent="0.25">
      <c r="B9766" s="4">
        <v>584758624</v>
      </c>
      <c r="C9766" s="4" t="s">
        <v>269</v>
      </c>
      <c r="D9766" s="4">
        <v>295</v>
      </c>
      <c r="E9766" s="4">
        <v>57</v>
      </c>
      <c r="G9766">
        <f t="shared" si="152"/>
        <v>512</v>
      </c>
    </row>
    <row r="9767" spans="2:7" ht="15" hidden="1" x14ac:dyDescent="0.25">
      <c r="B9767" s="4">
        <v>584758625</v>
      </c>
      <c r="C9767" s="4" t="s">
        <v>269</v>
      </c>
      <c r="D9767" s="4">
        <v>296</v>
      </c>
      <c r="E9767" s="4">
        <v>57</v>
      </c>
      <c r="G9767">
        <f t="shared" si="152"/>
        <v>512</v>
      </c>
    </row>
    <row r="9768" spans="2:7" ht="15" hidden="1" x14ac:dyDescent="0.25">
      <c r="B9768" s="4">
        <v>584758626</v>
      </c>
      <c r="C9768" s="4" t="s">
        <v>269</v>
      </c>
      <c r="D9768" s="4">
        <v>297</v>
      </c>
      <c r="E9768" s="4">
        <v>57</v>
      </c>
      <c r="G9768">
        <f t="shared" si="152"/>
        <v>512</v>
      </c>
    </row>
    <row r="9769" spans="2:7" ht="15" hidden="1" x14ac:dyDescent="0.25">
      <c r="B9769" s="4">
        <v>584758627</v>
      </c>
      <c r="C9769" s="4" t="s">
        <v>273</v>
      </c>
      <c r="D9769" s="4">
        <v>386</v>
      </c>
      <c r="E9769" s="4">
        <v>317</v>
      </c>
      <c r="G9769">
        <f t="shared" si="152"/>
        <v>2592</v>
      </c>
    </row>
    <row r="9770" spans="2:7" ht="15" hidden="1" x14ac:dyDescent="0.25">
      <c r="B9770" s="4">
        <v>584758627</v>
      </c>
      <c r="C9770" s="4" t="s">
        <v>269</v>
      </c>
      <c r="D9770" s="4">
        <v>298</v>
      </c>
      <c r="E9770" s="4">
        <v>57</v>
      </c>
      <c r="G9770">
        <f t="shared" si="152"/>
        <v>512</v>
      </c>
    </row>
    <row r="9771" spans="2:7" ht="15" hidden="1" x14ac:dyDescent="0.25">
      <c r="B9771" s="4">
        <v>584758628</v>
      </c>
      <c r="C9771" s="4" t="s">
        <v>269</v>
      </c>
      <c r="D9771" s="4">
        <v>299</v>
      </c>
      <c r="E9771" s="4">
        <v>57</v>
      </c>
      <c r="G9771">
        <f t="shared" si="152"/>
        <v>512</v>
      </c>
    </row>
    <row r="9772" spans="2:7" ht="15" hidden="1" x14ac:dyDescent="0.25">
      <c r="B9772" s="4">
        <v>584758628</v>
      </c>
      <c r="C9772" s="4" t="s">
        <v>272</v>
      </c>
      <c r="D9772" s="4">
        <v>18</v>
      </c>
      <c r="E9772" s="4">
        <v>225</v>
      </c>
      <c r="G9772">
        <f t="shared" si="152"/>
        <v>1856</v>
      </c>
    </row>
    <row r="9773" spans="2:7" ht="15" hidden="1" x14ac:dyDescent="0.25">
      <c r="B9773" s="4">
        <v>584758629</v>
      </c>
      <c r="C9773" s="4" t="s">
        <v>269</v>
      </c>
      <c r="D9773" s="4">
        <v>300</v>
      </c>
      <c r="E9773" s="4">
        <v>57</v>
      </c>
      <c r="G9773">
        <f t="shared" si="152"/>
        <v>512</v>
      </c>
    </row>
    <row r="9774" spans="2:7" ht="15" hidden="1" x14ac:dyDescent="0.25">
      <c r="B9774" s="4">
        <v>584758630</v>
      </c>
      <c r="C9774" s="4" t="s">
        <v>269</v>
      </c>
      <c r="D9774" s="4">
        <v>301</v>
      </c>
      <c r="E9774" s="4">
        <v>57</v>
      </c>
      <c r="G9774">
        <f t="shared" si="152"/>
        <v>512</v>
      </c>
    </row>
    <row r="9775" spans="2:7" ht="15" hidden="1" x14ac:dyDescent="0.25">
      <c r="B9775" s="4">
        <v>584758631</v>
      </c>
      <c r="C9775" s="4" t="s">
        <v>269</v>
      </c>
      <c r="D9775" s="4">
        <v>302</v>
      </c>
      <c r="E9775" s="4">
        <v>57</v>
      </c>
      <c r="G9775">
        <f t="shared" si="152"/>
        <v>512</v>
      </c>
    </row>
    <row r="9776" spans="2:7" ht="15" hidden="1" x14ac:dyDescent="0.25">
      <c r="B9776" s="4">
        <v>584758632</v>
      </c>
      <c r="C9776" s="4" t="s">
        <v>269</v>
      </c>
      <c r="D9776" s="4">
        <v>303</v>
      </c>
      <c r="E9776" s="4">
        <v>57</v>
      </c>
      <c r="G9776">
        <f t="shared" si="152"/>
        <v>512</v>
      </c>
    </row>
    <row r="9777" spans="2:7" ht="15" hidden="1" x14ac:dyDescent="0.25">
      <c r="B9777" s="4">
        <v>584758633</v>
      </c>
      <c r="C9777" s="4" t="s">
        <v>269</v>
      </c>
      <c r="D9777" s="4">
        <v>304</v>
      </c>
      <c r="E9777" s="4">
        <v>57</v>
      </c>
      <c r="G9777">
        <f t="shared" si="152"/>
        <v>512</v>
      </c>
    </row>
    <row r="9778" spans="2:7" ht="15" hidden="1" x14ac:dyDescent="0.25">
      <c r="B9778" s="4">
        <v>584758634</v>
      </c>
      <c r="C9778" s="4" t="s">
        <v>269</v>
      </c>
      <c r="D9778" s="4">
        <v>305</v>
      </c>
      <c r="E9778" s="4">
        <v>57</v>
      </c>
      <c r="G9778">
        <f t="shared" si="152"/>
        <v>512</v>
      </c>
    </row>
    <row r="9779" spans="2:7" ht="15" hidden="1" x14ac:dyDescent="0.25">
      <c r="B9779" s="4">
        <v>584758635</v>
      </c>
      <c r="C9779" s="4" t="s">
        <v>269</v>
      </c>
      <c r="D9779" s="4">
        <v>306</v>
      </c>
      <c r="E9779" s="4">
        <v>57</v>
      </c>
      <c r="G9779">
        <f t="shared" si="152"/>
        <v>512</v>
      </c>
    </row>
    <row r="9780" spans="2:7" ht="15" hidden="1" x14ac:dyDescent="0.25">
      <c r="B9780" s="4">
        <v>584758636</v>
      </c>
      <c r="C9780" s="4" t="s">
        <v>269</v>
      </c>
      <c r="D9780" s="4">
        <v>307</v>
      </c>
      <c r="E9780" s="4">
        <v>57</v>
      </c>
      <c r="G9780">
        <f t="shared" si="152"/>
        <v>512</v>
      </c>
    </row>
    <row r="9781" spans="2:7" ht="15" hidden="1" x14ac:dyDescent="0.25">
      <c r="B9781" s="4">
        <v>584758637</v>
      </c>
      <c r="C9781" s="4" t="s">
        <v>269</v>
      </c>
      <c r="D9781" s="4">
        <v>308</v>
      </c>
      <c r="E9781" s="4">
        <v>57</v>
      </c>
      <c r="G9781">
        <f t="shared" si="152"/>
        <v>512</v>
      </c>
    </row>
    <row r="9782" spans="2:7" ht="15" hidden="1" x14ac:dyDescent="0.25">
      <c r="B9782" s="4">
        <v>584758638</v>
      </c>
      <c r="C9782" s="4" t="s">
        <v>269</v>
      </c>
      <c r="D9782" s="4">
        <v>309</v>
      </c>
      <c r="E9782" s="4">
        <v>57</v>
      </c>
      <c r="G9782">
        <f t="shared" si="152"/>
        <v>512</v>
      </c>
    </row>
    <row r="9783" spans="2:7" ht="15" hidden="1" x14ac:dyDescent="0.25">
      <c r="B9783" s="4">
        <v>584758638</v>
      </c>
      <c r="C9783" s="4" t="s">
        <v>272</v>
      </c>
      <c r="D9783" s="4">
        <v>19</v>
      </c>
      <c r="E9783" s="4">
        <v>223</v>
      </c>
      <c r="G9783">
        <f t="shared" si="152"/>
        <v>1840</v>
      </c>
    </row>
    <row r="9784" spans="2:7" ht="15" hidden="1" x14ac:dyDescent="0.25">
      <c r="B9784" s="4">
        <v>584758639</v>
      </c>
      <c r="C9784" s="4" t="s">
        <v>269</v>
      </c>
      <c r="D9784" s="4">
        <v>310</v>
      </c>
      <c r="E9784" s="4">
        <v>57</v>
      </c>
      <c r="G9784">
        <f t="shared" si="152"/>
        <v>512</v>
      </c>
    </row>
    <row r="9785" spans="2:7" ht="15" hidden="1" x14ac:dyDescent="0.25">
      <c r="B9785" s="4">
        <v>584758640</v>
      </c>
      <c r="C9785" s="4" t="s">
        <v>269</v>
      </c>
      <c r="D9785" s="4">
        <v>311</v>
      </c>
      <c r="E9785" s="4">
        <v>57</v>
      </c>
      <c r="G9785">
        <f t="shared" si="152"/>
        <v>512</v>
      </c>
    </row>
    <row r="9786" spans="2:7" ht="15" hidden="1" x14ac:dyDescent="0.25">
      <c r="B9786" s="4">
        <v>584758641</v>
      </c>
      <c r="C9786" s="4" t="s">
        <v>269</v>
      </c>
      <c r="D9786" s="4">
        <v>312</v>
      </c>
      <c r="E9786" s="4">
        <v>57</v>
      </c>
      <c r="G9786">
        <f t="shared" si="152"/>
        <v>512</v>
      </c>
    </row>
    <row r="9787" spans="2:7" ht="15" hidden="1" x14ac:dyDescent="0.25">
      <c r="B9787" s="4">
        <v>584758642</v>
      </c>
      <c r="C9787" s="4" t="s">
        <v>269</v>
      </c>
      <c r="D9787" s="4">
        <v>313</v>
      </c>
      <c r="E9787" s="4">
        <v>57</v>
      </c>
      <c r="G9787">
        <f t="shared" si="152"/>
        <v>512</v>
      </c>
    </row>
    <row r="9788" spans="2:7" ht="15" hidden="1" x14ac:dyDescent="0.25">
      <c r="B9788" s="4">
        <v>584758643</v>
      </c>
      <c r="C9788" s="4" t="s">
        <v>269</v>
      </c>
      <c r="D9788" s="4">
        <v>314</v>
      </c>
      <c r="E9788" s="4">
        <v>57</v>
      </c>
      <c r="G9788">
        <f t="shared" si="152"/>
        <v>512</v>
      </c>
    </row>
    <row r="9789" spans="2:7" ht="15" hidden="1" x14ac:dyDescent="0.25">
      <c r="B9789" s="4">
        <v>584758644</v>
      </c>
      <c r="C9789" s="4" t="s">
        <v>269</v>
      </c>
      <c r="D9789" s="4">
        <v>315</v>
      </c>
      <c r="E9789" s="4">
        <v>57</v>
      </c>
      <c r="G9789">
        <f t="shared" si="152"/>
        <v>512</v>
      </c>
    </row>
    <row r="9790" spans="2:7" ht="15" hidden="1" x14ac:dyDescent="0.25">
      <c r="B9790" s="4">
        <v>584758645</v>
      </c>
      <c r="C9790" s="4" t="s">
        <v>269</v>
      </c>
      <c r="D9790" s="4">
        <v>316</v>
      </c>
      <c r="E9790" s="4">
        <v>57</v>
      </c>
      <c r="G9790">
        <f t="shared" si="152"/>
        <v>512</v>
      </c>
    </row>
    <row r="9791" spans="2:7" ht="15" hidden="1" x14ac:dyDescent="0.25">
      <c r="B9791" s="4">
        <v>584758646</v>
      </c>
      <c r="C9791" s="4" t="s">
        <v>269</v>
      </c>
      <c r="D9791" s="4">
        <v>317</v>
      </c>
      <c r="E9791" s="4">
        <v>57</v>
      </c>
      <c r="G9791">
        <f t="shared" si="152"/>
        <v>512</v>
      </c>
    </row>
    <row r="9792" spans="2:7" ht="15" hidden="1" x14ac:dyDescent="0.25">
      <c r="B9792" s="4">
        <v>584758647</v>
      </c>
      <c r="C9792" s="4" t="s">
        <v>269</v>
      </c>
      <c r="D9792" s="4">
        <v>318</v>
      </c>
      <c r="E9792" s="4">
        <v>57</v>
      </c>
      <c r="G9792">
        <f t="shared" si="152"/>
        <v>512</v>
      </c>
    </row>
    <row r="9793" spans="2:7" ht="15" hidden="1" x14ac:dyDescent="0.25">
      <c r="B9793" s="4">
        <v>584758648</v>
      </c>
      <c r="C9793" s="4" t="s">
        <v>269</v>
      </c>
      <c r="D9793" s="4">
        <v>319</v>
      </c>
      <c r="E9793" s="4">
        <v>57</v>
      </c>
      <c r="G9793">
        <f t="shared" si="152"/>
        <v>512</v>
      </c>
    </row>
    <row r="9794" spans="2:7" ht="15" hidden="1" x14ac:dyDescent="0.25">
      <c r="B9794" s="4">
        <v>584758648</v>
      </c>
      <c r="C9794" s="4" t="s">
        <v>272</v>
      </c>
      <c r="D9794" s="4">
        <v>20</v>
      </c>
      <c r="E9794" s="4">
        <v>223</v>
      </c>
      <c r="G9794">
        <f t="shared" si="152"/>
        <v>1840</v>
      </c>
    </row>
    <row r="9795" spans="2:7" ht="15" hidden="1" x14ac:dyDescent="0.25">
      <c r="B9795" s="4">
        <v>584758649</v>
      </c>
      <c r="C9795" s="4" t="s">
        <v>269</v>
      </c>
      <c r="D9795" s="4">
        <v>320</v>
      </c>
      <c r="E9795" s="4">
        <v>57</v>
      </c>
      <c r="G9795">
        <f t="shared" si="152"/>
        <v>512</v>
      </c>
    </row>
    <row r="9796" spans="2:7" ht="15" hidden="1" x14ac:dyDescent="0.25">
      <c r="B9796" s="4">
        <v>584758650</v>
      </c>
      <c r="C9796" s="4" t="s">
        <v>269</v>
      </c>
      <c r="D9796" s="4">
        <v>321</v>
      </c>
      <c r="E9796" s="4">
        <v>57</v>
      </c>
      <c r="G9796">
        <f t="shared" ref="G9796:G9859" si="153">(E9796+7)*8</f>
        <v>512</v>
      </c>
    </row>
    <row r="9797" spans="2:7" ht="15" hidden="1" x14ac:dyDescent="0.25">
      <c r="B9797" s="4">
        <v>584758651</v>
      </c>
      <c r="C9797" s="4" t="s">
        <v>269</v>
      </c>
      <c r="D9797" s="4">
        <v>322</v>
      </c>
      <c r="E9797" s="4">
        <v>57</v>
      </c>
      <c r="G9797">
        <f t="shared" si="153"/>
        <v>512</v>
      </c>
    </row>
    <row r="9798" spans="2:7" ht="15" hidden="1" x14ac:dyDescent="0.25">
      <c r="B9798" s="4">
        <v>584758652</v>
      </c>
      <c r="C9798" s="4" t="s">
        <v>268</v>
      </c>
      <c r="D9798" s="4">
        <v>170</v>
      </c>
      <c r="E9798" s="4">
        <v>6</v>
      </c>
      <c r="G9798">
        <f t="shared" si="153"/>
        <v>104</v>
      </c>
    </row>
    <row r="9799" spans="2:7" ht="15" hidden="1" x14ac:dyDescent="0.25">
      <c r="B9799" s="4">
        <v>584758652</v>
      </c>
      <c r="C9799" s="4" t="s">
        <v>268</v>
      </c>
      <c r="D9799" s="4">
        <v>170</v>
      </c>
      <c r="E9799" s="4">
        <v>6</v>
      </c>
      <c r="G9799">
        <f t="shared" si="153"/>
        <v>104</v>
      </c>
    </row>
    <row r="9800" spans="2:7" ht="15" hidden="1" x14ac:dyDescent="0.25">
      <c r="B9800" s="4">
        <v>584758652</v>
      </c>
      <c r="C9800" s="4" t="s">
        <v>268</v>
      </c>
      <c r="D9800" s="4">
        <v>171</v>
      </c>
      <c r="E9800" s="4">
        <v>9</v>
      </c>
      <c r="G9800">
        <f t="shared" si="153"/>
        <v>128</v>
      </c>
    </row>
    <row r="9801" spans="2:7" ht="15" hidden="1" x14ac:dyDescent="0.25">
      <c r="B9801" s="4">
        <v>584758652</v>
      </c>
      <c r="C9801" s="4" t="s">
        <v>268</v>
      </c>
      <c r="D9801" s="4">
        <v>171</v>
      </c>
      <c r="E9801" s="4">
        <v>9</v>
      </c>
      <c r="G9801">
        <f t="shared" si="153"/>
        <v>128</v>
      </c>
    </row>
    <row r="9802" spans="2:7" ht="15" hidden="1" x14ac:dyDescent="0.25">
      <c r="B9802" s="4">
        <v>584758652</v>
      </c>
      <c r="C9802" s="4" t="s">
        <v>268</v>
      </c>
      <c r="D9802" s="4">
        <v>172</v>
      </c>
      <c r="E9802" s="4">
        <v>7</v>
      </c>
      <c r="G9802">
        <f t="shared" si="153"/>
        <v>112</v>
      </c>
    </row>
    <row r="9803" spans="2:7" ht="15" hidden="1" x14ac:dyDescent="0.25">
      <c r="B9803" s="4">
        <v>584758652</v>
      </c>
      <c r="C9803" s="4" t="s">
        <v>268</v>
      </c>
      <c r="D9803" s="4">
        <v>172</v>
      </c>
      <c r="E9803" s="4">
        <v>7</v>
      </c>
      <c r="G9803">
        <f t="shared" si="153"/>
        <v>112</v>
      </c>
    </row>
    <row r="9804" spans="2:7" ht="15" hidden="1" x14ac:dyDescent="0.25">
      <c r="B9804" s="4">
        <v>584758652</v>
      </c>
      <c r="C9804" s="4" t="s">
        <v>268</v>
      </c>
      <c r="D9804" s="4">
        <v>173</v>
      </c>
      <c r="E9804" s="4">
        <v>7</v>
      </c>
      <c r="G9804">
        <f t="shared" si="153"/>
        <v>112</v>
      </c>
    </row>
    <row r="9805" spans="2:7" ht="15" hidden="1" x14ac:dyDescent="0.25">
      <c r="B9805" s="4">
        <v>584758652</v>
      </c>
      <c r="C9805" s="4" t="s">
        <v>268</v>
      </c>
      <c r="D9805" s="4">
        <v>173</v>
      </c>
      <c r="E9805" s="4">
        <v>7</v>
      </c>
      <c r="G9805">
        <f t="shared" si="153"/>
        <v>112</v>
      </c>
    </row>
    <row r="9806" spans="2:7" ht="15" hidden="1" x14ac:dyDescent="0.25">
      <c r="B9806" s="4">
        <v>584758652</v>
      </c>
      <c r="C9806" s="4" t="s">
        <v>268</v>
      </c>
      <c r="D9806" s="4">
        <v>174</v>
      </c>
      <c r="E9806" s="4">
        <v>7</v>
      </c>
      <c r="G9806">
        <f t="shared" si="153"/>
        <v>112</v>
      </c>
    </row>
    <row r="9807" spans="2:7" ht="15" hidden="1" x14ac:dyDescent="0.25">
      <c r="B9807" s="4">
        <v>584758652</v>
      </c>
      <c r="C9807" s="4" t="s">
        <v>268</v>
      </c>
      <c r="D9807" s="4">
        <v>174</v>
      </c>
      <c r="E9807" s="4">
        <v>7</v>
      </c>
      <c r="G9807">
        <f t="shared" si="153"/>
        <v>112</v>
      </c>
    </row>
    <row r="9808" spans="2:7" ht="15" hidden="1" x14ac:dyDescent="0.25">
      <c r="B9808" s="4">
        <v>584758652</v>
      </c>
      <c r="C9808" s="4" t="s">
        <v>269</v>
      </c>
      <c r="D9808" s="4">
        <v>323</v>
      </c>
      <c r="E9808" s="4">
        <v>57</v>
      </c>
      <c r="G9808">
        <f t="shared" si="153"/>
        <v>512</v>
      </c>
    </row>
    <row r="9809" spans="2:7" ht="15" hidden="1" x14ac:dyDescent="0.25">
      <c r="B9809" s="4">
        <v>584758653</v>
      </c>
      <c r="C9809" s="4" t="s">
        <v>269</v>
      </c>
      <c r="D9809" s="4">
        <v>324</v>
      </c>
      <c r="E9809" s="4">
        <v>57</v>
      </c>
      <c r="G9809">
        <f t="shared" si="153"/>
        <v>512</v>
      </c>
    </row>
    <row r="9810" spans="2:7" ht="15" hidden="1" x14ac:dyDescent="0.25">
      <c r="B9810" s="4">
        <v>584758654</v>
      </c>
      <c r="C9810" s="4" t="s">
        <v>268</v>
      </c>
      <c r="D9810" s="4">
        <v>175</v>
      </c>
      <c r="E9810" s="4">
        <v>7</v>
      </c>
      <c r="G9810">
        <f t="shared" si="153"/>
        <v>112</v>
      </c>
    </row>
    <row r="9811" spans="2:7" ht="15" hidden="1" x14ac:dyDescent="0.25">
      <c r="B9811" s="4">
        <v>584758654</v>
      </c>
      <c r="C9811" s="4" t="s">
        <v>268</v>
      </c>
      <c r="D9811" s="4">
        <v>175</v>
      </c>
      <c r="E9811" s="4">
        <v>7</v>
      </c>
      <c r="G9811">
        <f t="shared" si="153"/>
        <v>112</v>
      </c>
    </row>
    <row r="9812" spans="2:7" ht="15" hidden="1" x14ac:dyDescent="0.25">
      <c r="B9812" s="4">
        <v>584758654</v>
      </c>
      <c r="C9812" s="4" t="s">
        <v>268</v>
      </c>
      <c r="D9812" s="4">
        <v>176</v>
      </c>
      <c r="E9812" s="4">
        <v>5</v>
      </c>
      <c r="G9812">
        <f t="shared" si="153"/>
        <v>96</v>
      </c>
    </row>
    <row r="9813" spans="2:7" ht="15" hidden="1" x14ac:dyDescent="0.25">
      <c r="B9813" s="4">
        <v>584758654</v>
      </c>
      <c r="C9813" s="4" t="s">
        <v>268</v>
      </c>
      <c r="D9813" s="4">
        <v>176</v>
      </c>
      <c r="E9813" s="4">
        <v>5</v>
      </c>
      <c r="G9813">
        <f t="shared" si="153"/>
        <v>96</v>
      </c>
    </row>
    <row r="9814" spans="2:7" ht="15" hidden="1" x14ac:dyDescent="0.25">
      <c r="B9814" s="4">
        <v>584758654</v>
      </c>
      <c r="C9814" s="4" t="s">
        <v>268</v>
      </c>
      <c r="D9814" s="4">
        <v>177</v>
      </c>
      <c r="E9814" s="4">
        <v>7</v>
      </c>
      <c r="G9814">
        <f t="shared" si="153"/>
        <v>112</v>
      </c>
    </row>
    <row r="9815" spans="2:7" ht="15" hidden="1" x14ac:dyDescent="0.25">
      <c r="B9815" s="4">
        <v>584758654</v>
      </c>
      <c r="C9815" s="4" t="s">
        <v>268</v>
      </c>
      <c r="D9815" s="4">
        <v>177</v>
      </c>
      <c r="E9815" s="4">
        <v>7</v>
      </c>
      <c r="G9815">
        <f t="shared" si="153"/>
        <v>112</v>
      </c>
    </row>
    <row r="9816" spans="2:7" ht="15" hidden="1" x14ac:dyDescent="0.25">
      <c r="B9816" s="4">
        <v>584758654</v>
      </c>
      <c r="C9816" s="4" t="s">
        <v>269</v>
      </c>
      <c r="D9816" s="4">
        <v>325</v>
      </c>
      <c r="E9816" s="4">
        <v>57</v>
      </c>
      <c r="G9816">
        <f t="shared" si="153"/>
        <v>512</v>
      </c>
    </row>
    <row r="9817" spans="2:7" ht="15" hidden="1" x14ac:dyDescent="0.25">
      <c r="B9817" s="4">
        <v>584758655</v>
      </c>
      <c r="C9817" s="4" t="s">
        <v>269</v>
      </c>
      <c r="D9817" s="4">
        <v>326</v>
      </c>
      <c r="E9817" s="4">
        <v>57</v>
      </c>
      <c r="G9817">
        <f t="shared" si="153"/>
        <v>512</v>
      </c>
    </row>
    <row r="9818" spans="2:7" ht="15" hidden="1" x14ac:dyDescent="0.25">
      <c r="B9818" s="4">
        <v>584758656</v>
      </c>
      <c r="C9818" s="4" t="s">
        <v>269</v>
      </c>
      <c r="D9818" s="4">
        <v>327</v>
      </c>
      <c r="E9818" s="4">
        <v>57</v>
      </c>
      <c r="G9818">
        <f t="shared" si="153"/>
        <v>512</v>
      </c>
    </row>
    <row r="9819" spans="2:7" ht="15" hidden="1" x14ac:dyDescent="0.25">
      <c r="B9819" s="4">
        <v>584758657</v>
      </c>
      <c r="C9819" s="4" t="s">
        <v>269</v>
      </c>
      <c r="D9819" s="4">
        <v>328</v>
      </c>
      <c r="E9819" s="4">
        <v>57</v>
      </c>
      <c r="G9819">
        <f t="shared" si="153"/>
        <v>512</v>
      </c>
    </row>
    <row r="9820" spans="2:7" ht="15" hidden="1" x14ac:dyDescent="0.25">
      <c r="B9820" s="4">
        <v>584758658</v>
      </c>
      <c r="C9820" s="4" t="s">
        <v>269</v>
      </c>
      <c r="D9820" s="4">
        <v>329</v>
      </c>
      <c r="E9820" s="4">
        <v>57</v>
      </c>
      <c r="G9820">
        <f t="shared" si="153"/>
        <v>512</v>
      </c>
    </row>
    <row r="9821" spans="2:7" ht="15" hidden="1" x14ac:dyDescent="0.25">
      <c r="B9821" s="4">
        <v>584758658</v>
      </c>
      <c r="C9821" s="4" t="s">
        <v>272</v>
      </c>
      <c r="D9821" s="4">
        <v>21</v>
      </c>
      <c r="E9821" s="4">
        <v>225</v>
      </c>
      <c r="G9821">
        <f t="shared" si="153"/>
        <v>1856</v>
      </c>
    </row>
    <row r="9822" spans="2:7" ht="15" hidden="1" x14ac:dyDescent="0.25">
      <c r="B9822" s="4">
        <v>584758659</v>
      </c>
      <c r="C9822" s="4" t="s">
        <v>269</v>
      </c>
      <c r="D9822" s="4">
        <v>330</v>
      </c>
      <c r="E9822" s="4">
        <v>57</v>
      </c>
      <c r="G9822">
        <f t="shared" si="153"/>
        <v>512</v>
      </c>
    </row>
    <row r="9823" spans="2:7" ht="15" hidden="1" x14ac:dyDescent="0.25">
      <c r="B9823" s="4">
        <v>584758660</v>
      </c>
      <c r="C9823" s="4" t="s">
        <v>269</v>
      </c>
      <c r="D9823" s="4">
        <v>331</v>
      </c>
      <c r="E9823" s="4">
        <v>57</v>
      </c>
      <c r="G9823">
        <f t="shared" si="153"/>
        <v>512</v>
      </c>
    </row>
    <row r="9824" spans="2:7" ht="15" hidden="1" x14ac:dyDescent="0.25">
      <c r="B9824" s="4">
        <v>584758661</v>
      </c>
      <c r="C9824" s="4" t="s">
        <v>269</v>
      </c>
      <c r="D9824" s="4">
        <v>332</v>
      </c>
      <c r="E9824" s="4">
        <v>57</v>
      </c>
      <c r="G9824">
        <f t="shared" si="153"/>
        <v>512</v>
      </c>
    </row>
    <row r="9825" spans="2:7" ht="15" hidden="1" x14ac:dyDescent="0.25">
      <c r="B9825" s="4">
        <v>584758662</v>
      </c>
      <c r="C9825" s="4" t="s">
        <v>269</v>
      </c>
      <c r="D9825" s="4">
        <v>333</v>
      </c>
      <c r="E9825" s="4">
        <v>57</v>
      </c>
      <c r="G9825">
        <f t="shared" si="153"/>
        <v>512</v>
      </c>
    </row>
    <row r="9826" spans="2:7" ht="15" hidden="1" x14ac:dyDescent="0.25">
      <c r="B9826" s="4">
        <v>584758663</v>
      </c>
      <c r="C9826" s="4" t="s">
        <v>269</v>
      </c>
      <c r="D9826" s="4">
        <v>334</v>
      </c>
      <c r="E9826" s="4">
        <v>57</v>
      </c>
      <c r="G9826">
        <f t="shared" si="153"/>
        <v>512</v>
      </c>
    </row>
    <row r="9827" spans="2:7" ht="15" hidden="1" x14ac:dyDescent="0.25">
      <c r="B9827" s="4">
        <v>584758664</v>
      </c>
      <c r="C9827" s="4" t="s">
        <v>269</v>
      </c>
      <c r="D9827" s="4">
        <v>335</v>
      </c>
      <c r="E9827" s="4">
        <v>57</v>
      </c>
      <c r="G9827">
        <f t="shared" si="153"/>
        <v>512</v>
      </c>
    </row>
    <row r="9828" spans="2:7" ht="15" hidden="1" x14ac:dyDescent="0.25">
      <c r="B9828" s="4">
        <v>584758665</v>
      </c>
      <c r="C9828" s="4" t="s">
        <v>269</v>
      </c>
      <c r="D9828" s="4">
        <v>336</v>
      </c>
      <c r="E9828" s="4">
        <v>57</v>
      </c>
      <c r="G9828">
        <f t="shared" si="153"/>
        <v>512</v>
      </c>
    </row>
    <row r="9829" spans="2:7" ht="15" hidden="1" x14ac:dyDescent="0.25">
      <c r="B9829" s="4">
        <v>584758666</v>
      </c>
      <c r="C9829" s="4" t="s">
        <v>269</v>
      </c>
      <c r="D9829" s="4">
        <v>337</v>
      </c>
      <c r="E9829" s="4">
        <v>57</v>
      </c>
      <c r="G9829">
        <f t="shared" si="153"/>
        <v>512</v>
      </c>
    </row>
    <row r="9830" spans="2:7" ht="15" hidden="1" x14ac:dyDescent="0.25">
      <c r="B9830" s="4">
        <v>584758667</v>
      </c>
      <c r="C9830" s="4" t="s">
        <v>269</v>
      </c>
      <c r="D9830" s="4">
        <v>338</v>
      </c>
      <c r="E9830" s="4">
        <v>57</v>
      </c>
      <c r="G9830">
        <f t="shared" si="153"/>
        <v>512</v>
      </c>
    </row>
    <row r="9831" spans="2:7" ht="15" hidden="1" x14ac:dyDescent="0.25">
      <c r="B9831" s="4">
        <v>584758668</v>
      </c>
      <c r="C9831" s="4" t="s">
        <v>269</v>
      </c>
      <c r="D9831" s="4">
        <v>339</v>
      </c>
      <c r="E9831" s="4">
        <v>57</v>
      </c>
      <c r="G9831">
        <f t="shared" si="153"/>
        <v>512</v>
      </c>
    </row>
    <row r="9832" spans="2:7" ht="15" hidden="1" x14ac:dyDescent="0.25">
      <c r="B9832" s="4">
        <v>584758668</v>
      </c>
      <c r="C9832" s="4" t="s">
        <v>272</v>
      </c>
      <c r="D9832" s="4">
        <v>22</v>
      </c>
      <c r="E9832" s="4">
        <v>225</v>
      </c>
      <c r="G9832">
        <f t="shared" si="153"/>
        <v>1856</v>
      </c>
    </row>
    <row r="9833" spans="2:7" ht="15" hidden="1" x14ac:dyDescent="0.25">
      <c r="B9833" s="4">
        <v>584758669</v>
      </c>
      <c r="C9833" s="4" t="s">
        <v>269</v>
      </c>
      <c r="D9833" s="4">
        <v>340</v>
      </c>
      <c r="E9833" s="4">
        <v>57</v>
      </c>
      <c r="G9833">
        <f t="shared" si="153"/>
        <v>512</v>
      </c>
    </row>
    <row r="9834" spans="2:7" ht="15" hidden="1" x14ac:dyDescent="0.25">
      <c r="B9834" s="4">
        <v>584758670</v>
      </c>
      <c r="C9834" s="4" t="s">
        <v>269</v>
      </c>
      <c r="D9834" s="4">
        <v>341</v>
      </c>
      <c r="E9834" s="4">
        <v>57</v>
      </c>
      <c r="G9834">
        <f t="shared" si="153"/>
        <v>512</v>
      </c>
    </row>
    <row r="9835" spans="2:7" ht="15" hidden="1" x14ac:dyDescent="0.25">
      <c r="B9835" s="4">
        <v>584758671</v>
      </c>
      <c r="C9835" s="4" t="s">
        <v>269</v>
      </c>
      <c r="D9835" s="4">
        <v>342</v>
      </c>
      <c r="E9835" s="4">
        <v>57</v>
      </c>
      <c r="G9835">
        <f t="shared" si="153"/>
        <v>512</v>
      </c>
    </row>
    <row r="9836" spans="2:7" ht="15" hidden="1" x14ac:dyDescent="0.25">
      <c r="B9836" s="4">
        <v>584758672</v>
      </c>
      <c r="C9836" s="4" t="s">
        <v>269</v>
      </c>
      <c r="D9836" s="4">
        <v>343</v>
      </c>
      <c r="E9836" s="4">
        <v>57</v>
      </c>
      <c r="G9836">
        <f t="shared" si="153"/>
        <v>512</v>
      </c>
    </row>
    <row r="9837" spans="2:7" ht="15" hidden="1" x14ac:dyDescent="0.25">
      <c r="B9837" s="4">
        <v>584758673</v>
      </c>
      <c r="C9837" s="4" t="s">
        <v>269</v>
      </c>
      <c r="D9837" s="4">
        <v>344</v>
      </c>
      <c r="E9837" s="4">
        <v>57</v>
      </c>
      <c r="G9837">
        <f t="shared" si="153"/>
        <v>512</v>
      </c>
    </row>
    <row r="9838" spans="2:7" ht="15" hidden="1" x14ac:dyDescent="0.25">
      <c r="B9838" s="4">
        <v>584758674</v>
      </c>
      <c r="C9838" s="4" t="s">
        <v>269</v>
      </c>
      <c r="D9838" s="4">
        <v>345</v>
      </c>
      <c r="E9838" s="4">
        <v>57</v>
      </c>
      <c r="G9838">
        <f t="shared" si="153"/>
        <v>512</v>
      </c>
    </row>
    <row r="9839" spans="2:7" ht="15" hidden="1" x14ac:dyDescent="0.25">
      <c r="B9839" s="4">
        <v>584758675</v>
      </c>
      <c r="C9839" s="4" t="s">
        <v>269</v>
      </c>
      <c r="D9839" s="4">
        <v>346</v>
      </c>
      <c r="E9839" s="4">
        <v>57</v>
      </c>
      <c r="G9839">
        <f t="shared" si="153"/>
        <v>512</v>
      </c>
    </row>
    <row r="9840" spans="2:7" ht="15" hidden="1" x14ac:dyDescent="0.25">
      <c r="B9840" s="4">
        <v>584758676</v>
      </c>
      <c r="C9840" s="4" t="s">
        <v>269</v>
      </c>
      <c r="D9840" s="4">
        <v>347</v>
      </c>
      <c r="E9840" s="4">
        <v>57</v>
      </c>
      <c r="G9840">
        <f t="shared" si="153"/>
        <v>512</v>
      </c>
    </row>
    <row r="9841" spans="2:7" ht="15" hidden="1" x14ac:dyDescent="0.25">
      <c r="B9841" s="4">
        <v>584758677</v>
      </c>
      <c r="C9841" s="4" t="s">
        <v>269</v>
      </c>
      <c r="D9841" s="4">
        <v>348</v>
      </c>
      <c r="E9841" s="4">
        <v>57</v>
      </c>
      <c r="G9841">
        <f t="shared" si="153"/>
        <v>512</v>
      </c>
    </row>
    <row r="9842" spans="2:7" ht="15" hidden="1" x14ac:dyDescent="0.25">
      <c r="B9842" s="4">
        <v>584758678</v>
      </c>
      <c r="C9842" s="4" t="s">
        <v>269</v>
      </c>
      <c r="D9842" s="4">
        <v>349</v>
      </c>
      <c r="E9842" s="4">
        <v>57</v>
      </c>
      <c r="G9842">
        <f t="shared" si="153"/>
        <v>512</v>
      </c>
    </row>
    <row r="9843" spans="2:7" ht="15" hidden="1" x14ac:dyDescent="0.25">
      <c r="B9843" s="4">
        <v>584758678</v>
      </c>
      <c r="C9843" s="4" t="s">
        <v>272</v>
      </c>
      <c r="D9843" s="4">
        <v>23</v>
      </c>
      <c r="E9843" s="4">
        <v>225</v>
      </c>
      <c r="G9843">
        <f t="shared" si="153"/>
        <v>1856</v>
      </c>
    </row>
    <row r="9844" spans="2:7" ht="15" hidden="1" x14ac:dyDescent="0.25">
      <c r="B9844" s="4">
        <v>584758679</v>
      </c>
      <c r="C9844" s="4" t="s">
        <v>269</v>
      </c>
      <c r="D9844" s="4">
        <v>350</v>
      </c>
      <c r="E9844" s="4">
        <v>57</v>
      </c>
      <c r="G9844">
        <f t="shared" si="153"/>
        <v>512</v>
      </c>
    </row>
    <row r="9845" spans="2:7" ht="15" hidden="1" x14ac:dyDescent="0.25">
      <c r="B9845" s="4">
        <v>584758680</v>
      </c>
      <c r="C9845" s="4" t="s">
        <v>269</v>
      </c>
      <c r="D9845" s="4">
        <v>351</v>
      </c>
      <c r="E9845" s="4">
        <v>57</v>
      </c>
      <c r="G9845">
        <f t="shared" si="153"/>
        <v>512</v>
      </c>
    </row>
    <row r="9846" spans="2:7" ht="15" hidden="1" x14ac:dyDescent="0.25">
      <c r="B9846" s="4">
        <v>584758681</v>
      </c>
      <c r="C9846" s="4" t="s">
        <v>269</v>
      </c>
      <c r="D9846" s="4">
        <v>352</v>
      </c>
      <c r="E9846" s="4">
        <v>57</v>
      </c>
      <c r="G9846">
        <f t="shared" si="153"/>
        <v>512</v>
      </c>
    </row>
    <row r="9847" spans="2:7" ht="15" hidden="1" x14ac:dyDescent="0.25">
      <c r="B9847" s="4">
        <v>584758682</v>
      </c>
      <c r="C9847" s="4" t="s">
        <v>269</v>
      </c>
      <c r="D9847" s="4">
        <v>353</v>
      </c>
      <c r="E9847" s="4">
        <v>57</v>
      </c>
      <c r="G9847">
        <f t="shared" si="153"/>
        <v>512</v>
      </c>
    </row>
    <row r="9848" spans="2:7" ht="15" hidden="1" x14ac:dyDescent="0.25">
      <c r="B9848" s="4">
        <v>584758683</v>
      </c>
      <c r="C9848" s="4" t="s">
        <v>269</v>
      </c>
      <c r="D9848" s="4">
        <v>354</v>
      </c>
      <c r="E9848" s="4">
        <v>57</v>
      </c>
      <c r="G9848">
        <f t="shared" si="153"/>
        <v>512</v>
      </c>
    </row>
    <row r="9849" spans="2:7" ht="15" hidden="1" x14ac:dyDescent="0.25">
      <c r="B9849" s="4">
        <v>584758684</v>
      </c>
      <c r="C9849" s="4" t="s">
        <v>269</v>
      </c>
      <c r="D9849" s="4">
        <v>355</v>
      </c>
      <c r="E9849" s="4">
        <v>57</v>
      </c>
      <c r="G9849">
        <f t="shared" si="153"/>
        <v>512</v>
      </c>
    </row>
    <row r="9850" spans="2:7" ht="15" hidden="1" x14ac:dyDescent="0.25">
      <c r="B9850" s="4">
        <v>584758685</v>
      </c>
      <c r="C9850" s="4" t="s">
        <v>269</v>
      </c>
      <c r="D9850" s="4">
        <v>356</v>
      </c>
      <c r="E9850" s="4">
        <v>57</v>
      </c>
      <c r="G9850">
        <f t="shared" si="153"/>
        <v>512</v>
      </c>
    </row>
    <row r="9851" spans="2:7" ht="15" hidden="1" x14ac:dyDescent="0.25">
      <c r="B9851" s="4">
        <v>584758686</v>
      </c>
      <c r="C9851" s="4" t="s">
        <v>269</v>
      </c>
      <c r="D9851" s="4">
        <v>357</v>
      </c>
      <c r="E9851" s="4">
        <v>57</v>
      </c>
      <c r="G9851">
        <f t="shared" si="153"/>
        <v>512</v>
      </c>
    </row>
    <row r="9852" spans="2:7" ht="15" hidden="1" x14ac:dyDescent="0.25">
      <c r="B9852" s="4">
        <v>584758687</v>
      </c>
      <c r="C9852" s="4" t="s">
        <v>269</v>
      </c>
      <c r="D9852" s="4">
        <v>358</v>
      </c>
      <c r="E9852" s="4">
        <v>57</v>
      </c>
      <c r="G9852">
        <f t="shared" si="153"/>
        <v>512</v>
      </c>
    </row>
    <row r="9853" spans="2:7" ht="15" hidden="1" x14ac:dyDescent="0.25">
      <c r="B9853" s="4">
        <v>584758688</v>
      </c>
      <c r="C9853" s="4" t="s">
        <v>269</v>
      </c>
      <c r="D9853" s="4">
        <v>359</v>
      </c>
      <c r="E9853" s="4">
        <v>57</v>
      </c>
      <c r="G9853">
        <f t="shared" si="153"/>
        <v>512</v>
      </c>
    </row>
    <row r="9854" spans="2:7" ht="15" hidden="1" x14ac:dyDescent="0.25">
      <c r="B9854" s="4">
        <v>584758688</v>
      </c>
      <c r="C9854" s="4" t="s">
        <v>272</v>
      </c>
      <c r="D9854" s="4">
        <v>24</v>
      </c>
      <c r="E9854" s="4">
        <v>225</v>
      </c>
      <c r="G9854">
        <f t="shared" si="153"/>
        <v>1856</v>
      </c>
    </row>
    <row r="9855" spans="2:7" ht="15" hidden="1" x14ac:dyDescent="0.25">
      <c r="B9855" s="4">
        <v>584758689</v>
      </c>
      <c r="C9855" s="4" t="s">
        <v>269</v>
      </c>
      <c r="D9855" s="4">
        <v>360</v>
      </c>
      <c r="E9855" s="4">
        <v>57</v>
      </c>
      <c r="G9855">
        <f t="shared" si="153"/>
        <v>512</v>
      </c>
    </row>
    <row r="9856" spans="2:7" ht="15" hidden="1" x14ac:dyDescent="0.25">
      <c r="B9856" s="4">
        <v>584758690</v>
      </c>
      <c r="C9856" s="4" t="s">
        <v>269</v>
      </c>
      <c r="D9856" s="4">
        <v>361</v>
      </c>
      <c r="E9856" s="4">
        <v>57</v>
      </c>
      <c r="G9856">
        <f t="shared" si="153"/>
        <v>512</v>
      </c>
    </row>
    <row r="9857" spans="2:7" ht="15" hidden="1" x14ac:dyDescent="0.25">
      <c r="B9857" s="4">
        <v>584758691</v>
      </c>
      <c r="C9857" s="4" t="s">
        <v>269</v>
      </c>
      <c r="D9857" s="4">
        <v>362</v>
      </c>
      <c r="E9857" s="4">
        <v>57</v>
      </c>
      <c r="G9857">
        <f t="shared" si="153"/>
        <v>512</v>
      </c>
    </row>
    <row r="9858" spans="2:7" ht="15" hidden="1" x14ac:dyDescent="0.25">
      <c r="B9858" s="4">
        <v>584758692</v>
      </c>
      <c r="C9858" s="4" t="s">
        <v>269</v>
      </c>
      <c r="D9858" s="4">
        <v>363</v>
      </c>
      <c r="E9858" s="4">
        <v>57</v>
      </c>
      <c r="G9858">
        <f t="shared" si="153"/>
        <v>512</v>
      </c>
    </row>
    <row r="9859" spans="2:7" ht="15" hidden="1" x14ac:dyDescent="0.25">
      <c r="B9859" s="4">
        <v>584758693</v>
      </c>
      <c r="C9859" s="4" t="s">
        <v>269</v>
      </c>
      <c r="D9859" s="4">
        <v>364</v>
      </c>
      <c r="E9859" s="4">
        <v>57</v>
      </c>
      <c r="G9859">
        <f t="shared" si="153"/>
        <v>512</v>
      </c>
    </row>
    <row r="9860" spans="2:7" ht="15" hidden="1" x14ac:dyDescent="0.25">
      <c r="B9860" s="4">
        <v>584758694</v>
      </c>
      <c r="C9860" s="4" t="s">
        <v>269</v>
      </c>
      <c r="D9860" s="4">
        <v>365</v>
      </c>
      <c r="E9860" s="4">
        <v>57</v>
      </c>
      <c r="G9860">
        <f t="shared" ref="G9860:G9923" si="154">(E9860+7)*8</f>
        <v>512</v>
      </c>
    </row>
    <row r="9861" spans="2:7" ht="15" hidden="1" x14ac:dyDescent="0.25">
      <c r="B9861" s="4">
        <v>584758695</v>
      </c>
      <c r="C9861" s="4" t="s">
        <v>269</v>
      </c>
      <c r="D9861" s="4">
        <v>366</v>
      </c>
      <c r="E9861" s="4">
        <v>57</v>
      </c>
      <c r="G9861">
        <f t="shared" si="154"/>
        <v>512</v>
      </c>
    </row>
    <row r="9862" spans="2:7" ht="15" hidden="1" x14ac:dyDescent="0.25">
      <c r="B9862" s="4">
        <v>584758696</v>
      </c>
      <c r="C9862" s="4" t="s">
        <v>269</v>
      </c>
      <c r="D9862" s="4">
        <v>367</v>
      </c>
      <c r="E9862" s="4">
        <v>57</v>
      </c>
      <c r="G9862">
        <f t="shared" si="154"/>
        <v>512</v>
      </c>
    </row>
    <row r="9863" spans="2:7" ht="15" hidden="1" x14ac:dyDescent="0.25">
      <c r="B9863" s="4">
        <v>584758697</v>
      </c>
      <c r="C9863" s="4" t="s">
        <v>269</v>
      </c>
      <c r="D9863" s="4">
        <v>368</v>
      </c>
      <c r="E9863" s="4">
        <v>57</v>
      </c>
      <c r="G9863">
        <f t="shared" si="154"/>
        <v>512</v>
      </c>
    </row>
    <row r="9864" spans="2:7" ht="15" hidden="1" x14ac:dyDescent="0.25">
      <c r="B9864" s="4">
        <v>584758698</v>
      </c>
      <c r="C9864" s="4" t="s">
        <v>269</v>
      </c>
      <c r="D9864" s="4">
        <v>369</v>
      </c>
      <c r="E9864" s="4">
        <v>57</v>
      </c>
      <c r="G9864">
        <f t="shared" si="154"/>
        <v>512</v>
      </c>
    </row>
    <row r="9865" spans="2:7" ht="15" hidden="1" x14ac:dyDescent="0.25">
      <c r="B9865" s="4">
        <v>584758698</v>
      </c>
      <c r="C9865" s="4" t="s">
        <v>272</v>
      </c>
      <c r="D9865" s="4">
        <v>25</v>
      </c>
      <c r="E9865" s="4">
        <v>225</v>
      </c>
      <c r="G9865">
        <f t="shared" si="154"/>
        <v>1856</v>
      </c>
    </row>
    <row r="9866" spans="2:7" ht="15" hidden="1" x14ac:dyDescent="0.25">
      <c r="B9866" s="4">
        <v>584758699</v>
      </c>
      <c r="C9866" s="4" t="s">
        <v>269</v>
      </c>
      <c r="D9866" s="4">
        <v>370</v>
      </c>
      <c r="E9866" s="4">
        <v>57</v>
      </c>
      <c r="G9866">
        <f t="shared" si="154"/>
        <v>512</v>
      </c>
    </row>
    <row r="9867" spans="2:7" ht="15" hidden="1" x14ac:dyDescent="0.25">
      <c r="B9867" s="4">
        <v>584758700</v>
      </c>
      <c r="C9867" s="4" t="s">
        <v>269</v>
      </c>
      <c r="D9867" s="4">
        <v>371</v>
      </c>
      <c r="E9867" s="4">
        <v>57</v>
      </c>
      <c r="G9867">
        <f t="shared" si="154"/>
        <v>512</v>
      </c>
    </row>
    <row r="9868" spans="2:7" ht="15" hidden="1" x14ac:dyDescent="0.25">
      <c r="B9868" s="4">
        <v>584758701</v>
      </c>
      <c r="C9868" s="4" t="s">
        <v>269</v>
      </c>
      <c r="D9868" s="4">
        <v>372</v>
      </c>
      <c r="E9868" s="4">
        <v>57</v>
      </c>
      <c r="G9868">
        <f t="shared" si="154"/>
        <v>512</v>
      </c>
    </row>
    <row r="9869" spans="2:7" ht="15" hidden="1" x14ac:dyDescent="0.25">
      <c r="B9869" s="4">
        <v>584758702</v>
      </c>
      <c r="C9869" s="4" t="s">
        <v>269</v>
      </c>
      <c r="D9869" s="4">
        <v>373</v>
      </c>
      <c r="E9869" s="4">
        <v>57</v>
      </c>
      <c r="G9869">
        <f t="shared" si="154"/>
        <v>512</v>
      </c>
    </row>
    <row r="9870" spans="2:7" ht="15" hidden="1" x14ac:dyDescent="0.25">
      <c r="B9870" s="4">
        <v>584758703</v>
      </c>
      <c r="C9870" s="4" t="s">
        <v>269</v>
      </c>
      <c r="D9870" s="4">
        <v>374</v>
      </c>
      <c r="E9870" s="4">
        <v>57</v>
      </c>
      <c r="G9870">
        <f t="shared" si="154"/>
        <v>512</v>
      </c>
    </row>
    <row r="9871" spans="2:7" ht="15" hidden="1" x14ac:dyDescent="0.25">
      <c r="B9871" s="4">
        <v>584758704</v>
      </c>
      <c r="C9871" s="4" t="s">
        <v>269</v>
      </c>
      <c r="D9871" s="4">
        <v>375</v>
      </c>
      <c r="E9871" s="4">
        <v>57</v>
      </c>
      <c r="G9871">
        <f t="shared" si="154"/>
        <v>512</v>
      </c>
    </row>
    <row r="9872" spans="2:7" ht="15" hidden="1" x14ac:dyDescent="0.25">
      <c r="B9872" s="4">
        <v>584758705</v>
      </c>
      <c r="C9872" s="4" t="s">
        <v>269</v>
      </c>
      <c r="D9872" s="4">
        <v>376</v>
      </c>
      <c r="E9872" s="4">
        <v>57</v>
      </c>
      <c r="G9872">
        <f t="shared" si="154"/>
        <v>512</v>
      </c>
    </row>
    <row r="9873" spans="2:7" ht="15" hidden="1" x14ac:dyDescent="0.25">
      <c r="B9873" s="4">
        <v>584758706</v>
      </c>
      <c r="C9873" s="4" t="s">
        <v>269</v>
      </c>
      <c r="D9873" s="4">
        <v>377</v>
      </c>
      <c r="E9873" s="4">
        <v>57</v>
      </c>
      <c r="G9873">
        <f t="shared" si="154"/>
        <v>512</v>
      </c>
    </row>
    <row r="9874" spans="2:7" ht="15" hidden="1" x14ac:dyDescent="0.25">
      <c r="B9874" s="4">
        <v>584758707</v>
      </c>
      <c r="C9874" s="4" t="s">
        <v>269</v>
      </c>
      <c r="D9874" s="4">
        <v>378</v>
      </c>
      <c r="E9874" s="4">
        <v>57</v>
      </c>
      <c r="G9874">
        <f t="shared" si="154"/>
        <v>512</v>
      </c>
    </row>
    <row r="9875" spans="2:7" ht="15" hidden="1" x14ac:dyDescent="0.25">
      <c r="B9875" s="4">
        <v>584758708</v>
      </c>
      <c r="C9875" s="4" t="s">
        <v>269</v>
      </c>
      <c r="D9875" s="4">
        <v>379</v>
      </c>
      <c r="E9875" s="4">
        <v>57</v>
      </c>
      <c r="G9875">
        <f t="shared" si="154"/>
        <v>512</v>
      </c>
    </row>
    <row r="9876" spans="2:7" ht="15" hidden="1" x14ac:dyDescent="0.25">
      <c r="B9876" s="4">
        <v>584758708</v>
      </c>
      <c r="C9876" s="4" t="s">
        <v>272</v>
      </c>
      <c r="D9876" s="4">
        <v>26</v>
      </c>
      <c r="E9876" s="4">
        <v>225</v>
      </c>
      <c r="G9876">
        <f t="shared" si="154"/>
        <v>1856</v>
      </c>
    </row>
    <row r="9877" spans="2:7" ht="15" hidden="1" x14ac:dyDescent="0.25">
      <c r="B9877" s="4">
        <v>584758709</v>
      </c>
      <c r="C9877" s="4" t="s">
        <v>269</v>
      </c>
      <c r="D9877" s="4">
        <v>380</v>
      </c>
      <c r="E9877" s="4">
        <v>57</v>
      </c>
      <c r="G9877">
        <f t="shared" si="154"/>
        <v>512</v>
      </c>
    </row>
    <row r="9878" spans="2:7" ht="15" hidden="1" x14ac:dyDescent="0.25">
      <c r="B9878" s="4">
        <v>584758710</v>
      </c>
      <c r="C9878" s="4" t="s">
        <v>269</v>
      </c>
      <c r="D9878" s="4">
        <v>381</v>
      </c>
      <c r="E9878" s="4">
        <v>57</v>
      </c>
      <c r="G9878">
        <f t="shared" si="154"/>
        <v>512</v>
      </c>
    </row>
    <row r="9879" spans="2:7" ht="15" hidden="1" x14ac:dyDescent="0.25">
      <c r="B9879" s="4">
        <v>584758711</v>
      </c>
      <c r="C9879" s="4" t="s">
        <v>269</v>
      </c>
      <c r="D9879" s="4">
        <v>382</v>
      </c>
      <c r="E9879" s="4">
        <v>57</v>
      </c>
      <c r="G9879">
        <f t="shared" si="154"/>
        <v>512</v>
      </c>
    </row>
    <row r="9880" spans="2:7" ht="15" hidden="1" x14ac:dyDescent="0.25">
      <c r="B9880" s="4">
        <v>584758712</v>
      </c>
      <c r="C9880" s="4" t="s">
        <v>269</v>
      </c>
      <c r="D9880" s="4">
        <v>383</v>
      </c>
      <c r="E9880" s="4">
        <v>57</v>
      </c>
      <c r="G9880">
        <f t="shared" si="154"/>
        <v>512</v>
      </c>
    </row>
    <row r="9881" spans="2:7" ht="15" hidden="1" x14ac:dyDescent="0.25">
      <c r="B9881" s="4">
        <v>584758713</v>
      </c>
      <c r="C9881" s="4" t="s">
        <v>269</v>
      </c>
      <c r="D9881" s="4">
        <v>384</v>
      </c>
      <c r="E9881" s="4">
        <v>57</v>
      </c>
      <c r="G9881">
        <f t="shared" si="154"/>
        <v>512</v>
      </c>
    </row>
    <row r="9882" spans="2:7" ht="15" hidden="1" x14ac:dyDescent="0.25">
      <c r="B9882" s="4">
        <v>584758714</v>
      </c>
      <c r="C9882" s="4" t="s">
        <v>268</v>
      </c>
      <c r="D9882" s="4">
        <v>178</v>
      </c>
      <c r="E9882" s="4">
        <v>6</v>
      </c>
      <c r="G9882">
        <f t="shared" si="154"/>
        <v>104</v>
      </c>
    </row>
    <row r="9883" spans="2:7" ht="15" hidden="1" x14ac:dyDescent="0.25">
      <c r="B9883" s="4">
        <v>584758714</v>
      </c>
      <c r="C9883" s="4" t="s">
        <v>268</v>
      </c>
      <c r="D9883" s="4">
        <v>178</v>
      </c>
      <c r="E9883" s="4">
        <v>6</v>
      </c>
      <c r="G9883">
        <f t="shared" si="154"/>
        <v>104</v>
      </c>
    </row>
    <row r="9884" spans="2:7" ht="15" hidden="1" x14ac:dyDescent="0.25">
      <c r="B9884" s="4">
        <v>584758714</v>
      </c>
      <c r="C9884" s="4" t="s">
        <v>268</v>
      </c>
      <c r="D9884" s="4">
        <v>179</v>
      </c>
      <c r="E9884" s="4">
        <v>9</v>
      </c>
      <c r="G9884">
        <f t="shared" si="154"/>
        <v>128</v>
      </c>
    </row>
    <row r="9885" spans="2:7" ht="15" hidden="1" x14ac:dyDescent="0.25">
      <c r="B9885" s="4">
        <v>584758714</v>
      </c>
      <c r="C9885" s="4" t="s">
        <v>268</v>
      </c>
      <c r="D9885" s="4">
        <v>179</v>
      </c>
      <c r="E9885" s="4">
        <v>9</v>
      </c>
      <c r="G9885">
        <f t="shared" si="154"/>
        <v>128</v>
      </c>
    </row>
    <row r="9886" spans="2:7" ht="15" hidden="1" x14ac:dyDescent="0.25">
      <c r="B9886" s="4">
        <v>584758714</v>
      </c>
      <c r="C9886" s="4" t="s">
        <v>268</v>
      </c>
      <c r="D9886" s="4">
        <v>180</v>
      </c>
      <c r="E9886" s="4">
        <v>7</v>
      </c>
      <c r="G9886">
        <f t="shared" si="154"/>
        <v>112</v>
      </c>
    </row>
    <row r="9887" spans="2:7" ht="15" hidden="1" x14ac:dyDescent="0.25">
      <c r="B9887" s="4">
        <v>584758714</v>
      </c>
      <c r="C9887" s="4" t="s">
        <v>268</v>
      </c>
      <c r="D9887" s="4">
        <v>180</v>
      </c>
      <c r="E9887" s="4">
        <v>7</v>
      </c>
      <c r="G9887">
        <f t="shared" si="154"/>
        <v>112</v>
      </c>
    </row>
    <row r="9888" spans="2:7" ht="15" hidden="1" x14ac:dyDescent="0.25">
      <c r="B9888" s="4">
        <v>584758714</v>
      </c>
      <c r="C9888" s="4" t="s">
        <v>268</v>
      </c>
      <c r="D9888" s="4">
        <v>181</v>
      </c>
      <c r="E9888" s="4">
        <v>7</v>
      </c>
      <c r="G9888">
        <f t="shared" si="154"/>
        <v>112</v>
      </c>
    </row>
    <row r="9889" spans="2:7" ht="15" hidden="1" x14ac:dyDescent="0.25">
      <c r="B9889" s="4">
        <v>584758714</v>
      </c>
      <c r="C9889" s="4" t="s">
        <v>268</v>
      </c>
      <c r="D9889" s="4">
        <v>181</v>
      </c>
      <c r="E9889" s="4">
        <v>7</v>
      </c>
      <c r="G9889">
        <f t="shared" si="154"/>
        <v>112</v>
      </c>
    </row>
    <row r="9890" spans="2:7" ht="15" hidden="1" x14ac:dyDescent="0.25">
      <c r="B9890" s="4">
        <v>584758714</v>
      </c>
      <c r="C9890" s="4" t="s">
        <v>268</v>
      </c>
      <c r="D9890" s="4">
        <v>182</v>
      </c>
      <c r="E9890" s="4">
        <v>7</v>
      </c>
      <c r="G9890">
        <f t="shared" si="154"/>
        <v>112</v>
      </c>
    </row>
    <row r="9891" spans="2:7" ht="15" hidden="1" x14ac:dyDescent="0.25">
      <c r="B9891" s="4">
        <v>584758714</v>
      </c>
      <c r="C9891" s="4" t="s">
        <v>268</v>
      </c>
      <c r="D9891" s="4">
        <v>182</v>
      </c>
      <c r="E9891" s="4">
        <v>7</v>
      </c>
      <c r="G9891">
        <f t="shared" si="154"/>
        <v>112</v>
      </c>
    </row>
    <row r="9892" spans="2:7" ht="15" hidden="1" x14ac:dyDescent="0.25">
      <c r="B9892" s="4">
        <v>584758714</v>
      </c>
      <c r="C9892" s="4" t="s">
        <v>269</v>
      </c>
      <c r="D9892" s="4">
        <v>385</v>
      </c>
      <c r="E9892" s="4">
        <v>57</v>
      </c>
      <c r="G9892">
        <f t="shared" si="154"/>
        <v>512</v>
      </c>
    </row>
    <row r="9893" spans="2:7" ht="15" hidden="1" x14ac:dyDescent="0.25">
      <c r="B9893" s="4">
        <v>584758715</v>
      </c>
      <c r="C9893" s="4" t="s">
        <v>269</v>
      </c>
      <c r="D9893" s="4">
        <v>386</v>
      </c>
      <c r="E9893" s="4">
        <v>57</v>
      </c>
      <c r="G9893">
        <f t="shared" si="154"/>
        <v>512</v>
      </c>
    </row>
    <row r="9894" spans="2:7" ht="15" hidden="1" x14ac:dyDescent="0.25">
      <c r="B9894" s="4">
        <v>584758716</v>
      </c>
      <c r="C9894" s="4" t="s">
        <v>268</v>
      </c>
      <c r="D9894" s="4">
        <v>183</v>
      </c>
      <c r="E9894" s="4">
        <v>7</v>
      </c>
      <c r="G9894">
        <f t="shared" si="154"/>
        <v>112</v>
      </c>
    </row>
    <row r="9895" spans="2:7" ht="15" hidden="1" x14ac:dyDescent="0.25">
      <c r="B9895" s="4">
        <v>584758716</v>
      </c>
      <c r="C9895" s="4" t="s">
        <v>268</v>
      </c>
      <c r="D9895" s="4">
        <v>183</v>
      </c>
      <c r="E9895" s="4">
        <v>7</v>
      </c>
      <c r="G9895">
        <f t="shared" si="154"/>
        <v>112</v>
      </c>
    </row>
    <row r="9896" spans="2:7" ht="15" hidden="1" x14ac:dyDescent="0.25">
      <c r="B9896" s="4">
        <v>584758716</v>
      </c>
      <c r="C9896" s="4" t="s">
        <v>268</v>
      </c>
      <c r="D9896" s="4">
        <v>184</v>
      </c>
      <c r="E9896" s="4">
        <v>5</v>
      </c>
      <c r="G9896">
        <f t="shared" si="154"/>
        <v>96</v>
      </c>
    </row>
    <row r="9897" spans="2:7" ht="15" hidden="1" x14ac:dyDescent="0.25">
      <c r="B9897" s="4">
        <v>584758716</v>
      </c>
      <c r="C9897" s="4" t="s">
        <v>268</v>
      </c>
      <c r="D9897" s="4">
        <v>184</v>
      </c>
      <c r="E9897" s="4">
        <v>5</v>
      </c>
      <c r="G9897">
        <f t="shared" si="154"/>
        <v>96</v>
      </c>
    </row>
    <row r="9898" spans="2:7" ht="15" hidden="1" x14ac:dyDescent="0.25">
      <c r="B9898" s="4">
        <v>584758716</v>
      </c>
      <c r="C9898" s="4" t="s">
        <v>268</v>
      </c>
      <c r="D9898" s="4">
        <v>185</v>
      </c>
      <c r="E9898" s="4">
        <v>7</v>
      </c>
      <c r="G9898">
        <f t="shared" si="154"/>
        <v>112</v>
      </c>
    </row>
    <row r="9899" spans="2:7" ht="15" hidden="1" x14ac:dyDescent="0.25">
      <c r="B9899" s="4">
        <v>584758716</v>
      </c>
      <c r="C9899" s="4" t="s">
        <v>268</v>
      </c>
      <c r="D9899" s="4">
        <v>185</v>
      </c>
      <c r="E9899" s="4">
        <v>7</v>
      </c>
      <c r="G9899">
        <f t="shared" si="154"/>
        <v>112</v>
      </c>
    </row>
    <row r="9900" spans="2:7" ht="15" hidden="1" x14ac:dyDescent="0.25">
      <c r="B9900" s="4">
        <v>584758716</v>
      </c>
      <c r="C9900" s="4" t="s">
        <v>269</v>
      </c>
      <c r="D9900" s="4">
        <v>387</v>
      </c>
      <c r="E9900" s="4">
        <v>57</v>
      </c>
      <c r="G9900">
        <f t="shared" si="154"/>
        <v>512</v>
      </c>
    </row>
    <row r="9901" spans="2:7" ht="15" hidden="1" x14ac:dyDescent="0.25">
      <c r="B9901" s="4">
        <v>584758717</v>
      </c>
      <c r="C9901" s="4" t="s">
        <v>269</v>
      </c>
      <c r="D9901" s="4">
        <v>388</v>
      </c>
      <c r="E9901" s="4">
        <v>57</v>
      </c>
      <c r="G9901">
        <f t="shared" si="154"/>
        <v>512</v>
      </c>
    </row>
    <row r="9902" spans="2:7" ht="15" hidden="1" x14ac:dyDescent="0.25">
      <c r="B9902" s="4">
        <v>584758718</v>
      </c>
      <c r="C9902" s="4" t="s">
        <v>269</v>
      </c>
      <c r="D9902" s="4">
        <v>389</v>
      </c>
      <c r="E9902" s="4">
        <v>57</v>
      </c>
      <c r="G9902">
        <f t="shared" si="154"/>
        <v>512</v>
      </c>
    </row>
    <row r="9903" spans="2:7" ht="15" hidden="1" x14ac:dyDescent="0.25">
      <c r="B9903" s="4">
        <v>584758718</v>
      </c>
      <c r="C9903" s="4" t="s">
        <v>272</v>
      </c>
      <c r="D9903" s="4">
        <v>27</v>
      </c>
      <c r="E9903" s="4">
        <v>225</v>
      </c>
      <c r="G9903">
        <f t="shared" si="154"/>
        <v>1856</v>
      </c>
    </row>
    <row r="9904" spans="2:7" ht="15" hidden="1" x14ac:dyDescent="0.25">
      <c r="B9904" s="4">
        <v>584758719</v>
      </c>
      <c r="C9904" s="4" t="s">
        <v>269</v>
      </c>
      <c r="D9904" s="4">
        <v>390</v>
      </c>
      <c r="E9904" s="4">
        <v>57</v>
      </c>
      <c r="G9904">
        <f t="shared" si="154"/>
        <v>512</v>
      </c>
    </row>
    <row r="9905" spans="2:7" ht="15" hidden="1" x14ac:dyDescent="0.25">
      <c r="B9905" s="4">
        <v>584758720</v>
      </c>
      <c r="C9905" s="4" t="s">
        <v>269</v>
      </c>
      <c r="D9905" s="4">
        <v>391</v>
      </c>
      <c r="E9905" s="4">
        <v>57</v>
      </c>
      <c r="G9905">
        <f t="shared" si="154"/>
        <v>512</v>
      </c>
    </row>
    <row r="9906" spans="2:7" ht="15" hidden="1" x14ac:dyDescent="0.25">
      <c r="B9906" s="4">
        <v>584758721</v>
      </c>
      <c r="C9906" s="4" t="s">
        <v>269</v>
      </c>
      <c r="D9906" s="4">
        <v>392</v>
      </c>
      <c r="E9906" s="4">
        <v>57</v>
      </c>
      <c r="G9906">
        <f t="shared" si="154"/>
        <v>512</v>
      </c>
    </row>
    <row r="9907" spans="2:7" ht="15" hidden="1" x14ac:dyDescent="0.25">
      <c r="B9907" s="4">
        <v>584758722</v>
      </c>
      <c r="C9907" s="4" t="s">
        <v>269</v>
      </c>
      <c r="D9907" s="4">
        <v>393</v>
      </c>
      <c r="E9907" s="4">
        <v>57</v>
      </c>
      <c r="G9907">
        <f t="shared" si="154"/>
        <v>512</v>
      </c>
    </row>
    <row r="9908" spans="2:7" ht="15" hidden="1" x14ac:dyDescent="0.25">
      <c r="B9908" s="4">
        <v>584758723</v>
      </c>
      <c r="C9908" s="4" t="s">
        <v>269</v>
      </c>
      <c r="D9908" s="4">
        <v>394</v>
      </c>
      <c r="E9908" s="4">
        <v>57</v>
      </c>
      <c r="G9908">
        <f t="shared" si="154"/>
        <v>512</v>
      </c>
    </row>
    <row r="9909" spans="2:7" ht="15" hidden="1" x14ac:dyDescent="0.25">
      <c r="B9909" s="4">
        <v>584758724</v>
      </c>
      <c r="C9909" s="4" t="s">
        <v>269</v>
      </c>
      <c r="D9909" s="4">
        <v>395</v>
      </c>
      <c r="E9909" s="4">
        <v>57</v>
      </c>
      <c r="G9909">
        <f t="shared" si="154"/>
        <v>512</v>
      </c>
    </row>
    <row r="9910" spans="2:7" ht="15" hidden="1" x14ac:dyDescent="0.25">
      <c r="B9910" s="4">
        <v>584758725</v>
      </c>
      <c r="C9910" s="4" t="s">
        <v>269</v>
      </c>
      <c r="D9910" s="4">
        <v>396</v>
      </c>
      <c r="E9910" s="4">
        <v>57</v>
      </c>
      <c r="G9910">
        <f t="shared" si="154"/>
        <v>512</v>
      </c>
    </row>
    <row r="9911" spans="2:7" ht="15" hidden="1" x14ac:dyDescent="0.25">
      <c r="B9911" s="4">
        <v>584758726</v>
      </c>
      <c r="C9911" s="4" t="s">
        <v>269</v>
      </c>
      <c r="D9911" s="4">
        <v>397</v>
      </c>
      <c r="E9911" s="4">
        <v>57</v>
      </c>
      <c r="G9911">
        <f t="shared" si="154"/>
        <v>512</v>
      </c>
    </row>
    <row r="9912" spans="2:7" ht="15" hidden="1" x14ac:dyDescent="0.25">
      <c r="B9912" s="4">
        <v>584758727</v>
      </c>
      <c r="C9912" s="4" t="s">
        <v>269</v>
      </c>
      <c r="D9912" s="4">
        <v>398</v>
      </c>
      <c r="E9912" s="4">
        <v>57</v>
      </c>
      <c r="G9912">
        <f t="shared" si="154"/>
        <v>512</v>
      </c>
    </row>
    <row r="9913" spans="2:7" ht="15" hidden="1" x14ac:dyDescent="0.25">
      <c r="B9913" s="4">
        <v>584758728</v>
      </c>
      <c r="C9913" s="4" t="s">
        <v>269</v>
      </c>
      <c r="D9913" s="4">
        <v>399</v>
      </c>
      <c r="E9913" s="4">
        <v>57</v>
      </c>
      <c r="G9913">
        <f t="shared" si="154"/>
        <v>512</v>
      </c>
    </row>
    <row r="9914" spans="2:7" ht="15" hidden="1" x14ac:dyDescent="0.25">
      <c r="B9914" s="4">
        <v>584758728</v>
      </c>
      <c r="C9914" s="4" t="s">
        <v>272</v>
      </c>
      <c r="D9914" s="4">
        <v>28</v>
      </c>
      <c r="E9914" s="4">
        <v>225</v>
      </c>
      <c r="G9914">
        <f t="shared" si="154"/>
        <v>1856</v>
      </c>
    </row>
    <row r="9915" spans="2:7" ht="15" hidden="1" x14ac:dyDescent="0.25">
      <c r="B9915" s="4">
        <v>584758729</v>
      </c>
      <c r="C9915" s="4" t="s">
        <v>269</v>
      </c>
      <c r="D9915" s="4">
        <v>400</v>
      </c>
      <c r="E9915" s="4">
        <v>57</v>
      </c>
      <c r="G9915">
        <f t="shared" si="154"/>
        <v>512</v>
      </c>
    </row>
    <row r="9916" spans="2:7" ht="15" hidden="1" x14ac:dyDescent="0.25">
      <c r="B9916" s="4">
        <v>584758730</v>
      </c>
      <c r="C9916" s="4" t="s">
        <v>269</v>
      </c>
      <c r="D9916" s="4">
        <v>401</v>
      </c>
      <c r="E9916" s="4">
        <v>57</v>
      </c>
      <c r="G9916">
        <f t="shared" si="154"/>
        <v>512</v>
      </c>
    </row>
    <row r="9917" spans="2:7" ht="15" hidden="1" x14ac:dyDescent="0.25">
      <c r="B9917" s="4">
        <v>584758731</v>
      </c>
      <c r="C9917" s="4" t="s">
        <v>269</v>
      </c>
      <c r="D9917" s="4">
        <v>402</v>
      </c>
      <c r="E9917" s="4">
        <v>57</v>
      </c>
      <c r="G9917">
        <f t="shared" si="154"/>
        <v>512</v>
      </c>
    </row>
    <row r="9918" spans="2:7" ht="15" hidden="1" x14ac:dyDescent="0.25">
      <c r="B9918" s="4">
        <v>584758732</v>
      </c>
      <c r="C9918" s="4" t="s">
        <v>269</v>
      </c>
      <c r="D9918" s="4">
        <v>403</v>
      </c>
      <c r="E9918" s="4">
        <v>57</v>
      </c>
      <c r="G9918">
        <f t="shared" si="154"/>
        <v>512</v>
      </c>
    </row>
    <row r="9919" spans="2:7" ht="15" hidden="1" x14ac:dyDescent="0.25">
      <c r="B9919" s="4">
        <v>584758733</v>
      </c>
      <c r="C9919" s="4" t="s">
        <v>269</v>
      </c>
      <c r="D9919" s="4">
        <v>404</v>
      </c>
      <c r="E9919" s="4">
        <v>57</v>
      </c>
      <c r="G9919">
        <f t="shared" si="154"/>
        <v>512</v>
      </c>
    </row>
    <row r="9920" spans="2:7" ht="15" hidden="1" x14ac:dyDescent="0.25">
      <c r="B9920" s="4">
        <v>584758734</v>
      </c>
      <c r="C9920" s="4" t="s">
        <v>269</v>
      </c>
      <c r="D9920" s="4">
        <v>405</v>
      </c>
      <c r="E9920" s="4">
        <v>57</v>
      </c>
      <c r="G9920">
        <f t="shared" si="154"/>
        <v>512</v>
      </c>
    </row>
    <row r="9921" spans="2:7" ht="15" hidden="1" x14ac:dyDescent="0.25">
      <c r="B9921" s="4">
        <v>584758735</v>
      </c>
      <c r="C9921" s="4" t="s">
        <v>269</v>
      </c>
      <c r="D9921" s="4">
        <v>406</v>
      </c>
      <c r="E9921" s="4">
        <v>57</v>
      </c>
      <c r="G9921">
        <f t="shared" si="154"/>
        <v>512</v>
      </c>
    </row>
    <row r="9922" spans="2:7" ht="15" hidden="1" x14ac:dyDescent="0.25">
      <c r="B9922" s="4">
        <v>584758736</v>
      </c>
      <c r="C9922" s="4" t="s">
        <v>269</v>
      </c>
      <c r="D9922" s="4">
        <v>407</v>
      </c>
      <c r="E9922" s="4">
        <v>57</v>
      </c>
      <c r="G9922">
        <f t="shared" si="154"/>
        <v>512</v>
      </c>
    </row>
    <row r="9923" spans="2:7" ht="15" hidden="1" x14ac:dyDescent="0.25">
      <c r="B9923" s="4">
        <v>584758737</v>
      </c>
      <c r="C9923" s="4" t="s">
        <v>269</v>
      </c>
      <c r="D9923" s="4">
        <v>408</v>
      </c>
      <c r="E9923" s="4">
        <v>57</v>
      </c>
      <c r="G9923">
        <f t="shared" si="154"/>
        <v>512</v>
      </c>
    </row>
    <row r="9924" spans="2:7" ht="15" hidden="1" x14ac:dyDescent="0.25">
      <c r="B9924" s="4">
        <v>584758738</v>
      </c>
      <c r="C9924" s="4" t="s">
        <v>269</v>
      </c>
      <c r="D9924" s="4">
        <v>409</v>
      </c>
      <c r="E9924" s="4">
        <v>57</v>
      </c>
      <c r="G9924">
        <f t="shared" ref="G9924:G9987" si="155">(E9924+7)*8</f>
        <v>512</v>
      </c>
    </row>
    <row r="9925" spans="2:7" ht="15" hidden="1" x14ac:dyDescent="0.25">
      <c r="B9925" s="4">
        <v>584758738</v>
      </c>
      <c r="C9925" s="4" t="s">
        <v>272</v>
      </c>
      <c r="D9925" s="4">
        <v>29</v>
      </c>
      <c r="E9925" s="4">
        <v>225</v>
      </c>
      <c r="G9925">
        <f t="shared" si="155"/>
        <v>1856</v>
      </c>
    </row>
    <row r="9926" spans="2:7" ht="15" hidden="1" x14ac:dyDescent="0.25">
      <c r="B9926" s="4">
        <v>584758739</v>
      </c>
      <c r="C9926" s="4" t="s">
        <v>269</v>
      </c>
      <c r="D9926" s="4">
        <v>410</v>
      </c>
      <c r="E9926" s="4">
        <v>57</v>
      </c>
      <c r="G9926">
        <f t="shared" si="155"/>
        <v>512</v>
      </c>
    </row>
    <row r="9927" spans="2:7" ht="15" hidden="1" x14ac:dyDescent="0.25">
      <c r="B9927" s="4">
        <v>584758740</v>
      </c>
      <c r="C9927" s="4" t="s">
        <v>269</v>
      </c>
      <c r="D9927" s="4">
        <v>411</v>
      </c>
      <c r="E9927" s="4">
        <v>57</v>
      </c>
      <c r="G9927">
        <f t="shared" si="155"/>
        <v>512</v>
      </c>
    </row>
    <row r="9928" spans="2:7" ht="15" hidden="1" x14ac:dyDescent="0.25">
      <c r="B9928" s="4">
        <v>584758741</v>
      </c>
      <c r="C9928" s="4" t="s">
        <v>269</v>
      </c>
      <c r="D9928" s="4">
        <v>412</v>
      </c>
      <c r="E9928" s="4">
        <v>57</v>
      </c>
      <c r="G9928">
        <f t="shared" si="155"/>
        <v>512</v>
      </c>
    </row>
    <row r="9929" spans="2:7" ht="15" hidden="1" x14ac:dyDescent="0.25">
      <c r="B9929" s="4">
        <v>584758742</v>
      </c>
      <c r="C9929" s="4" t="s">
        <v>269</v>
      </c>
      <c r="D9929" s="4">
        <v>413</v>
      </c>
      <c r="E9929" s="4">
        <v>57</v>
      </c>
      <c r="G9929">
        <f t="shared" si="155"/>
        <v>512</v>
      </c>
    </row>
    <row r="9930" spans="2:7" ht="15" hidden="1" x14ac:dyDescent="0.25">
      <c r="B9930" s="4">
        <v>584758743</v>
      </c>
      <c r="C9930" s="4" t="s">
        <v>269</v>
      </c>
      <c r="D9930" s="4">
        <v>414</v>
      </c>
      <c r="E9930" s="4">
        <v>57</v>
      </c>
      <c r="G9930">
        <f t="shared" si="155"/>
        <v>512</v>
      </c>
    </row>
    <row r="9931" spans="2:7" ht="15" hidden="1" x14ac:dyDescent="0.25">
      <c r="B9931" s="4">
        <v>584758744</v>
      </c>
      <c r="C9931" s="4" t="s">
        <v>269</v>
      </c>
      <c r="D9931" s="4">
        <v>415</v>
      </c>
      <c r="E9931" s="4">
        <v>57</v>
      </c>
      <c r="G9931">
        <f t="shared" si="155"/>
        <v>512</v>
      </c>
    </row>
    <row r="9932" spans="2:7" ht="15" hidden="1" x14ac:dyDescent="0.25">
      <c r="B9932" s="4">
        <v>584758745</v>
      </c>
      <c r="C9932" s="4" t="s">
        <v>269</v>
      </c>
      <c r="D9932" s="4">
        <v>416</v>
      </c>
      <c r="E9932" s="4">
        <v>57</v>
      </c>
      <c r="G9932">
        <f t="shared" si="155"/>
        <v>512</v>
      </c>
    </row>
    <row r="9933" spans="2:7" ht="15" hidden="1" x14ac:dyDescent="0.25">
      <c r="B9933" s="4">
        <v>584758746</v>
      </c>
      <c r="C9933" s="4" t="s">
        <v>269</v>
      </c>
      <c r="D9933" s="4">
        <v>417</v>
      </c>
      <c r="E9933" s="4">
        <v>57</v>
      </c>
      <c r="G9933">
        <f t="shared" si="155"/>
        <v>512</v>
      </c>
    </row>
    <row r="9934" spans="2:7" ht="15" hidden="1" x14ac:dyDescent="0.25">
      <c r="B9934" s="4">
        <v>584758747</v>
      </c>
      <c r="C9934" s="4" t="s">
        <v>269</v>
      </c>
      <c r="D9934" s="4">
        <v>418</v>
      </c>
      <c r="E9934" s="4">
        <v>57</v>
      </c>
      <c r="G9934">
        <f t="shared" si="155"/>
        <v>512</v>
      </c>
    </row>
    <row r="9935" spans="2:7" ht="15" hidden="1" x14ac:dyDescent="0.25">
      <c r="B9935" s="4">
        <v>584758748</v>
      </c>
      <c r="C9935" s="4" t="s">
        <v>269</v>
      </c>
      <c r="D9935" s="4">
        <v>419</v>
      </c>
      <c r="E9935" s="4">
        <v>57</v>
      </c>
      <c r="G9935">
        <f t="shared" si="155"/>
        <v>512</v>
      </c>
    </row>
    <row r="9936" spans="2:7" ht="15" x14ac:dyDescent="0.25">
      <c r="B9936" s="4">
        <v>584758748</v>
      </c>
      <c r="C9936" s="4" t="s">
        <v>270</v>
      </c>
      <c r="D9936" s="4">
        <v>1</v>
      </c>
      <c r="E9936" s="4">
        <v>1100</v>
      </c>
      <c r="G9936">
        <f t="shared" si="155"/>
        <v>8856</v>
      </c>
    </row>
    <row r="9937" spans="2:7" ht="15" x14ac:dyDescent="0.25">
      <c r="B9937" s="4">
        <v>584758748</v>
      </c>
      <c r="C9937" s="4" t="s">
        <v>271</v>
      </c>
      <c r="D9937" s="4">
        <v>1</v>
      </c>
      <c r="E9937" s="4">
        <v>1100</v>
      </c>
      <c r="G9937">
        <f t="shared" si="155"/>
        <v>8856</v>
      </c>
    </row>
    <row r="9938" spans="2:7" ht="15" hidden="1" x14ac:dyDescent="0.25">
      <c r="B9938" s="4">
        <v>584758749</v>
      </c>
      <c r="C9938" s="4" t="s">
        <v>269</v>
      </c>
      <c r="D9938" s="4">
        <v>420</v>
      </c>
      <c r="E9938" s="4">
        <v>57</v>
      </c>
      <c r="G9938">
        <f t="shared" si="155"/>
        <v>512</v>
      </c>
    </row>
    <row r="9939" spans="2:7" ht="15" hidden="1" x14ac:dyDescent="0.25">
      <c r="B9939" s="4">
        <v>584758749</v>
      </c>
      <c r="C9939" s="4" t="s">
        <v>272</v>
      </c>
      <c r="D9939" s="4">
        <v>30</v>
      </c>
      <c r="E9939" s="4">
        <v>225</v>
      </c>
      <c r="G9939">
        <f t="shared" si="155"/>
        <v>1856</v>
      </c>
    </row>
    <row r="9940" spans="2:7" ht="15" hidden="1" x14ac:dyDescent="0.25">
      <c r="B9940" s="4">
        <v>584758750</v>
      </c>
      <c r="C9940" s="4" t="s">
        <v>269</v>
      </c>
      <c r="D9940" s="4">
        <v>421</v>
      </c>
      <c r="E9940" s="4">
        <v>57</v>
      </c>
      <c r="G9940">
        <f t="shared" si="155"/>
        <v>512</v>
      </c>
    </row>
    <row r="9941" spans="2:7" ht="15" hidden="1" x14ac:dyDescent="0.25">
      <c r="B9941" s="4">
        <v>584758751</v>
      </c>
      <c r="C9941" s="4" t="s">
        <v>269</v>
      </c>
      <c r="D9941" s="4">
        <v>422</v>
      </c>
      <c r="E9941" s="4">
        <v>57</v>
      </c>
      <c r="G9941">
        <f t="shared" si="155"/>
        <v>512</v>
      </c>
    </row>
    <row r="9942" spans="2:7" ht="15" hidden="1" x14ac:dyDescent="0.25">
      <c r="B9942" s="4">
        <v>584758752</v>
      </c>
      <c r="C9942" s="4" t="s">
        <v>269</v>
      </c>
      <c r="D9942" s="4">
        <v>423</v>
      </c>
      <c r="E9942" s="4">
        <v>57</v>
      </c>
      <c r="G9942">
        <f t="shared" si="155"/>
        <v>512</v>
      </c>
    </row>
    <row r="9943" spans="2:7" ht="15" hidden="1" x14ac:dyDescent="0.25">
      <c r="B9943" s="4">
        <v>584758753</v>
      </c>
      <c r="C9943" s="4" t="s">
        <v>269</v>
      </c>
      <c r="D9943" s="4">
        <v>424</v>
      </c>
      <c r="E9943" s="4">
        <v>57</v>
      </c>
      <c r="G9943">
        <f t="shared" si="155"/>
        <v>512</v>
      </c>
    </row>
    <row r="9944" spans="2:7" ht="15" hidden="1" x14ac:dyDescent="0.25">
      <c r="B9944" s="4">
        <v>584758754</v>
      </c>
      <c r="C9944" s="4" t="s">
        <v>269</v>
      </c>
      <c r="D9944" s="4">
        <v>425</v>
      </c>
      <c r="E9944" s="4">
        <v>57</v>
      </c>
      <c r="G9944">
        <f t="shared" si="155"/>
        <v>512</v>
      </c>
    </row>
    <row r="9945" spans="2:7" ht="15" hidden="1" x14ac:dyDescent="0.25">
      <c r="B9945" s="4">
        <v>584758755</v>
      </c>
      <c r="C9945" s="4" t="s">
        <v>269</v>
      </c>
      <c r="D9945" s="4">
        <v>426</v>
      </c>
      <c r="E9945" s="4">
        <v>57</v>
      </c>
      <c r="G9945">
        <f t="shared" si="155"/>
        <v>512</v>
      </c>
    </row>
    <row r="9946" spans="2:7" ht="15" hidden="1" x14ac:dyDescent="0.25">
      <c r="B9946" s="4">
        <v>584758756</v>
      </c>
      <c r="C9946" s="4" t="s">
        <v>269</v>
      </c>
      <c r="D9946" s="4">
        <v>427</v>
      </c>
      <c r="E9946" s="4">
        <v>57</v>
      </c>
      <c r="G9946">
        <f t="shared" si="155"/>
        <v>512</v>
      </c>
    </row>
    <row r="9947" spans="2:7" ht="15" hidden="1" x14ac:dyDescent="0.25">
      <c r="B9947" s="4">
        <v>584758757</v>
      </c>
      <c r="C9947" s="4" t="s">
        <v>269</v>
      </c>
      <c r="D9947" s="4">
        <v>428</v>
      </c>
      <c r="E9947" s="4">
        <v>57</v>
      </c>
      <c r="G9947">
        <f t="shared" si="155"/>
        <v>512</v>
      </c>
    </row>
    <row r="9948" spans="2:7" ht="15" hidden="1" x14ac:dyDescent="0.25">
      <c r="B9948" s="4">
        <v>584758758</v>
      </c>
      <c r="C9948" s="4" t="s">
        <v>269</v>
      </c>
      <c r="D9948" s="4">
        <v>429</v>
      </c>
      <c r="E9948" s="4">
        <v>57</v>
      </c>
      <c r="G9948">
        <f t="shared" si="155"/>
        <v>512</v>
      </c>
    </row>
    <row r="9949" spans="2:7" ht="15" hidden="1" x14ac:dyDescent="0.25">
      <c r="B9949" s="4">
        <v>584758758</v>
      </c>
      <c r="C9949" s="4" t="s">
        <v>272</v>
      </c>
      <c r="D9949" s="4">
        <v>31</v>
      </c>
      <c r="E9949" s="4">
        <v>225</v>
      </c>
      <c r="G9949">
        <f t="shared" si="155"/>
        <v>1856</v>
      </c>
    </row>
    <row r="9950" spans="2:7" ht="15" hidden="1" x14ac:dyDescent="0.25">
      <c r="B9950" s="4">
        <v>584758759</v>
      </c>
      <c r="C9950" s="4" t="s">
        <v>269</v>
      </c>
      <c r="D9950" s="4">
        <v>430</v>
      </c>
      <c r="E9950" s="4">
        <v>57</v>
      </c>
      <c r="G9950">
        <f t="shared" si="155"/>
        <v>512</v>
      </c>
    </row>
    <row r="9951" spans="2:7" ht="15" hidden="1" x14ac:dyDescent="0.25">
      <c r="B9951" s="4">
        <v>584758760</v>
      </c>
      <c r="C9951" s="4" t="s">
        <v>269</v>
      </c>
      <c r="D9951" s="4">
        <v>431</v>
      </c>
      <c r="E9951" s="4">
        <v>57</v>
      </c>
      <c r="G9951">
        <f t="shared" si="155"/>
        <v>512</v>
      </c>
    </row>
    <row r="9952" spans="2:7" ht="15" hidden="1" x14ac:dyDescent="0.25">
      <c r="B9952" s="4">
        <v>584758761</v>
      </c>
      <c r="C9952" s="4" t="s">
        <v>269</v>
      </c>
      <c r="D9952" s="4">
        <v>432</v>
      </c>
      <c r="E9952" s="4">
        <v>57</v>
      </c>
      <c r="G9952">
        <f t="shared" si="155"/>
        <v>512</v>
      </c>
    </row>
    <row r="9953" spans="2:7" ht="15" hidden="1" x14ac:dyDescent="0.25">
      <c r="B9953" s="4">
        <v>584758762</v>
      </c>
      <c r="C9953" s="4" t="s">
        <v>269</v>
      </c>
      <c r="D9953" s="4">
        <v>433</v>
      </c>
      <c r="E9953" s="4">
        <v>57</v>
      </c>
      <c r="G9953">
        <f t="shared" si="155"/>
        <v>512</v>
      </c>
    </row>
    <row r="9954" spans="2:7" ht="15" hidden="1" x14ac:dyDescent="0.25">
      <c r="B9954" s="4">
        <v>584758763</v>
      </c>
      <c r="C9954" s="4" t="s">
        <v>269</v>
      </c>
      <c r="D9954" s="4">
        <v>434</v>
      </c>
      <c r="E9954" s="4">
        <v>57</v>
      </c>
      <c r="G9954">
        <f t="shared" si="155"/>
        <v>512</v>
      </c>
    </row>
    <row r="9955" spans="2:7" ht="15" hidden="1" x14ac:dyDescent="0.25">
      <c r="B9955" s="4">
        <v>584758764</v>
      </c>
      <c r="C9955" s="4" t="s">
        <v>269</v>
      </c>
      <c r="D9955" s="4">
        <v>435</v>
      </c>
      <c r="E9955" s="4">
        <v>57</v>
      </c>
      <c r="G9955">
        <f t="shared" si="155"/>
        <v>512</v>
      </c>
    </row>
    <row r="9956" spans="2:7" ht="15" hidden="1" x14ac:dyDescent="0.25">
      <c r="B9956" s="4">
        <v>584758765</v>
      </c>
      <c r="C9956" s="4" t="s">
        <v>269</v>
      </c>
      <c r="D9956" s="4">
        <v>436</v>
      </c>
      <c r="E9956" s="4">
        <v>57</v>
      </c>
      <c r="G9956">
        <f t="shared" si="155"/>
        <v>512</v>
      </c>
    </row>
    <row r="9957" spans="2:7" ht="15" hidden="1" x14ac:dyDescent="0.25">
      <c r="B9957" s="4">
        <v>584758766</v>
      </c>
      <c r="C9957" s="4" t="s">
        <v>269</v>
      </c>
      <c r="D9957" s="4">
        <v>437</v>
      </c>
      <c r="E9957" s="4">
        <v>57</v>
      </c>
      <c r="G9957">
        <f t="shared" si="155"/>
        <v>512</v>
      </c>
    </row>
    <row r="9958" spans="2:7" ht="15" hidden="1" x14ac:dyDescent="0.25">
      <c r="B9958" s="4">
        <v>584758767</v>
      </c>
      <c r="C9958" s="4" t="s">
        <v>269</v>
      </c>
      <c r="D9958" s="4">
        <v>438</v>
      </c>
      <c r="E9958" s="4">
        <v>57</v>
      </c>
      <c r="G9958">
        <f t="shared" si="155"/>
        <v>512</v>
      </c>
    </row>
    <row r="9959" spans="2:7" ht="15" hidden="1" x14ac:dyDescent="0.25">
      <c r="B9959" s="4">
        <v>584758768</v>
      </c>
      <c r="C9959" s="4" t="s">
        <v>269</v>
      </c>
      <c r="D9959" s="4">
        <v>439</v>
      </c>
      <c r="E9959" s="4">
        <v>57</v>
      </c>
      <c r="G9959">
        <f t="shared" si="155"/>
        <v>512</v>
      </c>
    </row>
    <row r="9960" spans="2:7" ht="15" hidden="1" x14ac:dyDescent="0.25">
      <c r="B9960" s="4">
        <v>584758768</v>
      </c>
      <c r="C9960" s="4" t="s">
        <v>272</v>
      </c>
      <c r="D9960" s="4">
        <v>32</v>
      </c>
      <c r="E9960" s="4">
        <v>225</v>
      </c>
      <c r="G9960">
        <f t="shared" si="155"/>
        <v>1856</v>
      </c>
    </row>
    <row r="9961" spans="2:7" ht="15" hidden="1" x14ac:dyDescent="0.25">
      <c r="B9961" s="4">
        <v>584758769</v>
      </c>
      <c r="C9961" s="4" t="s">
        <v>269</v>
      </c>
      <c r="D9961" s="4">
        <v>440</v>
      </c>
      <c r="E9961" s="4">
        <v>57</v>
      </c>
      <c r="G9961">
        <f t="shared" si="155"/>
        <v>512</v>
      </c>
    </row>
    <row r="9962" spans="2:7" ht="15" hidden="1" x14ac:dyDescent="0.25">
      <c r="B9962" s="4">
        <v>584758770</v>
      </c>
      <c r="C9962" s="4" t="s">
        <v>269</v>
      </c>
      <c r="D9962" s="4">
        <v>441</v>
      </c>
      <c r="E9962" s="4">
        <v>57</v>
      </c>
      <c r="G9962">
        <f t="shared" si="155"/>
        <v>512</v>
      </c>
    </row>
    <row r="9963" spans="2:7" ht="15" hidden="1" x14ac:dyDescent="0.25">
      <c r="B9963" s="4">
        <v>584758771</v>
      </c>
      <c r="C9963" s="4" t="s">
        <v>269</v>
      </c>
      <c r="D9963" s="4">
        <v>442</v>
      </c>
      <c r="E9963" s="4">
        <v>57</v>
      </c>
      <c r="G9963">
        <f t="shared" si="155"/>
        <v>512</v>
      </c>
    </row>
    <row r="9964" spans="2:7" ht="15" hidden="1" x14ac:dyDescent="0.25">
      <c r="B9964" s="4">
        <v>584758772</v>
      </c>
      <c r="C9964" s="4" t="s">
        <v>269</v>
      </c>
      <c r="D9964" s="4">
        <v>443</v>
      </c>
      <c r="E9964" s="4">
        <v>57</v>
      </c>
      <c r="G9964">
        <f t="shared" si="155"/>
        <v>512</v>
      </c>
    </row>
    <row r="9965" spans="2:7" ht="15" hidden="1" x14ac:dyDescent="0.25">
      <c r="B9965" s="4">
        <v>584758773</v>
      </c>
      <c r="C9965" s="4" t="s">
        <v>269</v>
      </c>
      <c r="D9965" s="4">
        <v>444</v>
      </c>
      <c r="E9965" s="4">
        <v>57</v>
      </c>
      <c r="G9965">
        <f t="shared" si="155"/>
        <v>512</v>
      </c>
    </row>
    <row r="9966" spans="2:7" ht="15" hidden="1" x14ac:dyDescent="0.25">
      <c r="B9966" s="4">
        <v>584758774</v>
      </c>
      <c r="C9966" s="4" t="s">
        <v>269</v>
      </c>
      <c r="D9966" s="4">
        <v>445</v>
      </c>
      <c r="E9966" s="4">
        <v>57</v>
      </c>
      <c r="G9966">
        <f t="shared" si="155"/>
        <v>512</v>
      </c>
    </row>
    <row r="9967" spans="2:7" ht="15" hidden="1" x14ac:dyDescent="0.25">
      <c r="B9967" s="4">
        <v>584758775</v>
      </c>
      <c r="C9967" s="4" t="s">
        <v>269</v>
      </c>
      <c r="D9967" s="4">
        <v>446</v>
      </c>
      <c r="E9967" s="4">
        <v>57</v>
      </c>
      <c r="G9967">
        <f t="shared" si="155"/>
        <v>512</v>
      </c>
    </row>
    <row r="9968" spans="2:7" ht="15" hidden="1" x14ac:dyDescent="0.25">
      <c r="B9968" s="4">
        <v>584758776</v>
      </c>
      <c r="C9968" s="4" t="s">
        <v>268</v>
      </c>
      <c r="D9968" s="4">
        <v>186</v>
      </c>
      <c r="E9968" s="4">
        <v>6</v>
      </c>
      <c r="G9968">
        <f t="shared" si="155"/>
        <v>104</v>
      </c>
    </row>
    <row r="9969" spans="2:7" ht="15" hidden="1" x14ac:dyDescent="0.25">
      <c r="B9969" s="4">
        <v>584758776</v>
      </c>
      <c r="C9969" s="4" t="s">
        <v>268</v>
      </c>
      <c r="D9969" s="4">
        <v>186</v>
      </c>
      <c r="E9969" s="4">
        <v>6</v>
      </c>
      <c r="G9969">
        <f t="shared" si="155"/>
        <v>104</v>
      </c>
    </row>
    <row r="9970" spans="2:7" ht="15" hidden="1" x14ac:dyDescent="0.25">
      <c r="B9970" s="4">
        <v>584758776</v>
      </c>
      <c r="C9970" s="4" t="s">
        <v>268</v>
      </c>
      <c r="D9970" s="4">
        <v>187</v>
      </c>
      <c r="E9970" s="4">
        <v>9</v>
      </c>
      <c r="G9970">
        <f t="shared" si="155"/>
        <v>128</v>
      </c>
    </row>
    <row r="9971" spans="2:7" ht="15" hidden="1" x14ac:dyDescent="0.25">
      <c r="B9971" s="4">
        <v>584758776</v>
      </c>
      <c r="C9971" s="4" t="s">
        <v>268</v>
      </c>
      <c r="D9971" s="4">
        <v>187</v>
      </c>
      <c r="E9971" s="4">
        <v>9</v>
      </c>
      <c r="G9971">
        <f t="shared" si="155"/>
        <v>128</v>
      </c>
    </row>
    <row r="9972" spans="2:7" ht="15" hidden="1" x14ac:dyDescent="0.25">
      <c r="B9972" s="4">
        <v>584758776</v>
      </c>
      <c r="C9972" s="4" t="s">
        <v>268</v>
      </c>
      <c r="D9972" s="4">
        <v>188</v>
      </c>
      <c r="E9972" s="4">
        <v>7</v>
      </c>
      <c r="G9972">
        <f t="shared" si="155"/>
        <v>112</v>
      </c>
    </row>
    <row r="9973" spans="2:7" ht="15" hidden="1" x14ac:dyDescent="0.25">
      <c r="B9973" s="4">
        <v>584758776</v>
      </c>
      <c r="C9973" s="4" t="s">
        <v>268</v>
      </c>
      <c r="D9973" s="4">
        <v>188</v>
      </c>
      <c r="E9973" s="4">
        <v>7</v>
      </c>
      <c r="G9973">
        <f t="shared" si="155"/>
        <v>112</v>
      </c>
    </row>
    <row r="9974" spans="2:7" ht="15" hidden="1" x14ac:dyDescent="0.25">
      <c r="B9974" s="4">
        <v>584758776</v>
      </c>
      <c r="C9974" s="4" t="s">
        <v>268</v>
      </c>
      <c r="D9974" s="4">
        <v>189</v>
      </c>
      <c r="E9974" s="4">
        <v>7</v>
      </c>
      <c r="G9974">
        <f t="shared" si="155"/>
        <v>112</v>
      </c>
    </row>
    <row r="9975" spans="2:7" ht="15" hidden="1" x14ac:dyDescent="0.25">
      <c r="B9975" s="4">
        <v>584758776</v>
      </c>
      <c r="C9975" s="4" t="s">
        <v>268</v>
      </c>
      <c r="D9975" s="4">
        <v>189</v>
      </c>
      <c r="E9975" s="4">
        <v>7</v>
      </c>
      <c r="G9975">
        <f t="shared" si="155"/>
        <v>112</v>
      </c>
    </row>
    <row r="9976" spans="2:7" ht="15" hidden="1" x14ac:dyDescent="0.25">
      <c r="B9976" s="4">
        <v>584758776</v>
      </c>
      <c r="C9976" s="4" t="s">
        <v>268</v>
      </c>
      <c r="D9976" s="4">
        <v>190</v>
      </c>
      <c r="E9976" s="4">
        <v>7</v>
      </c>
      <c r="G9976">
        <f t="shared" si="155"/>
        <v>112</v>
      </c>
    </row>
    <row r="9977" spans="2:7" ht="15" hidden="1" x14ac:dyDescent="0.25">
      <c r="B9977" s="4">
        <v>584758776</v>
      </c>
      <c r="C9977" s="4" t="s">
        <v>268</v>
      </c>
      <c r="D9977" s="4">
        <v>190</v>
      </c>
      <c r="E9977" s="4">
        <v>7</v>
      </c>
      <c r="G9977">
        <f t="shared" si="155"/>
        <v>112</v>
      </c>
    </row>
    <row r="9978" spans="2:7" ht="15" hidden="1" x14ac:dyDescent="0.25">
      <c r="B9978" s="4">
        <v>584758776</v>
      </c>
      <c r="C9978" s="4" t="s">
        <v>269</v>
      </c>
      <c r="D9978" s="4">
        <v>447</v>
      </c>
      <c r="E9978" s="4">
        <v>57</v>
      </c>
      <c r="G9978">
        <f t="shared" si="155"/>
        <v>512</v>
      </c>
    </row>
    <row r="9979" spans="2:7" ht="15" hidden="1" x14ac:dyDescent="0.25">
      <c r="B9979" s="4">
        <v>584758777</v>
      </c>
      <c r="C9979" s="4" t="s">
        <v>269</v>
      </c>
      <c r="D9979" s="4">
        <v>448</v>
      </c>
      <c r="E9979" s="4">
        <v>57</v>
      </c>
      <c r="G9979">
        <f t="shared" si="155"/>
        <v>512</v>
      </c>
    </row>
    <row r="9980" spans="2:7" ht="15" hidden="1" x14ac:dyDescent="0.25">
      <c r="B9980" s="4">
        <v>584758778</v>
      </c>
      <c r="C9980" s="4" t="s">
        <v>268</v>
      </c>
      <c r="D9980" s="4">
        <v>191</v>
      </c>
      <c r="E9980" s="4">
        <v>7</v>
      </c>
      <c r="G9980">
        <f t="shared" si="155"/>
        <v>112</v>
      </c>
    </row>
    <row r="9981" spans="2:7" ht="15" hidden="1" x14ac:dyDescent="0.25">
      <c r="B9981" s="4">
        <v>584758778</v>
      </c>
      <c r="C9981" s="4" t="s">
        <v>268</v>
      </c>
      <c r="D9981" s="4">
        <v>191</v>
      </c>
      <c r="E9981" s="4">
        <v>7</v>
      </c>
      <c r="G9981">
        <f t="shared" si="155"/>
        <v>112</v>
      </c>
    </row>
    <row r="9982" spans="2:7" ht="15" hidden="1" x14ac:dyDescent="0.25">
      <c r="B9982" s="4">
        <v>584758778</v>
      </c>
      <c r="C9982" s="4" t="s">
        <v>268</v>
      </c>
      <c r="D9982" s="4">
        <v>192</v>
      </c>
      <c r="E9982" s="4">
        <v>5</v>
      </c>
      <c r="G9982">
        <f t="shared" si="155"/>
        <v>96</v>
      </c>
    </row>
    <row r="9983" spans="2:7" ht="15" hidden="1" x14ac:dyDescent="0.25">
      <c r="B9983" s="4">
        <v>584758778</v>
      </c>
      <c r="C9983" s="4" t="s">
        <v>268</v>
      </c>
      <c r="D9983" s="4">
        <v>192</v>
      </c>
      <c r="E9983" s="4">
        <v>5</v>
      </c>
      <c r="G9983">
        <f t="shared" si="155"/>
        <v>96</v>
      </c>
    </row>
    <row r="9984" spans="2:7" ht="15" hidden="1" x14ac:dyDescent="0.25">
      <c r="B9984" s="4">
        <v>584758778</v>
      </c>
      <c r="C9984" s="4" t="s">
        <v>268</v>
      </c>
      <c r="D9984" s="4">
        <v>193</v>
      </c>
      <c r="E9984" s="4">
        <v>7</v>
      </c>
      <c r="G9984">
        <f t="shared" si="155"/>
        <v>112</v>
      </c>
    </row>
    <row r="9985" spans="2:7" ht="15" hidden="1" x14ac:dyDescent="0.25">
      <c r="B9985" s="4">
        <v>584758778</v>
      </c>
      <c r="C9985" s="4" t="s">
        <v>268</v>
      </c>
      <c r="D9985" s="4">
        <v>193</v>
      </c>
      <c r="E9985" s="4">
        <v>7</v>
      </c>
      <c r="G9985">
        <f t="shared" si="155"/>
        <v>112</v>
      </c>
    </row>
    <row r="9986" spans="2:7" ht="15" hidden="1" x14ac:dyDescent="0.25">
      <c r="B9986" s="4">
        <v>584758778</v>
      </c>
      <c r="C9986" s="4" t="s">
        <v>269</v>
      </c>
      <c r="D9986" s="4">
        <v>449</v>
      </c>
      <c r="E9986" s="4">
        <v>57</v>
      </c>
      <c r="G9986">
        <f t="shared" si="155"/>
        <v>512</v>
      </c>
    </row>
    <row r="9987" spans="2:7" ht="15" hidden="1" x14ac:dyDescent="0.25">
      <c r="B9987" s="4">
        <v>584758778</v>
      </c>
      <c r="C9987" s="4" t="s">
        <v>272</v>
      </c>
      <c r="D9987" s="4">
        <v>33</v>
      </c>
      <c r="E9987" s="4">
        <v>225</v>
      </c>
      <c r="G9987">
        <f t="shared" si="155"/>
        <v>1856</v>
      </c>
    </row>
    <row r="9988" spans="2:7" ht="15" hidden="1" x14ac:dyDescent="0.25">
      <c r="B9988" s="4">
        <v>584758779</v>
      </c>
      <c r="C9988" s="4" t="s">
        <v>269</v>
      </c>
      <c r="D9988" s="4">
        <v>450</v>
      </c>
      <c r="E9988" s="4">
        <v>57</v>
      </c>
      <c r="G9988">
        <f t="shared" ref="G9988:G10051" si="156">(E9988+7)*8</f>
        <v>512</v>
      </c>
    </row>
    <row r="9989" spans="2:7" ht="15" hidden="1" x14ac:dyDescent="0.25">
      <c r="B9989" s="4">
        <v>584758780</v>
      </c>
      <c r="C9989" s="4" t="s">
        <v>269</v>
      </c>
      <c r="D9989" s="4">
        <v>451</v>
      </c>
      <c r="E9989" s="4">
        <v>57</v>
      </c>
      <c r="G9989">
        <f t="shared" si="156"/>
        <v>512</v>
      </c>
    </row>
    <row r="9990" spans="2:7" ht="15" hidden="1" x14ac:dyDescent="0.25">
      <c r="B9990" s="4">
        <v>584758781</v>
      </c>
      <c r="C9990" s="4" t="s">
        <v>269</v>
      </c>
      <c r="D9990" s="4">
        <v>452</v>
      </c>
      <c r="E9990" s="4">
        <v>57</v>
      </c>
      <c r="G9990">
        <f t="shared" si="156"/>
        <v>512</v>
      </c>
    </row>
    <row r="9991" spans="2:7" ht="15" hidden="1" x14ac:dyDescent="0.25">
      <c r="B9991" s="4">
        <v>584758782</v>
      </c>
      <c r="C9991" s="4" t="s">
        <v>269</v>
      </c>
      <c r="D9991" s="4">
        <v>453</v>
      </c>
      <c r="E9991" s="4">
        <v>57</v>
      </c>
      <c r="G9991">
        <f t="shared" si="156"/>
        <v>512</v>
      </c>
    </row>
    <row r="9992" spans="2:7" ht="15" hidden="1" x14ac:dyDescent="0.25">
      <c r="B9992" s="4">
        <v>584758783</v>
      </c>
      <c r="C9992" s="4" t="s">
        <v>269</v>
      </c>
      <c r="D9992" s="4">
        <v>454</v>
      </c>
      <c r="E9992" s="4">
        <v>57</v>
      </c>
      <c r="G9992">
        <f t="shared" si="156"/>
        <v>512</v>
      </c>
    </row>
    <row r="9993" spans="2:7" ht="15" hidden="1" x14ac:dyDescent="0.25">
      <c r="B9993" s="4">
        <v>584758784</v>
      </c>
      <c r="C9993" s="4" t="s">
        <v>269</v>
      </c>
      <c r="D9993" s="4">
        <v>455</v>
      </c>
      <c r="E9993" s="4">
        <v>57</v>
      </c>
      <c r="G9993">
        <f t="shared" si="156"/>
        <v>512</v>
      </c>
    </row>
    <row r="9994" spans="2:7" ht="15" hidden="1" x14ac:dyDescent="0.25">
      <c r="B9994" s="4">
        <v>584758785</v>
      </c>
      <c r="C9994" s="4" t="s">
        <v>269</v>
      </c>
      <c r="D9994" s="4">
        <v>456</v>
      </c>
      <c r="E9994" s="4">
        <v>57</v>
      </c>
      <c r="G9994">
        <f t="shared" si="156"/>
        <v>512</v>
      </c>
    </row>
    <row r="9995" spans="2:7" ht="15" hidden="1" x14ac:dyDescent="0.25">
      <c r="B9995" s="4">
        <v>584758786</v>
      </c>
      <c r="C9995" s="4" t="s">
        <v>269</v>
      </c>
      <c r="D9995" s="4">
        <v>457</v>
      </c>
      <c r="E9995" s="4">
        <v>57</v>
      </c>
      <c r="G9995">
        <f t="shared" si="156"/>
        <v>512</v>
      </c>
    </row>
    <row r="9996" spans="2:7" ht="15" hidden="1" x14ac:dyDescent="0.25">
      <c r="B9996" s="4">
        <v>584758787</v>
      </c>
      <c r="C9996" s="4" t="s">
        <v>269</v>
      </c>
      <c r="D9996" s="4">
        <v>458</v>
      </c>
      <c r="E9996" s="4">
        <v>57</v>
      </c>
      <c r="G9996">
        <f t="shared" si="156"/>
        <v>512</v>
      </c>
    </row>
    <row r="9997" spans="2:7" ht="15" hidden="1" x14ac:dyDescent="0.25">
      <c r="B9997" s="4">
        <v>584758788</v>
      </c>
      <c r="C9997" s="4" t="s">
        <v>269</v>
      </c>
      <c r="D9997" s="4">
        <v>459</v>
      </c>
      <c r="E9997" s="4">
        <v>57</v>
      </c>
      <c r="G9997">
        <f t="shared" si="156"/>
        <v>512</v>
      </c>
    </row>
    <row r="9998" spans="2:7" ht="15" hidden="1" x14ac:dyDescent="0.25">
      <c r="B9998" s="4">
        <v>584758788</v>
      </c>
      <c r="C9998" s="4" t="s">
        <v>272</v>
      </c>
      <c r="D9998" s="4">
        <v>34</v>
      </c>
      <c r="E9998" s="4">
        <v>223</v>
      </c>
      <c r="G9998">
        <f t="shared" si="156"/>
        <v>1840</v>
      </c>
    </row>
    <row r="9999" spans="2:7" ht="15" hidden="1" x14ac:dyDescent="0.25">
      <c r="B9999" s="4">
        <v>584758789</v>
      </c>
      <c r="C9999" s="4" t="s">
        <v>269</v>
      </c>
      <c r="D9999" s="4">
        <v>460</v>
      </c>
      <c r="E9999" s="4">
        <v>57</v>
      </c>
      <c r="G9999">
        <f t="shared" si="156"/>
        <v>512</v>
      </c>
    </row>
    <row r="10000" spans="2:7" ht="15" hidden="1" x14ac:dyDescent="0.25">
      <c r="B10000" s="4">
        <v>584758790</v>
      </c>
      <c r="C10000" s="4" t="s">
        <v>269</v>
      </c>
      <c r="D10000" s="4">
        <v>461</v>
      </c>
      <c r="E10000" s="4">
        <v>57</v>
      </c>
      <c r="G10000">
        <f t="shared" si="156"/>
        <v>512</v>
      </c>
    </row>
    <row r="10001" spans="2:7" ht="15" hidden="1" x14ac:dyDescent="0.25">
      <c r="B10001" s="4">
        <v>584758791</v>
      </c>
      <c r="C10001" s="4" t="s">
        <v>269</v>
      </c>
      <c r="D10001" s="4">
        <v>462</v>
      </c>
      <c r="E10001" s="4">
        <v>57</v>
      </c>
      <c r="G10001">
        <f t="shared" si="156"/>
        <v>512</v>
      </c>
    </row>
    <row r="10002" spans="2:7" ht="15" hidden="1" x14ac:dyDescent="0.25">
      <c r="B10002" s="4">
        <v>584758792</v>
      </c>
      <c r="C10002" s="4" t="s">
        <v>269</v>
      </c>
      <c r="D10002" s="4">
        <v>463</v>
      </c>
      <c r="E10002" s="4">
        <v>57</v>
      </c>
      <c r="G10002">
        <f t="shared" si="156"/>
        <v>512</v>
      </c>
    </row>
    <row r="10003" spans="2:7" ht="15" hidden="1" x14ac:dyDescent="0.25">
      <c r="B10003" s="4">
        <v>584758793</v>
      </c>
      <c r="C10003" s="4" t="s">
        <v>269</v>
      </c>
      <c r="D10003" s="4">
        <v>464</v>
      </c>
      <c r="E10003" s="4">
        <v>57</v>
      </c>
      <c r="G10003">
        <f t="shared" si="156"/>
        <v>512</v>
      </c>
    </row>
    <row r="10004" spans="2:7" ht="15" hidden="1" x14ac:dyDescent="0.25">
      <c r="B10004" s="4">
        <v>584758794</v>
      </c>
      <c r="C10004" s="4" t="s">
        <v>269</v>
      </c>
      <c r="D10004" s="4">
        <v>465</v>
      </c>
      <c r="E10004" s="4">
        <v>57</v>
      </c>
      <c r="G10004">
        <f t="shared" si="156"/>
        <v>512</v>
      </c>
    </row>
    <row r="10005" spans="2:7" ht="15" hidden="1" x14ac:dyDescent="0.25">
      <c r="B10005" s="4">
        <v>584758795</v>
      </c>
      <c r="C10005" s="4" t="s">
        <v>269</v>
      </c>
      <c r="D10005" s="4">
        <v>466</v>
      </c>
      <c r="E10005" s="4">
        <v>57</v>
      </c>
      <c r="G10005">
        <f t="shared" si="156"/>
        <v>512</v>
      </c>
    </row>
    <row r="10006" spans="2:7" ht="15" hidden="1" x14ac:dyDescent="0.25">
      <c r="B10006" s="4">
        <v>584758796</v>
      </c>
      <c r="C10006" s="4" t="s">
        <v>269</v>
      </c>
      <c r="D10006" s="4">
        <v>467</v>
      </c>
      <c r="E10006" s="4">
        <v>57</v>
      </c>
      <c r="G10006">
        <f t="shared" si="156"/>
        <v>512</v>
      </c>
    </row>
    <row r="10007" spans="2:7" ht="15" hidden="1" x14ac:dyDescent="0.25">
      <c r="B10007" s="4">
        <v>584758797</v>
      </c>
      <c r="C10007" s="4" t="s">
        <v>269</v>
      </c>
      <c r="D10007" s="4">
        <v>468</v>
      </c>
      <c r="E10007" s="4">
        <v>57</v>
      </c>
      <c r="G10007">
        <f t="shared" si="156"/>
        <v>512</v>
      </c>
    </row>
    <row r="10008" spans="2:7" ht="15" hidden="1" x14ac:dyDescent="0.25">
      <c r="B10008" s="4">
        <v>584758798</v>
      </c>
      <c r="C10008" s="4" t="s">
        <v>269</v>
      </c>
      <c r="D10008" s="4">
        <v>469</v>
      </c>
      <c r="E10008" s="4">
        <v>57</v>
      </c>
      <c r="G10008">
        <f t="shared" si="156"/>
        <v>512</v>
      </c>
    </row>
    <row r="10009" spans="2:7" ht="15" hidden="1" x14ac:dyDescent="0.25">
      <c r="B10009" s="4">
        <v>584758798</v>
      </c>
      <c r="C10009" s="4" t="s">
        <v>272</v>
      </c>
      <c r="D10009" s="4">
        <v>35</v>
      </c>
      <c r="E10009" s="4">
        <v>223</v>
      </c>
      <c r="G10009">
        <f t="shared" si="156"/>
        <v>1840</v>
      </c>
    </row>
    <row r="10010" spans="2:7" ht="15" hidden="1" x14ac:dyDescent="0.25">
      <c r="B10010" s="4">
        <v>584758799</v>
      </c>
      <c r="C10010" s="4" t="s">
        <v>269</v>
      </c>
      <c r="D10010" s="4">
        <v>470</v>
      </c>
      <c r="E10010" s="4">
        <v>57</v>
      </c>
      <c r="G10010">
        <f t="shared" si="156"/>
        <v>512</v>
      </c>
    </row>
    <row r="10011" spans="2:7" ht="15" hidden="1" x14ac:dyDescent="0.25">
      <c r="B10011" s="4">
        <v>584758800</v>
      </c>
      <c r="C10011" s="4" t="s">
        <v>269</v>
      </c>
      <c r="D10011" s="4">
        <v>471</v>
      </c>
      <c r="E10011" s="4">
        <v>57</v>
      </c>
      <c r="G10011">
        <f t="shared" si="156"/>
        <v>512</v>
      </c>
    </row>
    <row r="10012" spans="2:7" ht="15" hidden="1" x14ac:dyDescent="0.25">
      <c r="B10012" s="4">
        <v>584758801</v>
      </c>
      <c r="C10012" s="4" t="s">
        <v>269</v>
      </c>
      <c r="D10012" s="4">
        <v>472</v>
      </c>
      <c r="E10012" s="4">
        <v>57</v>
      </c>
      <c r="G10012">
        <f t="shared" si="156"/>
        <v>512</v>
      </c>
    </row>
    <row r="10013" spans="2:7" ht="15" hidden="1" x14ac:dyDescent="0.25">
      <c r="B10013" s="4">
        <v>584758802</v>
      </c>
      <c r="C10013" s="4" t="s">
        <v>269</v>
      </c>
      <c r="D10013" s="4">
        <v>473</v>
      </c>
      <c r="E10013" s="4">
        <v>57</v>
      </c>
      <c r="G10013">
        <f t="shared" si="156"/>
        <v>512</v>
      </c>
    </row>
    <row r="10014" spans="2:7" ht="15" hidden="1" x14ac:dyDescent="0.25">
      <c r="B10014" s="4">
        <v>584758803</v>
      </c>
      <c r="C10014" s="4" t="s">
        <v>269</v>
      </c>
      <c r="D10014" s="4">
        <v>474</v>
      </c>
      <c r="E10014" s="4">
        <v>57</v>
      </c>
      <c r="G10014">
        <f t="shared" si="156"/>
        <v>512</v>
      </c>
    </row>
    <row r="10015" spans="2:7" ht="15" hidden="1" x14ac:dyDescent="0.25">
      <c r="B10015" s="4">
        <v>584758804</v>
      </c>
      <c r="C10015" s="4" t="s">
        <v>269</v>
      </c>
      <c r="D10015" s="4">
        <v>475</v>
      </c>
      <c r="E10015" s="4">
        <v>57</v>
      </c>
      <c r="G10015">
        <f t="shared" si="156"/>
        <v>512</v>
      </c>
    </row>
    <row r="10016" spans="2:7" ht="15" hidden="1" x14ac:dyDescent="0.25">
      <c r="B10016" s="4">
        <v>584758805</v>
      </c>
      <c r="C10016" s="4" t="s">
        <v>269</v>
      </c>
      <c r="D10016" s="4">
        <v>476</v>
      </c>
      <c r="E10016" s="4">
        <v>57</v>
      </c>
      <c r="G10016">
        <f t="shared" si="156"/>
        <v>512</v>
      </c>
    </row>
    <row r="10017" spans="2:7" ht="15" hidden="1" x14ac:dyDescent="0.25">
      <c r="B10017" s="4">
        <v>584758806</v>
      </c>
      <c r="C10017" s="4" t="s">
        <v>269</v>
      </c>
      <c r="D10017" s="4">
        <v>477</v>
      </c>
      <c r="E10017" s="4">
        <v>57</v>
      </c>
      <c r="G10017">
        <f t="shared" si="156"/>
        <v>512</v>
      </c>
    </row>
    <row r="10018" spans="2:7" ht="15" hidden="1" x14ac:dyDescent="0.25">
      <c r="B10018" s="4">
        <v>584758807</v>
      </c>
      <c r="C10018" s="4" t="s">
        <v>269</v>
      </c>
      <c r="D10018" s="4">
        <v>478</v>
      </c>
      <c r="E10018" s="4">
        <v>57</v>
      </c>
      <c r="G10018">
        <f t="shared" si="156"/>
        <v>512</v>
      </c>
    </row>
    <row r="10019" spans="2:7" ht="15" hidden="1" x14ac:dyDescent="0.25">
      <c r="B10019" s="4">
        <v>584758808</v>
      </c>
      <c r="C10019" s="4" t="s">
        <v>269</v>
      </c>
      <c r="D10019" s="4">
        <v>479</v>
      </c>
      <c r="E10019" s="4">
        <v>57</v>
      </c>
      <c r="G10019">
        <f t="shared" si="156"/>
        <v>512</v>
      </c>
    </row>
    <row r="10020" spans="2:7" ht="15" hidden="1" x14ac:dyDescent="0.25">
      <c r="B10020" s="4">
        <v>584758808</v>
      </c>
      <c r="C10020" s="4" t="s">
        <v>272</v>
      </c>
      <c r="D10020" s="4">
        <v>36</v>
      </c>
      <c r="E10020" s="4">
        <v>223</v>
      </c>
      <c r="G10020">
        <f t="shared" si="156"/>
        <v>1840</v>
      </c>
    </row>
    <row r="10021" spans="2:7" ht="15" hidden="1" x14ac:dyDescent="0.25">
      <c r="B10021" s="4">
        <v>584758809</v>
      </c>
      <c r="C10021" s="4" t="s">
        <v>269</v>
      </c>
      <c r="D10021" s="4">
        <v>480</v>
      </c>
      <c r="E10021" s="4">
        <v>57</v>
      </c>
      <c r="G10021">
        <f t="shared" si="156"/>
        <v>512</v>
      </c>
    </row>
    <row r="10022" spans="2:7" ht="15" hidden="1" x14ac:dyDescent="0.25">
      <c r="B10022" s="4">
        <v>584758810</v>
      </c>
      <c r="C10022" s="4" t="s">
        <v>269</v>
      </c>
      <c r="D10022" s="4">
        <v>481</v>
      </c>
      <c r="E10022" s="4">
        <v>57</v>
      </c>
      <c r="G10022">
        <f t="shared" si="156"/>
        <v>512</v>
      </c>
    </row>
    <row r="10023" spans="2:7" ht="15" hidden="1" x14ac:dyDescent="0.25">
      <c r="B10023" s="4">
        <v>584758811</v>
      </c>
      <c r="C10023" s="4" t="s">
        <v>269</v>
      </c>
      <c r="D10023" s="4">
        <v>482</v>
      </c>
      <c r="E10023" s="4">
        <v>57</v>
      </c>
      <c r="G10023">
        <f t="shared" si="156"/>
        <v>512</v>
      </c>
    </row>
    <row r="10024" spans="2:7" ht="15" hidden="1" x14ac:dyDescent="0.25">
      <c r="B10024" s="4">
        <v>584758812</v>
      </c>
      <c r="C10024" s="4" t="s">
        <v>269</v>
      </c>
      <c r="D10024" s="4">
        <v>483</v>
      </c>
      <c r="E10024" s="4">
        <v>57</v>
      </c>
      <c r="G10024">
        <f t="shared" si="156"/>
        <v>512</v>
      </c>
    </row>
    <row r="10025" spans="2:7" ht="15" hidden="1" x14ac:dyDescent="0.25">
      <c r="B10025" s="4">
        <v>584758813</v>
      </c>
      <c r="C10025" s="4" t="s">
        <v>269</v>
      </c>
      <c r="D10025" s="4">
        <v>484</v>
      </c>
      <c r="E10025" s="4">
        <v>57</v>
      </c>
      <c r="G10025">
        <f t="shared" si="156"/>
        <v>512</v>
      </c>
    </row>
    <row r="10026" spans="2:7" ht="15" hidden="1" x14ac:dyDescent="0.25">
      <c r="B10026" s="4">
        <v>584758814</v>
      </c>
      <c r="C10026" s="4" t="s">
        <v>269</v>
      </c>
      <c r="D10026" s="4">
        <v>485</v>
      </c>
      <c r="E10026" s="4">
        <v>57</v>
      </c>
      <c r="G10026">
        <f t="shared" si="156"/>
        <v>512</v>
      </c>
    </row>
    <row r="10027" spans="2:7" ht="15" hidden="1" x14ac:dyDescent="0.25">
      <c r="B10027" s="4">
        <v>584758815</v>
      </c>
      <c r="C10027" s="4" t="s">
        <v>269</v>
      </c>
      <c r="D10027" s="4">
        <v>486</v>
      </c>
      <c r="E10027" s="4">
        <v>57</v>
      </c>
      <c r="G10027">
        <f t="shared" si="156"/>
        <v>512</v>
      </c>
    </row>
    <row r="10028" spans="2:7" ht="15" hidden="1" x14ac:dyDescent="0.25">
      <c r="B10028" s="4">
        <v>584758816</v>
      </c>
      <c r="C10028" s="4" t="s">
        <v>269</v>
      </c>
      <c r="D10028" s="4">
        <v>487</v>
      </c>
      <c r="E10028" s="4">
        <v>57</v>
      </c>
      <c r="G10028">
        <f t="shared" si="156"/>
        <v>512</v>
      </c>
    </row>
    <row r="10029" spans="2:7" ht="15" hidden="1" x14ac:dyDescent="0.25">
      <c r="B10029" s="4">
        <v>584758817</v>
      </c>
      <c r="C10029" s="4" t="s">
        <v>269</v>
      </c>
      <c r="D10029" s="4">
        <v>488</v>
      </c>
      <c r="E10029" s="4">
        <v>57</v>
      </c>
      <c r="G10029">
        <f t="shared" si="156"/>
        <v>512</v>
      </c>
    </row>
    <row r="10030" spans="2:7" ht="15" hidden="1" x14ac:dyDescent="0.25">
      <c r="B10030" s="4">
        <v>584758818</v>
      </c>
      <c r="C10030" s="4" t="s">
        <v>269</v>
      </c>
      <c r="D10030" s="4">
        <v>489</v>
      </c>
      <c r="E10030" s="4">
        <v>57</v>
      </c>
      <c r="G10030">
        <f t="shared" si="156"/>
        <v>512</v>
      </c>
    </row>
    <row r="10031" spans="2:7" ht="15" hidden="1" x14ac:dyDescent="0.25">
      <c r="B10031" s="4">
        <v>584758818</v>
      </c>
      <c r="C10031" s="4" t="s">
        <v>272</v>
      </c>
      <c r="D10031" s="4">
        <v>37</v>
      </c>
      <c r="E10031" s="4">
        <v>223</v>
      </c>
      <c r="G10031">
        <f t="shared" si="156"/>
        <v>1840</v>
      </c>
    </row>
    <row r="10032" spans="2:7" ht="15" hidden="1" x14ac:dyDescent="0.25">
      <c r="B10032" s="4">
        <v>584758819</v>
      </c>
      <c r="C10032" s="4" t="s">
        <v>269</v>
      </c>
      <c r="D10032" s="4">
        <v>490</v>
      </c>
      <c r="E10032" s="4">
        <v>57</v>
      </c>
      <c r="G10032">
        <f t="shared" si="156"/>
        <v>512</v>
      </c>
    </row>
    <row r="10033" spans="2:7" ht="15" hidden="1" x14ac:dyDescent="0.25">
      <c r="B10033" s="4">
        <v>584758820</v>
      </c>
      <c r="C10033" s="4" t="s">
        <v>269</v>
      </c>
      <c r="D10033" s="4">
        <v>491</v>
      </c>
      <c r="E10033" s="4">
        <v>57</v>
      </c>
      <c r="G10033">
        <f t="shared" si="156"/>
        <v>512</v>
      </c>
    </row>
    <row r="10034" spans="2:7" ht="15" hidden="1" x14ac:dyDescent="0.25">
      <c r="B10034" s="4">
        <v>584758821</v>
      </c>
      <c r="C10034" s="4" t="s">
        <v>269</v>
      </c>
      <c r="D10034" s="4">
        <v>492</v>
      </c>
      <c r="E10034" s="4">
        <v>57</v>
      </c>
      <c r="G10034">
        <f t="shared" si="156"/>
        <v>512</v>
      </c>
    </row>
    <row r="10035" spans="2:7" ht="15" hidden="1" x14ac:dyDescent="0.25">
      <c r="B10035" s="4">
        <v>584758822</v>
      </c>
      <c r="C10035" s="4" t="s">
        <v>269</v>
      </c>
      <c r="D10035" s="4">
        <v>493</v>
      </c>
      <c r="E10035" s="4">
        <v>57</v>
      </c>
      <c r="G10035">
        <f t="shared" si="156"/>
        <v>512</v>
      </c>
    </row>
    <row r="10036" spans="2:7" ht="15" hidden="1" x14ac:dyDescent="0.25">
      <c r="B10036" s="4">
        <v>584758823</v>
      </c>
      <c r="C10036" s="4" t="s">
        <v>269</v>
      </c>
      <c r="D10036" s="4">
        <v>494</v>
      </c>
      <c r="E10036" s="4">
        <v>57</v>
      </c>
      <c r="G10036">
        <f t="shared" si="156"/>
        <v>512</v>
      </c>
    </row>
    <row r="10037" spans="2:7" ht="15" hidden="1" x14ac:dyDescent="0.25">
      <c r="B10037" s="4">
        <v>584758824</v>
      </c>
      <c r="C10037" s="4" t="s">
        <v>269</v>
      </c>
      <c r="D10037" s="4">
        <v>495</v>
      </c>
      <c r="E10037" s="4">
        <v>57</v>
      </c>
      <c r="G10037">
        <f t="shared" si="156"/>
        <v>512</v>
      </c>
    </row>
    <row r="10038" spans="2:7" ht="15" hidden="1" x14ac:dyDescent="0.25">
      <c r="B10038" s="4">
        <v>584758825</v>
      </c>
      <c r="C10038" s="4" t="s">
        <v>269</v>
      </c>
      <c r="D10038" s="4">
        <v>496</v>
      </c>
      <c r="E10038" s="4">
        <v>57</v>
      </c>
      <c r="G10038">
        <f t="shared" si="156"/>
        <v>512</v>
      </c>
    </row>
    <row r="10039" spans="2:7" ht="15" hidden="1" x14ac:dyDescent="0.25">
      <c r="B10039" s="4">
        <v>584758826</v>
      </c>
      <c r="C10039" s="4" t="s">
        <v>269</v>
      </c>
      <c r="D10039" s="4">
        <v>497</v>
      </c>
      <c r="E10039" s="4">
        <v>57</v>
      </c>
      <c r="G10039">
        <f t="shared" si="156"/>
        <v>512</v>
      </c>
    </row>
    <row r="10040" spans="2:7" ht="15" hidden="1" x14ac:dyDescent="0.25">
      <c r="B10040" s="4">
        <v>584758827</v>
      </c>
      <c r="C10040" s="4" t="s">
        <v>269</v>
      </c>
      <c r="D10040" s="4">
        <v>498</v>
      </c>
      <c r="E10040" s="4">
        <v>57</v>
      </c>
      <c r="G10040">
        <f t="shared" si="156"/>
        <v>512</v>
      </c>
    </row>
    <row r="10041" spans="2:7" ht="15" hidden="1" x14ac:dyDescent="0.25">
      <c r="B10041" s="4">
        <v>584758828</v>
      </c>
      <c r="C10041" s="4" t="s">
        <v>269</v>
      </c>
      <c r="D10041" s="4">
        <v>499</v>
      </c>
      <c r="E10041" s="4">
        <v>57</v>
      </c>
      <c r="G10041">
        <f t="shared" si="156"/>
        <v>512</v>
      </c>
    </row>
    <row r="10042" spans="2:7" ht="15" hidden="1" x14ac:dyDescent="0.25">
      <c r="B10042" s="4">
        <v>584758828</v>
      </c>
      <c r="C10042" s="4" t="s">
        <v>272</v>
      </c>
      <c r="D10042" s="4">
        <v>38</v>
      </c>
      <c r="E10042" s="4">
        <v>223</v>
      </c>
      <c r="G10042">
        <f t="shared" si="156"/>
        <v>1840</v>
      </c>
    </row>
    <row r="10043" spans="2:7" ht="15" hidden="1" x14ac:dyDescent="0.25">
      <c r="B10043" s="4">
        <v>584758829</v>
      </c>
      <c r="C10043" s="4" t="s">
        <v>269</v>
      </c>
      <c r="D10043" s="4">
        <v>500</v>
      </c>
      <c r="E10043" s="4">
        <v>57</v>
      </c>
      <c r="G10043">
        <f t="shared" si="156"/>
        <v>512</v>
      </c>
    </row>
    <row r="10044" spans="2:7" ht="15" hidden="1" x14ac:dyDescent="0.25">
      <c r="B10044" s="4">
        <v>584758830</v>
      </c>
      <c r="C10044" s="4" t="s">
        <v>269</v>
      </c>
      <c r="D10044" s="4">
        <v>501</v>
      </c>
      <c r="E10044" s="4">
        <v>57</v>
      </c>
      <c r="G10044">
        <f t="shared" si="156"/>
        <v>512</v>
      </c>
    </row>
    <row r="10045" spans="2:7" ht="15" hidden="1" x14ac:dyDescent="0.25">
      <c r="B10045" s="4">
        <v>584758831</v>
      </c>
      <c r="C10045" s="4" t="s">
        <v>269</v>
      </c>
      <c r="D10045" s="4">
        <v>502</v>
      </c>
      <c r="E10045" s="4">
        <v>57</v>
      </c>
      <c r="G10045">
        <f t="shared" si="156"/>
        <v>512</v>
      </c>
    </row>
    <row r="10046" spans="2:7" ht="15" hidden="1" x14ac:dyDescent="0.25">
      <c r="B10046" s="4">
        <v>584758832</v>
      </c>
      <c r="C10046" s="4" t="s">
        <v>269</v>
      </c>
      <c r="D10046" s="4">
        <v>503</v>
      </c>
      <c r="E10046" s="4">
        <v>57</v>
      </c>
      <c r="G10046">
        <f t="shared" si="156"/>
        <v>512</v>
      </c>
    </row>
    <row r="10047" spans="2:7" ht="15" hidden="1" x14ac:dyDescent="0.25">
      <c r="B10047" s="4">
        <v>584758833</v>
      </c>
      <c r="C10047" s="4" t="s">
        <v>269</v>
      </c>
      <c r="D10047" s="4">
        <v>504</v>
      </c>
      <c r="E10047" s="4">
        <v>57</v>
      </c>
      <c r="G10047">
        <f t="shared" si="156"/>
        <v>512</v>
      </c>
    </row>
    <row r="10048" spans="2:7" ht="15" hidden="1" x14ac:dyDescent="0.25">
      <c r="B10048" s="4">
        <v>584758834</v>
      </c>
      <c r="C10048" s="4" t="s">
        <v>269</v>
      </c>
      <c r="D10048" s="4">
        <v>505</v>
      </c>
      <c r="E10048" s="4">
        <v>57</v>
      </c>
      <c r="G10048">
        <f t="shared" si="156"/>
        <v>512</v>
      </c>
    </row>
    <row r="10049" spans="2:7" ht="15" hidden="1" x14ac:dyDescent="0.25">
      <c r="B10049" s="4">
        <v>584758835</v>
      </c>
      <c r="C10049" s="4" t="s">
        <v>269</v>
      </c>
      <c r="D10049" s="4">
        <v>506</v>
      </c>
      <c r="E10049" s="4">
        <v>57</v>
      </c>
      <c r="G10049">
        <f t="shared" si="156"/>
        <v>512</v>
      </c>
    </row>
    <row r="10050" spans="2:7" ht="15" hidden="1" x14ac:dyDescent="0.25">
      <c r="B10050" s="4">
        <v>584758836</v>
      </c>
      <c r="C10050" s="4" t="s">
        <v>269</v>
      </c>
      <c r="D10050" s="4">
        <v>507</v>
      </c>
      <c r="E10050" s="4">
        <v>57</v>
      </c>
      <c r="G10050">
        <f t="shared" si="156"/>
        <v>512</v>
      </c>
    </row>
    <row r="10051" spans="2:7" ht="15" hidden="1" x14ac:dyDescent="0.25">
      <c r="B10051" s="4">
        <v>584758837</v>
      </c>
      <c r="C10051" s="4" t="s">
        <v>269</v>
      </c>
      <c r="D10051" s="4">
        <v>508</v>
      </c>
      <c r="E10051" s="4">
        <v>57</v>
      </c>
      <c r="G10051">
        <f t="shared" si="156"/>
        <v>512</v>
      </c>
    </row>
    <row r="10052" spans="2:7" ht="15" hidden="1" x14ac:dyDescent="0.25">
      <c r="B10052" s="4">
        <v>584758838</v>
      </c>
      <c r="C10052" s="4" t="s">
        <v>268</v>
      </c>
      <c r="D10052" s="4">
        <v>194</v>
      </c>
      <c r="E10052" s="4">
        <v>6</v>
      </c>
      <c r="G10052">
        <f t="shared" ref="G10052:G10115" si="157">(E10052+7)*8</f>
        <v>104</v>
      </c>
    </row>
    <row r="10053" spans="2:7" ht="15" hidden="1" x14ac:dyDescent="0.25">
      <c r="B10053" s="4">
        <v>584758838</v>
      </c>
      <c r="C10053" s="4" t="s">
        <v>268</v>
      </c>
      <c r="D10053" s="4">
        <v>194</v>
      </c>
      <c r="E10053" s="4">
        <v>6</v>
      </c>
      <c r="G10053">
        <f t="shared" si="157"/>
        <v>104</v>
      </c>
    </row>
    <row r="10054" spans="2:7" ht="15" hidden="1" x14ac:dyDescent="0.25">
      <c r="B10054" s="4">
        <v>584758838</v>
      </c>
      <c r="C10054" s="4" t="s">
        <v>268</v>
      </c>
      <c r="D10054" s="4">
        <v>195</v>
      </c>
      <c r="E10054" s="4">
        <v>9</v>
      </c>
      <c r="G10054">
        <f t="shared" si="157"/>
        <v>128</v>
      </c>
    </row>
    <row r="10055" spans="2:7" ht="15" hidden="1" x14ac:dyDescent="0.25">
      <c r="B10055" s="4">
        <v>584758838</v>
      </c>
      <c r="C10055" s="4" t="s">
        <v>268</v>
      </c>
      <c r="D10055" s="4">
        <v>195</v>
      </c>
      <c r="E10055" s="4">
        <v>9</v>
      </c>
      <c r="G10055">
        <f t="shared" si="157"/>
        <v>128</v>
      </c>
    </row>
    <row r="10056" spans="2:7" ht="15" hidden="1" x14ac:dyDescent="0.25">
      <c r="B10056" s="4">
        <v>584758838</v>
      </c>
      <c r="C10056" s="4" t="s">
        <v>268</v>
      </c>
      <c r="D10056" s="4">
        <v>196</v>
      </c>
      <c r="E10056" s="4">
        <v>7</v>
      </c>
      <c r="G10056">
        <f t="shared" si="157"/>
        <v>112</v>
      </c>
    </row>
    <row r="10057" spans="2:7" ht="15" hidden="1" x14ac:dyDescent="0.25">
      <c r="B10057" s="4">
        <v>584758838</v>
      </c>
      <c r="C10057" s="4" t="s">
        <v>268</v>
      </c>
      <c r="D10057" s="4">
        <v>196</v>
      </c>
      <c r="E10057" s="4">
        <v>7</v>
      </c>
      <c r="G10057">
        <f t="shared" si="157"/>
        <v>112</v>
      </c>
    </row>
    <row r="10058" spans="2:7" ht="15" hidden="1" x14ac:dyDescent="0.25">
      <c r="B10058" s="4">
        <v>584758838</v>
      </c>
      <c r="C10058" s="4" t="s">
        <v>268</v>
      </c>
      <c r="D10058" s="4">
        <v>197</v>
      </c>
      <c r="E10058" s="4">
        <v>7</v>
      </c>
      <c r="G10058">
        <f t="shared" si="157"/>
        <v>112</v>
      </c>
    </row>
    <row r="10059" spans="2:7" ht="15" hidden="1" x14ac:dyDescent="0.25">
      <c r="B10059" s="4">
        <v>584758838</v>
      </c>
      <c r="C10059" s="4" t="s">
        <v>268</v>
      </c>
      <c r="D10059" s="4">
        <v>197</v>
      </c>
      <c r="E10059" s="4">
        <v>7</v>
      </c>
      <c r="G10059">
        <f t="shared" si="157"/>
        <v>112</v>
      </c>
    </row>
    <row r="10060" spans="2:7" ht="15" hidden="1" x14ac:dyDescent="0.25">
      <c r="B10060" s="4">
        <v>584758838</v>
      </c>
      <c r="C10060" s="4" t="s">
        <v>268</v>
      </c>
      <c r="D10060" s="4">
        <v>198</v>
      </c>
      <c r="E10060" s="4">
        <v>7</v>
      </c>
      <c r="G10060">
        <f t="shared" si="157"/>
        <v>112</v>
      </c>
    </row>
    <row r="10061" spans="2:7" ht="15" hidden="1" x14ac:dyDescent="0.25">
      <c r="B10061" s="4">
        <v>584758838</v>
      </c>
      <c r="C10061" s="4" t="s">
        <v>268</v>
      </c>
      <c r="D10061" s="4">
        <v>198</v>
      </c>
      <c r="E10061" s="4">
        <v>7</v>
      </c>
      <c r="G10061">
        <f t="shared" si="157"/>
        <v>112</v>
      </c>
    </row>
    <row r="10062" spans="2:7" ht="15" hidden="1" x14ac:dyDescent="0.25">
      <c r="B10062" s="4">
        <v>584758838</v>
      </c>
      <c r="C10062" s="4" t="s">
        <v>269</v>
      </c>
      <c r="D10062" s="4">
        <v>509</v>
      </c>
      <c r="E10062" s="4">
        <v>57</v>
      </c>
      <c r="G10062">
        <f t="shared" si="157"/>
        <v>512</v>
      </c>
    </row>
    <row r="10063" spans="2:7" ht="15" hidden="1" x14ac:dyDescent="0.25">
      <c r="B10063" s="4">
        <v>584758838</v>
      </c>
      <c r="C10063" s="4" t="s">
        <v>272</v>
      </c>
      <c r="D10063" s="4">
        <v>39</v>
      </c>
      <c r="E10063" s="4">
        <v>223</v>
      </c>
      <c r="G10063">
        <f t="shared" si="157"/>
        <v>1840</v>
      </c>
    </row>
    <row r="10064" spans="2:7" ht="15" hidden="1" x14ac:dyDescent="0.25">
      <c r="B10064" s="4">
        <v>584758839</v>
      </c>
      <c r="C10064" s="4" t="s">
        <v>269</v>
      </c>
      <c r="D10064" s="4">
        <v>510</v>
      </c>
      <c r="E10064" s="4">
        <v>57</v>
      </c>
      <c r="G10064">
        <f t="shared" si="157"/>
        <v>512</v>
      </c>
    </row>
    <row r="10065" spans="2:7" ht="15" hidden="1" x14ac:dyDescent="0.25">
      <c r="B10065" s="4">
        <v>584758840</v>
      </c>
      <c r="C10065" s="4" t="s">
        <v>268</v>
      </c>
      <c r="D10065" s="4">
        <v>199</v>
      </c>
      <c r="E10065" s="4">
        <v>7</v>
      </c>
      <c r="G10065">
        <f t="shared" si="157"/>
        <v>112</v>
      </c>
    </row>
    <row r="10066" spans="2:7" ht="15" hidden="1" x14ac:dyDescent="0.25">
      <c r="B10066" s="4">
        <v>584758840</v>
      </c>
      <c r="C10066" s="4" t="s">
        <v>268</v>
      </c>
      <c r="D10066" s="4">
        <v>199</v>
      </c>
      <c r="E10066" s="4">
        <v>7</v>
      </c>
      <c r="G10066">
        <f t="shared" si="157"/>
        <v>112</v>
      </c>
    </row>
    <row r="10067" spans="2:7" ht="15" hidden="1" x14ac:dyDescent="0.25">
      <c r="B10067" s="4">
        <v>584758840</v>
      </c>
      <c r="C10067" s="4" t="s">
        <v>268</v>
      </c>
      <c r="D10067" s="4">
        <v>200</v>
      </c>
      <c r="E10067" s="4">
        <v>5</v>
      </c>
      <c r="G10067">
        <f t="shared" si="157"/>
        <v>96</v>
      </c>
    </row>
    <row r="10068" spans="2:7" ht="15" hidden="1" x14ac:dyDescent="0.25">
      <c r="B10068" s="4">
        <v>584758840</v>
      </c>
      <c r="C10068" s="4" t="s">
        <v>268</v>
      </c>
      <c r="D10068" s="4">
        <v>200</v>
      </c>
      <c r="E10068" s="4">
        <v>5</v>
      </c>
      <c r="G10068">
        <f t="shared" si="157"/>
        <v>96</v>
      </c>
    </row>
    <row r="10069" spans="2:7" ht="15" hidden="1" x14ac:dyDescent="0.25">
      <c r="B10069" s="4">
        <v>584758840</v>
      </c>
      <c r="C10069" s="4" t="s">
        <v>268</v>
      </c>
      <c r="D10069" s="4">
        <v>201</v>
      </c>
      <c r="E10069" s="4">
        <v>7</v>
      </c>
      <c r="G10069">
        <f t="shared" si="157"/>
        <v>112</v>
      </c>
    </row>
    <row r="10070" spans="2:7" ht="15" hidden="1" x14ac:dyDescent="0.25">
      <c r="B10070" s="4">
        <v>584758840</v>
      </c>
      <c r="C10070" s="4" t="s">
        <v>268</v>
      </c>
      <c r="D10070" s="4">
        <v>201</v>
      </c>
      <c r="E10070" s="4">
        <v>7</v>
      </c>
      <c r="G10070">
        <f t="shared" si="157"/>
        <v>112</v>
      </c>
    </row>
    <row r="10071" spans="2:7" ht="15" hidden="1" x14ac:dyDescent="0.25">
      <c r="B10071" s="4">
        <v>584758840</v>
      </c>
      <c r="C10071" s="4" t="s">
        <v>269</v>
      </c>
      <c r="D10071" s="4">
        <v>511</v>
      </c>
      <c r="E10071" s="4">
        <v>57</v>
      </c>
      <c r="G10071">
        <f t="shared" si="157"/>
        <v>512</v>
      </c>
    </row>
    <row r="10072" spans="2:7" ht="15" hidden="1" x14ac:dyDescent="0.25">
      <c r="B10072" s="4">
        <v>584758841</v>
      </c>
      <c r="C10072" s="4" t="s">
        <v>269</v>
      </c>
      <c r="D10072" s="4">
        <v>512</v>
      </c>
      <c r="E10072" s="4">
        <v>57</v>
      </c>
      <c r="G10072">
        <f t="shared" si="157"/>
        <v>512</v>
      </c>
    </row>
    <row r="10073" spans="2:7" ht="15" hidden="1" x14ac:dyDescent="0.25">
      <c r="B10073" s="4">
        <v>584758842</v>
      </c>
      <c r="C10073" s="4" t="s">
        <v>269</v>
      </c>
      <c r="D10073" s="4">
        <v>513</v>
      </c>
      <c r="E10073" s="4">
        <v>57</v>
      </c>
      <c r="G10073">
        <f t="shared" si="157"/>
        <v>512</v>
      </c>
    </row>
    <row r="10074" spans="2:7" ht="15" hidden="1" x14ac:dyDescent="0.25">
      <c r="B10074" s="4">
        <v>584758843</v>
      </c>
      <c r="C10074" s="4" t="s">
        <v>269</v>
      </c>
      <c r="D10074" s="4">
        <v>514</v>
      </c>
      <c r="E10074" s="4">
        <v>57</v>
      </c>
      <c r="G10074">
        <f t="shared" si="157"/>
        <v>512</v>
      </c>
    </row>
    <row r="10075" spans="2:7" ht="15" hidden="1" x14ac:dyDescent="0.25">
      <c r="B10075" s="4">
        <v>584758844</v>
      </c>
      <c r="C10075" s="4" t="s">
        <v>269</v>
      </c>
      <c r="D10075" s="4">
        <v>515</v>
      </c>
      <c r="E10075" s="4">
        <v>57</v>
      </c>
      <c r="G10075">
        <f t="shared" si="157"/>
        <v>512</v>
      </c>
    </row>
    <row r="10076" spans="2:7" ht="15" hidden="1" x14ac:dyDescent="0.25">
      <c r="B10076" s="4">
        <v>584758845</v>
      </c>
      <c r="C10076" s="4" t="s">
        <v>269</v>
      </c>
      <c r="D10076" s="4">
        <v>516</v>
      </c>
      <c r="E10076" s="4">
        <v>57</v>
      </c>
      <c r="G10076">
        <f t="shared" si="157"/>
        <v>512</v>
      </c>
    </row>
    <row r="10077" spans="2:7" ht="15" hidden="1" x14ac:dyDescent="0.25">
      <c r="B10077" s="4">
        <v>584758846</v>
      </c>
      <c r="C10077" s="4" t="s">
        <v>269</v>
      </c>
      <c r="D10077" s="4">
        <v>517</v>
      </c>
      <c r="E10077" s="4">
        <v>57</v>
      </c>
      <c r="G10077">
        <f t="shared" si="157"/>
        <v>512</v>
      </c>
    </row>
    <row r="10078" spans="2:7" ht="15" hidden="1" x14ac:dyDescent="0.25">
      <c r="B10078" s="4">
        <v>584758847</v>
      </c>
      <c r="C10078" s="4" t="s">
        <v>269</v>
      </c>
      <c r="D10078" s="4">
        <v>518</v>
      </c>
      <c r="E10078" s="4">
        <v>57</v>
      </c>
      <c r="G10078">
        <f t="shared" si="157"/>
        <v>512</v>
      </c>
    </row>
    <row r="10079" spans="2:7" ht="15" hidden="1" x14ac:dyDescent="0.25">
      <c r="B10079" s="4">
        <v>584758848</v>
      </c>
      <c r="C10079" s="4" t="s">
        <v>269</v>
      </c>
      <c r="D10079" s="4">
        <v>519</v>
      </c>
      <c r="E10079" s="4">
        <v>57</v>
      </c>
      <c r="G10079">
        <f t="shared" si="157"/>
        <v>512</v>
      </c>
    </row>
    <row r="10080" spans="2:7" ht="15" hidden="1" x14ac:dyDescent="0.25">
      <c r="B10080" s="4">
        <v>584758848</v>
      </c>
      <c r="C10080" s="4" t="s">
        <v>272</v>
      </c>
      <c r="D10080" s="4">
        <v>40</v>
      </c>
      <c r="E10080" s="4">
        <v>221</v>
      </c>
      <c r="G10080">
        <f t="shared" si="157"/>
        <v>1824</v>
      </c>
    </row>
    <row r="10081" spans="2:7" ht="15" hidden="1" x14ac:dyDescent="0.25">
      <c r="B10081" s="4">
        <v>584758849</v>
      </c>
      <c r="C10081" s="4" t="s">
        <v>269</v>
      </c>
      <c r="D10081" s="4">
        <v>520</v>
      </c>
      <c r="E10081" s="4">
        <v>57</v>
      </c>
      <c r="G10081">
        <f t="shared" si="157"/>
        <v>512</v>
      </c>
    </row>
    <row r="10082" spans="2:7" ht="15" hidden="1" x14ac:dyDescent="0.25">
      <c r="B10082" s="4">
        <v>584758850</v>
      </c>
      <c r="C10082" s="4" t="s">
        <v>269</v>
      </c>
      <c r="D10082" s="4">
        <v>521</v>
      </c>
      <c r="E10082" s="4">
        <v>57</v>
      </c>
      <c r="G10082">
        <f t="shared" si="157"/>
        <v>512</v>
      </c>
    </row>
    <row r="10083" spans="2:7" ht="15" hidden="1" x14ac:dyDescent="0.25">
      <c r="B10083" s="4">
        <v>584758851</v>
      </c>
      <c r="C10083" s="4" t="s">
        <v>269</v>
      </c>
      <c r="D10083" s="4">
        <v>522</v>
      </c>
      <c r="E10083" s="4">
        <v>57</v>
      </c>
      <c r="G10083">
        <f t="shared" si="157"/>
        <v>512</v>
      </c>
    </row>
    <row r="10084" spans="2:7" ht="15" hidden="1" x14ac:dyDescent="0.25">
      <c r="B10084" s="4">
        <v>584758852</v>
      </c>
      <c r="C10084" s="4" t="s">
        <v>269</v>
      </c>
      <c r="D10084" s="4">
        <v>523</v>
      </c>
      <c r="E10084" s="4">
        <v>57</v>
      </c>
      <c r="G10084">
        <f t="shared" si="157"/>
        <v>512</v>
      </c>
    </row>
    <row r="10085" spans="2:7" ht="15" hidden="1" x14ac:dyDescent="0.25">
      <c r="B10085" s="4">
        <v>584758853</v>
      </c>
      <c r="C10085" s="4" t="s">
        <v>269</v>
      </c>
      <c r="D10085" s="4">
        <v>524</v>
      </c>
      <c r="E10085" s="4">
        <v>57</v>
      </c>
      <c r="G10085">
        <f t="shared" si="157"/>
        <v>512</v>
      </c>
    </row>
    <row r="10086" spans="2:7" ht="15" hidden="1" x14ac:dyDescent="0.25">
      <c r="B10086" s="4">
        <v>584758854</v>
      </c>
      <c r="C10086" s="4" t="s">
        <v>269</v>
      </c>
      <c r="D10086" s="4">
        <v>525</v>
      </c>
      <c r="E10086" s="4">
        <v>57</v>
      </c>
      <c r="G10086">
        <f t="shared" si="157"/>
        <v>512</v>
      </c>
    </row>
    <row r="10087" spans="2:7" ht="15" hidden="1" x14ac:dyDescent="0.25">
      <c r="B10087" s="4">
        <v>584758855</v>
      </c>
      <c r="C10087" s="4" t="s">
        <v>269</v>
      </c>
      <c r="D10087" s="4">
        <v>526</v>
      </c>
      <c r="E10087" s="4">
        <v>57</v>
      </c>
      <c r="G10087">
        <f t="shared" si="157"/>
        <v>512</v>
      </c>
    </row>
    <row r="10088" spans="2:7" ht="15" hidden="1" x14ac:dyDescent="0.25">
      <c r="B10088" s="4">
        <v>584758856</v>
      </c>
      <c r="C10088" s="4" t="s">
        <v>269</v>
      </c>
      <c r="D10088" s="4">
        <v>527</v>
      </c>
      <c r="E10088" s="4">
        <v>57</v>
      </c>
      <c r="G10088">
        <f t="shared" si="157"/>
        <v>512</v>
      </c>
    </row>
    <row r="10089" spans="2:7" ht="15" hidden="1" x14ac:dyDescent="0.25">
      <c r="B10089" s="4">
        <v>584758857</v>
      </c>
      <c r="C10089" s="4" t="s">
        <v>269</v>
      </c>
      <c r="D10089" s="4">
        <v>528</v>
      </c>
      <c r="E10089" s="4">
        <v>57</v>
      </c>
      <c r="G10089">
        <f t="shared" si="157"/>
        <v>512</v>
      </c>
    </row>
    <row r="10090" spans="2:7" ht="15" hidden="1" x14ac:dyDescent="0.25">
      <c r="B10090" s="4">
        <v>584758858</v>
      </c>
      <c r="C10090" s="4" t="s">
        <v>269</v>
      </c>
      <c r="D10090" s="4">
        <v>529</v>
      </c>
      <c r="E10090" s="4">
        <v>57</v>
      </c>
      <c r="G10090">
        <f t="shared" si="157"/>
        <v>512</v>
      </c>
    </row>
    <row r="10091" spans="2:7" ht="15" hidden="1" x14ac:dyDescent="0.25">
      <c r="B10091" s="4">
        <v>584758858</v>
      </c>
      <c r="C10091" s="4" t="s">
        <v>272</v>
      </c>
      <c r="D10091" s="4">
        <v>41</v>
      </c>
      <c r="E10091" s="4">
        <v>221</v>
      </c>
      <c r="G10091">
        <f t="shared" si="157"/>
        <v>1824</v>
      </c>
    </row>
    <row r="10092" spans="2:7" ht="15" hidden="1" x14ac:dyDescent="0.25">
      <c r="B10092" s="4">
        <v>584758859</v>
      </c>
      <c r="C10092" s="4" t="s">
        <v>269</v>
      </c>
      <c r="D10092" s="4">
        <v>530</v>
      </c>
      <c r="E10092" s="4">
        <v>57</v>
      </c>
      <c r="G10092">
        <f t="shared" si="157"/>
        <v>512</v>
      </c>
    </row>
    <row r="10093" spans="2:7" ht="15" hidden="1" x14ac:dyDescent="0.25">
      <c r="B10093" s="4">
        <v>584758860</v>
      </c>
      <c r="C10093" s="4" t="s">
        <v>269</v>
      </c>
      <c r="D10093" s="4">
        <v>531</v>
      </c>
      <c r="E10093" s="4">
        <v>57</v>
      </c>
      <c r="G10093">
        <f t="shared" si="157"/>
        <v>512</v>
      </c>
    </row>
    <row r="10094" spans="2:7" ht="15" hidden="1" x14ac:dyDescent="0.25">
      <c r="B10094" s="4">
        <v>584758861</v>
      </c>
      <c r="C10094" s="4" t="s">
        <v>269</v>
      </c>
      <c r="D10094" s="4">
        <v>532</v>
      </c>
      <c r="E10094" s="4">
        <v>57</v>
      </c>
      <c r="G10094">
        <f t="shared" si="157"/>
        <v>512</v>
      </c>
    </row>
    <row r="10095" spans="2:7" ht="15" hidden="1" x14ac:dyDescent="0.25">
      <c r="B10095" s="4">
        <v>584758862</v>
      </c>
      <c r="C10095" s="4" t="s">
        <v>269</v>
      </c>
      <c r="D10095" s="4">
        <v>533</v>
      </c>
      <c r="E10095" s="4">
        <v>57</v>
      </c>
      <c r="G10095">
        <f t="shared" si="157"/>
        <v>512</v>
      </c>
    </row>
    <row r="10096" spans="2:7" ht="15" hidden="1" x14ac:dyDescent="0.25">
      <c r="B10096" s="4">
        <v>584758863</v>
      </c>
      <c r="C10096" s="4" t="s">
        <v>269</v>
      </c>
      <c r="D10096" s="4">
        <v>534</v>
      </c>
      <c r="E10096" s="4">
        <v>57</v>
      </c>
      <c r="G10096">
        <f t="shared" si="157"/>
        <v>512</v>
      </c>
    </row>
    <row r="10097" spans="2:7" ht="15" hidden="1" x14ac:dyDescent="0.25">
      <c r="B10097" s="4">
        <v>584758864</v>
      </c>
      <c r="C10097" s="4" t="s">
        <v>269</v>
      </c>
      <c r="D10097" s="4">
        <v>535</v>
      </c>
      <c r="E10097" s="4">
        <v>57</v>
      </c>
      <c r="G10097">
        <f t="shared" si="157"/>
        <v>512</v>
      </c>
    </row>
    <row r="10098" spans="2:7" ht="15" hidden="1" x14ac:dyDescent="0.25">
      <c r="B10098" s="4">
        <v>584758865</v>
      </c>
      <c r="C10098" s="4" t="s">
        <v>269</v>
      </c>
      <c r="D10098" s="4">
        <v>536</v>
      </c>
      <c r="E10098" s="4">
        <v>57</v>
      </c>
      <c r="G10098">
        <f t="shared" si="157"/>
        <v>512</v>
      </c>
    </row>
    <row r="10099" spans="2:7" ht="15" hidden="1" x14ac:dyDescent="0.25">
      <c r="B10099" s="4">
        <v>584758866</v>
      </c>
      <c r="C10099" s="4" t="s">
        <v>269</v>
      </c>
      <c r="D10099" s="4">
        <v>537</v>
      </c>
      <c r="E10099" s="4">
        <v>57</v>
      </c>
      <c r="G10099">
        <f t="shared" si="157"/>
        <v>512</v>
      </c>
    </row>
    <row r="10100" spans="2:7" ht="15" hidden="1" x14ac:dyDescent="0.25">
      <c r="B10100" s="4">
        <v>584758867</v>
      </c>
      <c r="C10100" s="4" t="s">
        <v>269</v>
      </c>
      <c r="D10100" s="4">
        <v>538</v>
      </c>
      <c r="E10100" s="4">
        <v>57</v>
      </c>
      <c r="G10100">
        <f t="shared" si="157"/>
        <v>512</v>
      </c>
    </row>
    <row r="10101" spans="2:7" ht="15" hidden="1" x14ac:dyDescent="0.25">
      <c r="B10101" s="4">
        <v>584758868</v>
      </c>
      <c r="C10101" s="4" t="s">
        <v>269</v>
      </c>
      <c r="D10101" s="4">
        <v>539</v>
      </c>
      <c r="E10101" s="4">
        <v>57</v>
      </c>
      <c r="G10101">
        <f t="shared" si="157"/>
        <v>512</v>
      </c>
    </row>
    <row r="10102" spans="2:7" ht="15" hidden="1" x14ac:dyDescent="0.25">
      <c r="B10102" s="4">
        <v>584758868</v>
      </c>
      <c r="C10102" s="4" t="s">
        <v>272</v>
      </c>
      <c r="D10102" s="4">
        <v>42</v>
      </c>
      <c r="E10102" s="4">
        <v>221</v>
      </c>
      <c r="G10102">
        <f t="shared" si="157"/>
        <v>1824</v>
      </c>
    </row>
    <row r="10103" spans="2:7" ht="15" hidden="1" x14ac:dyDescent="0.25">
      <c r="B10103" s="4">
        <v>584758869</v>
      </c>
      <c r="C10103" s="4" t="s">
        <v>269</v>
      </c>
      <c r="D10103" s="4">
        <v>540</v>
      </c>
      <c r="E10103" s="4">
        <v>57</v>
      </c>
      <c r="G10103">
        <f t="shared" si="157"/>
        <v>512</v>
      </c>
    </row>
    <row r="10104" spans="2:7" ht="15" hidden="1" x14ac:dyDescent="0.25">
      <c r="B10104" s="4">
        <v>584758870</v>
      </c>
      <c r="C10104" s="4" t="s">
        <v>269</v>
      </c>
      <c r="D10104" s="4">
        <v>541</v>
      </c>
      <c r="E10104" s="4">
        <v>57</v>
      </c>
      <c r="G10104">
        <f t="shared" si="157"/>
        <v>512</v>
      </c>
    </row>
    <row r="10105" spans="2:7" ht="15" hidden="1" x14ac:dyDescent="0.25">
      <c r="B10105" s="4">
        <v>584758871</v>
      </c>
      <c r="C10105" s="4" t="s">
        <v>269</v>
      </c>
      <c r="D10105" s="4">
        <v>542</v>
      </c>
      <c r="E10105" s="4">
        <v>57</v>
      </c>
      <c r="G10105">
        <f t="shared" si="157"/>
        <v>512</v>
      </c>
    </row>
    <row r="10106" spans="2:7" ht="15" hidden="1" x14ac:dyDescent="0.25">
      <c r="B10106" s="4">
        <v>584758872</v>
      </c>
      <c r="C10106" s="4" t="s">
        <v>269</v>
      </c>
      <c r="D10106" s="4">
        <v>543</v>
      </c>
      <c r="E10106" s="4">
        <v>57</v>
      </c>
      <c r="G10106">
        <f t="shared" si="157"/>
        <v>512</v>
      </c>
    </row>
    <row r="10107" spans="2:7" ht="15" hidden="1" x14ac:dyDescent="0.25">
      <c r="B10107" s="4">
        <v>584758873</v>
      </c>
      <c r="C10107" s="4" t="s">
        <v>269</v>
      </c>
      <c r="D10107" s="4">
        <v>544</v>
      </c>
      <c r="E10107" s="4">
        <v>57</v>
      </c>
      <c r="G10107">
        <f t="shared" si="157"/>
        <v>512</v>
      </c>
    </row>
    <row r="10108" spans="2:7" ht="15" hidden="1" x14ac:dyDescent="0.25">
      <c r="B10108" s="4">
        <v>584758874</v>
      </c>
      <c r="C10108" s="4" t="s">
        <v>269</v>
      </c>
      <c r="D10108" s="4">
        <v>545</v>
      </c>
      <c r="E10108" s="4">
        <v>57</v>
      </c>
      <c r="G10108">
        <f t="shared" si="157"/>
        <v>512</v>
      </c>
    </row>
    <row r="10109" spans="2:7" ht="15" hidden="1" x14ac:dyDescent="0.25">
      <c r="B10109" s="4">
        <v>584758875</v>
      </c>
      <c r="C10109" s="4" t="s">
        <v>269</v>
      </c>
      <c r="D10109" s="4">
        <v>546</v>
      </c>
      <c r="E10109" s="4">
        <v>57</v>
      </c>
      <c r="G10109">
        <f t="shared" si="157"/>
        <v>512</v>
      </c>
    </row>
    <row r="10110" spans="2:7" ht="15" hidden="1" x14ac:dyDescent="0.25">
      <c r="B10110" s="4">
        <v>584758876</v>
      </c>
      <c r="C10110" s="4" t="s">
        <v>269</v>
      </c>
      <c r="D10110" s="4">
        <v>547</v>
      </c>
      <c r="E10110" s="4">
        <v>57</v>
      </c>
      <c r="G10110">
        <f t="shared" si="157"/>
        <v>512</v>
      </c>
    </row>
    <row r="10111" spans="2:7" ht="15" hidden="1" x14ac:dyDescent="0.25">
      <c r="B10111" s="4">
        <v>584758877</v>
      </c>
      <c r="C10111" s="4" t="s">
        <v>269</v>
      </c>
      <c r="D10111" s="4">
        <v>548</v>
      </c>
      <c r="E10111" s="4">
        <v>57</v>
      </c>
      <c r="G10111">
        <f t="shared" si="157"/>
        <v>512</v>
      </c>
    </row>
    <row r="10112" spans="2:7" ht="15" hidden="1" x14ac:dyDescent="0.25">
      <c r="B10112" s="4">
        <v>584758878</v>
      </c>
      <c r="C10112" s="4" t="s">
        <v>269</v>
      </c>
      <c r="D10112" s="4">
        <v>549</v>
      </c>
      <c r="E10112" s="4">
        <v>57</v>
      </c>
      <c r="G10112">
        <f t="shared" si="157"/>
        <v>512</v>
      </c>
    </row>
    <row r="10113" spans="2:7" ht="15" hidden="1" x14ac:dyDescent="0.25">
      <c r="B10113" s="4">
        <v>584758878</v>
      </c>
      <c r="C10113" s="4" t="s">
        <v>272</v>
      </c>
      <c r="D10113" s="4">
        <v>43</v>
      </c>
      <c r="E10113" s="4">
        <v>221</v>
      </c>
      <c r="G10113">
        <f t="shared" si="157"/>
        <v>1824</v>
      </c>
    </row>
    <row r="10114" spans="2:7" ht="15" hidden="1" x14ac:dyDescent="0.25">
      <c r="B10114" s="4">
        <v>584758879</v>
      </c>
      <c r="C10114" s="4" t="s">
        <v>269</v>
      </c>
      <c r="D10114" s="4">
        <v>550</v>
      </c>
      <c r="E10114" s="4">
        <v>57</v>
      </c>
      <c r="G10114">
        <f t="shared" si="157"/>
        <v>512</v>
      </c>
    </row>
    <row r="10115" spans="2:7" ht="15" hidden="1" x14ac:dyDescent="0.25">
      <c r="B10115" s="4">
        <v>584758880</v>
      </c>
      <c r="C10115" s="4" t="s">
        <v>269</v>
      </c>
      <c r="D10115" s="4">
        <v>551</v>
      </c>
      <c r="E10115" s="4">
        <v>57</v>
      </c>
      <c r="G10115">
        <f t="shared" si="157"/>
        <v>512</v>
      </c>
    </row>
    <row r="10116" spans="2:7" ht="15" hidden="1" x14ac:dyDescent="0.25">
      <c r="B10116" s="4">
        <v>584758881</v>
      </c>
      <c r="C10116" s="4" t="s">
        <v>269</v>
      </c>
      <c r="D10116" s="4">
        <v>552</v>
      </c>
      <c r="E10116" s="4">
        <v>57</v>
      </c>
      <c r="G10116">
        <f t="shared" ref="G10116:G10179" si="158">(E10116+7)*8</f>
        <v>512</v>
      </c>
    </row>
    <row r="10117" spans="2:7" ht="15" hidden="1" x14ac:dyDescent="0.25">
      <c r="B10117" s="4">
        <v>584758882</v>
      </c>
      <c r="C10117" s="4" t="s">
        <v>269</v>
      </c>
      <c r="D10117" s="4">
        <v>553</v>
      </c>
      <c r="E10117" s="4">
        <v>57</v>
      </c>
      <c r="G10117">
        <f t="shared" si="158"/>
        <v>512</v>
      </c>
    </row>
    <row r="10118" spans="2:7" ht="15" hidden="1" x14ac:dyDescent="0.25">
      <c r="B10118" s="4">
        <v>584758883</v>
      </c>
      <c r="C10118" s="4" t="s">
        <v>269</v>
      </c>
      <c r="D10118" s="4">
        <v>554</v>
      </c>
      <c r="E10118" s="4">
        <v>57</v>
      </c>
      <c r="G10118">
        <f t="shared" si="158"/>
        <v>512</v>
      </c>
    </row>
    <row r="10119" spans="2:7" ht="15" hidden="1" x14ac:dyDescent="0.25">
      <c r="B10119" s="4">
        <v>584758884</v>
      </c>
      <c r="C10119" s="4" t="s">
        <v>269</v>
      </c>
      <c r="D10119" s="4">
        <v>555</v>
      </c>
      <c r="E10119" s="4">
        <v>57</v>
      </c>
      <c r="G10119">
        <f t="shared" si="158"/>
        <v>512</v>
      </c>
    </row>
    <row r="10120" spans="2:7" ht="15" hidden="1" x14ac:dyDescent="0.25">
      <c r="B10120" s="4">
        <v>584758885</v>
      </c>
      <c r="C10120" s="4" t="s">
        <v>269</v>
      </c>
      <c r="D10120" s="4">
        <v>556</v>
      </c>
      <c r="E10120" s="4">
        <v>57</v>
      </c>
      <c r="G10120">
        <f t="shared" si="158"/>
        <v>512</v>
      </c>
    </row>
    <row r="10121" spans="2:7" ht="15" hidden="1" x14ac:dyDescent="0.25">
      <c r="B10121" s="4">
        <v>584758886</v>
      </c>
      <c r="C10121" s="4" t="s">
        <v>269</v>
      </c>
      <c r="D10121" s="4">
        <v>557</v>
      </c>
      <c r="E10121" s="4">
        <v>57</v>
      </c>
      <c r="G10121">
        <f t="shared" si="158"/>
        <v>512</v>
      </c>
    </row>
    <row r="10122" spans="2:7" ht="15" hidden="1" x14ac:dyDescent="0.25">
      <c r="B10122" s="4">
        <v>584758887</v>
      </c>
      <c r="C10122" s="4" t="s">
        <v>269</v>
      </c>
      <c r="D10122" s="4">
        <v>558</v>
      </c>
      <c r="E10122" s="4">
        <v>57</v>
      </c>
      <c r="G10122">
        <f t="shared" si="158"/>
        <v>512</v>
      </c>
    </row>
    <row r="10123" spans="2:7" ht="15" hidden="1" x14ac:dyDescent="0.25">
      <c r="B10123" s="4">
        <v>584758888</v>
      </c>
      <c r="C10123" s="4" t="s">
        <v>269</v>
      </c>
      <c r="D10123" s="4">
        <v>559</v>
      </c>
      <c r="E10123" s="4">
        <v>57</v>
      </c>
      <c r="G10123">
        <f t="shared" si="158"/>
        <v>512</v>
      </c>
    </row>
    <row r="10124" spans="2:7" ht="15" hidden="1" x14ac:dyDescent="0.25">
      <c r="B10124" s="4">
        <v>584758888</v>
      </c>
      <c r="C10124" s="4" t="s">
        <v>272</v>
      </c>
      <c r="D10124" s="4">
        <v>44</v>
      </c>
      <c r="E10124" s="4">
        <v>221</v>
      </c>
      <c r="G10124">
        <f t="shared" si="158"/>
        <v>1824</v>
      </c>
    </row>
    <row r="10125" spans="2:7" ht="15" hidden="1" x14ac:dyDescent="0.25">
      <c r="B10125" s="4">
        <v>584758889</v>
      </c>
      <c r="C10125" s="4" t="s">
        <v>269</v>
      </c>
      <c r="D10125" s="4">
        <v>560</v>
      </c>
      <c r="E10125" s="4">
        <v>57</v>
      </c>
      <c r="G10125">
        <f t="shared" si="158"/>
        <v>512</v>
      </c>
    </row>
    <row r="10126" spans="2:7" ht="15" hidden="1" x14ac:dyDescent="0.25">
      <c r="B10126" s="4">
        <v>584758890</v>
      </c>
      <c r="C10126" s="4" t="s">
        <v>269</v>
      </c>
      <c r="D10126" s="4">
        <v>561</v>
      </c>
      <c r="E10126" s="4">
        <v>57</v>
      </c>
      <c r="G10126">
        <f t="shared" si="158"/>
        <v>512</v>
      </c>
    </row>
    <row r="10127" spans="2:7" ht="15" hidden="1" x14ac:dyDescent="0.25">
      <c r="B10127" s="4">
        <v>584758891</v>
      </c>
      <c r="C10127" s="4" t="s">
        <v>269</v>
      </c>
      <c r="D10127" s="4">
        <v>562</v>
      </c>
      <c r="E10127" s="4">
        <v>57</v>
      </c>
      <c r="G10127">
        <f t="shared" si="158"/>
        <v>512</v>
      </c>
    </row>
    <row r="10128" spans="2:7" ht="15" hidden="1" x14ac:dyDescent="0.25">
      <c r="B10128" s="4">
        <v>584758892</v>
      </c>
      <c r="C10128" s="4" t="s">
        <v>269</v>
      </c>
      <c r="D10128" s="4">
        <v>563</v>
      </c>
      <c r="E10128" s="4">
        <v>57</v>
      </c>
      <c r="G10128">
        <f t="shared" si="158"/>
        <v>512</v>
      </c>
    </row>
    <row r="10129" spans="2:7" ht="15" hidden="1" x14ac:dyDescent="0.25">
      <c r="B10129" s="4">
        <v>584758893</v>
      </c>
      <c r="C10129" s="4" t="s">
        <v>269</v>
      </c>
      <c r="D10129" s="4">
        <v>564</v>
      </c>
      <c r="E10129" s="4">
        <v>57</v>
      </c>
      <c r="G10129">
        <f t="shared" si="158"/>
        <v>512</v>
      </c>
    </row>
    <row r="10130" spans="2:7" ht="15" hidden="1" x14ac:dyDescent="0.25">
      <c r="B10130" s="4">
        <v>584758894</v>
      </c>
      <c r="C10130" s="4" t="s">
        <v>269</v>
      </c>
      <c r="D10130" s="4">
        <v>565</v>
      </c>
      <c r="E10130" s="4">
        <v>57</v>
      </c>
      <c r="G10130">
        <f t="shared" si="158"/>
        <v>512</v>
      </c>
    </row>
    <row r="10131" spans="2:7" ht="15" hidden="1" x14ac:dyDescent="0.25">
      <c r="B10131" s="4">
        <v>584758895</v>
      </c>
      <c r="C10131" s="4" t="s">
        <v>269</v>
      </c>
      <c r="D10131" s="4">
        <v>566</v>
      </c>
      <c r="E10131" s="4">
        <v>57</v>
      </c>
      <c r="G10131">
        <f t="shared" si="158"/>
        <v>512</v>
      </c>
    </row>
    <row r="10132" spans="2:7" ht="15" hidden="1" x14ac:dyDescent="0.25">
      <c r="B10132" s="4">
        <v>584758896</v>
      </c>
      <c r="C10132" s="4" t="s">
        <v>269</v>
      </c>
      <c r="D10132" s="4">
        <v>567</v>
      </c>
      <c r="E10132" s="4">
        <v>57</v>
      </c>
      <c r="G10132">
        <f t="shared" si="158"/>
        <v>512</v>
      </c>
    </row>
    <row r="10133" spans="2:7" ht="15" hidden="1" x14ac:dyDescent="0.25">
      <c r="B10133" s="4">
        <v>584758897</v>
      </c>
      <c r="C10133" s="4" t="s">
        <v>269</v>
      </c>
      <c r="D10133" s="4">
        <v>568</v>
      </c>
      <c r="E10133" s="4">
        <v>57</v>
      </c>
      <c r="G10133">
        <f t="shared" si="158"/>
        <v>512</v>
      </c>
    </row>
    <row r="10134" spans="2:7" ht="15" hidden="1" x14ac:dyDescent="0.25">
      <c r="B10134" s="4">
        <v>584758898</v>
      </c>
      <c r="C10134" s="4" t="s">
        <v>269</v>
      </c>
      <c r="D10134" s="4">
        <v>569</v>
      </c>
      <c r="E10134" s="4">
        <v>57</v>
      </c>
      <c r="G10134">
        <f t="shared" si="158"/>
        <v>512</v>
      </c>
    </row>
    <row r="10135" spans="2:7" ht="15" hidden="1" x14ac:dyDescent="0.25">
      <c r="B10135" s="4">
        <v>584758898</v>
      </c>
      <c r="C10135" s="4" t="s">
        <v>272</v>
      </c>
      <c r="D10135" s="4">
        <v>45</v>
      </c>
      <c r="E10135" s="4">
        <v>221</v>
      </c>
      <c r="G10135">
        <f t="shared" si="158"/>
        <v>1824</v>
      </c>
    </row>
    <row r="10136" spans="2:7" ht="15" hidden="1" x14ac:dyDescent="0.25">
      <c r="B10136" s="4">
        <v>584758899</v>
      </c>
      <c r="C10136" s="4" t="s">
        <v>269</v>
      </c>
      <c r="D10136" s="4">
        <v>570</v>
      </c>
      <c r="E10136" s="4">
        <v>57</v>
      </c>
      <c r="G10136">
        <f t="shared" si="158"/>
        <v>512</v>
      </c>
    </row>
    <row r="10137" spans="2:7" ht="15" hidden="1" x14ac:dyDescent="0.25">
      <c r="B10137" s="4">
        <v>584758900</v>
      </c>
      <c r="C10137" s="4" t="s">
        <v>268</v>
      </c>
      <c r="D10137" s="4">
        <v>202</v>
      </c>
      <c r="E10137" s="4">
        <v>6</v>
      </c>
      <c r="G10137">
        <f t="shared" si="158"/>
        <v>104</v>
      </c>
    </row>
    <row r="10138" spans="2:7" ht="15" hidden="1" x14ac:dyDescent="0.25">
      <c r="B10138" s="4">
        <v>584758900</v>
      </c>
      <c r="C10138" s="4" t="s">
        <v>268</v>
      </c>
      <c r="D10138" s="4">
        <v>202</v>
      </c>
      <c r="E10138" s="4">
        <v>6</v>
      </c>
      <c r="G10138">
        <f t="shared" si="158"/>
        <v>104</v>
      </c>
    </row>
    <row r="10139" spans="2:7" ht="15" hidden="1" x14ac:dyDescent="0.25">
      <c r="B10139" s="4">
        <v>584758900</v>
      </c>
      <c r="C10139" s="4" t="s">
        <v>268</v>
      </c>
      <c r="D10139" s="4">
        <v>203</v>
      </c>
      <c r="E10139" s="4">
        <v>9</v>
      </c>
      <c r="G10139">
        <f t="shared" si="158"/>
        <v>128</v>
      </c>
    </row>
    <row r="10140" spans="2:7" ht="15" hidden="1" x14ac:dyDescent="0.25">
      <c r="B10140" s="4">
        <v>584758900</v>
      </c>
      <c r="C10140" s="4" t="s">
        <v>268</v>
      </c>
      <c r="D10140" s="4">
        <v>203</v>
      </c>
      <c r="E10140" s="4">
        <v>9</v>
      </c>
      <c r="G10140">
        <f t="shared" si="158"/>
        <v>128</v>
      </c>
    </row>
    <row r="10141" spans="2:7" ht="15" hidden="1" x14ac:dyDescent="0.25">
      <c r="B10141" s="4">
        <v>584758900</v>
      </c>
      <c r="C10141" s="4" t="s">
        <v>268</v>
      </c>
      <c r="D10141" s="4">
        <v>204</v>
      </c>
      <c r="E10141" s="4">
        <v>7</v>
      </c>
      <c r="G10141">
        <f t="shared" si="158"/>
        <v>112</v>
      </c>
    </row>
    <row r="10142" spans="2:7" ht="15" hidden="1" x14ac:dyDescent="0.25">
      <c r="B10142" s="4">
        <v>584758900</v>
      </c>
      <c r="C10142" s="4" t="s">
        <v>268</v>
      </c>
      <c r="D10142" s="4">
        <v>204</v>
      </c>
      <c r="E10142" s="4">
        <v>7</v>
      </c>
      <c r="G10142">
        <f t="shared" si="158"/>
        <v>112</v>
      </c>
    </row>
    <row r="10143" spans="2:7" ht="15" hidden="1" x14ac:dyDescent="0.25">
      <c r="B10143" s="4">
        <v>584758900</v>
      </c>
      <c r="C10143" s="4" t="s">
        <v>268</v>
      </c>
      <c r="D10143" s="4">
        <v>205</v>
      </c>
      <c r="E10143" s="4">
        <v>7</v>
      </c>
      <c r="G10143">
        <f t="shared" si="158"/>
        <v>112</v>
      </c>
    </row>
    <row r="10144" spans="2:7" ht="15" hidden="1" x14ac:dyDescent="0.25">
      <c r="B10144" s="4">
        <v>584758900</v>
      </c>
      <c r="C10144" s="4" t="s">
        <v>268</v>
      </c>
      <c r="D10144" s="4">
        <v>205</v>
      </c>
      <c r="E10144" s="4">
        <v>7</v>
      </c>
      <c r="G10144">
        <f t="shared" si="158"/>
        <v>112</v>
      </c>
    </row>
    <row r="10145" spans="2:7" ht="15" hidden="1" x14ac:dyDescent="0.25">
      <c r="B10145" s="4">
        <v>584758900</v>
      </c>
      <c r="C10145" s="4" t="s">
        <v>268</v>
      </c>
      <c r="D10145" s="4">
        <v>206</v>
      </c>
      <c r="E10145" s="4">
        <v>7</v>
      </c>
      <c r="G10145">
        <f t="shared" si="158"/>
        <v>112</v>
      </c>
    </row>
    <row r="10146" spans="2:7" ht="15" hidden="1" x14ac:dyDescent="0.25">
      <c r="B10146" s="4">
        <v>584758900</v>
      </c>
      <c r="C10146" s="4" t="s">
        <v>268</v>
      </c>
      <c r="D10146" s="4">
        <v>206</v>
      </c>
      <c r="E10146" s="4">
        <v>7</v>
      </c>
      <c r="G10146">
        <f t="shared" si="158"/>
        <v>112</v>
      </c>
    </row>
    <row r="10147" spans="2:7" ht="15" hidden="1" x14ac:dyDescent="0.25">
      <c r="B10147" s="4">
        <v>584758900</v>
      </c>
      <c r="C10147" s="4" t="s">
        <v>269</v>
      </c>
      <c r="D10147" s="4">
        <v>571</v>
      </c>
      <c r="E10147" s="4">
        <v>57</v>
      </c>
      <c r="G10147">
        <f t="shared" si="158"/>
        <v>512</v>
      </c>
    </row>
    <row r="10148" spans="2:7" ht="15" hidden="1" x14ac:dyDescent="0.25">
      <c r="B10148" s="4">
        <v>584758901</v>
      </c>
      <c r="C10148" s="4" t="s">
        <v>269</v>
      </c>
      <c r="D10148" s="4">
        <v>572</v>
      </c>
      <c r="E10148" s="4">
        <v>57</v>
      </c>
      <c r="G10148">
        <f t="shared" si="158"/>
        <v>512</v>
      </c>
    </row>
    <row r="10149" spans="2:7" ht="15" hidden="1" x14ac:dyDescent="0.25">
      <c r="B10149" s="4">
        <v>584758902</v>
      </c>
      <c r="C10149" s="4" t="s">
        <v>268</v>
      </c>
      <c r="D10149" s="4">
        <v>207</v>
      </c>
      <c r="E10149" s="4">
        <v>7</v>
      </c>
      <c r="G10149">
        <f t="shared" si="158"/>
        <v>112</v>
      </c>
    </row>
    <row r="10150" spans="2:7" ht="15" hidden="1" x14ac:dyDescent="0.25">
      <c r="B10150" s="4">
        <v>584758902</v>
      </c>
      <c r="C10150" s="4" t="s">
        <v>268</v>
      </c>
      <c r="D10150" s="4">
        <v>207</v>
      </c>
      <c r="E10150" s="4">
        <v>7</v>
      </c>
      <c r="G10150">
        <f t="shared" si="158"/>
        <v>112</v>
      </c>
    </row>
    <row r="10151" spans="2:7" ht="15" hidden="1" x14ac:dyDescent="0.25">
      <c r="B10151" s="4">
        <v>584758902</v>
      </c>
      <c r="C10151" s="4" t="s">
        <v>268</v>
      </c>
      <c r="D10151" s="4">
        <v>208</v>
      </c>
      <c r="E10151" s="4">
        <v>5</v>
      </c>
      <c r="G10151">
        <f t="shared" si="158"/>
        <v>96</v>
      </c>
    </row>
    <row r="10152" spans="2:7" ht="15" hidden="1" x14ac:dyDescent="0.25">
      <c r="B10152" s="4">
        <v>584758902</v>
      </c>
      <c r="C10152" s="4" t="s">
        <v>268</v>
      </c>
      <c r="D10152" s="4">
        <v>208</v>
      </c>
      <c r="E10152" s="4">
        <v>5</v>
      </c>
      <c r="G10152">
        <f t="shared" si="158"/>
        <v>96</v>
      </c>
    </row>
    <row r="10153" spans="2:7" ht="15" hidden="1" x14ac:dyDescent="0.25">
      <c r="B10153" s="4">
        <v>584758902</v>
      </c>
      <c r="C10153" s="4" t="s">
        <v>268</v>
      </c>
      <c r="D10153" s="4">
        <v>209</v>
      </c>
      <c r="E10153" s="4">
        <v>7</v>
      </c>
      <c r="G10153">
        <f t="shared" si="158"/>
        <v>112</v>
      </c>
    </row>
    <row r="10154" spans="2:7" ht="15" hidden="1" x14ac:dyDescent="0.25">
      <c r="B10154" s="4">
        <v>584758902</v>
      </c>
      <c r="C10154" s="4" t="s">
        <v>268</v>
      </c>
      <c r="D10154" s="4">
        <v>209</v>
      </c>
      <c r="E10154" s="4">
        <v>7</v>
      </c>
      <c r="G10154">
        <f t="shared" si="158"/>
        <v>112</v>
      </c>
    </row>
    <row r="10155" spans="2:7" ht="15" hidden="1" x14ac:dyDescent="0.25">
      <c r="B10155" s="4">
        <v>584758902</v>
      </c>
      <c r="C10155" s="4" t="s">
        <v>269</v>
      </c>
      <c r="D10155" s="4">
        <v>573</v>
      </c>
      <c r="E10155" s="4">
        <v>57</v>
      </c>
      <c r="G10155">
        <f t="shared" si="158"/>
        <v>512</v>
      </c>
    </row>
    <row r="10156" spans="2:7" ht="15" hidden="1" x14ac:dyDescent="0.25">
      <c r="B10156" s="4">
        <v>584758903</v>
      </c>
      <c r="C10156" s="4" t="s">
        <v>269</v>
      </c>
      <c r="D10156" s="4">
        <v>574</v>
      </c>
      <c r="E10156" s="4">
        <v>57</v>
      </c>
      <c r="G10156">
        <f t="shared" si="158"/>
        <v>512</v>
      </c>
    </row>
    <row r="10157" spans="2:7" ht="15" hidden="1" x14ac:dyDescent="0.25">
      <c r="B10157" s="4">
        <v>584758904</v>
      </c>
      <c r="C10157" s="4" t="s">
        <v>269</v>
      </c>
      <c r="D10157" s="4">
        <v>575</v>
      </c>
      <c r="E10157" s="4">
        <v>57</v>
      </c>
      <c r="G10157">
        <f t="shared" si="158"/>
        <v>512</v>
      </c>
    </row>
    <row r="10158" spans="2:7" ht="15" hidden="1" x14ac:dyDescent="0.25">
      <c r="B10158" s="4">
        <v>584758905</v>
      </c>
      <c r="C10158" s="4" t="s">
        <v>269</v>
      </c>
      <c r="D10158" s="4">
        <v>576</v>
      </c>
      <c r="E10158" s="4">
        <v>57</v>
      </c>
      <c r="G10158">
        <f t="shared" si="158"/>
        <v>512</v>
      </c>
    </row>
    <row r="10159" spans="2:7" ht="15" hidden="1" x14ac:dyDescent="0.25">
      <c r="B10159" s="4">
        <v>584758906</v>
      </c>
      <c r="C10159" s="4" t="s">
        <v>269</v>
      </c>
      <c r="D10159" s="4">
        <v>577</v>
      </c>
      <c r="E10159" s="4">
        <v>57</v>
      </c>
      <c r="G10159">
        <f t="shared" si="158"/>
        <v>512</v>
      </c>
    </row>
    <row r="10160" spans="2:7" ht="15" hidden="1" x14ac:dyDescent="0.25">
      <c r="B10160" s="4">
        <v>584758907</v>
      </c>
      <c r="C10160" s="4" t="s">
        <v>269</v>
      </c>
      <c r="D10160" s="4">
        <v>578</v>
      </c>
      <c r="E10160" s="4">
        <v>57</v>
      </c>
      <c r="G10160">
        <f t="shared" si="158"/>
        <v>512</v>
      </c>
    </row>
    <row r="10161" spans="2:7" ht="15" hidden="1" x14ac:dyDescent="0.25">
      <c r="B10161" s="4">
        <v>584758908</v>
      </c>
      <c r="C10161" s="4" t="s">
        <v>269</v>
      </c>
      <c r="D10161" s="4">
        <v>579</v>
      </c>
      <c r="E10161" s="4">
        <v>57</v>
      </c>
      <c r="G10161">
        <f t="shared" si="158"/>
        <v>512</v>
      </c>
    </row>
    <row r="10162" spans="2:7" ht="15" hidden="1" x14ac:dyDescent="0.25">
      <c r="B10162" s="4">
        <v>584758908</v>
      </c>
      <c r="C10162" s="4" t="s">
        <v>272</v>
      </c>
      <c r="D10162" s="4">
        <v>46</v>
      </c>
      <c r="E10162" s="4">
        <v>221</v>
      </c>
      <c r="G10162">
        <f t="shared" si="158"/>
        <v>1824</v>
      </c>
    </row>
    <row r="10163" spans="2:7" ht="15" hidden="1" x14ac:dyDescent="0.25">
      <c r="B10163" s="4">
        <v>584758909</v>
      </c>
      <c r="C10163" s="4" t="s">
        <v>269</v>
      </c>
      <c r="D10163" s="4">
        <v>580</v>
      </c>
      <c r="E10163" s="4">
        <v>57</v>
      </c>
      <c r="G10163">
        <f t="shared" si="158"/>
        <v>512</v>
      </c>
    </row>
    <row r="10164" spans="2:7" ht="15" hidden="1" x14ac:dyDescent="0.25">
      <c r="B10164" s="4">
        <v>584758910</v>
      </c>
      <c r="C10164" s="4" t="s">
        <v>269</v>
      </c>
      <c r="D10164" s="4">
        <v>581</v>
      </c>
      <c r="E10164" s="4">
        <v>57</v>
      </c>
      <c r="G10164">
        <f t="shared" si="158"/>
        <v>512</v>
      </c>
    </row>
    <row r="10165" spans="2:7" ht="15" hidden="1" x14ac:dyDescent="0.25">
      <c r="B10165" s="4">
        <v>584758911</v>
      </c>
      <c r="C10165" s="4" t="s">
        <v>269</v>
      </c>
      <c r="D10165" s="4">
        <v>582</v>
      </c>
      <c r="E10165" s="4">
        <v>57</v>
      </c>
      <c r="G10165">
        <f t="shared" si="158"/>
        <v>512</v>
      </c>
    </row>
    <row r="10166" spans="2:7" ht="15" hidden="1" x14ac:dyDescent="0.25">
      <c r="B10166" s="4">
        <v>584758912</v>
      </c>
      <c r="C10166" s="4" t="s">
        <v>269</v>
      </c>
      <c r="D10166" s="4">
        <v>583</v>
      </c>
      <c r="E10166" s="4">
        <v>57</v>
      </c>
      <c r="G10166">
        <f t="shared" si="158"/>
        <v>512</v>
      </c>
    </row>
    <row r="10167" spans="2:7" ht="15" hidden="1" x14ac:dyDescent="0.25">
      <c r="B10167" s="4">
        <v>584758913</v>
      </c>
      <c r="C10167" s="4" t="s">
        <v>269</v>
      </c>
      <c r="D10167" s="4">
        <v>584</v>
      </c>
      <c r="E10167" s="4">
        <v>57</v>
      </c>
      <c r="G10167">
        <f t="shared" si="158"/>
        <v>512</v>
      </c>
    </row>
    <row r="10168" spans="2:7" ht="15" hidden="1" x14ac:dyDescent="0.25">
      <c r="B10168" s="4">
        <v>584758914</v>
      </c>
      <c r="C10168" s="4" t="s">
        <v>269</v>
      </c>
      <c r="D10168" s="4">
        <v>585</v>
      </c>
      <c r="E10168" s="4">
        <v>57</v>
      </c>
      <c r="G10168">
        <f t="shared" si="158"/>
        <v>512</v>
      </c>
    </row>
    <row r="10169" spans="2:7" ht="15" hidden="1" x14ac:dyDescent="0.25">
      <c r="B10169" s="4">
        <v>584758915</v>
      </c>
      <c r="C10169" s="4" t="s">
        <v>269</v>
      </c>
      <c r="D10169" s="4">
        <v>586</v>
      </c>
      <c r="E10169" s="4">
        <v>57</v>
      </c>
      <c r="G10169">
        <f t="shared" si="158"/>
        <v>512</v>
      </c>
    </row>
    <row r="10170" spans="2:7" ht="15" hidden="1" x14ac:dyDescent="0.25">
      <c r="B10170" s="4">
        <v>584758916</v>
      </c>
      <c r="C10170" s="4" t="s">
        <v>269</v>
      </c>
      <c r="D10170" s="4">
        <v>587</v>
      </c>
      <c r="E10170" s="4">
        <v>57</v>
      </c>
      <c r="G10170">
        <f t="shared" si="158"/>
        <v>512</v>
      </c>
    </row>
    <row r="10171" spans="2:7" ht="15" hidden="1" x14ac:dyDescent="0.25">
      <c r="B10171" s="4">
        <v>584758917</v>
      </c>
      <c r="C10171" s="4" t="s">
        <v>269</v>
      </c>
      <c r="D10171" s="4">
        <v>588</v>
      </c>
      <c r="E10171" s="4">
        <v>57</v>
      </c>
      <c r="G10171">
        <f t="shared" si="158"/>
        <v>512</v>
      </c>
    </row>
    <row r="10172" spans="2:7" ht="15" hidden="1" x14ac:dyDescent="0.25">
      <c r="B10172" s="4">
        <v>584758918</v>
      </c>
      <c r="C10172" s="4" t="s">
        <v>269</v>
      </c>
      <c r="D10172" s="4">
        <v>589</v>
      </c>
      <c r="E10172" s="4">
        <v>57</v>
      </c>
      <c r="G10172">
        <f t="shared" si="158"/>
        <v>512</v>
      </c>
    </row>
    <row r="10173" spans="2:7" ht="15" hidden="1" x14ac:dyDescent="0.25">
      <c r="B10173" s="4">
        <v>584758918</v>
      </c>
      <c r="C10173" s="4" t="s">
        <v>272</v>
      </c>
      <c r="D10173" s="4">
        <v>47</v>
      </c>
      <c r="E10173" s="4">
        <v>219</v>
      </c>
      <c r="G10173">
        <f t="shared" si="158"/>
        <v>1808</v>
      </c>
    </row>
    <row r="10174" spans="2:7" ht="15" hidden="1" x14ac:dyDescent="0.25">
      <c r="B10174" s="4">
        <v>584758919</v>
      </c>
      <c r="C10174" s="4" t="s">
        <v>269</v>
      </c>
      <c r="D10174" s="4">
        <v>590</v>
      </c>
      <c r="E10174" s="4">
        <v>57</v>
      </c>
      <c r="G10174">
        <f t="shared" si="158"/>
        <v>512</v>
      </c>
    </row>
    <row r="10175" spans="2:7" ht="15" hidden="1" x14ac:dyDescent="0.25">
      <c r="B10175" s="4">
        <v>584758920</v>
      </c>
      <c r="C10175" s="4" t="s">
        <v>269</v>
      </c>
      <c r="D10175" s="4">
        <v>591</v>
      </c>
      <c r="E10175" s="4">
        <v>57</v>
      </c>
      <c r="G10175">
        <f t="shared" si="158"/>
        <v>512</v>
      </c>
    </row>
    <row r="10176" spans="2:7" ht="15" hidden="1" x14ac:dyDescent="0.25">
      <c r="B10176" s="4">
        <v>584758921</v>
      </c>
      <c r="C10176" s="4" t="s">
        <v>269</v>
      </c>
      <c r="D10176" s="4">
        <v>592</v>
      </c>
      <c r="E10176" s="4">
        <v>57</v>
      </c>
      <c r="G10176">
        <f t="shared" si="158"/>
        <v>512</v>
      </c>
    </row>
    <row r="10177" spans="2:7" ht="15" hidden="1" x14ac:dyDescent="0.25">
      <c r="B10177" s="4">
        <v>584758922</v>
      </c>
      <c r="C10177" s="4" t="s">
        <v>269</v>
      </c>
      <c r="D10177" s="4">
        <v>593</v>
      </c>
      <c r="E10177" s="4">
        <v>57</v>
      </c>
      <c r="G10177">
        <f t="shared" si="158"/>
        <v>512</v>
      </c>
    </row>
    <row r="10178" spans="2:7" ht="15" hidden="1" x14ac:dyDescent="0.25">
      <c r="B10178" s="4">
        <v>584758923</v>
      </c>
      <c r="C10178" s="4" t="s">
        <v>269</v>
      </c>
      <c r="D10178" s="4">
        <v>594</v>
      </c>
      <c r="E10178" s="4">
        <v>57</v>
      </c>
      <c r="G10178">
        <f t="shared" si="158"/>
        <v>512</v>
      </c>
    </row>
    <row r="10179" spans="2:7" ht="15" hidden="1" x14ac:dyDescent="0.25">
      <c r="B10179" s="4">
        <v>584758924</v>
      </c>
      <c r="C10179" s="4" t="s">
        <v>269</v>
      </c>
      <c r="D10179" s="4">
        <v>595</v>
      </c>
      <c r="E10179" s="4">
        <v>57</v>
      </c>
      <c r="G10179">
        <f t="shared" si="158"/>
        <v>512</v>
      </c>
    </row>
    <row r="10180" spans="2:7" ht="15" hidden="1" x14ac:dyDescent="0.25">
      <c r="B10180" s="4">
        <v>584758925</v>
      </c>
      <c r="C10180" s="4" t="s">
        <v>269</v>
      </c>
      <c r="D10180" s="4">
        <v>596</v>
      </c>
      <c r="E10180" s="4">
        <v>57</v>
      </c>
      <c r="G10180">
        <f t="shared" ref="G10180:G10243" si="159">(E10180+7)*8</f>
        <v>512</v>
      </c>
    </row>
    <row r="10181" spans="2:7" ht="15" hidden="1" x14ac:dyDescent="0.25">
      <c r="B10181" s="4">
        <v>584758926</v>
      </c>
      <c r="C10181" s="4" t="s">
        <v>269</v>
      </c>
      <c r="D10181" s="4">
        <v>597</v>
      </c>
      <c r="E10181" s="4">
        <v>57</v>
      </c>
      <c r="G10181">
        <f t="shared" si="159"/>
        <v>512</v>
      </c>
    </row>
    <row r="10182" spans="2:7" ht="15" hidden="1" x14ac:dyDescent="0.25">
      <c r="B10182" s="4">
        <v>584758927</v>
      </c>
      <c r="C10182" s="4" t="s">
        <v>269</v>
      </c>
      <c r="D10182" s="4">
        <v>598</v>
      </c>
      <c r="E10182" s="4">
        <v>57</v>
      </c>
      <c r="G10182">
        <f t="shared" si="159"/>
        <v>512</v>
      </c>
    </row>
    <row r="10183" spans="2:7" ht="15" hidden="1" x14ac:dyDescent="0.25">
      <c r="B10183" s="4">
        <v>584758928</v>
      </c>
      <c r="C10183" s="4" t="s">
        <v>269</v>
      </c>
      <c r="D10183" s="4">
        <v>599</v>
      </c>
      <c r="E10183" s="4">
        <v>57</v>
      </c>
      <c r="G10183">
        <f t="shared" si="159"/>
        <v>512</v>
      </c>
    </row>
    <row r="10184" spans="2:7" ht="15" hidden="1" x14ac:dyDescent="0.25">
      <c r="B10184" s="4">
        <v>584758928</v>
      </c>
      <c r="C10184" s="4" t="s">
        <v>272</v>
      </c>
      <c r="D10184" s="4">
        <v>48</v>
      </c>
      <c r="E10184" s="4">
        <v>219</v>
      </c>
      <c r="G10184">
        <f t="shared" si="159"/>
        <v>1808</v>
      </c>
    </row>
    <row r="10185" spans="2:7" ht="15" hidden="1" x14ac:dyDescent="0.25">
      <c r="B10185" s="4">
        <v>584758929</v>
      </c>
      <c r="C10185" s="4" t="s">
        <v>269</v>
      </c>
      <c r="D10185" s="4">
        <v>600</v>
      </c>
      <c r="E10185" s="4">
        <v>57</v>
      </c>
      <c r="G10185">
        <f t="shared" si="159"/>
        <v>512</v>
      </c>
    </row>
    <row r="10186" spans="2:7" ht="15" hidden="1" x14ac:dyDescent="0.25">
      <c r="B10186" s="4">
        <v>584758930</v>
      </c>
      <c r="C10186" s="4" t="s">
        <v>269</v>
      </c>
      <c r="D10186" s="4">
        <v>601</v>
      </c>
      <c r="E10186" s="4">
        <v>57</v>
      </c>
      <c r="G10186">
        <f t="shared" si="159"/>
        <v>512</v>
      </c>
    </row>
    <row r="10187" spans="2:7" ht="15" hidden="1" x14ac:dyDescent="0.25">
      <c r="B10187" s="4">
        <v>584758931</v>
      </c>
      <c r="C10187" s="4" t="s">
        <v>269</v>
      </c>
      <c r="D10187" s="4">
        <v>602</v>
      </c>
      <c r="E10187" s="4">
        <v>57</v>
      </c>
      <c r="G10187">
        <f t="shared" si="159"/>
        <v>512</v>
      </c>
    </row>
    <row r="10188" spans="2:7" ht="15" hidden="1" x14ac:dyDescent="0.25">
      <c r="B10188" s="4">
        <v>584758932</v>
      </c>
      <c r="C10188" s="4" t="s">
        <v>269</v>
      </c>
      <c r="D10188" s="4">
        <v>603</v>
      </c>
      <c r="E10188" s="4">
        <v>57</v>
      </c>
      <c r="G10188">
        <f t="shared" si="159"/>
        <v>512</v>
      </c>
    </row>
    <row r="10189" spans="2:7" ht="15" hidden="1" x14ac:dyDescent="0.25">
      <c r="B10189" s="4">
        <v>584758933</v>
      </c>
      <c r="C10189" s="4" t="s">
        <v>269</v>
      </c>
      <c r="D10189" s="4">
        <v>604</v>
      </c>
      <c r="E10189" s="4">
        <v>57</v>
      </c>
      <c r="G10189">
        <f t="shared" si="159"/>
        <v>512</v>
      </c>
    </row>
    <row r="10190" spans="2:7" ht="15" hidden="1" x14ac:dyDescent="0.25">
      <c r="B10190" s="4">
        <v>584758934</v>
      </c>
      <c r="C10190" s="4" t="s">
        <v>269</v>
      </c>
      <c r="D10190" s="4">
        <v>605</v>
      </c>
      <c r="E10190" s="4">
        <v>57</v>
      </c>
      <c r="G10190">
        <f t="shared" si="159"/>
        <v>512</v>
      </c>
    </row>
    <row r="10191" spans="2:7" ht="15" hidden="1" x14ac:dyDescent="0.25">
      <c r="B10191" s="4">
        <v>584758935</v>
      </c>
      <c r="C10191" s="4" t="s">
        <v>269</v>
      </c>
      <c r="D10191" s="4">
        <v>606</v>
      </c>
      <c r="E10191" s="4">
        <v>57</v>
      </c>
      <c r="G10191">
        <f t="shared" si="159"/>
        <v>512</v>
      </c>
    </row>
    <row r="10192" spans="2:7" ht="15" hidden="1" x14ac:dyDescent="0.25">
      <c r="B10192" s="4">
        <v>584758936</v>
      </c>
      <c r="C10192" s="4" t="s">
        <v>269</v>
      </c>
      <c r="D10192" s="4">
        <v>607</v>
      </c>
      <c r="E10192" s="4">
        <v>57</v>
      </c>
      <c r="G10192">
        <f t="shared" si="159"/>
        <v>512</v>
      </c>
    </row>
    <row r="10193" spans="2:7" ht="15" hidden="1" x14ac:dyDescent="0.25">
      <c r="B10193" s="4">
        <v>584758937</v>
      </c>
      <c r="C10193" s="4" t="s">
        <v>269</v>
      </c>
      <c r="D10193" s="4">
        <v>608</v>
      </c>
      <c r="E10193" s="4">
        <v>57</v>
      </c>
      <c r="G10193">
        <f t="shared" si="159"/>
        <v>512</v>
      </c>
    </row>
    <row r="10194" spans="2:7" ht="15" hidden="1" x14ac:dyDescent="0.25">
      <c r="B10194" s="4">
        <v>584758938</v>
      </c>
      <c r="C10194" s="4" t="s">
        <v>269</v>
      </c>
      <c r="D10194" s="4">
        <v>609</v>
      </c>
      <c r="E10194" s="4">
        <v>57</v>
      </c>
      <c r="G10194">
        <f t="shared" si="159"/>
        <v>512</v>
      </c>
    </row>
    <row r="10195" spans="2:7" ht="15" hidden="1" x14ac:dyDescent="0.25">
      <c r="B10195" s="4">
        <v>584758938</v>
      </c>
      <c r="C10195" s="4" t="s">
        <v>272</v>
      </c>
      <c r="D10195" s="4">
        <v>49</v>
      </c>
      <c r="E10195" s="4">
        <v>219</v>
      </c>
      <c r="G10195">
        <f t="shared" si="159"/>
        <v>1808</v>
      </c>
    </row>
    <row r="10196" spans="2:7" ht="15" hidden="1" x14ac:dyDescent="0.25">
      <c r="B10196" s="4">
        <v>584758939</v>
      </c>
      <c r="C10196" s="4" t="s">
        <v>269</v>
      </c>
      <c r="D10196" s="4">
        <v>610</v>
      </c>
      <c r="E10196" s="4">
        <v>57</v>
      </c>
      <c r="G10196">
        <f t="shared" si="159"/>
        <v>512</v>
      </c>
    </row>
    <row r="10197" spans="2:7" ht="15" hidden="1" x14ac:dyDescent="0.25">
      <c r="B10197" s="4">
        <v>584758940</v>
      </c>
      <c r="C10197" s="4" t="s">
        <v>269</v>
      </c>
      <c r="D10197" s="4">
        <v>611</v>
      </c>
      <c r="E10197" s="4">
        <v>57</v>
      </c>
      <c r="G10197">
        <f t="shared" si="159"/>
        <v>512</v>
      </c>
    </row>
    <row r="10198" spans="2:7" ht="15" hidden="1" x14ac:dyDescent="0.25">
      <c r="B10198" s="4">
        <v>584758941</v>
      </c>
      <c r="C10198" s="4" t="s">
        <v>269</v>
      </c>
      <c r="D10198" s="4">
        <v>612</v>
      </c>
      <c r="E10198" s="4">
        <v>57</v>
      </c>
      <c r="G10198">
        <f t="shared" si="159"/>
        <v>512</v>
      </c>
    </row>
    <row r="10199" spans="2:7" ht="15" hidden="1" x14ac:dyDescent="0.25">
      <c r="B10199" s="4">
        <v>584758942</v>
      </c>
      <c r="C10199" s="4" t="s">
        <v>269</v>
      </c>
      <c r="D10199" s="4">
        <v>613</v>
      </c>
      <c r="E10199" s="4">
        <v>57</v>
      </c>
      <c r="G10199">
        <f t="shared" si="159"/>
        <v>512</v>
      </c>
    </row>
    <row r="10200" spans="2:7" ht="15" hidden="1" x14ac:dyDescent="0.25">
      <c r="B10200" s="4">
        <v>584758943</v>
      </c>
      <c r="C10200" s="4" t="s">
        <v>269</v>
      </c>
      <c r="D10200" s="4">
        <v>614</v>
      </c>
      <c r="E10200" s="4">
        <v>57</v>
      </c>
      <c r="G10200">
        <f t="shared" si="159"/>
        <v>512</v>
      </c>
    </row>
    <row r="10201" spans="2:7" ht="15" hidden="1" x14ac:dyDescent="0.25">
      <c r="B10201" s="4">
        <v>584758944</v>
      </c>
      <c r="C10201" s="4" t="s">
        <v>269</v>
      </c>
      <c r="D10201" s="4">
        <v>615</v>
      </c>
      <c r="E10201" s="4">
        <v>57</v>
      </c>
      <c r="G10201">
        <f t="shared" si="159"/>
        <v>512</v>
      </c>
    </row>
    <row r="10202" spans="2:7" ht="15" hidden="1" x14ac:dyDescent="0.25">
      <c r="B10202" s="4">
        <v>584758945</v>
      </c>
      <c r="C10202" s="4" t="s">
        <v>269</v>
      </c>
      <c r="D10202" s="4">
        <v>616</v>
      </c>
      <c r="E10202" s="4">
        <v>57</v>
      </c>
      <c r="G10202">
        <f t="shared" si="159"/>
        <v>512</v>
      </c>
    </row>
    <row r="10203" spans="2:7" ht="15" hidden="1" x14ac:dyDescent="0.25">
      <c r="B10203" s="4">
        <v>584758946</v>
      </c>
      <c r="C10203" s="4" t="s">
        <v>269</v>
      </c>
      <c r="D10203" s="4">
        <v>617</v>
      </c>
      <c r="E10203" s="4">
        <v>57</v>
      </c>
      <c r="G10203">
        <f t="shared" si="159"/>
        <v>512</v>
      </c>
    </row>
    <row r="10204" spans="2:7" ht="15" hidden="1" x14ac:dyDescent="0.25">
      <c r="B10204" s="4">
        <v>584758947</v>
      </c>
      <c r="C10204" s="4" t="s">
        <v>269</v>
      </c>
      <c r="D10204" s="4">
        <v>618</v>
      </c>
      <c r="E10204" s="4">
        <v>57</v>
      </c>
      <c r="G10204">
        <f t="shared" si="159"/>
        <v>512</v>
      </c>
    </row>
    <row r="10205" spans="2:7" ht="15" hidden="1" x14ac:dyDescent="0.25">
      <c r="B10205" s="4">
        <v>584758948</v>
      </c>
      <c r="C10205" s="4" t="s">
        <v>269</v>
      </c>
      <c r="D10205" s="4">
        <v>619</v>
      </c>
      <c r="E10205" s="4">
        <v>57</v>
      </c>
      <c r="G10205">
        <f t="shared" si="159"/>
        <v>512</v>
      </c>
    </row>
    <row r="10206" spans="2:7" ht="15" hidden="1" x14ac:dyDescent="0.25">
      <c r="B10206" s="4">
        <v>584758948</v>
      </c>
      <c r="C10206" s="4" t="s">
        <v>272</v>
      </c>
      <c r="D10206" s="4">
        <v>50</v>
      </c>
      <c r="E10206" s="4">
        <v>219</v>
      </c>
      <c r="G10206">
        <f t="shared" si="159"/>
        <v>1808</v>
      </c>
    </row>
    <row r="10207" spans="2:7" ht="15" hidden="1" x14ac:dyDescent="0.25">
      <c r="B10207" s="4">
        <v>584758949</v>
      </c>
      <c r="C10207" s="4" t="s">
        <v>269</v>
      </c>
      <c r="D10207" s="4">
        <v>620</v>
      </c>
      <c r="E10207" s="4">
        <v>57</v>
      </c>
      <c r="G10207">
        <f t="shared" si="159"/>
        <v>512</v>
      </c>
    </row>
    <row r="10208" spans="2:7" ht="15" hidden="1" x14ac:dyDescent="0.25">
      <c r="B10208" s="4">
        <v>584758950</v>
      </c>
      <c r="C10208" s="4" t="s">
        <v>269</v>
      </c>
      <c r="D10208" s="4">
        <v>621</v>
      </c>
      <c r="E10208" s="4">
        <v>57</v>
      </c>
      <c r="G10208">
        <f t="shared" si="159"/>
        <v>512</v>
      </c>
    </row>
    <row r="10209" spans="2:7" ht="15" hidden="1" x14ac:dyDescent="0.25">
      <c r="B10209" s="4">
        <v>584758951</v>
      </c>
      <c r="C10209" s="4" t="s">
        <v>269</v>
      </c>
      <c r="D10209" s="4">
        <v>622</v>
      </c>
      <c r="E10209" s="4">
        <v>57</v>
      </c>
      <c r="G10209">
        <f t="shared" si="159"/>
        <v>512</v>
      </c>
    </row>
    <row r="10210" spans="2:7" ht="15" hidden="1" x14ac:dyDescent="0.25">
      <c r="B10210" s="4">
        <v>584758952</v>
      </c>
      <c r="C10210" s="4" t="s">
        <v>269</v>
      </c>
      <c r="D10210" s="4">
        <v>623</v>
      </c>
      <c r="E10210" s="4">
        <v>57</v>
      </c>
      <c r="G10210">
        <f t="shared" si="159"/>
        <v>512</v>
      </c>
    </row>
    <row r="10211" spans="2:7" ht="15" hidden="1" x14ac:dyDescent="0.25">
      <c r="B10211" s="4">
        <v>584758953</v>
      </c>
      <c r="C10211" s="4" t="s">
        <v>269</v>
      </c>
      <c r="D10211" s="4">
        <v>624</v>
      </c>
      <c r="E10211" s="4">
        <v>57</v>
      </c>
      <c r="G10211">
        <f t="shared" si="159"/>
        <v>512</v>
      </c>
    </row>
    <row r="10212" spans="2:7" ht="15" hidden="1" x14ac:dyDescent="0.25">
      <c r="B10212" s="4">
        <v>584758954</v>
      </c>
      <c r="C10212" s="4" t="s">
        <v>269</v>
      </c>
      <c r="D10212" s="4">
        <v>625</v>
      </c>
      <c r="E10212" s="4">
        <v>57</v>
      </c>
      <c r="G10212">
        <f t="shared" si="159"/>
        <v>512</v>
      </c>
    </row>
    <row r="10213" spans="2:7" ht="15" hidden="1" x14ac:dyDescent="0.25">
      <c r="B10213" s="4">
        <v>584758955</v>
      </c>
      <c r="C10213" s="4" t="s">
        <v>269</v>
      </c>
      <c r="D10213" s="4">
        <v>626</v>
      </c>
      <c r="E10213" s="4">
        <v>57</v>
      </c>
      <c r="G10213">
        <f t="shared" si="159"/>
        <v>512</v>
      </c>
    </row>
    <row r="10214" spans="2:7" ht="15" hidden="1" x14ac:dyDescent="0.25">
      <c r="B10214" s="4">
        <v>584758956</v>
      </c>
      <c r="C10214" s="4" t="s">
        <v>269</v>
      </c>
      <c r="D10214" s="4">
        <v>627</v>
      </c>
      <c r="E10214" s="4">
        <v>57</v>
      </c>
      <c r="G10214">
        <f t="shared" si="159"/>
        <v>512</v>
      </c>
    </row>
    <row r="10215" spans="2:7" ht="15" hidden="1" x14ac:dyDescent="0.25">
      <c r="B10215" s="4">
        <v>584758957</v>
      </c>
      <c r="C10215" s="4" t="s">
        <v>269</v>
      </c>
      <c r="D10215" s="4">
        <v>628</v>
      </c>
      <c r="E10215" s="4">
        <v>57</v>
      </c>
      <c r="G10215">
        <f t="shared" si="159"/>
        <v>512</v>
      </c>
    </row>
    <row r="10216" spans="2:7" ht="15" hidden="1" x14ac:dyDescent="0.25">
      <c r="B10216" s="4">
        <v>584758958</v>
      </c>
      <c r="C10216" s="4" t="s">
        <v>269</v>
      </c>
      <c r="D10216" s="4">
        <v>629</v>
      </c>
      <c r="E10216" s="4">
        <v>57</v>
      </c>
      <c r="G10216">
        <f t="shared" si="159"/>
        <v>512</v>
      </c>
    </row>
    <row r="10217" spans="2:7" ht="15" hidden="1" x14ac:dyDescent="0.25">
      <c r="B10217" s="4">
        <v>584758958</v>
      </c>
      <c r="C10217" s="4" t="s">
        <v>272</v>
      </c>
      <c r="D10217" s="4">
        <v>51</v>
      </c>
      <c r="E10217" s="4">
        <v>219</v>
      </c>
      <c r="G10217">
        <f t="shared" si="159"/>
        <v>1808</v>
      </c>
    </row>
    <row r="10218" spans="2:7" ht="15" hidden="1" x14ac:dyDescent="0.25">
      <c r="B10218" s="4">
        <v>584758959</v>
      </c>
      <c r="C10218" s="4" t="s">
        <v>269</v>
      </c>
      <c r="D10218" s="4">
        <v>630</v>
      </c>
      <c r="E10218" s="4">
        <v>57</v>
      </c>
      <c r="G10218">
        <f t="shared" si="159"/>
        <v>512</v>
      </c>
    </row>
    <row r="10219" spans="2:7" ht="15" hidden="1" x14ac:dyDescent="0.25">
      <c r="B10219" s="4">
        <v>584758960</v>
      </c>
      <c r="C10219" s="4" t="s">
        <v>269</v>
      </c>
      <c r="D10219" s="4">
        <v>631</v>
      </c>
      <c r="E10219" s="4">
        <v>57</v>
      </c>
      <c r="G10219">
        <f t="shared" si="159"/>
        <v>512</v>
      </c>
    </row>
    <row r="10220" spans="2:7" ht="15" hidden="1" x14ac:dyDescent="0.25">
      <c r="B10220" s="4">
        <v>584758961</v>
      </c>
      <c r="C10220" s="4" t="s">
        <v>269</v>
      </c>
      <c r="D10220" s="4">
        <v>632</v>
      </c>
      <c r="E10220" s="4">
        <v>57</v>
      </c>
      <c r="G10220">
        <f t="shared" si="159"/>
        <v>512</v>
      </c>
    </row>
    <row r="10221" spans="2:7" ht="15" hidden="1" x14ac:dyDescent="0.25">
      <c r="B10221" s="4">
        <v>584758962</v>
      </c>
      <c r="C10221" s="4" t="s">
        <v>268</v>
      </c>
      <c r="D10221" s="4">
        <v>210</v>
      </c>
      <c r="E10221" s="4">
        <v>6</v>
      </c>
      <c r="G10221">
        <f t="shared" si="159"/>
        <v>104</v>
      </c>
    </row>
    <row r="10222" spans="2:7" ht="15" hidden="1" x14ac:dyDescent="0.25">
      <c r="B10222" s="4">
        <v>584758962</v>
      </c>
      <c r="C10222" s="4" t="s">
        <v>268</v>
      </c>
      <c r="D10222" s="4">
        <v>210</v>
      </c>
      <c r="E10222" s="4">
        <v>6</v>
      </c>
      <c r="G10222">
        <f t="shared" si="159"/>
        <v>104</v>
      </c>
    </row>
    <row r="10223" spans="2:7" ht="15" hidden="1" x14ac:dyDescent="0.25">
      <c r="B10223" s="4">
        <v>584758962</v>
      </c>
      <c r="C10223" s="4" t="s">
        <v>268</v>
      </c>
      <c r="D10223" s="4">
        <v>211</v>
      </c>
      <c r="E10223" s="4">
        <v>9</v>
      </c>
      <c r="G10223">
        <f t="shared" si="159"/>
        <v>128</v>
      </c>
    </row>
    <row r="10224" spans="2:7" ht="15" hidden="1" x14ac:dyDescent="0.25">
      <c r="B10224" s="4">
        <v>584758962</v>
      </c>
      <c r="C10224" s="4" t="s">
        <v>268</v>
      </c>
      <c r="D10224" s="4">
        <v>211</v>
      </c>
      <c r="E10224" s="4">
        <v>9</v>
      </c>
      <c r="G10224">
        <f t="shared" si="159"/>
        <v>128</v>
      </c>
    </row>
    <row r="10225" spans="2:7" ht="15" hidden="1" x14ac:dyDescent="0.25">
      <c r="B10225" s="4">
        <v>584758962</v>
      </c>
      <c r="C10225" s="4" t="s">
        <v>268</v>
      </c>
      <c r="D10225" s="4">
        <v>212</v>
      </c>
      <c r="E10225" s="4">
        <v>7</v>
      </c>
      <c r="G10225">
        <f t="shared" si="159"/>
        <v>112</v>
      </c>
    </row>
    <row r="10226" spans="2:7" ht="15" hidden="1" x14ac:dyDescent="0.25">
      <c r="B10226" s="4">
        <v>584758962</v>
      </c>
      <c r="C10226" s="4" t="s">
        <v>268</v>
      </c>
      <c r="D10226" s="4">
        <v>212</v>
      </c>
      <c r="E10226" s="4">
        <v>7</v>
      </c>
      <c r="G10226">
        <f t="shared" si="159"/>
        <v>112</v>
      </c>
    </row>
    <row r="10227" spans="2:7" ht="15" hidden="1" x14ac:dyDescent="0.25">
      <c r="B10227" s="4">
        <v>584758962</v>
      </c>
      <c r="C10227" s="4" t="s">
        <v>268</v>
      </c>
      <c r="D10227" s="4">
        <v>213</v>
      </c>
      <c r="E10227" s="4">
        <v>7</v>
      </c>
      <c r="G10227">
        <f t="shared" si="159"/>
        <v>112</v>
      </c>
    </row>
    <row r="10228" spans="2:7" ht="15" hidden="1" x14ac:dyDescent="0.25">
      <c r="B10228" s="4">
        <v>584758962</v>
      </c>
      <c r="C10228" s="4" t="s">
        <v>268</v>
      </c>
      <c r="D10228" s="4">
        <v>213</v>
      </c>
      <c r="E10228" s="4">
        <v>7</v>
      </c>
      <c r="G10228">
        <f t="shared" si="159"/>
        <v>112</v>
      </c>
    </row>
    <row r="10229" spans="2:7" ht="15" hidden="1" x14ac:dyDescent="0.25">
      <c r="B10229" s="4">
        <v>584758962</v>
      </c>
      <c r="C10229" s="4" t="s">
        <v>268</v>
      </c>
      <c r="D10229" s="4">
        <v>214</v>
      </c>
      <c r="E10229" s="4">
        <v>7</v>
      </c>
      <c r="G10229">
        <f t="shared" si="159"/>
        <v>112</v>
      </c>
    </row>
    <row r="10230" spans="2:7" ht="15" hidden="1" x14ac:dyDescent="0.25">
      <c r="B10230" s="4">
        <v>584758962</v>
      </c>
      <c r="C10230" s="4" t="s">
        <v>268</v>
      </c>
      <c r="D10230" s="4">
        <v>214</v>
      </c>
      <c r="E10230" s="4">
        <v>7</v>
      </c>
      <c r="G10230">
        <f t="shared" si="159"/>
        <v>112</v>
      </c>
    </row>
    <row r="10231" spans="2:7" ht="15" hidden="1" x14ac:dyDescent="0.25">
      <c r="B10231" s="4">
        <v>584758962</v>
      </c>
      <c r="C10231" s="4" t="s">
        <v>269</v>
      </c>
      <c r="D10231" s="4">
        <v>633</v>
      </c>
      <c r="E10231" s="4">
        <v>57</v>
      </c>
      <c r="G10231">
        <f t="shared" si="159"/>
        <v>512</v>
      </c>
    </row>
    <row r="10232" spans="2:7" ht="15" hidden="1" x14ac:dyDescent="0.25">
      <c r="B10232" s="4">
        <v>584758963</v>
      </c>
      <c r="C10232" s="4" t="s">
        <v>269</v>
      </c>
      <c r="D10232" s="4">
        <v>634</v>
      </c>
      <c r="E10232" s="4">
        <v>57</v>
      </c>
      <c r="G10232">
        <f t="shared" si="159"/>
        <v>512</v>
      </c>
    </row>
    <row r="10233" spans="2:7" ht="15" hidden="1" x14ac:dyDescent="0.25">
      <c r="B10233" s="4">
        <v>584758964</v>
      </c>
      <c r="C10233" s="4" t="s">
        <v>268</v>
      </c>
      <c r="D10233" s="4">
        <v>215</v>
      </c>
      <c r="E10233" s="4">
        <v>7</v>
      </c>
      <c r="G10233">
        <f t="shared" si="159"/>
        <v>112</v>
      </c>
    </row>
    <row r="10234" spans="2:7" ht="15" hidden="1" x14ac:dyDescent="0.25">
      <c r="B10234" s="4">
        <v>584758964</v>
      </c>
      <c r="C10234" s="4" t="s">
        <v>268</v>
      </c>
      <c r="D10234" s="4">
        <v>215</v>
      </c>
      <c r="E10234" s="4">
        <v>7</v>
      </c>
      <c r="G10234">
        <f t="shared" si="159"/>
        <v>112</v>
      </c>
    </row>
    <row r="10235" spans="2:7" ht="15" hidden="1" x14ac:dyDescent="0.25">
      <c r="B10235" s="4">
        <v>584758964</v>
      </c>
      <c r="C10235" s="4" t="s">
        <v>268</v>
      </c>
      <c r="D10235" s="4">
        <v>216</v>
      </c>
      <c r="E10235" s="4">
        <v>5</v>
      </c>
      <c r="G10235">
        <f t="shared" si="159"/>
        <v>96</v>
      </c>
    </row>
    <row r="10236" spans="2:7" ht="15" hidden="1" x14ac:dyDescent="0.25">
      <c r="B10236" s="4">
        <v>584758964</v>
      </c>
      <c r="C10236" s="4" t="s">
        <v>268</v>
      </c>
      <c r="D10236" s="4">
        <v>216</v>
      </c>
      <c r="E10236" s="4">
        <v>5</v>
      </c>
      <c r="G10236">
        <f t="shared" si="159"/>
        <v>96</v>
      </c>
    </row>
    <row r="10237" spans="2:7" ht="15" hidden="1" x14ac:dyDescent="0.25">
      <c r="B10237" s="4">
        <v>584758964</v>
      </c>
      <c r="C10237" s="4" t="s">
        <v>268</v>
      </c>
      <c r="D10237" s="4">
        <v>217</v>
      </c>
      <c r="E10237" s="4">
        <v>7</v>
      </c>
      <c r="G10237">
        <f t="shared" si="159"/>
        <v>112</v>
      </c>
    </row>
    <row r="10238" spans="2:7" ht="15" hidden="1" x14ac:dyDescent="0.25">
      <c r="B10238" s="4">
        <v>584758964</v>
      </c>
      <c r="C10238" s="4" t="s">
        <v>268</v>
      </c>
      <c r="D10238" s="4">
        <v>217</v>
      </c>
      <c r="E10238" s="4">
        <v>7</v>
      </c>
      <c r="G10238">
        <f t="shared" si="159"/>
        <v>112</v>
      </c>
    </row>
    <row r="10239" spans="2:7" ht="15" hidden="1" x14ac:dyDescent="0.25">
      <c r="B10239" s="4">
        <v>584758964</v>
      </c>
      <c r="C10239" s="4" t="s">
        <v>269</v>
      </c>
      <c r="D10239" s="4">
        <v>635</v>
      </c>
      <c r="E10239" s="4">
        <v>57</v>
      </c>
      <c r="G10239">
        <f t="shared" si="159"/>
        <v>512</v>
      </c>
    </row>
    <row r="10240" spans="2:7" ht="15" hidden="1" x14ac:dyDescent="0.25">
      <c r="B10240" s="4">
        <v>584758965</v>
      </c>
      <c r="C10240" s="4" t="s">
        <v>269</v>
      </c>
      <c r="D10240" s="4">
        <v>636</v>
      </c>
      <c r="E10240" s="4">
        <v>57</v>
      </c>
      <c r="G10240">
        <f t="shared" si="159"/>
        <v>512</v>
      </c>
    </row>
    <row r="10241" spans="2:7" ht="15" hidden="1" x14ac:dyDescent="0.25">
      <c r="B10241" s="4">
        <v>584758966</v>
      </c>
      <c r="C10241" s="4" t="s">
        <v>269</v>
      </c>
      <c r="D10241" s="4">
        <v>637</v>
      </c>
      <c r="E10241" s="4">
        <v>57</v>
      </c>
      <c r="G10241">
        <f t="shared" si="159"/>
        <v>512</v>
      </c>
    </row>
    <row r="10242" spans="2:7" ht="15" hidden="1" x14ac:dyDescent="0.25">
      <c r="B10242" s="4">
        <v>584758967</v>
      </c>
      <c r="C10242" s="4" t="s">
        <v>269</v>
      </c>
      <c r="D10242" s="4">
        <v>638</v>
      </c>
      <c r="E10242" s="4">
        <v>57</v>
      </c>
      <c r="G10242">
        <f t="shared" si="159"/>
        <v>512</v>
      </c>
    </row>
    <row r="10243" spans="2:7" ht="15" hidden="1" x14ac:dyDescent="0.25">
      <c r="B10243" s="4">
        <v>584758968</v>
      </c>
      <c r="C10243" s="4" t="s">
        <v>269</v>
      </c>
      <c r="D10243" s="4">
        <v>639</v>
      </c>
      <c r="E10243" s="4">
        <v>57</v>
      </c>
      <c r="G10243">
        <f t="shared" si="159"/>
        <v>512</v>
      </c>
    </row>
    <row r="10244" spans="2:7" ht="15" hidden="1" x14ac:dyDescent="0.25">
      <c r="B10244" s="4">
        <v>584758968</v>
      </c>
      <c r="C10244" s="4" t="s">
        <v>272</v>
      </c>
      <c r="D10244" s="4">
        <v>52</v>
      </c>
      <c r="E10244" s="4">
        <v>219</v>
      </c>
      <c r="G10244">
        <f t="shared" ref="G10244:G10307" si="160">(E10244+7)*8</f>
        <v>1808</v>
      </c>
    </row>
    <row r="10245" spans="2:7" ht="15" hidden="1" x14ac:dyDescent="0.25">
      <c r="B10245" s="4">
        <v>584758969</v>
      </c>
      <c r="C10245" s="4" t="s">
        <v>269</v>
      </c>
      <c r="D10245" s="4">
        <v>640</v>
      </c>
      <c r="E10245" s="4">
        <v>57</v>
      </c>
      <c r="G10245">
        <f t="shared" si="160"/>
        <v>512</v>
      </c>
    </row>
    <row r="10246" spans="2:7" ht="15" hidden="1" x14ac:dyDescent="0.25">
      <c r="B10246" s="4">
        <v>584758970</v>
      </c>
      <c r="C10246" s="4" t="s">
        <v>269</v>
      </c>
      <c r="D10246" s="4">
        <v>641</v>
      </c>
      <c r="E10246" s="4">
        <v>57</v>
      </c>
      <c r="G10246">
        <f t="shared" si="160"/>
        <v>512</v>
      </c>
    </row>
    <row r="10247" spans="2:7" ht="15" hidden="1" x14ac:dyDescent="0.25">
      <c r="B10247" s="4">
        <v>584758971</v>
      </c>
      <c r="C10247" s="4" t="s">
        <v>269</v>
      </c>
      <c r="D10247" s="4">
        <v>642</v>
      </c>
      <c r="E10247" s="4">
        <v>57</v>
      </c>
      <c r="G10247">
        <f t="shared" si="160"/>
        <v>512</v>
      </c>
    </row>
    <row r="10248" spans="2:7" ht="15" hidden="1" x14ac:dyDescent="0.25">
      <c r="B10248" s="4">
        <v>584758972</v>
      </c>
      <c r="C10248" s="4" t="s">
        <v>269</v>
      </c>
      <c r="D10248" s="4">
        <v>643</v>
      </c>
      <c r="E10248" s="4">
        <v>57</v>
      </c>
      <c r="G10248">
        <f t="shared" si="160"/>
        <v>512</v>
      </c>
    </row>
    <row r="10249" spans="2:7" ht="15" hidden="1" x14ac:dyDescent="0.25">
      <c r="B10249" s="4">
        <v>584758973</v>
      </c>
      <c r="C10249" s="4" t="s">
        <v>269</v>
      </c>
      <c r="D10249" s="4">
        <v>644</v>
      </c>
      <c r="E10249" s="4">
        <v>57</v>
      </c>
      <c r="G10249">
        <f t="shared" si="160"/>
        <v>512</v>
      </c>
    </row>
    <row r="10250" spans="2:7" ht="15" hidden="1" x14ac:dyDescent="0.25">
      <c r="B10250" s="4">
        <v>584758974</v>
      </c>
      <c r="C10250" s="4" t="s">
        <v>269</v>
      </c>
      <c r="D10250" s="4">
        <v>645</v>
      </c>
      <c r="E10250" s="4">
        <v>57</v>
      </c>
      <c r="G10250">
        <f t="shared" si="160"/>
        <v>512</v>
      </c>
    </row>
    <row r="10251" spans="2:7" ht="15" hidden="1" x14ac:dyDescent="0.25">
      <c r="B10251" s="4">
        <v>584758975</v>
      </c>
      <c r="C10251" s="4" t="s">
        <v>269</v>
      </c>
      <c r="D10251" s="4">
        <v>646</v>
      </c>
      <c r="E10251" s="4">
        <v>57</v>
      </c>
      <c r="G10251">
        <f t="shared" si="160"/>
        <v>512</v>
      </c>
    </row>
    <row r="10252" spans="2:7" ht="15" hidden="1" x14ac:dyDescent="0.25">
      <c r="B10252" s="4">
        <v>584758976</v>
      </c>
      <c r="C10252" s="4" t="s">
        <v>269</v>
      </c>
      <c r="D10252" s="4">
        <v>647</v>
      </c>
      <c r="E10252" s="4">
        <v>57</v>
      </c>
      <c r="G10252">
        <f t="shared" si="160"/>
        <v>512</v>
      </c>
    </row>
    <row r="10253" spans="2:7" ht="15" hidden="1" x14ac:dyDescent="0.25">
      <c r="B10253" s="4">
        <v>584758977</v>
      </c>
      <c r="C10253" s="4" t="s">
        <v>269</v>
      </c>
      <c r="D10253" s="4">
        <v>648</v>
      </c>
      <c r="E10253" s="4">
        <v>57</v>
      </c>
      <c r="G10253">
        <f t="shared" si="160"/>
        <v>512</v>
      </c>
    </row>
    <row r="10254" spans="2:7" ht="15" hidden="1" x14ac:dyDescent="0.25">
      <c r="B10254" s="4">
        <v>584758978</v>
      </c>
      <c r="C10254" s="4" t="s">
        <v>269</v>
      </c>
      <c r="D10254" s="4">
        <v>649</v>
      </c>
      <c r="E10254" s="4">
        <v>57</v>
      </c>
      <c r="G10254">
        <f t="shared" si="160"/>
        <v>512</v>
      </c>
    </row>
    <row r="10255" spans="2:7" ht="15" hidden="1" x14ac:dyDescent="0.25">
      <c r="B10255" s="4">
        <v>584758978</v>
      </c>
      <c r="C10255" s="4" t="s">
        <v>272</v>
      </c>
      <c r="D10255" s="4">
        <v>53</v>
      </c>
      <c r="E10255" s="4">
        <v>217</v>
      </c>
      <c r="G10255">
        <f t="shared" si="160"/>
        <v>1792</v>
      </c>
    </row>
    <row r="10256" spans="2:7" ht="15" hidden="1" x14ac:dyDescent="0.25">
      <c r="B10256" s="4">
        <v>584758979</v>
      </c>
      <c r="C10256" s="4" t="s">
        <v>269</v>
      </c>
      <c r="D10256" s="4">
        <v>650</v>
      </c>
      <c r="E10256" s="4">
        <v>57</v>
      </c>
      <c r="G10256">
        <f t="shared" si="160"/>
        <v>512</v>
      </c>
    </row>
    <row r="10257" spans="2:7" ht="15" hidden="1" x14ac:dyDescent="0.25">
      <c r="B10257" s="4">
        <v>584758980</v>
      </c>
      <c r="C10257" s="4" t="s">
        <v>269</v>
      </c>
      <c r="D10257" s="4">
        <v>651</v>
      </c>
      <c r="E10257" s="4">
        <v>57</v>
      </c>
      <c r="G10257">
        <f t="shared" si="160"/>
        <v>512</v>
      </c>
    </row>
    <row r="10258" spans="2:7" ht="15" hidden="1" x14ac:dyDescent="0.25">
      <c r="B10258" s="4">
        <v>584758981</v>
      </c>
      <c r="C10258" s="4" t="s">
        <v>269</v>
      </c>
      <c r="D10258" s="4">
        <v>652</v>
      </c>
      <c r="E10258" s="4">
        <v>57</v>
      </c>
      <c r="G10258">
        <f t="shared" si="160"/>
        <v>512</v>
      </c>
    </row>
    <row r="10259" spans="2:7" ht="15" hidden="1" x14ac:dyDescent="0.25">
      <c r="B10259" s="4">
        <v>584758982</v>
      </c>
      <c r="C10259" s="4" t="s">
        <v>269</v>
      </c>
      <c r="D10259" s="4">
        <v>653</v>
      </c>
      <c r="E10259" s="4">
        <v>57</v>
      </c>
      <c r="G10259">
        <f t="shared" si="160"/>
        <v>512</v>
      </c>
    </row>
    <row r="10260" spans="2:7" ht="15" hidden="1" x14ac:dyDescent="0.25">
      <c r="B10260" s="4">
        <v>584758983</v>
      </c>
      <c r="C10260" s="4" t="s">
        <v>269</v>
      </c>
      <c r="D10260" s="4">
        <v>654</v>
      </c>
      <c r="E10260" s="4">
        <v>57</v>
      </c>
      <c r="G10260">
        <f t="shared" si="160"/>
        <v>512</v>
      </c>
    </row>
    <row r="10261" spans="2:7" ht="15" hidden="1" x14ac:dyDescent="0.25">
      <c r="B10261" s="4">
        <v>584758984</v>
      </c>
      <c r="C10261" s="4" t="s">
        <v>269</v>
      </c>
      <c r="D10261" s="4">
        <v>655</v>
      </c>
      <c r="E10261" s="4">
        <v>57</v>
      </c>
      <c r="G10261">
        <f t="shared" si="160"/>
        <v>512</v>
      </c>
    </row>
    <row r="10262" spans="2:7" ht="15" hidden="1" x14ac:dyDescent="0.25">
      <c r="B10262" s="4">
        <v>584758985</v>
      </c>
      <c r="C10262" s="4" t="s">
        <v>269</v>
      </c>
      <c r="D10262" s="4">
        <v>656</v>
      </c>
      <c r="E10262" s="4">
        <v>57</v>
      </c>
      <c r="G10262">
        <f t="shared" si="160"/>
        <v>512</v>
      </c>
    </row>
    <row r="10263" spans="2:7" ht="15" hidden="1" x14ac:dyDescent="0.25">
      <c r="B10263" s="4">
        <v>584758986</v>
      </c>
      <c r="C10263" s="4" t="s">
        <v>269</v>
      </c>
      <c r="D10263" s="4">
        <v>657</v>
      </c>
      <c r="E10263" s="4">
        <v>57</v>
      </c>
      <c r="G10263">
        <f t="shared" si="160"/>
        <v>512</v>
      </c>
    </row>
    <row r="10264" spans="2:7" ht="15" hidden="1" x14ac:dyDescent="0.25">
      <c r="B10264" s="4">
        <v>584758987</v>
      </c>
      <c r="C10264" s="4" t="s">
        <v>269</v>
      </c>
      <c r="D10264" s="4">
        <v>658</v>
      </c>
      <c r="E10264" s="4">
        <v>57</v>
      </c>
      <c r="G10264">
        <f t="shared" si="160"/>
        <v>512</v>
      </c>
    </row>
    <row r="10265" spans="2:7" ht="15" hidden="1" x14ac:dyDescent="0.25">
      <c r="B10265" s="4">
        <v>584758988</v>
      </c>
      <c r="C10265" s="4" t="s">
        <v>269</v>
      </c>
      <c r="D10265" s="4">
        <v>659</v>
      </c>
      <c r="E10265" s="4">
        <v>57</v>
      </c>
      <c r="G10265">
        <f t="shared" si="160"/>
        <v>512</v>
      </c>
    </row>
    <row r="10266" spans="2:7" ht="15" hidden="1" x14ac:dyDescent="0.25">
      <c r="B10266" s="4">
        <v>584758988</v>
      </c>
      <c r="C10266" s="4" t="s">
        <v>272</v>
      </c>
      <c r="D10266" s="4">
        <v>54</v>
      </c>
      <c r="E10266" s="4">
        <v>217</v>
      </c>
      <c r="G10266">
        <f t="shared" si="160"/>
        <v>1792</v>
      </c>
    </row>
    <row r="10267" spans="2:7" ht="15" hidden="1" x14ac:dyDescent="0.25">
      <c r="B10267" s="4">
        <v>584758989</v>
      </c>
      <c r="C10267" s="4" t="s">
        <v>269</v>
      </c>
      <c r="D10267" s="4">
        <v>660</v>
      </c>
      <c r="E10267" s="4">
        <v>57</v>
      </c>
      <c r="G10267">
        <f t="shared" si="160"/>
        <v>512</v>
      </c>
    </row>
    <row r="10268" spans="2:7" ht="15" hidden="1" x14ac:dyDescent="0.25">
      <c r="B10268" s="4">
        <v>584758990</v>
      </c>
      <c r="C10268" s="4" t="s">
        <v>269</v>
      </c>
      <c r="D10268" s="4">
        <v>661</v>
      </c>
      <c r="E10268" s="4">
        <v>57</v>
      </c>
      <c r="G10268">
        <f t="shared" si="160"/>
        <v>512</v>
      </c>
    </row>
    <row r="10269" spans="2:7" ht="15" hidden="1" x14ac:dyDescent="0.25">
      <c r="B10269" s="4">
        <v>584758991</v>
      </c>
      <c r="C10269" s="4" t="s">
        <v>269</v>
      </c>
      <c r="D10269" s="4">
        <v>662</v>
      </c>
      <c r="E10269" s="4">
        <v>57</v>
      </c>
      <c r="G10269">
        <f t="shared" si="160"/>
        <v>512</v>
      </c>
    </row>
    <row r="10270" spans="2:7" ht="15" hidden="1" x14ac:dyDescent="0.25">
      <c r="B10270" s="4">
        <v>584758992</v>
      </c>
      <c r="C10270" s="4" t="s">
        <v>269</v>
      </c>
      <c r="D10270" s="4">
        <v>663</v>
      </c>
      <c r="E10270" s="4">
        <v>57</v>
      </c>
      <c r="G10270">
        <f t="shared" si="160"/>
        <v>512</v>
      </c>
    </row>
    <row r="10271" spans="2:7" ht="15" hidden="1" x14ac:dyDescent="0.25">
      <c r="B10271" s="4">
        <v>584758993</v>
      </c>
      <c r="C10271" s="4" t="s">
        <v>269</v>
      </c>
      <c r="D10271" s="4">
        <v>664</v>
      </c>
      <c r="E10271" s="4">
        <v>57</v>
      </c>
      <c r="G10271">
        <f t="shared" si="160"/>
        <v>512</v>
      </c>
    </row>
    <row r="10272" spans="2:7" ht="15" hidden="1" x14ac:dyDescent="0.25">
      <c r="B10272" s="4">
        <v>584758994</v>
      </c>
      <c r="C10272" s="4" t="s">
        <v>269</v>
      </c>
      <c r="D10272" s="4">
        <v>665</v>
      </c>
      <c r="E10272" s="4">
        <v>57</v>
      </c>
      <c r="G10272">
        <f t="shared" si="160"/>
        <v>512</v>
      </c>
    </row>
    <row r="10273" spans="2:7" ht="15" hidden="1" x14ac:dyDescent="0.25">
      <c r="B10273" s="4">
        <v>584758995</v>
      </c>
      <c r="C10273" s="4" t="s">
        <v>269</v>
      </c>
      <c r="D10273" s="4">
        <v>666</v>
      </c>
      <c r="E10273" s="4">
        <v>57</v>
      </c>
      <c r="G10273">
        <f t="shared" si="160"/>
        <v>512</v>
      </c>
    </row>
    <row r="10274" spans="2:7" ht="15" hidden="1" x14ac:dyDescent="0.25">
      <c r="B10274" s="4">
        <v>584758996</v>
      </c>
      <c r="C10274" s="4" t="s">
        <v>269</v>
      </c>
      <c r="D10274" s="4">
        <v>667</v>
      </c>
      <c r="E10274" s="4">
        <v>57</v>
      </c>
      <c r="G10274">
        <f t="shared" si="160"/>
        <v>512</v>
      </c>
    </row>
    <row r="10275" spans="2:7" ht="15" hidden="1" x14ac:dyDescent="0.25">
      <c r="B10275" s="4">
        <v>584758997</v>
      </c>
      <c r="C10275" s="4" t="s">
        <v>269</v>
      </c>
      <c r="D10275" s="4">
        <v>668</v>
      </c>
      <c r="E10275" s="4">
        <v>57</v>
      </c>
      <c r="G10275">
        <f t="shared" si="160"/>
        <v>512</v>
      </c>
    </row>
    <row r="10276" spans="2:7" ht="15" hidden="1" x14ac:dyDescent="0.25">
      <c r="B10276" s="4">
        <v>584758998</v>
      </c>
      <c r="C10276" s="4" t="s">
        <v>269</v>
      </c>
      <c r="D10276" s="4">
        <v>669</v>
      </c>
      <c r="E10276" s="4">
        <v>57</v>
      </c>
      <c r="G10276">
        <f t="shared" si="160"/>
        <v>512</v>
      </c>
    </row>
    <row r="10277" spans="2:7" ht="15" hidden="1" x14ac:dyDescent="0.25">
      <c r="B10277" s="4">
        <v>584758998</v>
      </c>
      <c r="C10277" s="4" t="s">
        <v>272</v>
      </c>
      <c r="D10277" s="4">
        <v>55</v>
      </c>
      <c r="E10277" s="4">
        <v>217</v>
      </c>
      <c r="G10277">
        <f t="shared" si="160"/>
        <v>1792</v>
      </c>
    </row>
    <row r="10278" spans="2:7" ht="15" hidden="1" x14ac:dyDescent="0.25">
      <c r="B10278" s="4">
        <v>584758999</v>
      </c>
      <c r="C10278" s="4" t="s">
        <v>269</v>
      </c>
      <c r="D10278" s="4">
        <v>670</v>
      </c>
      <c r="E10278" s="4">
        <v>57</v>
      </c>
      <c r="G10278">
        <f t="shared" si="160"/>
        <v>512</v>
      </c>
    </row>
    <row r="10279" spans="2:7" ht="15" hidden="1" x14ac:dyDescent="0.25">
      <c r="B10279" s="4">
        <v>584759000</v>
      </c>
      <c r="C10279" s="4" t="s">
        <v>269</v>
      </c>
      <c r="D10279" s="4">
        <v>671</v>
      </c>
      <c r="E10279" s="4">
        <v>57</v>
      </c>
      <c r="G10279">
        <f t="shared" si="160"/>
        <v>512</v>
      </c>
    </row>
    <row r="10280" spans="2:7" ht="15" hidden="1" x14ac:dyDescent="0.25">
      <c r="B10280" s="4">
        <v>584759001</v>
      </c>
      <c r="C10280" s="4" t="s">
        <v>269</v>
      </c>
      <c r="D10280" s="4">
        <v>672</v>
      </c>
      <c r="E10280" s="4">
        <v>57</v>
      </c>
      <c r="G10280">
        <f t="shared" si="160"/>
        <v>512</v>
      </c>
    </row>
    <row r="10281" spans="2:7" ht="15" hidden="1" x14ac:dyDescent="0.25">
      <c r="B10281" s="4">
        <v>584759002</v>
      </c>
      <c r="C10281" s="4" t="s">
        <v>269</v>
      </c>
      <c r="D10281" s="4">
        <v>673</v>
      </c>
      <c r="E10281" s="4">
        <v>57</v>
      </c>
      <c r="G10281">
        <f t="shared" si="160"/>
        <v>512</v>
      </c>
    </row>
    <row r="10282" spans="2:7" ht="15" hidden="1" x14ac:dyDescent="0.25">
      <c r="B10282" s="4">
        <v>584759003</v>
      </c>
      <c r="C10282" s="4" t="s">
        <v>269</v>
      </c>
      <c r="D10282" s="4">
        <v>674</v>
      </c>
      <c r="E10282" s="4">
        <v>57</v>
      </c>
      <c r="G10282">
        <f t="shared" si="160"/>
        <v>512</v>
      </c>
    </row>
    <row r="10283" spans="2:7" ht="15" hidden="1" x14ac:dyDescent="0.25">
      <c r="B10283" s="4">
        <v>584759004</v>
      </c>
      <c r="C10283" s="4" t="s">
        <v>269</v>
      </c>
      <c r="D10283" s="4">
        <v>675</v>
      </c>
      <c r="E10283" s="4">
        <v>57</v>
      </c>
      <c r="G10283">
        <f t="shared" si="160"/>
        <v>512</v>
      </c>
    </row>
    <row r="10284" spans="2:7" ht="15" hidden="1" x14ac:dyDescent="0.25">
      <c r="B10284" s="4">
        <v>584759005</v>
      </c>
      <c r="C10284" s="4" t="s">
        <v>269</v>
      </c>
      <c r="D10284" s="4">
        <v>676</v>
      </c>
      <c r="E10284" s="4">
        <v>57</v>
      </c>
      <c r="G10284">
        <f t="shared" si="160"/>
        <v>512</v>
      </c>
    </row>
    <row r="10285" spans="2:7" ht="15" hidden="1" x14ac:dyDescent="0.25">
      <c r="B10285" s="4">
        <v>584759006</v>
      </c>
      <c r="C10285" s="4" t="s">
        <v>269</v>
      </c>
      <c r="D10285" s="4">
        <v>677</v>
      </c>
      <c r="E10285" s="4">
        <v>57</v>
      </c>
      <c r="G10285">
        <f t="shared" si="160"/>
        <v>512</v>
      </c>
    </row>
    <row r="10286" spans="2:7" ht="15" hidden="1" x14ac:dyDescent="0.25">
      <c r="B10286" s="4">
        <v>584759007</v>
      </c>
      <c r="C10286" s="4" t="s">
        <v>269</v>
      </c>
      <c r="D10286" s="4">
        <v>678</v>
      </c>
      <c r="E10286" s="4">
        <v>57</v>
      </c>
      <c r="G10286">
        <f t="shared" si="160"/>
        <v>512</v>
      </c>
    </row>
    <row r="10287" spans="2:7" ht="15" hidden="1" x14ac:dyDescent="0.25">
      <c r="B10287" s="4">
        <v>584759008</v>
      </c>
      <c r="C10287" s="4" t="s">
        <v>269</v>
      </c>
      <c r="D10287" s="4">
        <v>679</v>
      </c>
      <c r="E10287" s="4">
        <v>57</v>
      </c>
      <c r="G10287">
        <f t="shared" si="160"/>
        <v>512</v>
      </c>
    </row>
    <row r="10288" spans="2:7" ht="15" hidden="1" x14ac:dyDescent="0.25">
      <c r="B10288" s="4">
        <v>584759008</v>
      </c>
      <c r="C10288" s="4" t="s">
        <v>272</v>
      </c>
      <c r="D10288" s="4">
        <v>56</v>
      </c>
      <c r="E10288" s="4">
        <v>217</v>
      </c>
      <c r="G10288">
        <f t="shared" si="160"/>
        <v>1792</v>
      </c>
    </row>
    <row r="10289" spans="2:7" ht="15" hidden="1" x14ac:dyDescent="0.25">
      <c r="B10289" s="4">
        <v>584759009</v>
      </c>
      <c r="C10289" s="4" t="s">
        <v>269</v>
      </c>
      <c r="D10289" s="4">
        <v>680</v>
      </c>
      <c r="E10289" s="4">
        <v>57</v>
      </c>
      <c r="G10289">
        <f t="shared" si="160"/>
        <v>512</v>
      </c>
    </row>
    <row r="10290" spans="2:7" ht="15" hidden="1" x14ac:dyDescent="0.25">
      <c r="B10290" s="4">
        <v>584759010</v>
      </c>
      <c r="C10290" s="4" t="s">
        <v>269</v>
      </c>
      <c r="D10290" s="4">
        <v>681</v>
      </c>
      <c r="E10290" s="4">
        <v>57</v>
      </c>
      <c r="G10290">
        <f t="shared" si="160"/>
        <v>512</v>
      </c>
    </row>
    <row r="10291" spans="2:7" ht="15" hidden="1" x14ac:dyDescent="0.25">
      <c r="B10291" s="4">
        <v>584759011</v>
      </c>
      <c r="C10291" s="4" t="s">
        <v>269</v>
      </c>
      <c r="D10291" s="4">
        <v>682</v>
      </c>
      <c r="E10291" s="4">
        <v>57</v>
      </c>
      <c r="G10291">
        <f t="shared" si="160"/>
        <v>512</v>
      </c>
    </row>
    <row r="10292" spans="2:7" ht="15" hidden="1" x14ac:dyDescent="0.25">
      <c r="B10292" s="4">
        <v>584759012</v>
      </c>
      <c r="C10292" s="4" t="s">
        <v>269</v>
      </c>
      <c r="D10292" s="4">
        <v>683</v>
      </c>
      <c r="E10292" s="4">
        <v>57</v>
      </c>
      <c r="G10292">
        <f t="shared" si="160"/>
        <v>512</v>
      </c>
    </row>
    <row r="10293" spans="2:7" ht="15" hidden="1" x14ac:dyDescent="0.25">
      <c r="B10293" s="4">
        <v>584759013</v>
      </c>
      <c r="C10293" s="4" t="s">
        <v>269</v>
      </c>
      <c r="D10293" s="4">
        <v>684</v>
      </c>
      <c r="E10293" s="4">
        <v>57</v>
      </c>
      <c r="G10293">
        <f t="shared" si="160"/>
        <v>512</v>
      </c>
    </row>
    <row r="10294" spans="2:7" ht="15" hidden="1" x14ac:dyDescent="0.25">
      <c r="B10294" s="4">
        <v>584759014</v>
      </c>
      <c r="C10294" s="4" t="s">
        <v>269</v>
      </c>
      <c r="D10294" s="4">
        <v>685</v>
      </c>
      <c r="E10294" s="4">
        <v>57</v>
      </c>
      <c r="G10294">
        <f t="shared" si="160"/>
        <v>512</v>
      </c>
    </row>
    <row r="10295" spans="2:7" ht="15" hidden="1" x14ac:dyDescent="0.25">
      <c r="B10295" s="4">
        <v>584759015</v>
      </c>
      <c r="C10295" s="4" t="s">
        <v>269</v>
      </c>
      <c r="D10295" s="4">
        <v>686</v>
      </c>
      <c r="E10295" s="4">
        <v>57</v>
      </c>
      <c r="G10295">
        <f t="shared" si="160"/>
        <v>512</v>
      </c>
    </row>
    <row r="10296" spans="2:7" ht="15" hidden="1" x14ac:dyDescent="0.25">
      <c r="B10296" s="4">
        <v>584759016</v>
      </c>
      <c r="C10296" s="4" t="s">
        <v>269</v>
      </c>
      <c r="D10296" s="4">
        <v>687</v>
      </c>
      <c r="E10296" s="4">
        <v>57</v>
      </c>
      <c r="G10296">
        <f t="shared" si="160"/>
        <v>512</v>
      </c>
    </row>
    <row r="10297" spans="2:7" ht="15" hidden="1" x14ac:dyDescent="0.25">
      <c r="B10297" s="4">
        <v>584759017</v>
      </c>
      <c r="C10297" s="4" t="s">
        <v>269</v>
      </c>
      <c r="D10297" s="4">
        <v>688</v>
      </c>
      <c r="E10297" s="4">
        <v>57</v>
      </c>
      <c r="G10297">
        <f t="shared" si="160"/>
        <v>512</v>
      </c>
    </row>
    <row r="10298" spans="2:7" ht="15" hidden="1" x14ac:dyDescent="0.25">
      <c r="B10298" s="4">
        <v>584759018</v>
      </c>
      <c r="C10298" s="4" t="s">
        <v>269</v>
      </c>
      <c r="D10298" s="4">
        <v>689</v>
      </c>
      <c r="E10298" s="4">
        <v>57</v>
      </c>
      <c r="G10298">
        <f t="shared" si="160"/>
        <v>512</v>
      </c>
    </row>
    <row r="10299" spans="2:7" ht="15" hidden="1" x14ac:dyDescent="0.25">
      <c r="B10299" s="4">
        <v>584759018</v>
      </c>
      <c r="C10299" s="4" t="s">
        <v>272</v>
      </c>
      <c r="D10299" s="4">
        <v>57</v>
      </c>
      <c r="E10299" s="4">
        <v>217</v>
      </c>
      <c r="G10299">
        <f t="shared" si="160"/>
        <v>1792</v>
      </c>
    </row>
    <row r="10300" spans="2:7" ht="15" hidden="1" x14ac:dyDescent="0.25">
      <c r="B10300" s="4">
        <v>584759019</v>
      </c>
      <c r="C10300" s="4" t="s">
        <v>269</v>
      </c>
      <c r="D10300" s="4">
        <v>690</v>
      </c>
      <c r="E10300" s="4">
        <v>57</v>
      </c>
      <c r="G10300">
        <f t="shared" si="160"/>
        <v>512</v>
      </c>
    </row>
    <row r="10301" spans="2:7" ht="15" hidden="1" x14ac:dyDescent="0.25">
      <c r="B10301" s="4">
        <v>584759020</v>
      </c>
      <c r="C10301" s="4" t="s">
        <v>269</v>
      </c>
      <c r="D10301" s="4">
        <v>691</v>
      </c>
      <c r="E10301" s="4">
        <v>57</v>
      </c>
      <c r="G10301">
        <f t="shared" si="160"/>
        <v>512</v>
      </c>
    </row>
    <row r="10302" spans="2:7" ht="15" hidden="1" x14ac:dyDescent="0.25">
      <c r="B10302" s="4">
        <v>584759021</v>
      </c>
      <c r="C10302" s="4" t="s">
        <v>269</v>
      </c>
      <c r="D10302" s="4">
        <v>692</v>
      </c>
      <c r="E10302" s="4">
        <v>57</v>
      </c>
      <c r="G10302">
        <f t="shared" si="160"/>
        <v>512</v>
      </c>
    </row>
    <row r="10303" spans="2:7" ht="15" hidden="1" x14ac:dyDescent="0.25">
      <c r="B10303" s="4">
        <v>584759022</v>
      </c>
      <c r="C10303" s="4" t="s">
        <v>269</v>
      </c>
      <c r="D10303" s="4">
        <v>693</v>
      </c>
      <c r="E10303" s="4">
        <v>57</v>
      </c>
      <c r="G10303">
        <f t="shared" si="160"/>
        <v>512</v>
      </c>
    </row>
    <row r="10304" spans="2:7" ht="15" hidden="1" x14ac:dyDescent="0.25">
      <c r="B10304" s="4">
        <v>584759023</v>
      </c>
      <c r="C10304" s="4" t="s">
        <v>269</v>
      </c>
      <c r="D10304" s="4">
        <v>694</v>
      </c>
      <c r="E10304" s="4">
        <v>57</v>
      </c>
      <c r="G10304">
        <f t="shared" si="160"/>
        <v>512</v>
      </c>
    </row>
    <row r="10305" spans="2:7" ht="15" hidden="1" x14ac:dyDescent="0.25">
      <c r="B10305" s="4">
        <v>584759024</v>
      </c>
      <c r="C10305" s="4" t="s">
        <v>268</v>
      </c>
      <c r="D10305" s="4">
        <v>218</v>
      </c>
      <c r="E10305" s="4">
        <v>6</v>
      </c>
      <c r="G10305">
        <f t="shared" si="160"/>
        <v>104</v>
      </c>
    </row>
    <row r="10306" spans="2:7" ht="15" hidden="1" x14ac:dyDescent="0.25">
      <c r="B10306" s="4">
        <v>584759024</v>
      </c>
      <c r="C10306" s="4" t="s">
        <v>268</v>
      </c>
      <c r="D10306" s="4">
        <v>218</v>
      </c>
      <c r="E10306" s="4">
        <v>6</v>
      </c>
      <c r="G10306">
        <f t="shared" si="160"/>
        <v>104</v>
      </c>
    </row>
    <row r="10307" spans="2:7" ht="15" hidden="1" x14ac:dyDescent="0.25">
      <c r="B10307" s="4">
        <v>584759024</v>
      </c>
      <c r="C10307" s="4" t="s">
        <v>268</v>
      </c>
      <c r="D10307" s="4">
        <v>219</v>
      </c>
      <c r="E10307" s="4">
        <v>9</v>
      </c>
      <c r="G10307">
        <f t="shared" si="160"/>
        <v>128</v>
      </c>
    </row>
    <row r="10308" spans="2:7" ht="15" hidden="1" x14ac:dyDescent="0.25">
      <c r="B10308" s="4">
        <v>584759024</v>
      </c>
      <c r="C10308" s="4" t="s">
        <v>268</v>
      </c>
      <c r="D10308" s="4">
        <v>219</v>
      </c>
      <c r="E10308" s="4">
        <v>9</v>
      </c>
      <c r="G10308">
        <f t="shared" ref="G10308:G10371" si="161">(E10308+7)*8</f>
        <v>128</v>
      </c>
    </row>
    <row r="10309" spans="2:7" ht="15" hidden="1" x14ac:dyDescent="0.25">
      <c r="B10309" s="4">
        <v>584759024</v>
      </c>
      <c r="C10309" s="4" t="s">
        <v>268</v>
      </c>
      <c r="D10309" s="4">
        <v>220</v>
      </c>
      <c r="E10309" s="4">
        <v>7</v>
      </c>
      <c r="G10309">
        <f t="shared" si="161"/>
        <v>112</v>
      </c>
    </row>
    <row r="10310" spans="2:7" ht="15" hidden="1" x14ac:dyDescent="0.25">
      <c r="B10310" s="4">
        <v>584759024</v>
      </c>
      <c r="C10310" s="4" t="s">
        <v>268</v>
      </c>
      <c r="D10310" s="4">
        <v>220</v>
      </c>
      <c r="E10310" s="4">
        <v>7</v>
      </c>
      <c r="G10310">
        <f t="shared" si="161"/>
        <v>112</v>
      </c>
    </row>
    <row r="10311" spans="2:7" ht="15" hidden="1" x14ac:dyDescent="0.25">
      <c r="B10311" s="4">
        <v>584759024</v>
      </c>
      <c r="C10311" s="4" t="s">
        <v>268</v>
      </c>
      <c r="D10311" s="4">
        <v>221</v>
      </c>
      <c r="E10311" s="4">
        <v>7</v>
      </c>
      <c r="G10311">
        <f t="shared" si="161"/>
        <v>112</v>
      </c>
    </row>
    <row r="10312" spans="2:7" ht="15" hidden="1" x14ac:dyDescent="0.25">
      <c r="B10312" s="4">
        <v>584759024</v>
      </c>
      <c r="C10312" s="4" t="s">
        <v>268</v>
      </c>
      <c r="D10312" s="4">
        <v>221</v>
      </c>
      <c r="E10312" s="4">
        <v>7</v>
      </c>
      <c r="G10312">
        <f t="shared" si="161"/>
        <v>112</v>
      </c>
    </row>
    <row r="10313" spans="2:7" ht="15" hidden="1" x14ac:dyDescent="0.25">
      <c r="B10313" s="4">
        <v>584759024</v>
      </c>
      <c r="C10313" s="4" t="s">
        <v>268</v>
      </c>
      <c r="D10313" s="4">
        <v>222</v>
      </c>
      <c r="E10313" s="4">
        <v>7</v>
      </c>
      <c r="G10313">
        <f t="shared" si="161"/>
        <v>112</v>
      </c>
    </row>
    <row r="10314" spans="2:7" ht="15" hidden="1" x14ac:dyDescent="0.25">
      <c r="B10314" s="4">
        <v>584759024</v>
      </c>
      <c r="C10314" s="4" t="s">
        <v>268</v>
      </c>
      <c r="D10314" s="4">
        <v>222</v>
      </c>
      <c r="E10314" s="4">
        <v>7</v>
      </c>
      <c r="G10314">
        <f t="shared" si="161"/>
        <v>112</v>
      </c>
    </row>
    <row r="10315" spans="2:7" ht="15" hidden="1" x14ac:dyDescent="0.25">
      <c r="B10315" s="4">
        <v>584759024</v>
      </c>
      <c r="C10315" s="4" t="s">
        <v>269</v>
      </c>
      <c r="D10315" s="4">
        <v>695</v>
      </c>
      <c r="E10315" s="4">
        <v>57</v>
      </c>
      <c r="G10315">
        <f t="shared" si="161"/>
        <v>512</v>
      </c>
    </row>
    <row r="10316" spans="2:7" ht="15" hidden="1" x14ac:dyDescent="0.25">
      <c r="B10316" s="4">
        <v>584759025</v>
      </c>
      <c r="C10316" s="4" t="s">
        <v>269</v>
      </c>
      <c r="D10316" s="4">
        <v>696</v>
      </c>
      <c r="E10316" s="4">
        <v>57</v>
      </c>
      <c r="G10316">
        <f t="shared" si="161"/>
        <v>512</v>
      </c>
    </row>
    <row r="10317" spans="2:7" ht="15" hidden="1" x14ac:dyDescent="0.25">
      <c r="B10317" s="4">
        <v>584759026</v>
      </c>
      <c r="C10317" s="4" t="s">
        <v>268</v>
      </c>
      <c r="D10317" s="4">
        <v>223</v>
      </c>
      <c r="E10317" s="4">
        <v>7</v>
      </c>
      <c r="G10317">
        <f t="shared" si="161"/>
        <v>112</v>
      </c>
    </row>
    <row r="10318" spans="2:7" ht="15" hidden="1" x14ac:dyDescent="0.25">
      <c r="B10318" s="4">
        <v>584759026</v>
      </c>
      <c r="C10318" s="4" t="s">
        <v>268</v>
      </c>
      <c r="D10318" s="4">
        <v>223</v>
      </c>
      <c r="E10318" s="4">
        <v>7</v>
      </c>
      <c r="G10318">
        <f t="shared" si="161"/>
        <v>112</v>
      </c>
    </row>
    <row r="10319" spans="2:7" ht="15" hidden="1" x14ac:dyDescent="0.25">
      <c r="B10319" s="4">
        <v>584759026</v>
      </c>
      <c r="C10319" s="4" t="s">
        <v>268</v>
      </c>
      <c r="D10319" s="4">
        <v>224</v>
      </c>
      <c r="E10319" s="4">
        <v>5</v>
      </c>
      <c r="G10319">
        <f t="shared" si="161"/>
        <v>96</v>
      </c>
    </row>
    <row r="10320" spans="2:7" ht="15" hidden="1" x14ac:dyDescent="0.25">
      <c r="B10320" s="4">
        <v>584759026</v>
      </c>
      <c r="C10320" s="4" t="s">
        <v>268</v>
      </c>
      <c r="D10320" s="4">
        <v>224</v>
      </c>
      <c r="E10320" s="4">
        <v>5</v>
      </c>
      <c r="G10320">
        <f t="shared" si="161"/>
        <v>96</v>
      </c>
    </row>
    <row r="10321" spans="2:7" ht="15" hidden="1" x14ac:dyDescent="0.25">
      <c r="B10321" s="4">
        <v>584759026</v>
      </c>
      <c r="C10321" s="4" t="s">
        <v>268</v>
      </c>
      <c r="D10321" s="4">
        <v>225</v>
      </c>
      <c r="E10321" s="4">
        <v>7</v>
      </c>
      <c r="G10321">
        <f t="shared" si="161"/>
        <v>112</v>
      </c>
    </row>
    <row r="10322" spans="2:7" ht="15" hidden="1" x14ac:dyDescent="0.25">
      <c r="B10322" s="4">
        <v>584759026</v>
      </c>
      <c r="C10322" s="4" t="s">
        <v>268</v>
      </c>
      <c r="D10322" s="4">
        <v>225</v>
      </c>
      <c r="E10322" s="4">
        <v>7</v>
      </c>
      <c r="G10322">
        <f t="shared" si="161"/>
        <v>112</v>
      </c>
    </row>
    <row r="10323" spans="2:7" ht="15" hidden="1" x14ac:dyDescent="0.25">
      <c r="B10323" s="4">
        <v>584759026</v>
      </c>
      <c r="C10323" s="4" t="s">
        <v>269</v>
      </c>
      <c r="D10323" s="4">
        <v>697</v>
      </c>
      <c r="E10323" s="4">
        <v>57</v>
      </c>
      <c r="G10323">
        <f t="shared" si="161"/>
        <v>512</v>
      </c>
    </row>
    <row r="10324" spans="2:7" ht="15" hidden="1" x14ac:dyDescent="0.25">
      <c r="B10324" s="4">
        <v>584759027</v>
      </c>
      <c r="C10324" s="4" t="s">
        <v>269</v>
      </c>
      <c r="D10324" s="4">
        <v>698</v>
      </c>
      <c r="E10324" s="4">
        <v>57</v>
      </c>
      <c r="G10324">
        <f t="shared" si="161"/>
        <v>512</v>
      </c>
    </row>
    <row r="10325" spans="2:7" ht="15" hidden="1" x14ac:dyDescent="0.25">
      <c r="B10325" s="4">
        <v>584759028</v>
      </c>
      <c r="C10325" s="4" t="s">
        <v>269</v>
      </c>
      <c r="D10325" s="4">
        <v>699</v>
      </c>
      <c r="E10325" s="4">
        <v>57</v>
      </c>
      <c r="G10325">
        <f t="shared" si="161"/>
        <v>512</v>
      </c>
    </row>
    <row r="10326" spans="2:7" ht="15" hidden="1" x14ac:dyDescent="0.25">
      <c r="B10326" s="4">
        <v>584759028</v>
      </c>
      <c r="C10326" s="4" t="s">
        <v>272</v>
      </c>
      <c r="D10326" s="4">
        <v>58</v>
      </c>
      <c r="E10326" s="4">
        <v>217</v>
      </c>
      <c r="G10326">
        <f t="shared" si="161"/>
        <v>1792</v>
      </c>
    </row>
    <row r="10327" spans="2:7" ht="15" hidden="1" x14ac:dyDescent="0.25">
      <c r="B10327" s="4">
        <v>584759029</v>
      </c>
      <c r="C10327" s="4" t="s">
        <v>269</v>
      </c>
      <c r="D10327" s="4">
        <v>700</v>
      </c>
      <c r="E10327" s="4">
        <v>57</v>
      </c>
      <c r="G10327">
        <f t="shared" si="161"/>
        <v>512</v>
      </c>
    </row>
    <row r="10328" spans="2:7" ht="15" hidden="1" x14ac:dyDescent="0.25">
      <c r="B10328" s="4">
        <v>584759030</v>
      </c>
      <c r="C10328" s="4" t="s">
        <v>269</v>
      </c>
      <c r="D10328" s="4">
        <v>701</v>
      </c>
      <c r="E10328" s="4">
        <v>57</v>
      </c>
      <c r="G10328">
        <f t="shared" si="161"/>
        <v>512</v>
      </c>
    </row>
    <row r="10329" spans="2:7" ht="15" hidden="1" x14ac:dyDescent="0.25">
      <c r="B10329" s="4">
        <v>584759031</v>
      </c>
      <c r="C10329" s="4" t="s">
        <v>269</v>
      </c>
      <c r="D10329" s="4">
        <v>702</v>
      </c>
      <c r="E10329" s="4">
        <v>57</v>
      </c>
      <c r="G10329">
        <f t="shared" si="161"/>
        <v>512</v>
      </c>
    </row>
    <row r="10330" spans="2:7" ht="15" hidden="1" x14ac:dyDescent="0.25">
      <c r="B10330" s="4">
        <v>584759032</v>
      </c>
      <c r="C10330" s="4" t="s">
        <v>269</v>
      </c>
      <c r="D10330" s="4">
        <v>703</v>
      </c>
      <c r="E10330" s="4">
        <v>57</v>
      </c>
      <c r="G10330">
        <f t="shared" si="161"/>
        <v>512</v>
      </c>
    </row>
    <row r="10331" spans="2:7" ht="15" hidden="1" x14ac:dyDescent="0.25">
      <c r="B10331" s="4">
        <v>584759033</v>
      </c>
      <c r="C10331" s="4" t="s">
        <v>269</v>
      </c>
      <c r="D10331" s="4">
        <v>704</v>
      </c>
      <c r="E10331" s="4">
        <v>57</v>
      </c>
      <c r="G10331">
        <f t="shared" si="161"/>
        <v>512</v>
      </c>
    </row>
    <row r="10332" spans="2:7" ht="15" hidden="1" x14ac:dyDescent="0.25">
      <c r="B10332" s="4">
        <v>584759034</v>
      </c>
      <c r="C10332" s="4" t="s">
        <v>269</v>
      </c>
      <c r="D10332" s="4">
        <v>705</v>
      </c>
      <c r="E10332" s="4">
        <v>57</v>
      </c>
      <c r="G10332">
        <f t="shared" si="161"/>
        <v>512</v>
      </c>
    </row>
    <row r="10333" spans="2:7" ht="15" hidden="1" x14ac:dyDescent="0.25">
      <c r="B10333" s="4">
        <v>584759035</v>
      </c>
      <c r="C10333" s="4" t="s">
        <v>269</v>
      </c>
      <c r="D10333" s="4">
        <v>706</v>
      </c>
      <c r="E10333" s="4">
        <v>57</v>
      </c>
      <c r="G10333">
        <f t="shared" si="161"/>
        <v>512</v>
      </c>
    </row>
    <row r="10334" spans="2:7" ht="15" hidden="1" x14ac:dyDescent="0.25">
      <c r="B10334" s="4">
        <v>584759036</v>
      </c>
      <c r="C10334" s="4" t="s">
        <v>269</v>
      </c>
      <c r="D10334" s="4">
        <v>707</v>
      </c>
      <c r="E10334" s="4">
        <v>57</v>
      </c>
      <c r="G10334">
        <f t="shared" si="161"/>
        <v>512</v>
      </c>
    </row>
    <row r="10335" spans="2:7" ht="15" hidden="1" x14ac:dyDescent="0.25">
      <c r="B10335" s="4">
        <v>584759037</v>
      </c>
      <c r="C10335" s="4" t="s">
        <v>269</v>
      </c>
      <c r="D10335" s="4">
        <v>708</v>
      </c>
      <c r="E10335" s="4">
        <v>57</v>
      </c>
      <c r="G10335">
        <f t="shared" si="161"/>
        <v>512</v>
      </c>
    </row>
    <row r="10336" spans="2:7" ht="15" hidden="1" x14ac:dyDescent="0.25">
      <c r="B10336" s="4">
        <v>584759038</v>
      </c>
      <c r="C10336" s="4" t="s">
        <v>269</v>
      </c>
      <c r="D10336" s="4">
        <v>709</v>
      </c>
      <c r="E10336" s="4">
        <v>57</v>
      </c>
      <c r="G10336">
        <f t="shared" si="161"/>
        <v>512</v>
      </c>
    </row>
    <row r="10337" spans="2:7" ht="15" hidden="1" x14ac:dyDescent="0.25">
      <c r="B10337" s="4">
        <v>584759038</v>
      </c>
      <c r="C10337" s="4" t="s">
        <v>272</v>
      </c>
      <c r="D10337" s="4">
        <v>59</v>
      </c>
      <c r="E10337" s="4">
        <v>215</v>
      </c>
      <c r="G10337">
        <f t="shared" si="161"/>
        <v>1776</v>
      </c>
    </row>
    <row r="10338" spans="2:7" ht="15" hidden="1" x14ac:dyDescent="0.25">
      <c r="B10338" s="4">
        <v>584759039</v>
      </c>
      <c r="C10338" s="4" t="s">
        <v>269</v>
      </c>
      <c r="D10338" s="4">
        <v>710</v>
      </c>
      <c r="E10338" s="4">
        <v>57</v>
      </c>
      <c r="G10338">
        <f t="shared" si="161"/>
        <v>512</v>
      </c>
    </row>
    <row r="10339" spans="2:7" ht="15" hidden="1" x14ac:dyDescent="0.25">
      <c r="B10339" s="4">
        <v>584759040</v>
      </c>
      <c r="C10339" s="4" t="s">
        <v>269</v>
      </c>
      <c r="D10339" s="4">
        <v>711</v>
      </c>
      <c r="E10339" s="4">
        <v>57</v>
      </c>
      <c r="G10339">
        <f t="shared" si="161"/>
        <v>512</v>
      </c>
    </row>
    <row r="10340" spans="2:7" ht="15" hidden="1" x14ac:dyDescent="0.25">
      <c r="B10340" s="4">
        <v>584759041</v>
      </c>
      <c r="C10340" s="4" t="s">
        <v>269</v>
      </c>
      <c r="D10340" s="4">
        <v>712</v>
      </c>
      <c r="E10340" s="4">
        <v>57</v>
      </c>
      <c r="G10340">
        <f t="shared" si="161"/>
        <v>512</v>
      </c>
    </row>
    <row r="10341" spans="2:7" ht="15" hidden="1" x14ac:dyDescent="0.25">
      <c r="B10341" s="4">
        <v>584759042</v>
      </c>
      <c r="C10341" s="4" t="s">
        <v>269</v>
      </c>
      <c r="D10341" s="4">
        <v>713</v>
      </c>
      <c r="E10341" s="4">
        <v>57</v>
      </c>
      <c r="G10341">
        <f t="shared" si="161"/>
        <v>512</v>
      </c>
    </row>
    <row r="10342" spans="2:7" ht="15" hidden="1" x14ac:dyDescent="0.25">
      <c r="B10342" s="4">
        <v>584759043</v>
      </c>
      <c r="C10342" s="4" t="s">
        <v>269</v>
      </c>
      <c r="D10342" s="4">
        <v>714</v>
      </c>
      <c r="E10342" s="4">
        <v>57</v>
      </c>
      <c r="G10342">
        <f t="shared" si="161"/>
        <v>512</v>
      </c>
    </row>
    <row r="10343" spans="2:7" ht="15" hidden="1" x14ac:dyDescent="0.25">
      <c r="B10343" s="4">
        <v>584759044</v>
      </c>
      <c r="C10343" s="4" t="s">
        <v>269</v>
      </c>
      <c r="D10343" s="4">
        <v>715</v>
      </c>
      <c r="E10343" s="4">
        <v>57</v>
      </c>
      <c r="G10343">
        <f t="shared" si="161"/>
        <v>512</v>
      </c>
    </row>
    <row r="10344" spans="2:7" ht="15" hidden="1" x14ac:dyDescent="0.25">
      <c r="B10344" s="4">
        <v>584759045</v>
      </c>
      <c r="C10344" s="4" t="s">
        <v>269</v>
      </c>
      <c r="D10344" s="4">
        <v>716</v>
      </c>
      <c r="E10344" s="4">
        <v>57</v>
      </c>
      <c r="G10344">
        <f t="shared" si="161"/>
        <v>512</v>
      </c>
    </row>
    <row r="10345" spans="2:7" ht="15" hidden="1" x14ac:dyDescent="0.25">
      <c r="B10345" s="4">
        <v>584759046</v>
      </c>
      <c r="C10345" s="4" t="s">
        <v>269</v>
      </c>
      <c r="D10345" s="4">
        <v>717</v>
      </c>
      <c r="E10345" s="4">
        <v>57</v>
      </c>
      <c r="G10345">
        <f t="shared" si="161"/>
        <v>512</v>
      </c>
    </row>
    <row r="10346" spans="2:7" ht="15" hidden="1" x14ac:dyDescent="0.25">
      <c r="B10346" s="4">
        <v>584759047</v>
      </c>
      <c r="C10346" s="4" t="s">
        <v>269</v>
      </c>
      <c r="D10346" s="4">
        <v>718</v>
      </c>
      <c r="E10346" s="4">
        <v>57</v>
      </c>
      <c r="G10346">
        <f t="shared" si="161"/>
        <v>512</v>
      </c>
    </row>
    <row r="10347" spans="2:7" ht="15" hidden="1" x14ac:dyDescent="0.25">
      <c r="B10347" s="4">
        <v>584759048</v>
      </c>
      <c r="C10347" s="4" t="s">
        <v>269</v>
      </c>
      <c r="D10347" s="4">
        <v>719</v>
      </c>
      <c r="E10347" s="4">
        <v>57</v>
      </c>
      <c r="G10347">
        <f t="shared" si="161"/>
        <v>512</v>
      </c>
    </row>
    <row r="10348" spans="2:7" ht="15" x14ac:dyDescent="0.25">
      <c r="B10348" s="4">
        <v>584759048</v>
      </c>
      <c r="C10348" s="4" t="s">
        <v>270</v>
      </c>
      <c r="D10348" s="4">
        <v>2</v>
      </c>
      <c r="E10348" s="4">
        <v>1100</v>
      </c>
      <c r="G10348">
        <f t="shared" si="161"/>
        <v>8856</v>
      </c>
    </row>
    <row r="10349" spans="2:7" ht="15" x14ac:dyDescent="0.25">
      <c r="B10349" s="4">
        <v>584759048</v>
      </c>
      <c r="C10349" s="4" t="s">
        <v>271</v>
      </c>
      <c r="D10349" s="4">
        <v>2</v>
      </c>
      <c r="E10349" s="4">
        <v>1100</v>
      </c>
      <c r="G10349">
        <f t="shared" si="161"/>
        <v>8856</v>
      </c>
    </row>
    <row r="10350" spans="2:7" ht="15" hidden="1" x14ac:dyDescent="0.25">
      <c r="B10350" s="4">
        <v>584759049</v>
      </c>
      <c r="C10350" s="4" t="s">
        <v>269</v>
      </c>
      <c r="D10350" s="4">
        <v>720</v>
      </c>
      <c r="E10350" s="4">
        <v>57</v>
      </c>
      <c r="G10350">
        <f t="shared" si="161"/>
        <v>512</v>
      </c>
    </row>
    <row r="10351" spans="2:7" ht="15" hidden="1" x14ac:dyDescent="0.25">
      <c r="B10351" s="4">
        <v>584759049</v>
      </c>
      <c r="C10351" s="4" t="s">
        <v>272</v>
      </c>
      <c r="D10351" s="4">
        <v>60</v>
      </c>
      <c r="E10351" s="4">
        <v>213</v>
      </c>
      <c r="G10351">
        <f t="shared" si="161"/>
        <v>1760</v>
      </c>
    </row>
    <row r="10352" spans="2:7" ht="15" hidden="1" x14ac:dyDescent="0.25">
      <c r="B10352" s="4">
        <v>584759050</v>
      </c>
      <c r="C10352" s="4" t="s">
        <v>269</v>
      </c>
      <c r="D10352" s="4">
        <v>721</v>
      </c>
      <c r="E10352" s="4">
        <v>57</v>
      </c>
      <c r="G10352">
        <f t="shared" si="161"/>
        <v>512</v>
      </c>
    </row>
    <row r="10353" spans="2:7" ht="15" hidden="1" x14ac:dyDescent="0.25">
      <c r="B10353" s="4">
        <v>584759051</v>
      </c>
      <c r="C10353" s="4" t="s">
        <v>269</v>
      </c>
      <c r="D10353" s="4">
        <v>722</v>
      </c>
      <c r="E10353" s="4">
        <v>57</v>
      </c>
      <c r="G10353">
        <f t="shared" si="161"/>
        <v>512</v>
      </c>
    </row>
    <row r="10354" spans="2:7" ht="15" hidden="1" x14ac:dyDescent="0.25">
      <c r="B10354" s="4">
        <v>584759052</v>
      </c>
      <c r="C10354" s="4" t="s">
        <v>269</v>
      </c>
      <c r="D10354" s="4">
        <v>723</v>
      </c>
      <c r="E10354" s="4">
        <v>57</v>
      </c>
      <c r="G10354">
        <f t="shared" si="161"/>
        <v>512</v>
      </c>
    </row>
    <row r="10355" spans="2:7" ht="15" hidden="1" x14ac:dyDescent="0.25">
      <c r="B10355" s="4">
        <v>584759053</v>
      </c>
      <c r="C10355" s="4" t="s">
        <v>269</v>
      </c>
      <c r="D10355" s="4">
        <v>724</v>
      </c>
      <c r="E10355" s="4">
        <v>57</v>
      </c>
      <c r="G10355">
        <f t="shared" si="161"/>
        <v>512</v>
      </c>
    </row>
    <row r="10356" spans="2:7" ht="15" hidden="1" x14ac:dyDescent="0.25">
      <c r="B10356" s="4">
        <v>584759054</v>
      </c>
      <c r="C10356" s="4" t="s">
        <v>269</v>
      </c>
      <c r="D10356" s="4">
        <v>725</v>
      </c>
      <c r="E10356" s="4">
        <v>57</v>
      </c>
      <c r="G10356">
        <f t="shared" si="161"/>
        <v>512</v>
      </c>
    </row>
    <row r="10357" spans="2:7" ht="15" hidden="1" x14ac:dyDescent="0.25">
      <c r="B10357" s="4">
        <v>584759055</v>
      </c>
      <c r="C10357" s="4" t="s">
        <v>269</v>
      </c>
      <c r="D10357" s="4">
        <v>726</v>
      </c>
      <c r="E10357" s="4">
        <v>57</v>
      </c>
      <c r="G10357">
        <f t="shared" si="161"/>
        <v>512</v>
      </c>
    </row>
    <row r="10358" spans="2:7" ht="15" hidden="1" x14ac:dyDescent="0.25">
      <c r="B10358" s="4">
        <v>584759056</v>
      </c>
      <c r="C10358" s="4" t="s">
        <v>269</v>
      </c>
      <c r="D10358" s="4">
        <v>727</v>
      </c>
      <c r="E10358" s="4">
        <v>57</v>
      </c>
      <c r="G10358">
        <f t="shared" si="161"/>
        <v>512</v>
      </c>
    </row>
    <row r="10359" spans="2:7" ht="15" hidden="1" x14ac:dyDescent="0.25">
      <c r="B10359" s="4">
        <v>584759057</v>
      </c>
      <c r="C10359" s="4" t="s">
        <v>269</v>
      </c>
      <c r="D10359" s="4">
        <v>728</v>
      </c>
      <c r="E10359" s="4">
        <v>57</v>
      </c>
      <c r="G10359">
        <f t="shared" si="161"/>
        <v>512</v>
      </c>
    </row>
    <row r="10360" spans="2:7" ht="15" hidden="1" x14ac:dyDescent="0.25">
      <c r="B10360" s="4">
        <v>584759058</v>
      </c>
      <c r="C10360" s="4" t="s">
        <v>269</v>
      </c>
      <c r="D10360" s="4">
        <v>729</v>
      </c>
      <c r="E10360" s="4">
        <v>57</v>
      </c>
      <c r="G10360">
        <f t="shared" si="161"/>
        <v>512</v>
      </c>
    </row>
    <row r="10361" spans="2:7" ht="15" hidden="1" x14ac:dyDescent="0.25">
      <c r="B10361" s="4">
        <v>584759058</v>
      </c>
      <c r="C10361" s="4" t="s">
        <v>272</v>
      </c>
      <c r="D10361" s="4">
        <v>61</v>
      </c>
      <c r="E10361" s="4">
        <v>213</v>
      </c>
      <c r="G10361">
        <f t="shared" si="161"/>
        <v>1760</v>
      </c>
    </row>
    <row r="10362" spans="2:7" ht="15" hidden="1" x14ac:dyDescent="0.25">
      <c r="B10362" s="4">
        <v>584759059</v>
      </c>
      <c r="C10362" s="4" t="s">
        <v>269</v>
      </c>
      <c r="D10362" s="4">
        <v>730</v>
      </c>
      <c r="E10362" s="4">
        <v>57</v>
      </c>
      <c r="G10362">
        <f t="shared" si="161"/>
        <v>512</v>
      </c>
    </row>
    <row r="10363" spans="2:7" ht="15" hidden="1" x14ac:dyDescent="0.25">
      <c r="B10363" s="4">
        <v>584759060</v>
      </c>
      <c r="C10363" s="4" t="s">
        <v>269</v>
      </c>
      <c r="D10363" s="4">
        <v>731</v>
      </c>
      <c r="E10363" s="4">
        <v>57</v>
      </c>
      <c r="G10363">
        <f t="shared" si="161"/>
        <v>512</v>
      </c>
    </row>
    <row r="10364" spans="2:7" ht="15" hidden="1" x14ac:dyDescent="0.25">
      <c r="B10364" s="4">
        <v>584759061</v>
      </c>
      <c r="C10364" s="4" t="s">
        <v>269</v>
      </c>
      <c r="D10364" s="4">
        <v>732</v>
      </c>
      <c r="E10364" s="4">
        <v>57</v>
      </c>
      <c r="G10364">
        <f t="shared" si="161"/>
        <v>512</v>
      </c>
    </row>
    <row r="10365" spans="2:7" ht="15" hidden="1" x14ac:dyDescent="0.25">
      <c r="B10365" s="4">
        <v>584759062</v>
      </c>
      <c r="C10365" s="4" t="s">
        <v>269</v>
      </c>
      <c r="D10365" s="4">
        <v>733</v>
      </c>
      <c r="E10365" s="4">
        <v>57</v>
      </c>
      <c r="G10365">
        <f t="shared" si="161"/>
        <v>512</v>
      </c>
    </row>
    <row r="10366" spans="2:7" ht="15" hidden="1" x14ac:dyDescent="0.25">
      <c r="B10366" s="4">
        <v>584759063</v>
      </c>
      <c r="C10366" s="4" t="s">
        <v>269</v>
      </c>
      <c r="D10366" s="4">
        <v>734</v>
      </c>
      <c r="E10366" s="4">
        <v>57</v>
      </c>
      <c r="G10366">
        <f t="shared" si="161"/>
        <v>512</v>
      </c>
    </row>
    <row r="10367" spans="2:7" ht="15" hidden="1" x14ac:dyDescent="0.25">
      <c r="B10367" s="4">
        <v>584759064</v>
      </c>
      <c r="C10367" s="4" t="s">
        <v>269</v>
      </c>
      <c r="D10367" s="4">
        <v>735</v>
      </c>
      <c r="E10367" s="4">
        <v>57</v>
      </c>
      <c r="G10367">
        <f t="shared" si="161"/>
        <v>512</v>
      </c>
    </row>
    <row r="10368" spans="2:7" ht="15" hidden="1" x14ac:dyDescent="0.25">
      <c r="B10368" s="4">
        <v>584759065</v>
      </c>
      <c r="C10368" s="4" t="s">
        <v>269</v>
      </c>
      <c r="D10368" s="4">
        <v>736</v>
      </c>
      <c r="E10368" s="4">
        <v>57</v>
      </c>
      <c r="G10368">
        <f t="shared" si="161"/>
        <v>512</v>
      </c>
    </row>
    <row r="10369" spans="2:7" ht="15" hidden="1" x14ac:dyDescent="0.25">
      <c r="B10369" s="4">
        <v>584759066</v>
      </c>
      <c r="C10369" s="4" t="s">
        <v>269</v>
      </c>
      <c r="D10369" s="4">
        <v>737</v>
      </c>
      <c r="E10369" s="4">
        <v>57</v>
      </c>
      <c r="G10369">
        <f t="shared" si="161"/>
        <v>512</v>
      </c>
    </row>
    <row r="10370" spans="2:7" ht="15" hidden="1" x14ac:dyDescent="0.25">
      <c r="B10370" s="4">
        <v>584759067</v>
      </c>
      <c r="C10370" s="4" t="s">
        <v>269</v>
      </c>
      <c r="D10370" s="4">
        <v>738</v>
      </c>
      <c r="E10370" s="4">
        <v>57</v>
      </c>
      <c r="G10370">
        <f t="shared" si="161"/>
        <v>512</v>
      </c>
    </row>
    <row r="10371" spans="2:7" ht="15" hidden="1" x14ac:dyDescent="0.25">
      <c r="B10371" s="4">
        <v>584759068</v>
      </c>
      <c r="C10371" s="4" t="s">
        <v>269</v>
      </c>
      <c r="D10371" s="4">
        <v>739</v>
      </c>
      <c r="E10371" s="4">
        <v>57</v>
      </c>
      <c r="G10371">
        <f t="shared" si="161"/>
        <v>512</v>
      </c>
    </row>
    <row r="10372" spans="2:7" ht="15" hidden="1" x14ac:dyDescent="0.25">
      <c r="B10372" s="4">
        <v>584759068</v>
      </c>
      <c r="C10372" s="4" t="s">
        <v>272</v>
      </c>
      <c r="D10372" s="4">
        <v>62</v>
      </c>
      <c r="E10372" s="4">
        <v>213</v>
      </c>
      <c r="G10372">
        <f t="shared" ref="G10372:G10435" si="162">(E10372+7)*8</f>
        <v>1760</v>
      </c>
    </row>
    <row r="10373" spans="2:7" ht="15" hidden="1" x14ac:dyDescent="0.25">
      <c r="B10373" s="4">
        <v>584759069</v>
      </c>
      <c r="C10373" s="4" t="s">
        <v>269</v>
      </c>
      <c r="D10373" s="4">
        <v>740</v>
      </c>
      <c r="E10373" s="4">
        <v>57</v>
      </c>
      <c r="G10373">
        <f t="shared" si="162"/>
        <v>512</v>
      </c>
    </row>
    <row r="10374" spans="2:7" ht="15" hidden="1" x14ac:dyDescent="0.25">
      <c r="B10374" s="4">
        <v>584759070</v>
      </c>
      <c r="C10374" s="4" t="s">
        <v>269</v>
      </c>
      <c r="D10374" s="4">
        <v>741</v>
      </c>
      <c r="E10374" s="4">
        <v>57</v>
      </c>
      <c r="G10374">
        <f t="shared" si="162"/>
        <v>512</v>
      </c>
    </row>
    <row r="10375" spans="2:7" ht="15" hidden="1" x14ac:dyDescent="0.25">
      <c r="B10375" s="4">
        <v>584759071</v>
      </c>
      <c r="C10375" s="4" t="s">
        <v>269</v>
      </c>
      <c r="D10375" s="4">
        <v>742</v>
      </c>
      <c r="E10375" s="4">
        <v>57</v>
      </c>
      <c r="G10375">
        <f t="shared" si="162"/>
        <v>512</v>
      </c>
    </row>
    <row r="10376" spans="2:7" ht="15" hidden="1" x14ac:dyDescent="0.25">
      <c r="B10376" s="4">
        <v>584759072</v>
      </c>
      <c r="C10376" s="4" t="s">
        <v>269</v>
      </c>
      <c r="D10376" s="4">
        <v>743</v>
      </c>
      <c r="E10376" s="4">
        <v>57</v>
      </c>
      <c r="G10376">
        <f t="shared" si="162"/>
        <v>512</v>
      </c>
    </row>
    <row r="10377" spans="2:7" ht="15" hidden="1" x14ac:dyDescent="0.25">
      <c r="B10377" s="4">
        <v>584759073</v>
      </c>
      <c r="C10377" s="4" t="s">
        <v>269</v>
      </c>
      <c r="D10377" s="4">
        <v>744</v>
      </c>
      <c r="E10377" s="4">
        <v>57</v>
      </c>
      <c r="G10377">
        <f t="shared" si="162"/>
        <v>512</v>
      </c>
    </row>
    <row r="10378" spans="2:7" ht="15" hidden="1" x14ac:dyDescent="0.25">
      <c r="B10378" s="4">
        <v>584759074</v>
      </c>
      <c r="C10378" s="4" t="s">
        <v>269</v>
      </c>
      <c r="D10378" s="4">
        <v>745</v>
      </c>
      <c r="E10378" s="4">
        <v>57</v>
      </c>
      <c r="G10378">
        <f t="shared" si="162"/>
        <v>512</v>
      </c>
    </row>
    <row r="10379" spans="2:7" ht="15" hidden="1" x14ac:dyDescent="0.25">
      <c r="B10379" s="4">
        <v>584759075</v>
      </c>
      <c r="C10379" s="4" t="s">
        <v>269</v>
      </c>
      <c r="D10379" s="4">
        <v>746</v>
      </c>
      <c r="E10379" s="4">
        <v>57</v>
      </c>
      <c r="G10379">
        <f t="shared" si="162"/>
        <v>512</v>
      </c>
    </row>
    <row r="10380" spans="2:7" ht="15" hidden="1" x14ac:dyDescent="0.25">
      <c r="B10380" s="4">
        <v>584759076</v>
      </c>
      <c r="C10380" s="4" t="s">
        <v>269</v>
      </c>
      <c r="D10380" s="4">
        <v>747</v>
      </c>
      <c r="E10380" s="4">
        <v>57</v>
      </c>
      <c r="G10380">
        <f t="shared" si="162"/>
        <v>512</v>
      </c>
    </row>
    <row r="10381" spans="2:7" ht="15" hidden="1" x14ac:dyDescent="0.25">
      <c r="B10381" s="4">
        <v>584759077</v>
      </c>
      <c r="C10381" s="4" t="s">
        <v>269</v>
      </c>
      <c r="D10381" s="4">
        <v>748</v>
      </c>
      <c r="E10381" s="4">
        <v>57</v>
      </c>
      <c r="G10381">
        <f t="shared" si="162"/>
        <v>512</v>
      </c>
    </row>
    <row r="10382" spans="2:7" ht="15" hidden="1" x14ac:dyDescent="0.25">
      <c r="B10382" s="4">
        <v>584759078</v>
      </c>
      <c r="C10382" s="4" t="s">
        <v>269</v>
      </c>
      <c r="D10382" s="4">
        <v>749</v>
      </c>
      <c r="E10382" s="4">
        <v>57</v>
      </c>
      <c r="G10382">
        <f t="shared" si="162"/>
        <v>512</v>
      </c>
    </row>
    <row r="10383" spans="2:7" ht="15" hidden="1" x14ac:dyDescent="0.25">
      <c r="B10383" s="4">
        <v>584759078</v>
      </c>
      <c r="C10383" s="4" t="s">
        <v>272</v>
      </c>
      <c r="D10383" s="4">
        <v>63</v>
      </c>
      <c r="E10383" s="4">
        <v>213</v>
      </c>
      <c r="G10383">
        <f t="shared" si="162"/>
        <v>1760</v>
      </c>
    </row>
    <row r="10384" spans="2:7" ht="15" hidden="1" x14ac:dyDescent="0.25">
      <c r="B10384" s="4">
        <v>584759079</v>
      </c>
      <c r="C10384" s="4" t="s">
        <v>269</v>
      </c>
      <c r="D10384" s="4">
        <v>750</v>
      </c>
      <c r="E10384" s="4">
        <v>57</v>
      </c>
      <c r="G10384">
        <f t="shared" si="162"/>
        <v>512</v>
      </c>
    </row>
    <row r="10385" spans="2:7" ht="15" hidden="1" x14ac:dyDescent="0.25">
      <c r="B10385" s="4">
        <v>584759080</v>
      </c>
      <c r="C10385" s="4" t="s">
        <v>269</v>
      </c>
      <c r="D10385" s="4">
        <v>751</v>
      </c>
      <c r="E10385" s="4">
        <v>57</v>
      </c>
      <c r="G10385">
        <f t="shared" si="162"/>
        <v>512</v>
      </c>
    </row>
    <row r="10386" spans="2:7" ht="15" hidden="1" x14ac:dyDescent="0.25">
      <c r="B10386" s="4">
        <v>584759081</v>
      </c>
      <c r="C10386" s="4" t="s">
        <v>269</v>
      </c>
      <c r="D10386" s="4">
        <v>752</v>
      </c>
      <c r="E10386" s="4">
        <v>57</v>
      </c>
      <c r="G10386">
        <f t="shared" si="162"/>
        <v>512</v>
      </c>
    </row>
    <row r="10387" spans="2:7" ht="15" hidden="1" x14ac:dyDescent="0.25">
      <c r="B10387" s="4">
        <v>584759082</v>
      </c>
      <c r="C10387" s="4" t="s">
        <v>269</v>
      </c>
      <c r="D10387" s="4">
        <v>753</v>
      </c>
      <c r="E10387" s="4">
        <v>57</v>
      </c>
      <c r="G10387">
        <f t="shared" si="162"/>
        <v>512</v>
      </c>
    </row>
    <row r="10388" spans="2:7" ht="15" hidden="1" x14ac:dyDescent="0.25">
      <c r="B10388" s="4">
        <v>584759083</v>
      </c>
      <c r="C10388" s="4" t="s">
        <v>269</v>
      </c>
      <c r="D10388" s="4">
        <v>754</v>
      </c>
      <c r="E10388" s="4">
        <v>57</v>
      </c>
      <c r="G10388">
        <f t="shared" si="162"/>
        <v>512</v>
      </c>
    </row>
    <row r="10389" spans="2:7" ht="15" hidden="1" x14ac:dyDescent="0.25">
      <c r="B10389" s="4">
        <v>584759084</v>
      </c>
      <c r="C10389" s="4" t="s">
        <v>269</v>
      </c>
      <c r="D10389" s="4">
        <v>755</v>
      </c>
      <c r="E10389" s="4">
        <v>57</v>
      </c>
      <c r="G10389">
        <f t="shared" si="162"/>
        <v>512</v>
      </c>
    </row>
    <row r="10390" spans="2:7" ht="15" hidden="1" x14ac:dyDescent="0.25">
      <c r="B10390" s="4">
        <v>584759085</v>
      </c>
      <c r="C10390" s="4" t="s">
        <v>269</v>
      </c>
      <c r="D10390" s="4">
        <v>756</v>
      </c>
      <c r="E10390" s="4">
        <v>57</v>
      </c>
      <c r="G10390">
        <f t="shared" si="162"/>
        <v>512</v>
      </c>
    </row>
    <row r="10391" spans="2:7" ht="15" hidden="1" x14ac:dyDescent="0.25">
      <c r="B10391" s="4">
        <v>584759086</v>
      </c>
      <c r="C10391" s="4" t="s">
        <v>269</v>
      </c>
      <c r="D10391" s="4">
        <v>757</v>
      </c>
      <c r="E10391" s="4">
        <v>57</v>
      </c>
      <c r="G10391">
        <f t="shared" si="162"/>
        <v>512</v>
      </c>
    </row>
    <row r="10392" spans="2:7" ht="15" hidden="1" x14ac:dyDescent="0.25">
      <c r="B10392" s="4">
        <v>584759087</v>
      </c>
      <c r="C10392" s="4" t="s">
        <v>269</v>
      </c>
      <c r="D10392" s="4">
        <v>758</v>
      </c>
      <c r="E10392" s="4">
        <v>57</v>
      </c>
      <c r="G10392">
        <f t="shared" si="162"/>
        <v>512</v>
      </c>
    </row>
    <row r="10393" spans="2:7" ht="15" hidden="1" x14ac:dyDescent="0.25">
      <c r="B10393" s="4">
        <v>584759088</v>
      </c>
      <c r="C10393" s="4" t="s">
        <v>269</v>
      </c>
      <c r="D10393" s="4">
        <v>759</v>
      </c>
      <c r="E10393" s="4">
        <v>57</v>
      </c>
      <c r="G10393">
        <f t="shared" si="162"/>
        <v>512</v>
      </c>
    </row>
    <row r="10394" spans="2:7" ht="15" hidden="1" x14ac:dyDescent="0.25">
      <c r="B10394" s="4">
        <v>584759088</v>
      </c>
      <c r="C10394" s="4" t="s">
        <v>272</v>
      </c>
      <c r="D10394" s="4">
        <v>64</v>
      </c>
      <c r="E10394" s="4">
        <v>213</v>
      </c>
      <c r="G10394">
        <f t="shared" si="162"/>
        <v>1760</v>
      </c>
    </row>
    <row r="10395" spans="2:7" ht="15" hidden="1" x14ac:dyDescent="0.25">
      <c r="B10395" s="4">
        <v>584759089</v>
      </c>
      <c r="C10395" s="4" t="s">
        <v>269</v>
      </c>
      <c r="D10395" s="4">
        <v>760</v>
      </c>
      <c r="E10395" s="4">
        <v>57</v>
      </c>
      <c r="G10395">
        <f t="shared" si="162"/>
        <v>512</v>
      </c>
    </row>
    <row r="10396" spans="2:7" ht="15" hidden="1" x14ac:dyDescent="0.25">
      <c r="B10396" s="4">
        <v>584759090</v>
      </c>
      <c r="C10396" s="4" t="s">
        <v>269</v>
      </c>
      <c r="D10396" s="4">
        <v>761</v>
      </c>
      <c r="E10396" s="4">
        <v>57</v>
      </c>
      <c r="G10396">
        <f t="shared" si="162"/>
        <v>512</v>
      </c>
    </row>
    <row r="10397" spans="2:7" ht="15" hidden="1" x14ac:dyDescent="0.25">
      <c r="B10397" s="4">
        <v>584759091</v>
      </c>
      <c r="C10397" s="4" t="s">
        <v>269</v>
      </c>
      <c r="D10397" s="4">
        <v>762</v>
      </c>
      <c r="E10397" s="4">
        <v>57</v>
      </c>
      <c r="G10397">
        <f t="shared" si="162"/>
        <v>512</v>
      </c>
    </row>
    <row r="10398" spans="2:7" ht="15" hidden="1" x14ac:dyDescent="0.25">
      <c r="B10398" s="4">
        <v>584759092</v>
      </c>
      <c r="C10398" s="4" t="s">
        <v>269</v>
      </c>
      <c r="D10398" s="4">
        <v>763</v>
      </c>
      <c r="E10398" s="4">
        <v>57</v>
      </c>
      <c r="G10398">
        <f t="shared" si="162"/>
        <v>512</v>
      </c>
    </row>
    <row r="10399" spans="2:7" ht="15" hidden="1" x14ac:dyDescent="0.25">
      <c r="B10399" s="4">
        <v>584759093</v>
      </c>
      <c r="C10399" s="4" t="s">
        <v>269</v>
      </c>
      <c r="D10399" s="4">
        <v>764</v>
      </c>
      <c r="E10399" s="4">
        <v>57</v>
      </c>
      <c r="G10399">
        <f t="shared" si="162"/>
        <v>512</v>
      </c>
    </row>
    <row r="10400" spans="2:7" ht="15" hidden="1" x14ac:dyDescent="0.25">
      <c r="B10400" s="4">
        <v>584759094</v>
      </c>
      <c r="C10400" s="4" t="s">
        <v>269</v>
      </c>
      <c r="D10400" s="4">
        <v>765</v>
      </c>
      <c r="E10400" s="4">
        <v>57</v>
      </c>
      <c r="G10400">
        <f t="shared" si="162"/>
        <v>512</v>
      </c>
    </row>
    <row r="10401" spans="2:7" ht="15" hidden="1" x14ac:dyDescent="0.25">
      <c r="B10401" s="4">
        <v>584759095</v>
      </c>
      <c r="C10401" s="4" t="s">
        <v>269</v>
      </c>
      <c r="D10401" s="4">
        <v>766</v>
      </c>
      <c r="E10401" s="4">
        <v>57</v>
      </c>
      <c r="G10401">
        <f t="shared" si="162"/>
        <v>512</v>
      </c>
    </row>
    <row r="10402" spans="2:7" ht="15" hidden="1" x14ac:dyDescent="0.25">
      <c r="B10402" s="4">
        <v>584759096</v>
      </c>
      <c r="C10402" s="4" t="s">
        <v>269</v>
      </c>
      <c r="D10402" s="4">
        <v>767</v>
      </c>
      <c r="E10402" s="4">
        <v>57</v>
      </c>
      <c r="G10402">
        <f t="shared" si="162"/>
        <v>512</v>
      </c>
    </row>
    <row r="10403" spans="2:7" ht="15" hidden="1" x14ac:dyDescent="0.25">
      <c r="B10403" s="4">
        <v>584759097</v>
      </c>
      <c r="C10403" s="4" t="s">
        <v>269</v>
      </c>
      <c r="D10403" s="4">
        <v>768</v>
      </c>
      <c r="E10403" s="4">
        <v>57</v>
      </c>
      <c r="G10403">
        <f t="shared" si="162"/>
        <v>512</v>
      </c>
    </row>
    <row r="10404" spans="2:7" ht="15" hidden="1" x14ac:dyDescent="0.25">
      <c r="B10404" s="4">
        <v>584759098</v>
      </c>
      <c r="C10404" s="4" t="s">
        <v>269</v>
      </c>
      <c r="D10404" s="4">
        <v>769</v>
      </c>
      <c r="E10404" s="4">
        <v>57</v>
      </c>
      <c r="G10404">
        <f t="shared" si="162"/>
        <v>512</v>
      </c>
    </row>
    <row r="10405" spans="2:7" ht="15" hidden="1" x14ac:dyDescent="0.25">
      <c r="B10405" s="4">
        <v>584759098</v>
      </c>
      <c r="C10405" s="4" t="s">
        <v>272</v>
      </c>
      <c r="D10405" s="4">
        <v>65</v>
      </c>
      <c r="E10405" s="4">
        <v>213</v>
      </c>
      <c r="G10405">
        <f t="shared" si="162"/>
        <v>1760</v>
      </c>
    </row>
    <row r="10406" spans="2:7" ht="15" hidden="1" x14ac:dyDescent="0.25">
      <c r="B10406" s="4">
        <v>584759099</v>
      </c>
      <c r="C10406" s="4" t="s">
        <v>269</v>
      </c>
      <c r="D10406" s="4">
        <v>770</v>
      </c>
      <c r="E10406" s="4">
        <v>57</v>
      </c>
      <c r="G10406">
        <f t="shared" si="162"/>
        <v>512</v>
      </c>
    </row>
    <row r="10407" spans="2:7" ht="15" hidden="1" x14ac:dyDescent="0.25">
      <c r="B10407" s="4">
        <v>584759100</v>
      </c>
      <c r="C10407" s="4" t="s">
        <v>269</v>
      </c>
      <c r="D10407" s="4">
        <v>771</v>
      </c>
      <c r="E10407" s="4">
        <v>57</v>
      </c>
      <c r="G10407">
        <f t="shared" si="162"/>
        <v>512</v>
      </c>
    </row>
    <row r="10408" spans="2:7" ht="15" hidden="1" x14ac:dyDescent="0.25">
      <c r="B10408" s="4">
        <v>584759101</v>
      </c>
      <c r="C10408" s="4" t="s">
        <v>269</v>
      </c>
      <c r="D10408" s="4">
        <v>772</v>
      </c>
      <c r="E10408" s="4">
        <v>57</v>
      </c>
      <c r="G10408">
        <f t="shared" si="162"/>
        <v>512</v>
      </c>
    </row>
    <row r="10409" spans="2:7" ht="15" hidden="1" x14ac:dyDescent="0.25">
      <c r="B10409" s="4">
        <v>584759102</v>
      </c>
      <c r="C10409" s="4" t="s">
        <v>269</v>
      </c>
      <c r="D10409" s="4">
        <v>773</v>
      </c>
      <c r="E10409" s="4">
        <v>57</v>
      </c>
      <c r="G10409">
        <f t="shared" si="162"/>
        <v>512</v>
      </c>
    </row>
    <row r="10410" spans="2:7" ht="15" hidden="1" x14ac:dyDescent="0.25">
      <c r="B10410" s="4">
        <v>584759103</v>
      </c>
      <c r="C10410" s="4" t="s">
        <v>269</v>
      </c>
      <c r="D10410" s="4">
        <v>774</v>
      </c>
      <c r="E10410" s="4">
        <v>57</v>
      </c>
      <c r="G10410">
        <f t="shared" si="162"/>
        <v>512</v>
      </c>
    </row>
    <row r="10411" spans="2:7" ht="15" hidden="1" x14ac:dyDescent="0.25">
      <c r="B10411" s="4">
        <v>584759104</v>
      </c>
      <c r="C10411" s="4" t="s">
        <v>269</v>
      </c>
      <c r="D10411" s="4">
        <v>775</v>
      </c>
      <c r="E10411" s="4">
        <v>57</v>
      </c>
      <c r="G10411">
        <f t="shared" si="162"/>
        <v>512</v>
      </c>
    </row>
    <row r="10412" spans="2:7" ht="15" hidden="1" x14ac:dyDescent="0.25">
      <c r="B10412" s="4">
        <v>584759105</v>
      </c>
      <c r="C10412" s="4" t="s">
        <v>269</v>
      </c>
      <c r="D10412" s="4">
        <v>776</v>
      </c>
      <c r="E10412" s="4">
        <v>57</v>
      </c>
      <c r="G10412">
        <f t="shared" si="162"/>
        <v>512</v>
      </c>
    </row>
    <row r="10413" spans="2:7" ht="15" hidden="1" x14ac:dyDescent="0.25">
      <c r="B10413" s="4">
        <v>584759106</v>
      </c>
      <c r="C10413" s="4" t="s">
        <v>269</v>
      </c>
      <c r="D10413" s="4">
        <v>777</v>
      </c>
      <c r="E10413" s="4">
        <v>57</v>
      </c>
      <c r="G10413">
        <f t="shared" si="162"/>
        <v>512</v>
      </c>
    </row>
    <row r="10414" spans="2:7" ht="15" hidden="1" x14ac:dyDescent="0.25">
      <c r="B10414" s="4">
        <v>584759107</v>
      </c>
      <c r="C10414" s="4" t="s">
        <v>269</v>
      </c>
      <c r="D10414" s="4">
        <v>778</v>
      </c>
      <c r="E10414" s="4">
        <v>57</v>
      </c>
      <c r="G10414">
        <f t="shared" si="162"/>
        <v>512</v>
      </c>
    </row>
    <row r="10415" spans="2:7" ht="15" hidden="1" x14ac:dyDescent="0.25">
      <c r="B10415" s="4">
        <v>584759108</v>
      </c>
      <c r="C10415" s="4" t="s">
        <v>269</v>
      </c>
      <c r="D10415" s="4">
        <v>779</v>
      </c>
      <c r="E10415" s="4">
        <v>57</v>
      </c>
      <c r="G10415">
        <f t="shared" si="162"/>
        <v>512</v>
      </c>
    </row>
    <row r="10416" spans="2:7" ht="15" hidden="1" x14ac:dyDescent="0.25">
      <c r="B10416" s="4">
        <v>584759108</v>
      </c>
      <c r="C10416" s="4" t="s">
        <v>272</v>
      </c>
      <c r="D10416" s="4">
        <v>66</v>
      </c>
      <c r="E10416" s="4">
        <v>215</v>
      </c>
      <c r="G10416">
        <f t="shared" si="162"/>
        <v>1776</v>
      </c>
    </row>
    <row r="10417" spans="2:7" ht="15" hidden="1" x14ac:dyDescent="0.25">
      <c r="B10417" s="4">
        <v>584759109</v>
      </c>
      <c r="C10417" s="4" t="s">
        <v>269</v>
      </c>
      <c r="D10417" s="4">
        <v>780</v>
      </c>
      <c r="E10417" s="4">
        <v>57</v>
      </c>
      <c r="G10417">
        <f t="shared" si="162"/>
        <v>512</v>
      </c>
    </row>
    <row r="10418" spans="2:7" ht="15" hidden="1" x14ac:dyDescent="0.25">
      <c r="B10418" s="4">
        <v>584759110</v>
      </c>
      <c r="C10418" s="4" t="s">
        <v>269</v>
      </c>
      <c r="D10418" s="4">
        <v>781</v>
      </c>
      <c r="E10418" s="4">
        <v>57</v>
      </c>
      <c r="G10418">
        <f t="shared" si="162"/>
        <v>512</v>
      </c>
    </row>
    <row r="10419" spans="2:7" ht="15" hidden="1" x14ac:dyDescent="0.25">
      <c r="B10419" s="4">
        <v>584759111</v>
      </c>
      <c r="C10419" s="4" t="s">
        <v>269</v>
      </c>
      <c r="D10419" s="4">
        <v>782</v>
      </c>
      <c r="E10419" s="4">
        <v>57</v>
      </c>
      <c r="G10419">
        <f t="shared" si="162"/>
        <v>512</v>
      </c>
    </row>
    <row r="10420" spans="2:7" ht="15" hidden="1" x14ac:dyDescent="0.25">
      <c r="B10420" s="4">
        <v>584759112</v>
      </c>
      <c r="C10420" s="4" t="s">
        <v>269</v>
      </c>
      <c r="D10420" s="4">
        <v>783</v>
      </c>
      <c r="E10420" s="4">
        <v>57</v>
      </c>
      <c r="G10420">
        <f t="shared" si="162"/>
        <v>512</v>
      </c>
    </row>
    <row r="10421" spans="2:7" ht="15" hidden="1" x14ac:dyDescent="0.25">
      <c r="B10421" s="4">
        <v>584759113</v>
      </c>
      <c r="C10421" s="4" t="s">
        <v>269</v>
      </c>
      <c r="D10421" s="4">
        <v>784</v>
      </c>
      <c r="E10421" s="4">
        <v>57</v>
      </c>
      <c r="G10421">
        <f t="shared" si="162"/>
        <v>512</v>
      </c>
    </row>
    <row r="10422" spans="2:7" ht="15" hidden="1" x14ac:dyDescent="0.25">
      <c r="B10422" s="4">
        <v>584759114</v>
      </c>
      <c r="C10422" s="4" t="s">
        <v>269</v>
      </c>
      <c r="D10422" s="4">
        <v>785</v>
      </c>
      <c r="E10422" s="4">
        <v>57</v>
      </c>
      <c r="G10422">
        <f t="shared" si="162"/>
        <v>512</v>
      </c>
    </row>
    <row r="10423" spans="2:7" ht="15" hidden="1" x14ac:dyDescent="0.25">
      <c r="B10423" s="4">
        <v>584759115</v>
      </c>
      <c r="C10423" s="4" t="s">
        <v>269</v>
      </c>
      <c r="D10423" s="4">
        <v>786</v>
      </c>
      <c r="E10423" s="4">
        <v>57</v>
      </c>
      <c r="G10423">
        <f t="shared" si="162"/>
        <v>512</v>
      </c>
    </row>
    <row r="10424" spans="2:7" ht="15" hidden="1" x14ac:dyDescent="0.25">
      <c r="B10424" s="4">
        <v>584759116</v>
      </c>
      <c r="C10424" s="4" t="s">
        <v>269</v>
      </c>
      <c r="D10424" s="4">
        <v>787</v>
      </c>
      <c r="E10424" s="4">
        <v>57</v>
      </c>
      <c r="G10424">
        <f t="shared" si="162"/>
        <v>512</v>
      </c>
    </row>
    <row r="10425" spans="2:7" ht="15" hidden="1" x14ac:dyDescent="0.25">
      <c r="B10425" s="4">
        <v>584759117</v>
      </c>
      <c r="C10425" s="4" t="s">
        <v>269</v>
      </c>
      <c r="D10425" s="4">
        <v>788</v>
      </c>
      <c r="E10425" s="4">
        <v>57</v>
      </c>
      <c r="G10425">
        <f t="shared" si="162"/>
        <v>512</v>
      </c>
    </row>
    <row r="10426" spans="2:7" ht="15" hidden="1" x14ac:dyDescent="0.25">
      <c r="B10426" s="4">
        <v>584759118</v>
      </c>
      <c r="C10426" s="4" t="s">
        <v>269</v>
      </c>
      <c r="D10426" s="4">
        <v>789</v>
      </c>
      <c r="E10426" s="4">
        <v>57</v>
      </c>
      <c r="G10426">
        <f t="shared" si="162"/>
        <v>512</v>
      </c>
    </row>
    <row r="10427" spans="2:7" ht="15" hidden="1" x14ac:dyDescent="0.25">
      <c r="B10427" s="4">
        <v>584759118</v>
      </c>
      <c r="C10427" s="4" t="s">
        <v>272</v>
      </c>
      <c r="D10427" s="4">
        <v>67</v>
      </c>
      <c r="E10427" s="4">
        <v>213</v>
      </c>
      <c r="G10427">
        <f t="shared" si="162"/>
        <v>1760</v>
      </c>
    </row>
    <row r="10428" spans="2:7" ht="15" hidden="1" x14ac:dyDescent="0.25">
      <c r="B10428" s="4">
        <v>584759119</v>
      </c>
      <c r="C10428" s="4" t="s">
        <v>269</v>
      </c>
      <c r="D10428" s="4">
        <v>790</v>
      </c>
      <c r="E10428" s="4">
        <v>57</v>
      </c>
      <c r="G10428">
        <f t="shared" si="162"/>
        <v>512</v>
      </c>
    </row>
    <row r="10429" spans="2:7" ht="15" hidden="1" x14ac:dyDescent="0.25">
      <c r="B10429" s="4">
        <v>584759120</v>
      </c>
      <c r="C10429" s="4" t="s">
        <v>269</v>
      </c>
      <c r="D10429" s="4">
        <v>791</v>
      </c>
      <c r="E10429" s="4">
        <v>57</v>
      </c>
      <c r="G10429">
        <f t="shared" si="162"/>
        <v>512</v>
      </c>
    </row>
    <row r="10430" spans="2:7" ht="15" hidden="1" x14ac:dyDescent="0.25">
      <c r="B10430" s="4">
        <v>584759121</v>
      </c>
      <c r="C10430" s="4" t="s">
        <v>269</v>
      </c>
      <c r="D10430" s="4">
        <v>792</v>
      </c>
      <c r="E10430" s="4">
        <v>57</v>
      </c>
      <c r="G10430">
        <f t="shared" si="162"/>
        <v>512</v>
      </c>
    </row>
    <row r="10431" spans="2:7" ht="15" hidden="1" x14ac:dyDescent="0.25">
      <c r="B10431" s="4">
        <v>584759122</v>
      </c>
      <c r="C10431" s="4" t="s">
        <v>269</v>
      </c>
      <c r="D10431" s="4">
        <v>793</v>
      </c>
      <c r="E10431" s="4">
        <v>57</v>
      </c>
      <c r="G10431">
        <f t="shared" si="162"/>
        <v>512</v>
      </c>
    </row>
    <row r="10432" spans="2:7" ht="15" hidden="1" x14ac:dyDescent="0.25">
      <c r="B10432" s="4">
        <v>584759123</v>
      </c>
      <c r="C10432" s="4" t="s">
        <v>269</v>
      </c>
      <c r="D10432" s="4">
        <v>794</v>
      </c>
      <c r="E10432" s="4">
        <v>57</v>
      </c>
      <c r="G10432">
        <f t="shared" si="162"/>
        <v>512</v>
      </c>
    </row>
    <row r="10433" spans="2:7" ht="15" hidden="1" x14ac:dyDescent="0.25">
      <c r="B10433" s="4">
        <v>584759124</v>
      </c>
      <c r="C10433" s="4" t="s">
        <v>269</v>
      </c>
      <c r="D10433" s="4">
        <v>795</v>
      </c>
      <c r="E10433" s="4">
        <v>57</v>
      </c>
      <c r="G10433">
        <f t="shared" si="162"/>
        <v>512</v>
      </c>
    </row>
    <row r="10434" spans="2:7" ht="15" hidden="1" x14ac:dyDescent="0.25">
      <c r="B10434" s="4">
        <v>584759125</v>
      </c>
      <c r="C10434" s="4" t="s">
        <v>269</v>
      </c>
      <c r="D10434" s="4">
        <v>796</v>
      </c>
      <c r="E10434" s="4">
        <v>57</v>
      </c>
      <c r="G10434">
        <f t="shared" si="162"/>
        <v>512</v>
      </c>
    </row>
    <row r="10435" spans="2:7" ht="15" hidden="1" x14ac:dyDescent="0.25">
      <c r="B10435" s="4">
        <v>584759126</v>
      </c>
      <c r="C10435" s="4" t="s">
        <v>268</v>
      </c>
      <c r="D10435" s="4">
        <v>226</v>
      </c>
      <c r="E10435" s="4">
        <v>6</v>
      </c>
      <c r="G10435">
        <f t="shared" si="162"/>
        <v>104</v>
      </c>
    </row>
    <row r="10436" spans="2:7" ht="15" hidden="1" x14ac:dyDescent="0.25">
      <c r="B10436" s="4">
        <v>584759126</v>
      </c>
      <c r="C10436" s="4" t="s">
        <v>268</v>
      </c>
      <c r="D10436" s="4">
        <v>226</v>
      </c>
      <c r="E10436" s="4">
        <v>6</v>
      </c>
      <c r="G10436">
        <f t="shared" ref="G10436:G10499" si="163">(E10436+7)*8</f>
        <v>104</v>
      </c>
    </row>
    <row r="10437" spans="2:7" ht="15" hidden="1" x14ac:dyDescent="0.25">
      <c r="B10437" s="4">
        <v>584759126</v>
      </c>
      <c r="C10437" s="4" t="s">
        <v>268</v>
      </c>
      <c r="D10437" s="4">
        <v>227</v>
      </c>
      <c r="E10437" s="4">
        <v>9</v>
      </c>
      <c r="G10437">
        <f t="shared" si="163"/>
        <v>128</v>
      </c>
    </row>
    <row r="10438" spans="2:7" ht="15" hidden="1" x14ac:dyDescent="0.25">
      <c r="B10438" s="4">
        <v>584759126</v>
      </c>
      <c r="C10438" s="4" t="s">
        <v>268</v>
      </c>
      <c r="D10438" s="4">
        <v>227</v>
      </c>
      <c r="E10438" s="4">
        <v>9</v>
      </c>
      <c r="G10438">
        <f t="shared" si="163"/>
        <v>128</v>
      </c>
    </row>
    <row r="10439" spans="2:7" ht="15" hidden="1" x14ac:dyDescent="0.25">
      <c r="B10439" s="4">
        <v>584759126</v>
      </c>
      <c r="C10439" s="4" t="s">
        <v>268</v>
      </c>
      <c r="D10439" s="4">
        <v>228</v>
      </c>
      <c r="E10439" s="4">
        <v>7</v>
      </c>
      <c r="G10439">
        <f t="shared" si="163"/>
        <v>112</v>
      </c>
    </row>
    <row r="10440" spans="2:7" ht="15" hidden="1" x14ac:dyDescent="0.25">
      <c r="B10440" s="4">
        <v>584759126</v>
      </c>
      <c r="C10440" s="4" t="s">
        <v>268</v>
      </c>
      <c r="D10440" s="4">
        <v>228</v>
      </c>
      <c r="E10440" s="4">
        <v>7</v>
      </c>
      <c r="G10440">
        <f t="shared" si="163"/>
        <v>112</v>
      </c>
    </row>
    <row r="10441" spans="2:7" ht="15" hidden="1" x14ac:dyDescent="0.25">
      <c r="B10441" s="4">
        <v>584759126</v>
      </c>
      <c r="C10441" s="4" t="s">
        <v>268</v>
      </c>
      <c r="D10441" s="4">
        <v>229</v>
      </c>
      <c r="E10441" s="4">
        <v>7</v>
      </c>
      <c r="G10441">
        <f t="shared" si="163"/>
        <v>112</v>
      </c>
    </row>
    <row r="10442" spans="2:7" ht="15" hidden="1" x14ac:dyDescent="0.25">
      <c r="B10442" s="4">
        <v>584759126</v>
      </c>
      <c r="C10442" s="4" t="s">
        <v>268</v>
      </c>
      <c r="D10442" s="4">
        <v>229</v>
      </c>
      <c r="E10442" s="4">
        <v>7</v>
      </c>
      <c r="G10442">
        <f t="shared" si="163"/>
        <v>112</v>
      </c>
    </row>
    <row r="10443" spans="2:7" ht="15" hidden="1" x14ac:dyDescent="0.25">
      <c r="B10443" s="4">
        <v>584759126</v>
      </c>
      <c r="C10443" s="4" t="s">
        <v>268</v>
      </c>
      <c r="D10443" s="4">
        <v>230</v>
      </c>
      <c r="E10443" s="4">
        <v>7</v>
      </c>
      <c r="G10443">
        <f t="shared" si="163"/>
        <v>112</v>
      </c>
    </row>
    <row r="10444" spans="2:7" ht="15" hidden="1" x14ac:dyDescent="0.25">
      <c r="B10444" s="4">
        <v>584759126</v>
      </c>
      <c r="C10444" s="4" t="s">
        <v>268</v>
      </c>
      <c r="D10444" s="4">
        <v>230</v>
      </c>
      <c r="E10444" s="4">
        <v>7</v>
      </c>
      <c r="G10444">
        <f t="shared" si="163"/>
        <v>112</v>
      </c>
    </row>
    <row r="10445" spans="2:7" ht="15" hidden="1" x14ac:dyDescent="0.25">
      <c r="B10445" s="4">
        <v>584759126</v>
      </c>
      <c r="C10445" s="4" t="s">
        <v>269</v>
      </c>
      <c r="D10445" s="4">
        <v>797</v>
      </c>
      <c r="E10445" s="4">
        <v>57</v>
      </c>
      <c r="G10445">
        <f t="shared" si="163"/>
        <v>512</v>
      </c>
    </row>
    <row r="10446" spans="2:7" ht="15" hidden="1" x14ac:dyDescent="0.25">
      <c r="B10446" s="4">
        <v>584759127</v>
      </c>
      <c r="C10446" s="4" t="s">
        <v>269</v>
      </c>
      <c r="D10446" s="4">
        <v>798</v>
      </c>
      <c r="E10446" s="4">
        <v>57</v>
      </c>
      <c r="G10446">
        <f t="shared" si="163"/>
        <v>512</v>
      </c>
    </row>
    <row r="10447" spans="2:7" ht="15" hidden="1" x14ac:dyDescent="0.25">
      <c r="B10447" s="4">
        <v>584759128</v>
      </c>
      <c r="C10447" s="4" t="s">
        <v>268</v>
      </c>
      <c r="D10447" s="4">
        <v>231</v>
      </c>
      <c r="E10447" s="4">
        <v>7</v>
      </c>
      <c r="G10447">
        <f t="shared" si="163"/>
        <v>112</v>
      </c>
    </row>
    <row r="10448" spans="2:7" ht="15" hidden="1" x14ac:dyDescent="0.25">
      <c r="B10448" s="4">
        <v>584759128</v>
      </c>
      <c r="C10448" s="4" t="s">
        <v>268</v>
      </c>
      <c r="D10448" s="4">
        <v>231</v>
      </c>
      <c r="E10448" s="4">
        <v>7</v>
      </c>
      <c r="G10448">
        <f t="shared" si="163"/>
        <v>112</v>
      </c>
    </row>
    <row r="10449" spans="2:7" ht="15" hidden="1" x14ac:dyDescent="0.25">
      <c r="B10449" s="4">
        <v>584759128</v>
      </c>
      <c r="C10449" s="4" t="s">
        <v>268</v>
      </c>
      <c r="D10449" s="4">
        <v>232</v>
      </c>
      <c r="E10449" s="4">
        <v>5</v>
      </c>
      <c r="G10449">
        <f t="shared" si="163"/>
        <v>96</v>
      </c>
    </row>
    <row r="10450" spans="2:7" ht="15" hidden="1" x14ac:dyDescent="0.25">
      <c r="B10450" s="4">
        <v>584759128</v>
      </c>
      <c r="C10450" s="4" t="s">
        <v>268</v>
      </c>
      <c r="D10450" s="4">
        <v>232</v>
      </c>
      <c r="E10450" s="4">
        <v>5</v>
      </c>
      <c r="G10450">
        <f t="shared" si="163"/>
        <v>96</v>
      </c>
    </row>
    <row r="10451" spans="2:7" ht="15" hidden="1" x14ac:dyDescent="0.25">
      <c r="B10451" s="4">
        <v>584759128</v>
      </c>
      <c r="C10451" s="4" t="s">
        <v>268</v>
      </c>
      <c r="D10451" s="4">
        <v>233</v>
      </c>
      <c r="E10451" s="4">
        <v>7</v>
      </c>
      <c r="G10451">
        <f t="shared" si="163"/>
        <v>112</v>
      </c>
    </row>
    <row r="10452" spans="2:7" ht="15" hidden="1" x14ac:dyDescent="0.25">
      <c r="B10452" s="4">
        <v>584759128</v>
      </c>
      <c r="C10452" s="4" t="s">
        <v>268</v>
      </c>
      <c r="D10452" s="4">
        <v>233</v>
      </c>
      <c r="E10452" s="4">
        <v>7</v>
      </c>
      <c r="G10452">
        <f t="shared" si="163"/>
        <v>112</v>
      </c>
    </row>
    <row r="10453" spans="2:7" ht="15" hidden="1" x14ac:dyDescent="0.25">
      <c r="B10453" s="4">
        <v>584759128</v>
      </c>
      <c r="C10453" s="4" t="s">
        <v>269</v>
      </c>
      <c r="D10453" s="4">
        <v>799</v>
      </c>
      <c r="E10453" s="4">
        <v>57</v>
      </c>
      <c r="G10453">
        <f t="shared" si="163"/>
        <v>512</v>
      </c>
    </row>
    <row r="10454" spans="2:7" ht="15" hidden="1" x14ac:dyDescent="0.25">
      <c r="B10454" s="4">
        <v>584759128</v>
      </c>
      <c r="C10454" s="4" t="s">
        <v>272</v>
      </c>
      <c r="D10454" s="4">
        <v>68</v>
      </c>
      <c r="E10454" s="4">
        <v>213</v>
      </c>
      <c r="G10454">
        <f t="shared" si="163"/>
        <v>1760</v>
      </c>
    </row>
    <row r="10455" spans="2:7" ht="15" hidden="1" x14ac:dyDescent="0.25">
      <c r="B10455" s="4">
        <v>584759129</v>
      </c>
      <c r="C10455" s="4" t="s">
        <v>269</v>
      </c>
      <c r="D10455" s="4">
        <v>800</v>
      </c>
      <c r="E10455" s="4">
        <v>57</v>
      </c>
      <c r="G10455">
        <f t="shared" si="163"/>
        <v>512</v>
      </c>
    </row>
    <row r="10456" spans="2:7" ht="15" hidden="1" x14ac:dyDescent="0.25">
      <c r="B10456" s="4">
        <v>584759130</v>
      </c>
      <c r="C10456" s="4" t="s">
        <v>269</v>
      </c>
      <c r="D10456" s="4">
        <v>801</v>
      </c>
      <c r="E10456" s="4">
        <v>57</v>
      </c>
      <c r="G10456">
        <f t="shared" si="163"/>
        <v>512</v>
      </c>
    </row>
    <row r="10457" spans="2:7" ht="15" hidden="1" x14ac:dyDescent="0.25">
      <c r="B10457" s="4">
        <v>584759131</v>
      </c>
      <c r="C10457" s="4" t="s">
        <v>269</v>
      </c>
      <c r="D10457" s="4">
        <v>802</v>
      </c>
      <c r="E10457" s="4">
        <v>57</v>
      </c>
      <c r="G10457">
        <f t="shared" si="163"/>
        <v>512</v>
      </c>
    </row>
    <row r="10458" spans="2:7" ht="15" hidden="1" x14ac:dyDescent="0.25">
      <c r="B10458" s="4">
        <v>584759132</v>
      </c>
      <c r="C10458" s="4" t="s">
        <v>269</v>
      </c>
      <c r="D10458" s="4">
        <v>803</v>
      </c>
      <c r="E10458" s="4">
        <v>57</v>
      </c>
      <c r="G10458">
        <f t="shared" si="163"/>
        <v>512</v>
      </c>
    </row>
    <row r="10459" spans="2:7" ht="15" hidden="1" x14ac:dyDescent="0.25">
      <c r="B10459" s="4">
        <v>584759133</v>
      </c>
      <c r="C10459" s="4" t="s">
        <v>269</v>
      </c>
      <c r="D10459" s="4">
        <v>804</v>
      </c>
      <c r="E10459" s="4">
        <v>57</v>
      </c>
      <c r="G10459">
        <f t="shared" si="163"/>
        <v>512</v>
      </c>
    </row>
    <row r="10460" spans="2:7" ht="15" hidden="1" x14ac:dyDescent="0.25">
      <c r="B10460" s="4">
        <v>584759134</v>
      </c>
      <c r="C10460" s="4" t="s">
        <v>269</v>
      </c>
      <c r="D10460" s="4">
        <v>805</v>
      </c>
      <c r="E10460" s="4">
        <v>57</v>
      </c>
      <c r="G10460">
        <f t="shared" si="163"/>
        <v>512</v>
      </c>
    </row>
    <row r="10461" spans="2:7" ht="15" hidden="1" x14ac:dyDescent="0.25">
      <c r="B10461" s="4">
        <v>584759135</v>
      </c>
      <c r="C10461" s="4" t="s">
        <v>269</v>
      </c>
      <c r="D10461" s="4">
        <v>806</v>
      </c>
      <c r="E10461" s="4">
        <v>57</v>
      </c>
      <c r="G10461">
        <f t="shared" si="163"/>
        <v>512</v>
      </c>
    </row>
    <row r="10462" spans="2:7" ht="15" hidden="1" x14ac:dyDescent="0.25">
      <c r="B10462" s="4">
        <v>584759136</v>
      </c>
      <c r="C10462" s="4" t="s">
        <v>269</v>
      </c>
      <c r="D10462" s="4">
        <v>807</v>
      </c>
      <c r="E10462" s="4">
        <v>57</v>
      </c>
      <c r="G10462">
        <f t="shared" si="163"/>
        <v>512</v>
      </c>
    </row>
    <row r="10463" spans="2:7" ht="15" hidden="1" x14ac:dyDescent="0.25">
      <c r="B10463" s="4">
        <v>584759137</v>
      </c>
      <c r="C10463" s="4" t="s">
        <v>269</v>
      </c>
      <c r="D10463" s="4">
        <v>808</v>
      </c>
      <c r="E10463" s="4">
        <v>57</v>
      </c>
      <c r="G10463">
        <f t="shared" si="163"/>
        <v>512</v>
      </c>
    </row>
    <row r="10464" spans="2:7" ht="15" hidden="1" x14ac:dyDescent="0.25">
      <c r="B10464" s="4">
        <v>584759138</v>
      </c>
      <c r="C10464" s="4" t="s">
        <v>269</v>
      </c>
      <c r="D10464" s="4">
        <v>809</v>
      </c>
      <c r="E10464" s="4">
        <v>57</v>
      </c>
      <c r="G10464">
        <f t="shared" si="163"/>
        <v>512</v>
      </c>
    </row>
    <row r="10465" spans="2:7" ht="15" hidden="1" x14ac:dyDescent="0.25">
      <c r="B10465" s="4">
        <v>584759138</v>
      </c>
      <c r="C10465" s="4" t="s">
        <v>272</v>
      </c>
      <c r="D10465" s="4">
        <v>69</v>
      </c>
      <c r="E10465" s="4">
        <v>213</v>
      </c>
      <c r="G10465">
        <f t="shared" si="163"/>
        <v>1760</v>
      </c>
    </row>
    <row r="10466" spans="2:7" ht="15" hidden="1" x14ac:dyDescent="0.25">
      <c r="B10466" s="4">
        <v>584759139</v>
      </c>
      <c r="C10466" s="4" t="s">
        <v>269</v>
      </c>
      <c r="D10466" s="4">
        <v>810</v>
      </c>
      <c r="E10466" s="4">
        <v>57</v>
      </c>
      <c r="G10466">
        <f t="shared" si="163"/>
        <v>512</v>
      </c>
    </row>
    <row r="10467" spans="2:7" ht="15" hidden="1" x14ac:dyDescent="0.25">
      <c r="B10467" s="4">
        <v>584759140</v>
      </c>
      <c r="C10467" s="4" t="s">
        <v>269</v>
      </c>
      <c r="D10467" s="4">
        <v>811</v>
      </c>
      <c r="E10467" s="4">
        <v>57</v>
      </c>
      <c r="G10467">
        <f t="shared" si="163"/>
        <v>512</v>
      </c>
    </row>
    <row r="10468" spans="2:7" ht="15" hidden="1" x14ac:dyDescent="0.25">
      <c r="B10468" s="4">
        <v>584759141</v>
      </c>
      <c r="C10468" s="4" t="s">
        <v>269</v>
      </c>
      <c r="D10468" s="4">
        <v>812</v>
      </c>
      <c r="E10468" s="4">
        <v>57</v>
      </c>
      <c r="G10468">
        <f t="shared" si="163"/>
        <v>512</v>
      </c>
    </row>
    <row r="10469" spans="2:7" ht="15" hidden="1" x14ac:dyDescent="0.25">
      <c r="B10469" s="4">
        <v>584759142</v>
      </c>
      <c r="C10469" s="4" t="s">
        <v>269</v>
      </c>
      <c r="D10469" s="4">
        <v>813</v>
      </c>
      <c r="E10469" s="4">
        <v>57</v>
      </c>
      <c r="G10469">
        <f t="shared" si="163"/>
        <v>512</v>
      </c>
    </row>
    <row r="10470" spans="2:7" ht="15" hidden="1" x14ac:dyDescent="0.25">
      <c r="B10470" s="4">
        <v>584759143</v>
      </c>
      <c r="C10470" s="4" t="s">
        <v>269</v>
      </c>
      <c r="D10470" s="4">
        <v>814</v>
      </c>
      <c r="E10470" s="4">
        <v>57</v>
      </c>
      <c r="G10470">
        <f t="shared" si="163"/>
        <v>512</v>
      </c>
    </row>
    <row r="10471" spans="2:7" ht="15" hidden="1" x14ac:dyDescent="0.25">
      <c r="B10471" s="4">
        <v>584759144</v>
      </c>
      <c r="C10471" s="4" t="s">
        <v>269</v>
      </c>
      <c r="D10471" s="4">
        <v>815</v>
      </c>
      <c r="E10471" s="4">
        <v>57</v>
      </c>
      <c r="G10471">
        <f t="shared" si="163"/>
        <v>512</v>
      </c>
    </row>
    <row r="10472" spans="2:7" ht="15" hidden="1" x14ac:dyDescent="0.25">
      <c r="B10472" s="4">
        <v>584759145</v>
      </c>
      <c r="C10472" s="4" t="s">
        <v>269</v>
      </c>
      <c r="D10472" s="4">
        <v>816</v>
      </c>
      <c r="E10472" s="4">
        <v>57</v>
      </c>
      <c r="G10472">
        <f t="shared" si="163"/>
        <v>512</v>
      </c>
    </row>
    <row r="10473" spans="2:7" ht="15" hidden="1" x14ac:dyDescent="0.25">
      <c r="B10473" s="4">
        <v>584759146</v>
      </c>
      <c r="C10473" s="4" t="s">
        <v>269</v>
      </c>
      <c r="D10473" s="4">
        <v>817</v>
      </c>
      <c r="E10473" s="4">
        <v>57</v>
      </c>
      <c r="G10473">
        <f t="shared" si="163"/>
        <v>512</v>
      </c>
    </row>
    <row r="10474" spans="2:7" ht="15" hidden="1" x14ac:dyDescent="0.25">
      <c r="B10474" s="4">
        <v>584759147</v>
      </c>
      <c r="C10474" s="4" t="s">
        <v>269</v>
      </c>
      <c r="D10474" s="4">
        <v>818</v>
      </c>
      <c r="E10474" s="4">
        <v>57</v>
      </c>
      <c r="G10474">
        <f t="shared" si="163"/>
        <v>512</v>
      </c>
    </row>
    <row r="10475" spans="2:7" ht="15" hidden="1" x14ac:dyDescent="0.25">
      <c r="B10475" s="4">
        <v>584759148</v>
      </c>
      <c r="C10475" s="4" t="s">
        <v>269</v>
      </c>
      <c r="D10475" s="4">
        <v>819</v>
      </c>
      <c r="E10475" s="4">
        <v>57</v>
      </c>
      <c r="G10475">
        <f t="shared" si="163"/>
        <v>512</v>
      </c>
    </row>
    <row r="10476" spans="2:7" ht="15" hidden="1" x14ac:dyDescent="0.25">
      <c r="B10476" s="4">
        <v>584759148</v>
      </c>
      <c r="C10476" s="4" t="s">
        <v>272</v>
      </c>
      <c r="D10476" s="4">
        <v>70</v>
      </c>
      <c r="E10476" s="4">
        <v>211</v>
      </c>
      <c r="G10476">
        <f t="shared" si="163"/>
        <v>1744</v>
      </c>
    </row>
    <row r="10477" spans="2:7" ht="15" hidden="1" x14ac:dyDescent="0.25">
      <c r="B10477" s="4">
        <v>584759149</v>
      </c>
      <c r="C10477" s="4" t="s">
        <v>269</v>
      </c>
      <c r="D10477" s="4">
        <v>820</v>
      </c>
      <c r="E10477" s="4">
        <v>57</v>
      </c>
      <c r="G10477">
        <f t="shared" si="163"/>
        <v>512</v>
      </c>
    </row>
    <row r="10478" spans="2:7" ht="15" hidden="1" x14ac:dyDescent="0.25">
      <c r="B10478" s="4">
        <v>584759150</v>
      </c>
      <c r="C10478" s="4" t="s">
        <v>269</v>
      </c>
      <c r="D10478" s="4">
        <v>821</v>
      </c>
      <c r="E10478" s="4">
        <v>57</v>
      </c>
      <c r="G10478">
        <f t="shared" si="163"/>
        <v>512</v>
      </c>
    </row>
    <row r="10479" spans="2:7" ht="15" hidden="1" x14ac:dyDescent="0.25">
      <c r="B10479" s="4">
        <v>584759151</v>
      </c>
      <c r="C10479" s="4" t="s">
        <v>269</v>
      </c>
      <c r="D10479" s="4">
        <v>822</v>
      </c>
      <c r="E10479" s="4">
        <v>57</v>
      </c>
      <c r="G10479">
        <f t="shared" si="163"/>
        <v>512</v>
      </c>
    </row>
    <row r="10480" spans="2:7" ht="15" hidden="1" x14ac:dyDescent="0.25">
      <c r="B10480" s="4">
        <v>584759152</v>
      </c>
      <c r="C10480" s="4" t="s">
        <v>269</v>
      </c>
      <c r="D10480" s="4">
        <v>823</v>
      </c>
      <c r="E10480" s="4">
        <v>57</v>
      </c>
      <c r="G10480">
        <f t="shared" si="163"/>
        <v>512</v>
      </c>
    </row>
    <row r="10481" spans="2:7" ht="15" hidden="1" x14ac:dyDescent="0.25">
      <c r="B10481" s="4">
        <v>584759153</v>
      </c>
      <c r="C10481" s="4" t="s">
        <v>269</v>
      </c>
      <c r="D10481" s="4">
        <v>824</v>
      </c>
      <c r="E10481" s="4">
        <v>57</v>
      </c>
      <c r="G10481">
        <f t="shared" si="163"/>
        <v>512</v>
      </c>
    </row>
    <row r="10482" spans="2:7" ht="15" hidden="1" x14ac:dyDescent="0.25">
      <c r="B10482" s="4">
        <v>584759154</v>
      </c>
      <c r="C10482" s="4" t="s">
        <v>269</v>
      </c>
      <c r="D10482" s="4">
        <v>825</v>
      </c>
      <c r="E10482" s="4">
        <v>57</v>
      </c>
      <c r="G10482">
        <f t="shared" si="163"/>
        <v>512</v>
      </c>
    </row>
    <row r="10483" spans="2:7" ht="15" hidden="1" x14ac:dyDescent="0.25">
      <c r="B10483" s="4">
        <v>584759155</v>
      </c>
      <c r="C10483" s="4" t="s">
        <v>269</v>
      </c>
      <c r="D10483" s="4">
        <v>826</v>
      </c>
      <c r="E10483" s="4">
        <v>57</v>
      </c>
      <c r="G10483">
        <f t="shared" si="163"/>
        <v>512</v>
      </c>
    </row>
    <row r="10484" spans="2:7" ht="15" hidden="1" x14ac:dyDescent="0.25">
      <c r="B10484" s="4">
        <v>584759156</v>
      </c>
      <c r="C10484" s="4" t="s">
        <v>269</v>
      </c>
      <c r="D10484" s="4">
        <v>827</v>
      </c>
      <c r="E10484" s="4">
        <v>57</v>
      </c>
      <c r="G10484">
        <f t="shared" si="163"/>
        <v>512</v>
      </c>
    </row>
    <row r="10485" spans="2:7" ht="15" hidden="1" x14ac:dyDescent="0.25">
      <c r="B10485" s="4">
        <v>584759157</v>
      </c>
      <c r="C10485" s="4" t="s">
        <v>269</v>
      </c>
      <c r="D10485" s="4">
        <v>828</v>
      </c>
      <c r="E10485" s="4">
        <v>57</v>
      </c>
      <c r="G10485">
        <f t="shared" si="163"/>
        <v>512</v>
      </c>
    </row>
    <row r="10486" spans="2:7" ht="15" hidden="1" x14ac:dyDescent="0.25">
      <c r="B10486" s="4">
        <v>584759158</v>
      </c>
      <c r="C10486" s="4" t="s">
        <v>269</v>
      </c>
      <c r="D10486" s="4">
        <v>829</v>
      </c>
      <c r="E10486" s="4">
        <v>57</v>
      </c>
      <c r="G10486">
        <f t="shared" si="163"/>
        <v>512</v>
      </c>
    </row>
    <row r="10487" spans="2:7" ht="15" hidden="1" x14ac:dyDescent="0.25">
      <c r="B10487" s="4">
        <v>584759158</v>
      </c>
      <c r="C10487" s="4" t="s">
        <v>272</v>
      </c>
      <c r="D10487" s="4">
        <v>71</v>
      </c>
      <c r="E10487" s="4">
        <v>211</v>
      </c>
      <c r="G10487">
        <f t="shared" si="163"/>
        <v>1744</v>
      </c>
    </row>
    <row r="10488" spans="2:7" ht="15" hidden="1" x14ac:dyDescent="0.25">
      <c r="B10488" s="4">
        <v>584759159</v>
      </c>
      <c r="C10488" s="4" t="s">
        <v>269</v>
      </c>
      <c r="D10488" s="4">
        <v>830</v>
      </c>
      <c r="E10488" s="4">
        <v>57</v>
      </c>
      <c r="G10488">
        <f t="shared" si="163"/>
        <v>512</v>
      </c>
    </row>
    <row r="10489" spans="2:7" ht="15" hidden="1" x14ac:dyDescent="0.25">
      <c r="B10489" s="4">
        <v>584759160</v>
      </c>
      <c r="C10489" s="4" t="s">
        <v>269</v>
      </c>
      <c r="D10489" s="4">
        <v>831</v>
      </c>
      <c r="E10489" s="4">
        <v>57</v>
      </c>
      <c r="G10489">
        <f t="shared" si="163"/>
        <v>512</v>
      </c>
    </row>
    <row r="10490" spans="2:7" ht="15" hidden="1" x14ac:dyDescent="0.25">
      <c r="B10490" s="4">
        <v>584759161</v>
      </c>
      <c r="C10490" s="4" t="s">
        <v>269</v>
      </c>
      <c r="D10490" s="4">
        <v>832</v>
      </c>
      <c r="E10490" s="4">
        <v>57</v>
      </c>
      <c r="G10490">
        <f t="shared" si="163"/>
        <v>512</v>
      </c>
    </row>
    <row r="10491" spans="2:7" ht="15" hidden="1" x14ac:dyDescent="0.25">
      <c r="B10491" s="4">
        <v>584759162</v>
      </c>
      <c r="C10491" s="4" t="s">
        <v>269</v>
      </c>
      <c r="D10491" s="4">
        <v>833</v>
      </c>
      <c r="E10491" s="4">
        <v>57</v>
      </c>
      <c r="G10491">
        <f t="shared" si="163"/>
        <v>512</v>
      </c>
    </row>
    <row r="10492" spans="2:7" ht="15" hidden="1" x14ac:dyDescent="0.25">
      <c r="B10492" s="4">
        <v>584759163</v>
      </c>
      <c r="C10492" s="4" t="s">
        <v>269</v>
      </c>
      <c r="D10492" s="4">
        <v>834</v>
      </c>
      <c r="E10492" s="4">
        <v>57</v>
      </c>
      <c r="G10492">
        <f t="shared" si="163"/>
        <v>512</v>
      </c>
    </row>
    <row r="10493" spans="2:7" ht="15" hidden="1" x14ac:dyDescent="0.25">
      <c r="B10493" s="4">
        <v>584759164</v>
      </c>
      <c r="C10493" s="4" t="s">
        <v>269</v>
      </c>
      <c r="D10493" s="4">
        <v>835</v>
      </c>
      <c r="E10493" s="4">
        <v>57</v>
      </c>
      <c r="G10493">
        <f t="shared" si="163"/>
        <v>512</v>
      </c>
    </row>
    <row r="10494" spans="2:7" ht="15" hidden="1" x14ac:dyDescent="0.25">
      <c r="B10494" s="4">
        <v>584759165</v>
      </c>
      <c r="C10494" s="4" t="s">
        <v>269</v>
      </c>
      <c r="D10494" s="4">
        <v>836</v>
      </c>
      <c r="E10494" s="4">
        <v>57</v>
      </c>
      <c r="G10494">
        <f t="shared" si="163"/>
        <v>512</v>
      </c>
    </row>
    <row r="10495" spans="2:7" ht="15" hidden="1" x14ac:dyDescent="0.25">
      <c r="B10495" s="4">
        <v>584759166</v>
      </c>
      <c r="C10495" s="4" t="s">
        <v>269</v>
      </c>
      <c r="D10495" s="4">
        <v>837</v>
      </c>
      <c r="E10495" s="4">
        <v>57</v>
      </c>
      <c r="G10495">
        <f t="shared" si="163"/>
        <v>512</v>
      </c>
    </row>
    <row r="10496" spans="2:7" ht="15" hidden="1" x14ac:dyDescent="0.25">
      <c r="B10496" s="4">
        <v>584759167</v>
      </c>
      <c r="C10496" s="4" t="s">
        <v>269</v>
      </c>
      <c r="D10496" s="4">
        <v>838</v>
      </c>
      <c r="E10496" s="4">
        <v>57</v>
      </c>
      <c r="G10496">
        <f t="shared" si="163"/>
        <v>512</v>
      </c>
    </row>
    <row r="10497" spans="2:7" ht="15" hidden="1" x14ac:dyDescent="0.25">
      <c r="B10497" s="4">
        <v>584759168</v>
      </c>
      <c r="C10497" s="4" t="s">
        <v>269</v>
      </c>
      <c r="D10497" s="4">
        <v>839</v>
      </c>
      <c r="E10497" s="4">
        <v>57</v>
      </c>
      <c r="G10497">
        <f t="shared" si="163"/>
        <v>512</v>
      </c>
    </row>
    <row r="10498" spans="2:7" ht="15" hidden="1" x14ac:dyDescent="0.25">
      <c r="B10498" s="4">
        <v>584759168</v>
      </c>
      <c r="C10498" s="4" t="s">
        <v>272</v>
      </c>
      <c r="D10498" s="4">
        <v>72</v>
      </c>
      <c r="E10498" s="4">
        <v>211</v>
      </c>
      <c r="G10498">
        <f t="shared" si="163"/>
        <v>1744</v>
      </c>
    </row>
    <row r="10499" spans="2:7" ht="15" hidden="1" x14ac:dyDescent="0.25">
      <c r="B10499" s="4">
        <v>584759169</v>
      </c>
      <c r="C10499" s="4" t="s">
        <v>269</v>
      </c>
      <c r="D10499" s="4">
        <v>840</v>
      </c>
      <c r="E10499" s="4">
        <v>57</v>
      </c>
      <c r="G10499">
        <f t="shared" si="163"/>
        <v>512</v>
      </c>
    </row>
    <row r="10500" spans="2:7" ht="15" hidden="1" x14ac:dyDescent="0.25">
      <c r="B10500" s="4">
        <v>584759170</v>
      </c>
      <c r="C10500" s="4" t="s">
        <v>269</v>
      </c>
      <c r="D10500" s="4">
        <v>841</v>
      </c>
      <c r="E10500" s="4">
        <v>57</v>
      </c>
      <c r="G10500">
        <f t="shared" ref="G10500:G10563" si="164">(E10500+7)*8</f>
        <v>512</v>
      </c>
    </row>
    <row r="10501" spans="2:7" ht="15" hidden="1" x14ac:dyDescent="0.25">
      <c r="B10501" s="4">
        <v>584759171</v>
      </c>
      <c r="C10501" s="4" t="s">
        <v>269</v>
      </c>
      <c r="D10501" s="4">
        <v>842</v>
      </c>
      <c r="E10501" s="4">
        <v>57</v>
      </c>
      <c r="G10501">
        <f t="shared" si="164"/>
        <v>512</v>
      </c>
    </row>
    <row r="10502" spans="2:7" ht="15" hidden="1" x14ac:dyDescent="0.25">
      <c r="B10502" s="4">
        <v>584759172</v>
      </c>
      <c r="C10502" s="4" t="s">
        <v>269</v>
      </c>
      <c r="D10502" s="4">
        <v>843</v>
      </c>
      <c r="E10502" s="4">
        <v>57</v>
      </c>
      <c r="G10502">
        <f t="shared" si="164"/>
        <v>512</v>
      </c>
    </row>
    <row r="10503" spans="2:7" ht="15" hidden="1" x14ac:dyDescent="0.25">
      <c r="B10503" s="4">
        <v>584759173</v>
      </c>
      <c r="C10503" s="4" t="s">
        <v>269</v>
      </c>
      <c r="D10503" s="4">
        <v>844</v>
      </c>
      <c r="E10503" s="4">
        <v>57</v>
      </c>
      <c r="G10503">
        <f t="shared" si="164"/>
        <v>512</v>
      </c>
    </row>
    <row r="10504" spans="2:7" ht="15" hidden="1" x14ac:dyDescent="0.25">
      <c r="B10504" s="4">
        <v>584759174</v>
      </c>
      <c r="C10504" s="4" t="s">
        <v>269</v>
      </c>
      <c r="D10504" s="4">
        <v>845</v>
      </c>
      <c r="E10504" s="4">
        <v>57</v>
      </c>
      <c r="G10504">
        <f t="shared" si="164"/>
        <v>512</v>
      </c>
    </row>
    <row r="10505" spans="2:7" ht="15" hidden="1" x14ac:dyDescent="0.25">
      <c r="B10505" s="4">
        <v>584759175</v>
      </c>
      <c r="C10505" s="4" t="s">
        <v>269</v>
      </c>
      <c r="D10505" s="4">
        <v>846</v>
      </c>
      <c r="E10505" s="4">
        <v>57</v>
      </c>
      <c r="G10505">
        <f t="shared" si="164"/>
        <v>512</v>
      </c>
    </row>
    <row r="10506" spans="2:7" ht="15" hidden="1" x14ac:dyDescent="0.25">
      <c r="B10506" s="4">
        <v>584759176</v>
      </c>
      <c r="C10506" s="4" t="s">
        <v>269</v>
      </c>
      <c r="D10506" s="4">
        <v>847</v>
      </c>
      <c r="E10506" s="4">
        <v>57</v>
      </c>
      <c r="G10506">
        <f t="shared" si="164"/>
        <v>512</v>
      </c>
    </row>
    <row r="10507" spans="2:7" ht="15" hidden="1" x14ac:dyDescent="0.25">
      <c r="B10507" s="4">
        <v>584759177</v>
      </c>
      <c r="C10507" s="4" t="s">
        <v>269</v>
      </c>
      <c r="D10507" s="4">
        <v>848</v>
      </c>
      <c r="E10507" s="4">
        <v>57</v>
      </c>
      <c r="G10507">
        <f t="shared" si="164"/>
        <v>512</v>
      </c>
    </row>
    <row r="10508" spans="2:7" ht="15" hidden="1" x14ac:dyDescent="0.25">
      <c r="B10508" s="4">
        <v>584759178</v>
      </c>
      <c r="C10508" s="4" t="s">
        <v>269</v>
      </c>
      <c r="D10508" s="4">
        <v>849</v>
      </c>
      <c r="E10508" s="4">
        <v>57</v>
      </c>
      <c r="G10508">
        <f t="shared" si="164"/>
        <v>512</v>
      </c>
    </row>
    <row r="10509" spans="2:7" ht="15" hidden="1" x14ac:dyDescent="0.25">
      <c r="B10509" s="4">
        <v>584759178</v>
      </c>
      <c r="C10509" s="4" t="s">
        <v>272</v>
      </c>
      <c r="D10509" s="4">
        <v>73</v>
      </c>
      <c r="E10509" s="4">
        <v>213</v>
      </c>
      <c r="G10509">
        <f t="shared" si="164"/>
        <v>1760</v>
      </c>
    </row>
    <row r="10510" spans="2:7" ht="15" hidden="1" x14ac:dyDescent="0.25">
      <c r="B10510" s="4">
        <v>584759179</v>
      </c>
      <c r="C10510" s="4" t="s">
        <v>269</v>
      </c>
      <c r="D10510" s="4">
        <v>850</v>
      </c>
      <c r="E10510" s="4">
        <v>57</v>
      </c>
      <c r="G10510">
        <f t="shared" si="164"/>
        <v>512</v>
      </c>
    </row>
    <row r="10511" spans="2:7" ht="15" hidden="1" x14ac:dyDescent="0.25">
      <c r="B10511" s="4">
        <v>584759180</v>
      </c>
      <c r="C10511" s="4" t="s">
        <v>269</v>
      </c>
      <c r="D10511" s="4">
        <v>851</v>
      </c>
      <c r="E10511" s="4">
        <v>57</v>
      </c>
      <c r="G10511">
        <f t="shared" si="164"/>
        <v>512</v>
      </c>
    </row>
    <row r="10512" spans="2:7" ht="15" hidden="1" x14ac:dyDescent="0.25">
      <c r="B10512" s="4">
        <v>584759181</v>
      </c>
      <c r="C10512" s="4" t="s">
        <v>269</v>
      </c>
      <c r="D10512" s="4">
        <v>852</v>
      </c>
      <c r="E10512" s="4">
        <v>57</v>
      </c>
      <c r="G10512">
        <f t="shared" si="164"/>
        <v>512</v>
      </c>
    </row>
    <row r="10513" spans="2:7" ht="15" hidden="1" x14ac:dyDescent="0.25">
      <c r="B10513" s="4">
        <v>584759182</v>
      </c>
      <c r="C10513" s="4" t="s">
        <v>269</v>
      </c>
      <c r="D10513" s="4">
        <v>853</v>
      </c>
      <c r="E10513" s="4">
        <v>57</v>
      </c>
      <c r="G10513">
        <f t="shared" si="164"/>
        <v>512</v>
      </c>
    </row>
    <row r="10514" spans="2:7" ht="15" hidden="1" x14ac:dyDescent="0.25">
      <c r="B10514" s="4">
        <v>584759183</v>
      </c>
      <c r="C10514" s="4" t="s">
        <v>269</v>
      </c>
      <c r="D10514" s="4">
        <v>854</v>
      </c>
      <c r="E10514" s="4">
        <v>57</v>
      </c>
      <c r="G10514">
        <f t="shared" si="164"/>
        <v>512</v>
      </c>
    </row>
    <row r="10515" spans="2:7" ht="15" hidden="1" x14ac:dyDescent="0.25">
      <c r="B10515" s="4">
        <v>584759184</v>
      </c>
      <c r="C10515" s="4" t="s">
        <v>269</v>
      </c>
      <c r="D10515" s="4">
        <v>855</v>
      </c>
      <c r="E10515" s="4">
        <v>57</v>
      </c>
      <c r="G10515">
        <f t="shared" si="164"/>
        <v>512</v>
      </c>
    </row>
    <row r="10516" spans="2:7" ht="15" hidden="1" x14ac:dyDescent="0.25">
      <c r="B10516" s="4">
        <v>584759185</v>
      </c>
      <c r="C10516" s="4" t="s">
        <v>269</v>
      </c>
      <c r="D10516" s="4">
        <v>856</v>
      </c>
      <c r="E10516" s="4">
        <v>57</v>
      </c>
      <c r="G10516">
        <f t="shared" si="164"/>
        <v>512</v>
      </c>
    </row>
    <row r="10517" spans="2:7" ht="15" hidden="1" x14ac:dyDescent="0.25">
      <c r="B10517" s="4">
        <v>584759186</v>
      </c>
      <c r="C10517" s="4" t="s">
        <v>269</v>
      </c>
      <c r="D10517" s="4">
        <v>857</v>
      </c>
      <c r="E10517" s="4">
        <v>57</v>
      </c>
      <c r="G10517">
        <f t="shared" si="164"/>
        <v>512</v>
      </c>
    </row>
    <row r="10518" spans="2:7" ht="15" hidden="1" x14ac:dyDescent="0.25">
      <c r="B10518" s="4">
        <v>584759187</v>
      </c>
      <c r="C10518" s="4" t="s">
        <v>269</v>
      </c>
      <c r="D10518" s="4">
        <v>858</v>
      </c>
      <c r="E10518" s="4">
        <v>57</v>
      </c>
      <c r="G10518">
        <f t="shared" si="164"/>
        <v>512</v>
      </c>
    </row>
    <row r="10519" spans="2:7" ht="15" hidden="1" x14ac:dyDescent="0.25">
      <c r="B10519" s="4">
        <v>584759188</v>
      </c>
      <c r="C10519" s="4" t="s">
        <v>269</v>
      </c>
      <c r="D10519" s="4">
        <v>859</v>
      </c>
      <c r="E10519" s="4">
        <v>57</v>
      </c>
      <c r="G10519">
        <f t="shared" si="164"/>
        <v>512</v>
      </c>
    </row>
    <row r="10520" spans="2:7" ht="15" hidden="1" x14ac:dyDescent="0.25">
      <c r="B10520" s="4">
        <v>584759188</v>
      </c>
      <c r="C10520" s="4" t="s">
        <v>272</v>
      </c>
      <c r="D10520" s="4">
        <v>74</v>
      </c>
      <c r="E10520" s="4">
        <v>211</v>
      </c>
      <c r="G10520">
        <f t="shared" si="164"/>
        <v>1744</v>
      </c>
    </row>
    <row r="10521" spans="2:7" ht="15" hidden="1" x14ac:dyDescent="0.25">
      <c r="B10521" s="4">
        <v>584759189</v>
      </c>
      <c r="C10521" s="4" t="s">
        <v>269</v>
      </c>
      <c r="D10521" s="4">
        <v>860</v>
      </c>
      <c r="E10521" s="4">
        <v>57</v>
      </c>
      <c r="G10521">
        <f t="shared" si="164"/>
        <v>512</v>
      </c>
    </row>
    <row r="10522" spans="2:7" ht="15" hidden="1" x14ac:dyDescent="0.25">
      <c r="B10522" s="4">
        <v>584759190</v>
      </c>
      <c r="C10522" s="4" t="s">
        <v>269</v>
      </c>
      <c r="D10522" s="4">
        <v>861</v>
      </c>
      <c r="E10522" s="4">
        <v>57</v>
      </c>
      <c r="G10522">
        <f t="shared" si="164"/>
        <v>512</v>
      </c>
    </row>
    <row r="10523" spans="2:7" ht="15" hidden="1" x14ac:dyDescent="0.25">
      <c r="B10523" s="4">
        <v>584759191</v>
      </c>
      <c r="C10523" s="4" t="s">
        <v>269</v>
      </c>
      <c r="D10523" s="4">
        <v>862</v>
      </c>
      <c r="E10523" s="4">
        <v>57</v>
      </c>
      <c r="G10523">
        <f t="shared" si="164"/>
        <v>512</v>
      </c>
    </row>
    <row r="10524" spans="2:7" ht="15" hidden="1" x14ac:dyDescent="0.25">
      <c r="B10524" s="4">
        <v>584759192</v>
      </c>
      <c r="C10524" s="4" t="s">
        <v>269</v>
      </c>
      <c r="D10524" s="4">
        <v>863</v>
      </c>
      <c r="E10524" s="4">
        <v>57</v>
      </c>
      <c r="G10524">
        <f t="shared" si="164"/>
        <v>512</v>
      </c>
    </row>
    <row r="10525" spans="2:7" ht="15" hidden="1" x14ac:dyDescent="0.25">
      <c r="B10525" s="4">
        <v>584759193</v>
      </c>
      <c r="C10525" s="4" t="s">
        <v>269</v>
      </c>
      <c r="D10525" s="4">
        <v>864</v>
      </c>
      <c r="E10525" s="4">
        <v>57</v>
      </c>
      <c r="G10525">
        <f t="shared" si="164"/>
        <v>512</v>
      </c>
    </row>
    <row r="10526" spans="2:7" ht="15" hidden="1" x14ac:dyDescent="0.25">
      <c r="B10526" s="4">
        <v>584759194</v>
      </c>
      <c r="C10526" s="4" t="s">
        <v>269</v>
      </c>
      <c r="D10526" s="4">
        <v>865</v>
      </c>
      <c r="E10526" s="4">
        <v>57</v>
      </c>
      <c r="G10526">
        <f t="shared" si="164"/>
        <v>512</v>
      </c>
    </row>
    <row r="10527" spans="2:7" ht="15" hidden="1" x14ac:dyDescent="0.25">
      <c r="B10527" s="4">
        <v>584759195</v>
      </c>
      <c r="C10527" s="4" t="s">
        <v>269</v>
      </c>
      <c r="D10527" s="4">
        <v>866</v>
      </c>
      <c r="E10527" s="4">
        <v>57</v>
      </c>
      <c r="G10527">
        <f t="shared" si="164"/>
        <v>512</v>
      </c>
    </row>
    <row r="10528" spans="2:7" ht="15" hidden="1" x14ac:dyDescent="0.25">
      <c r="B10528" s="4">
        <v>584759196</v>
      </c>
      <c r="C10528" s="4" t="s">
        <v>269</v>
      </c>
      <c r="D10528" s="4">
        <v>867</v>
      </c>
      <c r="E10528" s="4">
        <v>57</v>
      </c>
      <c r="G10528">
        <f t="shared" si="164"/>
        <v>512</v>
      </c>
    </row>
    <row r="10529" spans="2:7" ht="15" hidden="1" x14ac:dyDescent="0.25">
      <c r="B10529" s="4">
        <v>584759197</v>
      </c>
      <c r="C10529" s="4" t="s">
        <v>269</v>
      </c>
      <c r="D10529" s="4">
        <v>868</v>
      </c>
      <c r="E10529" s="4">
        <v>57</v>
      </c>
      <c r="G10529">
        <f t="shared" si="164"/>
        <v>512</v>
      </c>
    </row>
    <row r="10530" spans="2:7" ht="15" hidden="1" x14ac:dyDescent="0.25">
      <c r="B10530" s="4">
        <v>584759198</v>
      </c>
      <c r="C10530" s="4" t="s">
        <v>269</v>
      </c>
      <c r="D10530" s="4">
        <v>869</v>
      </c>
      <c r="E10530" s="4">
        <v>57</v>
      </c>
      <c r="G10530">
        <f t="shared" si="164"/>
        <v>512</v>
      </c>
    </row>
    <row r="10531" spans="2:7" ht="15" hidden="1" x14ac:dyDescent="0.25">
      <c r="B10531" s="4">
        <v>584759198</v>
      </c>
      <c r="C10531" s="4" t="s">
        <v>272</v>
      </c>
      <c r="D10531" s="4">
        <v>75</v>
      </c>
      <c r="E10531" s="4">
        <v>213</v>
      </c>
      <c r="G10531">
        <f t="shared" si="164"/>
        <v>1760</v>
      </c>
    </row>
    <row r="10532" spans="2:7" ht="15" hidden="1" x14ac:dyDescent="0.25">
      <c r="B10532" s="4">
        <v>584759199</v>
      </c>
      <c r="C10532" s="4" t="s">
        <v>269</v>
      </c>
      <c r="D10532" s="4">
        <v>870</v>
      </c>
      <c r="E10532" s="4">
        <v>57</v>
      </c>
      <c r="G10532">
        <f t="shared" si="164"/>
        <v>512</v>
      </c>
    </row>
    <row r="10533" spans="2:7" ht="15" hidden="1" x14ac:dyDescent="0.25">
      <c r="B10533" s="4">
        <v>584759200</v>
      </c>
      <c r="C10533" s="4" t="s">
        <v>269</v>
      </c>
      <c r="D10533" s="4">
        <v>871</v>
      </c>
      <c r="E10533" s="4">
        <v>57</v>
      </c>
      <c r="G10533">
        <f t="shared" si="164"/>
        <v>512</v>
      </c>
    </row>
    <row r="10534" spans="2:7" ht="15" hidden="1" x14ac:dyDescent="0.25">
      <c r="B10534" s="4">
        <v>584759201</v>
      </c>
      <c r="C10534" s="4" t="s">
        <v>269</v>
      </c>
      <c r="D10534" s="4">
        <v>872</v>
      </c>
      <c r="E10534" s="4">
        <v>57</v>
      </c>
      <c r="G10534">
        <f t="shared" si="164"/>
        <v>512</v>
      </c>
    </row>
    <row r="10535" spans="2:7" ht="15" hidden="1" x14ac:dyDescent="0.25">
      <c r="B10535" s="4">
        <v>584759202</v>
      </c>
      <c r="C10535" s="4" t="s">
        <v>269</v>
      </c>
      <c r="D10535" s="4">
        <v>873</v>
      </c>
      <c r="E10535" s="4">
        <v>57</v>
      </c>
      <c r="G10535">
        <f t="shared" si="164"/>
        <v>512</v>
      </c>
    </row>
    <row r="10536" spans="2:7" ht="15" hidden="1" x14ac:dyDescent="0.25">
      <c r="B10536" s="4">
        <v>584759203</v>
      </c>
      <c r="C10536" s="4" t="s">
        <v>269</v>
      </c>
      <c r="D10536" s="4">
        <v>874</v>
      </c>
      <c r="E10536" s="4">
        <v>57</v>
      </c>
      <c r="G10536">
        <f t="shared" si="164"/>
        <v>512</v>
      </c>
    </row>
    <row r="10537" spans="2:7" ht="15" hidden="1" x14ac:dyDescent="0.25">
      <c r="B10537" s="4">
        <v>584759204</v>
      </c>
      <c r="C10537" s="4" t="s">
        <v>269</v>
      </c>
      <c r="D10537" s="4">
        <v>875</v>
      </c>
      <c r="E10537" s="4">
        <v>57</v>
      </c>
      <c r="G10537">
        <f t="shared" si="164"/>
        <v>512</v>
      </c>
    </row>
    <row r="10538" spans="2:7" ht="15" hidden="1" x14ac:dyDescent="0.25">
      <c r="B10538" s="4">
        <v>584759205</v>
      </c>
      <c r="C10538" s="4" t="s">
        <v>269</v>
      </c>
      <c r="D10538" s="4">
        <v>876</v>
      </c>
      <c r="E10538" s="4">
        <v>57</v>
      </c>
      <c r="G10538">
        <f t="shared" si="164"/>
        <v>512</v>
      </c>
    </row>
    <row r="10539" spans="2:7" ht="15" hidden="1" x14ac:dyDescent="0.25">
      <c r="B10539" s="4">
        <v>584759206</v>
      </c>
      <c r="C10539" s="4" t="s">
        <v>269</v>
      </c>
      <c r="D10539" s="4">
        <v>877</v>
      </c>
      <c r="E10539" s="4">
        <v>57</v>
      </c>
      <c r="G10539">
        <f t="shared" si="164"/>
        <v>512</v>
      </c>
    </row>
    <row r="10540" spans="2:7" ht="15" hidden="1" x14ac:dyDescent="0.25">
      <c r="B10540" s="4">
        <v>584759207</v>
      </c>
      <c r="C10540" s="4" t="s">
        <v>269</v>
      </c>
      <c r="D10540" s="4">
        <v>878</v>
      </c>
      <c r="E10540" s="4">
        <v>57</v>
      </c>
      <c r="G10540">
        <f t="shared" si="164"/>
        <v>512</v>
      </c>
    </row>
    <row r="10541" spans="2:7" ht="15" hidden="1" x14ac:dyDescent="0.25">
      <c r="B10541" s="4">
        <v>584759208</v>
      </c>
      <c r="C10541" s="4" t="s">
        <v>269</v>
      </c>
      <c r="D10541" s="4">
        <v>879</v>
      </c>
      <c r="E10541" s="4">
        <v>57</v>
      </c>
      <c r="G10541">
        <f t="shared" si="164"/>
        <v>512</v>
      </c>
    </row>
    <row r="10542" spans="2:7" ht="15" hidden="1" x14ac:dyDescent="0.25">
      <c r="B10542" s="4">
        <v>584759208</v>
      </c>
      <c r="C10542" s="4" t="s">
        <v>272</v>
      </c>
      <c r="D10542" s="4">
        <v>76</v>
      </c>
      <c r="E10542" s="4">
        <v>211</v>
      </c>
      <c r="G10542">
        <f t="shared" si="164"/>
        <v>1744</v>
      </c>
    </row>
    <row r="10543" spans="2:7" ht="15" hidden="1" x14ac:dyDescent="0.25">
      <c r="B10543" s="4">
        <v>584759209</v>
      </c>
      <c r="C10543" s="4" t="s">
        <v>269</v>
      </c>
      <c r="D10543" s="4">
        <v>880</v>
      </c>
      <c r="E10543" s="4">
        <v>57</v>
      </c>
      <c r="G10543">
        <f t="shared" si="164"/>
        <v>512</v>
      </c>
    </row>
    <row r="10544" spans="2:7" ht="15" hidden="1" x14ac:dyDescent="0.25">
      <c r="B10544" s="4">
        <v>584759210</v>
      </c>
      <c r="C10544" s="4" t="s">
        <v>269</v>
      </c>
      <c r="D10544" s="4">
        <v>881</v>
      </c>
      <c r="E10544" s="4">
        <v>57</v>
      </c>
      <c r="G10544">
        <f t="shared" si="164"/>
        <v>512</v>
      </c>
    </row>
    <row r="10545" spans="2:7" ht="15" hidden="1" x14ac:dyDescent="0.25">
      <c r="B10545" s="4">
        <v>584759211</v>
      </c>
      <c r="C10545" s="4" t="s">
        <v>269</v>
      </c>
      <c r="D10545" s="4">
        <v>882</v>
      </c>
      <c r="E10545" s="4">
        <v>57</v>
      </c>
      <c r="G10545">
        <f t="shared" si="164"/>
        <v>512</v>
      </c>
    </row>
    <row r="10546" spans="2:7" ht="15" hidden="1" x14ac:dyDescent="0.25">
      <c r="B10546" s="4">
        <v>584759212</v>
      </c>
      <c r="C10546" s="4" t="s">
        <v>269</v>
      </c>
      <c r="D10546" s="4">
        <v>883</v>
      </c>
      <c r="E10546" s="4">
        <v>57</v>
      </c>
      <c r="G10546">
        <f t="shared" si="164"/>
        <v>512</v>
      </c>
    </row>
    <row r="10547" spans="2:7" ht="15" hidden="1" x14ac:dyDescent="0.25">
      <c r="B10547" s="4">
        <v>584759213</v>
      </c>
      <c r="C10547" s="4" t="s">
        <v>269</v>
      </c>
      <c r="D10547" s="4">
        <v>884</v>
      </c>
      <c r="E10547" s="4">
        <v>57</v>
      </c>
      <c r="G10547">
        <f t="shared" si="164"/>
        <v>512</v>
      </c>
    </row>
    <row r="10548" spans="2:7" ht="15" hidden="1" x14ac:dyDescent="0.25">
      <c r="B10548" s="4">
        <v>584759214</v>
      </c>
      <c r="C10548" s="4" t="s">
        <v>269</v>
      </c>
      <c r="D10548" s="4">
        <v>885</v>
      </c>
      <c r="E10548" s="4">
        <v>57</v>
      </c>
      <c r="G10548">
        <f t="shared" si="164"/>
        <v>512</v>
      </c>
    </row>
    <row r="10549" spans="2:7" ht="15" hidden="1" x14ac:dyDescent="0.25">
      <c r="B10549" s="4">
        <v>584759215</v>
      </c>
      <c r="C10549" s="4" t="s">
        <v>269</v>
      </c>
      <c r="D10549" s="4">
        <v>886</v>
      </c>
      <c r="E10549" s="4">
        <v>57</v>
      </c>
      <c r="G10549">
        <f t="shared" si="164"/>
        <v>512</v>
      </c>
    </row>
    <row r="10550" spans="2:7" ht="15" hidden="1" x14ac:dyDescent="0.25">
      <c r="B10550" s="4">
        <v>584759216</v>
      </c>
      <c r="C10550" s="4" t="s">
        <v>269</v>
      </c>
      <c r="D10550" s="4">
        <v>887</v>
      </c>
      <c r="E10550" s="4">
        <v>57</v>
      </c>
      <c r="G10550">
        <f t="shared" si="164"/>
        <v>512</v>
      </c>
    </row>
    <row r="10551" spans="2:7" ht="15" hidden="1" x14ac:dyDescent="0.25">
      <c r="B10551" s="4">
        <v>584759217</v>
      </c>
      <c r="C10551" s="4" t="s">
        <v>269</v>
      </c>
      <c r="D10551" s="4">
        <v>888</v>
      </c>
      <c r="E10551" s="4">
        <v>57</v>
      </c>
      <c r="G10551">
        <f t="shared" si="164"/>
        <v>512</v>
      </c>
    </row>
    <row r="10552" spans="2:7" ht="15" hidden="1" x14ac:dyDescent="0.25">
      <c r="B10552" s="4">
        <v>584759218</v>
      </c>
      <c r="C10552" s="4" t="s">
        <v>269</v>
      </c>
      <c r="D10552" s="4">
        <v>889</v>
      </c>
      <c r="E10552" s="4">
        <v>57</v>
      </c>
      <c r="G10552">
        <f t="shared" si="164"/>
        <v>512</v>
      </c>
    </row>
    <row r="10553" spans="2:7" ht="15" hidden="1" x14ac:dyDescent="0.25">
      <c r="B10553" s="4">
        <v>584759218</v>
      </c>
      <c r="C10553" s="4" t="s">
        <v>272</v>
      </c>
      <c r="D10553" s="4">
        <v>77</v>
      </c>
      <c r="E10553" s="4">
        <v>211</v>
      </c>
      <c r="G10553">
        <f t="shared" si="164"/>
        <v>1744</v>
      </c>
    </row>
    <row r="10554" spans="2:7" ht="15" hidden="1" x14ac:dyDescent="0.25">
      <c r="B10554" s="4">
        <v>584759219</v>
      </c>
      <c r="C10554" s="4" t="s">
        <v>269</v>
      </c>
      <c r="D10554" s="4">
        <v>890</v>
      </c>
      <c r="E10554" s="4">
        <v>57</v>
      </c>
      <c r="G10554">
        <f t="shared" si="164"/>
        <v>512</v>
      </c>
    </row>
    <row r="10555" spans="2:7" ht="15" hidden="1" x14ac:dyDescent="0.25">
      <c r="B10555" s="4">
        <v>584759220</v>
      </c>
      <c r="C10555" s="4" t="s">
        <v>269</v>
      </c>
      <c r="D10555" s="4">
        <v>891</v>
      </c>
      <c r="E10555" s="4">
        <v>57</v>
      </c>
      <c r="G10555">
        <f t="shared" si="164"/>
        <v>512</v>
      </c>
    </row>
    <row r="10556" spans="2:7" ht="15" hidden="1" x14ac:dyDescent="0.25">
      <c r="B10556" s="4">
        <v>584759221</v>
      </c>
      <c r="C10556" s="4" t="s">
        <v>269</v>
      </c>
      <c r="D10556" s="4">
        <v>892</v>
      </c>
      <c r="E10556" s="4">
        <v>57</v>
      </c>
      <c r="G10556">
        <f t="shared" si="164"/>
        <v>512</v>
      </c>
    </row>
    <row r="10557" spans="2:7" ht="15" hidden="1" x14ac:dyDescent="0.25">
      <c r="B10557" s="4">
        <v>584759222</v>
      </c>
      <c r="C10557" s="4" t="s">
        <v>269</v>
      </c>
      <c r="D10557" s="4">
        <v>893</v>
      </c>
      <c r="E10557" s="4">
        <v>57</v>
      </c>
      <c r="G10557">
        <f t="shared" si="164"/>
        <v>512</v>
      </c>
    </row>
    <row r="10558" spans="2:7" ht="15" hidden="1" x14ac:dyDescent="0.25">
      <c r="B10558" s="4">
        <v>584759223</v>
      </c>
      <c r="C10558" s="4" t="s">
        <v>269</v>
      </c>
      <c r="D10558" s="4">
        <v>894</v>
      </c>
      <c r="E10558" s="4">
        <v>57</v>
      </c>
      <c r="G10558">
        <f t="shared" si="164"/>
        <v>512</v>
      </c>
    </row>
    <row r="10559" spans="2:7" ht="15" hidden="1" x14ac:dyDescent="0.25">
      <c r="B10559" s="4">
        <v>584759224</v>
      </c>
      <c r="C10559" s="4" t="s">
        <v>269</v>
      </c>
      <c r="D10559" s="4">
        <v>895</v>
      </c>
      <c r="E10559" s="4">
        <v>57</v>
      </c>
      <c r="G10559">
        <f t="shared" si="164"/>
        <v>512</v>
      </c>
    </row>
    <row r="10560" spans="2:7" ht="15" hidden="1" x14ac:dyDescent="0.25">
      <c r="B10560" s="4">
        <v>584759225</v>
      </c>
      <c r="C10560" s="4" t="s">
        <v>269</v>
      </c>
      <c r="D10560" s="4">
        <v>896</v>
      </c>
      <c r="E10560" s="4">
        <v>57</v>
      </c>
      <c r="G10560">
        <f t="shared" si="164"/>
        <v>512</v>
      </c>
    </row>
    <row r="10561" spans="2:7" ht="15" hidden="1" x14ac:dyDescent="0.25">
      <c r="B10561" s="4">
        <v>584759226</v>
      </c>
      <c r="C10561" s="4" t="s">
        <v>269</v>
      </c>
      <c r="D10561" s="4">
        <v>897</v>
      </c>
      <c r="E10561" s="4">
        <v>57</v>
      </c>
      <c r="G10561">
        <f t="shared" si="164"/>
        <v>512</v>
      </c>
    </row>
    <row r="10562" spans="2:7" ht="15" hidden="1" x14ac:dyDescent="0.25">
      <c r="B10562" s="4">
        <v>584759227</v>
      </c>
      <c r="C10562" s="4" t="s">
        <v>269</v>
      </c>
      <c r="D10562" s="4">
        <v>898</v>
      </c>
      <c r="E10562" s="4">
        <v>57</v>
      </c>
      <c r="G10562">
        <f t="shared" si="164"/>
        <v>512</v>
      </c>
    </row>
    <row r="10563" spans="2:7" ht="15" hidden="1" x14ac:dyDescent="0.25">
      <c r="B10563" s="4">
        <v>584759228</v>
      </c>
      <c r="C10563" s="4" t="s">
        <v>268</v>
      </c>
      <c r="D10563" s="4">
        <v>234</v>
      </c>
      <c r="E10563" s="4">
        <v>6</v>
      </c>
      <c r="G10563">
        <f t="shared" si="164"/>
        <v>104</v>
      </c>
    </row>
    <row r="10564" spans="2:7" ht="15" hidden="1" x14ac:dyDescent="0.25">
      <c r="B10564" s="4">
        <v>584759228</v>
      </c>
      <c r="C10564" s="4" t="s">
        <v>268</v>
      </c>
      <c r="D10564" s="4">
        <v>234</v>
      </c>
      <c r="E10564" s="4">
        <v>6</v>
      </c>
      <c r="G10564">
        <f t="shared" ref="G10564:G10627" si="165">(E10564+7)*8</f>
        <v>104</v>
      </c>
    </row>
    <row r="10565" spans="2:7" ht="15" hidden="1" x14ac:dyDescent="0.25">
      <c r="B10565" s="4">
        <v>584759228</v>
      </c>
      <c r="C10565" s="4" t="s">
        <v>268</v>
      </c>
      <c r="D10565" s="4">
        <v>235</v>
      </c>
      <c r="E10565" s="4">
        <v>9</v>
      </c>
      <c r="G10565">
        <f t="shared" si="165"/>
        <v>128</v>
      </c>
    </row>
    <row r="10566" spans="2:7" ht="15" hidden="1" x14ac:dyDescent="0.25">
      <c r="B10566" s="4">
        <v>584759228</v>
      </c>
      <c r="C10566" s="4" t="s">
        <v>268</v>
      </c>
      <c r="D10566" s="4">
        <v>235</v>
      </c>
      <c r="E10566" s="4">
        <v>9</v>
      </c>
      <c r="G10566">
        <f t="shared" si="165"/>
        <v>128</v>
      </c>
    </row>
    <row r="10567" spans="2:7" ht="15" hidden="1" x14ac:dyDescent="0.25">
      <c r="B10567" s="4">
        <v>584759228</v>
      </c>
      <c r="C10567" s="4" t="s">
        <v>268</v>
      </c>
      <c r="D10567" s="4">
        <v>236</v>
      </c>
      <c r="E10567" s="4">
        <v>7</v>
      </c>
      <c r="G10567">
        <f t="shared" si="165"/>
        <v>112</v>
      </c>
    </row>
    <row r="10568" spans="2:7" ht="15" hidden="1" x14ac:dyDescent="0.25">
      <c r="B10568" s="4">
        <v>584759228</v>
      </c>
      <c r="C10568" s="4" t="s">
        <v>268</v>
      </c>
      <c r="D10568" s="4">
        <v>236</v>
      </c>
      <c r="E10568" s="4">
        <v>7</v>
      </c>
      <c r="G10568">
        <f t="shared" si="165"/>
        <v>112</v>
      </c>
    </row>
    <row r="10569" spans="2:7" ht="15" hidden="1" x14ac:dyDescent="0.25">
      <c r="B10569" s="4">
        <v>584759228</v>
      </c>
      <c r="C10569" s="4" t="s">
        <v>268</v>
      </c>
      <c r="D10569" s="4">
        <v>237</v>
      </c>
      <c r="E10569" s="4">
        <v>7</v>
      </c>
      <c r="G10569">
        <f t="shared" si="165"/>
        <v>112</v>
      </c>
    </row>
    <row r="10570" spans="2:7" ht="15" hidden="1" x14ac:dyDescent="0.25">
      <c r="B10570" s="4">
        <v>584759228</v>
      </c>
      <c r="C10570" s="4" t="s">
        <v>268</v>
      </c>
      <c r="D10570" s="4">
        <v>237</v>
      </c>
      <c r="E10570" s="4">
        <v>7</v>
      </c>
      <c r="G10570">
        <f t="shared" si="165"/>
        <v>112</v>
      </c>
    </row>
    <row r="10571" spans="2:7" ht="15" hidden="1" x14ac:dyDescent="0.25">
      <c r="B10571" s="4">
        <v>584759228</v>
      </c>
      <c r="C10571" s="4" t="s">
        <v>268</v>
      </c>
      <c r="D10571" s="4">
        <v>238</v>
      </c>
      <c r="E10571" s="4">
        <v>7</v>
      </c>
      <c r="G10571">
        <f t="shared" si="165"/>
        <v>112</v>
      </c>
    </row>
    <row r="10572" spans="2:7" ht="15" hidden="1" x14ac:dyDescent="0.25">
      <c r="B10572" s="4">
        <v>584759228</v>
      </c>
      <c r="C10572" s="4" t="s">
        <v>268</v>
      </c>
      <c r="D10572" s="4">
        <v>238</v>
      </c>
      <c r="E10572" s="4">
        <v>7</v>
      </c>
      <c r="G10572">
        <f t="shared" si="165"/>
        <v>112</v>
      </c>
    </row>
    <row r="10573" spans="2:7" ht="15" hidden="1" x14ac:dyDescent="0.25">
      <c r="B10573" s="4">
        <v>584759228</v>
      </c>
      <c r="C10573" s="4" t="s">
        <v>269</v>
      </c>
      <c r="D10573" s="4">
        <v>899</v>
      </c>
      <c r="E10573" s="4">
        <v>57</v>
      </c>
      <c r="G10573">
        <f t="shared" si="165"/>
        <v>512</v>
      </c>
    </row>
    <row r="10574" spans="2:7" ht="15" hidden="1" x14ac:dyDescent="0.25">
      <c r="B10574" s="4">
        <v>584759228</v>
      </c>
      <c r="C10574" s="4" t="s">
        <v>272</v>
      </c>
      <c r="D10574" s="4">
        <v>78</v>
      </c>
      <c r="E10574" s="4">
        <v>211</v>
      </c>
      <c r="G10574">
        <f t="shared" si="165"/>
        <v>1744</v>
      </c>
    </row>
    <row r="10575" spans="2:7" ht="15" hidden="1" x14ac:dyDescent="0.25">
      <c r="B10575" s="4">
        <v>584759229</v>
      </c>
      <c r="C10575" s="4" t="s">
        <v>269</v>
      </c>
      <c r="D10575" s="4">
        <v>900</v>
      </c>
      <c r="E10575" s="4">
        <v>57</v>
      </c>
      <c r="G10575">
        <f t="shared" si="165"/>
        <v>512</v>
      </c>
    </row>
    <row r="10576" spans="2:7" ht="15" hidden="1" x14ac:dyDescent="0.25">
      <c r="B10576" s="4">
        <v>584759230</v>
      </c>
      <c r="C10576" s="4" t="s">
        <v>268</v>
      </c>
      <c r="D10576" s="4">
        <v>239</v>
      </c>
      <c r="E10576" s="4">
        <v>7</v>
      </c>
      <c r="G10576">
        <f t="shared" si="165"/>
        <v>112</v>
      </c>
    </row>
    <row r="10577" spans="2:7" ht="15" hidden="1" x14ac:dyDescent="0.25">
      <c r="B10577" s="4">
        <v>584759230</v>
      </c>
      <c r="C10577" s="4" t="s">
        <v>268</v>
      </c>
      <c r="D10577" s="4">
        <v>239</v>
      </c>
      <c r="E10577" s="4">
        <v>7</v>
      </c>
      <c r="G10577">
        <f t="shared" si="165"/>
        <v>112</v>
      </c>
    </row>
    <row r="10578" spans="2:7" ht="15" hidden="1" x14ac:dyDescent="0.25">
      <c r="B10578" s="4">
        <v>584759230</v>
      </c>
      <c r="C10578" s="4" t="s">
        <v>268</v>
      </c>
      <c r="D10578" s="4">
        <v>240</v>
      </c>
      <c r="E10578" s="4">
        <v>5</v>
      </c>
      <c r="G10578">
        <f t="shared" si="165"/>
        <v>96</v>
      </c>
    </row>
    <row r="10579" spans="2:7" ht="15" hidden="1" x14ac:dyDescent="0.25">
      <c r="B10579" s="4">
        <v>584759230</v>
      </c>
      <c r="C10579" s="4" t="s">
        <v>268</v>
      </c>
      <c r="D10579" s="4">
        <v>240</v>
      </c>
      <c r="E10579" s="4">
        <v>5</v>
      </c>
      <c r="G10579">
        <f t="shared" si="165"/>
        <v>96</v>
      </c>
    </row>
    <row r="10580" spans="2:7" ht="15" hidden="1" x14ac:dyDescent="0.25">
      <c r="B10580" s="4">
        <v>584759230</v>
      </c>
      <c r="C10580" s="4" t="s">
        <v>268</v>
      </c>
      <c r="D10580" s="4">
        <v>241</v>
      </c>
      <c r="E10580" s="4">
        <v>7</v>
      </c>
      <c r="G10580">
        <f t="shared" si="165"/>
        <v>112</v>
      </c>
    </row>
    <row r="10581" spans="2:7" ht="15" hidden="1" x14ac:dyDescent="0.25">
      <c r="B10581" s="4">
        <v>584759230</v>
      </c>
      <c r="C10581" s="4" t="s">
        <v>268</v>
      </c>
      <c r="D10581" s="4">
        <v>241</v>
      </c>
      <c r="E10581" s="4">
        <v>7</v>
      </c>
      <c r="G10581">
        <f t="shared" si="165"/>
        <v>112</v>
      </c>
    </row>
    <row r="10582" spans="2:7" ht="15" hidden="1" x14ac:dyDescent="0.25">
      <c r="B10582" s="4">
        <v>584759230</v>
      </c>
      <c r="C10582" s="4" t="s">
        <v>269</v>
      </c>
      <c r="D10582" s="4">
        <v>901</v>
      </c>
      <c r="E10582" s="4">
        <v>57</v>
      </c>
      <c r="G10582">
        <f t="shared" si="165"/>
        <v>512</v>
      </c>
    </row>
    <row r="10583" spans="2:7" ht="15" hidden="1" x14ac:dyDescent="0.25">
      <c r="B10583" s="4">
        <v>584759231</v>
      </c>
      <c r="C10583" s="4" t="s">
        <v>269</v>
      </c>
      <c r="D10583" s="4">
        <v>902</v>
      </c>
      <c r="E10583" s="4">
        <v>57</v>
      </c>
      <c r="G10583">
        <f t="shared" si="165"/>
        <v>512</v>
      </c>
    </row>
    <row r="10584" spans="2:7" ht="15" hidden="1" x14ac:dyDescent="0.25">
      <c r="B10584" s="4">
        <v>584759232</v>
      </c>
      <c r="C10584" s="4" t="s">
        <v>269</v>
      </c>
      <c r="D10584" s="4">
        <v>903</v>
      </c>
      <c r="E10584" s="4">
        <v>57</v>
      </c>
      <c r="G10584">
        <f t="shared" si="165"/>
        <v>512</v>
      </c>
    </row>
    <row r="10585" spans="2:7" ht="15" hidden="1" x14ac:dyDescent="0.25">
      <c r="B10585" s="4">
        <v>584759233</v>
      </c>
      <c r="C10585" s="4" t="s">
        <v>269</v>
      </c>
      <c r="D10585" s="4">
        <v>904</v>
      </c>
      <c r="E10585" s="4">
        <v>57</v>
      </c>
      <c r="G10585">
        <f t="shared" si="165"/>
        <v>512</v>
      </c>
    </row>
    <row r="10586" spans="2:7" ht="15" hidden="1" x14ac:dyDescent="0.25">
      <c r="B10586" s="4">
        <v>584759234</v>
      </c>
      <c r="C10586" s="4" t="s">
        <v>269</v>
      </c>
      <c r="D10586" s="4">
        <v>905</v>
      </c>
      <c r="E10586" s="4">
        <v>57</v>
      </c>
      <c r="G10586">
        <f t="shared" si="165"/>
        <v>512</v>
      </c>
    </row>
    <row r="10587" spans="2:7" ht="15" hidden="1" x14ac:dyDescent="0.25">
      <c r="B10587" s="4">
        <v>584759235</v>
      </c>
      <c r="C10587" s="4" t="s">
        <v>269</v>
      </c>
      <c r="D10587" s="4">
        <v>906</v>
      </c>
      <c r="E10587" s="4">
        <v>57</v>
      </c>
      <c r="G10587">
        <f t="shared" si="165"/>
        <v>512</v>
      </c>
    </row>
    <row r="10588" spans="2:7" ht="15" hidden="1" x14ac:dyDescent="0.25">
      <c r="B10588" s="4">
        <v>584759236</v>
      </c>
      <c r="C10588" s="4" t="s">
        <v>269</v>
      </c>
      <c r="D10588" s="4">
        <v>907</v>
      </c>
      <c r="E10588" s="4">
        <v>57</v>
      </c>
      <c r="G10588">
        <f t="shared" si="165"/>
        <v>512</v>
      </c>
    </row>
    <row r="10589" spans="2:7" ht="15" hidden="1" x14ac:dyDescent="0.25">
      <c r="B10589" s="4">
        <v>584759237</v>
      </c>
      <c r="C10589" s="4" t="s">
        <v>269</v>
      </c>
      <c r="D10589" s="4">
        <v>908</v>
      </c>
      <c r="E10589" s="4">
        <v>57</v>
      </c>
      <c r="G10589">
        <f t="shared" si="165"/>
        <v>512</v>
      </c>
    </row>
    <row r="10590" spans="2:7" ht="15" hidden="1" x14ac:dyDescent="0.25">
      <c r="B10590" s="4">
        <v>584759238</v>
      </c>
      <c r="C10590" s="4" t="s">
        <v>269</v>
      </c>
      <c r="D10590" s="4">
        <v>909</v>
      </c>
      <c r="E10590" s="4">
        <v>57</v>
      </c>
      <c r="G10590">
        <f t="shared" si="165"/>
        <v>512</v>
      </c>
    </row>
    <row r="10591" spans="2:7" ht="15" hidden="1" x14ac:dyDescent="0.25">
      <c r="B10591" s="4">
        <v>584759238</v>
      </c>
      <c r="C10591" s="4" t="s">
        <v>272</v>
      </c>
      <c r="D10591" s="4">
        <v>79</v>
      </c>
      <c r="E10591" s="4">
        <v>211</v>
      </c>
      <c r="G10591">
        <f t="shared" si="165"/>
        <v>1744</v>
      </c>
    </row>
    <row r="10592" spans="2:7" ht="15" hidden="1" x14ac:dyDescent="0.25">
      <c r="B10592" s="4">
        <v>584759239</v>
      </c>
      <c r="C10592" s="4" t="s">
        <v>269</v>
      </c>
      <c r="D10592" s="4">
        <v>910</v>
      </c>
      <c r="E10592" s="4">
        <v>57</v>
      </c>
      <c r="G10592">
        <f t="shared" si="165"/>
        <v>512</v>
      </c>
    </row>
    <row r="10593" spans="2:7" ht="15" hidden="1" x14ac:dyDescent="0.25">
      <c r="B10593" s="4">
        <v>584759240</v>
      </c>
      <c r="C10593" s="4" t="s">
        <v>269</v>
      </c>
      <c r="D10593" s="4">
        <v>911</v>
      </c>
      <c r="E10593" s="4">
        <v>57</v>
      </c>
      <c r="G10593">
        <f t="shared" si="165"/>
        <v>512</v>
      </c>
    </row>
    <row r="10594" spans="2:7" ht="15" hidden="1" x14ac:dyDescent="0.25">
      <c r="B10594" s="4">
        <v>584759241</v>
      </c>
      <c r="C10594" s="4" t="s">
        <v>269</v>
      </c>
      <c r="D10594" s="4">
        <v>912</v>
      </c>
      <c r="E10594" s="4">
        <v>57</v>
      </c>
      <c r="G10594">
        <f t="shared" si="165"/>
        <v>512</v>
      </c>
    </row>
    <row r="10595" spans="2:7" ht="15" hidden="1" x14ac:dyDescent="0.25">
      <c r="B10595" s="4">
        <v>584759242</v>
      </c>
      <c r="C10595" s="4" t="s">
        <v>269</v>
      </c>
      <c r="D10595" s="4">
        <v>913</v>
      </c>
      <c r="E10595" s="4">
        <v>57</v>
      </c>
      <c r="G10595">
        <f t="shared" si="165"/>
        <v>512</v>
      </c>
    </row>
    <row r="10596" spans="2:7" ht="15" hidden="1" x14ac:dyDescent="0.25">
      <c r="B10596" s="4">
        <v>584759243</v>
      </c>
      <c r="C10596" s="4" t="s">
        <v>269</v>
      </c>
      <c r="D10596" s="4">
        <v>914</v>
      </c>
      <c r="E10596" s="4">
        <v>57</v>
      </c>
      <c r="G10596">
        <f t="shared" si="165"/>
        <v>512</v>
      </c>
    </row>
    <row r="10597" spans="2:7" ht="15" hidden="1" x14ac:dyDescent="0.25">
      <c r="B10597" s="4">
        <v>584759244</v>
      </c>
      <c r="C10597" s="4" t="s">
        <v>269</v>
      </c>
      <c r="D10597" s="4">
        <v>915</v>
      </c>
      <c r="E10597" s="4">
        <v>57</v>
      </c>
      <c r="G10597">
        <f t="shared" si="165"/>
        <v>512</v>
      </c>
    </row>
    <row r="10598" spans="2:7" ht="15" hidden="1" x14ac:dyDescent="0.25">
      <c r="B10598" s="4">
        <v>584759245</v>
      </c>
      <c r="C10598" s="4" t="s">
        <v>269</v>
      </c>
      <c r="D10598" s="4">
        <v>916</v>
      </c>
      <c r="E10598" s="4">
        <v>57</v>
      </c>
      <c r="G10598">
        <f t="shared" si="165"/>
        <v>512</v>
      </c>
    </row>
    <row r="10599" spans="2:7" ht="15" hidden="1" x14ac:dyDescent="0.25">
      <c r="B10599" s="4">
        <v>584759246</v>
      </c>
      <c r="C10599" s="4" t="s">
        <v>269</v>
      </c>
      <c r="D10599" s="4">
        <v>917</v>
      </c>
      <c r="E10599" s="4">
        <v>57</v>
      </c>
      <c r="G10599">
        <f t="shared" si="165"/>
        <v>512</v>
      </c>
    </row>
    <row r="10600" spans="2:7" ht="15" hidden="1" x14ac:dyDescent="0.25">
      <c r="B10600" s="4">
        <v>584759247</v>
      </c>
      <c r="C10600" s="4" t="s">
        <v>269</v>
      </c>
      <c r="D10600" s="4">
        <v>918</v>
      </c>
      <c r="E10600" s="4">
        <v>57</v>
      </c>
      <c r="G10600">
        <f t="shared" si="165"/>
        <v>512</v>
      </c>
    </row>
    <row r="10601" spans="2:7" ht="15" hidden="1" x14ac:dyDescent="0.25">
      <c r="B10601" s="4">
        <v>584759248</v>
      </c>
      <c r="C10601" s="4" t="s">
        <v>269</v>
      </c>
      <c r="D10601" s="4">
        <v>919</v>
      </c>
      <c r="E10601" s="4">
        <v>57</v>
      </c>
      <c r="G10601">
        <f t="shared" si="165"/>
        <v>512</v>
      </c>
    </row>
    <row r="10602" spans="2:7" ht="15" hidden="1" x14ac:dyDescent="0.25">
      <c r="B10602" s="4">
        <v>584759248</v>
      </c>
      <c r="C10602" s="4" t="s">
        <v>272</v>
      </c>
      <c r="D10602" s="4">
        <v>80</v>
      </c>
      <c r="E10602" s="4">
        <v>213</v>
      </c>
      <c r="G10602">
        <f t="shared" si="165"/>
        <v>1760</v>
      </c>
    </row>
    <row r="10603" spans="2:7" ht="15" hidden="1" x14ac:dyDescent="0.25">
      <c r="B10603" s="4">
        <v>584759249</v>
      </c>
      <c r="C10603" s="4" t="s">
        <v>269</v>
      </c>
      <c r="D10603" s="4">
        <v>920</v>
      </c>
      <c r="E10603" s="4">
        <v>57</v>
      </c>
      <c r="G10603">
        <f t="shared" si="165"/>
        <v>512</v>
      </c>
    </row>
    <row r="10604" spans="2:7" ht="15" hidden="1" x14ac:dyDescent="0.25">
      <c r="B10604" s="4">
        <v>584759250</v>
      </c>
      <c r="C10604" s="4" t="s">
        <v>269</v>
      </c>
      <c r="D10604" s="4">
        <v>921</v>
      </c>
      <c r="E10604" s="4">
        <v>57</v>
      </c>
      <c r="G10604">
        <f t="shared" si="165"/>
        <v>512</v>
      </c>
    </row>
    <row r="10605" spans="2:7" ht="15" hidden="1" x14ac:dyDescent="0.25">
      <c r="B10605" s="4">
        <v>584759251</v>
      </c>
      <c r="C10605" s="4" t="s">
        <v>269</v>
      </c>
      <c r="D10605" s="4">
        <v>922</v>
      </c>
      <c r="E10605" s="4">
        <v>57</v>
      </c>
      <c r="G10605">
        <f t="shared" si="165"/>
        <v>512</v>
      </c>
    </row>
    <row r="10606" spans="2:7" ht="15" hidden="1" x14ac:dyDescent="0.25">
      <c r="B10606" s="4">
        <v>584759252</v>
      </c>
      <c r="C10606" s="4" t="s">
        <v>269</v>
      </c>
      <c r="D10606" s="4">
        <v>923</v>
      </c>
      <c r="E10606" s="4">
        <v>57</v>
      </c>
      <c r="G10606">
        <f t="shared" si="165"/>
        <v>512</v>
      </c>
    </row>
    <row r="10607" spans="2:7" ht="15" hidden="1" x14ac:dyDescent="0.25">
      <c r="B10607" s="4">
        <v>584759253</v>
      </c>
      <c r="C10607" s="4" t="s">
        <v>269</v>
      </c>
      <c r="D10607" s="4">
        <v>924</v>
      </c>
      <c r="E10607" s="4">
        <v>57</v>
      </c>
      <c r="G10607">
        <f t="shared" si="165"/>
        <v>512</v>
      </c>
    </row>
    <row r="10608" spans="2:7" ht="15" hidden="1" x14ac:dyDescent="0.25">
      <c r="B10608" s="4">
        <v>584759254</v>
      </c>
      <c r="C10608" s="4" t="s">
        <v>269</v>
      </c>
      <c r="D10608" s="4">
        <v>925</v>
      </c>
      <c r="E10608" s="4">
        <v>57</v>
      </c>
      <c r="G10608">
        <f t="shared" si="165"/>
        <v>512</v>
      </c>
    </row>
    <row r="10609" spans="2:7" ht="15" hidden="1" x14ac:dyDescent="0.25">
      <c r="B10609" s="4">
        <v>584759255</v>
      </c>
      <c r="C10609" s="4" t="s">
        <v>269</v>
      </c>
      <c r="D10609" s="4">
        <v>926</v>
      </c>
      <c r="E10609" s="4">
        <v>57</v>
      </c>
      <c r="G10609">
        <f t="shared" si="165"/>
        <v>512</v>
      </c>
    </row>
    <row r="10610" spans="2:7" ht="15" hidden="1" x14ac:dyDescent="0.25">
      <c r="B10610" s="4">
        <v>584759256</v>
      </c>
      <c r="C10610" s="4" t="s">
        <v>269</v>
      </c>
      <c r="D10610" s="4">
        <v>927</v>
      </c>
      <c r="E10610" s="4">
        <v>57</v>
      </c>
      <c r="G10610">
        <f t="shared" si="165"/>
        <v>512</v>
      </c>
    </row>
    <row r="10611" spans="2:7" ht="15" hidden="1" x14ac:dyDescent="0.25">
      <c r="B10611" s="4">
        <v>584759257</v>
      </c>
      <c r="C10611" s="4" t="s">
        <v>269</v>
      </c>
      <c r="D10611" s="4">
        <v>928</v>
      </c>
      <c r="E10611" s="4">
        <v>57</v>
      </c>
      <c r="G10611">
        <f t="shared" si="165"/>
        <v>512</v>
      </c>
    </row>
    <row r="10612" spans="2:7" ht="15" hidden="1" x14ac:dyDescent="0.25">
      <c r="B10612" s="4">
        <v>584759258</v>
      </c>
      <c r="C10612" s="4" t="s">
        <v>269</v>
      </c>
      <c r="D10612" s="4">
        <v>929</v>
      </c>
      <c r="E10612" s="4">
        <v>57</v>
      </c>
      <c r="G10612">
        <f t="shared" si="165"/>
        <v>512</v>
      </c>
    </row>
    <row r="10613" spans="2:7" ht="15" hidden="1" x14ac:dyDescent="0.25">
      <c r="B10613" s="4">
        <v>584759258</v>
      </c>
      <c r="C10613" s="4" t="s">
        <v>272</v>
      </c>
      <c r="D10613" s="4">
        <v>81</v>
      </c>
      <c r="E10613" s="4">
        <v>211</v>
      </c>
      <c r="G10613">
        <f t="shared" si="165"/>
        <v>1744</v>
      </c>
    </row>
    <row r="10614" spans="2:7" ht="15" hidden="1" x14ac:dyDescent="0.25">
      <c r="B10614" s="4">
        <v>584759259</v>
      </c>
      <c r="C10614" s="4" t="s">
        <v>269</v>
      </c>
      <c r="D10614" s="4">
        <v>930</v>
      </c>
      <c r="E10614" s="4">
        <v>57</v>
      </c>
      <c r="G10614">
        <f t="shared" si="165"/>
        <v>512</v>
      </c>
    </row>
    <row r="10615" spans="2:7" ht="15" hidden="1" x14ac:dyDescent="0.25">
      <c r="B10615" s="4">
        <v>584759260</v>
      </c>
      <c r="C10615" s="4" t="s">
        <v>269</v>
      </c>
      <c r="D10615" s="4">
        <v>931</v>
      </c>
      <c r="E10615" s="4">
        <v>57</v>
      </c>
      <c r="G10615">
        <f t="shared" si="165"/>
        <v>512</v>
      </c>
    </row>
    <row r="10616" spans="2:7" ht="15" hidden="1" x14ac:dyDescent="0.25">
      <c r="B10616" s="4">
        <v>584759261</v>
      </c>
      <c r="C10616" s="4" t="s">
        <v>269</v>
      </c>
      <c r="D10616" s="4">
        <v>932</v>
      </c>
      <c r="E10616" s="4">
        <v>57</v>
      </c>
      <c r="G10616">
        <f t="shared" si="165"/>
        <v>512</v>
      </c>
    </row>
    <row r="10617" spans="2:7" ht="15" hidden="1" x14ac:dyDescent="0.25">
      <c r="B10617" s="4">
        <v>584759262</v>
      </c>
      <c r="C10617" s="4" t="s">
        <v>269</v>
      </c>
      <c r="D10617" s="4">
        <v>933</v>
      </c>
      <c r="E10617" s="4">
        <v>57</v>
      </c>
      <c r="G10617">
        <f t="shared" si="165"/>
        <v>512</v>
      </c>
    </row>
    <row r="10618" spans="2:7" ht="15" hidden="1" x14ac:dyDescent="0.25">
      <c r="B10618" s="4">
        <v>584759263</v>
      </c>
      <c r="C10618" s="4" t="s">
        <v>269</v>
      </c>
      <c r="D10618" s="4">
        <v>934</v>
      </c>
      <c r="E10618" s="4">
        <v>57</v>
      </c>
      <c r="G10618">
        <f t="shared" si="165"/>
        <v>512</v>
      </c>
    </row>
    <row r="10619" spans="2:7" ht="15" hidden="1" x14ac:dyDescent="0.25">
      <c r="B10619" s="4">
        <v>584759264</v>
      </c>
      <c r="C10619" s="4" t="s">
        <v>269</v>
      </c>
      <c r="D10619" s="4">
        <v>935</v>
      </c>
      <c r="E10619" s="4">
        <v>57</v>
      </c>
      <c r="G10619">
        <f t="shared" si="165"/>
        <v>512</v>
      </c>
    </row>
    <row r="10620" spans="2:7" ht="15" hidden="1" x14ac:dyDescent="0.25">
      <c r="B10620" s="4">
        <v>584759265</v>
      </c>
      <c r="C10620" s="4" t="s">
        <v>269</v>
      </c>
      <c r="D10620" s="4">
        <v>936</v>
      </c>
      <c r="E10620" s="4">
        <v>57</v>
      </c>
      <c r="G10620">
        <f t="shared" si="165"/>
        <v>512</v>
      </c>
    </row>
    <row r="10621" spans="2:7" ht="15" hidden="1" x14ac:dyDescent="0.25">
      <c r="B10621" s="4">
        <v>584759266</v>
      </c>
      <c r="C10621" s="4" t="s">
        <v>269</v>
      </c>
      <c r="D10621" s="4">
        <v>937</v>
      </c>
      <c r="E10621" s="4">
        <v>57</v>
      </c>
      <c r="G10621">
        <f t="shared" si="165"/>
        <v>512</v>
      </c>
    </row>
    <row r="10622" spans="2:7" ht="15" hidden="1" x14ac:dyDescent="0.25">
      <c r="B10622" s="4">
        <v>584759267</v>
      </c>
      <c r="C10622" s="4" t="s">
        <v>269</v>
      </c>
      <c r="D10622" s="4">
        <v>938</v>
      </c>
      <c r="E10622" s="4">
        <v>57</v>
      </c>
      <c r="G10622">
        <f t="shared" si="165"/>
        <v>512</v>
      </c>
    </row>
    <row r="10623" spans="2:7" ht="15" hidden="1" x14ac:dyDescent="0.25">
      <c r="B10623" s="4">
        <v>584759268</v>
      </c>
      <c r="C10623" s="4" t="s">
        <v>269</v>
      </c>
      <c r="D10623" s="4">
        <v>939</v>
      </c>
      <c r="E10623" s="4">
        <v>57</v>
      </c>
      <c r="G10623">
        <f t="shared" si="165"/>
        <v>512</v>
      </c>
    </row>
    <row r="10624" spans="2:7" ht="15" hidden="1" x14ac:dyDescent="0.25">
      <c r="B10624" s="4">
        <v>584759268</v>
      </c>
      <c r="C10624" s="4" t="s">
        <v>272</v>
      </c>
      <c r="D10624" s="4">
        <v>82</v>
      </c>
      <c r="E10624" s="4">
        <v>211</v>
      </c>
      <c r="G10624">
        <f t="shared" si="165"/>
        <v>1744</v>
      </c>
    </row>
    <row r="10625" spans="2:7" ht="15" hidden="1" x14ac:dyDescent="0.25">
      <c r="B10625" s="4">
        <v>584759269</v>
      </c>
      <c r="C10625" s="4" t="s">
        <v>269</v>
      </c>
      <c r="D10625" s="4">
        <v>940</v>
      </c>
      <c r="E10625" s="4">
        <v>57</v>
      </c>
      <c r="G10625">
        <f t="shared" si="165"/>
        <v>512</v>
      </c>
    </row>
    <row r="10626" spans="2:7" ht="15" hidden="1" x14ac:dyDescent="0.25">
      <c r="B10626" s="4">
        <v>584759270</v>
      </c>
      <c r="C10626" s="4" t="s">
        <v>269</v>
      </c>
      <c r="D10626" s="4">
        <v>941</v>
      </c>
      <c r="E10626" s="4">
        <v>57</v>
      </c>
      <c r="G10626">
        <f t="shared" si="165"/>
        <v>512</v>
      </c>
    </row>
    <row r="10627" spans="2:7" ht="15" hidden="1" x14ac:dyDescent="0.25">
      <c r="B10627" s="4">
        <v>584759271</v>
      </c>
      <c r="C10627" s="4" t="s">
        <v>269</v>
      </c>
      <c r="D10627" s="4">
        <v>942</v>
      </c>
      <c r="E10627" s="4">
        <v>57</v>
      </c>
      <c r="G10627">
        <f t="shared" si="165"/>
        <v>512</v>
      </c>
    </row>
    <row r="10628" spans="2:7" ht="15" hidden="1" x14ac:dyDescent="0.25">
      <c r="B10628" s="4">
        <v>584759272</v>
      </c>
      <c r="C10628" s="4" t="s">
        <v>269</v>
      </c>
      <c r="D10628" s="4">
        <v>943</v>
      </c>
      <c r="E10628" s="4">
        <v>57</v>
      </c>
      <c r="G10628">
        <f t="shared" ref="G10628:G10691" si="166">(E10628+7)*8</f>
        <v>512</v>
      </c>
    </row>
    <row r="10629" spans="2:7" ht="15" hidden="1" x14ac:dyDescent="0.25">
      <c r="B10629" s="4">
        <v>584759273</v>
      </c>
      <c r="C10629" s="4" t="s">
        <v>269</v>
      </c>
      <c r="D10629" s="4">
        <v>944</v>
      </c>
      <c r="E10629" s="4">
        <v>57</v>
      </c>
      <c r="G10629">
        <f t="shared" si="166"/>
        <v>512</v>
      </c>
    </row>
    <row r="10630" spans="2:7" ht="15" hidden="1" x14ac:dyDescent="0.25">
      <c r="B10630" s="4">
        <v>584759274</v>
      </c>
      <c r="C10630" s="4" t="s">
        <v>269</v>
      </c>
      <c r="D10630" s="4">
        <v>945</v>
      </c>
      <c r="E10630" s="4">
        <v>57</v>
      </c>
      <c r="G10630">
        <f t="shared" si="166"/>
        <v>512</v>
      </c>
    </row>
    <row r="10631" spans="2:7" ht="15" hidden="1" x14ac:dyDescent="0.25">
      <c r="B10631" s="4">
        <v>584759275</v>
      </c>
      <c r="C10631" s="4" t="s">
        <v>269</v>
      </c>
      <c r="D10631" s="4">
        <v>946</v>
      </c>
      <c r="E10631" s="4">
        <v>57</v>
      </c>
      <c r="G10631">
        <f t="shared" si="166"/>
        <v>512</v>
      </c>
    </row>
    <row r="10632" spans="2:7" ht="15" hidden="1" x14ac:dyDescent="0.25">
      <c r="B10632" s="4">
        <v>584759276</v>
      </c>
      <c r="C10632" s="4" t="s">
        <v>269</v>
      </c>
      <c r="D10632" s="4">
        <v>947</v>
      </c>
      <c r="E10632" s="4">
        <v>57</v>
      </c>
      <c r="G10632">
        <f t="shared" si="166"/>
        <v>512</v>
      </c>
    </row>
    <row r="10633" spans="2:7" ht="15" hidden="1" x14ac:dyDescent="0.25">
      <c r="B10633" s="4">
        <v>584759277</v>
      </c>
      <c r="C10633" s="4" t="s">
        <v>269</v>
      </c>
      <c r="D10633" s="4">
        <v>948</v>
      </c>
      <c r="E10633" s="4">
        <v>57</v>
      </c>
      <c r="G10633">
        <f t="shared" si="166"/>
        <v>512</v>
      </c>
    </row>
    <row r="10634" spans="2:7" ht="15" hidden="1" x14ac:dyDescent="0.25">
      <c r="B10634" s="4">
        <v>584759278</v>
      </c>
      <c r="C10634" s="4" t="s">
        <v>269</v>
      </c>
      <c r="D10634" s="4">
        <v>949</v>
      </c>
      <c r="E10634" s="4">
        <v>57</v>
      </c>
      <c r="G10634">
        <f t="shared" si="166"/>
        <v>512</v>
      </c>
    </row>
    <row r="10635" spans="2:7" ht="15" hidden="1" x14ac:dyDescent="0.25">
      <c r="B10635" s="4">
        <v>584759278</v>
      </c>
      <c r="C10635" s="4" t="s">
        <v>272</v>
      </c>
      <c r="D10635" s="4">
        <v>83</v>
      </c>
      <c r="E10635" s="4">
        <v>211</v>
      </c>
      <c r="G10635">
        <f t="shared" si="166"/>
        <v>1744</v>
      </c>
    </row>
    <row r="10636" spans="2:7" ht="15" hidden="1" x14ac:dyDescent="0.25">
      <c r="B10636" s="4">
        <v>584759279</v>
      </c>
      <c r="C10636" s="4" t="s">
        <v>269</v>
      </c>
      <c r="D10636" s="4">
        <v>950</v>
      </c>
      <c r="E10636" s="4">
        <v>57</v>
      </c>
      <c r="G10636">
        <f t="shared" si="166"/>
        <v>512</v>
      </c>
    </row>
    <row r="10637" spans="2:7" ht="15" hidden="1" x14ac:dyDescent="0.25">
      <c r="B10637" s="4">
        <v>584759280</v>
      </c>
      <c r="C10637" s="4" t="s">
        <v>269</v>
      </c>
      <c r="D10637" s="4">
        <v>951</v>
      </c>
      <c r="E10637" s="4">
        <v>57</v>
      </c>
      <c r="G10637">
        <f t="shared" si="166"/>
        <v>512</v>
      </c>
    </row>
    <row r="10638" spans="2:7" ht="15" hidden="1" x14ac:dyDescent="0.25">
      <c r="B10638" s="4">
        <v>584759281</v>
      </c>
      <c r="C10638" s="4" t="s">
        <v>269</v>
      </c>
      <c r="D10638" s="4">
        <v>952</v>
      </c>
      <c r="E10638" s="4">
        <v>57</v>
      </c>
      <c r="G10638">
        <f t="shared" si="166"/>
        <v>512</v>
      </c>
    </row>
    <row r="10639" spans="2:7" ht="15" hidden="1" x14ac:dyDescent="0.25">
      <c r="B10639" s="4">
        <v>584759282</v>
      </c>
      <c r="C10639" s="4" t="s">
        <v>269</v>
      </c>
      <c r="D10639" s="4">
        <v>953</v>
      </c>
      <c r="E10639" s="4">
        <v>57</v>
      </c>
      <c r="G10639">
        <f t="shared" si="166"/>
        <v>512</v>
      </c>
    </row>
    <row r="10640" spans="2:7" ht="15" hidden="1" x14ac:dyDescent="0.25">
      <c r="B10640" s="4">
        <v>584759283</v>
      </c>
      <c r="C10640" s="4" t="s">
        <v>269</v>
      </c>
      <c r="D10640" s="4">
        <v>954</v>
      </c>
      <c r="E10640" s="4">
        <v>57</v>
      </c>
      <c r="G10640">
        <f t="shared" si="166"/>
        <v>512</v>
      </c>
    </row>
    <row r="10641" spans="2:7" ht="15" hidden="1" x14ac:dyDescent="0.25">
      <c r="B10641" s="4">
        <v>584759284</v>
      </c>
      <c r="C10641" s="4" t="s">
        <v>269</v>
      </c>
      <c r="D10641" s="4">
        <v>955</v>
      </c>
      <c r="E10641" s="4">
        <v>57</v>
      </c>
      <c r="G10641">
        <f t="shared" si="166"/>
        <v>512</v>
      </c>
    </row>
    <row r="10642" spans="2:7" ht="15" hidden="1" x14ac:dyDescent="0.25">
      <c r="B10642" s="4">
        <v>584759285</v>
      </c>
      <c r="C10642" s="4" t="s">
        <v>269</v>
      </c>
      <c r="D10642" s="4">
        <v>956</v>
      </c>
      <c r="E10642" s="4">
        <v>57</v>
      </c>
      <c r="G10642">
        <f t="shared" si="166"/>
        <v>512</v>
      </c>
    </row>
    <row r="10643" spans="2:7" ht="15" hidden="1" x14ac:dyDescent="0.25">
      <c r="B10643" s="4">
        <v>584759286</v>
      </c>
      <c r="C10643" s="4" t="s">
        <v>269</v>
      </c>
      <c r="D10643" s="4">
        <v>957</v>
      </c>
      <c r="E10643" s="4">
        <v>57</v>
      </c>
      <c r="G10643">
        <f t="shared" si="166"/>
        <v>512</v>
      </c>
    </row>
    <row r="10644" spans="2:7" ht="15" hidden="1" x14ac:dyDescent="0.25">
      <c r="B10644" s="4">
        <v>584759287</v>
      </c>
      <c r="C10644" s="4" t="s">
        <v>269</v>
      </c>
      <c r="D10644" s="4">
        <v>958</v>
      </c>
      <c r="E10644" s="4">
        <v>57</v>
      </c>
      <c r="G10644">
        <f t="shared" si="166"/>
        <v>512</v>
      </c>
    </row>
    <row r="10645" spans="2:7" ht="15" hidden="1" x14ac:dyDescent="0.25">
      <c r="B10645" s="4">
        <v>584759288</v>
      </c>
      <c r="C10645" s="4" t="s">
        <v>269</v>
      </c>
      <c r="D10645" s="4">
        <v>959</v>
      </c>
      <c r="E10645" s="4">
        <v>57</v>
      </c>
      <c r="G10645">
        <f t="shared" si="166"/>
        <v>512</v>
      </c>
    </row>
    <row r="10646" spans="2:7" ht="15" hidden="1" x14ac:dyDescent="0.25">
      <c r="B10646" s="4">
        <v>584759288</v>
      </c>
      <c r="C10646" s="4" t="s">
        <v>272</v>
      </c>
      <c r="D10646" s="4">
        <v>84</v>
      </c>
      <c r="E10646" s="4">
        <v>213</v>
      </c>
      <c r="G10646">
        <f t="shared" si="166"/>
        <v>1760</v>
      </c>
    </row>
    <row r="10647" spans="2:7" ht="15" hidden="1" x14ac:dyDescent="0.25">
      <c r="B10647" s="4">
        <v>584759289</v>
      </c>
      <c r="C10647" s="4" t="s">
        <v>269</v>
      </c>
      <c r="D10647" s="4">
        <v>960</v>
      </c>
      <c r="E10647" s="4">
        <v>57</v>
      </c>
      <c r="G10647">
        <f t="shared" si="166"/>
        <v>512</v>
      </c>
    </row>
    <row r="10648" spans="2:7" ht="15" hidden="1" x14ac:dyDescent="0.25">
      <c r="B10648" s="4">
        <v>584759290</v>
      </c>
      <c r="C10648" s="4" t="s">
        <v>269</v>
      </c>
      <c r="D10648" s="4">
        <v>961</v>
      </c>
      <c r="E10648" s="4">
        <v>57</v>
      </c>
      <c r="G10648">
        <f t="shared" si="166"/>
        <v>512</v>
      </c>
    </row>
    <row r="10649" spans="2:7" ht="15" hidden="1" x14ac:dyDescent="0.25">
      <c r="B10649" s="4">
        <v>584759291</v>
      </c>
      <c r="C10649" s="4" t="s">
        <v>269</v>
      </c>
      <c r="D10649" s="4">
        <v>962</v>
      </c>
      <c r="E10649" s="4">
        <v>57</v>
      </c>
      <c r="G10649">
        <f t="shared" si="166"/>
        <v>512</v>
      </c>
    </row>
    <row r="10650" spans="2:7" ht="15" hidden="1" x14ac:dyDescent="0.25">
      <c r="B10650" s="4">
        <v>584759292</v>
      </c>
      <c r="C10650" s="4" t="s">
        <v>269</v>
      </c>
      <c r="D10650" s="4">
        <v>963</v>
      </c>
      <c r="E10650" s="4">
        <v>57</v>
      </c>
      <c r="G10650">
        <f t="shared" si="166"/>
        <v>512</v>
      </c>
    </row>
    <row r="10651" spans="2:7" ht="15" hidden="1" x14ac:dyDescent="0.25">
      <c r="B10651" s="4">
        <v>584759293</v>
      </c>
      <c r="C10651" s="4" t="s">
        <v>269</v>
      </c>
      <c r="D10651" s="4">
        <v>964</v>
      </c>
      <c r="E10651" s="4">
        <v>57</v>
      </c>
      <c r="G10651">
        <f t="shared" si="166"/>
        <v>512</v>
      </c>
    </row>
    <row r="10652" spans="2:7" ht="15" hidden="1" x14ac:dyDescent="0.25">
      <c r="B10652" s="4">
        <v>584759294</v>
      </c>
      <c r="C10652" s="4" t="s">
        <v>269</v>
      </c>
      <c r="D10652" s="4">
        <v>965</v>
      </c>
      <c r="E10652" s="4">
        <v>57</v>
      </c>
      <c r="G10652">
        <f t="shared" si="166"/>
        <v>512</v>
      </c>
    </row>
    <row r="10653" spans="2:7" ht="15" hidden="1" x14ac:dyDescent="0.25">
      <c r="B10653" s="4">
        <v>584759295</v>
      </c>
      <c r="C10653" s="4" t="s">
        <v>269</v>
      </c>
      <c r="D10653" s="4">
        <v>966</v>
      </c>
      <c r="E10653" s="4">
        <v>57</v>
      </c>
      <c r="G10653">
        <f t="shared" si="166"/>
        <v>512</v>
      </c>
    </row>
    <row r="10654" spans="2:7" ht="15" hidden="1" x14ac:dyDescent="0.25">
      <c r="B10654" s="4">
        <v>584759296</v>
      </c>
      <c r="C10654" s="4" t="s">
        <v>269</v>
      </c>
      <c r="D10654" s="4">
        <v>967</v>
      </c>
      <c r="E10654" s="4">
        <v>57</v>
      </c>
      <c r="G10654">
        <f t="shared" si="166"/>
        <v>512</v>
      </c>
    </row>
    <row r="10655" spans="2:7" ht="15" hidden="1" x14ac:dyDescent="0.25">
      <c r="B10655" s="4">
        <v>584759297</v>
      </c>
      <c r="C10655" s="4" t="s">
        <v>269</v>
      </c>
      <c r="D10655" s="4">
        <v>968</v>
      </c>
      <c r="E10655" s="4">
        <v>57</v>
      </c>
      <c r="G10655">
        <f t="shared" si="166"/>
        <v>512</v>
      </c>
    </row>
    <row r="10656" spans="2:7" ht="15" hidden="1" x14ac:dyDescent="0.25">
      <c r="B10656" s="4">
        <v>584759298</v>
      </c>
      <c r="C10656" s="4" t="s">
        <v>269</v>
      </c>
      <c r="D10656" s="4">
        <v>969</v>
      </c>
      <c r="E10656" s="4">
        <v>57</v>
      </c>
      <c r="G10656">
        <f t="shared" si="166"/>
        <v>512</v>
      </c>
    </row>
    <row r="10657" spans="2:7" ht="15" hidden="1" x14ac:dyDescent="0.25">
      <c r="B10657" s="4">
        <v>584759298</v>
      </c>
      <c r="C10657" s="4" t="s">
        <v>272</v>
      </c>
      <c r="D10657" s="4">
        <v>85</v>
      </c>
      <c r="E10657" s="4">
        <v>211</v>
      </c>
      <c r="G10657">
        <f t="shared" si="166"/>
        <v>1744</v>
      </c>
    </row>
    <row r="10658" spans="2:7" ht="15" hidden="1" x14ac:dyDescent="0.25">
      <c r="B10658" s="4">
        <v>584759299</v>
      </c>
      <c r="C10658" s="4" t="s">
        <v>269</v>
      </c>
      <c r="D10658" s="4">
        <v>970</v>
      </c>
      <c r="E10658" s="4">
        <v>57</v>
      </c>
      <c r="G10658">
        <f t="shared" si="166"/>
        <v>512</v>
      </c>
    </row>
    <row r="10659" spans="2:7" ht="15" hidden="1" x14ac:dyDescent="0.25">
      <c r="B10659" s="4">
        <v>584759300</v>
      </c>
      <c r="C10659" s="4" t="s">
        <v>269</v>
      </c>
      <c r="D10659" s="4">
        <v>971</v>
      </c>
      <c r="E10659" s="4">
        <v>57</v>
      </c>
      <c r="G10659">
        <f t="shared" si="166"/>
        <v>512</v>
      </c>
    </row>
    <row r="10660" spans="2:7" ht="15" hidden="1" x14ac:dyDescent="0.25">
      <c r="B10660" s="4">
        <v>584759301</v>
      </c>
      <c r="C10660" s="4" t="s">
        <v>269</v>
      </c>
      <c r="D10660" s="4">
        <v>972</v>
      </c>
      <c r="E10660" s="4">
        <v>57</v>
      </c>
      <c r="G10660">
        <f t="shared" si="166"/>
        <v>512</v>
      </c>
    </row>
    <row r="10661" spans="2:7" ht="15" hidden="1" x14ac:dyDescent="0.25">
      <c r="B10661" s="4">
        <v>584759302</v>
      </c>
      <c r="C10661" s="4" t="s">
        <v>269</v>
      </c>
      <c r="D10661" s="4">
        <v>973</v>
      </c>
      <c r="E10661" s="4">
        <v>57</v>
      </c>
      <c r="G10661">
        <f t="shared" si="166"/>
        <v>512</v>
      </c>
    </row>
    <row r="10662" spans="2:7" ht="15" hidden="1" x14ac:dyDescent="0.25">
      <c r="B10662" s="4">
        <v>584759303</v>
      </c>
      <c r="C10662" s="4" t="s">
        <v>269</v>
      </c>
      <c r="D10662" s="4">
        <v>974</v>
      </c>
      <c r="E10662" s="4">
        <v>57</v>
      </c>
      <c r="G10662">
        <f t="shared" si="166"/>
        <v>512</v>
      </c>
    </row>
    <row r="10663" spans="2:7" ht="15" hidden="1" x14ac:dyDescent="0.25">
      <c r="B10663" s="4">
        <v>584759304</v>
      </c>
      <c r="C10663" s="4" t="s">
        <v>269</v>
      </c>
      <c r="D10663" s="4">
        <v>975</v>
      </c>
      <c r="E10663" s="4">
        <v>57</v>
      </c>
      <c r="G10663">
        <f t="shared" si="166"/>
        <v>512</v>
      </c>
    </row>
    <row r="10664" spans="2:7" ht="15" hidden="1" x14ac:dyDescent="0.25">
      <c r="B10664" s="4">
        <v>584759305</v>
      </c>
      <c r="C10664" s="4" t="s">
        <v>269</v>
      </c>
      <c r="D10664" s="4">
        <v>976</v>
      </c>
      <c r="E10664" s="4">
        <v>57</v>
      </c>
      <c r="G10664">
        <f t="shared" si="166"/>
        <v>512</v>
      </c>
    </row>
    <row r="10665" spans="2:7" ht="15" hidden="1" x14ac:dyDescent="0.25">
      <c r="B10665" s="4">
        <v>584759306</v>
      </c>
      <c r="C10665" s="4" t="s">
        <v>269</v>
      </c>
      <c r="D10665" s="4">
        <v>977</v>
      </c>
      <c r="E10665" s="4">
        <v>57</v>
      </c>
      <c r="G10665">
        <f t="shared" si="166"/>
        <v>512</v>
      </c>
    </row>
    <row r="10666" spans="2:7" ht="15" hidden="1" x14ac:dyDescent="0.25">
      <c r="B10666" s="4">
        <v>584759307</v>
      </c>
      <c r="C10666" s="4" t="s">
        <v>269</v>
      </c>
      <c r="D10666" s="4">
        <v>978</v>
      </c>
      <c r="E10666" s="4">
        <v>57</v>
      </c>
      <c r="G10666">
        <f t="shared" si="166"/>
        <v>512</v>
      </c>
    </row>
    <row r="10667" spans="2:7" ht="15" hidden="1" x14ac:dyDescent="0.25">
      <c r="B10667" s="4">
        <v>584759308</v>
      </c>
      <c r="C10667" s="4" t="s">
        <v>269</v>
      </c>
      <c r="D10667" s="4">
        <v>979</v>
      </c>
      <c r="E10667" s="4">
        <v>57</v>
      </c>
      <c r="G10667">
        <f t="shared" si="166"/>
        <v>512</v>
      </c>
    </row>
    <row r="10668" spans="2:7" ht="15" hidden="1" x14ac:dyDescent="0.25">
      <c r="B10668" s="4">
        <v>584759308</v>
      </c>
      <c r="C10668" s="4" t="s">
        <v>272</v>
      </c>
      <c r="D10668" s="4">
        <v>86</v>
      </c>
      <c r="E10668" s="4">
        <v>211</v>
      </c>
      <c r="G10668">
        <f t="shared" si="166"/>
        <v>1744</v>
      </c>
    </row>
    <row r="10669" spans="2:7" ht="15" hidden="1" x14ac:dyDescent="0.25">
      <c r="B10669" s="4">
        <v>584759309</v>
      </c>
      <c r="C10669" s="4" t="s">
        <v>269</v>
      </c>
      <c r="D10669" s="4">
        <v>980</v>
      </c>
      <c r="E10669" s="4">
        <v>57</v>
      </c>
      <c r="G10669">
        <f t="shared" si="166"/>
        <v>512</v>
      </c>
    </row>
    <row r="10670" spans="2:7" ht="15" hidden="1" x14ac:dyDescent="0.25">
      <c r="B10670" s="4">
        <v>584759310</v>
      </c>
      <c r="C10670" s="4" t="s">
        <v>269</v>
      </c>
      <c r="D10670" s="4">
        <v>981</v>
      </c>
      <c r="E10670" s="4">
        <v>57</v>
      </c>
      <c r="G10670">
        <f t="shared" si="166"/>
        <v>512</v>
      </c>
    </row>
    <row r="10671" spans="2:7" ht="15" hidden="1" x14ac:dyDescent="0.25">
      <c r="B10671" s="4">
        <v>584759311</v>
      </c>
      <c r="C10671" s="4" t="s">
        <v>269</v>
      </c>
      <c r="D10671" s="4">
        <v>982</v>
      </c>
      <c r="E10671" s="4">
        <v>57</v>
      </c>
      <c r="G10671">
        <f t="shared" si="166"/>
        <v>512</v>
      </c>
    </row>
    <row r="10672" spans="2:7" ht="15" hidden="1" x14ac:dyDescent="0.25">
      <c r="B10672" s="4">
        <v>584759312</v>
      </c>
      <c r="C10672" s="4" t="s">
        <v>269</v>
      </c>
      <c r="D10672" s="4">
        <v>983</v>
      </c>
      <c r="E10672" s="4">
        <v>57</v>
      </c>
      <c r="G10672">
        <f t="shared" si="166"/>
        <v>512</v>
      </c>
    </row>
    <row r="10673" spans="2:7" ht="15" hidden="1" x14ac:dyDescent="0.25">
      <c r="B10673" s="4">
        <v>584759313</v>
      </c>
      <c r="C10673" s="4" t="s">
        <v>269</v>
      </c>
      <c r="D10673" s="4">
        <v>984</v>
      </c>
      <c r="E10673" s="4">
        <v>57</v>
      </c>
      <c r="G10673">
        <f t="shared" si="166"/>
        <v>512</v>
      </c>
    </row>
    <row r="10674" spans="2:7" ht="15" hidden="1" x14ac:dyDescent="0.25">
      <c r="B10674" s="4">
        <v>584759314</v>
      </c>
      <c r="C10674" s="4" t="s">
        <v>269</v>
      </c>
      <c r="D10674" s="4">
        <v>985</v>
      </c>
      <c r="E10674" s="4">
        <v>57</v>
      </c>
      <c r="G10674">
        <f t="shared" si="166"/>
        <v>512</v>
      </c>
    </row>
    <row r="10675" spans="2:7" ht="15" hidden="1" x14ac:dyDescent="0.25">
      <c r="B10675" s="4">
        <v>584759315</v>
      </c>
      <c r="C10675" s="4" t="s">
        <v>269</v>
      </c>
      <c r="D10675" s="4">
        <v>986</v>
      </c>
      <c r="E10675" s="4">
        <v>57</v>
      </c>
      <c r="G10675">
        <f t="shared" si="166"/>
        <v>512</v>
      </c>
    </row>
    <row r="10676" spans="2:7" ht="15" hidden="1" x14ac:dyDescent="0.25">
      <c r="B10676" s="4">
        <v>584759316</v>
      </c>
      <c r="C10676" s="4" t="s">
        <v>269</v>
      </c>
      <c r="D10676" s="4">
        <v>987</v>
      </c>
      <c r="E10676" s="4">
        <v>57</v>
      </c>
      <c r="G10676">
        <f t="shared" si="166"/>
        <v>512</v>
      </c>
    </row>
    <row r="10677" spans="2:7" ht="15" hidden="1" x14ac:dyDescent="0.25">
      <c r="B10677" s="4">
        <v>584759317</v>
      </c>
      <c r="C10677" s="4" t="s">
        <v>269</v>
      </c>
      <c r="D10677" s="4">
        <v>988</v>
      </c>
      <c r="E10677" s="4">
        <v>57</v>
      </c>
      <c r="G10677">
        <f t="shared" si="166"/>
        <v>512</v>
      </c>
    </row>
    <row r="10678" spans="2:7" ht="15" hidden="1" x14ac:dyDescent="0.25">
      <c r="B10678" s="4">
        <v>584759318</v>
      </c>
      <c r="C10678" s="4" t="s">
        <v>269</v>
      </c>
      <c r="D10678" s="4">
        <v>989</v>
      </c>
      <c r="E10678" s="4">
        <v>57</v>
      </c>
      <c r="G10678">
        <f t="shared" si="166"/>
        <v>512</v>
      </c>
    </row>
    <row r="10679" spans="2:7" ht="15" hidden="1" x14ac:dyDescent="0.25">
      <c r="B10679" s="4">
        <v>584759318</v>
      </c>
      <c r="C10679" s="4" t="s">
        <v>272</v>
      </c>
      <c r="D10679" s="4">
        <v>87</v>
      </c>
      <c r="E10679" s="4">
        <v>213</v>
      </c>
      <c r="G10679">
        <f t="shared" si="166"/>
        <v>1760</v>
      </c>
    </row>
    <row r="10680" spans="2:7" ht="15" hidden="1" x14ac:dyDescent="0.25">
      <c r="B10680" s="4">
        <v>584759319</v>
      </c>
      <c r="C10680" s="4" t="s">
        <v>269</v>
      </c>
      <c r="D10680" s="4">
        <v>990</v>
      </c>
      <c r="E10680" s="4">
        <v>57</v>
      </c>
      <c r="G10680">
        <f t="shared" si="166"/>
        <v>512</v>
      </c>
    </row>
    <row r="10681" spans="2:7" ht="15" hidden="1" x14ac:dyDescent="0.25">
      <c r="B10681" s="4">
        <v>584759320</v>
      </c>
      <c r="C10681" s="4" t="s">
        <v>269</v>
      </c>
      <c r="D10681" s="4">
        <v>991</v>
      </c>
      <c r="E10681" s="4">
        <v>57</v>
      </c>
      <c r="G10681">
        <f t="shared" si="166"/>
        <v>512</v>
      </c>
    </row>
    <row r="10682" spans="2:7" ht="15" hidden="1" x14ac:dyDescent="0.25">
      <c r="B10682" s="4">
        <v>584759321</v>
      </c>
      <c r="C10682" s="4" t="s">
        <v>269</v>
      </c>
      <c r="D10682" s="4">
        <v>992</v>
      </c>
      <c r="E10682" s="4">
        <v>57</v>
      </c>
      <c r="G10682">
        <f t="shared" si="166"/>
        <v>512</v>
      </c>
    </row>
    <row r="10683" spans="2:7" ht="15" hidden="1" x14ac:dyDescent="0.25">
      <c r="B10683" s="4">
        <v>584759322</v>
      </c>
      <c r="C10683" s="4" t="s">
        <v>269</v>
      </c>
      <c r="D10683" s="4">
        <v>993</v>
      </c>
      <c r="E10683" s="4">
        <v>57</v>
      </c>
      <c r="G10683">
        <f t="shared" si="166"/>
        <v>512</v>
      </c>
    </row>
    <row r="10684" spans="2:7" ht="15" hidden="1" x14ac:dyDescent="0.25">
      <c r="B10684" s="4">
        <v>584759323</v>
      </c>
      <c r="C10684" s="4" t="s">
        <v>269</v>
      </c>
      <c r="D10684" s="4">
        <v>994</v>
      </c>
      <c r="E10684" s="4">
        <v>57</v>
      </c>
      <c r="G10684">
        <f t="shared" si="166"/>
        <v>512</v>
      </c>
    </row>
    <row r="10685" spans="2:7" ht="15" hidden="1" x14ac:dyDescent="0.25">
      <c r="B10685" s="4">
        <v>584759324</v>
      </c>
      <c r="C10685" s="4" t="s">
        <v>269</v>
      </c>
      <c r="D10685" s="4">
        <v>995</v>
      </c>
      <c r="E10685" s="4">
        <v>57</v>
      </c>
      <c r="G10685">
        <f t="shared" si="166"/>
        <v>512</v>
      </c>
    </row>
    <row r="10686" spans="2:7" ht="15" hidden="1" x14ac:dyDescent="0.25">
      <c r="B10686" s="4">
        <v>584759325</v>
      </c>
      <c r="C10686" s="4" t="s">
        <v>269</v>
      </c>
      <c r="D10686" s="4">
        <v>996</v>
      </c>
      <c r="E10686" s="4">
        <v>57</v>
      </c>
      <c r="G10686">
        <f t="shared" si="166"/>
        <v>512</v>
      </c>
    </row>
    <row r="10687" spans="2:7" ht="15" hidden="1" x14ac:dyDescent="0.25">
      <c r="B10687" s="4">
        <v>584759326</v>
      </c>
      <c r="C10687" s="4" t="s">
        <v>269</v>
      </c>
      <c r="D10687" s="4">
        <v>997</v>
      </c>
      <c r="E10687" s="4">
        <v>57</v>
      </c>
      <c r="G10687">
        <f t="shared" si="166"/>
        <v>512</v>
      </c>
    </row>
    <row r="10688" spans="2:7" ht="15" hidden="1" x14ac:dyDescent="0.25">
      <c r="B10688" s="4">
        <v>584759327</v>
      </c>
      <c r="C10688" s="4" t="s">
        <v>269</v>
      </c>
      <c r="D10688" s="4">
        <v>998</v>
      </c>
      <c r="E10688" s="4">
        <v>57</v>
      </c>
      <c r="G10688">
        <f t="shared" si="166"/>
        <v>512</v>
      </c>
    </row>
    <row r="10689" spans="2:7" ht="15" hidden="1" x14ac:dyDescent="0.25">
      <c r="B10689" s="4">
        <v>584759328</v>
      </c>
      <c r="C10689" s="4" t="s">
        <v>269</v>
      </c>
      <c r="D10689" s="4">
        <v>999</v>
      </c>
      <c r="E10689" s="4">
        <v>57</v>
      </c>
      <c r="G10689">
        <f t="shared" si="166"/>
        <v>512</v>
      </c>
    </row>
    <row r="10690" spans="2:7" ht="15" hidden="1" x14ac:dyDescent="0.25">
      <c r="B10690" s="4">
        <v>584759328</v>
      </c>
      <c r="C10690" s="4" t="s">
        <v>272</v>
      </c>
      <c r="D10690" s="4">
        <v>88</v>
      </c>
      <c r="E10690" s="4">
        <v>211</v>
      </c>
      <c r="G10690">
        <f t="shared" si="166"/>
        <v>1744</v>
      </c>
    </row>
    <row r="10691" spans="2:7" ht="15" hidden="1" x14ac:dyDescent="0.25">
      <c r="B10691" s="4">
        <v>584759329</v>
      </c>
      <c r="C10691" s="4" t="s">
        <v>269</v>
      </c>
      <c r="D10691" s="4">
        <v>1000</v>
      </c>
      <c r="E10691" s="4">
        <v>57</v>
      </c>
      <c r="G10691">
        <f t="shared" si="166"/>
        <v>512</v>
      </c>
    </row>
    <row r="10692" spans="2:7" ht="15" hidden="1" x14ac:dyDescent="0.25">
      <c r="B10692" s="4">
        <v>584759330</v>
      </c>
      <c r="C10692" s="4" t="s">
        <v>268</v>
      </c>
      <c r="D10692" s="4">
        <v>242</v>
      </c>
      <c r="E10692" s="4">
        <v>6</v>
      </c>
      <c r="G10692">
        <f t="shared" ref="G10692:G10755" si="167">(E10692+7)*8</f>
        <v>104</v>
      </c>
    </row>
    <row r="10693" spans="2:7" ht="15" hidden="1" x14ac:dyDescent="0.25">
      <c r="B10693" s="4">
        <v>584759330</v>
      </c>
      <c r="C10693" s="4" t="s">
        <v>268</v>
      </c>
      <c r="D10693" s="4">
        <v>242</v>
      </c>
      <c r="E10693" s="4">
        <v>6</v>
      </c>
      <c r="G10693">
        <f t="shared" si="167"/>
        <v>104</v>
      </c>
    </row>
    <row r="10694" spans="2:7" ht="15" hidden="1" x14ac:dyDescent="0.25">
      <c r="B10694" s="4">
        <v>584759330</v>
      </c>
      <c r="C10694" s="4" t="s">
        <v>268</v>
      </c>
      <c r="D10694" s="4">
        <v>243</v>
      </c>
      <c r="E10694" s="4">
        <v>9</v>
      </c>
      <c r="G10694">
        <f t="shared" si="167"/>
        <v>128</v>
      </c>
    </row>
    <row r="10695" spans="2:7" ht="15" hidden="1" x14ac:dyDescent="0.25">
      <c r="B10695" s="4">
        <v>584759330</v>
      </c>
      <c r="C10695" s="4" t="s">
        <v>268</v>
      </c>
      <c r="D10695" s="4">
        <v>243</v>
      </c>
      <c r="E10695" s="4">
        <v>9</v>
      </c>
      <c r="G10695">
        <f t="shared" si="167"/>
        <v>128</v>
      </c>
    </row>
    <row r="10696" spans="2:7" ht="15" hidden="1" x14ac:dyDescent="0.25">
      <c r="B10696" s="4">
        <v>584759330</v>
      </c>
      <c r="C10696" s="4" t="s">
        <v>268</v>
      </c>
      <c r="D10696" s="4">
        <v>244</v>
      </c>
      <c r="E10696" s="4">
        <v>7</v>
      </c>
      <c r="G10696">
        <f t="shared" si="167"/>
        <v>112</v>
      </c>
    </row>
    <row r="10697" spans="2:7" ht="15" hidden="1" x14ac:dyDescent="0.25">
      <c r="B10697" s="4">
        <v>584759330</v>
      </c>
      <c r="C10697" s="4" t="s">
        <v>268</v>
      </c>
      <c r="D10697" s="4">
        <v>244</v>
      </c>
      <c r="E10697" s="4">
        <v>7</v>
      </c>
      <c r="G10697">
        <f t="shared" si="167"/>
        <v>112</v>
      </c>
    </row>
    <row r="10698" spans="2:7" ht="15" hidden="1" x14ac:dyDescent="0.25">
      <c r="B10698" s="4">
        <v>584759330</v>
      </c>
      <c r="C10698" s="4" t="s">
        <v>268</v>
      </c>
      <c r="D10698" s="4">
        <v>245</v>
      </c>
      <c r="E10698" s="4">
        <v>7</v>
      </c>
      <c r="G10698">
        <f t="shared" si="167"/>
        <v>112</v>
      </c>
    </row>
    <row r="10699" spans="2:7" ht="15" hidden="1" x14ac:dyDescent="0.25">
      <c r="B10699" s="4">
        <v>584759330</v>
      </c>
      <c r="C10699" s="4" t="s">
        <v>268</v>
      </c>
      <c r="D10699" s="4">
        <v>245</v>
      </c>
      <c r="E10699" s="4">
        <v>7</v>
      </c>
      <c r="G10699">
        <f t="shared" si="167"/>
        <v>112</v>
      </c>
    </row>
    <row r="10700" spans="2:7" ht="15" hidden="1" x14ac:dyDescent="0.25">
      <c r="B10700" s="4">
        <v>584759330</v>
      </c>
      <c r="C10700" s="4" t="s">
        <v>268</v>
      </c>
      <c r="D10700" s="4">
        <v>246</v>
      </c>
      <c r="E10700" s="4">
        <v>7</v>
      </c>
      <c r="G10700">
        <f t="shared" si="167"/>
        <v>112</v>
      </c>
    </row>
    <row r="10701" spans="2:7" ht="15" hidden="1" x14ac:dyDescent="0.25">
      <c r="B10701" s="4">
        <v>584759330</v>
      </c>
      <c r="C10701" s="4" t="s">
        <v>268</v>
      </c>
      <c r="D10701" s="4">
        <v>246</v>
      </c>
      <c r="E10701" s="4">
        <v>7</v>
      </c>
      <c r="G10701">
        <f t="shared" si="167"/>
        <v>112</v>
      </c>
    </row>
    <row r="10702" spans="2:7" ht="15" hidden="1" x14ac:dyDescent="0.25">
      <c r="B10702" s="4">
        <v>584759330</v>
      </c>
      <c r="C10702" s="4" t="s">
        <v>269</v>
      </c>
      <c r="D10702" s="4">
        <v>1001</v>
      </c>
      <c r="E10702" s="4">
        <v>57</v>
      </c>
      <c r="G10702">
        <f t="shared" si="167"/>
        <v>512</v>
      </c>
    </row>
    <row r="10703" spans="2:7" ht="15" hidden="1" x14ac:dyDescent="0.25">
      <c r="B10703" s="4">
        <v>584759331</v>
      </c>
      <c r="C10703" s="4" t="s">
        <v>269</v>
      </c>
      <c r="D10703" s="4">
        <v>1002</v>
      </c>
      <c r="E10703" s="4">
        <v>57</v>
      </c>
      <c r="G10703">
        <f t="shared" si="167"/>
        <v>512</v>
      </c>
    </row>
    <row r="10704" spans="2:7" ht="15" hidden="1" x14ac:dyDescent="0.25">
      <c r="B10704" s="4">
        <v>584759332</v>
      </c>
      <c r="C10704" s="4" t="s">
        <v>268</v>
      </c>
      <c r="D10704" s="4">
        <v>247</v>
      </c>
      <c r="E10704" s="4">
        <v>7</v>
      </c>
      <c r="G10704">
        <f t="shared" si="167"/>
        <v>112</v>
      </c>
    </row>
    <row r="10705" spans="2:7" ht="15" hidden="1" x14ac:dyDescent="0.25">
      <c r="B10705" s="4">
        <v>584759332</v>
      </c>
      <c r="C10705" s="4" t="s">
        <v>268</v>
      </c>
      <c r="D10705" s="4">
        <v>247</v>
      </c>
      <c r="E10705" s="4">
        <v>7</v>
      </c>
      <c r="G10705">
        <f t="shared" si="167"/>
        <v>112</v>
      </c>
    </row>
    <row r="10706" spans="2:7" ht="15" hidden="1" x14ac:dyDescent="0.25">
      <c r="B10706" s="4">
        <v>584759332</v>
      </c>
      <c r="C10706" s="4" t="s">
        <v>268</v>
      </c>
      <c r="D10706" s="4">
        <v>248</v>
      </c>
      <c r="E10706" s="4">
        <v>5</v>
      </c>
      <c r="G10706">
        <f t="shared" si="167"/>
        <v>96</v>
      </c>
    </row>
    <row r="10707" spans="2:7" ht="15" hidden="1" x14ac:dyDescent="0.25">
      <c r="B10707" s="4">
        <v>584759332</v>
      </c>
      <c r="C10707" s="4" t="s">
        <v>268</v>
      </c>
      <c r="D10707" s="4">
        <v>248</v>
      </c>
      <c r="E10707" s="4">
        <v>5</v>
      </c>
      <c r="G10707">
        <f t="shared" si="167"/>
        <v>96</v>
      </c>
    </row>
    <row r="10708" spans="2:7" ht="15" hidden="1" x14ac:dyDescent="0.25">
      <c r="B10708" s="4">
        <v>584759332</v>
      </c>
      <c r="C10708" s="4" t="s">
        <v>268</v>
      </c>
      <c r="D10708" s="4">
        <v>249</v>
      </c>
      <c r="E10708" s="4">
        <v>7</v>
      </c>
      <c r="G10708">
        <f t="shared" si="167"/>
        <v>112</v>
      </c>
    </row>
    <row r="10709" spans="2:7" ht="15" hidden="1" x14ac:dyDescent="0.25">
      <c r="B10709" s="4">
        <v>584759332</v>
      </c>
      <c r="C10709" s="4" t="s">
        <v>268</v>
      </c>
      <c r="D10709" s="4">
        <v>249</v>
      </c>
      <c r="E10709" s="4">
        <v>7</v>
      </c>
      <c r="G10709">
        <f t="shared" si="167"/>
        <v>112</v>
      </c>
    </row>
    <row r="10710" spans="2:7" ht="15" hidden="1" x14ac:dyDescent="0.25">
      <c r="B10710" s="4">
        <v>584759332</v>
      </c>
      <c r="C10710" s="4" t="s">
        <v>269</v>
      </c>
      <c r="D10710" s="4">
        <v>1003</v>
      </c>
      <c r="E10710" s="4">
        <v>57</v>
      </c>
      <c r="G10710">
        <f t="shared" si="167"/>
        <v>512</v>
      </c>
    </row>
    <row r="10711" spans="2:7" ht="15" hidden="1" x14ac:dyDescent="0.25">
      <c r="B10711" s="4">
        <v>584759333</v>
      </c>
      <c r="C10711" s="4" t="s">
        <v>269</v>
      </c>
      <c r="D10711" s="4">
        <v>1004</v>
      </c>
      <c r="E10711" s="4">
        <v>57</v>
      </c>
      <c r="G10711">
        <f t="shared" si="167"/>
        <v>512</v>
      </c>
    </row>
    <row r="10712" spans="2:7" ht="15" hidden="1" x14ac:dyDescent="0.25">
      <c r="B10712" s="4">
        <v>584759334</v>
      </c>
      <c r="C10712" s="4" t="s">
        <v>269</v>
      </c>
      <c r="D10712" s="4">
        <v>1005</v>
      </c>
      <c r="E10712" s="4">
        <v>57</v>
      </c>
      <c r="G10712">
        <f t="shared" si="167"/>
        <v>512</v>
      </c>
    </row>
    <row r="10713" spans="2:7" ht="15" hidden="1" x14ac:dyDescent="0.25">
      <c r="B10713" s="4">
        <v>584759335</v>
      </c>
      <c r="C10713" s="4" t="s">
        <v>269</v>
      </c>
      <c r="D10713" s="4">
        <v>1006</v>
      </c>
      <c r="E10713" s="4">
        <v>57</v>
      </c>
      <c r="G10713">
        <f t="shared" si="167"/>
        <v>512</v>
      </c>
    </row>
    <row r="10714" spans="2:7" ht="15" hidden="1" x14ac:dyDescent="0.25">
      <c r="B10714" s="4">
        <v>584759336</v>
      </c>
      <c r="C10714" s="4" t="s">
        <v>269</v>
      </c>
      <c r="D10714" s="4">
        <v>1007</v>
      </c>
      <c r="E10714" s="4">
        <v>57</v>
      </c>
      <c r="G10714">
        <f t="shared" si="167"/>
        <v>512</v>
      </c>
    </row>
    <row r="10715" spans="2:7" ht="15" hidden="1" x14ac:dyDescent="0.25">
      <c r="B10715" s="4">
        <v>584759337</v>
      </c>
      <c r="C10715" s="4" t="s">
        <v>269</v>
      </c>
      <c r="D10715" s="4">
        <v>1008</v>
      </c>
      <c r="E10715" s="4">
        <v>57</v>
      </c>
      <c r="G10715">
        <f t="shared" si="167"/>
        <v>512</v>
      </c>
    </row>
    <row r="10716" spans="2:7" ht="15" hidden="1" x14ac:dyDescent="0.25">
      <c r="B10716" s="4">
        <v>584759338</v>
      </c>
      <c r="C10716" s="4" t="s">
        <v>269</v>
      </c>
      <c r="D10716" s="4">
        <v>1009</v>
      </c>
      <c r="E10716" s="4">
        <v>57</v>
      </c>
      <c r="G10716">
        <f t="shared" si="167"/>
        <v>512</v>
      </c>
    </row>
    <row r="10717" spans="2:7" ht="15" hidden="1" x14ac:dyDescent="0.25">
      <c r="B10717" s="4">
        <v>584759338</v>
      </c>
      <c r="C10717" s="4" t="s">
        <v>272</v>
      </c>
      <c r="D10717" s="4">
        <v>89</v>
      </c>
      <c r="E10717" s="4">
        <v>213</v>
      </c>
      <c r="G10717">
        <f t="shared" si="167"/>
        <v>1760</v>
      </c>
    </row>
    <row r="10718" spans="2:7" ht="15" hidden="1" x14ac:dyDescent="0.25">
      <c r="B10718" s="4">
        <v>584759339</v>
      </c>
      <c r="C10718" s="4" t="s">
        <v>269</v>
      </c>
      <c r="D10718" s="4">
        <v>1010</v>
      </c>
      <c r="E10718" s="4">
        <v>57</v>
      </c>
      <c r="G10718">
        <f t="shared" si="167"/>
        <v>512</v>
      </c>
    </row>
    <row r="10719" spans="2:7" ht="15" hidden="1" x14ac:dyDescent="0.25">
      <c r="B10719" s="4">
        <v>584759340</v>
      </c>
      <c r="C10719" s="4" t="s">
        <v>269</v>
      </c>
      <c r="D10719" s="4">
        <v>1011</v>
      </c>
      <c r="E10719" s="4">
        <v>57</v>
      </c>
      <c r="G10719">
        <f t="shared" si="167"/>
        <v>512</v>
      </c>
    </row>
    <row r="10720" spans="2:7" ht="15" hidden="1" x14ac:dyDescent="0.25">
      <c r="B10720" s="4">
        <v>584759341</v>
      </c>
      <c r="C10720" s="4" t="s">
        <v>269</v>
      </c>
      <c r="D10720" s="4">
        <v>1012</v>
      </c>
      <c r="E10720" s="4">
        <v>57</v>
      </c>
      <c r="G10720">
        <f t="shared" si="167"/>
        <v>512</v>
      </c>
    </row>
    <row r="10721" spans="2:7" ht="15" hidden="1" x14ac:dyDescent="0.25">
      <c r="B10721" s="4">
        <v>584759342</v>
      </c>
      <c r="C10721" s="4" t="s">
        <v>269</v>
      </c>
      <c r="D10721" s="4">
        <v>1013</v>
      </c>
      <c r="E10721" s="4">
        <v>57</v>
      </c>
      <c r="G10721">
        <f t="shared" si="167"/>
        <v>512</v>
      </c>
    </row>
    <row r="10722" spans="2:7" ht="15" hidden="1" x14ac:dyDescent="0.25">
      <c r="B10722" s="4">
        <v>584759343</v>
      </c>
      <c r="C10722" s="4" t="s">
        <v>269</v>
      </c>
      <c r="D10722" s="4">
        <v>1014</v>
      </c>
      <c r="E10722" s="4">
        <v>57</v>
      </c>
      <c r="G10722">
        <f t="shared" si="167"/>
        <v>512</v>
      </c>
    </row>
    <row r="10723" spans="2:7" ht="15" hidden="1" x14ac:dyDescent="0.25">
      <c r="B10723" s="4">
        <v>584759344</v>
      </c>
      <c r="C10723" s="4" t="s">
        <v>269</v>
      </c>
      <c r="D10723" s="4">
        <v>1015</v>
      </c>
      <c r="E10723" s="4">
        <v>57</v>
      </c>
      <c r="G10723">
        <f t="shared" si="167"/>
        <v>512</v>
      </c>
    </row>
    <row r="10724" spans="2:7" ht="15" hidden="1" x14ac:dyDescent="0.25">
      <c r="B10724" s="4">
        <v>584759345</v>
      </c>
      <c r="C10724" s="4" t="s">
        <v>269</v>
      </c>
      <c r="D10724" s="4">
        <v>1016</v>
      </c>
      <c r="E10724" s="4">
        <v>57</v>
      </c>
      <c r="G10724">
        <f t="shared" si="167"/>
        <v>512</v>
      </c>
    </row>
    <row r="10725" spans="2:7" ht="15" hidden="1" x14ac:dyDescent="0.25">
      <c r="B10725" s="4">
        <v>584759346</v>
      </c>
      <c r="C10725" s="4" t="s">
        <v>269</v>
      </c>
      <c r="D10725" s="4">
        <v>1017</v>
      </c>
      <c r="E10725" s="4">
        <v>57</v>
      </c>
      <c r="G10725">
        <f t="shared" si="167"/>
        <v>512</v>
      </c>
    </row>
    <row r="10726" spans="2:7" ht="15" hidden="1" x14ac:dyDescent="0.25">
      <c r="B10726" s="4">
        <v>584759347</v>
      </c>
      <c r="C10726" s="4" t="s">
        <v>269</v>
      </c>
      <c r="D10726" s="4">
        <v>1018</v>
      </c>
      <c r="E10726" s="4">
        <v>57</v>
      </c>
      <c r="G10726">
        <f t="shared" si="167"/>
        <v>512</v>
      </c>
    </row>
    <row r="10727" spans="2:7" ht="15" hidden="1" x14ac:dyDescent="0.25">
      <c r="B10727" s="4">
        <v>584759348</v>
      </c>
      <c r="C10727" s="4" t="s">
        <v>269</v>
      </c>
      <c r="D10727" s="4">
        <v>1019</v>
      </c>
      <c r="E10727" s="4">
        <v>57</v>
      </c>
      <c r="G10727">
        <f t="shared" si="167"/>
        <v>512</v>
      </c>
    </row>
    <row r="10728" spans="2:7" ht="15" x14ac:dyDescent="0.25">
      <c r="B10728" s="4">
        <v>584759348</v>
      </c>
      <c r="C10728" s="4" t="s">
        <v>270</v>
      </c>
      <c r="D10728" s="4">
        <v>3</v>
      </c>
      <c r="E10728" s="4">
        <v>1100</v>
      </c>
      <c r="G10728">
        <f t="shared" si="167"/>
        <v>8856</v>
      </c>
    </row>
    <row r="10729" spans="2:7" ht="15" x14ac:dyDescent="0.25">
      <c r="B10729" s="4">
        <v>584759348</v>
      </c>
      <c r="C10729" s="4" t="s">
        <v>271</v>
      </c>
      <c r="D10729" s="4">
        <v>3</v>
      </c>
      <c r="E10729" s="4">
        <v>1100</v>
      </c>
      <c r="G10729">
        <f t="shared" si="167"/>
        <v>8856</v>
      </c>
    </row>
    <row r="10730" spans="2:7" ht="15" hidden="1" x14ac:dyDescent="0.25">
      <c r="B10730" s="4">
        <v>584759349</v>
      </c>
      <c r="C10730" s="4" t="s">
        <v>269</v>
      </c>
      <c r="D10730" s="4">
        <v>1020</v>
      </c>
      <c r="E10730" s="4">
        <v>57</v>
      </c>
      <c r="G10730">
        <f t="shared" si="167"/>
        <v>512</v>
      </c>
    </row>
    <row r="10731" spans="2:7" ht="15" hidden="1" x14ac:dyDescent="0.25">
      <c r="B10731" s="4">
        <v>584759349</v>
      </c>
      <c r="C10731" s="4" t="s">
        <v>272</v>
      </c>
      <c r="D10731" s="4">
        <v>90</v>
      </c>
      <c r="E10731" s="4">
        <v>211</v>
      </c>
      <c r="G10731">
        <f t="shared" si="167"/>
        <v>1744</v>
      </c>
    </row>
    <row r="10732" spans="2:7" ht="15" hidden="1" x14ac:dyDescent="0.25">
      <c r="B10732" s="4">
        <v>584759350</v>
      </c>
      <c r="C10732" s="4" t="s">
        <v>269</v>
      </c>
      <c r="D10732" s="4">
        <v>1021</v>
      </c>
      <c r="E10732" s="4">
        <v>57</v>
      </c>
      <c r="G10732">
        <f t="shared" si="167"/>
        <v>512</v>
      </c>
    </row>
    <row r="10733" spans="2:7" ht="15" hidden="1" x14ac:dyDescent="0.25">
      <c r="B10733" s="4">
        <v>584759351</v>
      </c>
      <c r="C10733" s="4" t="s">
        <v>269</v>
      </c>
      <c r="D10733" s="4">
        <v>1022</v>
      </c>
      <c r="E10733" s="4">
        <v>57</v>
      </c>
      <c r="G10733">
        <f t="shared" si="167"/>
        <v>512</v>
      </c>
    </row>
    <row r="10734" spans="2:7" ht="15" hidden="1" x14ac:dyDescent="0.25">
      <c r="B10734" s="4">
        <v>584759352</v>
      </c>
      <c r="C10734" s="4" t="s">
        <v>269</v>
      </c>
      <c r="D10734" s="4">
        <v>1023</v>
      </c>
      <c r="E10734" s="4">
        <v>57</v>
      </c>
      <c r="G10734">
        <f t="shared" si="167"/>
        <v>512</v>
      </c>
    </row>
    <row r="10735" spans="2:7" ht="15" hidden="1" x14ac:dyDescent="0.25">
      <c r="B10735" s="4">
        <v>584759353</v>
      </c>
      <c r="C10735" s="4" t="s">
        <v>269</v>
      </c>
      <c r="D10735" s="4">
        <v>1024</v>
      </c>
      <c r="E10735" s="4">
        <v>57</v>
      </c>
      <c r="G10735">
        <f t="shared" si="167"/>
        <v>512</v>
      </c>
    </row>
    <row r="10736" spans="2:7" ht="15" hidden="1" x14ac:dyDescent="0.25">
      <c r="B10736" s="4">
        <v>584759354</v>
      </c>
      <c r="C10736" s="4" t="s">
        <v>269</v>
      </c>
      <c r="D10736" s="4">
        <v>1025</v>
      </c>
      <c r="E10736" s="4">
        <v>57</v>
      </c>
      <c r="G10736">
        <f t="shared" si="167"/>
        <v>512</v>
      </c>
    </row>
    <row r="10737" spans="2:7" ht="15" hidden="1" x14ac:dyDescent="0.25">
      <c r="B10737" s="4">
        <v>584759355</v>
      </c>
      <c r="C10737" s="4" t="s">
        <v>269</v>
      </c>
      <c r="D10737" s="4">
        <v>1026</v>
      </c>
      <c r="E10737" s="4">
        <v>57</v>
      </c>
      <c r="G10737">
        <f t="shared" si="167"/>
        <v>512</v>
      </c>
    </row>
    <row r="10738" spans="2:7" ht="15" hidden="1" x14ac:dyDescent="0.25">
      <c r="B10738" s="4">
        <v>584759356</v>
      </c>
      <c r="C10738" s="4" t="s">
        <v>269</v>
      </c>
      <c r="D10738" s="4">
        <v>1027</v>
      </c>
      <c r="E10738" s="4">
        <v>57</v>
      </c>
      <c r="G10738">
        <f t="shared" si="167"/>
        <v>512</v>
      </c>
    </row>
    <row r="10739" spans="2:7" ht="15" hidden="1" x14ac:dyDescent="0.25">
      <c r="B10739" s="4">
        <v>584759357</v>
      </c>
      <c r="C10739" s="4" t="s">
        <v>269</v>
      </c>
      <c r="D10739" s="4">
        <v>1028</v>
      </c>
      <c r="E10739" s="4">
        <v>57</v>
      </c>
      <c r="G10739">
        <f t="shared" si="167"/>
        <v>512</v>
      </c>
    </row>
    <row r="10740" spans="2:7" ht="15" hidden="1" x14ac:dyDescent="0.25">
      <c r="B10740" s="4">
        <v>584759358</v>
      </c>
      <c r="C10740" s="4" t="s">
        <v>269</v>
      </c>
      <c r="D10740" s="4">
        <v>1029</v>
      </c>
      <c r="E10740" s="4">
        <v>57</v>
      </c>
      <c r="G10740">
        <f t="shared" si="167"/>
        <v>512</v>
      </c>
    </row>
    <row r="10741" spans="2:7" ht="15" hidden="1" x14ac:dyDescent="0.25">
      <c r="B10741" s="4">
        <v>584759358</v>
      </c>
      <c r="C10741" s="4" t="s">
        <v>272</v>
      </c>
      <c r="D10741" s="4">
        <v>91</v>
      </c>
      <c r="E10741" s="4">
        <v>211</v>
      </c>
      <c r="G10741">
        <f t="shared" si="167"/>
        <v>1744</v>
      </c>
    </row>
    <row r="10742" spans="2:7" ht="15" hidden="1" x14ac:dyDescent="0.25">
      <c r="B10742" s="4">
        <v>584759359</v>
      </c>
      <c r="C10742" s="4" t="s">
        <v>269</v>
      </c>
      <c r="D10742" s="4">
        <v>1030</v>
      </c>
      <c r="E10742" s="4">
        <v>57</v>
      </c>
      <c r="G10742">
        <f t="shared" si="167"/>
        <v>512</v>
      </c>
    </row>
    <row r="10743" spans="2:7" ht="15" hidden="1" x14ac:dyDescent="0.25">
      <c r="B10743" s="4">
        <v>584759360</v>
      </c>
      <c r="C10743" s="4" t="s">
        <v>269</v>
      </c>
      <c r="D10743" s="4">
        <v>1031</v>
      </c>
      <c r="E10743" s="4">
        <v>57</v>
      </c>
      <c r="G10743">
        <f t="shared" si="167"/>
        <v>512</v>
      </c>
    </row>
    <row r="10744" spans="2:7" ht="15" hidden="1" x14ac:dyDescent="0.25">
      <c r="B10744" s="4">
        <v>584759361</v>
      </c>
      <c r="C10744" s="4" t="s">
        <v>269</v>
      </c>
      <c r="D10744" s="4">
        <v>1032</v>
      </c>
      <c r="E10744" s="4">
        <v>57</v>
      </c>
      <c r="G10744">
        <f t="shared" si="167"/>
        <v>512</v>
      </c>
    </row>
    <row r="10745" spans="2:7" ht="15" hidden="1" x14ac:dyDescent="0.25">
      <c r="B10745" s="4">
        <v>584759362</v>
      </c>
      <c r="C10745" s="4" t="s">
        <v>269</v>
      </c>
      <c r="D10745" s="4">
        <v>1033</v>
      </c>
      <c r="E10745" s="4">
        <v>57</v>
      </c>
      <c r="G10745">
        <f t="shared" si="167"/>
        <v>512</v>
      </c>
    </row>
    <row r="10746" spans="2:7" ht="15" hidden="1" x14ac:dyDescent="0.25">
      <c r="B10746" s="4">
        <v>584759363</v>
      </c>
      <c r="C10746" s="4" t="s">
        <v>269</v>
      </c>
      <c r="D10746" s="4">
        <v>1034</v>
      </c>
      <c r="E10746" s="4">
        <v>57</v>
      </c>
      <c r="G10746">
        <f t="shared" si="167"/>
        <v>512</v>
      </c>
    </row>
    <row r="10747" spans="2:7" ht="15" hidden="1" x14ac:dyDescent="0.25">
      <c r="B10747" s="4">
        <v>584759364</v>
      </c>
      <c r="C10747" s="4" t="s">
        <v>269</v>
      </c>
      <c r="D10747" s="4">
        <v>1035</v>
      </c>
      <c r="E10747" s="4">
        <v>57</v>
      </c>
      <c r="G10747">
        <f t="shared" si="167"/>
        <v>512</v>
      </c>
    </row>
    <row r="10748" spans="2:7" ht="15" hidden="1" x14ac:dyDescent="0.25">
      <c r="B10748" s="4">
        <v>584759365</v>
      </c>
      <c r="C10748" s="4" t="s">
        <v>269</v>
      </c>
      <c r="D10748" s="4">
        <v>1036</v>
      </c>
      <c r="E10748" s="4">
        <v>57</v>
      </c>
      <c r="G10748">
        <f t="shared" si="167"/>
        <v>512</v>
      </c>
    </row>
    <row r="10749" spans="2:7" ht="15" hidden="1" x14ac:dyDescent="0.25">
      <c r="B10749" s="4">
        <v>584759366</v>
      </c>
      <c r="C10749" s="4" t="s">
        <v>269</v>
      </c>
      <c r="D10749" s="4">
        <v>1037</v>
      </c>
      <c r="E10749" s="4">
        <v>57</v>
      </c>
      <c r="G10749">
        <f t="shared" si="167"/>
        <v>512</v>
      </c>
    </row>
    <row r="10750" spans="2:7" ht="15" hidden="1" x14ac:dyDescent="0.25">
      <c r="B10750" s="4">
        <v>584759367</v>
      </c>
      <c r="C10750" s="4" t="s">
        <v>269</v>
      </c>
      <c r="D10750" s="4">
        <v>1038</v>
      </c>
      <c r="E10750" s="4">
        <v>57</v>
      </c>
      <c r="G10750">
        <f t="shared" si="167"/>
        <v>512</v>
      </c>
    </row>
    <row r="10751" spans="2:7" ht="15" hidden="1" x14ac:dyDescent="0.25">
      <c r="B10751" s="4">
        <v>584759368</v>
      </c>
      <c r="C10751" s="4" t="s">
        <v>269</v>
      </c>
      <c r="D10751" s="4">
        <v>1039</v>
      </c>
      <c r="E10751" s="4">
        <v>57</v>
      </c>
      <c r="G10751">
        <f t="shared" si="167"/>
        <v>512</v>
      </c>
    </row>
    <row r="10752" spans="2:7" ht="15" hidden="1" x14ac:dyDescent="0.25">
      <c r="B10752" s="4">
        <v>584759368</v>
      </c>
      <c r="C10752" s="4" t="s">
        <v>272</v>
      </c>
      <c r="D10752" s="4">
        <v>92</v>
      </c>
      <c r="E10752" s="4">
        <v>211</v>
      </c>
      <c r="G10752">
        <f t="shared" si="167"/>
        <v>1744</v>
      </c>
    </row>
    <row r="10753" spans="2:7" ht="15" hidden="1" x14ac:dyDescent="0.25">
      <c r="B10753" s="4">
        <v>584759369</v>
      </c>
      <c r="C10753" s="4" t="s">
        <v>269</v>
      </c>
      <c r="D10753" s="4">
        <v>1040</v>
      </c>
      <c r="E10753" s="4">
        <v>57</v>
      </c>
      <c r="G10753">
        <f t="shared" si="167"/>
        <v>512</v>
      </c>
    </row>
    <row r="10754" spans="2:7" ht="15" hidden="1" x14ac:dyDescent="0.25">
      <c r="B10754" s="4">
        <v>584759370</v>
      </c>
      <c r="C10754" s="4" t="s">
        <v>269</v>
      </c>
      <c r="D10754" s="4">
        <v>1041</v>
      </c>
      <c r="E10754" s="4">
        <v>57</v>
      </c>
      <c r="G10754">
        <f t="shared" si="167"/>
        <v>512</v>
      </c>
    </row>
    <row r="10755" spans="2:7" ht="15" hidden="1" x14ac:dyDescent="0.25">
      <c r="B10755" s="4">
        <v>584759371</v>
      </c>
      <c r="C10755" s="4" t="s">
        <v>269</v>
      </c>
      <c r="D10755" s="4">
        <v>1042</v>
      </c>
      <c r="E10755" s="4">
        <v>57</v>
      </c>
      <c r="G10755">
        <f t="shared" si="167"/>
        <v>512</v>
      </c>
    </row>
    <row r="10756" spans="2:7" ht="15" hidden="1" x14ac:dyDescent="0.25">
      <c r="B10756" s="4">
        <v>584759372</v>
      </c>
      <c r="C10756" s="4" t="s">
        <v>269</v>
      </c>
      <c r="D10756" s="4">
        <v>1043</v>
      </c>
      <c r="E10756" s="4">
        <v>57</v>
      </c>
      <c r="G10756">
        <f t="shared" ref="G10756:G10819" si="168">(E10756+7)*8</f>
        <v>512</v>
      </c>
    </row>
    <row r="10757" spans="2:7" ht="15" hidden="1" x14ac:dyDescent="0.25">
      <c r="B10757" s="4">
        <v>584759373</v>
      </c>
      <c r="C10757" s="4" t="s">
        <v>269</v>
      </c>
      <c r="D10757" s="4">
        <v>1044</v>
      </c>
      <c r="E10757" s="4">
        <v>57</v>
      </c>
      <c r="G10757">
        <f t="shared" si="168"/>
        <v>512</v>
      </c>
    </row>
    <row r="10758" spans="2:7" ht="15" hidden="1" x14ac:dyDescent="0.25">
      <c r="B10758" s="4">
        <v>584759374</v>
      </c>
      <c r="C10758" s="4" t="s">
        <v>269</v>
      </c>
      <c r="D10758" s="4">
        <v>1045</v>
      </c>
      <c r="E10758" s="4">
        <v>57</v>
      </c>
      <c r="G10758">
        <f t="shared" si="168"/>
        <v>512</v>
      </c>
    </row>
    <row r="10759" spans="2:7" ht="15" hidden="1" x14ac:dyDescent="0.25">
      <c r="B10759" s="4">
        <v>584759375</v>
      </c>
      <c r="C10759" s="4" t="s">
        <v>269</v>
      </c>
      <c r="D10759" s="4">
        <v>1046</v>
      </c>
      <c r="E10759" s="4">
        <v>57</v>
      </c>
      <c r="G10759">
        <f t="shared" si="168"/>
        <v>512</v>
      </c>
    </row>
    <row r="10760" spans="2:7" ht="15" hidden="1" x14ac:dyDescent="0.25">
      <c r="B10760" s="4">
        <v>584759376</v>
      </c>
      <c r="C10760" s="4" t="s">
        <v>269</v>
      </c>
      <c r="D10760" s="4">
        <v>1047</v>
      </c>
      <c r="E10760" s="4">
        <v>57</v>
      </c>
      <c r="G10760">
        <f t="shared" si="168"/>
        <v>512</v>
      </c>
    </row>
    <row r="10761" spans="2:7" ht="15" hidden="1" x14ac:dyDescent="0.25">
      <c r="B10761" s="4">
        <v>584759377</v>
      </c>
      <c r="C10761" s="4" t="s">
        <v>269</v>
      </c>
      <c r="D10761" s="4">
        <v>1048</v>
      </c>
      <c r="E10761" s="4">
        <v>57</v>
      </c>
      <c r="G10761">
        <f t="shared" si="168"/>
        <v>512</v>
      </c>
    </row>
    <row r="10762" spans="2:7" ht="15" hidden="1" x14ac:dyDescent="0.25">
      <c r="B10762" s="4">
        <v>584759378</v>
      </c>
      <c r="C10762" s="4" t="s">
        <v>269</v>
      </c>
      <c r="D10762" s="4">
        <v>1049</v>
      </c>
      <c r="E10762" s="4">
        <v>57</v>
      </c>
      <c r="G10762">
        <f t="shared" si="168"/>
        <v>512</v>
      </c>
    </row>
    <row r="10763" spans="2:7" ht="15" hidden="1" x14ac:dyDescent="0.25">
      <c r="B10763" s="4">
        <v>584759378</v>
      </c>
      <c r="C10763" s="4" t="s">
        <v>272</v>
      </c>
      <c r="D10763" s="4">
        <v>93</v>
      </c>
      <c r="E10763" s="4">
        <v>211</v>
      </c>
      <c r="G10763">
        <f t="shared" si="168"/>
        <v>1744</v>
      </c>
    </row>
    <row r="10764" spans="2:7" ht="15" hidden="1" x14ac:dyDescent="0.25">
      <c r="B10764" s="4">
        <v>584759379</v>
      </c>
      <c r="C10764" s="4" t="s">
        <v>269</v>
      </c>
      <c r="D10764" s="4">
        <v>1050</v>
      </c>
      <c r="E10764" s="4">
        <v>57</v>
      </c>
      <c r="G10764">
        <f t="shared" si="168"/>
        <v>512</v>
      </c>
    </row>
    <row r="10765" spans="2:7" ht="15" hidden="1" x14ac:dyDescent="0.25">
      <c r="B10765" s="4">
        <v>584759380</v>
      </c>
      <c r="C10765" s="4" t="s">
        <v>269</v>
      </c>
      <c r="D10765" s="4">
        <v>1051</v>
      </c>
      <c r="E10765" s="4">
        <v>57</v>
      </c>
      <c r="G10765">
        <f t="shared" si="168"/>
        <v>512</v>
      </c>
    </row>
    <row r="10766" spans="2:7" ht="15" hidden="1" x14ac:dyDescent="0.25">
      <c r="B10766" s="4">
        <v>584759381</v>
      </c>
      <c r="C10766" s="4" t="s">
        <v>269</v>
      </c>
      <c r="D10766" s="4">
        <v>1052</v>
      </c>
      <c r="E10766" s="4">
        <v>57</v>
      </c>
      <c r="G10766">
        <f t="shared" si="168"/>
        <v>512</v>
      </c>
    </row>
    <row r="10767" spans="2:7" ht="15" hidden="1" x14ac:dyDescent="0.25">
      <c r="B10767" s="4">
        <v>584759382</v>
      </c>
      <c r="C10767" s="4" t="s">
        <v>269</v>
      </c>
      <c r="D10767" s="4">
        <v>1053</v>
      </c>
      <c r="E10767" s="4">
        <v>57</v>
      </c>
      <c r="G10767">
        <f t="shared" si="168"/>
        <v>512</v>
      </c>
    </row>
    <row r="10768" spans="2:7" ht="15" hidden="1" x14ac:dyDescent="0.25">
      <c r="B10768" s="4">
        <v>584759383</v>
      </c>
      <c r="C10768" s="4" t="s">
        <v>269</v>
      </c>
      <c r="D10768" s="4">
        <v>1054</v>
      </c>
      <c r="E10768" s="4">
        <v>57</v>
      </c>
      <c r="G10768">
        <f t="shared" si="168"/>
        <v>512</v>
      </c>
    </row>
    <row r="10769" spans="2:7" ht="15" hidden="1" x14ac:dyDescent="0.25">
      <c r="B10769" s="4">
        <v>584759384</v>
      </c>
      <c r="C10769" s="4" t="s">
        <v>269</v>
      </c>
      <c r="D10769" s="4">
        <v>1055</v>
      </c>
      <c r="E10769" s="4">
        <v>57</v>
      </c>
      <c r="G10769">
        <f t="shared" si="168"/>
        <v>512</v>
      </c>
    </row>
    <row r="10770" spans="2:7" ht="15" hidden="1" x14ac:dyDescent="0.25">
      <c r="B10770" s="4">
        <v>584759385</v>
      </c>
      <c r="C10770" s="4" t="s">
        <v>269</v>
      </c>
      <c r="D10770" s="4">
        <v>1056</v>
      </c>
      <c r="E10770" s="4">
        <v>57</v>
      </c>
      <c r="G10770">
        <f t="shared" si="168"/>
        <v>512</v>
      </c>
    </row>
    <row r="10771" spans="2:7" ht="15" hidden="1" x14ac:dyDescent="0.25">
      <c r="B10771" s="4">
        <v>584759386</v>
      </c>
      <c r="C10771" s="4" t="s">
        <v>269</v>
      </c>
      <c r="D10771" s="4">
        <v>1057</v>
      </c>
      <c r="E10771" s="4">
        <v>57</v>
      </c>
      <c r="G10771">
        <f t="shared" si="168"/>
        <v>512</v>
      </c>
    </row>
    <row r="10772" spans="2:7" ht="15" hidden="1" x14ac:dyDescent="0.25">
      <c r="B10772" s="4">
        <v>584759387</v>
      </c>
      <c r="C10772" s="4" t="s">
        <v>269</v>
      </c>
      <c r="D10772" s="4">
        <v>1058</v>
      </c>
      <c r="E10772" s="4">
        <v>57</v>
      </c>
      <c r="G10772">
        <f t="shared" si="168"/>
        <v>512</v>
      </c>
    </row>
    <row r="10773" spans="2:7" ht="15" hidden="1" x14ac:dyDescent="0.25">
      <c r="B10773" s="4">
        <v>584759388</v>
      </c>
      <c r="C10773" s="4" t="s">
        <v>269</v>
      </c>
      <c r="D10773" s="4">
        <v>1059</v>
      </c>
      <c r="E10773" s="4">
        <v>57</v>
      </c>
      <c r="G10773">
        <f t="shared" si="168"/>
        <v>512</v>
      </c>
    </row>
    <row r="10774" spans="2:7" ht="15" hidden="1" x14ac:dyDescent="0.25">
      <c r="B10774" s="4">
        <v>584759388</v>
      </c>
      <c r="C10774" s="4" t="s">
        <v>272</v>
      </c>
      <c r="D10774" s="4">
        <v>94</v>
      </c>
      <c r="E10774" s="4">
        <v>213</v>
      </c>
      <c r="G10774">
        <f t="shared" si="168"/>
        <v>1760</v>
      </c>
    </row>
    <row r="10775" spans="2:7" ht="15" hidden="1" x14ac:dyDescent="0.25">
      <c r="B10775" s="4">
        <v>584759389</v>
      </c>
      <c r="C10775" s="4" t="s">
        <v>269</v>
      </c>
      <c r="D10775" s="4">
        <v>1060</v>
      </c>
      <c r="E10775" s="4">
        <v>57</v>
      </c>
      <c r="G10775">
        <f t="shared" si="168"/>
        <v>512</v>
      </c>
    </row>
    <row r="10776" spans="2:7" ht="15" hidden="1" x14ac:dyDescent="0.25">
      <c r="B10776" s="4">
        <v>584759390</v>
      </c>
      <c r="C10776" s="4" t="s">
        <v>269</v>
      </c>
      <c r="D10776" s="4">
        <v>1061</v>
      </c>
      <c r="E10776" s="4">
        <v>57</v>
      </c>
      <c r="G10776">
        <f t="shared" si="168"/>
        <v>512</v>
      </c>
    </row>
    <row r="10777" spans="2:7" ht="15" hidden="1" x14ac:dyDescent="0.25">
      <c r="B10777" s="4">
        <v>584759391</v>
      </c>
      <c r="C10777" s="4" t="s">
        <v>269</v>
      </c>
      <c r="D10777" s="4">
        <v>1062</v>
      </c>
      <c r="E10777" s="4">
        <v>57</v>
      </c>
      <c r="G10777">
        <f t="shared" si="168"/>
        <v>512</v>
      </c>
    </row>
    <row r="10778" spans="2:7" ht="15" hidden="1" x14ac:dyDescent="0.25">
      <c r="B10778" s="4">
        <v>584759392</v>
      </c>
      <c r="C10778" s="4" t="s">
        <v>269</v>
      </c>
      <c r="D10778" s="4">
        <v>1063</v>
      </c>
      <c r="E10778" s="4">
        <v>57</v>
      </c>
      <c r="G10778">
        <f t="shared" si="168"/>
        <v>512</v>
      </c>
    </row>
    <row r="10779" spans="2:7" ht="15" hidden="1" x14ac:dyDescent="0.25">
      <c r="B10779" s="4">
        <v>584759393</v>
      </c>
      <c r="C10779" s="4" t="s">
        <v>269</v>
      </c>
      <c r="D10779" s="4">
        <v>1064</v>
      </c>
      <c r="E10779" s="4">
        <v>57</v>
      </c>
      <c r="G10779">
        <f t="shared" si="168"/>
        <v>512</v>
      </c>
    </row>
    <row r="10780" spans="2:7" ht="15" hidden="1" x14ac:dyDescent="0.25">
      <c r="B10780" s="4">
        <v>584759394</v>
      </c>
      <c r="C10780" s="4" t="s">
        <v>269</v>
      </c>
      <c r="D10780" s="4">
        <v>1065</v>
      </c>
      <c r="E10780" s="4">
        <v>57</v>
      </c>
      <c r="G10780">
        <f t="shared" si="168"/>
        <v>512</v>
      </c>
    </row>
    <row r="10781" spans="2:7" ht="15" hidden="1" x14ac:dyDescent="0.25">
      <c r="B10781" s="4">
        <v>584759395</v>
      </c>
      <c r="C10781" s="4" t="s">
        <v>269</v>
      </c>
      <c r="D10781" s="4">
        <v>1066</v>
      </c>
      <c r="E10781" s="4">
        <v>57</v>
      </c>
      <c r="G10781">
        <f t="shared" si="168"/>
        <v>512</v>
      </c>
    </row>
    <row r="10782" spans="2:7" ht="15" hidden="1" x14ac:dyDescent="0.25">
      <c r="B10782" s="4">
        <v>584759396</v>
      </c>
      <c r="C10782" s="4" t="s">
        <v>269</v>
      </c>
      <c r="D10782" s="4">
        <v>1067</v>
      </c>
      <c r="E10782" s="4">
        <v>57</v>
      </c>
      <c r="G10782">
        <f t="shared" si="168"/>
        <v>512</v>
      </c>
    </row>
    <row r="10783" spans="2:7" ht="15" hidden="1" x14ac:dyDescent="0.25">
      <c r="B10783" s="4">
        <v>584759397</v>
      </c>
      <c r="C10783" s="4" t="s">
        <v>269</v>
      </c>
      <c r="D10783" s="4">
        <v>1068</v>
      </c>
      <c r="E10783" s="4">
        <v>57</v>
      </c>
      <c r="G10783">
        <f t="shared" si="168"/>
        <v>512</v>
      </c>
    </row>
    <row r="10784" spans="2:7" ht="15" hidden="1" x14ac:dyDescent="0.25">
      <c r="B10784" s="4">
        <v>584759398</v>
      </c>
      <c r="C10784" s="4" t="s">
        <v>269</v>
      </c>
      <c r="D10784" s="4">
        <v>1069</v>
      </c>
      <c r="E10784" s="4">
        <v>57</v>
      </c>
      <c r="G10784">
        <f t="shared" si="168"/>
        <v>512</v>
      </c>
    </row>
    <row r="10785" spans="2:7" ht="15" hidden="1" x14ac:dyDescent="0.25">
      <c r="B10785" s="4">
        <v>584759398</v>
      </c>
      <c r="C10785" s="4" t="s">
        <v>272</v>
      </c>
      <c r="D10785" s="4">
        <v>95</v>
      </c>
      <c r="E10785" s="4">
        <v>211</v>
      </c>
      <c r="G10785">
        <f t="shared" si="168"/>
        <v>1744</v>
      </c>
    </row>
    <row r="10786" spans="2:7" ht="15" hidden="1" x14ac:dyDescent="0.25">
      <c r="B10786" s="4">
        <v>584759399</v>
      </c>
      <c r="C10786" s="4" t="s">
        <v>269</v>
      </c>
      <c r="D10786" s="4">
        <v>1070</v>
      </c>
      <c r="E10786" s="4">
        <v>57</v>
      </c>
      <c r="G10786">
        <f t="shared" si="168"/>
        <v>512</v>
      </c>
    </row>
    <row r="10787" spans="2:7" ht="15" hidden="1" x14ac:dyDescent="0.25">
      <c r="B10787" s="4">
        <v>584759400</v>
      </c>
      <c r="C10787" s="4" t="s">
        <v>269</v>
      </c>
      <c r="D10787" s="4">
        <v>1071</v>
      </c>
      <c r="E10787" s="4">
        <v>57</v>
      </c>
      <c r="G10787">
        <f t="shared" si="168"/>
        <v>512</v>
      </c>
    </row>
    <row r="10788" spans="2:7" ht="15" hidden="1" x14ac:dyDescent="0.25">
      <c r="B10788" s="4">
        <v>584759401</v>
      </c>
      <c r="C10788" s="4" t="s">
        <v>269</v>
      </c>
      <c r="D10788" s="4">
        <v>1072</v>
      </c>
      <c r="E10788" s="4">
        <v>57</v>
      </c>
      <c r="G10788">
        <f t="shared" si="168"/>
        <v>512</v>
      </c>
    </row>
    <row r="10789" spans="2:7" ht="15" hidden="1" x14ac:dyDescent="0.25">
      <c r="B10789" s="4">
        <v>584759402</v>
      </c>
      <c r="C10789" s="4" t="s">
        <v>269</v>
      </c>
      <c r="D10789" s="4">
        <v>1073</v>
      </c>
      <c r="E10789" s="4">
        <v>57</v>
      </c>
      <c r="G10789">
        <f t="shared" si="168"/>
        <v>512</v>
      </c>
    </row>
    <row r="10790" spans="2:7" ht="15" hidden="1" x14ac:dyDescent="0.25">
      <c r="B10790" s="4">
        <v>584759403</v>
      </c>
      <c r="C10790" s="4" t="s">
        <v>269</v>
      </c>
      <c r="D10790" s="4">
        <v>1074</v>
      </c>
      <c r="E10790" s="4">
        <v>57</v>
      </c>
      <c r="G10790">
        <f t="shared" si="168"/>
        <v>512</v>
      </c>
    </row>
    <row r="10791" spans="2:7" ht="15" hidden="1" x14ac:dyDescent="0.25">
      <c r="B10791" s="4">
        <v>584759404</v>
      </c>
      <c r="C10791" s="4" t="s">
        <v>269</v>
      </c>
      <c r="D10791" s="4">
        <v>1075</v>
      </c>
      <c r="E10791" s="4">
        <v>57</v>
      </c>
      <c r="G10791">
        <f t="shared" si="168"/>
        <v>512</v>
      </c>
    </row>
    <row r="10792" spans="2:7" ht="15" hidden="1" x14ac:dyDescent="0.25">
      <c r="B10792" s="4">
        <v>584759405</v>
      </c>
      <c r="C10792" s="4" t="s">
        <v>269</v>
      </c>
      <c r="D10792" s="4">
        <v>1076</v>
      </c>
      <c r="E10792" s="4">
        <v>57</v>
      </c>
      <c r="G10792">
        <f t="shared" si="168"/>
        <v>512</v>
      </c>
    </row>
    <row r="10793" spans="2:7" ht="15" hidden="1" x14ac:dyDescent="0.25">
      <c r="B10793" s="4">
        <v>584759406</v>
      </c>
      <c r="C10793" s="4" t="s">
        <v>269</v>
      </c>
      <c r="D10793" s="4">
        <v>1077</v>
      </c>
      <c r="E10793" s="4">
        <v>57</v>
      </c>
      <c r="G10793">
        <f t="shared" si="168"/>
        <v>512</v>
      </c>
    </row>
    <row r="10794" spans="2:7" ht="15" hidden="1" x14ac:dyDescent="0.25">
      <c r="B10794" s="4">
        <v>584759407</v>
      </c>
      <c r="C10794" s="4" t="s">
        <v>269</v>
      </c>
      <c r="D10794" s="4">
        <v>1078</v>
      </c>
      <c r="E10794" s="4">
        <v>57</v>
      </c>
      <c r="G10794">
        <f t="shared" si="168"/>
        <v>512</v>
      </c>
    </row>
    <row r="10795" spans="2:7" ht="15" hidden="1" x14ac:dyDescent="0.25">
      <c r="B10795" s="4">
        <v>584759408</v>
      </c>
      <c r="C10795" s="4" t="s">
        <v>269</v>
      </c>
      <c r="D10795" s="4">
        <v>1079</v>
      </c>
      <c r="E10795" s="4">
        <v>57</v>
      </c>
      <c r="G10795">
        <f t="shared" si="168"/>
        <v>512</v>
      </c>
    </row>
    <row r="10796" spans="2:7" ht="15" hidden="1" x14ac:dyDescent="0.25">
      <c r="B10796" s="4">
        <v>584759408</v>
      </c>
      <c r="C10796" s="4" t="s">
        <v>272</v>
      </c>
      <c r="D10796" s="4">
        <v>96</v>
      </c>
      <c r="E10796" s="4">
        <v>211</v>
      </c>
      <c r="G10796">
        <f t="shared" si="168"/>
        <v>1744</v>
      </c>
    </row>
    <row r="10797" spans="2:7" ht="15" hidden="1" x14ac:dyDescent="0.25">
      <c r="B10797" s="4">
        <v>584759409</v>
      </c>
      <c r="C10797" s="4" t="s">
        <v>269</v>
      </c>
      <c r="D10797" s="4">
        <v>1080</v>
      </c>
      <c r="E10797" s="4">
        <v>57</v>
      </c>
      <c r="G10797">
        <f t="shared" si="168"/>
        <v>512</v>
      </c>
    </row>
    <row r="10798" spans="2:7" ht="15" hidden="1" x14ac:dyDescent="0.25">
      <c r="B10798" s="4">
        <v>584759410</v>
      </c>
      <c r="C10798" s="4" t="s">
        <v>269</v>
      </c>
      <c r="D10798" s="4">
        <v>1081</v>
      </c>
      <c r="E10798" s="4">
        <v>57</v>
      </c>
      <c r="G10798">
        <f t="shared" si="168"/>
        <v>512</v>
      </c>
    </row>
    <row r="10799" spans="2:7" ht="15" hidden="1" x14ac:dyDescent="0.25">
      <c r="B10799" s="4">
        <v>584759411</v>
      </c>
      <c r="C10799" s="4" t="s">
        <v>269</v>
      </c>
      <c r="D10799" s="4">
        <v>1082</v>
      </c>
      <c r="E10799" s="4">
        <v>57</v>
      </c>
      <c r="G10799">
        <f t="shared" si="168"/>
        <v>512</v>
      </c>
    </row>
    <row r="10800" spans="2:7" ht="15" hidden="1" x14ac:dyDescent="0.25">
      <c r="B10800" s="4">
        <v>584759412</v>
      </c>
      <c r="C10800" s="4" t="s">
        <v>269</v>
      </c>
      <c r="D10800" s="4">
        <v>1083</v>
      </c>
      <c r="E10800" s="4">
        <v>57</v>
      </c>
      <c r="G10800">
        <f t="shared" si="168"/>
        <v>512</v>
      </c>
    </row>
    <row r="10801" spans="2:7" ht="15" hidden="1" x14ac:dyDescent="0.25">
      <c r="B10801" s="4">
        <v>584759413</v>
      </c>
      <c r="C10801" s="4" t="s">
        <v>269</v>
      </c>
      <c r="D10801" s="4">
        <v>1084</v>
      </c>
      <c r="E10801" s="4">
        <v>57</v>
      </c>
      <c r="G10801">
        <f t="shared" si="168"/>
        <v>512</v>
      </c>
    </row>
    <row r="10802" spans="2:7" ht="15" hidden="1" x14ac:dyDescent="0.25">
      <c r="B10802" s="4">
        <v>584759414</v>
      </c>
      <c r="C10802" s="4" t="s">
        <v>269</v>
      </c>
      <c r="D10802" s="4">
        <v>1085</v>
      </c>
      <c r="E10802" s="4">
        <v>57</v>
      </c>
      <c r="G10802">
        <f t="shared" si="168"/>
        <v>512</v>
      </c>
    </row>
    <row r="10803" spans="2:7" ht="15" hidden="1" x14ac:dyDescent="0.25">
      <c r="B10803" s="4">
        <v>584759415</v>
      </c>
      <c r="C10803" s="4" t="s">
        <v>269</v>
      </c>
      <c r="D10803" s="4">
        <v>1086</v>
      </c>
      <c r="E10803" s="4">
        <v>57</v>
      </c>
      <c r="G10803">
        <f t="shared" si="168"/>
        <v>512</v>
      </c>
    </row>
    <row r="10804" spans="2:7" ht="15" hidden="1" x14ac:dyDescent="0.25">
      <c r="B10804" s="4">
        <v>584759416</v>
      </c>
      <c r="C10804" s="4" t="s">
        <v>269</v>
      </c>
      <c r="D10804" s="4">
        <v>1087</v>
      </c>
      <c r="E10804" s="4">
        <v>57</v>
      </c>
      <c r="G10804">
        <f t="shared" si="168"/>
        <v>512</v>
      </c>
    </row>
    <row r="10805" spans="2:7" ht="15" hidden="1" x14ac:dyDescent="0.25">
      <c r="B10805" s="4">
        <v>584759417</v>
      </c>
      <c r="C10805" s="4" t="s">
        <v>269</v>
      </c>
      <c r="D10805" s="4">
        <v>1088</v>
      </c>
      <c r="E10805" s="4">
        <v>57</v>
      </c>
      <c r="G10805">
        <f t="shared" si="168"/>
        <v>512</v>
      </c>
    </row>
    <row r="10806" spans="2:7" ht="15" hidden="1" x14ac:dyDescent="0.25">
      <c r="B10806" s="4">
        <v>584759418</v>
      </c>
      <c r="C10806" s="4" t="s">
        <v>269</v>
      </c>
      <c r="D10806" s="4">
        <v>1089</v>
      </c>
      <c r="E10806" s="4">
        <v>57</v>
      </c>
      <c r="G10806">
        <f t="shared" si="168"/>
        <v>512</v>
      </c>
    </row>
    <row r="10807" spans="2:7" ht="15" hidden="1" x14ac:dyDescent="0.25">
      <c r="B10807" s="4">
        <v>584759418</v>
      </c>
      <c r="C10807" s="4" t="s">
        <v>272</v>
      </c>
      <c r="D10807" s="4">
        <v>97</v>
      </c>
      <c r="E10807" s="4">
        <v>211</v>
      </c>
      <c r="G10807">
        <f t="shared" si="168"/>
        <v>1744</v>
      </c>
    </row>
    <row r="10808" spans="2:7" ht="15" hidden="1" x14ac:dyDescent="0.25">
      <c r="B10808" s="4">
        <v>584759419</v>
      </c>
      <c r="C10808" s="4" t="s">
        <v>269</v>
      </c>
      <c r="D10808" s="4">
        <v>1090</v>
      </c>
      <c r="E10808" s="4">
        <v>57</v>
      </c>
      <c r="G10808">
        <f t="shared" si="168"/>
        <v>512</v>
      </c>
    </row>
    <row r="10809" spans="2:7" ht="15" hidden="1" x14ac:dyDescent="0.25">
      <c r="B10809" s="4">
        <v>584759420</v>
      </c>
      <c r="C10809" s="4" t="s">
        <v>269</v>
      </c>
      <c r="D10809" s="4">
        <v>1091</v>
      </c>
      <c r="E10809" s="4">
        <v>57</v>
      </c>
      <c r="G10809">
        <f t="shared" si="168"/>
        <v>512</v>
      </c>
    </row>
    <row r="10810" spans="2:7" ht="15" hidden="1" x14ac:dyDescent="0.25">
      <c r="B10810" s="4">
        <v>584759421</v>
      </c>
      <c r="C10810" s="4" t="s">
        <v>269</v>
      </c>
      <c r="D10810" s="4">
        <v>1092</v>
      </c>
      <c r="E10810" s="4">
        <v>57</v>
      </c>
      <c r="G10810">
        <f t="shared" si="168"/>
        <v>512</v>
      </c>
    </row>
    <row r="10811" spans="2:7" ht="15" hidden="1" x14ac:dyDescent="0.25">
      <c r="B10811" s="4">
        <v>584759422</v>
      </c>
      <c r="C10811" s="4" t="s">
        <v>269</v>
      </c>
      <c r="D10811" s="4">
        <v>1093</v>
      </c>
      <c r="E10811" s="4">
        <v>57</v>
      </c>
      <c r="G10811">
        <f t="shared" si="168"/>
        <v>512</v>
      </c>
    </row>
    <row r="10812" spans="2:7" ht="15" hidden="1" x14ac:dyDescent="0.25">
      <c r="B10812" s="4">
        <v>584759423</v>
      </c>
      <c r="C10812" s="4" t="s">
        <v>269</v>
      </c>
      <c r="D10812" s="4">
        <v>1094</v>
      </c>
      <c r="E10812" s="4">
        <v>57</v>
      </c>
      <c r="G10812">
        <f t="shared" si="168"/>
        <v>512</v>
      </c>
    </row>
    <row r="10813" spans="2:7" ht="15" hidden="1" x14ac:dyDescent="0.25">
      <c r="B10813" s="4">
        <v>584759424</v>
      </c>
      <c r="C10813" s="4" t="s">
        <v>269</v>
      </c>
      <c r="D10813" s="4">
        <v>1095</v>
      </c>
      <c r="E10813" s="4">
        <v>57</v>
      </c>
      <c r="G10813">
        <f t="shared" si="168"/>
        <v>512</v>
      </c>
    </row>
    <row r="10814" spans="2:7" ht="15" hidden="1" x14ac:dyDescent="0.25">
      <c r="B10814" s="4">
        <v>584759425</v>
      </c>
      <c r="C10814" s="4" t="s">
        <v>269</v>
      </c>
      <c r="D10814" s="4">
        <v>1096</v>
      </c>
      <c r="E10814" s="4">
        <v>57</v>
      </c>
      <c r="G10814">
        <f t="shared" si="168"/>
        <v>512</v>
      </c>
    </row>
    <row r="10815" spans="2:7" ht="15" hidden="1" x14ac:dyDescent="0.25">
      <c r="B10815" s="4">
        <v>584759426</v>
      </c>
      <c r="C10815" s="4" t="s">
        <v>269</v>
      </c>
      <c r="D10815" s="4">
        <v>1097</v>
      </c>
      <c r="E10815" s="4">
        <v>57</v>
      </c>
      <c r="G10815">
        <f t="shared" si="168"/>
        <v>512</v>
      </c>
    </row>
    <row r="10816" spans="2:7" ht="15" hidden="1" x14ac:dyDescent="0.25">
      <c r="B10816" s="4">
        <v>584759427</v>
      </c>
      <c r="C10816" s="4" t="s">
        <v>269</v>
      </c>
      <c r="D10816" s="4">
        <v>1098</v>
      </c>
      <c r="E10816" s="4">
        <v>57</v>
      </c>
      <c r="G10816">
        <f t="shared" si="168"/>
        <v>512</v>
      </c>
    </row>
    <row r="10817" spans="2:7" ht="15" hidden="1" x14ac:dyDescent="0.25">
      <c r="B10817" s="4">
        <v>584759428</v>
      </c>
      <c r="C10817" s="4" t="s">
        <v>269</v>
      </c>
      <c r="D10817" s="4">
        <v>1099</v>
      </c>
      <c r="E10817" s="4">
        <v>57</v>
      </c>
      <c r="G10817">
        <f t="shared" si="168"/>
        <v>512</v>
      </c>
    </row>
    <row r="10818" spans="2:7" ht="15" hidden="1" x14ac:dyDescent="0.25">
      <c r="B10818" s="4">
        <v>584759428</v>
      </c>
      <c r="C10818" s="4" t="s">
        <v>272</v>
      </c>
      <c r="D10818" s="4">
        <v>98</v>
      </c>
      <c r="E10818" s="4">
        <v>209</v>
      </c>
      <c r="G10818">
        <f t="shared" si="168"/>
        <v>1728</v>
      </c>
    </row>
    <row r="10819" spans="2:7" ht="15" hidden="1" x14ac:dyDescent="0.25">
      <c r="B10819" s="4">
        <v>584759429</v>
      </c>
      <c r="C10819" s="4" t="s">
        <v>269</v>
      </c>
      <c r="D10819" s="4">
        <v>1100</v>
      </c>
      <c r="E10819" s="4">
        <v>57</v>
      </c>
      <c r="G10819">
        <f t="shared" si="168"/>
        <v>512</v>
      </c>
    </row>
    <row r="10820" spans="2:7" ht="15" hidden="1" x14ac:dyDescent="0.25">
      <c r="B10820" s="4">
        <v>584759430</v>
      </c>
      <c r="C10820" s="4" t="s">
        <v>269</v>
      </c>
      <c r="D10820" s="4">
        <v>1101</v>
      </c>
      <c r="E10820" s="4">
        <v>57</v>
      </c>
      <c r="G10820">
        <f t="shared" ref="G10820:G10883" si="169">(E10820+7)*8</f>
        <v>512</v>
      </c>
    </row>
    <row r="10821" spans="2:7" ht="15" hidden="1" x14ac:dyDescent="0.25">
      <c r="B10821" s="4">
        <v>584759431</v>
      </c>
      <c r="C10821" s="4" t="s">
        <v>269</v>
      </c>
      <c r="D10821" s="4">
        <v>1102</v>
      </c>
      <c r="E10821" s="4">
        <v>57</v>
      </c>
      <c r="G10821">
        <f t="shared" si="169"/>
        <v>512</v>
      </c>
    </row>
    <row r="10822" spans="2:7" ht="15" hidden="1" x14ac:dyDescent="0.25">
      <c r="B10822" s="4">
        <v>584759432</v>
      </c>
      <c r="C10822" s="4" t="s">
        <v>268</v>
      </c>
      <c r="D10822" s="4">
        <v>250</v>
      </c>
      <c r="E10822" s="4">
        <v>6</v>
      </c>
      <c r="G10822">
        <f t="shared" si="169"/>
        <v>104</v>
      </c>
    </row>
    <row r="10823" spans="2:7" ht="15" hidden="1" x14ac:dyDescent="0.25">
      <c r="B10823" s="4">
        <v>584759432</v>
      </c>
      <c r="C10823" s="4" t="s">
        <v>268</v>
      </c>
      <c r="D10823" s="4">
        <v>250</v>
      </c>
      <c r="E10823" s="4">
        <v>6</v>
      </c>
      <c r="G10823">
        <f t="shared" si="169"/>
        <v>104</v>
      </c>
    </row>
    <row r="10824" spans="2:7" ht="15" hidden="1" x14ac:dyDescent="0.25">
      <c r="B10824" s="4">
        <v>584759432</v>
      </c>
      <c r="C10824" s="4" t="s">
        <v>268</v>
      </c>
      <c r="D10824" s="4">
        <v>251</v>
      </c>
      <c r="E10824" s="4">
        <v>9</v>
      </c>
      <c r="G10824">
        <f t="shared" si="169"/>
        <v>128</v>
      </c>
    </row>
    <row r="10825" spans="2:7" ht="15" hidden="1" x14ac:dyDescent="0.25">
      <c r="B10825" s="4">
        <v>584759432</v>
      </c>
      <c r="C10825" s="4" t="s">
        <v>268</v>
      </c>
      <c r="D10825" s="4">
        <v>251</v>
      </c>
      <c r="E10825" s="4">
        <v>9</v>
      </c>
      <c r="G10825">
        <f t="shared" si="169"/>
        <v>128</v>
      </c>
    </row>
    <row r="10826" spans="2:7" ht="15" hidden="1" x14ac:dyDescent="0.25">
      <c r="B10826" s="4">
        <v>584759432</v>
      </c>
      <c r="C10826" s="4" t="s">
        <v>268</v>
      </c>
      <c r="D10826" s="4">
        <v>252</v>
      </c>
      <c r="E10826" s="4">
        <v>7</v>
      </c>
      <c r="G10826">
        <f t="shared" si="169"/>
        <v>112</v>
      </c>
    </row>
    <row r="10827" spans="2:7" ht="15" hidden="1" x14ac:dyDescent="0.25">
      <c r="B10827" s="4">
        <v>584759432</v>
      </c>
      <c r="C10827" s="4" t="s">
        <v>268</v>
      </c>
      <c r="D10827" s="4">
        <v>252</v>
      </c>
      <c r="E10827" s="4">
        <v>7</v>
      </c>
      <c r="G10827">
        <f t="shared" si="169"/>
        <v>112</v>
      </c>
    </row>
    <row r="10828" spans="2:7" ht="15" hidden="1" x14ac:dyDescent="0.25">
      <c r="B10828" s="4">
        <v>584759432</v>
      </c>
      <c r="C10828" s="4" t="s">
        <v>268</v>
      </c>
      <c r="D10828" s="4">
        <v>253</v>
      </c>
      <c r="E10828" s="4">
        <v>7</v>
      </c>
      <c r="G10828">
        <f t="shared" si="169"/>
        <v>112</v>
      </c>
    </row>
    <row r="10829" spans="2:7" ht="15" hidden="1" x14ac:dyDescent="0.25">
      <c r="B10829" s="4">
        <v>584759432</v>
      </c>
      <c r="C10829" s="4" t="s">
        <v>268</v>
      </c>
      <c r="D10829" s="4">
        <v>253</v>
      </c>
      <c r="E10829" s="4">
        <v>7</v>
      </c>
      <c r="G10829">
        <f t="shared" si="169"/>
        <v>112</v>
      </c>
    </row>
    <row r="10830" spans="2:7" ht="15" hidden="1" x14ac:dyDescent="0.25">
      <c r="B10830" s="4">
        <v>584759432</v>
      </c>
      <c r="C10830" s="4" t="s">
        <v>268</v>
      </c>
      <c r="D10830" s="4">
        <v>254</v>
      </c>
      <c r="E10830" s="4">
        <v>7</v>
      </c>
      <c r="G10830">
        <f t="shared" si="169"/>
        <v>112</v>
      </c>
    </row>
    <row r="10831" spans="2:7" ht="15" hidden="1" x14ac:dyDescent="0.25">
      <c r="B10831" s="4">
        <v>584759432</v>
      </c>
      <c r="C10831" s="4" t="s">
        <v>268</v>
      </c>
      <c r="D10831" s="4">
        <v>254</v>
      </c>
      <c r="E10831" s="4">
        <v>7</v>
      </c>
      <c r="G10831">
        <f t="shared" si="169"/>
        <v>112</v>
      </c>
    </row>
    <row r="10832" spans="2:7" ht="15" hidden="1" x14ac:dyDescent="0.25">
      <c r="B10832" s="4">
        <v>584759432</v>
      </c>
      <c r="C10832" s="4" t="s">
        <v>269</v>
      </c>
      <c r="D10832" s="4">
        <v>1103</v>
      </c>
      <c r="E10832" s="4">
        <v>57</v>
      </c>
      <c r="G10832">
        <f t="shared" si="169"/>
        <v>512</v>
      </c>
    </row>
    <row r="10833" spans="2:7" ht="15" hidden="1" x14ac:dyDescent="0.25">
      <c r="B10833" s="4">
        <v>584759433</v>
      </c>
      <c r="C10833" s="4" t="s">
        <v>269</v>
      </c>
      <c r="D10833" s="4">
        <v>1104</v>
      </c>
      <c r="E10833" s="4">
        <v>57</v>
      </c>
      <c r="G10833">
        <f t="shared" si="169"/>
        <v>512</v>
      </c>
    </row>
    <row r="10834" spans="2:7" ht="15" hidden="1" x14ac:dyDescent="0.25">
      <c r="B10834" s="4">
        <v>584759434</v>
      </c>
      <c r="C10834" s="4" t="s">
        <v>268</v>
      </c>
      <c r="D10834" s="4">
        <v>255</v>
      </c>
      <c r="E10834" s="4">
        <v>7</v>
      </c>
      <c r="G10834">
        <f t="shared" si="169"/>
        <v>112</v>
      </c>
    </row>
    <row r="10835" spans="2:7" ht="15" hidden="1" x14ac:dyDescent="0.25">
      <c r="B10835" s="4">
        <v>584759434</v>
      </c>
      <c r="C10835" s="4" t="s">
        <v>268</v>
      </c>
      <c r="D10835" s="4">
        <v>255</v>
      </c>
      <c r="E10835" s="4">
        <v>7</v>
      </c>
      <c r="G10835">
        <f t="shared" si="169"/>
        <v>112</v>
      </c>
    </row>
    <row r="10836" spans="2:7" ht="15" hidden="1" x14ac:dyDescent="0.25">
      <c r="B10836" s="4">
        <v>584759434</v>
      </c>
      <c r="C10836" s="4" t="s">
        <v>268</v>
      </c>
      <c r="D10836" s="4">
        <v>256</v>
      </c>
      <c r="E10836" s="4">
        <v>5</v>
      </c>
      <c r="G10836">
        <f t="shared" si="169"/>
        <v>96</v>
      </c>
    </row>
    <row r="10837" spans="2:7" ht="15" hidden="1" x14ac:dyDescent="0.25">
      <c r="B10837" s="4">
        <v>584759434</v>
      </c>
      <c r="C10837" s="4" t="s">
        <v>268</v>
      </c>
      <c r="D10837" s="4">
        <v>256</v>
      </c>
      <c r="E10837" s="4">
        <v>5</v>
      </c>
      <c r="G10837">
        <f t="shared" si="169"/>
        <v>96</v>
      </c>
    </row>
    <row r="10838" spans="2:7" ht="15" hidden="1" x14ac:dyDescent="0.25">
      <c r="B10838" s="4">
        <v>584759434</v>
      </c>
      <c r="C10838" s="4" t="s">
        <v>268</v>
      </c>
      <c r="D10838" s="4">
        <v>257</v>
      </c>
      <c r="E10838" s="4">
        <v>7</v>
      </c>
      <c r="G10838">
        <f t="shared" si="169"/>
        <v>112</v>
      </c>
    </row>
    <row r="10839" spans="2:7" ht="15" hidden="1" x14ac:dyDescent="0.25">
      <c r="B10839" s="4">
        <v>584759434</v>
      </c>
      <c r="C10839" s="4" t="s">
        <v>268</v>
      </c>
      <c r="D10839" s="4">
        <v>257</v>
      </c>
      <c r="E10839" s="4">
        <v>7</v>
      </c>
      <c r="G10839">
        <f t="shared" si="169"/>
        <v>112</v>
      </c>
    </row>
    <row r="10840" spans="2:7" ht="15" hidden="1" x14ac:dyDescent="0.25">
      <c r="B10840" s="4">
        <v>584759434</v>
      </c>
      <c r="C10840" s="4" t="s">
        <v>269</v>
      </c>
      <c r="D10840" s="4">
        <v>1105</v>
      </c>
      <c r="E10840" s="4">
        <v>57</v>
      </c>
      <c r="G10840">
        <f t="shared" si="169"/>
        <v>512</v>
      </c>
    </row>
    <row r="10841" spans="2:7" ht="15" hidden="1" x14ac:dyDescent="0.25">
      <c r="B10841" s="4">
        <v>584759435</v>
      </c>
      <c r="C10841" s="4" t="s">
        <v>269</v>
      </c>
      <c r="D10841" s="4">
        <v>1106</v>
      </c>
      <c r="E10841" s="4">
        <v>57</v>
      </c>
      <c r="G10841">
        <f t="shared" si="169"/>
        <v>512</v>
      </c>
    </row>
    <row r="10842" spans="2:7" ht="15" hidden="1" x14ac:dyDescent="0.25">
      <c r="B10842" s="4">
        <v>584759436</v>
      </c>
      <c r="C10842" s="4" t="s">
        <v>269</v>
      </c>
      <c r="D10842" s="4">
        <v>1107</v>
      </c>
      <c r="E10842" s="4">
        <v>57</v>
      </c>
      <c r="G10842">
        <f t="shared" si="169"/>
        <v>512</v>
      </c>
    </row>
    <row r="10843" spans="2:7" ht="15" hidden="1" x14ac:dyDescent="0.25">
      <c r="B10843" s="4">
        <v>584759437</v>
      </c>
      <c r="C10843" s="4" t="s">
        <v>269</v>
      </c>
      <c r="D10843" s="4">
        <v>1108</v>
      </c>
      <c r="E10843" s="4">
        <v>57</v>
      </c>
      <c r="G10843">
        <f t="shared" si="169"/>
        <v>512</v>
      </c>
    </row>
    <row r="10844" spans="2:7" ht="15" hidden="1" x14ac:dyDescent="0.25">
      <c r="B10844" s="4">
        <v>584759438</v>
      </c>
      <c r="C10844" s="4" t="s">
        <v>269</v>
      </c>
      <c r="D10844" s="4">
        <v>1109</v>
      </c>
      <c r="E10844" s="4">
        <v>57</v>
      </c>
      <c r="G10844">
        <f t="shared" si="169"/>
        <v>512</v>
      </c>
    </row>
    <row r="10845" spans="2:7" ht="15" hidden="1" x14ac:dyDescent="0.25">
      <c r="B10845" s="4">
        <v>584759438</v>
      </c>
      <c r="C10845" s="4" t="s">
        <v>272</v>
      </c>
      <c r="D10845" s="4">
        <v>99</v>
      </c>
      <c r="E10845" s="4">
        <v>211</v>
      </c>
      <c r="G10845">
        <f t="shared" si="169"/>
        <v>1744</v>
      </c>
    </row>
    <row r="10846" spans="2:7" ht="15" hidden="1" x14ac:dyDescent="0.25">
      <c r="B10846" s="4">
        <v>584759439</v>
      </c>
      <c r="C10846" s="4" t="s">
        <v>269</v>
      </c>
      <c r="D10846" s="4">
        <v>1110</v>
      </c>
      <c r="E10846" s="4">
        <v>57</v>
      </c>
      <c r="G10846">
        <f t="shared" si="169"/>
        <v>512</v>
      </c>
    </row>
    <row r="10847" spans="2:7" ht="15" hidden="1" x14ac:dyDescent="0.25">
      <c r="B10847" s="4">
        <v>584759440</v>
      </c>
      <c r="C10847" s="4" t="s">
        <v>269</v>
      </c>
      <c r="D10847" s="4">
        <v>1111</v>
      </c>
      <c r="E10847" s="4">
        <v>57</v>
      </c>
      <c r="G10847">
        <f t="shared" si="169"/>
        <v>512</v>
      </c>
    </row>
    <row r="10848" spans="2:7" ht="15" hidden="1" x14ac:dyDescent="0.25">
      <c r="B10848" s="4">
        <v>584759441</v>
      </c>
      <c r="C10848" s="4" t="s">
        <v>269</v>
      </c>
      <c r="D10848" s="4">
        <v>1112</v>
      </c>
      <c r="E10848" s="4">
        <v>57</v>
      </c>
      <c r="G10848">
        <f t="shared" si="169"/>
        <v>512</v>
      </c>
    </row>
    <row r="10849" spans="2:7" ht="15" hidden="1" x14ac:dyDescent="0.25">
      <c r="B10849" s="4">
        <v>584759442</v>
      </c>
      <c r="C10849" s="4" t="s">
        <v>269</v>
      </c>
      <c r="D10849" s="4">
        <v>1113</v>
      </c>
      <c r="E10849" s="4">
        <v>57</v>
      </c>
      <c r="G10849">
        <f t="shared" si="169"/>
        <v>512</v>
      </c>
    </row>
    <row r="10850" spans="2:7" ht="15" hidden="1" x14ac:dyDescent="0.25">
      <c r="B10850" s="4">
        <v>584759443</v>
      </c>
      <c r="C10850" s="4" t="s">
        <v>269</v>
      </c>
      <c r="D10850" s="4">
        <v>1114</v>
      </c>
      <c r="E10850" s="4">
        <v>57</v>
      </c>
      <c r="G10850">
        <f t="shared" si="169"/>
        <v>512</v>
      </c>
    </row>
    <row r="10851" spans="2:7" ht="15" hidden="1" x14ac:dyDescent="0.25">
      <c r="B10851" s="4">
        <v>584759444</v>
      </c>
      <c r="C10851" s="4" t="s">
        <v>269</v>
      </c>
      <c r="D10851" s="4">
        <v>1115</v>
      </c>
      <c r="E10851" s="4">
        <v>57</v>
      </c>
      <c r="G10851">
        <f t="shared" si="169"/>
        <v>512</v>
      </c>
    </row>
    <row r="10852" spans="2:7" ht="15" hidden="1" x14ac:dyDescent="0.25">
      <c r="B10852" s="4">
        <v>584759445</v>
      </c>
      <c r="C10852" s="4" t="s">
        <v>269</v>
      </c>
      <c r="D10852" s="4">
        <v>1116</v>
      </c>
      <c r="E10852" s="4">
        <v>57</v>
      </c>
      <c r="G10852">
        <f t="shared" si="169"/>
        <v>512</v>
      </c>
    </row>
    <row r="10853" spans="2:7" ht="15" hidden="1" x14ac:dyDescent="0.25">
      <c r="B10853" s="4">
        <v>584759446</v>
      </c>
      <c r="C10853" s="4" t="s">
        <v>269</v>
      </c>
      <c r="D10853" s="4">
        <v>1117</v>
      </c>
      <c r="E10853" s="4">
        <v>57</v>
      </c>
      <c r="G10853">
        <f t="shared" si="169"/>
        <v>512</v>
      </c>
    </row>
    <row r="10854" spans="2:7" ht="15" hidden="1" x14ac:dyDescent="0.25">
      <c r="B10854" s="4">
        <v>584759447</v>
      </c>
      <c r="C10854" s="4" t="s">
        <v>269</v>
      </c>
      <c r="D10854" s="4">
        <v>1118</v>
      </c>
      <c r="E10854" s="4">
        <v>57</v>
      </c>
      <c r="G10854">
        <f t="shared" si="169"/>
        <v>512</v>
      </c>
    </row>
    <row r="10855" spans="2:7" ht="15" hidden="1" x14ac:dyDescent="0.25">
      <c r="B10855" s="4">
        <v>584759448</v>
      </c>
      <c r="C10855" s="4" t="s">
        <v>269</v>
      </c>
      <c r="D10855" s="4">
        <v>1119</v>
      </c>
      <c r="E10855" s="4">
        <v>57</v>
      </c>
      <c r="G10855">
        <f t="shared" si="169"/>
        <v>512</v>
      </c>
    </row>
    <row r="10856" spans="2:7" ht="15" hidden="1" x14ac:dyDescent="0.25">
      <c r="B10856" s="4">
        <v>584759448</v>
      </c>
      <c r="C10856" s="4" t="s">
        <v>272</v>
      </c>
      <c r="D10856" s="4">
        <v>100</v>
      </c>
      <c r="E10856" s="4">
        <v>211</v>
      </c>
      <c r="G10856">
        <f t="shared" si="169"/>
        <v>1744</v>
      </c>
    </row>
    <row r="10857" spans="2:7" ht="15" hidden="1" x14ac:dyDescent="0.25">
      <c r="B10857" s="4">
        <v>584759449</v>
      </c>
      <c r="C10857" s="4" t="s">
        <v>269</v>
      </c>
      <c r="D10857" s="4">
        <v>1120</v>
      </c>
      <c r="E10857" s="4">
        <v>57</v>
      </c>
      <c r="G10857">
        <f t="shared" si="169"/>
        <v>512</v>
      </c>
    </row>
    <row r="10858" spans="2:7" ht="15" hidden="1" x14ac:dyDescent="0.25">
      <c r="B10858" s="4">
        <v>584759450</v>
      </c>
      <c r="C10858" s="4" t="s">
        <v>269</v>
      </c>
      <c r="D10858" s="4">
        <v>1121</v>
      </c>
      <c r="E10858" s="4">
        <v>57</v>
      </c>
      <c r="G10858">
        <f t="shared" si="169"/>
        <v>512</v>
      </c>
    </row>
    <row r="10859" spans="2:7" ht="15" hidden="1" x14ac:dyDescent="0.25">
      <c r="B10859" s="4">
        <v>584759451</v>
      </c>
      <c r="C10859" s="4" t="s">
        <v>269</v>
      </c>
      <c r="D10859" s="4">
        <v>1122</v>
      </c>
      <c r="E10859" s="4">
        <v>57</v>
      </c>
      <c r="G10859">
        <f t="shared" si="169"/>
        <v>512</v>
      </c>
    </row>
    <row r="10860" spans="2:7" ht="15" hidden="1" x14ac:dyDescent="0.25">
      <c r="B10860" s="4">
        <v>584759452</v>
      </c>
      <c r="C10860" s="4" t="s">
        <v>269</v>
      </c>
      <c r="D10860" s="4">
        <v>1123</v>
      </c>
      <c r="E10860" s="4">
        <v>57</v>
      </c>
      <c r="G10860">
        <f t="shared" si="169"/>
        <v>512</v>
      </c>
    </row>
    <row r="10861" spans="2:7" ht="15" hidden="1" x14ac:dyDescent="0.25">
      <c r="B10861" s="4">
        <v>584759453</v>
      </c>
      <c r="C10861" s="4" t="s">
        <v>269</v>
      </c>
      <c r="D10861" s="4">
        <v>1124</v>
      </c>
      <c r="E10861" s="4">
        <v>57</v>
      </c>
      <c r="G10861">
        <f t="shared" si="169"/>
        <v>512</v>
      </c>
    </row>
    <row r="10862" spans="2:7" ht="15" hidden="1" x14ac:dyDescent="0.25">
      <c r="B10862" s="4">
        <v>584759454</v>
      </c>
      <c r="C10862" s="4" t="s">
        <v>269</v>
      </c>
      <c r="D10862" s="4">
        <v>1125</v>
      </c>
      <c r="E10862" s="4">
        <v>57</v>
      </c>
      <c r="G10862">
        <f t="shared" si="169"/>
        <v>512</v>
      </c>
    </row>
    <row r="10863" spans="2:7" ht="15" hidden="1" x14ac:dyDescent="0.25">
      <c r="B10863" s="4">
        <v>584759455</v>
      </c>
      <c r="C10863" s="4" t="s">
        <v>269</v>
      </c>
      <c r="D10863" s="4">
        <v>1126</v>
      </c>
      <c r="E10863" s="4">
        <v>57</v>
      </c>
      <c r="G10863">
        <f t="shared" si="169"/>
        <v>512</v>
      </c>
    </row>
    <row r="10864" spans="2:7" ht="15" hidden="1" x14ac:dyDescent="0.25">
      <c r="B10864" s="4">
        <v>584759456</v>
      </c>
      <c r="C10864" s="4" t="s">
        <v>269</v>
      </c>
      <c r="D10864" s="4">
        <v>1127</v>
      </c>
      <c r="E10864" s="4">
        <v>57</v>
      </c>
      <c r="G10864">
        <f t="shared" si="169"/>
        <v>512</v>
      </c>
    </row>
    <row r="10865" spans="2:7" ht="15" hidden="1" x14ac:dyDescent="0.25">
      <c r="B10865" s="4">
        <v>584759457</v>
      </c>
      <c r="C10865" s="4" t="s">
        <v>269</v>
      </c>
      <c r="D10865" s="4">
        <v>1128</v>
      </c>
      <c r="E10865" s="4">
        <v>57</v>
      </c>
      <c r="G10865">
        <f t="shared" si="169"/>
        <v>512</v>
      </c>
    </row>
    <row r="10866" spans="2:7" ht="15" hidden="1" x14ac:dyDescent="0.25">
      <c r="B10866" s="4">
        <v>584759458</v>
      </c>
      <c r="C10866" s="4" t="s">
        <v>269</v>
      </c>
      <c r="D10866" s="4">
        <v>1129</v>
      </c>
      <c r="E10866" s="4">
        <v>57</v>
      </c>
      <c r="G10866">
        <f t="shared" si="169"/>
        <v>512</v>
      </c>
    </row>
    <row r="10867" spans="2:7" ht="15" hidden="1" x14ac:dyDescent="0.25">
      <c r="B10867" s="4">
        <v>584759458</v>
      </c>
      <c r="C10867" s="4" t="s">
        <v>272</v>
      </c>
      <c r="D10867" s="4">
        <v>101</v>
      </c>
      <c r="E10867" s="4">
        <v>213</v>
      </c>
      <c r="G10867">
        <f t="shared" si="169"/>
        <v>1760</v>
      </c>
    </row>
    <row r="10868" spans="2:7" ht="15" hidden="1" x14ac:dyDescent="0.25">
      <c r="B10868" s="4">
        <v>584759459</v>
      </c>
      <c r="C10868" s="4" t="s">
        <v>269</v>
      </c>
      <c r="D10868" s="4">
        <v>1130</v>
      </c>
      <c r="E10868" s="4">
        <v>57</v>
      </c>
      <c r="G10868">
        <f t="shared" si="169"/>
        <v>512</v>
      </c>
    </row>
    <row r="10869" spans="2:7" ht="15" hidden="1" x14ac:dyDescent="0.25">
      <c r="B10869" s="4">
        <v>584759460</v>
      </c>
      <c r="C10869" s="4" t="s">
        <v>269</v>
      </c>
      <c r="D10869" s="4">
        <v>1131</v>
      </c>
      <c r="E10869" s="4">
        <v>57</v>
      </c>
      <c r="G10869">
        <f t="shared" si="169"/>
        <v>512</v>
      </c>
    </row>
    <row r="10870" spans="2:7" ht="15" hidden="1" x14ac:dyDescent="0.25">
      <c r="B10870" s="4">
        <v>584759461</v>
      </c>
      <c r="C10870" s="4" t="s">
        <v>269</v>
      </c>
      <c r="D10870" s="4">
        <v>1132</v>
      </c>
      <c r="E10870" s="4">
        <v>57</v>
      </c>
      <c r="G10870">
        <f t="shared" si="169"/>
        <v>512</v>
      </c>
    </row>
    <row r="10871" spans="2:7" ht="15" hidden="1" x14ac:dyDescent="0.25">
      <c r="B10871" s="4">
        <v>584759462</v>
      </c>
      <c r="C10871" s="4" t="s">
        <v>269</v>
      </c>
      <c r="D10871" s="4">
        <v>1133</v>
      </c>
      <c r="E10871" s="4">
        <v>57</v>
      </c>
      <c r="G10871">
        <f t="shared" si="169"/>
        <v>512</v>
      </c>
    </row>
    <row r="10872" spans="2:7" ht="15" hidden="1" x14ac:dyDescent="0.25">
      <c r="B10872" s="4">
        <v>584759463</v>
      </c>
      <c r="C10872" s="4" t="s">
        <v>269</v>
      </c>
      <c r="D10872" s="4">
        <v>1134</v>
      </c>
      <c r="E10872" s="4">
        <v>57</v>
      </c>
      <c r="G10872">
        <f t="shared" si="169"/>
        <v>512</v>
      </c>
    </row>
    <row r="10873" spans="2:7" ht="15" hidden="1" x14ac:dyDescent="0.25">
      <c r="B10873" s="4">
        <v>584759464</v>
      </c>
      <c r="C10873" s="4" t="s">
        <v>269</v>
      </c>
      <c r="D10873" s="4">
        <v>1135</v>
      </c>
      <c r="E10873" s="4">
        <v>57</v>
      </c>
      <c r="G10873">
        <f t="shared" si="169"/>
        <v>512</v>
      </c>
    </row>
    <row r="10874" spans="2:7" ht="15" hidden="1" x14ac:dyDescent="0.25">
      <c r="B10874" s="4">
        <v>584759465</v>
      </c>
      <c r="C10874" s="4" t="s">
        <v>269</v>
      </c>
      <c r="D10874" s="4">
        <v>1136</v>
      </c>
      <c r="E10874" s="4">
        <v>57</v>
      </c>
      <c r="G10874">
        <f t="shared" si="169"/>
        <v>512</v>
      </c>
    </row>
    <row r="10875" spans="2:7" ht="15" hidden="1" x14ac:dyDescent="0.25">
      <c r="B10875" s="4">
        <v>584759466</v>
      </c>
      <c r="C10875" s="4" t="s">
        <v>269</v>
      </c>
      <c r="D10875" s="4">
        <v>1137</v>
      </c>
      <c r="E10875" s="4">
        <v>57</v>
      </c>
      <c r="G10875">
        <f t="shared" si="169"/>
        <v>512</v>
      </c>
    </row>
    <row r="10876" spans="2:7" ht="15" hidden="1" x14ac:dyDescent="0.25">
      <c r="B10876" s="4">
        <v>584759467</v>
      </c>
      <c r="C10876" s="4" t="s">
        <v>269</v>
      </c>
      <c r="D10876" s="4">
        <v>1138</v>
      </c>
      <c r="E10876" s="4">
        <v>57</v>
      </c>
      <c r="G10876">
        <f t="shared" si="169"/>
        <v>512</v>
      </c>
    </row>
    <row r="10877" spans="2:7" ht="15" hidden="1" x14ac:dyDescent="0.25">
      <c r="B10877" s="4">
        <v>584759468</v>
      </c>
      <c r="C10877" s="4" t="s">
        <v>269</v>
      </c>
      <c r="D10877" s="4">
        <v>1139</v>
      </c>
      <c r="E10877" s="4">
        <v>57</v>
      </c>
      <c r="G10877">
        <f t="shared" si="169"/>
        <v>512</v>
      </c>
    </row>
    <row r="10878" spans="2:7" ht="15" hidden="1" x14ac:dyDescent="0.25">
      <c r="B10878" s="4">
        <v>584759468</v>
      </c>
      <c r="C10878" s="4" t="s">
        <v>272</v>
      </c>
      <c r="D10878" s="4">
        <v>102</v>
      </c>
      <c r="E10878" s="4">
        <v>213</v>
      </c>
      <c r="G10878">
        <f t="shared" si="169"/>
        <v>1760</v>
      </c>
    </row>
    <row r="10879" spans="2:7" ht="15" hidden="1" x14ac:dyDescent="0.25">
      <c r="B10879" s="4">
        <v>584759469</v>
      </c>
      <c r="C10879" s="4" t="s">
        <v>269</v>
      </c>
      <c r="D10879" s="4">
        <v>1140</v>
      </c>
      <c r="E10879" s="4">
        <v>57</v>
      </c>
      <c r="G10879">
        <f t="shared" si="169"/>
        <v>512</v>
      </c>
    </row>
    <row r="10880" spans="2:7" ht="15" hidden="1" x14ac:dyDescent="0.25">
      <c r="B10880" s="4">
        <v>584759470</v>
      </c>
      <c r="C10880" s="4" t="s">
        <v>269</v>
      </c>
      <c r="D10880" s="4">
        <v>1141</v>
      </c>
      <c r="E10880" s="4">
        <v>57</v>
      </c>
      <c r="G10880">
        <f t="shared" si="169"/>
        <v>512</v>
      </c>
    </row>
    <row r="10881" spans="2:7" ht="15" hidden="1" x14ac:dyDescent="0.25">
      <c r="B10881" s="4">
        <v>584759471</v>
      </c>
      <c r="C10881" s="4" t="s">
        <v>269</v>
      </c>
      <c r="D10881" s="4">
        <v>1142</v>
      </c>
      <c r="E10881" s="4">
        <v>57</v>
      </c>
      <c r="G10881">
        <f t="shared" si="169"/>
        <v>512</v>
      </c>
    </row>
    <row r="10882" spans="2:7" ht="15" hidden="1" x14ac:dyDescent="0.25">
      <c r="B10882" s="4">
        <v>584759472</v>
      </c>
      <c r="C10882" s="4" t="s">
        <v>269</v>
      </c>
      <c r="D10882" s="4">
        <v>1143</v>
      </c>
      <c r="E10882" s="4">
        <v>57</v>
      </c>
      <c r="G10882">
        <f t="shared" si="169"/>
        <v>512</v>
      </c>
    </row>
    <row r="10883" spans="2:7" ht="15" hidden="1" x14ac:dyDescent="0.25">
      <c r="B10883" s="4">
        <v>584759473</v>
      </c>
      <c r="C10883" s="4" t="s">
        <v>269</v>
      </c>
      <c r="D10883" s="4">
        <v>1144</v>
      </c>
      <c r="E10883" s="4">
        <v>57</v>
      </c>
      <c r="G10883">
        <f t="shared" si="169"/>
        <v>512</v>
      </c>
    </row>
    <row r="10884" spans="2:7" ht="15" hidden="1" x14ac:dyDescent="0.25">
      <c r="B10884" s="4">
        <v>584759474</v>
      </c>
      <c r="C10884" s="4" t="s">
        <v>269</v>
      </c>
      <c r="D10884" s="4">
        <v>1145</v>
      </c>
      <c r="E10884" s="4">
        <v>57</v>
      </c>
      <c r="G10884">
        <f t="shared" ref="G10884:G10947" si="170">(E10884+7)*8</f>
        <v>512</v>
      </c>
    </row>
    <row r="10885" spans="2:7" ht="15" hidden="1" x14ac:dyDescent="0.25">
      <c r="B10885" s="4">
        <v>584759475</v>
      </c>
      <c r="C10885" s="4" t="s">
        <v>269</v>
      </c>
      <c r="D10885" s="4">
        <v>1146</v>
      </c>
      <c r="E10885" s="4">
        <v>57</v>
      </c>
      <c r="G10885">
        <f t="shared" si="170"/>
        <v>512</v>
      </c>
    </row>
    <row r="10886" spans="2:7" ht="15" hidden="1" x14ac:dyDescent="0.25">
      <c r="B10886" s="4">
        <v>584759476</v>
      </c>
      <c r="C10886" s="4" t="s">
        <v>269</v>
      </c>
      <c r="D10886" s="4">
        <v>1147</v>
      </c>
      <c r="E10886" s="4">
        <v>57</v>
      </c>
      <c r="G10886">
        <f t="shared" si="170"/>
        <v>512</v>
      </c>
    </row>
    <row r="10887" spans="2:7" ht="15" hidden="1" x14ac:dyDescent="0.25">
      <c r="B10887" s="4">
        <v>584759477</v>
      </c>
      <c r="C10887" s="4" t="s">
        <v>269</v>
      </c>
      <c r="D10887" s="4">
        <v>1148</v>
      </c>
      <c r="E10887" s="4">
        <v>57</v>
      </c>
      <c r="G10887">
        <f t="shared" si="170"/>
        <v>512</v>
      </c>
    </row>
    <row r="10888" spans="2:7" ht="15" hidden="1" x14ac:dyDescent="0.25">
      <c r="B10888" s="4">
        <v>584759478</v>
      </c>
      <c r="C10888" s="4" t="s">
        <v>269</v>
      </c>
      <c r="D10888" s="4">
        <v>1149</v>
      </c>
      <c r="E10888" s="4">
        <v>57</v>
      </c>
      <c r="G10888">
        <f t="shared" si="170"/>
        <v>512</v>
      </c>
    </row>
    <row r="10889" spans="2:7" ht="15" hidden="1" x14ac:dyDescent="0.25">
      <c r="B10889" s="4">
        <v>584759478</v>
      </c>
      <c r="C10889" s="4" t="s">
        <v>272</v>
      </c>
      <c r="D10889" s="4">
        <v>103</v>
      </c>
      <c r="E10889" s="4">
        <v>211</v>
      </c>
      <c r="G10889">
        <f t="shared" si="170"/>
        <v>1744</v>
      </c>
    </row>
    <row r="10890" spans="2:7" ht="15" hidden="1" x14ac:dyDescent="0.25">
      <c r="B10890" s="4">
        <v>584759479</v>
      </c>
      <c r="C10890" s="4" t="s">
        <v>269</v>
      </c>
      <c r="D10890" s="4">
        <v>1150</v>
      </c>
      <c r="E10890" s="4">
        <v>57</v>
      </c>
      <c r="G10890">
        <f t="shared" si="170"/>
        <v>512</v>
      </c>
    </row>
    <row r="10891" spans="2:7" ht="15" hidden="1" x14ac:dyDescent="0.25">
      <c r="B10891" s="4">
        <v>584759480</v>
      </c>
      <c r="C10891" s="4" t="s">
        <v>269</v>
      </c>
      <c r="D10891" s="4">
        <v>1151</v>
      </c>
      <c r="E10891" s="4">
        <v>57</v>
      </c>
      <c r="G10891">
        <f t="shared" si="170"/>
        <v>512</v>
      </c>
    </row>
    <row r="10892" spans="2:7" ht="15" hidden="1" x14ac:dyDescent="0.25">
      <c r="B10892" s="4">
        <v>584759481</v>
      </c>
      <c r="C10892" s="4" t="s">
        <v>269</v>
      </c>
      <c r="D10892" s="4">
        <v>1152</v>
      </c>
      <c r="E10892" s="4">
        <v>57</v>
      </c>
      <c r="G10892">
        <f t="shared" si="170"/>
        <v>512</v>
      </c>
    </row>
    <row r="10893" spans="2:7" ht="15" hidden="1" x14ac:dyDescent="0.25">
      <c r="B10893" s="4">
        <v>584759482</v>
      </c>
      <c r="C10893" s="4" t="s">
        <v>269</v>
      </c>
      <c r="D10893" s="4">
        <v>1153</v>
      </c>
      <c r="E10893" s="4">
        <v>57</v>
      </c>
      <c r="G10893">
        <f t="shared" si="170"/>
        <v>512</v>
      </c>
    </row>
    <row r="10894" spans="2:7" ht="15" hidden="1" x14ac:dyDescent="0.25">
      <c r="B10894" s="4">
        <v>584759483</v>
      </c>
      <c r="C10894" s="4" t="s">
        <v>269</v>
      </c>
      <c r="D10894" s="4">
        <v>1154</v>
      </c>
      <c r="E10894" s="4">
        <v>57</v>
      </c>
      <c r="G10894">
        <f t="shared" si="170"/>
        <v>512</v>
      </c>
    </row>
    <row r="10895" spans="2:7" ht="15" hidden="1" x14ac:dyDescent="0.25">
      <c r="B10895" s="4">
        <v>584759484</v>
      </c>
      <c r="C10895" s="4" t="s">
        <v>269</v>
      </c>
      <c r="D10895" s="4">
        <v>1155</v>
      </c>
      <c r="E10895" s="4">
        <v>57</v>
      </c>
      <c r="G10895">
        <f t="shared" si="170"/>
        <v>512</v>
      </c>
    </row>
    <row r="10896" spans="2:7" ht="15" hidden="1" x14ac:dyDescent="0.25">
      <c r="B10896" s="4">
        <v>584759485</v>
      </c>
      <c r="C10896" s="4" t="s">
        <v>269</v>
      </c>
      <c r="D10896" s="4">
        <v>1156</v>
      </c>
      <c r="E10896" s="4">
        <v>57</v>
      </c>
      <c r="G10896">
        <f t="shared" si="170"/>
        <v>512</v>
      </c>
    </row>
    <row r="10897" spans="2:7" ht="15" hidden="1" x14ac:dyDescent="0.25">
      <c r="B10897" s="4">
        <v>584759486</v>
      </c>
      <c r="C10897" s="4" t="s">
        <v>269</v>
      </c>
      <c r="D10897" s="4">
        <v>1157</v>
      </c>
      <c r="E10897" s="4">
        <v>57</v>
      </c>
      <c r="G10897">
        <f t="shared" si="170"/>
        <v>512</v>
      </c>
    </row>
    <row r="10898" spans="2:7" ht="15" hidden="1" x14ac:dyDescent="0.25">
      <c r="B10898" s="4">
        <v>584759487</v>
      </c>
      <c r="C10898" s="4" t="s">
        <v>269</v>
      </c>
      <c r="D10898" s="4">
        <v>1158</v>
      </c>
      <c r="E10898" s="4">
        <v>57</v>
      </c>
      <c r="G10898">
        <f t="shared" si="170"/>
        <v>512</v>
      </c>
    </row>
    <row r="10899" spans="2:7" ht="15" hidden="1" x14ac:dyDescent="0.25">
      <c r="B10899" s="4">
        <v>584759488</v>
      </c>
      <c r="C10899" s="4" t="s">
        <v>269</v>
      </c>
      <c r="D10899" s="4">
        <v>1159</v>
      </c>
      <c r="E10899" s="4">
        <v>57</v>
      </c>
      <c r="G10899">
        <f t="shared" si="170"/>
        <v>512</v>
      </c>
    </row>
    <row r="10900" spans="2:7" ht="15" hidden="1" x14ac:dyDescent="0.25">
      <c r="B10900" s="4">
        <v>584759488</v>
      </c>
      <c r="C10900" s="4" t="s">
        <v>272</v>
      </c>
      <c r="D10900" s="4">
        <v>104</v>
      </c>
      <c r="E10900" s="4">
        <v>209</v>
      </c>
      <c r="G10900">
        <f t="shared" si="170"/>
        <v>1728</v>
      </c>
    </row>
    <row r="10901" spans="2:7" ht="15" hidden="1" x14ac:dyDescent="0.25">
      <c r="B10901" s="4">
        <v>584759489</v>
      </c>
      <c r="C10901" s="4" t="s">
        <v>269</v>
      </c>
      <c r="D10901" s="4">
        <v>1160</v>
      </c>
      <c r="E10901" s="4">
        <v>57</v>
      </c>
      <c r="G10901">
        <f t="shared" si="170"/>
        <v>512</v>
      </c>
    </row>
    <row r="10902" spans="2:7" ht="15" hidden="1" x14ac:dyDescent="0.25">
      <c r="B10902" s="4">
        <v>584759490</v>
      </c>
      <c r="C10902" s="4" t="s">
        <v>269</v>
      </c>
      <c r="D10902" s="4">
        <v>1161</v>
      </c>
      <c r="E10902" s="4">
        <v>57</v>
      </c>
      <c r="G10902">
        <f t="shared" si="170"/>
        <v>512</v>
      </c>
    </row>
    <row r="10903" spans="2:7" ht="15" hidden="1" x14ac:dyDescent="0.25">
      <c r="B10903" s="4">
        <v>584759491</v>
      </c>
      <c r="C10903" s="4" t="s">
        <v>269</v>
      </c>
      <c r="D10903" s="4">
        <v>1162</v>
      </c>
      <c r="E10903" s="4">
        <v>57</v>
      </c>
      <c r="G10903">
        <f t="shared" si="170"/>
        <v>512</v>
      </c>
    </row>
    <row r="10904" spans="2:7" ht="15" hidden="1" x14ac:dyDescent="0.25">
      <c r="B10904" s="4">
        <v>584759492</v>
      </c>
      <c r="C10904" s="4" t="s">
        <v>269</v>
      </c>
      <c r="D10904" s="4">
        <v>1163</v>
      </c>
      <c r="E10904" s="4">
        <v>57</v>
      </c>
      <c r="G10904">
        <f t="shared" si="170"/>
        <v>512</v>
      </c>
    </row>
    <row r="10905" spans="2:7" ht="15" hidden="1" x14ac:dyDescent="0.25">
      <c r="B10905" s="4">
        <v>584759493</v>
      </c>
      <c r="C10905" s="4" t="s">
        <v>269</v>
      </c>
      <c r="D10905" s="4">
        <v>1164</v>
      </c>
      <c r="E10905" s="4">
        <v>57</v>
      </c>
      <c r="G10905">
        <f t="shared" si="170"/>
        <v>512</v>
      </c>
    </row>
    <row r="10906" spans="2:7" ht="15" hidden="1" x14ac:dyDescent="0.25">
      <c r="B10906" s="4">
        <v>584759494</v>
      </c>
      <c r="C10906" s="4" t="s">
        <v>269</v>
      </c>
      <c r="D10906" s="4">
        <v>1165</v>
      </c>
      <c r="E10906" s="4">
        <v>57</v>
      </c>
      <c r="G10906">
        <f t="shared" si="170"/>
        <v>512</v>
      </c>
    </row>
    <row r="10907" spans="2:7" ht="15" hidden="1" x14ac:dyDescent="0.25">
      <c r="B10907" s="4">
        <v>584759495</v>
      </c>
      <c r="C10907" s="4" t="s">
        <v>269</v>
      </c>
      <c r="D10907" s="4">
        <v>1166</v>
      </c>
      <c r="E10907" s="4">
        <v>57</v>
      </c>
      <c r="G10907">
        <f t="shared" si="170"/>
        <v>512</v>
      </c>
    </row>
    <row r="10908" spans="2:7" ht="15" hidden="1" x14ac:dyDescent="0.25">
      <c r="B10908" s="4">
        <v>584759496</v>
      </c>
      <c r="C10908" s="4" t="s">
        <v>269</v>
      </c>
      <c r="D10908" s="4">
        <v>1167</v>
      </c>
      <c r="E10908" s="4">
        <v>57</v>
      </c>
      <c r="G10908">
        <f t="shared" si="170"/>
        <v>512</v>
      </c>
    </row>
    <row r="10909" spans="2:7" ht="15" hidden="1" x14ac:dyDescent="0.25">
      <c r="B10909" s="4">
        <v>584759497</v>
      </c>
      <c r="C10909" s="4" t="s">
        <v>269</v>
      </c>
      <c r="D10909" s="4">
        <v>1168</v>
      </c>
      <c r="E10909" s="4">
        <v>57</v>
      </c>
      <c r="G10909">
        <f t="shared" si="170"/>
        <v>512</v>
      </c>
    </row>
    <row r="10910" spans="2:7" ht="15" hidden="1" x14ac:dyDescent="0.25">
      <c r="B10910" s="4">
        <v>584759498</v>
      </c>
      <c r="C10910" s="4" t="s">
        <v>269</v>
      </c>
      <c r="D10910" s="4">
        <v>1169</v>
      </c>
      <c r="E10910" s="4">
        <v>57</v>
      </c>
      <c r="G10910">
        <f t="shared" si="170"/>
        <v>512</v>
      </c>
    </row>
    <row r="10911" spans="2:7" ht="15" hidden="1" x14ac:dyDescent="0.25">
      <c r="B10911" s="4">
        <v>584759498</v>
      </c>
      <c r="C10911" s="4" t="s">
        <v>272</v>
      </c>
      <c r="D10911" s="4">
        <v>105</v>
      </c>
      <c r="E10911" s="4">
        <v>213</v>
      </c>
      <c r="G10911">
        <f t="shared" si="170"/>
        <v>1760</v>
      </c>
    </row>
    <row r="10912" spans="2:7" ht="15" hidden="1" x14ac:dyDescent="0.25">
      <c r="B10912" s="4">
        <v>584759499</v>
      </c>
      <c r="C10912" s="4" t="s">
        <v>269</v>
      </c>
      <c r="D10912" s="4">
        <v>1170</v>
      </c>
      <c r="E10912" s="4">
        <v>57</v>
      </c>
      <c r="G10912">
        <f t="shared" si="170"/>
        <v>512</v>
      </c>
    </row>
    <row r="10913" spans="2:7" ht="15" hidden="1" x14ac:dyDescent="0.25">
      <c r="B10913" s="4">
        <v>584759500</v>
      </c>
      <c r="C10913" s="4" t="s">
        <v>269</v>
      </c>
      <c r="D10913" s="4">
        <v>1171</v>
      </c>
      <c r="E10913" s="4">
        <v>57</v>
      </c>
      <c r="G10913">
        <f t="shared" si="170"/>
        <v>512</v>
      </c>
    </row>
    <row r="10914" spans="2:7" ht="15" hidden="1" x14ac:dyDescent="0.25">
      <c r="B10914" s="4">
        <v>584759501</v>
      </c>
      <c r="C10914" s="4" t="s">
        <v>269</v>
      </c>
      <c r="D10914" s="4">
        <v>1172</v>
      </c>
      <c r="E10914" s="4">
        <v>57</v>
      </c>
      <c r="G10914">
        <f t="shared" si="170"/>
        <v>512</v>
      </c>
    </row>
    <row r="10915" spans="2:7" ht="15" hidden="1" x14ac:dyDescent="0.25">
      <c r="B10915" s="4">
        <v>584759502</v>
      </c>
      <c r="C10915" s="4" t="s">
        <v>269</v>
      </c>
      <c r="D10915" s="4">
        <v>1173</v>
      </c>
      <c r="E10915" s="4">
        <v>57</v>
      </c>
      <c r="G10915">
        <f t="shared" si="170"/>
        <v>512</v>
      </c>
    </row>
    <row r="10916" spans="2:7" ht="15" hidden="1" x14ac:dyDescent="0.25">
      <c r="B10916" s="4">
        <v>584759503</v>
      </c>
      <c r="C10916" s="4" t="s">
        <v>269</v>
      </c>
      <c r="D10916" s="4">
        <v>1174</v>
      </c>
      <c r="E10916" s="4">
        <v>57</v>
      </c>
      <c r="G10916">
        <f t="shared" si="170"/>
        <v>512</v>
      </c>
    </row>
    <row r="10917" spans="2:7" ht="15" hidden="1" x14ac:dyDescent="0.25">
      <c r="B10917" s="4">
        <v>584759504</v>
      </c>
      <c r="C10917" s="4" t="s">
        <v>269</v>
      </c>
      <c r="D10917" s="4">
        <v>1175</v>
      </c>
      <c r="E10917" s="4">
        <v>57</v>
      </c>
      <c r="G10917">
        <f t="shared" si="170"/>
        <v>512</v>
      </c>
    </row>
    <row r="10918" spans="2:7" ht="15" hidden="1" x14ac:dyDescent="0.25">
      <c r="B10918" s="4">
        <v>584759505</v>
      </c>
      <c r="C10918" s="4" t="s">
        <v>269</v>
      </c>
      <c r="D10918" s="4">
        <v>1176</v>
      </c>
      <c r="E10918" s="4">
        <v>57</v>
      </c>
      <c r="G10918">
        <f t="shared" si="170"/>
        <v>512</v>
      </c>
    </row>
    <row r="10919" spans="2:7" ht="15" hidden="1" x14ac:dyDescent="0.25">
      <c r="B10919" s="4">
        <v>584759506</v>
      </c>
      <c r="C10919" s="4" t="s">
        <v>269</v>
      </c>
      <c r="D10919" s="4">
        <v>1177</v>
      </c>
      <c r="E10919" s="4">
        <v>57</v>
      </c>
      <c r="G10919">
        <f t="shared" si="170"/>
        <v>512</v>
      </c>
    </row>
    <row r="10920" spans="2:7" ht="15" hidden="1" x14ac:dyDescent="0.25">
      <c r="B10920" s="4">
        <v>584759507</v>
      </c>
      <c r="C10920" s="4" t="s">
        <v>269</v>
      </c>
      <c r="D10920" s="4">
        <v>1178</v>
      </c>
      <c r="E10920" s="4">
        <v>57</v>
      </c>
      <c r="G10920">
        <f t="shared" si="170"/>
        <v>512</v>
      </c>
    </row>
    <row r="10921" spans="2:7" ht="15" hidden="1" x14ac:dyDescent="0.25">
      <c r="B10921" s="4">
        <v>584759508</v>
      </c>
      <c r="C10921" s="4" t="s">
        <v>269</v>
      </c>
      <c r="D10921" s="4">
        <v>1179</v>
      </c>
      <c r="E10921" s="4">
        <v>57</v>
      </c>
      <c r="G10921">
        <f t="shared" si="170"/>
        <v>512</v>
      </c>
    </row>
    <row r="10922" spans="2:7" ht="15" hidden="1" x14ac:dyDescent="0.25">
      <c r="B10922" s="4">
        <v>584759508</v>
      </c>
      <c r="C10922" s="4" t="s">
        <v>272</v>
      </c>
      <c r="D10922" s="4">
        <v>106</v>
      </c>
      <c r="E10922" s="4">
        <v>211</v>
      </c>
      <c r="G10922">
        <f t="shared" si="170"/>
        <v>1744</v>
      </c>
    </row>
    <row r="10923" spans="2:7" ht="15" hidden="1" x14ac:dyDescent="0.25">
      <c r="B10923" s="4">
        <v>584759509</v>
      </c>
      <c r="C10923" s="4" t="s">
        <v>269</v>
      </c>
      <c r="D10923" s="4">
        <v>1180</v>
      </c>
      <c r="E10923" s="4">
        <v>57</v>
      </c>
      <c r="G10923">
        <f t="shared" si="170"/>
        <v>512</v>
      </c>
    </row>
    <row r="10924" spans="2:7" ht="15" hidden="1" x14ac:dyDescent="0.25">
      <c r="B10924" s="4">
        <v>584759510</v>
      </c>
      <c r="C10924" s="4" t="s">
        <v>269</v>
      </c>
      <c r="D10924" s="4">
        <v>1181</v>
      </c>
      <c r="E10924" s="4">
        <v>57</v>
      </c>
      <c r="G10924">
        <f t="shared" si="170"/>
        <v>512</v>
      </c>
    </row>
    <row r="10925" spans="2:7" ht="15" hidden="1" x14ac:dyDescent="0.25">
      <c r="B10925" s="4">
        <v>584759511</v>
      </c>
      <c r="C10925" s="4" t="s">
        <v>269</v>
      </c>
      <c r="D10925" s="4">
        <v>1182</v>
      </c>
      <c r="E10925" s="4">
        <v>57</v>
      </c>
      <c r="G10925">
        <f t="shared" si="170"/>
        <v>512</v>
      </c>
    </row>
    <row r="10926" spans="2:7" ht="15" hidden="1" x14ac:dyDescent="0.25">
      <c r="B10926" s="4">
        <v>584759512</v>
      </c>
      <c r="C10926" s="4" t="s">
        <v>269</v>
      </c>
      <c r="D10926" s="4">
        <v>1183</v>
      </c>
      <c r="E10926" s="4">
        <v>57</v>
      </c>
      <c r="G10926">
        <f t="shared" si="170"/>
        <v>512</v>
      </c>
    </row>
    <row r="10927" spans="2:7" ht="15" hidden="1" x14ac:dyDescent="0.25">
      <c r="B10927" s="4">
        <v>584759513</v>
      </c>
      <c r="C10927" s="4" t="s">
        <v>269</v>
      </c>
      <c r="D10927" s="4">
        <v>1184</v>
      </c>
      <c r="E10927" s="4">
        <v>57</v>
      </c>
      <c r="G10927">
        <f t="shared" si="170"/>
        <v>512</v>
      </c>
    </row>
    <row r="10928" spans="2:7" ht="15" hidden="1" x14ac:dyDescent="0.25">
      <c r="B10928" s="4">
        <v>584759514</v>
      </c>
      <c r="C10928" s="4" t="s">
        <v>269</v>
      </c>
      <c r="D10928" s="4">
        <v>1185</v>
      </c>
      <c r="E10928" s="4">
        <v>57</v>
      </c>
      <c r="G10928">
        <f t="shared" si="170"/>
        <v>512</v>
      </c>
    </row>
    <row r="10929" spans="2:7" ht="15" hidden="1" x14ac:dyDescent="0.25">
      <c r="B10929" s="4">
        <v>584759515</v>
      </c>
      <c r="C10929" s="4" t="s">
        <v>269</v>
      </c>
      <c r="D10929" s="4">
        <v>1186</v>
      </c>
      <c r="E10929" s="4">
        <v>57</v>
      </c>
      <c r="G10929">
        <f t="shared" si="170"/>
        <v>512</v>
      </c>
    </row>
    <row r="10930" spans="2:7" ht="15" hidden="1" x14ac:dyDescent="0.25">
      <c r="B10930" s="4">
        <v>584759516</v>
      </c>
      <c r="C10930" s="4" t="s">
        <v>269</v>
      </c>
      <c r="D10930" s="4">
        <v>1187</v>
      </c>
      <c r="E10930" s="4">
        <v>57</v>
      </c>
      <c r="G10930">
        <f t="shared" si="170"/>
        <v>512</v>
      </c>
    </row>
    <row r="10931" spans="2:7" ht="15" hidden="1" x14ac:dyDescent="0.25">
      <c r="B10931" s="4">
        <v>584759517</v>
      </c>
      <c r="C10931" s="4" t="s">
        <v>269</v>
      </c>
      <c r="D10931" s="4">
        <v>1188</v>
      </c>
      <c r="E10931" s="4">
        <v>57</v>
      </c>
      <c r="G10931">
        <f t="shared" si="170"/>
        <v>512</v>
      </c>
    </row>
    <row r="10932" spans="2:7" ht="15" hidden="1" x14ac:dyDescent="0.25">
      <c r="B10932" s="4">
        <v>584759518</v>
      </c>
      <c r="C10932" s="4" t="s">
        <v>269</v>
      </c>
      <c r="D10932" s="4">
        <v>1189</v>
      </c>
      <c r="E10932" s="4">
        <v>57</v>
      </c>
      <c r="G10932">
        <f t="shared" si="170"/>
        <v>512</v>
      </c>
    </row>
    <row r="10933" spans="2:7" ht="15" hidden="1" x14ac:dyDescent="0.25">
      <c r="B10933" s="4">
        <v>584759518</v>
      </c>
      <c r="C10933" s="4" t="s">
        <v>272</v>
      </c>
      <c r="D10933" s="4">
        <v>107</v>
      </c>
      <c r="E10933" s="4">
        <v>213</v>
      </c>
      <c r="G10933">
        <f t="shared" si="170"/>
        <v>1760</v>
      </c>
    </row>
    <row r="10934" spans="2:7" ht="15" hidden="1" x14ac:dyDescent="0.25">
      <c r="B10934" s="4">
        <v>584759519</v>
      </c>
      <c r="C10934" s="4" t="s">
        <v>269</v>
      </c>
      <c r="D10934" s="4">
        <v>1190</v>
      </c>
      <c r="E10934" s="4">
        <v>57</v>
      </c>
      <c r="G10934">
        <f t="shared" si="170"/>
        <v>512</v>
      </c>
    </row>
    <row r="10935" spans="2:7" ht="15" hidden="1" x14ac:dyDescent="0.25">
      <c r="B10935" s="4">
        <v>584759520</v>
      </c>
      <c r="C10935" s="4" t="s">
        <v>269</v>
      </c>
      <c r="D10935" s="4">
        <v>1191</v>
      </c>
      <c r="E10935" s="4">
        <v>57</v>
      </c>
      <c r="G10935">
        <f t="shared" si="170"/>
        <v>512</v>
      </c>
    </row>
    <row r="10936" spans="2:7" ht="15" hidden="1" x14ac:dyDescent="0.25">
      <c r="B10936" s="4">
        <v>584759521</v>
      </c>
      <c r="C10936" s="4" t="s">
        <v>269</v>
      </c>
      <c r="D10936" s="4">
        <v>1192</v>
      </c>
      <c r="E10936" s="4">
        <v>57</v>
      </c>
      <c r="G10936">
        <f t="shared" si="170"/>
        <v>512</v>
      </c>
    </row>
    <row r="10937" spans="2:7" ht="15" hidden="1" x14ac:dyDescent="0.25">
      <c r="B10937" s="4">
        <v>584759522</v>
      </c>
      <c r="C10937" s="4" t="s">
        <v>269</v>
      </c>
      <c r="D10937" s="4">
        <v>1193</v>
      </c>
      <c r="E10937" s="4">
        <v>57</v>
      </c>
      <c r="G10937">
        <f t="shared" si="170"/>
        <v>512</v>
      </c>
    </row>
    <row r="10938" spans="2:7" ht="15" hidden="1" x14ac:dyDescent="0.25">
      <c r="B10938" s="4">
        <v>584759523</v>
      </c>
      <c r="C10938" s="4" t="s">
        <v>269</v>
      </c>
      <c r="D10938" s="4">
        <v>1194</v>
      </c>
      <c r="E10938" s="4">
        <v>57</v>
      </c>
      <c r="G10938">
        <f t="shared" si="170"/>
        <v>512</v>
      </c>
    </row>
    <row r="10939" spans="2:7" ht="15" hidden="1" x14ac:dyDescent="0.25">
      <c r="B10939" s="4">
        <v>584759524</v>
      </c>
      <c r="C10939" s="4" t="s">
        <v>269</v>
      </c>
      <c r="D10939" s="4">
        <v>1195</v>
      </c>
      <c r="E10939" s="4">
        <v>57</v>
      </c>
      <c r="G10939">
        <f t="shared" si="170"/>
        <v>512</v>
      </c>
    </row>
    <row r="10940" spans="2:7" ht="15" hidden="1" x14ac:dyDescent="0.25">
      <c r="B10940" s="4">
        <v>584759525</v>
      </c>
      <c r="C10940" s="4" t="s">
        <v>269</v>
      </c>
      <c r="D10940" s="4">
        <v>1196</v>
      </c>
      <c r="E10940" s="4">
        <v>57</v>
      </c>
      <c r="G10940">
        <f t="shared" si="170"/>
        <v>512</v>
      </c>
    </row>
    <row r="10941" spans="2:7" ht="15" hidden="1" x14ac:dyDescent="0.25">
      <c r="B10941" s="4">
        <v>584759526</v>
      </c>
      <c r="C10941" s="4" t="s">
        <v>269</v>
      </c>
      <c r="D10941" s="4">
        <v>1197</v>
      </c>
      <c r="E10941" s="4">
        <v>57</v>
      </c>
      <c r="G10941">
        <f t="shared" si="170"/>
        <v>512</v>
      </c>
    </row>
    <row r="10942" spans="2:7" ht="15" hidden="1" x14ac:dyDescent="0.25">
      <c r="B10942" s="4">
        <v>584759527</v>
      </c>
      <c r="C10942" s="4" t="s">
        <v>269</v>
      </c>
      <c r="D10942" s="4">
        <v>1198</v>
      </c>
      <c r="E10942" s="4">
        <v>57</v>
      </c>
      <c r="G10942">
        <f t="shared" si="170"/>
        <v>512</v>
      </c>
    </row>
    <row r="10943" spans="2:7" ht="15" hidden="1" x14ac:dyDescent="0.25">
      <c r="B10943" s="4">
        <v>584759528</v>
      </c>
      <c r="C10943" s="4" t="s">
        <v>269</v>
      </c>
      <c r="D10943" s="4">
        <v>1199</v>
      </c>
      <c r="E10943" s="4">
        <v>57</v>
      </c>
      <c r="G10943">
        <f t="shared" si="170"/>
        <v>512</v>
      </c>
    </row>
    <row r="10944" spans="2:7" ht="15" hidden="1" x14ac:dyDescent="0.25">
      <c r="B10944" s="4">
        <v>584759528</v>
      </c>
      <c r="C10944" s="4" t="s">
        <v>272</v>
      </c>
      <c r="D10944" s="4">
        <v>108</v>
      </c>
      <c r="E10944" s="4">
        <v>213</v>
      </c>
      <c r="G10944">
        <f t="shared" si="170"/>
        <v>1760</v>
      </c>
    </row>
    <row r="10945" spans="2:7" ht="15" hidden="1" x14ac:dyDescent="0.25">
      <c r="B10945" s="4">
        <v>584759529</v>
      </c>
      <c r="C10945" s="4" t="s">
        <v>269</v>
      </c>
      <c r="D10945" s="4">
        <v>1200</v>
      </c>
      <c r="E10945" s="4">
        <v>57</v>
      </c>
      <c r="G10945">
        <f t="shared" si="170"/>
        <v>512</v>
      </c>
    </row>
    <row r="10946" spans="2:7" ht="15" hidden="1" x14ac:dyDescent="0.25">
      <c r="B10946" s="4">
        <v>584759530</v>
      </c>
      <c r="C10946" s="4" t="s">
        <v>269</v>
      </c>
      <c r="D10946" s="4">
        <v>1201</v>
      </c>
      <c r="E10946" s="4">
        <v>57</v>
      </c>
      <c r="G10946">
        <f t="shared" si="170"/>
        <v>512</v>
      </c>
    </row>
    <row r="10947" spans="2:7" ht="15" hidden="1" x14ac:dyDescent="0.25">
      <c r="B10947" s="4">
        <v>584759531</v>
      </c>
      <c r="C10947" s="4" t="s">
        <v>269</v>
      </c>
      <c r="D10947" s="4">
        <v>1202</v>
      </c>
      <c r="E10947" s="4">
        <v>57</v>
      </c>
      <c r="G10947">
        <f t="shared" si="170"/>
        <v>512</v>
      </c>
    </row>
    <row r="10948" spans="2:7" ht="15" hidden="1" x14ac:dyDescent="0.25">
      <c r="B10948" s="4">
        <v>584759532</v>
      </c>
      <c r="C10948" s="4" t="s">
        <v>269</v>
      </c>
      <c r="D10948" s="4">
        <v>1203</v>
      </c>
      <c r="E10948" s="4">
        <v>57</v>
      </c>
      <c r="G10948">
        <f t="shared" ref="G10948:G11011" si="171">(E10948+7)*8</f>
        <v>512</v>
      </c>
    </row>
    <row r="10949" spans="2:7" ht="15" hidden="1" x14ac:dyDescent="0.25">
      <c r="B10949" s="4">
        <v>584759533</v>
      </c>
      <c r="C10949" s="4" t="s">
        <v>269</v>
      </c>
      <c r="D10949" s="4">
        <v>1204</v>
      </c>
      <c r="E10949" s="4">
        <v>57</v>
      </c>
      <c r="G10949">
        <f t="shared" si="171"/>
        <v>512</v>
      </c>
    </row>
    <row r="10950" spans="2:7" ht="15" hidden="1" x14ac:dyDescent="0.25">
      <c r="B10950" s="4">
        <v>584759534</v>
      </c>
      <c r="C10950" s="4" t="s">
        <v>268</v>
      </c>
      <c r="D10950" s="4">
        <v>258</v>
      </c>
      <c r="E10950" s="4">
        <v>6</v>
      </c>
      <c r="G10950">
        <f t="shared" si="171"/>
        <v>104</v>
      </c>
    </row>
    <row r="10951" spans="2:7" ht="15" hidden="1" x14ac:dyDescent="0.25">
      <c r="B10951" s="4">
        <v>584759534</v>
      </c>
      <c r="C10951" s="4" t="s">
        <v>268</v>
      </c>
      <c r="D10951" s="4">
        <v>258</v>
      </c>
      <c r="E10951" s="4">
        <v>6</v>
      </c>
      <c r="G10951">
        <f t="shared" si="171"/>
        <v>104</v>
      </c>
    </row>
    <row r="10952" spans="2:7" ht="15" hidden="1" x14ac:dyDescent="0.25">
      <c r="B10952" s="4">
        <v>584759534</v>
      </c>
      <c r="C10952" s="4" t="s">
        <v>268</v>
      </c>
      <c r="D10952" s="4">
        <v>259</v>
      </c>
      <c r="E10952" s="4">
        <v>9</v>
      </c>
      <c r="G10952">
        <f t="shared" si="171"/>
        <v>128</v>
      </c>
    </row>
    <row r="10953" spans="2:7" ht="15" hidden="1" x14ac:dyDescent="0.25">
      <c r="B10953" s="4">
        <v>584759534</v>
      </c>
      <c r="C10953" s="4" t="s">
        <v>268</v>
      </c>
      <c r="D10953" s="4">
        <v>259</v>
      </c>
      <c r="E10953" s="4">
        <v>9</v>
      </c>
      <c r="G10953">
        <f t="shared" si="171"/>
        <v>128</v>
      </c>
    </row>
    <row r="10954" spans="2:7" ht="15" hidden="1" x14ac:dyDescent="0.25">
      <c r="B10954" s="4">
        <v>584759534</v>
      </c>
      <c r="C10954" s="4" t="s">
        <v>268</v>
      </c>
      <c r="D10954" s="4">
        <v>260</v>
      </c>
      <c r="E10954" s="4">
        <v>7</v>
      </c>
      <c r="G10954">
        <f t="shared" si="171"/>
        <v>112</v>
      </c>
    </row>
    <row r="10955" spans="2:7" ht="15" hidden="1" x14ac:dyDescent="0.25">
      <c r="B10955" s="4">
        <v>584759534</v>
      </c>
      <c r="C10955" s="4" t="s">
        <v>268</v>
      </c>
      <c r="D10955" s="4">
        <v>260</v>
      </c>
      <c r="E10955" s="4">
        <v>7</v>
      </c>
      <c r="G10955">
        <f t="shared" si="171"/>
        <v>112</v>
      </c>
    </row>
    <row r="10956" spans="2:7" ht="15" hidden="1" x14ac:dyDescent="0.25">
      <c r="B10956" s="4">
        <v>584759534</v>
      </c>
      <c r="C10956" s="4" t="s">
        <v>268</v>
      </c>
      <c r="D10956" s="4">
        <v>261</v>
      </c>
      <c r="E10956" s="4">
        <v>7</v>
      </c>
      <c r="G10956">
        <f t="shared" si="171"/>
        <v>112</v>
      </c>
    </row>
    <row r="10957" spans="2:7" ht="15" hidden="1" x14ac:dyDescent="0.25">
      <c r="B10957" s="4">
        <v>584759534</v>
      </c>
      <c r="C10957" s="4" t="s">
        <v>268</v>
      </c>
      <c r="D10957" s="4">
        <v>261</v>
      </c>
      <c r="E10957" s="4">
        <v>7</v>
      </c>
      <c r="G10957">
        <f t="shared" si="171"/>
        <v>112</v>
      </c>
    </row>
    <row r="10958" spans="2:7" ht="15" hidden="1" x14ac:dyDescent="0.25">
      <c r="B10958" s="4">
        <v>584759534</v>
      </c>
      <c r="C10958" s="4" t="s">
        <v>268</v>
      </c>
      <c r="D10958" s="4">
        <v>262</v>
      </c>
      <c r="E10958" s="4">
        <v>7</v>
      </c>
      <c r="G10958">
        <f t="shared" si="171"/>
        <v>112</v>
      </c>
    </row>
    <row r="10959" spans="2:7" ht="15" hidden="1" x14ac:dyDescent="0.25">
      <c r="B10959" s="4">
        <v>584759534</v>
      </c>
      <c r="C10959" s="4" t="s">
        <v>268</v>
      </c>
      <c r="D10959" s="4">
        <v>262</v>
      </c>
      <c r="E10959" s="4">
        <v>7</v>
      </c>
      <c r="G10959">
        <f t="shared" si="171"/>
        <v>112</v>
      </c>
    </row>
    <row r="10960" spans="2:7" ht="15" hidden="1" x14ac:dyDescent="0.25">
      <c r="B10960" s="4">
        <v>584759534</v>
      </c>
      <c r="C10960" s="4" t="s">
        <v>269</v>
      </c>
      <c r="D10960" s="4">
        <v>1205</v>
      </c>
      <c r="E10960" s="4">
        <v>57</v>
      </c>
      <c r="G10960">
        <f t="shared" si="171"/>
        <v>512</v>
      </c>
    </row>
    <row r="10961" spans="2:7" ht="15" hidden="1" x14ac:dyDescent="0.25">
      <c r="B10961" s="4">
        <v>584759535</v>
      </c>
      <c r="C10961" s="4" t="s">
        <v>269</v>
      </c>
      <c r="D10961" s="4">
        <v>1206</v>
      </c>
      <c r="E10961" s="4">
        <v>57</v>
      </c>
      <c r="G10961">
        <f t="shared" si="171"/>
        <v>512</v>
      </c>
    </row>
    <row r="10962" spans="2:7" ht="15" hidden="1" x14ac:dyDescent="0.25">
      <c r="B10962" s="4">
        <v>584759536</v>
      </c>
      <c r="C10962" s="4" t="s">
        <v>268</v>
      </c>
      <c r="D10962" s="4">
        <v>263</v>
      </c>
      <c r="E10962" s="4">
        <v>7</v>
      </c>
      <c r="G10962">
        <f t="shared" si="171"/>
        <v>112</v>
      </c>
    </row>
    <row r="10963" spans="2:7" ht="15" hidden="1" x14ac:dyDescent="0.25">
      <c r="B10963" s="4">
        <v>584759536</v>
      </c>
      <c r="C10963" s="4" t="s">
        <v>268</v>
      </c>
      <c r="D10963" s="4">
        <v>263</v>
      </c>
      <c r="E10963" s="4">
        <v>7</v>
      </c>
      <c r="G10963">
        <f t="shared" si="171"/>
        <v>112</v>
      </c>
    </row>
    <row r="10964" spans="2:7" ht="15" hidden="1" x14ac:dyDescent="0.25">
      <c r="B10964" s="4">
        <v>584759536</v>
      </c>
      <c r="C10964" s="4" t="s">
        <v>268</v>
      </c>
      <c r="D10964" s="4">
        <v>264</v>
      </c>
      <c r="E10964" s="4">
        <v>5</v>
      </c>
      <c r="G10964">
        <f t="shared" si="171"/>
        <v>96</v>
      </c>
    </row>
    <row r="10965" spans="2:7" ht="15" hidden="1" x14ac:dyDescent="0.25">
      <c r="B10965" s="4">
        <v>584759536</v>
      </c>
      <c r="C10965" s="4" t="s">
        <v>268</v>
      </c>
      <c r="D10965" s="4">
        <v>264</v>
      </c>
      <c r="E10965" s="4">
        <v>5</v>
      </c>
      <c r="G10965">
        <f t="shared" si="171"/>
        <v>96</v>
      </c>
    </row>
    <row r="10966" spans="2:7" ht="15" hidden="1" x14ac:dyDescent="0.25">
      <c r="B10966" s="4">
        <v>584759536</v>
      </c>
      <c r="C10966" s="4" t="s">
        <v>268</v>
      </c>
      <c r="D10966" s="4">
        <v>265</v>
      </c>
      <c r="E10966" s="4">
        <v>7</v>
      </c>
      <c r="G10966">
        <f t="shared" si="171"/>
        <v>112</v>
      </c>
    </row>
    <row r="10967" spans="2:7" ht="15" hidden="1" x14ac:dyDescent="0.25">
      <c r="B10967" s="4">
        <v>584759536</v>
      </c>
      <c r="C10967" s="4" t="s">
        <v>268</v>
      </c>
      <c r="D10967" s="4">
        <v>265</v>
      </c>
      <c r="E10967" s="4">
        <v>7</v>
      </c>
      <c r="G10967">
        <f t="shared" si="171"/>
        <v>112</v>
      </c>
    </row>
    <row r="10968" spans="2:7" ht="15" hidden="1" x14ac:dyDescent="0.25">
      <c r="B10968" s="4">
        <v>584759536</v>
      </c>
      <c r="C10968" s="4" t="s">
        <v>269</v>
      </c>
      <c r="D10968" s="4">
        <v>1207</v>
      </c>
      <c r="E10968" s="4">
        <v>57</v>
      </c>
      <c r="G10968">
        <f t="shared" si="171"/>
        <v>512</v>
      </c>
    </row>
    <row r="10969" spans="2:7" ht="15" hidden="1" x14ac:dyDescent="0.25">
      <c r="B10969" s="4">
        <v>584759537</v>
      </c>
      <c r="C10969" s="4" t="s">
        <v>269</v>
      </c>
      <c r="D10969" s="4">
        <v>1208</v>
      </c>
      <c r="E10969" s="4">
        <v>57</v>
      </c>
      <c r="G10969">
        <f t="shared" si="171"/>
        <v>512</v>
      </c>
    </row>
    <row r="10970" spans="2:7" ht="15" hidden="1" x14ac:dyDescent="0.25">
      <c r="B10970" s="4">
        <v>584759538</v>
      </c>
      <c r="C10970" s="4" t="s">
        <v>269</v>
      </c>
      <c r="D10970" s="4">
        <v>1209</v>
      </c>
      <c r="E10970" s="4">
        <v>57</v>
      </c>
      <c r="G10970">
        <f t="shared" si="171"/>
        <v>512</v>
      </c>
    </row>
    <row r="10971" spans="2:7" ht="15" hidden="1" x14ac:dyDescent="0.25">
      <c r="B10971" s="4">
        <v>584759538</v>
      </c>
      <c r="C10971" s="4" t="s">
        <v>272</v>
      </c>
      <c r="D10971" s="4">
        <v>109</v>
      </c>
      <c r="E10971" s="4">
        <v>209</v>
      </c>
      <c r="G10971">
        <f t="shared" si="171"/>
        <v>1728</v>
      </c>
    </row>
    <row r="10972" spans="2:7" ht="15" hidden="1" x14ac:dyDescent="0.25">
      <c r="B10972" s="4">
        <v>584759539</v>
      </c>
      <c r="C10972" s="4" t="s">
        <v>269</v>
      </c>
      <c r="D10972" s="4">
        <v>1210</v>
      </c>
      <c r="E10972" s="4">
        <v>57</v>
      </c>
      <c r="G10972">
        <f t="shared" si="171"/>
        <v>512</v>
      </c>
    </row>
    <row r="10973" spans="2:7" ht="15" hidden="1" x14ac:dyDescent="0.25">
      <c r="B10973" s="4">
        <v>584759540</v>
      </c>
      <c r="C10973" s="4" t="s">
        <v>269</v>
      </c>
      <c r="D10973" s="4">
        <v>1211</v>
      </c>
      <c r="E10973" s="4">
        <v>57</v>
      </c>
      <c r="G10973">
        <f t="shared" si="171"/>
        <v>512</v>
      </c>
    </row>
    <row r="10974" spans="2:7" ht="15" hidden="1" x14ac:dyDescent="0.25">
      <c r="B10974" s="4">
        <v>584759541</v>
      </c>
      <c r="C10974" s="4" t="s">
        <v>269</v>
      </c>
      <c r="D10974" s="4">
        <v>1212</v>
      </c>
      <c r="E10974" s="4">
        <v>57</v>
      </c>
      <c r="G10974">
        <f t="shared" si="171"/>
        <v>512</v>
      </c>
    </row>
    <row r="10975" spans="2:7" ht="15" hidden="1" x14ac:dyDescent="0.25">
      <c r="B10975" s="4">
        <v>584759542</v>
      </c>
      <c r="C10975" s="4" t="s">
        <v>269</v>
      </c>
      <c r="D10975" s="4">
        <v>1213</v>
      </c>
      <c r="E10975" s="4">
        <v>57</v>
      </c>
      <c r="G10975">
        <f t="shared" si="171"/>
        <v>512</v>
      </c>
    </row>
    <row r="10976" spans="2:7" ht="15" hidden="1" x14ac:dyDescent="0.25">
      <c r="B10976" s="4">
        <v>584759543</v>
      </c>
      <c r="C10976" s="4" t="s">
        <v>269</v>
      </c>
      <c r="D10976" s="4">
        <v>1214</v>
      </c>
      <c r="E10976" s="4">
        <v>57</v>
      </c>
      <c r="G10976">
        <f t="shared" si="171"/>
        <v>512</v>
      </c>
    </row>
    <row r="10977" spans="2:7" ht="15" hidden="1" x14ac:dyDescent="0.25">
      <c r="B10977" s="4">
        <v>584759544</v>
      </c>
      <c r="C10977" s="4" t="s">
        <v>269</v>
      </c>
      <c r="D10977" s="4">
        <v>1215</v>
      </c>
      <c r="E10977" s="4">
        <v>57</v>
      </c>
      <c r="G10977">
        <f t="shared" si="171"/>
        <v>512</v>
      </c>
    </row>
    <row r="10978" spans="2:7" ht="15" hidden="1" x14ac:dyDescent="0.25">
      <c r="B10978" s="4">
        <v>584759545</v>
      </c>
      <c r="C10978" s="4" t="s">
        <v>269</v>
      </c>
      <c r="D10978" s="4">
        <v>1216</v>
      </c>
      <c r="E10978" s="4">
        <v>57</v>
      </c>
      <c r="G10978">
        <f t="shared" si="171"/>
        <v>512</v>
      </c>
    </row>
    <row r="10979" spans="2:7" ht="15" hidden="1" x14ac:dyDescent="0.25">
      <c r="B10979" s="4">
        <v>584759546</v>
      </c>
      <c r="C10979" s="4" t="s">
        <v>269</v>
      </c>
      <c r="D10979" s="4">
        <v>1217</v>
      </c>
      <c r="E10979" s="4">
        <v>57</v>
      </c>
      <c r="G10979">
        <f t="shared" si="171"/>
        <v>512</v>
      </c>
    </row>
    <row r="10980" spans="2:7" ht="15" hidden="1" x14ac:dyDescent="0.25">
      <c r="B10980" s="4">
        <v>584759547</v>
      </c>
      <c r="C10980" s="4" t="s">
        <v>269</v>
      </c>
      <c r="D10980" s="4">
        <v>1218</v>
      </c>
      <c r="E10980" s="4">
        <v>57</v>
      </c>
      <c r="G10980">
        <f t="shared" si="171"/>
        <v>512</v>
      </c>
    </row>
    <row r="10981" spans="2:7" ht="15" hidden="1" x14ac:dyDescent="0.25">
      <c r="B10981" s="4">
        <v>584759548</v>
      </c>
      <c r="C10981" s="4" t="s">
        <v>269</v>
      </c>
      <c r="D10981" s="4">
        <v>1219</v>
      </c>
      <c r="E10981" s="4">
        <v>57</v>
      </c>
      <c r="G10981">
        <f t="shared" si="171"/>
        <v>512</v>
      </c>
    </row>
    <row r="10982" spans="2:7" ht="15" hidden="1" x14ac:dyDescent="0.25">
      <c r="B10982" s="4">
        <v>584759548</v>
      </c>
      <c r="C10982" s="4" t="s">
        <v>272</v>
      </c>
      <c r="D10982" s="4">
        <v>110</v>
      </c>
      <c r="E10982" s="4">
        <v>209</v>
      </c>
      <c r="G10982">
        <f t="shared" si="171"/>
        <v>1728</v>
      </c>
    </row>
    <row r="10983" spans="2:7" ht="15" hidden="1" x14ac:dyDescent="0.25">
      <c r="B10983" s="4">
        <v>584759549</v>
      </c>
      <c r="C10983" s="4" t="s">
        <v>269</v>
      </c>
      <c r="D10983" s="4">
        <v>1220</v>
      </c>
      <c r="E10983" s="4">
        <v>57</v>
      </c>
      <c r="G10983">
        <f t="shared" si="171"/>
        <v>512</v>
      </c>
    </row>
    <row r="10984" spans="2:7" ht="15" hidden="1" x14ac:dyDescent="0.25">
      <c r="B10984" s="4">
        <v>584759550</v>
      </c>
      <c r="C10984" s="4" t="s">
        <v>269</v>
      </c>
      <c r="D10984" s="4">
        <v>1221</v>
      </c>
      <c r="E10984" s="4">
        <v>57</v>
      </c>
      <c r="G10984">
        <f t="shared" si="171"/>
        <v>512</v>
      </c>
    </row>
    <row r="10985" spans="2:7" ht="15" hidden="1" x14ac:dyDescent="0.25">
      <c r="B10985" s="4">
        <v>584759551</v>
      </c>
      <c r="C10985" s="4" t="s">
        <v>269</v>
      </c>
      <c r="D10985" s="4">
        <v>1222</v>
      </c>
      <c r="E10985" s="4">
        <v>57</v>
      </c>
      <c r="G10985">
        <f t="shared" si="171"/>
        <v>512</v>
      </c>
    </row>
    <row r="10986" spans="2:7" ht="15" hidden="1" x14ac:dyDescent="0.25">
      <c r="B10986" s="4">
        <v>584759552</v>
      </c>
      <c r="C10986" s="4" t="s">
        <v>269</v>
      </c>
      <c r="D10986" s="4">
        <v>1223</v>
      </c>
      <c r="E10986" s="4">
        <v>57</v>
      </c>
      <c r="G10986">
        <f t="shared" si="171"/>
        <v>512</v>
      </c>
    </row>
    <row r="10987" spans="2:7" ht="15" hidden="1" x14ac:dyDescent="0.25">
      <c r="B10987" s="4">
        <v>584759553</v>
      </c>
      <c r="C10987" s="4" t="s">
        <v>269</v>
      </c>
      <c r="D10987" s="4">
        <v>1224</v>
      </c>
      <c r="E10987" s="4">
        <v>57</v>
      </c>
      <c r="G10987">
        <f t="shared" si="171"/>
        <v>512</v>
      </c>
    </row>
    <row r="10988" spans="2:7" ht="15" hidden="1" x14ac:dyDescent="0.25">
      <c r="B10988" s="4">
        <v>584759554</v>
      </c>
      <c r="C10988" s="4" t="s">
        <v>269</v>
      </c>
      <c r="D10988" s="4">
        <v>1225</v>
      </c>
      <c r="E10988" s="4">
        <v>57</v>
      </c>
      <c r="G10988">
        <f t="shared" si="171"/>
        <v>512</v>
      </c>
    </row>
    <row r="10989" spans="2:7" ht="15" hidden="1" x14ac:dyDescent="0.25">
      <c r="B10989" s="4">
        <v>584759555</v>
      </c>
      <c r="C10989" s="4" t="s">
        <v>269</v>
      </c>
      <c r="D10989" s="4">
        <v>1226</v>
      </c>
      <c r="E10989" s="4">
        <v>57</v>
      </c>
      <c r="G10989">
        <f t="shared" si="171"/>
        <v>512</v>
      </c>
    </row>
    <row r="10990" spans="2:7" ht="15" hidden="1" x14ac:dyDescent="0.25">
      <c r="B10990" s="4">
        <v>584759556</v>
      </c>
      <c r="C10990" s="4" t="s">
        <v>269</v>
      </c>
      <c r="D10990" s="4">
        <v>1227</v>
      </c>
      <c r="E10990" s="4">
        <v>57</v>
      </c>
      <c r="G10990">
        <f t="shared" si="171"/>
        <v>512</v>
      </c>
    </row>
    <row r="10991" spans="2:7" ht="15" hidden="1" x14ac:dyDescent="0.25">
      <c r="B10991" s="4">
        <v>584759557</v>
      </c>
      <c r="C10991" s="4" t="s">
        <v>269</v>
      </c>
      <c r="D10991" s="4">
        <v>1228</v>
      </c>
      <c r="E10991" s="4">
        <v>57</v>
      </c>
      <c r="G10991">
        <f t="shared" si="171"/>
        <v>512</v>
      </c>
    </row>
    <row r="10992" spans="2:7" ht="15" hidden="1" x14ac:dyDescent="0.25">
      <c r="B10992" s="4">
        <v>584759558</v>
      </c>
      <c r="C10992" s="4" t="s">
        <v>269</v>
      </c>
      <c r="D10992" s="4">
        <v>1229</v>
      </c>
      <c r="E10992" s="4">
        <v>57</v>
      </c>
      <c r="G10992">
        <f t="shared" si="171"/>
        <v>512</v>
      </c>
    </row>
    <row r="10993" spans="2:7" ht="15" hidden="1" x14ac:dyDescent="0.25">
      <c r="B10993" s="4">
        <v>584759558</v>
      </c>
      <c r="C10993" s="4" t="s">
        <v>272</v>
      </c>
      <c r="D10993" s="4">
        <v>111</v>
      </c>
      <c r="E10993" s="4">
        <v>211</v>
      </c>
      <c r="G10993">
        <f t="shared" si="171"/>
        <v>1744</v>
      </c>
    </row>
    <row r="10994" spans="2:7" ht="15" hidden="1" x14ac:dyDescent="0.25">
      <c r="B10994" s="4">
        <v>584759559</v>
      </c>
      <c r="C10994" s="4" t="s">
        <v>269</v>
      </c>
      <c r="D10994" s="4">
        <v>1230</v>
      </c>
      <c r="E10994" s="4">
        <v>57</v>
      </c>
      <c r="G10994">
        <f t="shared" si="171"/>
        <v>512</v>
      </c>
    </row>
    <row r="10995" spans="2:7" ht="15" hidden="1" x14ac:dyDescent="0.25">
      <c r="B10995" s="4">
        <v>584759560</v>
      </c>
      <c r="C10995" s="4" t="s">
        <v>269</v>
      </c>
      <c r="D10995" s="4">
        <v>1231</v>
      </c>
      <c r="E10995" s="4">
        <v>57</v>
      </c>
      <c r="G10995">
        <f t="shared" si="171"/>
        <v>512</v>
      </c>
    </row>
    <row r="10996" spans="2:7" ht="15" hidden="1" x14ac:dyDescent="0.25">
      <c r="B10996" s="4">
        <v>584759561</v>
      </c>
      <c r="C10996" s="4" t="s">
        <v>269</v>
      </c>
      <c r="D10996" s="4">
        <v>1232</v>
      </c>
      <c r="E10996" s="4">
        <v>57</v>
      </c>
      <c r="G10996">
        <f t="shared" si="171"/>
        <v>512</v>
      </c>
    </row>
    <row r="10997" spans="2:7" ht="15" hidden="1" x14ac:dyDescent="0.25">
      <c r="B10997" s="4">
        <v>584759562</v>
      </c>
      <c r="C10997" s="4" t="s">
        <v>269</v>
      </c>
      <c r="D10997" s="4">
        <v>1233</v>
      </c>
      <c r="E10997" s="4">
        <v>57</v>
      </c>
      <c r="G10997">
        <f t="shared" si="171"/>
        <v>512</v>
      </c>
    </row>
    <row r="10998" spans="2:7" ht="15" hidden="1" x14ac:dyDescent="0.25">
      <c r="B10998" s="4">
        <v>584759563</v>
      </c>
      <c r="C10998" s="4" t="s">
        <v>269</v>
      </c>
      <c r="D10998" s="4">
        <v>1234</v>
      </c>
      <c r="E10998" s="4">
        <v>57</v>
      </c>
      <c r="G10998">
        <f t="shared" si="171"/>
        <v>512</v>
      </c>
    </row>
    <row r="10999" spans="2:7" ht="15" hidden="1" x14ac:dyDescent="0.25">
      <c r="B10999" s="4">
        <v>584759564</v>
      </c>
      <c r="C10999" s="4" t="s">
        <v>269</v>
      </c>
      <c r="D10999" s="4">
        <v>1235</v>
      </c>
      <c r="E10999" s="4">
        <v>57</v>
      </c>
      <c r="G10999">
        <f t="shared" si="171"/>
        <v>512</v>
      </c>
    </row>
    <row r="11000" spans="2:7" ht="15" hidden="1" x14ac:dyDescent="0.25">
      <c r="B11000" s="4">
        <v>584759565</v>
      </c>
      <c r="C11000" s="4" t="s">
        <v>269</v>
      </c>
      <c r="D11000" s="4">
        <v>1236</v>
      </c>
      <c r="E11000" s="4">
        <v>57</v>
      </c>
      <c r="G11000">
        <f t="shared" si="171"/>
        <v>512</v>
      </c>
    </row>
    <row r="11001" spans="2:7" ht="15" hidden="1" x14ac:dyDescent="0.25">
      <c r="B11001" s="4">
        <v>584759566</v>
      </c>
      <c r="C11001" s="4" t="s">
        <v>269</v>
      </c>
      <c r="D11001" s="4">
        <v>1237</v>
      </c>
      <c r="E11001" s="4">
        <v>57</v>
      </c>
      <c r="G11001">
        <f t="shared" si="171"/>
        <v>512</v>
      </c>
    </row>
    <row r="11002" spans="2:7" ht="15" hidden="1" x14ac:dyDescent="0.25">
      <c r="B11002" s="4">
        <v>584759567</v>
      </c>
      <c r="C11002" s="4" t="s">
        <v>269</v>
      </c>
      <c r="D11002" s="4">
        <v>1238</v>
      </c>
      <c r="E11002" s="4">
        <v>57</v>
      </c>
      <c r="G11002">
        <f t="shared" si="171"/>
        <v>512</v>
      </c>
    </row>
    <row r="11003" spans="2:7" ht="15" hidden="1" x14ac:dyDescent="0.25">
      <c r="B11003" s="4">
        <v>584759568</v>
      </c>
      <c r="C11003" s="4" t="s">
        <v>269</v>
      </c>
      <c r="D11003" s="4">
        <v>1239</v>
      </c>
      <c r="E11003" s="4">
        <v>57</v>
      </c>
      <c r="G11003">
        <f t="shared" si="171"/>
        <v>512</v>
      </c>
    </row>
    <row r="11004" spans="2:7" ht="15" hidden="1" x14ac:dyDescent="0.25">
      <c r="B11004" s="4">
        <v>584759568</v>
      </c>
      <c r="C11004" s="4" t="s">
        <v>272</v>
      </c>
      <c r="D11004" s="4">
        <v>112</v>
      </c>
      <c r="E11004" s="4">
        <v>209</v>
      </c>
      <c r="G11004">
        <f t="shared" si="171"/>
        <v>1728</v>
      </c>
    </row>
    <row r="11005" spans="2:7" ht="15" hidden="1" x14ac:dyDescent="0.25">
      <c r="B11005" s="4">
        <v>584759569</v>
      </c>
      <c r="C11005" s="4" t="s">
        <v>269</v>
      </c>
      <c r="D11005" s="4">
        <v>1240</v>
      </c>
      <c r="E11005" s="4">
        <v>57</v>
      </c>
      <c r="G11005">
        <f t="shared" si="171"/>
        <v>512</v>
      </c>
    </row>
    <row r="11006" spans="2:7" ht="15" hidden="1" x14ac:dyDescent="0.25">
      <c r="B11006" s="4">
        <v>584759570</v>
      </c>
      <c r="C11006" s="4" t="s">
        <v>269</v>
      </c>
      <c r="D11006" s="4">
        <v>1241</v>
      </c>
      <c r="E11006" s="4">
        <v>57</v>
      </c>
      <c r="G11006">
        <f t="shared" si="171"/>
        <v>512</v>
      </c>
    </row>
    <row r="11007" spans="2:7" ht="15" hidden="1" x14ac:dyDescent="0.25">
      <c r="B11007" s="4">
        <v>584759571</v>
      </c>
      <c r="C11007" s="4" t="s">
        <v>269</v>
      </c>
      <c r="D11007" s="4">
        <v>1242</v>
      </c>
      <c r="E11007" s="4">
        <v>57</v>
      </c>
      <c r="G11007">
        <f t="shared" si="171"/>
        <v>512</v>
      </c>
    </row>
    <row r="11008" spans="2:7" ht="15" hidden="1" x14ac:dyDescent="0.25">
      <c r="B11008" s="4">
        <v>584759572</v>
      </c>
      <c r="C11008" s="4" t="s">
        <v>269</v>
      </c>
      <c r="D11008" s="4">
        <v>1243</v>
      </c>
      <c r="E11008" s="4">
        <v>57</v>
      </c>
      <c r="G11008">
        <f t="shared" si="171"/>
        <v>512</v>
      </c>
    </row>
    <row r="11009" spans="2:7" ht="15" hidden="1" x14ac:dyDescent="0.25">
      <c r="B11009" s="4">
        <v>584759573</v>
      </c>
      <c r="C11009" s="4" t="s">
        <v>269</v>
      </c>
      <c r="D11009" s="4">
        <v>1244</v>
      </c>
      <c r="E11009" s="4">
        <v>57</v>
      </c>
      <c r="G11009">
        <f t="shared" si="171"/>
        <v>512</v>
      </c>
    </row>
    <row r="11010" spans="2:7" ht="15" hidden="1" x14ac:dyDescent="0.25">
      <c r="B11010" s="4">
        <v>584759574</v>
      </c>
      <c r="C11010" s="4" t="s">
        <v>269</v>
      </c>
      <c r="D11010" s="4">
        <v>1245</v>
      </c>
      <c r="E11010" s="4">
        <v>57</v>
      </c>
      <c r="G11010">
        <f t="shared" si="171"/>
        <v>512</v>
      </c>
    </row>
    <row r="11011" spans="2:7" ht="15" hidden="1" x14ac:dyDescent="0.25">
      <c r="B11011" s="4">
        <v>584759575</v>
      </c>
      <c r="C11011" s="4" t="s">
        <v>269</v>
      </c>
      <c r="D11011" s="4">
        <v>1246</v>
      </c>
      <c r="E11011" s="4">
        <v>57</v>
      </c>
      <c r="G11011">
        <f t="shared" si="171"/>
        <v>512</v>
      </c>
    </row>
    <row r="11012" spans="2:7" ht="15" hidden="1" x14ac:dyDescent="0.25">
      <c r="B11012" s="4">
        <v>584759576</v>
      </c>
      <c r="C11012" s="4" t="s">
        <v>269</v>
      </c>
      <c r="D11012" s="4">
        <v>1247</v>
      </c>
      <c r="E11012" s="4">
        <v>57</v>
      </c>
      <c r="G11012">
        <f t="shared" ref="G11012:G11075" si="172">(E11012+7)*8</f>
        <v>512</v>
      </c>
    </row>
    <row r="11013" spans="2:7" ht="15" hidden="1" x14ac:dyDescent="0.25">
      <c r="B11013" s="4">
        <v>584759577</v>
      </c>
      <c r="C11013" s="4" t="s">
        <v>269</v>
      </c>
      <c r="D11013" s="4">
        <v>1248</v>
      </c>
      <c r="E11013" s="4">
        <v>57</v>
      </c>
      <c r="G11013">
        <f t="shared" si="172"/>
        <v>512</v>
      </c>
    </row>
    <row r="11014" spans="2:7" ht="15" hidden="1" x14ac:dyDescent="0.25">
      <c r="B11014" s="4">
        <v>584759578</v>
      </c>
      <c r="C11014" s="4" t="s">
        <v>269</v>
      </c>
      <c r="D11014" s="4">
        <v>1249</v>
      </c>
      <c r="E11014" s="4">
        <v>57</v>
      </c>
      <c r="G11014">
        <f t="shared" si="172"/>
        <v>512</v>
      </c>
    </row>
    <row r="11015" spans="2:7" ht="15" hidden="1" x14ac:dyDescent="0.25">
      <c r="B11015" s="4">
        <v>584759578</v>
      </c>
      <c r="C11015" s="4" t="s">
        <v>272</v>
      </c>
      <c r="D11015" s="4">
        <v>113</v>
      </c>
      <c r="E11015" s="4">
        <v>211</v>
      </c>
      <c r="G11015">
        <f t="shared" si="172"/>
        <v>1744</v>
      </c>
    </row>
    <row r="11016" spans="2:7" ht="15" hidden="1" x14ac:dyDescent="0.25">
      <c r="B11016" s="4">
        <v>584759579</v>
      </c>
      <c r="C11016" s="4" t="s">
        <v>269</v>
      </c>
      <c r="D11016" s="4">
        <v>1250</v>
      </c>
      <c r="E11016" s="4">
        <v>57</v>
      </c>
      <c r="G11016">
        <f t="shared" si="172"/>
        <v>512</v>
      </c>
    </row>
    <row r="11017" spans="2:7" ht="15" hidden="1" x14ac:dyDescent="0.25">
      <c r="B11017" s="4">
        <v>584759580</v>
      </c>
      <c r="C11017" s="4" t="s">
        <v>269</v>
      </c>
      <c r="D11017" s="4">
        <v>1251</v>
      </c>
      <c r="E11017" s="4">
        <v>57</v>
      </c>
      <c r="G11017">
        <f t="shared" si="172"/>
        <v>512</v>
      </c>
    </row>
    <row r="11018" spans="2:7" ht="15" hidden="1" x14ac:dyDescent="0.25">
      <c r="B11018" s="4">
        <v>584759581</v>
      </c>
      <c r="C11018" s="4" t="s">
        <v>269</v>
      </c>
      <c r="D11018" s="4">
        <v>1252</v>
      </c>
      <c r="E11018" s="4">
        <v>57</v>
      </c>
      <c r="G11018">
        <f t="shared" si="172"/>
        <v>512</v>
      </c>
    </row>
    <row r="11019" spans="2:7" ht="15" hidden="1" x14ac:dyDescent="0.25">
      <c r="B11019" s="4">
        <v>584759582</v>
      </c>
      <c r="C11019" s="4" t="s">
        <v>269</v>
      </c>
      <c r="D11019" s="4">
        <v>1253</v>
      </c>
      <c r="E11019" s="4">
        <v>57</v>
      </c>
      <c r="G11019">
        <f t="shared" si="172"/>
        <v>512</v>
      </c>
    </row>
    <row r="11020" spans="2:7" ht="15" hidden="1" x14ac:dyDescent="0.25">
      <c r="B11020" s="4">
        <v>584759583</v>
      </c>
      <c r="C11020" s="4" t="s">
        <v>269</v>
      </c>
      <c r="D11020" s="4">
        <v>1254</v>
      </c>
      <c r="E11020" s="4">
        <v>57</v>
      </c>
      <c r="G11020">
        <f t="shared" si="172"/>
        <v>512</v>
      </c>
    </row>
    <row r="11021" spans="2:7" ht="15" hidden="1" x14ac:dyDescent="0.25">
      <c r="B11021" s="4">
        <v>584759584</v>
      </c>
      <c r="C11021" s="4" t="s">
        <v>269</v>
      </c>
      <c r="D11021" s="4">
        <v>1255</v>
      </c>
      <c r="E11021" s="4">
        <v>57</v>
      </c>
      <c r="G11021">
        <f t="shared" si="172"/>
        <v>512</v>
      </c>
    </row>
    <row r="11022" spans="2:7" ht="15" hidden="1" x14ac:dyDescent="0.25">
      <c r="B11022" s="4">
        <v>584759585</v>
      </c>
      <c r="C11022" s="4" t="s">
        <v>269</v>
      </c>
      <c r="D11022" s="4">
        <v>1256</v>
      </c>
      <c r="E11022" s="4">
        <v>57</v>
      </c>
      <c r="G11022">
        <f t="shared" si="172"/>
        <v>512</v>
      </c>
    </row>
    <row r="11023" spans="2:7" ht="15" hidden="1" x14ac:dyDescent="0.25">
      <c r="B11023" s="4">
        <v>584759586</v>
      </c>
      <c r="C11023" s="4" t="s">
        <v>269</v>
      </c>
      <c r="D11023" s="4">
        <v>1257</v>
      </c>
      <c r="E11023" s="4">
        <v>57</v>
      </c>
      <c r="G11023">
        <f t="shared" si="172"/>
        <v>512</v>
      </c>
    </row>
    <row r="11024" spans="2:7" ht="15" hidden="1" x14ac:dyDescent="0.25">
      <c r="B11024" s="4">
        <v>584759587</v>
      </c>
      <c r="C11024" s="4" t="s">
        <v>269</v>
      </c>
      <c r="D11024" s="4">
        <v>1258</v>
      </c>
      <c r="E11024" s="4">
        <v>57</v>
      </c>
      <c r="G11024">
        <f t="shared" si="172"/>
        <v>512</v>
      </c>
    </row>
    <row r="11025" spans="2:7" ht="15" hidden="1" x14ac:dyDescent="0.25">
      <c r="B11025" s="4">
        <v>584759588</v>
      </c>
      <c r="C11025" s="4" t="s">
        <v>269</v>
      </c>
      <c r="D11025" s="4">
        <v>1259</v>
      </c>
      <c r="E11025" s="4">
        <v>57</v>
      </c>
      <c r="G11025">
        <f t="shared" si="172"/>
        <v>512</v>
      </c>
    </row>
    <row r="11026" spans="2:7" ht="15" hidden="1" x14ac:dyDescent="0.25">
      <c r="B11026" s="4">
        <v>584759588</v>
      </c>
      <c r="C11026" s="4" t="s">
        <v>272</v>
      </c>
      <c r="D11026" s="4">
        <v>114</v>
      </c>
      <c r="E11026" s="4">
        <v>211</v>
      </c>
      <c r="G11026">
        <f t="shared" si="172"/>
        <v>1744</v>
      </c>
    </row>
    <row r="11027" spans="2:7" ht="15" hidden="1" x14ac:dyDescent="0.25">
      <c r="B11027" s="4">
        <v>584759589</v>
      </c>
      <c r="C11027" s="4" t="s">
        <v>269</v>
      </c>
      <c r="D11027" s="4">
        <v>1260</v>
      </c>
      <c r="E11027" s="4">
        <v>57</v>
      </c>
      <c r="G11027">
        <f t="shared" si="172"/>
        <v>512</v>
      </c>
    </row>
    <row r="11028" spans="2:7" ht="15" hidden="1" x14ac:dyDescent="0.25">
      <c r="B11028" s="4">
        <v>584759590</v>
      </c>
      <c r="C11028" s="4" t="s">
        <v>269</v>
      </c>
      <c r="D11028" s="4">
        <v>1261</v>
      </c>
      <c r="E11028" s="4">
        <v>57</v>
      </c>
      <c r="G11028">
        <f t="shared" si="172"/>
        <v>512</v>
      </c>
    </row>
    <row r="11029" spans="2:7" ht="15" hidden="1" x14ac:dyDescent="0.25">
      <c r="B11029" s="4">
        <v>584759591</v>
      </c>
      <c r="C11029" s="4" t="s">
        <v>269</v>
      </c>
      <c r="D11029" s="4">
        <v>1262</v>
      </c>
      <c r="E11029" s="4">
        <v>57</v>
      </c>
      <c r="G11029">
        <f t="shared" si="172"/>
        <v>512</v>
      </c>
    </row>
    <row r="11030" spans="2:7" ht="15" hidden="1" x14ac:dyDescent="0.25">
      <c r="B11030" s="4">
        <v>584759592</v>
      </c>
      <c r="C11030" s="4" t="s">
        <v>269</v>
      </c>
      <c r="D11030" s="4">
        <v>1263</v>
      </c>
      <c r="E11030" s="4">
        <v>57</v>
      </c>
      <c r="G11030">
        <f t="shared" si="172"/>
        <v>512</v>
      </c>
    </row>
    <row r="11031" spans="2:7" ht="15" hidden="1" x14ac:dyDescent="0.25">
      <c r="B11031" s="4">
        <v>584759593</v>
      </c>
      <c r="C11031" s="4" t="s">
        <v>269</v>
      </c>
      <c r="D11031" s="4">
        <v>1264</v>
      </c>
      <c r="E11031" s="4">
        <v>57</v>
      </c>
      <c r="G11031">
        <f t="shared" si="172"/>
        <v>512</v>
      </c>
    </row>
    <row r="11032" spans="2:7" ht="15" hidden="1" x14ac:dyDescent="0.25">
      <c r="B11032" s="4">
        <v>584759594</v>
      </c>
      <c r="C11032" s="4" t="s">
        <v>269</v>
      </c>
      <c r="D11032" s="4">
        <v>1265</v>
      </c>
      <c r="E11032" s="4">
        <v>57</v>
      </c>
      <c r="G11032">
        <f t="shared" si="172"/>
        <v>512</v>
      </c>
    </row>
    <row r="11033" spans="2:7" ht="15" hidden="1" x14ac:dyDescent="0.25">
      <c r="B11033" s="4">
        <v>584759595</v>
      </c>
      <c r="C11033" s="4" t="s">
        <v>269</v>
      </c>
      <c r="D11033" s="4">
        <v>1266</v>
      </c>
      <c r="E11033" s="4">
        <v>57</v>
      </c>
      <c r="G11033">
        <f t="shared" si="172"/>
        <v>512</v>
      </c>
    </row>
    <row r="11034" spans="2:7" ht="15" hidden="1" x14ac:dyDescent="0.25">
      <c r="B11034" s="4">
        <v>584759596</v>
      </c>
      <c r="C11034" s="4" t="s">
        <v>269</v>
      </c>
      <c r="D11034" s="4">
        <v>1267</v>
      </c>
      <c r="E11034" s="4">
        <v>57</v>
      </c>
      <c r="G11034">
        <f t="shared" si="172"/>
        <v>512</v>
      </c>
    </row>
    <row r="11035" spans="2:7" ht="15" hidden="1" x14ac:dyDescent="0.25">
      <c r="B11035" s="4">
        <v>584759597</v>
      </c>
      <c r="C11035" s="4" t="s">
        <v>269</v>
      </c>
      <c r="D11035" s="4">
        <v>1268</v>
      </c>
      <c r="E11035" s="4">
        <v>57</v>
      </c>
      <c r="G11035">
        <f t="shared" si="172"/>
        <v>512</v>
      </c>
    </row>
    <row r="11036" spans="2:7" ht="15" hidden="1" x14ac:dyDescent="0.25">
      <c r="B11036" s="4">
        <v>584759598</v>
      </c>
      <c r="C11036" s="4" t="s">
        <v>269</v>
      </c>
      <c r="D11036" s="4">
        <v>1269</v>
      </c>
      <c r="E11036" s="4">
        <v>57</v>
      </c>
      <c r="G11036">
        <f t="shared" si="172"/>
        <v>512</v>
      </c>
    </row>
    <row r="11037" spans="2:7" ht="15" hidden="1" x14ac:dyDescent="0.25">
      <c r="B11037" s="4">
        <v>584759598</v>
      </c>
      <c r="C11037" s="4" t="s">
        <v>272</v>
      </c>
      <c r="D11037" s="4">
        <v>115</v>
      </c>
      <c r="E11037" s="4">
        <v>213</v>
      </c>
      <c r="G11037">
        <f t="shared" si="172"/>
        <v>1760</v>
      </c>
    </row>
    <row r="11038" spans="2:7" ht="15" hidden="1" x14ac:dyDescent="0.25">
      <c r="B11038" s="4">
        <v>584759599</v>
      </c>
      <c r="C11038" s="4" t="s">
        <v>269</v>
      </c>
      <c r="D11038" s="4">
        <v>1270</v>
      </c>
      <c r="E11038" s="4">
        <v>57</v>
      </c>
      <c r="G11038">
        <f t="shared" si="172"/>
        <v>512</v>
      </c>
    </row>
    <row r="11039" spans="2:7" ht="15" hidden="1" x14ac:dyDescent="0.25">
      <c r="B11039" s="4">
        <v>584759600</v>
      </c>
      <c r="C11039" s="4" t="s">
        <v>269</v>
      </c>
      <c r="D11039" s="4">
        <v>1271</v>
      </c>
      <c r="E11039" s="4">
        <v>57</v>
      </c>
      <c r="G11039">
        <f t="shared" si="172"/>
        <v>512</v>
      </c>
    </row>
    <row r="11040" spans="2:7" ht="15" hidden="1" x14ac:dyDescent="0.25">
      <c r="B11040" s="4">
        <v>584759601</v>
      </c>
      <c r="C11040" s="4" t="s">
        <v>269</v>
      </c>
      <c r="D11040" s="4">
        <v>1272</v>
      </c>
      <c r="E11040" s="4">
        <v>57</v>
      </c>
      <c r="G11040">
        <f t="shared" si="172"/>
        <v>512</v>
      </c>
    </row>
    <row r="11041" spans="2:7" ht="15" hidden="1" x14ac:dyDescent="0.25">
      <c r="B11041" s="4">
        <v>584759602</v>
      </c>
      <c r="C11041" s="4" t="s">
        <v>269</v>
      </c>
      <c r="D11041" s="4">
        <v>1273</v>
      </c>
      <c r="E11041" s="4">
        <v>57</v>
      </c>
      <c r="G11041">
        <f t="shared" si="172"/>
        <v>512</v>
      </c>
    </row>
    <row r="11042" spans="2:7" ht="15" hidden="1" x14ac:dyDescent="0.25">
      <c r="B11042" s="4">
        <v>584759603</v>
      </c>
      <c r="C11042" s="4" t="s">
        <v>269</v>
      </c>
      <c r="D11042" s="4">
        <v>1274</v>
      </c>
      <c r="E11042" s="4">
        <v>57</v>
      </c>
      <c r="G11042">
        <f t="shared" si="172"/>
        <v>512</v>
      </c>
    </row>
    <row r="11043" spans="2:7" ht="15" hidden="1" x14ac:dyDescent="0.25">
      <c r="B11043" s="4">
        <v>584759604</v>
      </c>
      <c r="C11043" s="4" t="s">
        <v>269</v>
      </c>
      <c r="D11043" s="4">
        <v>1275</v>
      </c>
      <c r="E11043" s="4">
        <v>57</v>
      </c>
      <c r="G11043">
        <f t="shared" si="172"/>
        <v>512</v>
      </c>
    </row>
    <row r="11044" spans="2:7" ht="15" hidden="1" x14ac:dyDescent="0.25">
      <c r="B11044" s="4">
        <v>584759605</v>
      </c>
      <c r="C11044" s="4" t="s">
        <v>269</v>
      </c>
      <c r="D11044" s="4">
        <v>1276</v>
      </c>
      <c r="E11044" s="4">
        <v>57</v>
      </c>
      <c r="G11044">
        <f t="shared" si="172"/>
        <v>512</v>
      </c>
    </row>
    <row r="11045" spans="2:7" ht="15" hidden="1" x14ac:dyDescent="0.25">
      <c r="B11045" s="4">
        <v>584759606</v>
      </c>
      <c r="C11045" s="4" t="s">
        <v>269</v>
      </c>
      <c r="D11045" s="4">
        <v>1277</v>
      </c>
      <c r="E11045" s="4">
        <v>57</v>
      </c>
      <c r="G11045">
        <f t="shared" si="172"/>
        <v>512</v>
      </c>
    </row>
    <row r="11046" spans="2:7" ht="15" hidden="1" x14ac:dyDescent="0.25">
      <c r="B11046" s="4">
        <v>584759607</v>
      </c>
      <c r="C11046" s="4" t="s">
        <v>269</v>
      </c>
      <c r="D11046" s="4">
        <v>1278</v>
      </c>
      <c r="E11046" s="4">
        <v>57</v>
      </c>
      <c r="G11046">
        <f t="shared" si="172"/>
        <v>512</v>
      </c>
    </row>
    <row r="11047" spans="2:7" ht="15" hidden="1" x14ac:dyDescent="0.25">
      <c r="B11047" s="4">
        <v>584759608</v>
      </c>
      <c r="C11047" s="4" t="s">
        <v>269</v>
      </c>
      <c r="D11047" s="4">
        <v>1279</v>
      </c>
      <c r="E11047" s="4">
        <v>57</v>
      </c>
      <c r="G11047">
        <f t="shared" si="172"/>
        <v>512</v>
      </c>
    </row>
    <row r="11048" spans="2:7" ht="15" hidden="1" x14ac:dyDescent="0.25">
      <c r="B11048" s="4">
        <v>584759608</v>
      </c>
      <c r="C11048" s="4" t="s">
        <v>272</v>
      </c>
      <c r="D11048" s="4">
        <v>116</v>
      </c>
      <c r="E11048" s="4">
        <v>211</v>
      </c>
      <c r="G11048">
        <f t="shared" si="172"/>
        <v>1744</v>
      </c>
    </row>
    <row r="11049" spans="2:7" ht="15" hidden="1" x14ac:dyDescent="0.25">
      <c r="B11049" s="4">
        <v>584759609</v>
      </c>
      <c r="C11049" s="4" t="s">
        <v>269</v>
      </c>
      <c r="D11049" s="4">
        <v>1280</v>
      </c>
      <c r="E11049" s="4">
        <v>57</v>
      </c>
      <c r="G11049">
        <f t="shared" si="172"/>
        <v>512</v>
      </c>
    </row>
    <row r="11050" spans="2:7" ht="15" hidden="1" x14ac:dyDescent="0.25">
      <c r="B11050" s="4">
        <v>584759610</v>
      </c>
      <c r="C11050" s="4" t="s">
        <v>269</v>
      </c>
      <c r="D11050" s="4">
        <v>1281</v>
      </c>
      <c r="E11050" s="4">
        <v>57</v>
      </c>
      <c r="G11050">
        <f t="shared" si="172"/>
        <v>512</v>
      </c>
    </row>
    <row r="11051" spans="2:7" ht="15" hidden="1" x14ac:dyDescent="0.25">
      <c r="B11051" s="4">
        <v>584759611</v>
      </c>
      <c r="C11051" s="4" t="s">
        <v>269</v>
      </c>
      <c r="D11051" s="4">
        <v>1282</v>
      </c>
      <c r="E11051" s="4">
        <v>57</v>
      </c>
      <c r="G11051">
        <f t="shared" si="172"/>
        <v>512</v>
      </c>
    </row>
    <row r="11052" spans="2:7" ht="15" hidden="1" x14ac:dyDescent="0.25">
      <c r="B11052" s="4">
        <v>584759612</v>
      </c>
      <c r="C11052" s="4" t="s">
        <v>269</v>
      </c>
      <c r="D11052" s="4">
        <v>1283</v>
      </c>
      <c r="E11052" s="4">
        <v>57</v>
      </c>
      <c r="G11052">
        <f t="shared" si="172"/>
        <v>512</v>
      </c>
    </row>
    <row r="11053" spans="2:7" ht="15" hidden="1" x14ac:dyDescent="0.25">
      <c r="B11053" s="4">
        <v>584759613</v>
      </c>
      <c r="C11053" s="4" t="s">
        <v>269</v>
      </c>
      <c r="D11053" s="4">
        <v>1284</v>
      </c>
      <c r="E11053" s="4">
        <v>57</v>
      </c>
      <c r="G11053">
        <f t="shared" si="172"/>
        <v>512</v>
      </c>
    </row>
    <row r="11054" spans="2:7" ht="15" hidden="1" x14ac:dyDescent="0.25">
      <c r="B11054" s="4">
        <v>584759614</v>
      </c>
      <c r="C11054" s="4" t="s">
        <v>269</v>
      </c>
      <c r="D11054" s="4">
        <v>1285</v>
      </c>
      <c r="E11054" s="4">
        <v>57</v>
      </c>
      <c r="G11054">
        <f t="shared" si="172"/>
        <v>512</v>
      </c>
    </row>
    <row r="11055" spans="2:7" ht="15" hidden="1" x14ac:dyDescent="0.25">
      <c r="B11055" s="4">
        <v>584759615</v>
      </c>
      <c r="C11055" s="4" t="s">
        <v>269</v>
      </c>
      <c r="D11055" s="4">
        <v>1286</v>
      </c>
      <c r="E11055" s="4">
        <v>57</v>
      </c>
      <c r="G11055">
        <f t="shared" si="172"/>
        <v>512</v>
      </c>
    </row>
    <row r="11056" spans="2:7" ht="15" hidden="1" x14ac:dyDescent="0.25">
      <c r="B11056" s="4">
        <v>584759616</v>
      </c>
      <c r="C11056" s="4" t="s">
        <v>269</v>
      </c>
      <c r="D11056" s="4">
        <v>1287</v>
      </c>
      <c r="E11056" s="4">
        <v>57</v>
      </c>
      <c r="G11056">
        <f t="shared" si="172"/>
        <v>512</v>
      </c>
    </row>
    <row r="11057" spans="2:7" ht="15" hidden="1" x14ac:dyDescent="0.25">
      <c r="B11057" s="4">
        <v>584759617</v>
      </c>
      <c r="C11057" s="4" t="s">
        <v>269</v>
      </c>
      <c r="D11057" s="4">
        <v>1288</v>
      </c>
      <c r="E11057" s="4">
        <v>57</v>
      </c>
      <c r="G11057">
        <f t="shared" si="172"/>
        <v>512</v>
      </c>
    </row>
    <row r="11058" spans="2:7" ht="15" hidden="1" x14ac:dyDescent="0.25">
      <c r="B11058" s="4">
        <v>584759618</v>
      </c>
      <c r="C11058" s="4" t="s">
        <v>269</v>
      </c>
      <c r="D11058" s="4">
        <v>1289</v>
      </c>
      <c r="E11058" s="4">
        <v>57</v>
      </c>
      <c r="G11058">
        <f t="shared" si="172"/>
        <v>512</v>
      </c>
    </row>
    <row r="11059" spans="2:7" ht="15" hidden="1" x14ac:dyDescent="0.25">
      <c r="B11059" s="4">
        <v>584759618</v>
      </c>
      <c r="C11059" s="4" t="s">
        <v>272</v>
      </c>
      <c r="D11059" s="4">
        <v>117</v>
      </c>
      <c r="E11059" s="4">
        <v>211</v>
      </c>
      <c r="G11059">
        <f t="shared" si="172"/>
        <v>1744</v>
      </c>
    </row>
    <row r="11060" spans="2:7" ht="15" hidden="1" x14ac:dyDescent="0.25">
      <c r="B11060" s="4">
        <v>584759619</v>
      </c>
      <c r="C11060" s="4" t="s">
        <v>269</v>
      </c>
      <c r="D11060" s="4">
        <v>1290</v>
      </c>
      <c r="E11060" s="4">
        <v>57</v>
      </c>
      <c r="G11060">
        <f t="shared" si="172"/>
        <v>512</v>
      </c>
    </row>
    <row r="11061" spans="2:7" ht="15" hidden="1" x14ac:dyDescent="0.25">
      <c r="B11061" s="4">
        <v>584759620</v>
      </c>
      <c r="C11061" s="4" t="s">
        <v>269</v>
      </c>
      <c r="D11061" s="4">
        <v>1291</v>
      </c>
      <c r="E11061" s="4">
        <v>57</v>
      </c>
      <c r="G11061">
        <f t="shared" si="172"/>
        <v>512</v>
      </c>
    </row>
    <row r="11062" spans="2:7" ht="15" hidden="1" x14ac:dyDescent="0.25">
      <c r="B11062" s="4">
        <v>584759621</v>
      </c>
      <c r="C11062" s="4" t="s">
        <v>269</v>
      </c>
      <c r="D11062" s="4">
        <v>1292</v>
      </c>
      <c r="E11062" s="4">
        <v>57</v>
      </c>
      <c r="G11062">
        <f t="shared" si="172"/>
        <v>512</v>
      </c>
    </row>
    <row r="11063" spans="2:7" ht="15" hidden="1" x14ac:dyDescent="0.25">
      <c r="B11063" s="4">
        <v>584759622</v>
      </c>
      <c r="C11063" s="4" t="s">
        <v>269</v>
      </c>
      <c r="D11063" s="4">
        <v>1293</v>
      </c>
      <c r="E11063" s="4">
        <v>57</v>
      </c>
      <c r="G11063">
        <f t="shared" si="172"/>
        <v>512</v>
      </c>
    </row>
    <row r="11064" spans="2:7" ht="15" hidden="1" x14ac:dyDescent="0.25">
      <c r="B11064" s="4">
        <v>584759623</v>
      </c>
      <c r="C11064" s="4" t="s">
        <v>269</v>
      </c>
      <c r="D11064" s="4">
        <v>1294</v>
      </c>
      <c r="E11064" s="4">
        <v>57</v>
      </c>
      <c r="G11064">
        <f t="shared" si="172"/>
        <v>512</v>
      </c>
    </row>
    <row r="11065" spans="2:7" ht="15" hidden="1" x14ac:dyDescent="0.25">
      <c r="B11065" s="4">
        <v>584759624</v>
      </c>
      <c r="C11065" s="4" t="s">
        <v>269</v>
      </c>
      <c r="D11065" s="4">
        <v>1295</v>
      </c>
      <c r="E11065" s="4">
        <v>57</v>
      </c>
      <c r="G11065">
        <f t="shared" si="172"/>
        <v>512</v>
      </c>
    </row>
    <row r="11066" spans="2:7" ht="15" hidden="1" x14ac:dyDescent="0.25">
      <c r="B11066" s="4">
        <v>584759625</v>
      </c>
      <c r="C11066" s="4" t="s">
        <v>269</v>
      </c>
      <c r="D11066" s="4">
        <v>1296</v>
      </c>
      <c r="E11066" s="4">
        <v>57</v>
      </c>
      <c r="G11066">
        <f t="shared" si="172"/>
        <v>512</v>
      </c>
    </row>
    <row r="11067" spans="2:7" ht="15" hidden="1" x14ac:dyDescent="0.25">
      <c r="B11067" s="4">
        <v>584759626</v>
      </c>
      <c r="C11067" s="4" t="s">
        <v>269</v>
      </c>
      <c r="D11067" s="4">
        <v>1297</v>
      </c>
      <c r="E11067" s="4">
        <v>57</v>
      </c>
      <c r="G11067">
        <f t="shared" si="172"/>
        <v>512</v>
      </c>
    </row>
    <row r="11068" spans="2:7" ht="15" hidden="1" x14ac:dyDescent="0.25">
      <c r="B11068" s="4">
        <v>584759627</v>
      </c>
      <c r="C11068" s="4" t="s">
        <v>269</v>
      </c>
      <c r="D11068" s="4">
        <v>1298</v>
      </c>
      <c r="E11068" s="4">
        <v>57</v>
      </c>
      <c r="G11068">
        <f t="shared" si="172"/>
        <v>512</v>
      </c>
    </row>
    <row r="11069" spans="2:7" ht="15" hidden="1" x14ac:dyDescent="0.25">
      <c r="B11069" s="4">
        <v>584759628</v>
      </c>
      <c r="C11069" s="4" t="s">
        <v>269</v>
      </c>
      <c r="D11069" s="4">
        <v>1299</v>
      </c>
      <c r="E11069" s="4">
        <v>57</v>
      </c>
      <c r="G11069">
        <f t="shared" si="172"/>
        <v>512</v>
      </c>
    </row>
    <row r="11070" spans="2:7" ht="15" hidden="1" x14ac:dyDescent="0.25">
      <c r="B11070" s="4">
        <v>584759628</v>
      </c>
      <c r="C11070" s="4" t="s">
        <v>272</v>
      </c>
      <c r="D11070" s="4">
        <v>118</v>
      </c>
      <c r="E11070" s="4">
        <v>211</v>
      </c>
      <c r="G11070">
        <f t="shared" si="172"/>
        <v>1744</v>
      </c>
    </row>
    <row r="11071" spans="2:7" ht="15" hidden="1" x14ac:dyDescent="0.25">
      <c r="B11071" s="4">
        <v>584759629</v>
      </c>
      <c r="C11071" s="4" t="s">
        <v>269</v>
      </c>
      <c r="D11071" s="4">
        <v>1300</v>
      </c>
      <c r="E11071" s="4">
        <v>57</v>
      </c>
      <c r="G11071">
        <f t="shared" si="172"/>
        <v>512</v>
      </c>
    </row>
    <row r="11072" spans="2:7" ht="15" hidden="1" x14ac:dyDescent="0.25">
      <c r="B11072" s="4">
        <v>584759630</v>
      </c>
      <c r="C11072" s="4" t="s">
        <v>269</v>
      </c>
      <c r="D11072" s="4">
        <v>1301</v>
      </c>
      <c r="E11072" s="4">
        <v>57</v>
      </c>
      <c r="G11072">
        <f t="shared" si="172"/>
        <v>512</v>
      </c>
    </row>
    <row r="11073" spans="2:7" ht="15" hidden="1" x14ac:dyDescent="0.25">
      <c r="B11073" s="4">
        <v>584759631</v>
      </c>
      <c r="C11073" s="4" t="s">
        <v>269</v>
      </c>
      <c r="D11073" s="4">
        <v>1302</v>
      </c>
      <c r="E11073" s="4">
        <v>57</v>
      </c>
      <c r="G11073">
        <f t="shared" si="172"/>
        <v>512</v>
      </c>
    </row>
    <row r="11074" spans="2:7" ht="15" hidden="1" x14ac:dyDescent="0.25">
      <c r="B11074" s="4">
        <v>584759632</v>
      </c>
      <c r="C11074" s="4" t="s">
        <v>269</v>
      </c>
      <c r="D11074" s="4">
        <v>1303</v>
      </c>
      <c r="E11074" s="4">
        <v>57</v>
      </c>
      <c r="G11074">
        <f t="shared" si="172"/>
        <v>512</v>
      </c>
    </row>
    <row r="11075" spans="2:7" ht="15" hidden="1" x14ac:dyDescent="0.25">
      <c r="B11075" s="4">
        <v>584759633</v>
      </c>
      <c r="C11075" s="4" t="s">
        <v>269</v>
      </c>
      <c r="D11075" s="4">
        <v>1304</v>
      </c>
      <c r="E11075" s="4">
        <v>57</v>
      </c>
      <c r="G11075">
        <f t="shared" si="172"/>
        <v>512</v>
      </c>
    </row>
    <row r="11076" spans="2:7" ht="15" hidden="1" x14ac:dyDescent="0.25">
      <c r="B11076" s="4">
        <v>584759634</v>
      </c>
      <c r="C11076" s="4" t="s">
        <v>269</v>
      </c>
      <c r="D11076" s="4">
        <v>1305</v>
      </c>
      <c r="E11076" s="4">
        <v>57</v>
      </c>
      <c r="G11076">
        <f t="shared" ref="G11076:G11139" si="173">(E11076+7)*8</f>
        <v>512</v>
      </c>
    </row>
    <row r="11077" spans="2:7" ht="15" hidden="1" x14ac:dyDescent="0.25">
      <c r="B11077" s="4">
        <v>584759635</v>
      </c>
      <c r="C11077" s="4" t="s">
        <v>269</v>
      </c>
      <c r="D11077" s="4">
        <v>1306</v>
      </c>
      <c r="E11077" s="4">
        <v>57</v>
      </c>
      <c r="G11077">
        <f t="shared" si="173"/>
        <v>512</v>
      </c>
    </row>
    <row r="11078" spans="2:7" ht="15" hidden="1" x14ac:dyDescent="0.25">
      <c r="B11078" s="4">
        <v>584759636</v>
      </c>
      <c r="C11078" s="4" t="s">
        <v>268</v>
      </c>
      <c r="D11078" s="4">
        <v>266</v>
      </c>
      <c r="E11078" s="4">
        <v>6</v>
      </c>
      <c r="G11078">
        <f t="shared" si="173"/>
        <v>104</v>
      </c>
    </row>
    <row r="11079" spans="2:7" ht="15" hidden="1" x14ac:dyDescent="0.25">
      <c r="B11079" s="4">
        <v>584759636</v>
      </c>
      <c r="C11079" s="4" t="s">
        <v>268</v>
      </c>
      <c r="D11079" s="4">
        <v>266</v>
      </c>
      <c r="E11079" s="4">
        <v>6</v>
      </c>
      <c r="G11079">
        <f t="shared" si="173"/>
        <v>104</v>
      </c>
    </row>
    <row r="11080" spans="2:7" ht="15" hidden="1" x14ac:dyDescent="0.25">
      <c r="B11080" s="4">
        <v>584759636</v>
      </c>
      <c r="C11080" s="4" t="s">
        <v>268</v>
      </c>
      <c r="D11080" s="4">
        <v>267</v>
      </c>
      <c r="E11080" s="4">
        <v>9</v>
      </c>
      <c r="G11080">
        <f t="shared" si="173"/>
        <v>128</v>
      </c>
    </row>
    <row r="11081" spans="2:7" ht="15" hidden="1" x14ac:dyDescent="0.25">
      <c r="B11081" s="4">
        <v>584759636</v>
      </c>
      <c r="C11081" s="4" t="s">
        <v>268</v>
      </c>
      <c r="D11081" s="4">
        <v>267</v>
      </c>
      <c r="E11081" s="4">
        <v>9</v>
      </c>
      <c r="G11081">
        <f t="shared" si="173"/>
        <v>128</v>
      </c>
    </row>
    <row r="11082" spans="2:7" ht="15" hidden="1" x14ac:dyDescent="0.25">
      <c r="B11082" s="4">
        <v>584759636</v>
      </c>
      <c r="C11082" s="4" t="s">
        <v>268</v>
      </c>
      <c r="D11082" s="4">
        <v>268</v>
      </c>
      <c r="E11082" s="4">
        <v>7</v>
      </c>
      <c r="G11082">
        <f t="shared" si="173"/>
        <v>112</v>
      </c>
    </row>
    <row r="11083" spans="2:7" ht="15" hidden="1" x14ac:dyDescent="0.25">
      <c r="B11083" s="4">
        <v>584759636</v>
      </c>
      <c r="C11083" s="4" t="s">
        <v>268</v>
      </c>
      <c r="D11083" s="4">
        <v>268</v>
      </c>
      <c r="E11083" s="4">
        <v>7</v>
      </c>
      <c r="G11083">
        <f t="shared" si="173"/>
        <v>112</v>
      </c>
    </row>
    <row r="11084" spans="2:7" ht="15" hidden="1" x14ac:dyDescent="0.25">
      <c r="B11084" s="4">
        <v>584759636</v>
      </c>
      <c r="C11084" s="4" t="s">
        <v>268</v>
      </c>
      <c r="D11084" s="4">
        <v>269</v>
      </c>
      <c r="E11084" s="4">
        <v>7</v>
      </c>
      <c r="G11084">
        <f t="shared" si="173"/>
        <v>112</v>
      </c>
    </row>
    <row r="11085" spans="2:7" ht="15" hidden="1" x14ac:dyDescent="0.25">
      <c r="B11085" s="4">
        <v>584759636</v>
      </c>
      <c r="C11085" s="4" t="s">
        <v>268</v>
      </c>
      <c r="D11085" s="4">
        <v>269</v>
      </c>
      <c r="E11085" s="4">
        <v>7</v>
      </c>
      <c r="G11085">
        <f t="shared" si="173"/>
        <v>112</v>
      </c>
    </row>
    <row r="11086" spans="2:7" ht="15" hidden="1" x14ac:dyDescent="0.25">
      <c r="B11086" s="4">
        <v>584759636</v>
      </c>
      <c r="C11086" s="4" t="s">
        <v>268</v>
      </c>
      <c r="D11086" s="4">
        <v>270</v>
      </c>
      <c r="E11086" s="4">
        <v>7</v>
      </c>
      <c r="G11086">
        <f t="shared" si="173"/>
        <v>112</v>
      </c>
    </row>
    <row r="11087" spans="2:7" ht="15" hidden="1" x14ac:dyDescent="0.25">
      <c r="B11087" s="4">
        <v>584759636</v>
      </c>
      <c r="C11087" s="4" t="s">
        <v>268</v>
      </c>
      <c r="D11087" s="4">
        <v>270</v>
      </c>
      <c r="E11087" s="4">
        <v>7</v>
      </c>
      <c r="G11087">
        <f t="shared" si="173"/>
        <v>112</v>
      </c>
    </row>
    <row r="11088" spans="2:7" ht="15" hidden="1" x14ac:dyDescent="0.25">
      <c r="B11088" s="4">
        <v>584759636</v>
      </c>
      <c r="C11088" s="4" t="s">
        <v>269</v>
      </c>
      <c r="D11088" s="4">
        <v>1307</v>
      </c>
      <c r="E11088" s="4">
        <v>57</v>
      </c>
      <c r="G11088">
        <f t="shared" si="173"/>
        <v>512</v>
      </c>
    </row>
    <row r="11089" spans="2:7" ht="15" hidden="1" x14ac:dyDescent="0.25">
      <c r="B11089" s="4">
        <v>584759637</v>
      </c>
      <c r="C11089" s="4" t="s">
        <v>269</v>
      </c>
      <c r="D11089" s="4">
        <v>1308</v>
      </c>
      <c r="E11089" s="4">
        <v>57</v>
      </c>
      <c r="G11089">
        <f t="shared" si="173"/>
        <v>512</v>
      </c>
    </row>
    <row r="11090" spans="2:7" ht="15" hidden="1" x14ac:dyDescent="0.25">
      <c r="B11090" s="4">
        <v>584759638</v>
      </c>
      <c r="C11090" s="4" t="s">
        <v>268</v>
      </c>
      <c r="D11090" s="4">
        <v>271</v>
      </c>
      <c r="E11090" s="4">
        <v>7</v>
      </c>
      <c r="G11090">
        <f t="shared" si="173"/>
        <v>112</v>
      </c>
    </row>
    <row r="11091" spans="2:7" ht="15" hidden="1" x14ac:dyDescent="0.25">
      <c r="B11091" s="4">
        <v>584759638</v>
      </c>
      <c r="C11091" s="4" t="s">
        <v>268</v>
      </c>
      <c r="D11091" s="4">
        <v>271</v>
      </c>
      <c r="E11091" s="4">
        <v>7</v>
      </c>
      <c r="G11091">
        <f t="shared" si="173"/>
        <v>112</v>
      </c>
    </row>
    <row r="11092" spans="2:7" ht="15" hidden="1" x14ac:dyDescent="0.25">
      <c r="B11092" s="4">
        <v>584759638</v>
      </c>
      <c r="C11092" s="4" t="s">
        <v>268</v>
      </c>
      <c r="D11092" s="4">
        <v>272</v>
      </c>
      <c r="E11092" s="4">
        <v>5</v>
      </c>
      <c r="G11092">
        <f t="shared" si="173"/>
        <v>96</v>
      </c>
    </row>
    <row r="11093" spans="2:7" ht="15" hidden="1" x14ac:dyDescent="0.25">
      <c r="B11093" s="4">
        <v>584759638</v>
      </c>
      <c r="C11093" s="4" t="s">
        <v>268</v>
      </c>
      <c r="D11093" s="4">
        <v>272</v>
      </c>
      <c r="E11093" s="4">
        <v>5</v>
      </c>
      <c r="G11093">
        <f t="shared" si="173"/>
        <v>96</v>
      </c>
    </row>
    <row r="11094" spans="2:7" ht="15" hidden="1" x14ac:dyDescent="0.25">
      <c r="B11094" s="4">
        <v>584759638</v>
      </c>
      <c r="C11094" s="4" t="s">
        <v>268</v>
      </c>
      <c r="D11094" s="4">
        <v>273</v>
      </c>
      <c r="E11094" s="4">
        <v>7</v>
      </c>
      <c r="G11094">
        <f t="shared" si="173"/>
        <v>112</v>
      </c>
    </row>
    <row r="11095" spans="2:7" ht="15" hidden="1" x14ac:dyDescent="0.25">
      <c r="B11095" s="4">
        <v>584759638</v>
      </c>
      <c r="C11095" s="4" t="s">
        <v>268</v>
      </c>
      <c r="D11095" s="4">
        <v>273</v>
      </c>
      <c r="E11095" s="4">
        <v>7</v>
      </c>
      <c r="G11095">
        <f t="shared" si="173"/>
        <v>112</v>
      </c>
    </row>
    <row r="11096" spans="2:7" ht="15" hidden="1" x14ac:dyDescent="0.25">
      <c r="B11096" s="4">
        <v>584759638</v>
      </c>
      <c r="C11096" s="4" t="s">
        <v>269</v>
      </c>
      <c r="D11096" s="4">
        <v>1309</v>
      </c>
      <c r="E11096" s="4">
        <v>57</v>
      </c>
      <c r="G11096">
        <f t="shared" si="173"/>
        <v>512</v>
      </c>
    </row>
    <row r="11097" spans="2:7" ht="15" hidden="1" x14ac:dyDescent="0.25">
      <c r="B11097" s="4">
        <v>584759638</v>
      </c>
      <c r="C11097" s="4" t="s">
        <v>272</v>
      </c>
      <c r="D11097" s="4">
        <v>119</v>
      </c>
      <c r="E11097" s="4">
        <v>209</v>
      </c>
      <c r="G11097">
        <f t="shared" si="173"/>
        <v>1728</v>
      </c>
    </row>
    <row r="11098" spans="2:7" ht="15" hidden="1" x14ac:dyDescent="0.25">
      <c r="B11098" s="4">
        <v>584759639</v>
      </c>
      <c r="C11098" s="4" t="s">
        <v>269</v>
      </c>
      <c r="D11098" s="4">
        <v>1310</v>
      </c>
      <c r="E11098" s="4">
        <v>57</v>
      </c>
      <c r="G11098">
        <f t="shared" si="173"/>
        <v>512</v>
      </c>
    </row>
    <row r="11099" spans="2:7" ht="15" hidden="1" x14ac:dyDescent="0.25">
      <c r="B11099" s="4">
        <v>584759640</v>
      </c>
      <c r="C11099" s="4" t="s">
        <v>269</v>
      </c>
      <c r="D11099" s="4">
        <v>1311</v>
      </c>
      <c r="E11099" s="4">
        <v>57</v>
      </c>
      <c r="G11099">
        <f t="shared" si="173"/>
        <v>512</v>
      </c>
    </row>
    <row r="11100" spans="2:7" ht="15" hidden="1" x14ac:dyDescent="0.25">
      <c r="B11100" s="4">
        <v>584759641</v>
      </c>
      <c r="C11100" s="4" t="s">
        <v>269</v>
      </c>
      <c r="D11100" s="4">
        <v>1312</v>
      </c>
      <c r="E11100" s="4">
        <v>57</v>
      </c>
      <c r="G11100">
        <f t="shared" si="173"/>
        <v>512</v>
      </c>
    </row>
    <row r="11101" spans="2:7" ht="15" hidden="1" x14ac:dyDescent="0.25">
      <c r="B11101" s="4">
        <v>584759642</v>
      </c>
      <c r="C11101" s="4" t="s">
        <v>269</v>
      </c>
      <c r="D11101" s="4">
        <v>1313</v>
      </c>
      <c r="E11101" s="4">
        <v>57</v>
      </c>
      <c r="G11101">
        <f t="shared" si="173"/>
        <v>512</v>
      </c>
    </row>
    <row r="11102" spans="2:7" ht="15" hidden="1" x14ac:dyDescent="0.25">
      <c r="B11102" s="4">
        <v>584759643</v>
      </c>
      <c r="C11102" s="4" t="s">
        <v>269</v>
      </c>
      <c r="D11102" s="4">
        <v>1314</v>
      </c>
      <c r="E11102" s="4">
        <v>57</v>
      </c>
      <c r="G11102">
        <f t="shared" si="173"/>
        <v>512</v>
      </c>
    </row>
    <row r="11103" spans="2:7" ht="15" hidden="1" x14ac:dyDescent="0.25">
      <c r="B11103" s="4">
        <v>584759644</v>
      </c>
      <c r="C11103" s="4" t="s">
        <v>269</v>
      </c>
      <c r="D11103" s="4">
        <v>1315</v>
      </c>
      <c r="E11103" s="4">
        <v>57</v>
      </c>
      <c r="G11103">
        <f t="shared" si="173"/>
        <v>512</v>
      </c>
    </row>
    <row r="11104" spans="2:7" ht="15" hidden="1" x14ac:dyDescent="0.25">
      <c r="B11104" s="4">
        <v>584759645</v>
      </c>
      <c r="C11104" s="4" t="s">
        <v>269</v>
      </c>
      <c r="D11104" s="4">
        <v>1316</v>
      </c>
      <c r="E11104" s="4">
        <v>57</v>
      </c>
      <c r="G11104">
        <f t="shared" si="173"/>
        <v>512</v>
      </c>
    </row>
    <row r="11105" spans="2:7" ht="15" hidden="1" x14ac:dyDescent="0.25">
      <c r="B11105" s="4">
        <v>584759646</v>
      </c>
      <c r="C11105" s="4" t="s">
        <v>269</v>
      </c>
      <c r="D11105" s="4">
        <v>1317</v>
      </c>
      <c r="E11105" s="4">
        <v>57</v>
      </c>
      <c r="G11105">
        <f t="shared" si="173"/>
        <v>512</v>
      </c>
    </row>
    <row r="11106" spans="2:7" ht="15" hidden="1" x14ac:dyDescent="0.25">
      <c r="B11106" s="4">
        <v>584759647</v>
      </c>
      <c r="C11106" s="4" t="s">
        <v>269</v>
      </c>
      <c r="D11106" s="4">
        <v>1318</v>
      </c>
      <c r="E11106" s="4">
        <v>57</v>
      </c>
      <c r="G11106">
        <f t="shared" si="173"/>
        <v>512</v>
      </c>
    </row>
    <row r="11107" spans="2:7" ht="15" hidden="1" x14ac:dyDescent="0.25">
      <c r="B11107" s="4">
        <v>584759648</v>
      </c>
      <c r="C11107" s="4" t="s">
        <v>269</v>
      </c>
      <c r="D11107" s="4">
        <v>1319</v>
      </c>
      <c r="E11107" s="4">
        <v>57</v>
      </c>
      <c r="G11107">
        <f t="shared" si="173"/>
        <v>512</v>
      </c>
    </row>
    <row r="11108" spans="2:7" ht="15" x14ac:dyDescent="0.25">
      <c r="B11108" s="4">
        <v>584759648</v>
      </c>
      <c r="C11108" s="4" t="s">
        <v>270</v>
      </c>
      <c r="D11108" s="4">
        <v>4</v>
      </c>
      <c r="E11108" s="4">
        <v>1100</v>
      </c>
      <c r="G11108">
        <f t="shared" si="173"/>
        <v>8856</v>
      </c>
    </row>
    <row r="11109" spans="2:7" ht="15" x14ac:dyDescent="0.25">
      <c r="B11109" s="4">
        <v>584759648</v>
      </c>
      <c r="C11109" s="4" t="s">
        <v>271</v>
      </c>
      <c r="D11109" s="4">
        <v>4</v>
      </c>
      <c r="E11109" s="4">
        <v>1100</v>
      </c>
      <c r="G11109">
        <f t="shared" si="173"/>
        <v>8856</v>
      </c>
    </row>
    <row r="11110" spans="2:7" ht="15" hidden="1" x14ac:dyDescent="0.25">
      <c r="B11110" s="4">
        <v>584759649</v>
      </c>
      <c r="C11110" s="4" t="s">
        <v>269</v>
      </c>
      <c r="D11110" s="4">
        <v>1320</v>
      </c>
      <c r="E11110" s="4">
        <v>57</v>
      </c>
      <c r="G11110">
        <f t="shared" si="173"/>
        <v>512</v>
      </c>
    </row>
    <row r="11111" spans="2:7" ht="15" hidden="1" x14ac:dyDescent="0.25">
      <c r="B11111" s="4">
        <v>584759649</v>
      </c>
      <c r="C11111" s="4" t="s">
        <v>272</v>
      </c>
      <c r="D11111" s="4">
        <v>120</v>
      </c>
      <c r="E11111" s="4">
        <v>211</v>
      </c>
      <c r="G11111">
        <f t="shared" si="173"/>
        <v>1744</v>
      </c>
    </row>
    <row r="11112" spans="2:7" ht="15" hidden="1" x14ac:dyDescent="0.25">
      <c r="B11112" s="4">
        <v>584759650</v>
      </c>
      <c r="C11112" s="4" t="s">
        <v>269</v>
      </c>
      <c r="D11112" s="4">
        <v>1321</v>
      </c>
      <c r="E11112" s="4">
        <v>57</v>
      </c>
      <c r="G11112">
        <f t="shared" si="173"/>
        <v>512</v>
      </c>
    </row>
    <row r="11113" spans="2:7" ht="15" hidden="1" x14ac:dyDescent="0.25">
      <c r="B11113" s="4">
        <v>584759651</v>
      </c>
      <c r="C11113" s="4" t="s">
        <v>269</v>
      </c>
      <c r="D11113" s="4">
        <v>1322</v>
      </c>
      <c r="E11113" s="4">
        <v>57</v>
      </c>
      <c r="G11113">
        <f t="shared" si="173"/>
        <v>512</v>
      </c>
    </row>
    <row r="11114" spans="2:7" ht="15" hidden="1" x14ac:dyDescent="0.25">
      <c r="B11114" s="4">
        <v>584759652</v>
      </c>
      <c r="C11114" s="4" t="s">
        <v>269</v>
      </c>
      <c r="D11114" s="4">
        <v>1323</v>
      </c>
      <c r="E11114" s="4">
        <v>57</v>
      </c>
      <c r="G11114">
        <f t="shared" si="173"/>
        <v>512</v>
      </c>
    </row>
    <row r="11115" spans="2:7" ht="15" hidden="1" x14ac:dyDescent="0.25">
      <c r="B11115" s="4">
        <v>584759653</v>
      </c>
      <c r="C11115" s="4" t="s">
        <v>269</v>
      </c>
      <c r="D11115" s="4">
        <v>1324</v>
      </c>
      <c r="E11115" s="4">
        <v>57</v>
      </c>
      <c r="G11115">
        <f t="shared" si="173"/>
        <v>512</v>
      </c>
    </row>
    <row r="11116" spans="2:7" ht="15" hidden="1" x14ac:dyDescent="0.25">
      <c r="B11116" s="4">
        <v>584759654</v>
      </c>
      <c r="C11116" s="4" t="s">
        <v>269</v>
      </c>
      <c r="D11116" s="4">
        <v>1325</v>
      </c>
      <c r="E11116" s="4">
        <v>57</v>
      </c>
      <c r="G11116">
        <f t="shared" si="173"/>
        <v>512</v>
      </c>
    </row>
    <row r="11117" spans="2:7" ht="15" hidden="1" x14ac:dyDescent="0.25">
      <c r="B11117" s="4">
        <v>584759655</v>
      </c>
      <c r="C11117" s="4" t="s">
        <v>269</v>
      </c>
      <c r="D11117" s="4">
        <v>1326</v>
      </c>
      <c r="E11117" s="4">
        <v>57</v>
      </c>
      <c r="G11117">
        <f t="shared" si="173"/>
        <v>512</v>
      </c>
    </row>
    <row r="11118" spans="2:7" ht="15" hidden="1" x14ac:dyDescent="0.25">
      <c r="B11118" s="4">
        <v>584759656</v>
      </c>
      <c r="C11118" s="4" t="s">
        <v>269</v>
      </c>
      <c r="D11118" s="4">
        <v>1327</v>
      </c>
      <c r="E11118" s="4">
        <v>57</v>
      </c>
      <c r="G11118">
        <f t="shared" si="173"/>
        <v>512</v>
      </c>
    </row>
    <row r="11119" spans="2:7" ht="15" hidden="1" x14ac:dyDescent="0.25">
      <c r="B11119" s="4">
        <v>584759657</v>
      </c>
      <c r="C11119" s="4" t="s">
        <v>269</v>
      </c>
      <c r="D11119" s="4">
        <v>1328</v>
      </c>
      <c r="E11119" s="4">
        <v>57</v>
      </c>
      <c r="G11119">
        <f t="shared" si="173"/>
        <v>512</v>
      </c>
    </row>
    <row r="11120" spans="2:7" ht="15" hidden="1" x14ac:dyDescent="0.25">
      <c r="B11120" s="4">
        <v>584759658</v>
      </c>
      <c r="C11120" s="4" t="s">
        <v>269</v>
      </c>
      <c r="D11120" s="4">
        <v>1329</v>
      </c>
      <c r="E11120" s="4">
        <v>57</v>
      </c>
      <c r="G11120">
        <f t="shared" si="173"/>
        <v>512</v>
      </c>
    </row>
    <row r="11121" spans="2:7" ht="15" hidden="1" x14ac:dyDescent="0.25">
      <c r="B11121" s="4">
        <v>584759658</v>
      </c>
      <c r="C11121" s="4" t="s">
        <v>272</v>
      </c>
      <c r="D11121" s="4">
        <v>121</v>
      </c>
      <c r="E11121" s="4">
        <v>211</v>
      </c>
      <c r="G11121">
        <f t="shared" si="173"/>
        <v>1744</v>
      </c>
    </row>
    <row r="11122" spans="2:7" ht="15" hidden="1" x14ac:dyDescent="0.25">
      <c r="B11122" s="4">
        <v>584759659</v>
      </c>
      <c r="C11122" s="4" t="s">
        <v>269</v>
      </c>
      <c r="D11122" s="4">
        <v>1330</v>
      </c>
      <c r="E11122" s="4">
        <v>57</v>
      </c>
      <c r="G11122">
        <f t="shared" si="173"/>
        <v>512</v>
      </c>
    </row>
    <row r="11123" spans="2:7" ht="15" hidden="1" x14ac:dyDescent="0.25">
      <c r="B11123" s="4">
        <v>584759660</v>
      </c>
      <c r="C11123" s="4" t="s">
        <v>269</v>
      </c>
      <c r="D11123" s="4">
        <v>1331</v>
      </c>
      <c r="E11123" s="4">
        <v>57</v>
      </c>
      <c r="G11123">
        <f t="shared" si="173"/>
        <v>512</v>
      </c>
    </row>
    <row r="11124" spans="2:7" ht="15" hidden="1" x14ac:dyDescent="0.25">
      <c r="B11124" s="4">
        <v>584759661</v>
      </c>
      <c r="C11124" s="4" t="s">
        <v>269</v>
      </c>
      <c r="D11124" s="4">
        <v>1332</v>
      </c>
      <c r="E11124" s="4">
        <v>57</v>
      </c>
      <c r="G11124">
        <f t="shared" si="173"/>
        <v>512</v>
      </c>
    </row>
    <row r="11125" spans="2:7" ht="15" hidden="1" x14ac:dyDescent="0.25">
      <c r="B11125" s="4">
        <v>584759662</v>
      </c>
      <c r="C11125" s="4" t="s">
        <v>269</v>
      </c>
      <c r="D11125" s="4">
        <v>1333</v>
      </c>
      <c r="E11125" s="4">
        <v>57</v>
      </c>
      <c r="G11125">
        <f t="shared" si="173"/>
        <v>512</v>
      </c>
    </row>
    <row r="11126" spans="2:7" ht="15" hidden="1" x14ac:dyDescent="0.25">
      <c r="B11126" s="4">
        <v>584759663</v>
      </c>
      <c r="C11126" s="4" t="s">
        <v>269</v>
      </c>
      <c r="D11126" s="4">
        <v>1334</v>
      </c>
      <c r="E11126" s="4">
        <v>57</v>
      </c>
      <c r="G11126">
        <f t="shared" si="173"/>
        <v>512</v>
      </c>
    </row>
    <row r="11127" spans="2:7" ht="15" hidden="1" x14ac:dyDescent="0.25">
      <c r="B11127" s="4">
        <v>584759664</v>
      </c>
      <c r="C11127" s="4" t="s">
        <v>269</v>
      </c>
      <c r="D11127" s="4">
        <v>1335</v>
      </c>
      <c r="E11127" s="4">
        <v>57</v>
      </c>
      <c r="G11127">
        <f t="shared" si="173"/>
        <v>512</v>
      </c>
    </row>
    <row r="11128" spans="2:7" ht="15" hidden="1" x14ac:dyDescent="0.25">
      <c r="B11128" s="4">
        <v>584759665</v>
      </c>
      <c r="C11128" s="4" t="s">
        <v>269</v>
      </c>
      <c r="D11128" s="4">
        <v>1336</v>
      </c>
      <c r="E11128" s="4">
        <v>57</v>
      </c>
      <c r="G11128">
        <f t="shared" si="173"/>
        <v>512</v>
      </c>
    </row>
    <row r="11129" spans="2:7" ht="15" hidden="1" x14ac:dyDescent="0.25">
      <c r="B11129" s="4">
        <v>584759666</v>
      </c>
      <c r="C11129" s="4" t="s">
        <v>269</v>
      </c>
      <c r="D11129" s="4">
        <v>1337</v>
      </c>
      <c r="E11129" s="4">
        <v>57</v>
      </c>
      <c r="G11129">
        <f t="shared" si="173"/>
        <v>512</v>
      </c>
    </row>
    <row r="11130" spans="2:7" ht="15" hidden="1" x14ac:dyDescent="0.25">
      <c r="B11130" s="4">
        <v>584759667</v>
      </c>
      <c r="C11130" s="4" t="s">
        <v>269</v>
      </c>
      <c r="D11130" s="4">
        <v>1338</v>
      </c>
      <c r="E11130" s="4">
        <v>57</v>
      </c>
      <c r="G11130">
        <f t="shared" si="173"/>
        <v>512</v>
      </c>
    </row>
    <row r="11131" spans="2:7" ht="15" hidden="1" x14ac:dyDescent="0.25">
      <c r="B11131" s="4">
        <v>584759668</v>
      </c>
      <c r="C11131" s="4" t="s">
        <v>269</v>
      </c>
      <c r="D11131" s="4">
        <v>1339</v>
      </c>
      <c r="E11131" s="4">
        <v>57</v>
      </c>
      <c r="G11131">
        <f t="shared" si="173"/>
        <v>512</v>
      </c>
    </row>
    <row r="11132" spans="2:7" ht="15" hidden="1" x14ac:dyDescent="0.25">
      <c r="B11132" s="4">
        <v>584759668</v>
      </c>
      <c r="C11132" s="4" t="s">
        <v>272</v>
      </c>
      <c r="D11132" s="4">
        <v>122</v>
      </c>
      <c r="E11132" s="4">
        <v>213</v>
      </c>
      <c r="G11132">
        <f t="shared" si="173"/>
        <v>1760</v>
      </c>
    </row>
    <row r="11133" spans="2:7" ht="15" hidden="1" x14ac:dyDescent="0.25">
      <c r="B11133" s="4">
        <v>584759669</v>
      </c>
      <c r="C11133" s="4" t="s">
        <v>269</v>
      </c>
      <c r="D11133" s="4">
        <v>1340</v>
      </c>
      <c r="E11133" s="4">
        <v>57</v>
      </c>
      <c r="G11133">
        <f t="shared" si="173"/>
        <v>512</v>
      </c>
    </row>
    <row r="11134" spans="2:7" ht="15" hidden="1" x14ac:dyDescent="0.25">
      <c r="B11134" s="4">
        <v>584759670</v>
      </c>
      <c r="C11134" s="4" t="s">
        <v>269</v>
      </c>
      <c r="D11134" s="4">
        <v>1341</v>
      </c>
      <c r="E11134" s="4">
        <v>57</v>
      </c>
      <c r="G11134">
        <f t="shared" si="173"/>
        <v>512</v>
      </c>
    </row>
    <row r="11135" spans="2:7" ht="15" hidden="1" x14ac:dyDescent="0.25">
      <c r="B11135" s="4">
        <v>584759671</v>
      </c>
      <c r="C11135" s="4" t="s">
        <v>269</v>
      </c>
      <c r="D11135" s="4">
        <v>1342</v>
      </c>
      <c r="E11135" s="4">
        <v>57</v>
      </c>
      <c r="G11135">
        <f t="shared" si="173"/>
        <v>512</v>
      </c>
    </row>
    <row r="11136" spans="2:7" ht="15" hidden="1" x14ac:dyDescent="0.25">
      <c r="B11136" s="4">
        <v>584759672</v>
      </c>
      <c r="C11136" s="4" t="s">
        <v>269</v>
      </c>
      <c r="D11136" s="4">
        <v>1343</v>
      </c>
      <c r="E11136" s="4">
        <v>57</v>
      </c>
      <c r="G11136">
        <f t="shared" si="173"/>
        <v>512</v>
      </c>
    </row>
    <row r="11137" spans="2:7" ht="15" hidden="1" x14ac:dyDescent="0.25">
      <c r="B11137" s="4">
        <v>584759673</v>
      </c>
      <c r="C11137" s="4" t="s">
        <v>269</v>
      </c>
      <c r="D11137" s="4">
        <v>1344</v>
      </c>
      <c r="E11137" s="4">
        <v>57</v>
      </c>
      <c r="G11137">
        <f t="shared" si="173"/>
        <v>512</v>
      </c>
    </row>
    <row r="11138" spans="2:7" ht="15" hidden="1" x14ac:dyDescent="0.25">
      <c r="B11138" s="4">
        <v>584759674</v>
      </c>
      <c r="C11138" s="4" t="s">
        <v>269</v>
      </c>
      <c r="D11138" s="4">
        <v>1345</v>
      </c>
      <c r="E11138" s="4">
        <v>57</v>
      </c>
      <c r="G11138">
        <f t="shared" si="173"/>
        <v>512</v>
      </c>
    </row>
    <row r="11139" spans="2:7" ht="15" hidden="1" x14ac:dyDescent="0.25">
      <c r="B11139" s="4">
        <v>584759675</v>
      </c>
      <c r="C11139" s="4" t="s">
        <v>269</v>
      </c>
      <c r="D11139" s="4">
        <v>1346</v>
      </c>
      <c r="E11139" s="4">
        <v>57</v>
      </c>
      <c r="G11139">
        <f t="shared" si="173"/>
        <v>512</v>
      </c>
    </row>
    <row r="11140" spans="2:7" ht="15" hidden="1" x14ac:dyDescent="0.25">
      <c r="B11140" s="4">
        <v>584759676</v>
      </c>
      <c r="C11140" s="4" t="s">
        <v>269</v>
      </c>
      <c r="D11140" s="4">
        <v>1347</v>
      </c>
      <c r="E11140" s="4">
        <v>57</v>
      </c>
      <c r="G11140">
        <f t="shared" ref="G11140:G11203" si="174">(E11140+7)*8</f>
        <v>512</v>
      </c>
    </row>
    <row r="11141" spans="2:7" ht="15" hidden="1" x14ac:dyDescent="0.25">
      <c r="B11141" s="4">
        <v>584759677</v>
      </c>
      <c r="C11141" s="4" t="s">
        <v>269</v>
      </c>
      <c r="D11141" s="4">
        <v>1348</v>
      </c>
      <c r="E11141" s="4">
        <v>57</v>
      </c>
      <c r="G11141">
        <f t="shared" si="174"/>
        <v>512</v>
      </c>
    </row>
    <row r="11142" spans="2:7" ht="15" hidden="1" x14ac:dyDescent="0.25">
      <c r="B11142" s="4">
        <v>584759678</v>
      </c>
      <c r="C11142" s="4" t="s">
        <v>269</v>
      </c>
      <c r="D11142" s="4">
        <v>1349</v>
      </c>
      <c r="E11142" s="4">
        <v>57</v>
      </c>
      <c r="G11142">
        <f t="shared" si="174"/>
        <v>512</v>
      </c>
    </row>
    <row r="11143" spans="2:7" ht="15" hidden="1" x14ac:dyDescent="0.25">
      <c r="B11143" s="4">
        <v>584759678</v>
      </c>
      <c r="C11143" s="4" t="s">
        <v>272</v>
      </c>
      <c r="D11143" s="4">
        <v>123</v>
      </c>
      <c r="E11143" s="4">
        <v>213</v>
      </c>
      <c r="G11143">
        <f t="shared" si="174"/>
        <v>1760</v>
      </c>
    </row>
    <row r="11144" spans="2:7" ht="15" hidden="1" x14ac:dyDescent="0.25">
      <c r="B11144" s="4">
        <v>584759679</v>
      </c>
      <c r="C11144" s="4" t="s">
        <v>269</v>
      </c>
      <c r="D11144" s="4">
        <v>1350</v>
      </c>
      <c r="E11144" s="4">
        <v>57</v>
      </c>
      <c r="G11144">
        <f t="shared" si="174"/>
        <v>512</v>
      </c>
    </row>
    <row r="11145" spans="2:7" ht="15" hidden="1" x14ac:dyDescent="0.25">
      <c r="B11145" s="4">
        <v>584759680</v>
      </c>
      <c r="C11145" s="4" t="s">
        <v>269</v>
      </c>
      <c r="D11145" s="4">
        <v>1351</v>
      </c>
      <c r="E11145" s="4">
        <v>57</v>
      </c>
      <c r="G11145">
        <f t="shared" si="174"/>
        <v>512</v>
      </c>
    </row>
    <row r="11146" spans="2:7" ht="15" hidden="1" x14ac:dyDescent="0.25">
      <c r="B11146" s="4">
        <v>584759681</v>
      </c>
      <c r="C11146" s="4" t="s">
        <v>269</v>
      </c>
      <c r="D11146" s="4">
        <v>1352</v>
      </c>
      <c r="E11146" s="4">
        <v>57</v>
      </c>
      <c r="G11146">
        <f t="shared" si="174"/>
        <v>512</v>
      </c>
    </row>
    <row r="11147" spans="2:7" ht="15" hidden="1" x14ac:dyDescent="0.25">
      <c r="B11147" s="4">
        <v>584759682</v>
      </c>
      <c r="C11147" s="4" t="s">
        <v>269</v>
      </c>
      <c r="D11147" s="4">
        <v>1353</v>
      </c>
      <c r="E11147" s="4">
        <v>57</v>
      </c>
      <c r="G11147">
        <f t="shared" si="174"/>
        <v>512</v>
      </c>
    </row>
    <row r="11148" spans="2:7" ht="15" hidden="1" x14ac:dyDescent="0.25">
      <c r="B11148" s="4">
        <v>584759683</v>
      </c>
      <c r="C11148" s="4" t="s">
        <v>269</v>
      </c>
      <c r="D11148" s="4">
        <v>1354</v>
      </c>
      <c r="E11148" s="4">
        <v>57</v>
      </c>
      <c r="G11148">
        <f t="shared" si="174"/>
        <v>512</v>
      </c>
    </row>
    <row r="11149" spans="2:7" ht="15" hidden="1" x14ac:dyDescent="0.25">
      <c r="B11149" s="4">
        <v>584759684</v>
      </c>
      <c r="C11149" s="4" t="s">
        <v>269</v>
      </c>
      <c r="D11149" s="4">
        <v>1355</v>
      </c>
      <c r="E11149" s="4">
        <v>57</v>
      </c>
      <c r="G11149">
        <f t="shared" si="174"/>
        <v>512</v>
      </c>
    </row>
    <row r="11150" spans="2:7" ht="15" hidden="1" x14ac:dyDescent="0.25">
      <c r="B11150" s="4">
        <v>584759685</v>
      </c>
      <c r="C11150" s="4" t="s">
        <v>269</v>
      </c>
      <c r="D11150" s="4">
        <v>1356</v>
      </c>
      <c r="E11150" s="4">
        <v>57</v>
      </c>
      <c r="G11150">
        <f t="shared" si="174"/>
        <v>512</v>
      </c>
    </row>
    <row r="11151" spans="2:7" ht="15" hidden="1" x14ac:dyDescent="0.25">
      <c r="B11151" s="4">
        <v>584759686</v>
      </c>
      <c r="C11151" s="4" t="s">
        <v>269</v>
      </c>
      <c r="D11151" s="4">
        <v>1357</v>
      </c>
      <c r="E11151" s="4">
        <v>57</v>
      </c>
      <c r="G11151">
        <f t="shared" si="174"/>
        <v>512</v>
      </c>
    </row>
    <row r="11152" spans="2:7" ht="15" hidden="1" x14ac:dyDescent="0.25">
      <c r="B11152" s="4">
        <v>584759687</v>
      </c>
      <c r="C11152" s="4" t="s">
        <v>269</v>
      </c>
      <c r="D11152" s="4">
        <v>1358</v>
      </c>
      <c r="E11152" s="4">
        <v>57</v>
      </c>
      <c r="G11152">
        <f t="shared" si="174"/>
        <v>512</v>
      </c>
    </row>
    <row r="11153" spans="2:7" ht="15" hidden="1" x14ac:dyDescent="0.25">
      <c r="B11153" s="4">
        <v>584759688</v>
      </c>
      <c r="C11153" s="4" t="s">
        <v>269</v>
      </c>
      <c r="D11153" s="4">
        <v>1359</v>
      </c>
      <c r="E11153" s="4">
        <v>57</v>
      </c>
      <c r="G11153">
        <f t="shared" si="174"/>
        <v>512</v>
      </c>
    </row>
    <row r="11154" spans="2:7" ht="15" hidden="1" x14ac:dyDescent="0.25">
      <c r="B11154" s="4">
        <v>584759688</v>
      </c>
      <c r="C11154" s="4" t="s">
        <v>272</v>
      </c>
      <c r="D11154" s="4">
        <v>124</v>
      </c>
      <c r="E11154" s="4">
        <v>213</v>
      </c>
      <c r="G11154">
        <f t="shared" si="174"/>
        <v>1760</v>
      </c>
    </row>
    <row r="11155" spans="2:7" ht="15" hidden="1" x14ac:dyDescent="0.25">
      <c r="B11155" s="4">
        <v>584759689</v>
      </c>
      <c r="C11155" s="4" t="s">
        <v>269</v>
      </c>
      <c r="D11155" s="4">
        <v>1360</v>
      </c>
      <c r="E11155" s="4">
        <v>57</v>
      </c>
      <c r="G11155">
        <f t="shared" si="174"/>
        <v>512</v>
      </c>
    </row>
    <row r="11156" spans="2:7" ht="15" hidden="1" x14ac:dyDescent="0.25">
      <c r="B11156" s="4">
        <v>584759690</v>
      </c>
      <c r="C11156" s="4" t="s">
        <v>269</v>
      </c>
      <c r="D11156" s="4">
        <v>1361</v>
      </c>
      <c r="E11156" s="4">
        <v>57</v>
      </c>
      <c r="G11156">
        <f t="shared" si="174"/>
        <v>512</v>
      </c>
    </row>
    <row r="11157" spans="2:7" ht="15" hidden="1" x14ac:dyDescent="0.25">
      <c r="B11157" s="4">
        <v>584759691</v>
      </c>
      <c r="C11157" s="4" t="s">
        <v>269</v>
      </c>
      <c r="D11157" s="4">
        <v>1362</v>
      </c>
      <c r="E11157" s="4">
        <v>57</v>
      </c>
      <c r="G11157">
        <f t="shared" si="174"/>
        <v>512</v>
      </c>
    </row>
    <row r="11158" spans="2:7" ht="15" hidden="1" x14ac:dyDescent="0.25">
      <c r="B11158" s="4">
        <v>584759692</v>
      </c>
      <c r="C11158" s="4" t="s">
        <v>269</v>
      </c>
      <c r="D11158" s="4">
        <v>1363</v>
      </c>
      <c r="E11158" s="4">
        <v>57</v>
      </c>
      <c r="G11158">
        <f t="shared" si="174"/>
        <v>512</v>
      </c>
    </row>
    <row r="11159" spans="2:7" ht="15" hidden="1" x14ac:dyDescent="0.25">
      <c r="B11159" s="4">
        <v>584759693</v>
      </c>
      <c r="C11159" s="4" t="s">
        <v>269</v>
      </c>
      <c r="D11159" s="4">
        <v>1364</v>
      </c>
      <c r="E11159" s="4">
        <v>57</v>
      </c>
      <c r="G11159">
        <f t="shared" si="174"/>
        <v>512</v>
      </c>
    </row>
    <row r="11160" spans="2:7" ht="15" hidden="1" x14ac:dyDescent="0.25">
      <c r="B11160" s="4">
        <v>584759694</v>
      </c>
      <c r="C11160" s="4" t="s">
        <v>269</v>
      </c>
      <c r="D11160" s="4">
        <v>1365</v>
      </c>
      <c r="E11160" s="4">
        <v>57</v>
      </c>
      <c r="G11160">
        <f t="shared" si="174"/>
        <v>512</v>
      </c>
    </row>
    <row r="11161" spans="2:7" ht="15" hidden="1" x14ac:dyDescent="0.25">
      <c r="B11161" s="4">
        <v>584759695</v>
      </c>
      <c r="C11161" s="4" t="s">
        <v>269</v>
      </c>
      <c r="D11161" s="4">
        <v>1366</v>
      </c>
      <c r="E11161" s="4">
        <v>57</v>
      </c>
      <c r="G11161">
        <f t="shared" si="174"/>
        <v>512</v>
      </c>
    </row>
    <row r="11162" spans="2:7" ht="15" hidden="1" x14ac:dyDescent="0.25">
      <c r="B11162" s="4">
        <v>584759696</v>
      </c>
      <c r="C11162" s="4" t="s">
        <v>269</v>
      </c>
      <c r="D11162" s="4">
        <v>1367</v>
      </c>
      <c r="E11162" s="4">
        <v>57</v>
      </c>
      <c r="G11162">
        <f t="shared" si="174"/>
        <v>512</v>
      </c>
    </row>
    <row r="11163" spans="2:7" ht="15" hidden="1" x14ac:dyDescent="0.25">
      <c r="B11163" s="4">
        <v>584759697</v>
      </c>
      <c r="C11163" s="4" t="s">
        <v>269</v>
      </c>
      <c r="D11163" s="4">
        <v>1368</v>
      </c>
      <c r="E11163" s="4">
        <v>57</v>
      </c>
      <c r="G11163">
        <f t="shared" si="174"/>
        <v>512</v>
      </c>
    </row>
    <row r="11164" spans="2:7" ht="15" hidden="1" x14ac:dyDescent="0.25">
      <c r="B11164" s="4">
        <v>584759698</v>
      </c>
      <c r="C11164" s="4" t="s">
        <v>269</v>
      </c>
      <c r="D11164" s="4">
        <v>1369</v>
      </c>
      <c r="E11164" s="4">
        <v>57</v>
      </c>
      <c r="G11164">
        <f t="shared" si="174"/>
        <v>512</v>
      </c>
    </row>
    <row r="11165" spans="2:7" ht="15" hidden="1" x14ac:dyDescent="0.25">
      <c r="B11165" s="4">
        <v>584759698</v>
      </c>
      <c r="C11165" s="4" t="s">
        <v>272</v>
      </c>
      <c r="D11165" s="4">
        <v>125</v>
      </c>
      <c r="E11165" s="4">
        <v>209</v>
      </c>
      <c r="G11165">
        <f t="shared" si="174"/>
        <v>1728</v>
      </c>
    </row>
    <row r="11166" spans="2:7" ht="15" hidden="1" x14ac:dyDescent="0.25">
      <c r="B11166" s="4">
        <v>584759699</v>
      </c>
      <c r="C11166" s="4" t="s">
        <v>269</v>
      </c>
      <c r="D11166" s="4">
        <v>1370</v>
      </c>
      <c r="E11166" s="4">
        <v>57</v>
      </c>
      <c r="G11166">
        <f t="shared" si="174"/>
        <v>512</v>
      </c>
    </row>
    <row r="11167" spans="2:7" ht="15" hidden="1" x14ac:dyDescent="0.25">
      <c r="B11167" s="4">
        <v>584759700</v>
      </c>
      <c r="C11167" s="4" t="s">
        <v>269</v>
      </c>
      <c r="D11167" s="4">
        <v>1371</v>
      </c>
      <c r="E11167" s="4">
        <v>57</v>
      </c>
      <c r="G11167">
        <f t="shared" si="174"/>
        <v>512</v>
      </c>
    </row>
    <row r="11168" spans="2:7" ht="15" hidden="1" x14ac:dyDescent="0.25">
      <c r="B11168" s="4">
        <v>584759701</v>
      </c>
      <c r="C11168" s="4" t="s">
        <v>269</v>
      </c>
      <c r="D11168" s="4">
        <v>1372</v>
      </c>
      <c r="E11168" s="4">
        <v>57</v>
      </c>
      <c r="G11168">
        <f t="shared" si="174"/>
        <v>512</v>
      </c>
    </row>
    <row r="11169" spans="2:7" ht="15" hidden="1" x14ac:dyDescent="0.25">
      <c r="B11169" s="4">
        <v>584759702</v>
      </c>
      <c r="C11169" s="4" t="s">
        <v>269</v>
      </c>
      <c r="D11169" s="4">
        <v>1373</v>
      </c>
      <c r="E11169" s="4">
        <v>57</v>
      </c>
      <c r="G11169">
        <f t="shared" si="174"/>
        <v>512</v>
      </c>
    </row>
    <row r="11170" spans="2:7" ht="15" hidden="1" x14ac:dyDescent="0.25">
      <c r="B11170" s="4">
        <v>584759703</v>
      </c>
      <c r="C11170" s="4" t="s">
        <v>269</v>
      </c>
      <c r="D11170" s="4">
        <v>1374</v>
      </c>
      <c r="E11170" s="4">
        <v>57</v>
      </c>
      <c r="G11170">
        <f t="shared" si="174"/>
        <v>512</v>
      </c>
    </row>
    <row r="11171" spans="2:7" ht="15" hidden="1" x14ac:dyDescent="0.25">
      <c r="B11171" s="4">
        <v>584759704</v>
      </c>
      <c r="C11171" s="4" t="s">
        <v>269</v>
      </c>
      <c r="D11171" s="4">
        <v>1375</v>
      </c>
      <c r="E11171" s="4">
        <v>57</v>
      </c>
      <c r="G11171">
        <f t="shared" si="174"/>
        <v>512</v>
      </c>
    </row>
    <row r="11172" spans="2:7" ht="15" hidden="1" x14ac:dyDescent="0.25">
      <c r="B11172" s="4">
        <v>584759705</v>
      </c>
      <c r="C11172" s="4" t="s">
        <v>269</v>
      </c>
      <c r="D11172" s="4">
        <v>1376</v>
      </c>
      <c r="E11172" s="4">
        <v>57</v>
      </c>
      <c r="G11172">
        <f t="shared" si="174"/>
        <v>512</v>
      </c>
    </row>
    <row r="11173" spans="2:7" ht="15" hidden="1" x14ac:dyDescent="0.25">
      <c r="B11173" s="4">
        <v>584759706</v>
      </c>
      <c r="C11173" s="4" t="s">
        <v>269</v>
      </c>
      <c r="D11173" s="4">
        <v>1377</v>
      </c>
      <c r="E11173" s="4">
        <v>57</v>
      </c>
      <c r="G11173">
        <f t="shared" si="174"/>
        <v>512</v>
      </c>
    </row>
    <row r="11174" spans="2:7" ht="15" hidden="1" x14ac:dyDescent="0.25">
      <c r="B11174" s="4">
        <v>584759707</v>
      </c>
      <c r="C11174" s="4" t="s">
        <v>269</v>
      </c>
      <c r="D11174" s="4">
        <v>1378</v>
      </c>
      <c r="E11174" s="4">
        <v>57</v>
      </c>
      <c r="G11174">
        <f t="shared" si="174"/>
        <v>512</v>
      </c>
    </row>
    <row r="11175" spans="2:7" ht="15" hidden="1" x14ac:dyDescent="0.25">
      <c r="B11175" s="4">
        <v>584759708</v>
      </c>
      <c r="C11175" s="4" t="s">
        <v>269</v>
      </c>
      <c r="D11175" s="4">
        <v>1379</v>
      </c>
      <c r="E11175" s="4">
        <v>57</v>
      </c>
      <c r="G11175">
        <f t="shared" si="174"/>
        <v>512</v>
      </c>
    </row>
    <row r="11176" spans="2:7" ht="15" hidden="1" x14ac:dyDescent="0.25">
      <c r="B11176" s="4">
        <v>584759708</v>
      </c>
      <c r="C11176" s="4" t="s">
        <v>272</v>
      </c>
      <c r="D11176" s="4">
        <v>126</v>
      </c>
      <c r="E11176" s="4">
        <v>213</v>
      </c>
      <c r="G11176">
        <f t="shared" si="174"/>
        <v>1760</v>
      </c>
    </row>
    <row r="11177" spans="2:7" ht="15" hidden="1" x14ac:dyDescent="0.25">
      <c r="B11177" s="4">
        <v>584759709</v>
      </c>
      <c r="C11177" s="4" t="s">
        <v>269</v>
      </c>
      <c r="D11177" s="4">
        <v>1380</v>
      </c>
      <c r="E11177" s="4">
        <v>57</v>
      </c>
      <c r="G11177">
        <f t="shared" si="174"/>
        <v>512</v>
      </c>
    </row>
    <row r="11178" spans="2:7" ht="15" hidden="1" x14ac:dyDescent="0.25">
      <c r="B11178" s="4">
        <v>584759710</v>
      </c>
      <c r="C11178" s="4" t="s">
        <v>269</v>
      </c>
      <c r="D11178" s="4">
        <v>1381</v>
      </c>
      <c r="E11178" s="4">
        <v>57</v>
      </c>
      <c r="G11178">
        <f t="shared" si="174"/>
        <v>512</v>
      </c>
    </row>
    <row r="11179" spans="2:7" ht="15" hidden="1" x14ac:dyDescent="0.25">
      <c r="B11179" s="4">
        <v>584759711</v>
      </c>
      <c r="C11179" s="4" t="s">
        <v>269</v>
      </c>
      <c r="D11179" s="4">
        <v>1382</v>
      </c>
      <c r="E11179" s="4">
        <v>57</v>
      </c>
      <c r="G11179">
        <f t="shared" si="174"/>
        <v>512</v>
      </c>
    </row>
    <row r="11180" spans="2:7" ht="15" hidden="1" x14ac:dyDescent="0.25">
      <c r="B11180" s="4">
        <v>584759712</v>
      </c>
      <c r="C11180" s="4" t="s">
        <v>269</v>
      </c>
      <c r="D11180" s="4">
        <v>1383</v>
      </c>
      <c r="E11180" s="4">
        <v>57</v>
      </c>
      <c r="G11180">
        <f t="shared" si="174"/>
        <v>512</v>
      </c>
    </row>
    <row r="11181" spans="2:7" ht="15" hidden="1" x14ac:dyDescent="0.25">
      <c r="B11181" s="4">
        <v>584759713</v>
      </c>
      <c r="C11181" s="4" t="s">
        <v>269</v>
      </c>
      <c r="D11181" s="4">
        <v>1384</v>
      </c>
      <c r="E11181" s="4">
        <v>57</v>
      </c>
      <c r="G11181">
        <f t="shared" si="174"/>
        <v>512</v>
      </c>
    </row>
    <row r="11182" spans="2:7" ht="15" hidden="1" x14ac:dyDescent="0.25">
      <c r="B11182" s="4">
        <v>584759714</v>
      </c>
      <c r="C11182" s="4" t="s">
        <v>269</v>
      </c>
      <c r="D11182" s="4">
        <v>1385</v>
      </c>
      <c r="E11182" s="4">
        <v>57</v>
      </c>
      <c r="G11182">
        <f t="shared" si="174"/>
        <v>512</v>
      </c>
    </row>
    <row r="11183" spans="2:7" ht="15" hidden="1" x14ac:dyDescent="0.25">
      <c r="B11183" s="4">
        <v>584759715</v>
      </c>
      <c r="C11183" s="4" t="s">
        <v>269</v>
      </c>
      <c r="D11183" s="4">
        <v>1386</v>
      </c>
      <c r="E11183" s="4">
        <v>57</v>
      </c>
      <c r="G11183">
        <f t="shared" si="174"/>
        <v>512</v>
      </c>
    </row>
    <row r="11184" spans="2:7" ht="15" hidden="1" x14ac:dyDescent="0.25">
      <c r="B11184" s="4">
        <v>584759716</v>
      </c>
      <c r="C11184" s="4" t="s">
        <v>269</v>
      </c>
      <c r="D11184" s="4">
        <v>1387</v>
      </c>
      <c r="E11184" s="4">
        <v>57</v>
      </c>
      <c r="G11184">
        <f t="shared" si="174"/>
        <v>512</v>
      </c>
    </row>
    <row r="11185" spans="2:7" ht="15" hidden="1" x14ac:dyDescent="0.25">
      <c r="B11185" s="4">
        <v>584759717</v>
      </c>
      <c r="C11185" s="4" t="s">
        <v>269</v>
      </c>
      <c r="D11185" s="4">
        <v>1388</v>
      </c>
      <c r="E11185" s="4">
        <v>57</v>
      </c>
      <c r="G11185">
        <f t="shared" si="174"/>
        <v>512</v>
      </c>
    </row>
    <row r="11186" spans="2:7" ht="15" hidden="1" x14ac:dyDescent="0.25">
      <c r="B11186" s="4">
        <v>584759718</v>
      </c>
      <c r="C11186" s="4" t="s">
        <v>269</v>
      </c>
      <c r="D11186" s="4">
        <v>1389</v>
      </c>
      <c r="E11186" s="4">
        <v>57</v>
      </c>
      <c r="G11186">
        <f t="shared" si="174"/>
        <v>512</v>
      </c>
    </row>
    <row r="11187" spans="2:7" ht="15" hidden="1" x14ac:dyDescent="0.25">
      <c r="B11187" s="4">
        <v>584759718</v>
      </c>
      <c r="C11187" s="4" t="s">
        <v>272</v>
      </c>
      <c r="D11187" s="4">
        <v>127</v>
      </c>
      <c r="E11187" s="4">
        <v>211</v>
      </c>
      <c r="G11187">
        <f t="shared" si="174"/>
        <v>1744</v>
      </c>
    </row>
    <row r="11188" spans="2:7" ht="15" hidden="1" x14ac:dyDescent="0.25">
      <c r="B11188" s="4">
        <v>584759719</v>
      </c>
      <c r="C11188" s="4" t="s">
        <v>269</v>
      </c>
      <c r="D11188" s="4">
        <v>1390</v>
      </c>
      <c r="E11188" s="4">
        <v>57</v>
      </c>
      <c r="G11188">
        <f t="shared" si="174"/>
        <v>512</v>
      </c>
    </row>
    <row r="11189" spans="2:7" ht="15" hidden="1" x14ac:dyDescent="0.25">
      <c r="B11189" s="4">
        <v>584759720</v>
      </c>
      <c r="C11189" s="4" t="s">
        <v>269</v>
      </c>
      <c r="D11189" s="4">
        <v>1391</v>
      </c>
      <c r="E11189" s="4">
        <v>57</v>
      </c>
      <c r="G11189">
        <f t="shared" si="174"/>
        <v>512</v>
      </c>
    </row>
    <row r="11190" spans="2:7" ht="15" hidden="1" x14ac:dyDescent="0.25">
      <c r="B11190" s="4">
        <v>584759721</v>
      </c>
      <c r="C11190" s="4" t="s">
        <v>269</v>
      </c>
      <c r="D11190" s="4">
        <v>1392</v>
      </c>
      <c r="E11190" s="4">
        <v>57</v>
      </c>
      <c r="G11190">
        <f t="shared" si="174"/>
        <v>512</v>
      </c>
    </row>
    <row r="11191" spans="2:7" ht="15" hidden="1" x14ac:dyDescent="0.25">
      <c r="B11191" s="4">
        <v>584759722</v>
      </c>
      <c r="C11191" s="4" t="s">
        <v>269</v>
      </c>
      <c r="D11191" s="4">
        <v>1393</v>
      </c>
      <c r="E11191" s="4">
        <v>57</v>
      </c>
      <c r="G11191">
        <f t="shared" si="174"/>
        <v>512</v>
      </c>
    </row>
    <row r="11192" spans="2:7" ht="15" hidden="1" x14ac:dyDescent="0.25">
      <c r="B11192" s="4">
        <v>584759723</v>
      </c>
      <c r="C11192" s="4" t="s">
        <v>269</v>
      </c>
      <c r="D11192" s="4">
        <v>1394</v>
      </c>
      <c r="E11192" s="4">
        <v>57</v>
      </c>
      <c r="G11192">
        <f t="shared" si="174"/>
        <v>512</v>
      </c>
    </row>
    <row r="11193" spans="2:7" ht="15" hidden="1" x14ac:dyDescent="0.25">
      <c r="B11193" s="4">
        <v>584759724</v>
      </c>
      <c r="C11193" s="4" t="s">
        <v>269</v>
      </c>
      <c r="D11193" s="4">
        <v>1395</v>
      </c>
      <c r="E11193" s="4">
        <v>57</v>
      </c>
      <c r="G11193">
        <f t="shared" si="174"/>
        <v>512</v>
      </c>
    </row>
    <row r="11194" spans="2:7" ht="15" hidden="1" x14ac:dyDescent="0.25">
      <c r="B11194" s="4">
        <v>584759725</v>
      </c>
      <c r="C11194" s="4" t="s">
        <v>269</v>
      </c>
      <c r="D11194" s="4">
        <v>1396</v>
      </c>
      <c r="E11194" s="4">
        <v>57</v>
      </c>
      <c r="G11194">
        <f t="shared" si="174"/>
        <v>512</v>
      </c>
    </row>
    <row r="11195" spans="2:7" ht="15" hidden="1" x14ac:dyDescent="0.25">
      <c r="B11195" s="4">
        <v>584759726</v>
      </c>
      <c r="C11195" s="4" t="s">
        <v>269</v>
      </c>
      <c r="D11195" s="4">
        <v>1397</v>
      </c>
      <c r="E11195" s="4">
        <v>57</v>
      </c>
      <c r="G11195">
        <f t="shared" si="174"/>
        <v>512</v>
      </c>
    </row>
    <row r="11196" spans="2:7" ht="15" hidden="1" x14ac:dyDescent="0.25">
      <c r="B11196" s="4">
        <v>584759727</v>
      </c>
      <c r="C11196" s="4" t="s">
        <v>269</v>
      </c>
      <c r="D11196" s="4">
        <v>1398</v>
      </c>
      <c r="E11196" s="4">
        <v>57</v>
      </c>
      <c r="G11196">
        <f t="shared" si="174"/>
        <v>512</v>
      </c>
    </row>
    <row r="11197" spans="2:7" ht="15" hidden="1" x14ac:dyDescent="0.25">
      <c r="B11197" s="4">
        <v>584759728</v>
      </c>
      <c r="C11197" s="4" t="s">
        <v>269</v>
      </c>
      <c r="D11197" s="4">
        <v>1399</v>
      </c>
      <c r="E11197" s="4">
        <v>57</v>
      </c>
      <c r="G11197">
        <f t="shared" si="174"/>
        <v>512</v>
      </c>
    </row>
    <row r="11198" spans="2:7" ht="15" hidden="1" x14ac:dyDescent="0.25">
      <c r="B11198" s="4">
        <v>584759728</v>
      </c>
      <c r="C11198" s="4" t="s">
        <v>272</v>
      </c>
      <c r="D11198" s="4">
        <v>128</v>
      </c>
      <c r="E11198" s="4">
        <v>217</v>
      </c>
      <c r="G11198">
        <f t="shared" si="174"/>
        <v>1792</v>
      </c>
    </row>
    <row r="11199" spans="2:7" ht="15" hidden="1" x14ac:dyDescent="0.25">
      <c r="B11199" s="4">
        <v>584759729</v>
      </c>
      <c r="C11199" s="4" t="s">
        <v>269</v>
      </c>
      <c r="D11199" s="4">
        <v>1400</v>
      </c>
      <c r="E11199" s="4">
        <v>57</v>
      </c>
      <c r="G11199">
        <f t="shared" si="174"/>
        <v>512</v>
      </c>
    </row>
    <row r="11200" spans="2:7" ht="15" hidden="1" x14ac:dyDescent="0.25">
      <c r="B11200" s="4">
        <v>584759730</v>
      </c>
      <c r="C11200" s="4" t="s">
        <v>269</v>
      </c>
      <c r="D11200" s="4">
        <v>1401</v>
      </c>
      <c r="E11200" s="4">
        <v>57</v>
      </c>
      <c r="G11200">
        <f t="shared" si="174"/>
        <v>512</v>
      </c>
    </row>
    <row r="11201" spans="2:7" ht="15" hidden="1" x14ac:dyDescent="0.25">
      <c r="B11201" s="4">
        <v>584759731</v>
      </c>
      <c r="C11201" s="4" t="s">
        <v>269</v>
      </c>
      <c r="D11201" s="4">
        <v>1402</v>
      </c>
      <c r="E11201" s="4">
        <v>57</v>
      </c>
      <c r="G11201">
        <f t="shared" si="174"/>
        <v>512</v>
      </c>
    </row>
    <row r="11202" spans="2:7" ht="15" hidden="1" x14ac:dyDescent="0.25">
      <c r="B11202" s="4">
        <v>584759732</v>
      </c>
      <c r="C11202" s="4" t="s">
        <v>269</v>
      </c>
      <c r="D11202" s="4">
        <v>1403</v>
      </c>
      <c r="E11202" s="4">
        <v>57</v>
      </c>
      <c r="G11202">
        <f t="shared" si="174"/>
        <v>512</v>
      </c>
    </row>
    <row r="11203" spans="2:7" ht="15" hidden="1" x14ac:dyDescent="0.25">
      <c r="B11203" s="4">
        <v>584759733</v>
      </c>
      <c r="C11203" s="4" t="s">
        <v>269</v>
      </c>
      <c r="D11203" s="4">
        <v>1404</v>
      </c>
      <c r="E11203" s="4">
        <v>57</v>
      </c>
      <c r="G11203">
        <f t="shared" si="174"/>
        <v>512</v>
      </c>
    </row>
    <row r="11204" spans="2:7" ht="15" hidden="1" x14ac:dyDescent="0.25">
      <c r="B11204" s="4">
        <v>584759734</v>
      </c>
      <c r="C11204" s="4" t="s">
        <v>269</v>
      </c>
      <c r="D11204" s="4">
        <v>1405</v>
      </c>
      <c r="E11204" s="4">
        <v>57</v>
      </c>
      <c r="G11204">
        <f t="shared" ref="G11204:G11267" si="175">(E11204+7)*8</f>
        <v>512</v>
      </c>
    </row>
    <row r="11205" spans="2:7" ht="15" hidden="1" x14ac:dyDescent="0.25">
      <c r="B11205" s="4">
        <v>584759735</v>
      </c>
      <c r="C11205" s="4" t="s">
        <v>269</v>
      </c>
      <c r="D11205" s="4">
        <v>1406</v>
      </c>
      <c r="E11205" s="4">
        <v>57</v>
      </c>
      <c r="G11205">
        <f t="shared" si="175"/>
        <v>512</v>
      </c>
    </row>
    <row r="11206" spans="2:7" ht="15" hidden="1" x14ac:dyDescent="0.25">
      <c r="B11206" s="4">
        <v>584759736</v>
      </c>
      <c r="C11206" s="4" t="s">
        <v>269</v>
      </c>
      <c r="D11206" s="4">
        <v>1407</v>
      </c>
      <c r="E11206" s="4">
        <v>57</v>
      </c>
      <c r="G11206">
        <f t="shared" si="175"/>
        <v>512</v>
      </c>
    </row>
    <row r="11207" spans="2:7" ht="15" hidden="1" x14ac:dyDescent="0.25">
      <c r="B11207" s="4">
        <v>584759737</v>
      </c>
      <c r="C11207" s="4" t="s">
        <v>269</v>
      </c>
      <c r="D11207" s="4">
        <v>1408</v>
      </c>
      <c r="E11207" s="4">
        <v>57</v>
      </c>
      <c r="G11207">
        <f t="shared" si="175"/>
        <v>512</v>
      </c>
    </row>
    <row r="11208" spans="2:7" ht="15" hidden="1" x14ac:dyDescent="0.25">
      <c r="B11208" s="4">
        <v>584759738</v>
      </c>
      <c r="C11208" s="4" t="s">
        <v>268</v>
      </c>
      <c r="D11208" s="4">
        <v>274</v>
      </c>
      <c r="E11208" s="4">
        <v>6</v>
      </c>
      <c r="G11208">
        <f t="shared" si="175"/>
        <v>104</v>
      </c>
    </row>
    <row r="11209" spans="2:7" ht="15" hidden="1" x14ac:dyDescent="0.25">
      <c r="B11209" s="4">
        <v>584759738</v>
      </c>
      <c r="C11209" s="4" t="s">
        <v>268</v>
      </c>
      <c r="D11209" s="4">
        <v>274</v>
      </c>
      <c r="E11209" s="4">
        <v>6</v>
      </c>
      <c r="G11209">
        <f t="shared" si="175"/>
        <v>104</v>
      </c>
    </row>
    <row r="11210" spans="2:7" ht="15" hidden="1" x14ac:dyDescent="0.25">
      <c r="B11210" s="4">
        <v>584759738</v>
      </c>
      <c r="C11210" s="4" t="s">
        <v>268</v>
      </c>
      <c r="D11210" s="4">
        <v>275</v>
      </c>
      <c r="E11210" s="4">
        <v>9</v>
      </c>
      <c r="G11210">
        <f t="shared" si="175"/>
        <v>128</v>
      </c>
    </row>
    <row r="11211" spans="2:7" ht="15" hidden="1" x14ac:dyDescent="0.25">
      <c r="B11211" s="4">
        <v>584759738</v>
      </c>
      <c r="C11211" s="4" t="s">
        <v>268</v>
      </c>
      <c r="D11211" s="4">
        <v>275</v>
      </c>
      <c r="E11211" s="4">
        <v>9</v>
      </c>
      <c r="G11211">
        <f t="shared" si="175"/>
        <v>128</v>
      </c>
    </row>
    <row r="11212" spans="2:7" ht="15" hidden="1" x14ac:dyDescent="0.25">
      <c r="B11212" s="4">
        <v>584759738</v>
      </c>
      <c r="C11212" s="4" t="s">
        <v>268</v>
      </c>
      <c r="D11212" s="4">
        <v>276</v>
      </c>
      <c r="E11212" s="4">
        <v>7</v>
      </c>
      <c r="G11212">
        <f t="shared" si="175"/>
        <v>112</v>
      </c>
    </row>
    <row r="11213" spans="2:7" ht="15" hidden="1" x14ac:dyDescent="0.25">
      <c r="B11213" s="4">
        <v>584759738</v>
      </c>
      <c r="C11213" s="4" t="s">
        <v>268</v>
      </c>
      <c r="D11213" s="4">
        <v>276</v>
      </c>
      <c r="E11213" s="4">
        <v>7</v>
      </c>
      <c r="G11213">
        <f t="shared" si="175"/>
        <v>112</v>
      </c>
    </row>
    <row r="11214" spans="2:7" ht="15" hidden="1" x14ac:dyDescent="0.25">
      <c r="B11214" s="4">
        <v>584759738</v>
      </c>
      <c r="C11214" s="4" t="s">
        <v>268</v>
      </c>
      <c r="D11214" s="4">
        <v>277</v>
      </c>
      <c r="E11214" s="4">
        <v>7</v>
      </c>
      <c r="G11214">
        <f t="shared" si="175"/>
        <v>112</v>
      </c>
    </row>
    <row r="11215" spans="2:7" ht="15" hidden="1" x14ac:dyDescent="0.25">
      <c r="B11215" s="4">
        <v>584759738</v>
      </c>
      <c r="C11215" s="4" t="s">
        <v>268</v>
      </c>
      <c r="D11215" s="4">
        <v>277</v>
      </c>
      <c r="E11215" s="4">
        <v>7</v>
      </c>
      <c r="G11215">
        <f t="shared" si="175"/>
        <v>112</v>
      </c>
    </row>
    <row r="11216" spans="2:7" ht="15" hidden="1" x14ac:dyDescent="0.25">
      <c r="B11216" s="4">
        <v>584759738</v>
      </c>
      <c r="C11216" s="4" t="s">
        <v>268</v>
      </c>
      <c r="D11216" s="4">
        <v>278</v>
      </c>
      <c r="E11216" s="4">
        <v>7</v>
      </c>
      <c r="G11216">
        <f t="shared" si="175"/>
        <v>112</v>
      </c>
    </row>
    <row r="11217" spans="2:7" ht="15" hidden="1" x14ac:dyDescent="0.25">
      <c r="B11217" s="4">
        <v>584759738</v>
      </c>
      <c r="C11217" s="4" t="s">
        <v>268</v>
      </c>
      <c r="D11217" s="4">
        <v>278</v>
      </c>
      <c r="E11217" s="4">
        <v>7</v>
      </c>
      <c r="G11217">
        <f t="shared" si="175"/>
        <v>112</v>
      </c>
    </row>
    <row r="11218" spans="2:7" ht="15" hidden="1" x14ac:dyDescent="0.25">
      <c r="B11218" s="4">
        <v>584759738</v>
      </c>
      <c r="C11218" s="4" t="s">
        <v>269</v>
      </c>
      <c r="D11218" s="4">
        <v>1409</v>
      </c>
      <c r="E11218" s="4">
        <v>57</v>
      </c>
      <c r="G11218">
        <f t="shared" si="175"/>
        <v>512</v>
      </c>
    </row>
    <row r="11219" spans="2:7" ht="15" hidden="1" x14ac:dyDescent="0.25">
      <c r="B11219" s="4">
        <v>584759738</v>
      </c>
      <c r="C11219" s="4" t="s">
        <v>272</v>
      </c>
      <c r="D11219" s="4">
        <v>129</v>
      </c>
      <c r="E11219" s="4">
        <v>217</v>
      </c>
      <c r="G11219">
        <f t="shared" si="175"/>
        <v>1792</v>
      </c>
    </row>
    <row r="11220" spans="2:7" ht="15" hidden="1" x14ac:dyDescent="0.25">
      <c r="B11220" s="4">
        <v>584759739</v>
      </c>
      <c r="C11220" s="4" t="s">
        <v>269</v>
      </c>
      <c r="D11220" s="4">
        <v>1410</v>
      </c>
      <c r="E11220" s="4">
        <v>57</v>
      </c>
      <c r="G11220">
        <f t="shared" si="175"/>
        <v>512</v>
      </c>
    </row>
    <row r="11221" spans="2:7" ht="15" hidden="1" x14ac:dyDescent="0.25">
      <c r="B11221" s="4">
        <v>584759740</v>
      </c>
      <c r="C11221" s="4" t="s">
        <v>268</v>
      </c>
      <c r="D11221" s="4">
        <v>279</v>
      </c>
      <c r="E11221" s="4">
        <v>7</v>
      </c>
      <c r="G11221">
        <f t="shared" si="175"/>
        <v>112</v>
      </c>
    </row>
    <row r="11222" spans="2:7" ht="15" hidden="1" x14ac:dyDescent="0.25">
      <c r="B11222" s="4">
        <v>584759740</v>
      </c>
      <c r="C11222" s="4" t="s">
        <v>268</v>
      </c>
      <c r="D11222" s="4">
        <v>279</v>
      </c>
      <c r="E11222" s="4">
        <v>7</v>
      </c>
      <c r="G11222">
        <f t="shared" si="175"/>
        <v>112</v>
      </c>
    </row>
    <row r="11223" spans="2:7" ht="15" hidden="1" x14ac:dyDescent="0.25">
      <c r="B11223" s="4">
        <v>584759740</v>
      </c>
      <c r="C11223" s="4" t="s">
        <v>268</v>
      </c>
      <c r="D11223" s="4">
        <v>280</v>
      </c>
      <c r="E11223" s="4">
        <v>5</v>
      </c>
      <c r="G11223">
        <f t="shared" si="175"/>
        <v>96</v>
      </c>
    </row>
    <row r="11224" spans="2:7" ht="15" hidden="1" x14ac:dyDescent="0.25">
      <c r="B11224" s="4">
        <v>584759740</v>
      </c>
      <c r="C11224" s="4" t="s">
        <v>268</v>
      </c>
      <c r="D11224" s="4">
        <v>280</v>
      </c>
      <c r="E11224" s="4">
        <v>5</v>
      </c>
      <c r="G11224">
        <f t="shared" si="175"/>
        <v>96</v>
      </c>
    </row>
    <row r="11225" spans="2:7" ht="15" hidden="1" x14ac:dyDescent="0.25">
      <c r="B11225" s="4">
        <v>584759740</v>
      </c>
      <c r="C11225" s="4" t="s">
        <v>268</v>
      </c>
      <c r="D11225" s="4">
        <v>281</v>
      </c>
      <c r="E11225" s="4">
        <v>7</v>
      </c>
      <c r="G11225">
        <f t="shared" si="175"/>
        <v>112</v>
      </c>
    </row>
    <row r="11226" spans="2:7" ht="15" hidden="1" x14ac:dyDescent="0.25">
      <c r="B11226" s="4">
        <v>584759740</v>
      </c>
      <c r="C11226" s="4" t="s">
        <v>268</v>
      </c>
      <c r="D11226" s="4">
        <v>281</v>
      </c>
      <c r="E11226" s="4">
        <v>7</v>
      </c>
      <c r="G11226">
        <f t="shared" si="175"/>
        <v>112</v>
      </c>
    </row>
    <row r="11227" spans="2:7" ht="15" hidden="1" x14ac:dyDescent="0.25">
      <c r="B11227" s="4">
        <v>584759740</v>
      </c>
      <c r="C11227" s="4" t="s">
        <v>269</v>
      </c>
      <c r="D11227" s="4">
        <v>1411</v>
      </c>
      <c r="E11227" s="4">
        <v>57</v>
      </c>
      <c r="G11227">
        <f t="shared" si="175"/>
        <v>512</v>
      </c>
    </row>
    <row r="11228" spans="2:7" ht="15" hidden="1" x14ac:dyDescent="0.25">
      <c r="B11228" s="4">
        <v>584759741</v>
      </c>
      <c r="C11228" s="4" t="s">
        <v>269</v>
      </c>
      <c r="D11228" s="4">
        <v>1412</v>
      </c>
      <c r="E11228" s="4">
        <v>57</v>
      </c>
      <c r="G11228">
        <f t="shared" si="175"/>
        <v>512</v>
      </c>
    </row>
    <row r="11229" spans="2:7" ht="15" hidden="1" x14ac:dyDescent="0.25">
      <c r="B11229" s="4">
        <v>584759742</v>
      </c>
      <c r="C11229" s="4" t="s">
        <v>269</v>
      </c>
      <c r="D11229" s="4">
        <v>1413</v>
      </c>
      <c r="E11229" s="4">
        <v>57</v>
      </c>
      <c r="G11229">
        <f t="shared" si="175"/>
        <v>512</v>
      </c>
    </row>
    <row r="11230" spans="2:7" ht="15" hidden="1" x14ac:dyDescent="0.25">
      <c r="B11230" s="4">
        <v>584759743</v>
      </c>
      <c r="C11230" s="4" t="s">
        <v>269</v>
      </c>
      <c r="D11230" s="4">
        <v>1414</v>
      </c>
      <c r="E11230" s="4">
        <v>57</v>
      </c>
      <c r="G11230">
        <f t="shared" si="175"/>
        <v>512</v>
      </c>
    </row>
    <row r="11231" spans="2:7" ht="15" hidden="1" x14ac:dyDescent="0.25">
      <c r="B11231" s="4">
        <v>584759744</v>
      </c>
      <c r="C11231" s="4" t="s">
        <v>269</v>
      </c>
      <c r="D11231" s="4">
        <v>1415</v>
      </c>
      <c r="E11231" s="4">
        <v>57</v>
      </c>
      <c r="G11231">
        <f t="shared" si="175"/>
        <v>512</v>
      </c>
    </row>
    <row r="11232" spans="2:7" ht="15" hidden="1" x14ac:dyDescent="0.25">
      <c r="B11232" s="4">
        <v>584759745</v>
      </c>
      <c r="C11232" s="4" t="s">
        <v>269</v>
      </c>
      <c r="D11232" s="4">
        <v>1416</v>
      </c>
      <c r="E11232" s="4">
        <v>57</v>
      </c>
      <c r="G11232">
        <f t="shared" si="175"/>
        <v>512</v>
      </c>
    </row>
    <row r="11233" spans="2:7" ht="15" hidden="1" x14ac:dyDescent="0.25">
      <c r="B11233" s="4">
        <v>584759746</v>
      </c>
      <c r="C11233" s="4" t="s">
        <v>269</v>
      </c>
      <c r="D11233" s="4">
        <v>1417</v>
      </c>
      <c r="E11233" s="4">
        <v>57</v>
      </c>
      <c r="G11233">
        <f t="shared" si="175"/>
        <v>512</v>
      </c>
    </row>
    <row r="11234" spans="2:7" ht="15" hidden="1" x14ac:dyDescent="0.25">
      <c r="B11234" s="4">
        <v>584759747</v>
      </c>
      <c r="C11234" s="4" t="s">
        <v>269</v>
      </c>
      <c r="D11234" s="4">
        <v>1418</v>
      </c>
      <c r="E11234" s="4">
        <v>57</v>
      </c>
      <c r="G11234">
        <f t="shared" si="175"/>
        <v>512</v>
      </c>
    </row>
    <row r="11235" spans="2:7" ht="15" hidden="1" x14ac:dyDescent="0.25">
      <c r="B11235" s="4">
        <v>584759748</v>
      </c>
      <c r="C11235" s="4" t="s">
        <v>269</v>
      </c>
      <c r="D11235" s="4">
        <v>1419</v>
      </c>
      <c r="E11235" s="4">
        <v>57</v>
      </c>
      <c r="G11235">
        <f t="shared" si="175"/>
        <v>512</v>
      </c>
    </row>
    <row r="11236" spans="2:7" ht="15" hidden="1" x14ac:dyDescent="0.25">
      <c r="B11236" s="4">
        <v>584759748</v>
      </c>
      <c r="C11236" s="4" t="s">
        <v>272</v>
      </c>
      <c r="D11236" s="4">
        <v>130</v>
      </c>
      <c r="E11236" s="4">
        <v>213</v>
      </c>
      <c r="G11236">
        <f t="shared" si="175"/>
        <v>1760</v>
      </c>
    </row>
    <row r="11237" spans="2:7" ht="15" hidden="1" x14ac:dyDescent="0.25">
      <c r="B11237" s="4">
        <v>584759749</v>
      </c>
      <c r="C11237" s="4" t="s">
        <v>269</v>
      </c>
      <c r="D11237" s="4">
        <v>1420</v>
      </c>
      <c r="E11237" s="4">
        <v>57</v>
      </c>
      <c r="G11237">
        <f t="shared" si="175"/>
        <v>512</v>
      </c>
    </row>
    <row r="11238" spans="2:7" ht="15" hidden="1" x14ac:dyDescent="0.25">
      <c r="B11238" s="4">
        <v>584759750</v>
      </c>
      <c r="C11238" s="4" t="s">
        <v>269</v>
      </c>
      <c r="D11238" s="4">
        <v>1421</v>
      </c>
      <c r="E11238" s="4">
        <v>57</v>
      </c>
      <c r="G11238">
        <f t="shared" si="175"/>
        <v>512</v>
      </c>
    </row>
    <row r="11239" spans="2:7" ht="15" hidden="1" x14ac:dyDescent="0.25">
      <c r="B11239" s="4">
        <v>584759751</v>
      </c>
      <c r="C11239" s="4" t="s">
        <v>269</v>
      </c>
      <c r="D11239" s="4">
        <v>1422</v>
      </c>
      <c r="E11239" s="4">
        <v>57</v>
      </c>
      <c r="G11239">
        <f t="shared" si="175"/>
        <v>512</v>
      </c>
    </row>
    <row r="11240" spans="2:7" ht="15" hidden="1" x14ac:dyDescent="0.25">
      <c r="B11240" s="4">
        <v>584759752</v>
      </c>
      <c r="C11240" s="4" t="s">
        <v>269</v>
      </c>
      <c r="D11240" s="4">
        <v>1423</v>
      </c>
      <c r="E11240" s="4">
        <v>57</v>
      </c>
      <c r="G11240">
        <f t="shared" si="175"/>
        <v>512</v>
      </c>
    </row>
    <row r="11241" spans="2:7" ht="15" hidden="1" x14ac:dyDescent="0.25">
      <c r="B11241" s="4">
        <v>584759753</v>
      </c>
      <c r="C11241" s="4" t="s">
        <v>269</v>
      </c>
      <c r="D11241" s="4">
        <v>1424</v>
      </c>
      <c r="E11241" s="4">
        <v>57</v>
      </c>
      <c r="G11241">
        <f t="shared" si="175"/>
        <v>512</v>
      </c>
    </row>
    <row r="11242" spans="2:7" ht="15" hidden="1" x14ac:dyDescent="0.25">
      <c r="B11242" s="4">
        <v>584759754</v>
      </c>
      <c r="C11242" s="4" t="s">
        <v>269</v>
      </c>
      <c r="D11242" s="4">
        <v>1425</v>
      </c>
      <c r="E11242" s="4">
        <v>57</v>
      </c>
      <c r="G11242">
        <f t="shared" si="175"/>
        <v>512</v>
      </c>
    </row>
    <row r="11243" spans="2:7" ht="15" hidden="1" x14ac:dyDescent="0.25">
      <c r="B11243" s="4">
        <v>584759755</v>
      </c>
      <c r="C11243" s="4" t="s">
        <v>269</v>
      </c>
      <c r="D11243" s="4">
        <v>1426</v>
      </c>
      <c r="E11243" s="4">
        <v>57</v>
      </c>
      <c r="G11243">
        <f t="shared" si="175"/>
        <v>512</v>
      </c>
    </row>
    <row r="11244" spans="2:7" ht="15" hidden="1" x14ac:dyDescent="0.25">
      <c r="B11244" s="4">
        <v>584759756</v>
      </c>
      <c r="C11244" s="4" t="s">
        <v>269</v>
      </c>
      <c r="D11244" s="4">
        <v>1427</v>
      </c>
      <c r="E11244" s="4">
        <v>57</v>
      </c>
      <c r="G11244">
        <f t="shared" si="175"/>
        <v>512</v>
      </c>
    </row>
    <row r="11245" spans="2:7" ht="15" hidden="1" x14ac:dyDescent="0.25">
      <c r="B11245" s="4">
        <v>584759757</v>
      </c>
      <c r="C11245" s="4" t="s">
        <v>269</v>
      </c>
      <c r="D11245" s="4">
        <v>1428</v>
      </c>
      <c r="E11245" s="4">
        <v>57</v>
      </c>
      <c r="G11245">
        <f t="shared" si="175"/>
        <v>512</v>
      </c>
    </row>
    <row r="11246" spans="2:7" ht="15" hidden="1" x14ac:dyDescent="0.25">
      <c r="B11246" s="4">
        <v>584759758</v>
      </c>
      <c r="C11246" s="4" t="s">
        <v>269</v>
      </c>
      <c r="D11246" s="4">
        <v>1429</v>
      </c>
      <c r="E11246" s="4">
        <v>57</v>
      </c>
      <c r="G11246">
        <f t="shared" si="175"/>
        <v>512</v>
      </c>
    </row>
    <row r="11247" spans="2:7" ht="15" hidden="1" x14ac:dyDescent="0.25">
      <c r="B11247" s="4">
        <v>584759758</v>
      </c>
      <c r="C11247" s="4" t="s">
        <v>272</v>
      </c>
      <c r="D11247" s="4">
        <v>131</v>
      </c>
      <c r="E11247" s="4">
        <v>213</v>
      </c>
      <c r="G11247">
        <f t="shared" si="175"/>
        <v>1760</v>
      </c>
    </row>
    <row r="11248" spans="2:7" ht="15" hidden="1" x14ac:dyDescent="0.25">
      <c r="B11248" s="4">
        <v>584759759</v>
      </c>
      <c r="C11248" s="4" t="s">
        <v>269</v>
      </c>
      <c r="D11248" s="4">
        <v>1430</v>
      </c>
      <c r="E11248" s="4">
        <v>57</v>
      </c>
      <c r="G11248">
        <f t="shared" si="175"/>
        <v>512</v>
      </c>
    </row>
    <row r="11249" spans="2:7" ht="15" hidden="1" x14ac:dyDescent="0.25">
      <c r="B11249" s="4">
        <v>584759760</v>
      </c>
      <c r="C11249" s="4" t="s">
        <v>269</v>
      </c>
      <c r="D11249" s="4">
        <v>1431</v>
      </c>
      <c r="E11249" s="4">
        <v>57</v>
      </c>
      <c r="G11249">
        <f t="shared" si="175"/>
        <v>512</v>
      </c>
    </row>
    <row r="11250" spans="2:7" ht="15" hidden="1" x14ac:dyDescent="0.25">
      <c r="B11250" s="4">
        <v>584759761</v>
      </c>
      <c r="C11250" s="4" t="s">
        <v>269</v>
      </c>
      <c r="D11250" s="4">
        <v>1432</v>
      </c>
      <c r="E11250" s="4">
        <v>57</v>
      </c>
      <c r="G11250">
        <f t="shared" si="175"/>
        <v>512</v>
      </c>
    </row>
    <row r="11251" spans="2:7" ht="15" hidden="1" x14ac:dyDescent="0.25">
      <c r="B11251" s="4">
        <v>584759762</v>
      </c>
      <c r="C11251" s="4" t="s">
        <v>269</v>
      </c>
      <c r="D11251" s="4">
        <v>1433</v>
      </c>
      <c r="E11251" s="4">
        <v>57</v>
      </c>
      <c r="G11251">
        <f t="shared" si="175"/>
        <v>512</v>
      </c>
    </row>
    <row r="11252" spans="2:7" ht="15" hidden="1" x14ac:dyDescent="0.25">
      <c r="B11252" s="4">
        <v>584759763</v>
      </c>
      <c r="C11252" s="4" t="s">
        <v>269</v>
      </c>
      <c r="D11252" s="4">
        <v>1434</v>
      </c>
      <c r="E11252" s="4">
        <v>57</v>
      </c>
      <c r="G11252">
        <f t="shared" si="175"/>
        <v>512</v>
      </c>
    </row>
    <row r="11253" spans="2:7" ht="15" hidden="1" x14ac:dyDescent="0.25">
      <c r="B11253" s="4">
        <v>584759764</v>
      </c>
      <c r="C11253" s="4" t="s">
        <v>269</v>
      </c>
      <c r="D11253" s="4">
        <v>1435</v>
      </c>
      <c r="E11253" s="4">
        <v>57</v>
      </c>
      <c r="G11253">
        <f t="shared" si="175"/>
        <v>512</v>
      </c>
    </row>
    <row r="11254" spans="2:7" ht="15" hidden="1" x14ac:dyDescent="0.25">
      <c r="B11254" s="4">
        <v>584759765</v>
      </c>
      <c r="C11254" s="4" t="s">
        <v>269</v>
      </c>
      <c r="D11254" s="4">
        <v>1436</v>
      </c>
      <c r="E11254" s="4">
        <v>57</v>
      </c>
      <c r="G11254">
        <f t="shared" si="175"/>
        <v>512</v>
      </c>
    </row>
    <row r="11255" spans="2:7" ht="15" hidden="1" x14ac:dyDescent="0.25">
      <c r="B11255" s="4">
        <v>584759766</v>
      </c>
      <c r="C11255" s="4" t="s">
        <v>269</v>
      </c>
      <c r="D11255" s="4">
        <v>1437</v>
      </c>
      <c r="E11255" s="4">
        <v>57</v>
      </c>
      <c r="G11255">
        <f t="shared" si="175"/>
        <v>512</v>
      </c>
    </row>
    <row r="11256" spans="2:7" ht="15" hidden="1" x14ac:dyDescent="0.25">
      <c r="B11256" s="4">
        <v>584759767</v>
      </c>
      <c r="C11256" s="4" t="s">
        <v>269</v>
      </c>
      <c r="D11256" s="4">
        <v>1438</v>
      </c>
      <c r="E11256" s="4">
        <v>57</v>
      </c>
      <c r="G11256">
        <f t="shared" si="175"/>
        <v>512</v>
      </c>
    </row>
    <row r="11257" spans="2:7" ht="15" hidden="1" x14ac:dyDescent="0.25">
      <c r="B11257" s="4">
        <v>584759768</v>
      </c>
      <c r="C11257" s="4" t="s">
        <v>269</v>
      </c>
      <c r="D11257" s="4">
        <v>1439</v>
      </c>
      <c r="E11257" s="4">
        <v>57</v>
      </c>
      <c r="G11257">
        <f t="shared" si="175"/>
        <v>512</v>
      </c>
    </row>
    <row r="11258" spans="2:7" ht="15" hidden="1" x14ac:dyDescent="0.25">
      <c r="B11258" s="4">
        <v>584759768</v>
      </c>
      <c r="C11258" s="4" t="s">
        <v>272</v>
      </c>
      <c r="D11258" s="4">
        <v>132</v>
      </c>
      <c r="E11258" s="4">
        <v>215</v>
      </c>
      <c r="G11258">
        <f t="shared" si="175"/>
        <v>1776</v>
      </c>
    </row>
    <row r="11259" spans="2:7" ht="15" hidden="1" x14ac:dyDescent="0.25">
      <c r="B11259" s="4">
        <v>584759769</v>
      </c>
      <c r="C11259" s="4" t="s">
        <v>269</v>
      </c>
      <c r="D11259" s="4">
        <v>1440</v>
      </c>
      <c r="E11259" s="4">
        <v>57</v>
      </c>
      <c r="G11259">
        <f t="shared" si="175"/>
        <v>512</v>
      </c>
    </row>
    <row r="11260" spans="2:7" ht="15" hidden="1" x14ac:dyDescent="0.25">
      <c r="B11260" s="4">
        <v>584759770</v>
      </c>
      <c r="C11260" s="4" t="s">
        <v>269</v>
      </c>
      <c r="D11260" s="4">
        <v>1441</v>
      </c>
      <c r="E11260" s="4">
        <v>57</v>
      </c>
      <c r="G11260">
        <f t="shared" si="175"/>
        <v>512</v>
      </c>
    </row>
    <row r="11261" spans="2:7" ht="15" hidden="1" x14ac:dyDescent="0.25">
      <c r="B11261" s="4">
        <v>584759771</v>
      </c>
      <c r="C11261" s="4" t="s">
        <v>269</v>
      </c>
      <c r="D11261" s="4">
        <v>1442</v>
      </c>
      <c r="E11261" s="4">
        <v>57</v>
      </c>
      <c r="G11261">
        <f t="shared" si="175"/>
        <v>512</v>
      </c>
    </row>
    <row r="11262" spans="2:7" ht="15" hidden="1" x14ac:dyDescent="0.25">
      <c r="B11262" s="4">
        <v>584759772</v>
      </c>
      <c r="C11262" s="4" t="s">
        <v>269</v>
      </c>
      <c r="D11262" s="4">
        <v>1443</v>
      </c>
      <c r="E11262" s="4">
        <v>57</v>
      </c>
      <c r="G11262">
        <f t="shared" si="175"/>
        <v>512</v>
      </c>
    </row>
    <row r="11263" spans="2:7" ht="15" hidden="1" x14ac:dyDescent="0.25">
      <c r="B11263" s="4">
        <v>584759773</v>
      </c>
      <c r="C11263" s="4" t="s">
        <v>269</v>
      </c>
      <c r="D11263" s="4">
        <v>1444</v>
      </c>
      <c r="E11263" s="4">
        <v>57</v>
      </c>
      <c r="G11263">
        <f t="shared" si="175"/>
        <v>512</v>
      </c>
    </row>
    <row r="11264" spans="2:7" ht="15" hidden="1" x14ac:dyDescent="0.25">
      <c r="B11264" s="4">
        <v>584759774</v>
      </c>
      <c r="C11264" s="4" t="s">
        <v>269</v>
      </c>
      <c r="D11264" s="4">
        <v>1445</v>
      </c>
      <c r="E11264" s="4">
        <v>57</v>
      </c>
      <c r="G11264">
        <f t="shared" si="175"/>
        <v>512</v>
      </c>
    </row>
    <row r="11265" spans="2:7" ht="15" hidden="1" x14ac:dyDescent="0.25">
      <c r="B11265" s="4">
        <v>584759775</v>
      </c>
      <c r="C11265" s="4" t="s">
        <v>269</v>
      </c>
      <c r="D11265" s="4">
        <v>1446</v>
      </c>
      <c r="E11265" s="4">
        <v>57</v>
      </c>
      <c r="G11265">
        <f t="shared" si="175"/>
        <v>512</v>
      </c>
    </row>
    <row r="11266" spans="2:7" ht="15" hidden="1" x14ac:dyDescent="0.25">
      <c r="B11266" s="4">
        <v>584759776</v>
      </c>
      <c r="C11266" s="4" t="s">
        <v>269</v>
      </c>
      <c r="D11266" s="4">
        <v>1447</v>
      </c>
      <c r="E11266" s="4">
        <v>57</v>
      </c>
      <c r="G11266">
        <f t="shared" si="175"/>
        <v>512</v>
      </c>
    </row>
    <row r="11267" spans="2:7" ht="15" hidden="1" x14ac:dyDescent="0.25">
      <c r="B11267" s="4">
        <v>584759777</v>
      </c>
      <c r="C11267" s="4" t="s">
        <v>269</v>
      </c>
      <c r="D11267" s="4">
        <v>1448</v>
      </c>
      <c r="E11267" s="4">
        <v>57</v>
      </c>
      <c r="G11267">
        <f t="shared" si="175"/>
        <v>512</v>
      </c>
    </row>
    <row r="11268" spans="2:7" ht="15" hidden="1" x14ac:dyDescent="0.25">
      <c r="B11268" s="4">
        <v>584759778</v>
      </c>
      <c r="C11268" s="4" t="s">
        <v>269</v>
      </c>
      <c r="D11268" s="4">
        <v>1449</v>
      </c>
      <c r="E11268" s="4">
        <v>57</v>
      </c>
      <c r="G11268">
        <f t="shared" ref="G11268:G11331" si="176">(E11268+7)*8</f>
        <v>512</v>
      </c>
    </row>
    <row r="11269" spans="2:7" ht="15" hidden="1" x14ac:dyDescent="0.25">
      <c r="B11269" s="4">
        <v>584759778</v>
      </c>
      <c r="C11269" s="4" t="s">
        <v>272</v>
      </c>
      <c r="D11269" s="4">
        <v>133</v>
      </c>
      <c r="E11269" s="4">
        <v>215</v>
      </c>
      <c r="G11269">
        <f t="shared" si="176"/>
        <v>1776</v>
      </c>
    </row>
    <row r="11270" spans="2:7" ht="15" hidden="1" x14ac:dyDescent="0.25">
      <c r="B11270" s="4">
        <v>584759779</v>
      </c>
      <c r="C11270" s="4" t="s">
        <v>269</v>
      </c>
      <c r="D11270" s="4">
        <v>1450</v>
      </c>
      <c r="E11270" s="4">
        <v>57</v>
      </c>
      <c r="G11270">
        <f t="shared" si="176"/>
        <v>512</v>
      </c>
    </row>
    <row r="11271" spans="2:7" ht="15" hidden="1" x14ac:dyDescent="0.25">
      <c r="B11271" s="4">
        <v>584759780</v>
      </c>
      <c r="C11271" s="4" t="s">
        <v>269</v>
      </c>
      <c r="D11271" s="4">
        <v>1451</v>
      </c>
      <c r="E11271" s="4">
        <v>57</v>
      </c>
      <c r="G11271">
        <f t="shared" si="176"/>
        <v>512</v>
      </c>
    </row>
    <row r="11272" spans="2:7" ht="15" hidden="1" x14ac:dyDescent="0.25">
      <c r="B11272" s="4">
        <v>584759781</v>
      </c>
      <c r="C11272" s="4" t="s">
        <v>269</v>
      </c>
      <c r="D11272" s="4">
        <v>1452</v>
      </c>
      <c r="E11272" s="4">
        <v>57</v>
      </c>
      <c r="G11272">
        <f t="shared" si="176"/>
        <v>512</v>
      </c>
    </row>
    <row r="11273" spans="2:7" ht="15" hidden="1" x14ac:dyDescent="0.25">
      <c r="B11273" s="4">
        <v>584759782</v>
      </c>
      <c r="C11273" s="4" t="s">
        <v>269</v>
      </c>
      <c r="D11273" s="4">
        <v>1453</v>
      </c>
      <c r="E11273" s="4">
        <v>57</v>
      </c>
      <c r="G11273">
        <f t="shared" si="176"/>
        <v>512</v>
      </c>
    </row>
    <row r="11274" spans="2:7" ht="15" hidden="1" x14ac:dyDescent="0.25">
      <c r="B11274" s="4">
        <v>584759783</v>
      </c>
      <c r="C11274" s="4" t="s">
        <v>269</v>
      </c>
      <c r="D11274" s="4">
        <v>1454</v>
      </c>
      <c r="E11274" s="4">
        <v>57</v>
      </c>
      <c r="G11274">
        <f t="shared" si="176"/>
        <v>512</v>
      </c>
    </row>
    <row r="11275" spans="2:7" ht="15" hidden="1" x14ac:dyDescent="0.25">
      <c r="B11275" s="4">
        <v>584759784</v>
      </c>
      <c r="C11275" s="4" t="s">
        <v>269</v>
      </c>
      <c r="D11275" s="4">
        <v>1455</v>
      </c>
      <c r="E11275" s="4">
        <v>57</v>
      </c>
      <c r="G11275">
        <f t="shared" si="176"/>
        <v>512</v>
      </c>
    </row>
    <row r="11276" spans="2:7" ht="15" hidden="1" x14ac:dyDescent="0.25">
      <c r="B11276" s="4">
        <v>584759785</v>
      </c>
      <c r="C11276" s="4" t="s">
        <v>269</v>
      </c>
      <c r="D11276" s="4">
        <v>1456</v>
      </c>
      <c r="E11276" s="4">
        <v>57</v>
      </c>
      <c r="G11276">
        <f t="shared" si="176"/>
        <v>512</v>
      </c>
    </row>
    <row r="11277" spans="2:7" ht="15" hidden="1" x14ac:dyDescent="0.25">
      <c r="B11277" s="4">
        <v>584759786</v>
      </c>
      <c r="C11277" s="4" t="s">
        <v>269</v>
      </c>
      <c r="D11277" s="4">
        <v>1457</v>
      </c>
      <c r="E11277" s="4">
        <v>57</v>
      </c>
      <c r="G11277">
        <f t="shared" si="176"/>
        <v>512</v>
      </c>
    </row>
    <row r="11278" spans="2:7" ht="15" hidden="1" x14ac:dyDescent="0.25">
      <c r="B11278" s="4">
        <v>584759787</v>
      </c>
      <c r="C11278" s="4" t="s">
        <v>269</v>
      </c>
      <c r="D11278" s="4">
        <v>1458</v>
      </c>
      <c r="E11278" s="4">
        <v>57</v>
      </c>
      <c r="G11278">
        <f t="shared" si="176"/>
        <v>512</v>
      </c>
    </row>
    <row r="11279" spans="2:7" ht="15" hidden="1" x14ac:dyDescent="0.25">
      <c r="B11279" s="4">
        <v>584759788</v>
      </c>
      <c r="C11279" s="4" t="s">
        <v>269</v>
      </c>
      <c r="D11279" s="4">
        <v>1459</v>
      </c>
      <c r="E11279" s="4">
        <v>57</v>
      </c>
      <c r="G11279">
        <f t="shared" si="176"/>
        <v>512</v>
      </c>
    </row>
    <row r="11280" spans="2:7" ht="15" hidden="1" x14ac:dyDescent="0.25">
      <c r="B11280" s="4">
        <v>584759788</v>
      </c>
      <c r="C11280" s="4" t="s">
        <v>272</v>
      </c>
      <c r="D11280" s="4">
        <v>134</v>
      </c>
      <c r="E11280" s="4">
        <v>217</v>
      </c>
      <c r="G11280">
        <f t="shared" si="176"/>
        <v>1792</v>
      </c>
    </row>
    <row r="11281" spans="2:7" ht="15" hidden="1" x14ac:dyDescent="0.25">
      <c r="B11281" s="4">
        <v>584759789</v>
      </c>
      <c r="C11281" s="4" t="s">
        <v>269</v>
      </c>
      <c r="D11281" s="4">
        <v>1460</v>
      </c>
      <c r="E11281" s="4">
        <v>57</v>
      </c>
      <c r="G11281">
        <f t="shared" si="176"/>
        <v>512</v>
      </c>
    </row>
    <row r="11282" spans="2:7" ht="15" hidden="1" x14ac:dyDescent="0.25">
      <c r="B11282" s="4">
        <v>584759790</v>
      </c>
      <c r="C11282" s="4" t="s">
        <v>269</v>
      </c>
      <c r="D11282" s="4">
        <v>1461</v>
      </c>
      <c r="E11282" s="4">
        <v>57</v>
      </c>
      <c r="G11282">
        <f t="shared" si="176"/>
        <v>512</v>
      </c>
    </row>
    <row r="11283" spans="2:7" ht="15" hidden="1" x14ac:dyDescent="0.25">
      <c r="B11283" s="4">
        <v>584759791</v>
      </c>
      <c r="C11283" s="4" t="s">
        <v>269</v>
      </c>
      <c r="D11283" s="4">
        <v>1462</v>
      </c>
      <c r="E11283" s="4">
        <v>57</v>
      </c>
      <c r="G11283">
        <f t="shared" si="176"/>
        <v>512</v>
      </c>
    </row>
    <row r="11284" spans="2:7" ht="15" hidden="1" x14ac:dyDescent="0.25">
      <c r="B11284" s="4">
        <v>584759792</v>
      </c>
      <c r="C11284" s="4" t="s">
        <v>269</v>
      </c>
      <c r="D11284" s="4">
        <v>1463</v>
      </c>
      <c r="E11284" s="4">
        <v>57</v>
      </c>
      <c r="G11284">
        <f t="shared" si="176"/>
        <v>512</v>
      </c>
    </row>
    <row r="11285" spans="2:7" ht="15" hidden="1" x14ac:dyDescent="0.25">
      <c r="B11285" s="4">
        <v>584759793</v>
      </c>
      <c r="C11285" s="4" t="s">
        <v>269</v>
      </c>
      <c r="D11285" s="4">
        <v>1464</v>
      </c>
      <c r="E11285" s="4">
        <v>57</v>
      </c>
      <c r="G11285">
        <f t="shared" si="176"/>
        <v>512</v>
      </c>
    </row>
    <row r="11286" spans="2:7" ht="15" hidden="1" x14ac:dyDescent="0.25">
      <c r="B11286" s="4">
        <v>584759794</v>
      </c>
      <c r="C11286" s="4" t="s">
        <v>269</v>
      </c>
      <c r="D11286" s="4">
        <v>1465</v>
      </c>
      <c r="E11286" s="4">
        <v>57</v>
      </c>
      <c r="G11286">
        <f t="shared" si="176"/>
        <v>512</v>
      </c>
    </row>
    <row r="11287" spans="2:7" ht="15" hidden="1" x14ac:dyDescent="0.25">
      <c r="B11287" s="4">
        <v>584759795</v>
      </c>
      <c r="C11287" s="4" t="s">
        <v>269</v>
      </c>
      <c r="D11287" s="4">
        <v>1466</v>
      </c>
      <c r="E11287" s="4">
        <v>57</v>
      </c>
      <c r="G11287">
        <f t="shared" si="176"/>
        <v>512</v>
      </c>
    </row>
    <row r="11288" spans="2:7" ht="15" hidden="1" x14ac:dyDescent="0.25">
      <c r="B11288" s="4">
        <v>584759796</v>
      </c>
      <c r="C11288" s="4" t="s">
        <v>269</v>
      </c>
      <c r="D11288" s="4">
        <v>1467</v>
      </c>
      <c r="E11288" s="4">
        <v>57</v>
      </c>
      <c r="G11288">
        <f t="shared" si="176"/>
        <v>512</v>
      </c>
    </row>
    <row r="11289" spans="2:7" ht="15" hidden="1" x14ac:dyDescent="0.25">
      <c r="B11289" s="4">
        <v>584759797</v>
      </c>
      <c r="C11289" s="4" t="s">
        <v>269</v>
      </c>
      <c r="D11289" s="4">
        <v>1468</v>
      </c>
      <c r="E11289" s="4">
        <v>57</v>
      </c>
      <c r="G11289">
        <f t="shared" si="176"/>
        <v>512</v>
      </c>
    </row>
    <row r="11290" spans="2:7" ht="15" hidden="1" x14ac:dyDescent="0.25">
      <c r="B11290" s="4">
        <v>584759798</v>
      </c>
      <c r="C11290" s="4" t="s">
        <v>269</v>
      </c>
      <c r="D11290" s="4">
        <v>1469</v>
      </c>
      <c r="E11290" s="4">
        <v>57</v>
      </c>
      <c r="G11290">
        <f t="shared" si="176"/>
        <v>512</v>
      </c>
    </row>
    <row r="11291" spans="2:7" ht="15" hidden="1" x14ac:dyDescent="0.25">
      <c r="B11291" s="4">
        <v>584759798</v>
      </c>
      <c r="C11291" s="4" t="s">
        <v>272</v>
      </c>
      <c r="D11291" s="4">
        <v>135</v>
      </c>
      <c r="E11291" s="4">
        <v>225</v>
      </c>
      <c r="G11291">
        <f t="shared" si="176"/>
        <v>1856</v>
      </c>
    </row>
    <row r="11292" spans="2:7" ht="15" hidden="1" x14ac:dyDescent="0.25">
      <c r="B11292" s="4">
        <v>584759799</v>
      </c>
      <c r="C11292" s="4" t="s">
        <v>269</v>
      </c>
      <c r="D11292" s="4">
        <v>1470</v>
      </c>
      <c r="E11292" s="4">
        <v>57</v>
      </c>
      <c r="G11292">
        <f t="shared" si="176"/>
        <v>512</v>
      </c>
    </row>
    <row r="11293" spans="2:7" ht="15" hidden="1" x14ac:dyDescent="0.25">
      <c r="B11293" s="4">
        <v>584759800</v>
      </c>
      <c r="C11293" s="4" t="s">
        <v>269</v>
      </c>
      <c r="D11293" s="4">
        <v>1471</v>
      </c>
      <c r="E11293" s="4">
        <v>57</v>
      </c>
      <c r="G11293">
        <f t="shared" si="176"/>
        <v>512</v>
      </c>
    </row>
    <row r="11294" spans="2:7" ht="15" hidden="1" x14ac:dyDescent="0.25">
      <c r="B11294" s="4">
        <v>584759801</v>
      </c>
      <c r="C11294" s="4" t="s">
        <v>269</v>
      </c>
      <c r="D11294" s="4">
        <v>1472</v>
      </c>
      <c r="E11294" s="4">
        <v>57</v>
      </c>
      <c r="G11294">
        <f t="shared" si="176"/>
        <v>512</v>
      </c>
    </row>
    <row r="11295" spans="2:7" ht="15" hidden="1" x14ac:dyDescent="0.25">
      <c r="B11295" s="4">
        <v>584759802</v>
      </c>
      <c r="C11295" s="4" t="s">
        <v>269</v>
      </c>
      <c r="D11295" s="4">
        <v>1473</v>
      </c>
      <c r="E11295" s="4">
        <v>57</v>
      </c>
      <c r="G11295">
        <f t="shared" si="176"/>
        <v>512</v>
      </c>
    </row>
    <row r="11296" spans="2:7" ht="15" hidden="1" x14ac:dyDescent="0.25">
      <c r="B11296" s="4">
        <v>584759803</v>
      </c>
      <c r="C11296" s="4" t="s">
        <v>269</v>
      </c>
      <c r="D11296" s="4">
        <v>1474</v>
      </c>
      <c r="E11296" s="4">
        <v>57</v>
      </c>
      <c r="G11296">
        <f t="shared" si="176"/>
        <v>512</v>
      </c>
    </row>
    <row r="11297" spans="2:7" ht="15" hidden="1" x14ac:dyDescent="0.25">
      <c r="B11297" s="4">
        <v>584759804</v>
      </c>
      <c r="C11297" s="4" t="s">
        <v>269</v>
      </c>
      <c r="D11297" s="4">
        <v>1475</v>
      </c>
      <c r="E11297" s="4">
        <v>57</v>
      </c>
      <c r="G11297">
        <f t="shared" si="176"/>
        <v>512</v>
      </c>
    </row>
    <row r="11298" spans="2:7" ht="15" hidden="1" x14ac:dyDescent="0.25">
      <c r="B11298" s="4">
        <v>584759805</v>
      </c>
      <c r="C11298" s="4" t="s">
        <v>269</v>
      </c>
      <c r="D11298" s="4">
        <v>1476</v>
      </c>
      <c r="E11298" s="4">
        <v>57</v>
      </c>
      <c r="G11298">
        <f t="shared" si="176"/>
        <v>512</v>
      </c>
    </row>
    <row r="11299" spans="2:7" ht="15" hidden="1" x14ac:dyDescent="0.25">
      <c r="B11299" s="4">
        <v>584759806</v>
      </c>
      <c r="C11299" s="4" t="s">
        <v>269</v>
      </c>
      <c r="D11299" s="4">
        <v>1477</v>
      </c>
      <c r="E11299" s="4">
        <v>57</v>
      </c>
      <c r="G11299">
        <f t="shared" si="176"/>
        <v>512</v>
      </c>
    </row>
    <row r="11300" spans="2:7" ht="15" hidden="1" x14ac:dyDescent="0.25">
      <c r="B11300" s="4">
        <v>584759807</v>
      </c>
      <c r="C11300" s="4" t="s">
        <v>269</v>
      </c>
      <c r="D11300" s="4">
        <v>1478</v>
      </c>
      <c r="E11300" s="4">
        <v>57</v>
      </c>
      <c r="G11300">
        <f t="shared" si="176"/>
        <v>512</v>
      </c>
    </row>
    <row r="11301" spans="2:7" ht="15" hidden="1" x14ac:dyDescent="0.25">
      <c r="B11301" s="4">
        <v>584759808</v>
      </c>
      <c r="C11301" s="4" t="s">
        <v>269</v>
      </c>
      <c r="D11301" s="4">
        <v>1479</v>
      </c>
      <c r="E11301" s="4">
        <v>57</v>
      </c>
      <c r="G11301">
        <f t="shared" si="176"/>
        <v>512</v>
      </c>
    </row>
    <row r="11302" spans="2:7" ht="15" hidden="1" x14ac:dyDescent="0.25">
      <c r="B11302" s="4">
        <v>584759808</v>
      </c>
      <c r="C11302" s="4" t="s">
        <v>272</v>
      </c>
      <c r="D11302" s="4">
        <v>136</v>
      </c>
      <c r="E11302" s="4">
        <v>217</v>
      </c>
      <c r="G11302">
        <f t="shared" si="176"/>
        <v>1792</v>
      </c>
    </row>
    <row r="11303" spans="2:7" ht="15" hidden="1" x14ac:dyDescent="0.25">
      <c r="B11303" s="4">
        <v>584759809</v>
      </c>
      <c r="C11303" s="4" t="s">
        <v>269</v>
      </c>
      <c r="D11303" s="4">
        <v>1480</v>
      </c>
      <c r="E11303" s="4">
        <v>57</v>
      </c>
      <c r="G11303">
        <f t="shared" si="176"/>
        <v>512</v>
      </c>
    </row>
    <row r="11304" spans="2:7" ht="15" hidden="1" x14ac:dyDescent="0.25">
      <c r="B11304" s="4">
        <v>584759810</v>
      </c>
      <c r="C11304" s="4" t="s">
        <v>269</v>
      </c>
      <c r="D11304" s="4">
        <v>1481</v>
      </c>
      <c r="E11304" s="4">
        <v>57</v>
      </c>
      <c r="G11304">
        <f t="shared" si="176"/>
        <v>512</v>
      </c>
    </row>
    <row r="11305" spans="2:7" ht="15" hidden="1" x14ac:dyDescent="0.25">
      <c r="B11305" s="4">
        <v>584759811</v>
      </c>
      <c r="C11305" s="4" t="s">
        <v>269</v>
      </c>
      <c r="D11305" s="4">
        <v>1482</v>
      </c>
      <c r="E11305" s="4">
        <v>57</v>
      </c>
      <c r="G11305">
        <f t="shared" si="176"/>
        <v>512</v>
      </c>
    </row>
    <row r="11306" spans="2:7" ht="15" hidden="1" x14ac:dyDescent="0.25">
      <c r="B11306" s="4">
        <v>584759812</v>
      </c>
      <c r="C11306" s="4" t="s">
        <v>269</v>
      </c>
      <c r="D11306" s="4">
        <v>1483</v>
      </c>
      <c r="E11306" s="4">
        <v>57</v>
      </c>
      <c r="G11306">
        <f t="shared" si="176"/>
        <v>512</v>
      </c>
    </row>
    <row r="11307" spans="2:7" ht="15" hidden="1" x14ac:dyDescent="0.25">
      <c r="B11307" s="4">
        <v>584759813</v>
      </c>
      <c r="C11307" s="4" t="s">
        <v>269</v>
      </c>
      <c r="D11307" s="4">
        <v>1484</v>
      </c>
      <c r="E11307" s="4">
        <v>57</v>
      </c>
      <c r="G11307">
        <f t="shared" si="176"/>
        <v>512</v>
      </c>
    </row>
    <row r="11308" spans="2:7" ht="15" hidden="1" x14ac:dyDescent="0.25">
      <c r="B11308" s="4">
        <v>584759814</v>
      </c>
      <c r="C11308" s="4" t="s">
        <v>269</v>
      </c>
      <c r="D11308" s="4">
        <v>1485</v>
      </c>
      <c r="E11308" s="4">
        <v>57</v>
      </c>
      <c r="G11308">
        <f t="shared" si="176"/>
        <v>512</v>
      </c>
    </row>
    <row r="11309" spans="2:7" ht="15" hidden="1" x14ac:dyDescent="0.25">
      <c r="B11309" s="4">
        <v>584759815</v>
      </c>
      <c r="C11309" s="4" t="s">
        <v>269</v>
      </c>
      <c r="D11309" s="4">
        <v>1486</v>
      </c>
      <c r="E11309" s="4">
        <v>57</v>
      </c>
      <c r="G11309">
        <f t="shared" si="176"/>
        <v>512</v>
      </c>
    </row>
    <row r="11310" spans="2:7" ht="15" hidden="1" x14ac:dyDescent="0.25">
      <c r="B11310" s="4">
        <v>584759816</v>
      </c>
      <c r="C11310" s="4" t="s">
        <v>269</v>
      </c>
      <c r="D11310" s="4">
        <v>1487</v>
      </c>
      <c r="E11310" s="4">
        <v>57</v>
      </c>
      <c r="G11310">
        <f t="shared" si="176"/>
        <v>512</v>
      </c>
    </row>
    <row r="11311" spans="2:7" ht="15" hidden="1" x14ac:dyDescent="0.25">
      <c r="B11311" s="4">
        <v>584759817</v>
      </c>
      <c r="C11311" s="4" t="s">
        <v>269</v>
      </c>
      <c r="D11311" s="4">
        <v>1488</v>
      </c>
      <c r="E11311" s="4">
        <v>57</v>
      </c>
      <c r="G11311">
        <f t="shared" si="176"/>
        <v>512</v>
      </c>
    </row>
    <row r="11312" spans="2:7" ht="15" hidden="1" x14ac:dyDescent="0.25">
      <c r="B11312" s="4">
        <v>584759818</v>
      </c>
      <c r="C11312" s="4" t="s">
        <v>269</v>
      </c>
      <c r="D11312" s="4">
        <v>1489</v>
      </c>
      <c r="E11312" s="4">
        <v>57</v>
      </c>
      <c r="G11312">
        <f t="shared" si="176"/>
        <v>512</v>
      </c>
    </row>
    <row r="11313" spans="2:7" ht="15" hidden="1" x14ac:dyDescent="0.25">
      <c r="B11313" s="4">
        <v>584759818</v>
      </c>
      <c r="C11313" s="4" t="s">
        <v>272</v>
      </c>
      <c r="D11313" s="4">
        <v>137</v>
      </c>
      <c r="E11313" s="4">
        <v>225</v>
      </c>
      <c r="G11313">
        <f t="shared" si="176"/>
        <v>1856</v>
      </c>
    </row>
    <row r="11314" spans="2:7" ht="15" hidden="1" x14ac:dyDescent="0.25">
      <c r="B11314" s="4">
        <v>584759819</v>
      </c>
      <c r="C11314" s="4" t="s">
        <v>269</v>
      </c>
      <c r="D11314" s="4">
        <v>1490</v>
      </c>
      <c r="E11314" s="4">
        <v>57</v>
      </c>
      <c r="G11314">
        <f t="shared" si="176"/>
        <v>512</v>
      </c>
    </row>
    <row r="11315" spans="2:7" ht="15" hidden="1" x14ac:dyDescent="0.25">
      <c r="B11315" s="4">
        <v>584759820</v>
      </c>
      <c r="C11315" s="4" t="s">
        <v>269</v>
      </c>
      <c r="D11315" s="4">
        <v>1491</v>
      </c>
      <c r="E11315" s="4">
        <v>57</v>
      </c>
      <c r="G11315">
        <f t="shared" si="176"/>
        <v>512</v>
      </c>
    </row>
    <row r="11316" spans="2:7" ht="15" hidden="1" x14ac:dyDescent="0.25">
      <c r="B11316" s="4">
        <v>584759821</v>
      </c>
      <c r="C11316" s="4" t="s">
        <v>269</v>
      </c>
      <c r="D11316" s="4">
        <v>1492</v>
      </c>
      <c r="E11316" s="4">
        <v>57</v>
      </c>
      <c r="G11316">
        <f t="shared" si="176"/>
        <v>512</v>
      </c>
    </row>
    <row r="11317" spans="2:7" ht="15" hidden="1" x14ac:dyDescent="0.25">
      <c r="B11317" s="4">
        <v>584759822</v>
      </c>
      <c r="C11317" s="4" t="s">
        <v>269</v>
      </c>
      <c r="D11317" s="4">
        <v>1493</v>
      </c>
      <c r="E11317" s="4">
        <v>57</v>
      </c>
      <c r="G11317">
        <f t="shared" si="176"/>
        <v>512</v>
      </c>
    </row>
    <row r="11318" spans="2:7" ht="15" hidden="1" x14ac:dyDescent="0.25">
      <c r="B11318" s="4">
        <v>584759823</v>
      </c>
      <c r="C11318" s="4" t="s">
        <v>269</v>
      </c>
      <c r="D11318" s="4">
        <v>1494</v>
      </c>
      <c r="E11318" s="4">
        <v>57</v>
      </c>
      <c r="G11318">
        <f t="shared" si="176"/>
        <v>512</v>
      </c>
    </row>
    <row r="11319" spans="2:7" ht="15" hidden="1" x14ac:dyDescent="0.25">
      <c r="B11319" s="4">
        <v>584759824</v>
      </c>
      <c r="C11319" s="4" t="s">
        <v>269</v>
      </c>
      <c r="D11319" s="4">
        <v>1495</v>
      </c>
      <c r="E11319" s="4">
        <v>57</v>
      </c>
      <c r="G11319">
        <f t="shared" si="176"/>
        <v>512</v>
      </c>
    </row>
    <row r="11320" spans="2:7" ht="15" hidden="1" x14ac:dyDescent="0.25">
      <c r="B11320" s="4">
        <v>584759825</v>
      </c>
      <c r="C11320" s="4" t="s">
        <v>269</v>
      </c>
      <c r="D11320" s="4">
        <v>1496</v>
      </c>
      <c r="E11320" s="4">
        <v>57</v>
      </c>
      <c r="G11320">
        <f t="shared" si="176"/>
        <v>512</v>
      </c>
    </row>
    <row r="11321" spans="2:7" ht="15" hidden="1" x14ac:dyDescent="0.25">
      <c r="B11321" s="4">
        <v>584759826</v>
      </c>
      <c r="C11321" s="4" t="s">
        <v>273</v>
      </c>
      <c r="D11321" s="4">
        <v>1585</v>
      </c>
      <c r="E11321" s="4">
        <v>317</v>
      </c>
      <c r="G11321">
        <f t="shared" si="176"/>
        <v>2592</v>
      </c>
    </row>
    <row r="11322" spans="2:7" ht="15" hidden="1" x14ac:dyDescent="0.25">
      <c r="B11322" s="4">
        <v>584759826</v>
      </c>
      <c r="C11322" s="4" t="s">
        <v>269</v>
      </c>
      <c r="D11322" s="4">
        <v>1497</v>
      </c>
      <c r="E11322" s="4">
        <v>57</v>
      </c>
      <c r="G11322">
        <f t="shared" si="176"/>
        <v>512</v>
      </c>
    </row>
    <row r="11323" spans="2:7" ht="15" hidden="1" x14ac:dyDescent="0.25">
      <c r="B11323" s="4">
        <v>584759827</v>
      </c>
      <c r="C11323" s="4" t="s">
        <v>269</v>
      </c>
      <c r="D11323" s="4">
        <v>1498</v>
      </c>
      <c r="E11323" s="4">
        <v>57</v>
      </c>
      <c r="G11323">
        <f t="shared" si="176"/>
        <v>512</v>
      </c>
    </row>
    <row r="11324" spans="2:7" ht="15" hidden="1" x14ac:dyDescent="0.25">
      <c r="B11324" s="4">
        <v>584759828</v>
      </c>
      <c r="C11324" s="4" t="s">
        <v>269</v>
      </c>
      <c r="D11324" s="4">
        <v>1499</v>
      </c>
      <c r="E11324" s="4">
        <v>57</v>
      </c>
      <c r="G11324">
        <f t="shared" si="176"/>
        <v>512</v>
      </c>
    </row>
    <row r="11325" spans="2:7" ht="15" hidden="1" x14ac:dyDescent="0.25">
      <c r="B11325" s="4">
        <v>584759828</v>
      </c>
      <c r="C11325" s="4" t="s">
        <v>272</v>
      </c>
      <c r="D11325" s="4">
        <v>138</v>
      </c>
      <c r="E11325" s="4">
        <v>211</v>
      </c>
      <c r="G11325">
        <f t="shared" si="176"/>
        <v>1744</v>
      </c>
    </row>
    <row r="11326" spans="2:7" ht="15" hidden="1" x14ac:dyDescent="0.25">
      <c r="B11326" s="4">
        <v>584759829</v>
      </c>
      <c r="C11326" s="4" t="s">
        <v>269</v>
      </c>
      <c r="D11326" s="4">
        <v>1500</v>
      </c>
      <c r="E11326" s="4">
        <v>57</v>
      </c>
      <c r="G11326">
        <f t="shared" si="176"/>
        <v>512</v>
      </c>
    </row>
    <row r="11327" spans="2:7" ht="15" hidden="1" x14ac:dyDescent="0.25">
      <c r="B11327" s="4">
        <v>584759830</v>
      </c>
      <c r="C11327" s="4" t="s">
        <v>269</v>
      </c>
      <c r="D11327" s="4">
        <v>1501</v>
      </c>
      <c r="E11327" s="4">
        <v>57</v>
      </c>
      <c r="G11327">
        <f t="shared" si="176"/>
        <v>512</v>
      </c>
    </row>
    <row r="11328" spans="2:7" ht="15" hidden="1" x14ac:dyDescent="0.25">
      <c r="B11328" s="4">
        <v>584759831</v>
      </c>
      <c r="C11328" s="4" t="s">
        <v>269</v>
      </c>
      <c r="D11328" s="4">
        <v>1502</v>
      </c>
      <c r="E11328" s="4">
        <v>57</v>
      </c>
      <c r="G11328">
        <f t="shared" si="176"/>
        <v>512</v>
      </c>
    </row>
    <row r="11329" spans="2:7" ht="15" hidden="1" x14ac:dyDescent="0.25">
      <c r="B11329" s="4">
        <v>584759832</v>
      </c>
      <c r="C11329" s="4" t="s">
        <v>269</v>
      </c>
      <c r="D11329" s="4">
        <v>1503</v>
      </c>
      <c r="E11329" s="4">
        <v>57</v>
      </c>
      <c r="G11329">
        <f t="shared" si="176"/>
        <v>512</v>
      </c>
    </row>
    <row r="11330" spans="2:7" ht="15" hidden="1" x14ac:dyDescent="0.25">
      <c r="B11330" s="4">
        <v>584759833</v>
      </c>
      <c r="C11330" s="4" t="s">
        <v>269</v>
      </c>
      <c r="D11330" s="4">
        <v>1504</v>
      </c>
      <c r="E11330" s="4">
        <v>57</v>
      </c>
      <c r="G11330">
        <f t="shared" si="176"/>
        <v>512</v>
      </c>
    </row>
    <row r="11331" spans="2:7" ht="15" hidden="1" x14ac:dyDescent="0.25">
      <c r="B11331" s="4">
        <v>584759834</v>
      </c>
      <c r="C11331" s="4" t="s">
        <v>269</v>
      </c>
      <c r="D11331" s="4">
        <v>1505</v>
      </c>
      <c r="E11331" s="4">
        <v>57</v>
      </c>
      <c r="G11331">
        <f t="shared" si="176"/>
        <v>512</v>
      </c>
    </row>
    <row r="11332" spans="2:7" ht="15" hidden="1" x14ac:dyDescent="0.25">
      <c r="B11332" s="4">
        <v>584759835</v>
      </c>
      <c r="C11332" s="4" t="s">
        <v>269</v>
      </c>
      <c r="D11332" s="4">
        <v>1506</v>
      </c>
      <c r="E11332" s="4">
        <v>57</v>
      </c>
      <c r="G11332">
        <f t="shared" ref="G11332:G11395" si="177">(E11332+7)*8</f>
        <v>512</v>
      </c>
    </row>
    <row r="11333" spans="2:7" ht="15" hidden="1" x14ac:dyDescent="0.25">
      <c r="B11333" s="4">
        <v>584759836</v>
      </c>
      <c r="C11333" s="4" t="s">
        <v>269</v>
      </c>
      <c r="D11333" s="4">
        <v>1507</v>
      </c>
      <c r="E11333" s="4">
        <v>57</v>
      </c>
      <c r="G11333">
        <f t="shared" si="177"/>
        <v>512</v>
      </c>
    </row>
    <row r="11334" spans="2:7" ht="15" hidden="1" x14ac:dyDescent="0.25">
      <c r="B11334" s="4">
        <v>584759837</v>
      </c>
      <c r="C11334" s="4" t="s">
        <v>269</v>
      </c>
      <c r="D11334" s="4">
        <v>1508</v>
      </c>
      <c r="E11334" s="4">
        <v>57</v>
      </c>
      <c r="G11334">
        <f t="shared" si="177"/>
        <v>512</v>
      </c>
    </row>
    <row r="11335" spans="2:7" ht="15" hidden="1" x14ac:dyDescent="0.25">
      <c r="B11335" s="4">
        <v>584759838</v>
      </c>
      <c r="C11335" s="4" t="s">
        <v>269</v>
      </c>
      <c r="D11335" s="4">
        <v>1509</v>
      </c>
      <c r="E11335" s="4">
        <v>57</v>
      </c>
      <c r="G11335">
        <f t="shared" si="177"/>
        <v>512</v>
      </c>
    </row>
    <row r="11336" spans="2:7" ht="15" hidden="1" x14ac:dyDescent="0.25">
      <c r="B11336" s="4">
        <v>584759838</v>
      </c>
      <c r="C11336" s="4" t="s">
        <v>272</v>
      </c>
      <c r="D11336" s="4">
        <v>139</v>
      </c>
      <c r="E11336" s="4">
        <v>211</v>
      </c>
      <c r="G11336">
        <f t="shared" si="177"/>
        <v>1744</v>
      </c>
    </row>
    <row r="11337" spans="2:7" ht="15" hidden="1" x14ac:dyDescent="0.25">
      <c r="B11337" s="4">
        <v>584759839</v>
      </c>
      <c r="C11337" s="4" t="s">
        <v>269</v>
      </c>
      <c r="D11337" s="4">
        <v>1510</v>
      </c>
      <c r="E11337" s="4">
        <v>57</v>
      </c>
      <c r="G11337">
        <f t="shared" si="177"/>
        <v>512</v>
      </c>
    </row>
    <row r="11338" spans="2:7" ht="15" hidden="1" x14ac:dyDescent="0.25">
      <c r="B11338" s="4">
        <v>584759840</v>
      </c>
      <c r="C11338" s="4" t="s">
        <v>268</v>
      </c>
      <c r="D11338" s="4">
        <v>282</v>
      </c>
      <c r="E11338" s="4">
        <v>6</v>
      </c>
      <c r="G11338">
        <f t="shared" si="177"/>
        <v>104</v>
      </c>
    </row>
    <row r="11339" spans="2:7" ht="15" hidden="1" x14ac:dyDescent="0.25">
      <c r="B11339" s="4">
        <v>584759840</v>
      </c>
      <c r="C11339" s="4" t="s">
        <v>268</v>
      </c>
      <c r="D11339" s="4">
        <v>282</v>
      </c>
      <c r="E11339" s="4">
        <v>6</v>
      </c>
      <c r="G11339">
        <f t="shared" si="177"/>
        <v>104</v>
      </c>
    </row>
    <row r="11340" spans="2:7" ht="15" hidden="1" x14ac:dyDescent="0.25">
      <c r="B11340" s="4">
        <v>584759840</v>
      </c>
      <c r="C11340" s="4" t="s">
        <v>268</v>
      </c>
      <c r="D11340" s="4">
        <v>283</v>
      </c>
      <c r="E11340" s="4">
        <v>9</v>
      </c>
      <c r="G11340">
        <f t="shared" si="177"/>
        <v>128</v>
      </c>
    </row>
    <row r="11341" spans="2:7" ht="15" hidden="1" x14ac:dyDescent="0.25">
      <c r="B11341" s="4">
        <v>584759840</v>
      </c>
      <c r="C11341" s="4" t="s">
        <v>268</v>
      </c>
      <c r="D11341" s="4">
        <v>283</v>
      </c>
      <c r="E11341" s="4">
        <v>9</v>
      </c>
      <c r="G11341">
        <f t="shared" si="177"/>
        <v>128</v>
      </c>
    </row>
    <row r="11342" spans="2:7" ht="15" hidden="1" x14ac:dyDescent="0.25">
      <c r="B11342" s="4">
        <v>584759840</v>
      </c>
      <c r="C11342" s="4" t="s">
        <v>268</v>
      </c>
      <c r="D11342" s="4">
        <v>284</v>
      </c>
      <c r="E11342" s="4">
        <v>7</v>
      </c>
      <c r="G11342">
        <f t="shared" si="177"/>
        <v>112</v>
      </c>
    </row>
    <row r="11343" spans="2:7" ht="15" hidden="1" x14ac:dyDescent="0.25">
      <c r="B11343" s="4">
        <v>584759840</v>
      </c>
      <c r="C11343" s="4" t="s">
        <v>268</v>
      </c>
      <c r="D11343" s="4">
        <v>284</v>
      </c>
      <c r="E11343" s="4">
        <v>7</v>
      </c>
      <c r="G11343">
        <f t="shared" si="177"/>
        <v>112</v>
      </c>
    </row>
    <row r="11344" spans="2:7" ht="15" hidden="1" x14ac:dyDescent="0.25">
      <c r="B11344" s="4">
        <v>584759840</v>
      </c>
      <c r="C11344" s="4" t="s">
        <v>268</v>
      </c>
      <c r="D11344" s="4">
        <v>285</v>
      </c>
      <c r="E11344" s="4">
        <v>7</v>
      </c>
      <c r="G11344">
        <f t="shared" si="177"/>
        <v>112</v>
      </c>
    </row>
    <row r="11345" spans="2:7" ht="15" hidden="1" x14ac:dyDescent="0.25">
      <c r="B11345" s="4">
        <v>584759840</v>
      </c>
      <c r="C11345" s="4" t="s">
        <v>268</v>
      </c>
      <c r="D11345" s="4">
        <v>285</v>
      </c>
      <c r="E11345" s="4">
        <v>7</v>
      </c>
      <c r="G11345">
        <f t="shared" si="177"/>
        <v>112</v>
      </c>
    </row>
    <row r="11346" spans="2:7" ht="15" hidden="1" x14ac:dyDescent="0.25">
      <c r="B11346" s="4">
        <v>584759840</v>
      </c>
      <c r="C11346" s="4" t="s">
        <v>268</v>
      </c>
      <c r="D11346" s="4">
        <v>286</v>
      </c>
      <c r="E11346" s="4">
        <v>7</v>
      </c>
      <c r="G11346">
        <f t="shared" si="177"/>
        <v>112</v>
      </c>
    </row>
    <row r="11347" spans="2:7" ht="15" hidden="1" x14ac:dyDescent="0.25">
      <c r="B11347" s="4">
        <v>584759840</v>
      </c>
      <c r="C11347" s="4" t="s">
        <v>268</v>
      </c>
      <c r="D11347" s="4">
        <v>286</v>
      </c>
      <c r="E11347" s="4">
        <v>7</v>
      </c>
      <c r="G11347">
        <f t="shared" si="177"/>
        <v>112</v>
      </c>
    </row>
    <row r="11348" spans="2:7" ht="15" hidden="1" x14ac:dyDescent="0.25">
      <c r="B11348" s="4">
        <v>584759840</v>
      </c>
      <c r="C11348" s="4" t="s">
        <v>269</v>
      </c>
      <c r="D11348" s="4">
        <v>1511</v>
      </c>
      <c r="E11348" s="4">
        <v>57</v>
      </c>
      <c r="G11348">
        <f t="shared" si="177"/>
        <v>512</v>
      </c>
    </row>
    <row r="11349" spans="2:7" ht="15" hidden="1" x14ac:dyDescent="0.25">
      <c r="B11349" s="4">
        <v>584759841</v>
      </c>
      <c r="C11349" s="4" t="s">
        <v>269</v>
      </c>
      <c r="D11349" s="4">
        <v>1512</v>
      </c>
      <c r="E11349" s="4">
        <v>57</v>
      </c>
      <c r="G11349">
        <f t="shared" si="177"/>
        <v>512</v>
      </c>
    </row>
    <row r="11350" spans="2:7" ht="15" hidden="1" x14ac:dyDescent="0.25">
      <c r="B11350" s="4">
        <v>584759842</v>
      </c>
      <c r="C11350" s="4" t="s">
        <v>268</v>
      </c>
      <c r="D11350" s="4">
        <v>287</v>
      </c>
      <c r="E11350" s="4">
        <v>7</v>
      </c>
      <c r="G11350">
        <f t="shared" si="177"/>
        <v>112</v>
      </c>
    </row>
    <row r="11351" spans="2:7" ht="15" hidden="1" x14ac:dyDescent="0.25">
      <c r="B11351" s="4">
        <v>584759842</v>
      </c>
      <c r="C11351" s="4" t="s">
        <v>268</v>
      </c>
      <c r="D11351" s="4">
        <v>287</v>
      </c>
      <c r="E11351" s="4">
        <v>7</v>
      </c>
      <c r="G11351">
        <f t="shared" si="177"/>
        <v>112</v>
      </c>
    </row>
    <row r="11352" spans="2:7" ht="15" hidden="1" x14ac:dyDescent="0.25">
      <c r="B11352" s="4">
        <v>584759842</v>
      </c>
      <c r="C11352" s="4" t="s">
        <v>268</v>
      </c>
      <c r="D11352" s="4">
        <v>288</v>
      </c>
      <c r="E11352" s="4">
        <v>5</v>
      </c>
      <c r="G11352">
        <f t="shared" si="177"/>
        <v>96</v>
      </c>
    </row>
    <row r="11353" spans="2:7" ht="15" hidden="1" x14ac:dyDescent="0.25">
      <c r="B11353" s="4">
        <v>584759842</v>
      </c>
      <c r="C11353" s="4" t="s">
        <v>268</v>
      </c>
      <c r="D11353" s="4">
        <v>288</v>
      </c>
      <c r="E11353" s="4">
        <v>5</v>
      </c>
      <c r="G11353">
        <f t="shared" si="177"/>
        <v>96</v>
      </c>
    </row>
    <row r="11354" spans="2:7" ht="15" hidden="1" x14ac:dyDescent="0.25">
      <c r="B11354" s="4">
        <v>584759842</v>
      </c>
      <c r="C11354" s="4" t="s">
        <v>268</v>
      </c>
      <c r="D11354" s="4">
        <v>289</v>
      </c>
      <c r="E11354" s="4">
        <v>7</v>
      </c>
      <c r="G11354">
        <f t="shared" si="177"/>
        <v>112</v>
      </c>
    </row>
    <row r="11355" spans="2:7" ht="15" hidden="1" x14ac:dyDescent="0.25">
      <c r="B11355" s="4">
        <v>584759842</v>
      </c>
      <c r="C11355" s="4" t="s">
        <v>268</v>
      </c>
      <c r="D11355" s="4">
        <v>289</v>
      </c>
      <c r="E11355" s="4">
        <v>7</v>
      </c>
      <c r="G11355">
        <f t="shared" si="177"/>
        <v>112</v>
      </c>
    </row>
    <row r="11356" spans="2:7" ht="15" hidden="1" x14ac:dyDescent="0.25">
      <c r="B11356" s="4">
        <v>584759842</v>
      </c>
      <c r="C11356" s="4" t="s">
        <v>269</v>
      </c>
      <c r="D11356" s="4">
        <v>1513</v>
      </c>
      <c r="E11356" s="4">
        <v>57</v>
      </c>
      <c r="G11356">
        <f t="shared" si="177"/>
        <v>512</v>
      </c>
    </row>
    <row r="11357" spans="2:7" ht="15" hidden="1" x14ac:dyDescent="0.25">
      <c r="B11357" s="4">
        <v>584759843</v>
      </c>
      <c r="C11357" s="4" t="s">
        <v>269</v>
      </c>
      <c r="D11357" s="4">
        <v>1514</v>
      </c>
      <c r="E11357" s="4">
        <v>57</v>
      </c>
      <c r="G11357">
        <f t="shared" si="177"/>
        <v>512</v>
      </c>
    </row>
    <row r="11358" spans="2:7" ht="15" hidden="1" x14ac:dyDescent="0.25">
      <c r="B11358" s="4">
        <v>584759844</v>
      </c>
      <c r="C11358" s="4" t="s">
        <v>269</v>
      </c>
      <c r="D11358" s="4">
        <v>1515</v>
      </c>
      <c r="E11358" s="4">
        <v>57</v>
      </c>
      <c r="G11358">
        <f t="shared" si="177"/>
        <v>512</v>
      </c>
    </row>
    <row r="11359" spans="2:7" ht="15" hidden="1" x14ac:dyDescent="0.25">
      <c r="B11359" s="4">
        <v>584759845</v>
      </c>
      <c r="C11359" s="4" t="s">
        <v>269</v>
      </c>
      <c r="D11359" s="4">
        <v>1516</v>
      </c>
      <c r="E11359" s="4">
        <v>57</v>
      </c>
      <c r="G11359">
        <f t="shared" si="177"/>
        <v>512</v>
      </c>
    </row>
    <row r="11360" spans="2:7" ht="15" hidden="1" x14ac:dyDescent="0.25">
      <c r="B11360" s="4">
        <v>584759846</v>
      </c>
      <c r="C11360" s="4" t="s">
        <v>269</v>
      </c>
      <c r="D11360" s="4">
        <v>1517</v>
      </c>
      <c r="E11360" s="4">
        <v>57</v>
      </c>
      <c r="G11360">
        <f t="shared" si="177"/>
        <v>512</v>
      </c>
    </row>
    <row r="11361" spans="2:7" ht="15" hidden="1" x14ac:dyDescent="0.25">
      <c r="B11361" s="4">
        <v>584759847</v>
      </c>
      <c r="C11361" s="4" t="s">
        <v>269</v>
      </c>
      <c r="D11361" s="4">
        <v>1518</v>
      </c>
      <c r="E11361" s="4">
        <v>57</v>
      </c>
      <c r="G11361">
        <f t="shared" si="177"/>
        <v>512</v>
      </c>
    </row>
    <row r="11362" spans="2:7" ht="15" hidden="1" x14ac:dyDescent="0.25">
      <c r="B11362" s="4">
        <v>584759848</v>
      </c>
      <c r="C11362" s="4" t="s">
        <v>269</v>
      </c>
      <c r="D11362" s="4">
        <v>1519</v>
      </c>
      <c r="E11362" s="4">
        <v>57</v>
      </c>
      <c r="G11362">
        <f t="shared" si="177"/>
        <v>512</v>
      </c>
    </row>
    <row r="11363" spans="2:7" ht="15" hidden="1" x14ac:dyDescent="0.25">
      <c r="B11363" s="4">
        <v>584759848</v>
      </c>
      <c r="C11363" s="4" t="s">
        <v>272</v>
      </c>
      <c r="D11363" s="4">
        <v>140</v>
      </c>
      <c r="E11363" s="4">
        <v>221</v>
      </c>
      <c r="G11363">
        <f t="shared" si="177"/>
        <v>1824</v>
      </c>
    </row>
    <row r="11364" spans="2:7" ht="15" hidden="1" x14ac:dyDescent="0.25">
      <c r="B11364" s="4">
        <v>584759849</v>
      </c>
      <c r="C11364" s="4" t="s">
        <v>269</v>
      </c>
      <c r="D11364" s="4">
        <v>1520</v>
      </c>
      <c r="E11364" s="4">
        <v>57</v>
      </c>
      <c r="G11364">
        <f t="shared" si="177"/>
        <v>512</v>
      </c>
    </row>
    <row r="11365" spans="2:7" ht="15" hidden="1" x14ac:dyDescent="0.25">
      <c r="B11365" s="4">
        <v>584759850</v>
      </c>
      <c r="C11365" s="4" t="s">
        <v>269</v>
      </c>
      <c r="D11365" s="4">
        <v>1521</v>
      </c>
      <c r="E11365" s="4">
        <v>57</v>
      </c>
      <c r="G11365">
        <f t="shared" si="177"/>
        <v>512</v>
      </c>
    </row>
    <row r="11366" spans="2:7" ht="15" hidden="1" x14ac:dyDescent="0.25">
      <c r="B11366" s="4">
        <v>584759851</v>
      </c>
      <c r="C11366" s="4" t="s">
        <v>269</v>
      </c>
      <c r="D11366" s="4">
        <v>1522</v>
      </c>
      <c r="E11366" s="4">
        <v>57</v>
      </c>
      <c r="G11366">
        <f t="shared" si="177"/>
        <v>512</v>
      </c>
    </row>
    <row r="11367" spans="2:7" ht="15" hidden="1" x14ac:dyDescent="0.25">
      <c r="B11367" s="4">
        <v>584759852</v>
      </c>
      <c r="C11367" s="4" t="s">
        <v>269</v>
      </c>
      <c r="D11367" s="4">
        <v>1523</v>
      </c>
      <c r="E11367" s="4">
        <v>57</v>
      </c>
      <c r="G11367">
        <f t="shared" si="177"/>
        <v>512</v>
      </c>
    </row>
    <row r="11368" spans="2:7" ht="15" hidden="1" x14ac:dyDescent="0.25">
      <c r="B11368" s="4">
        <v>584759853</v>
      </c>
      <c r="C11368" s="4" t="s">
        <v>269</v>
      </c>
      <c r="D11368" s="4">
        <v>1524</v>
      </c>
      <c r="E11368" s="4">
        <v>57</v>
      </c>
      <c r="G11368">
        <f t="shared" si="177"/>
        <v>512</v>
      </c>
    </row>
    <row r="11369" spans="2:7" ht="15" hidden="1" x14ac:dyDescent="0.25">
      <c r="B11369" s="4">
        <v>584759854</v>
      </c>
      <c r="C11369" s="4" t="s">
        <v>269</v>
      </c>
      <c r="D11369" s="4">
        <v>1525</v>
      </c>
      <c r="E11369" s="4">
        <v>57</v>
      </c>
      <c r="G11369">
        <f t="shared" si="177"/>
        <v>512</v>
      </c>
    </row>
    <row r="11370" spans="2:7" ht="15" hidden="1" x14ac:dyDescent="0.25">
      <c r="B11370" s="4">
        <v>584759855</v>
      </c>
      <c r="C11370" s="4" t="s">
        <v>269</v>
      </c>
      <c r="D11370" s="4">
        <v>1526</v>
      </c>
      <c r="E11370" s="4">
        <v>57</v>
      </c>
      <c r="G11370">
        <f t="shared" si="177"/>
        <v>512</v>
      </c>
    </row>
    <row r="11371" spans="2:7" ht="15" hidden="1" x14ac:dyDescent="0.25">
      <c r="B11371" s="4">
        <v>584759856</v>
      </c>
      <c r="C11371" s="4" t="s">
        <v>269</v>
      </c>
      <c r="D11371" s="4">
        <v>1527</v>
      </c>
      <c r="E11371" s="4">
        <v>57</v>
      </c>
      <c r="G11371">
        <f t="shared" si="177"/>
        <v>512</v>
      </c>
    </row>
    <row r="11372" spans="2:7" ht="15" hidden="1" x14ac:dyDescent="0.25">
      <c r="B11372" s="4">
        <v>584759857</v>
      </c>
      <c r="C11372" s="4" t="s">
        <v>269</v>
      </c>
      <c r="D11372" s="4">
        <v>1528</v>
      </c>
      <c r="E11372" s="4">
        <v>57</v>
      </c>
      <c r="G11372">
        <f t="shared" si="177"/>
        <v>512</v>
      </c>
    </row>
    <row r="11373" spans="2:7" ht="15" hidden="1" x14ac:dyDescent="0.25">
      <c r="B11373" s="4">
        <v>584759858</v>
      </c>
      <c r="C11373" s="4" t="s">
        <v>269</v>
      </c>
      <c r="D11373" s="4">
        <v>1529</v>
      </c>
      <c r="E11373" s="4">
        <v>57</v>
      </c>
      <c r="G11373">
        <f t="shared" si="177"/>
        <v>512</v>
      </c>
    </row>
    <row r="11374" spans="2:7" ht="15" hidden="1" x14ac:dyDescent="0.25">
      <c r="B11374" s="4">
        <v>584759858</v>
      </c>
      <c r="C11374" s="4" t="s">
        <v>272</v>
      </c>
      <c r="D11374" s="4">
        <v>141</v>
      </c>
      <c r="E11374" s="4">
        <v>219</v>
      </c>
      <c r="G11374">
        <f t="shared" si="177"/>
        <v>1808</v>
      </c>
    </row>
    <row r="11375" spans="2:7" ht="15" hidden="1" x14ac:dyDescent="0.25">
      <c r="B11375" s="4">
        <v>584759859</v>
      </c>
      <c r="C11375" s="4" t="s">
        <v>269</v>
      </c>
      <c r="D11375" s="4">
        <v>1530</v>
      </c>
      <c r="E11375" s="4">
        <v>57</v>
      </c>
      <c r="G11375">
        <f t="shared" si="177"/>
        <v>512</v>
      </c>
    </row>
    <row r="11376" spans="2:7" ht="15" hidden="1" x14ac:dyDescent="0.25">
      <c r="B11376" s="4">
        <v>584759860</v>
      </c>
      <c r="C11376" s="4" t="s">
        <v>269</v>
      </c>
      <c r="D11376" s="4">
        <v>1531</v>
      </c>
      <c r="E11376" s="4">
        <v>57</v>
      </c>
      <c r="G11376">
        <f t="shared" si="177"/>
        <v>512</v>
      </c>
    </row>
    <row r="11377" spans="2:7" ht="15" hidden="1" x14ac:dyDescent="0.25">
      <c r="B11377" s="4">
        <v>584759861</v>
      </c>
      <c r="C11377" s="4" t="s">
        <v>269</v>
      </c>
      <c r="D11377" s="4">
        <v>1532</v>
      </c>
      <c r="E11377" s="4">
        <v>57</v>
      </c>
      <c r="G11377">
        <f t="shared" si="177"/>
        <v>512</v>
      </c>
    </row>
    <row r="11378" spans="2:7" ht="15" hidden="1" x14ac:dyDescent="0.25">
      <c r="B11378" s="4">
        <v>584759862</v>
      </c>
      <c r="C11378" s="4" t="s">
        <v>269</v>
      </c>
      <c r="D11378" s="4">
        <v>1533</v>
      </c>
      <c r="E11378" s="4">
        <v>57</v>
      </c>
      <c r="G11378">
        <f t="shared" si="177"/>
        <v>512</v>
      </c>
    </row>
    <row r="11379" spans="2:7" ht="15" hidden="1" x14ac:dyDescent="0.25">
      <c r="B11379" s="4">
        <v>584759863</v>
      </c>
      <c r="C11379" s="4" t="s">
        <v>269</v>
      </c>
      <c r="D11379" s="4">
        <v>1534</v>
      </c>
      <c r="E11379" s="4">
        <v>57</v>
      </c>
      <c r="G11379">
        <f t="shared" si="177"/>
        <v>512</v>
      </c>
    </row>
    <row r="11380" spans="2:7" ht="15" hidden="1" x14ac:dyDescent="0.25">
      <c r="B11380" s="4">
        <v>584759864</v>
      </c>
      <c r="C11380" s="4" t="s">
        <v>269</v>
      </c>
      <c r="D11380" s="4">
        <v>1535</v>
      </c>
      <c r="E11380" s="4">
        <v>57</v>
      </c>
      <c r="G11380">
        <f t="shared" si="177"/>
        <v>512</v>
      </c>
    </row>
    <row r="11381" spans="2:7" ht="15" hidden="1" x14ac:dyDescent="0.25">
      <c r="B11381" s="4">
        <v>584759865</v>
      </c>
      <c r="C11381" s="4" t="s">
        <v>269</v>
      </c>
      <c r="D11381" s="4">
        <v>1536</v>
      </c>
      <c r="E11381" s="4">
        <v>57</v>
      </c>
      <c r="G11381">
        <f t="shared" si="177"/>
        <v>512</v>
      </c>
    </row>
    <row r="11382" spans="2:7" ht="15" hidden="1" x14ac:dyDescent="0.25">
      <c r="B11382" s="4">
        <v>584759866</v>
      </c>
      <c r="C11382" s="4" t="s">
        <v>269</v>
      </c>
      <c r="D11382" s="4">
        <v>1537</v>
      </c>
      <c r="E11382" s="4">
        <v>57</v>
      </c>
      <c r="G11382">
        <f t="shared" si="177"/>
        <v>512</v>
      </c>
    </row>
    <row r="11383" spans="2:7" ht="15" hidden="1" x14ac:dyDescent="0.25">
      <c r="B11383" s="4">
        <v>584759867</v>
      </c>
      <c r="C11383" s="4" t="s">
        <v>269</v>
      </c>
      <c r="D11383" s="4">
        <v>1538</v>
      </c>
      <c r="E11383" s="4">
        <v>57</v>
      </c>
      <c r="G11383">
        <f t="shared" si="177"/>
        <v>512</v>
      </c>
    </row>
    <row r="11384" spans="2:7" ht="15" hidden="1" x14ac:dyDescent="0.25">
      <c r="B11384" s="4">
        <v>584759868</v>
      </c>
      <c r="C11384" s="4" t="s">
        <v>269</v>
      </c>
      <c r="D11384" s="4">
        <v>1539</v>
      </c>
      <c r="E11384" s="4">
        <v>57</v>
      </c>
      <c r="G11384">
        <f t="shared" si="177"/>
        <v>512</v>
      </c>
    </row>
    <row r="11385" spans="2:7" ht="15" hidden="1" x14ac:dyDescent="0.25">
      <c r="B11385" s="4">
        <v>584759868</v>
      </c>
      <c r="C11385" s="4" t="s">
        <v>272</v>
      </c>
      <c r="D11385" s="4">
        <v>142</v>
      </c>
      <c r="E11385" s="4">
        <v>221</v>
      </c>
      <c r="G11385">
        <f t="shared" si="177"/>
        <v>1824</v>
      </c>
    </row>
    <row r="11386" spans="2:7" ht="15" hidden="1" x14ac:dyDescent="0.25">
      <c r="B11386" s="4">
        <v>584759869</v>
      </c>
      <c r="C11386" s="4" t="s">
        <v>269</v>
      </c>
      <c r="D11386" s="4">
        <v>1540</v>
      </c>
      <c r="E11386" s="4">
        <v>57</v>
      </c>
      <c r="G11386">
        <f t="shared" si="177"/>
        <v>512</v>
      </c>
    </row>
    <row r="11387" spans="2:7" ht="15" hidden="1" x14ac:dyDescent="0.25">
      <c r="B11387" s="4">
        <v>584759870</v>
      </c>
      <c r="C11387" s="4" t="s">
        <v>269</v>
      </c>
      <c r="D11387" s="4">
        <v>1541</v>
      </c>
      <c r="E11387" s="4">
        <v>57</v>
      </c>
      <c r="G11387">
        <f t="shared" si="177"/>
        <v>512</v>
      </c>
    </row>
    <row r="11388" spans="2:7" ht="15" hidden="1" x14ac:dyDescent="0.25">
      <c r="B11388" s="4">
        <v>584759871</v>
      </c>
      <c r="C11388" s="4" t="s">
        <v>269</v>
      </c>
      <c r="D11388" s="4">
        <v>1542</v>
      </c>
      <c r="E11388" s="4">
        <v>57</v>
      </c>
      <c r="G11388">
        <f t="shared" si="177"/>
        <v>512</v>
      </c>
    </row>
    <row r="11389" spans="2:7" ht="15" hidden="1" x14ac:dyDescent="0.25">
      <c r="B11389" s="4">
        <v>584759872</v>
      </c>
      <c r="C11389" s="4" t="s">
        <v>269</v>
      </c>
      <c r="D11389" s="4">
        <v>1543</v>
      </c>
      <c r="E11389" s="4">
        <v>57</v>
      </c>
      <c r="G11389">
        <f t="shared" si="177"/>
        <v>512</v>
      </c>
    </row>
    <row r="11390" spans="2:7" ht="15" hidden="1" x14ac:dyDescent="0.25">
      <c r="B11390" s="4">
        <v>584759873</v>
      </c>
      <c r="C11390" s="4" t="s">
        <v>269</v>
      </c>
      <c r="D11390" s="4">
        <v>1544</v>
      </c>
      <c r="E11390" s="4">
        <v>57</v>
      </c>
      <c r="G11390">
        <f t="shared" si="177"/>
        <v>512</v>
      </c>
    </row>
    <row r="11391" spans="2:7" ht="15" hidden="1" x14ac:dyDescent="0.25">
      <c r="B11391" s="4">
        <v>584759874</v>
      </c>
      <c r="C11391" s="4" t="s">
        <v>269</v>
      </c>
      <c r="D11391" s="4">
        <v>1545</v>
      </c>
      <c r="E11391" s="4">
        <v>57</v>
      </c>
      <c r="G11391">
        <f t="shared" si="177"/>
        <v>512</v>
      </c>
    </row>
    <row r="11392" spans="2:7" ht="15" hidden="1" x14ac:dyDescent="0.25">
      <c r="B11392" s="4">
        <v>584759875</v>
      </c>
      <c r="C11392" s="4" t="s">
        <v>269</v>
      </c>
      <c r="D11392" s="4">
        <v>1546</v>
      </c>
      <c r="E11392" s="4">
        <v>57</v>
      </c>
      <c r="G11392">
        <f t="shared" si="177"/>
        <v>512</v>
      </c>
    </row>
    <row r="11393" spans="2:7" ht="15" hidden="1" x14ac:dyDescent="0.25">
      <c r="B11393" s="4">
        <v>584759876</v>
      </c>
      <c r="C11393" s="4" t="s">
        <v>269</v>
      </c>
      <c r="D11393" s="4">
        <v>1547</v>
      </c>
      <c r="E11393" s="4">
        <v>57</v>
      </c>
      <c r="G11393">
        <f t="shared" si="177"/>
        <v>512</v>
      </c>
    </row>
    <row r="11394" spans="2:7" ht="15" hidden="1" x14ac:dyDescent="0.25">
      <c r="B11394" s="4">
        <v>584759877</v>
      </c>
      <c r="C11394" s="4" t="s">
        <v>269</v>
      </c>
      <c r="D11394" s="4">
        <v>1548</v>
      </c>
      <c r="E11394" s="4">
        <v>57</v>
      </c>
      <c r="G11394">
        <f t="shared" si="177"/>
        <v>512</v>
      </c>
    </row>
    <row r="11395" spans="2:7" ht="15" hidden="1" x14ac:dyDescent="0.25">
      <c r="B11395" s="4">
        <v>584759878</v>
      </c>
      <c r="C11395" s="4" t="s">
        <v>269</v>
      </c>
      <c r="D11395" s="4">
        <v>1549</v>
      </c>
      <c r="E11395" s="4">
        <v>57</v>
      </c>
      <c r="G11395">
        <f t="shared" si="177"/>
        <v>512</v>
      </c>
    </row>
    <row r="11396" spans="2:7" ht="15" hidden="1" x14ac:dyDescent="0.25">
      <c r="B11396" s="4">
        <v>584759878</v>
      </c>
      <c r="C11396" s="4" t="s">
        <v>272</v>
      </c>
      <c r="D11396" s="4">
        <v>143</v>
      </c>
      <c r="E11396" s="4">
        <v>227</v>
      </c>
      <c r="G11396">
        <f t="shared" ref="G11396:G11459" si="178">(E11396+7)*8</f>
        <v>1872</v>
      </c>
    </row>
    <row r="11397" spans="2:7" ht="15" hidden="1" x14ac:dyDescent="0.25">
      <c r="B11397" s="4">
        <v>584759879</v>
      </c>
      <c r="C11397" s="4" t="s">
        <v>269</v>
      </c>
      <c r="D11397" s="4">
        <v>1550</v>
      </c>
      <c r="E11397" s="4">
        <v>57</v>
      </c>
      <c r="G11397">
        <f t="shared" si="178"/>
        <v>512</v>
      </c>
    </row>
    <row r="11398" spans="2:7" ht="15" hidden="1" x14ac:dyDescent="0.25">
      <c r="B11398" s="4">
        <v>584759880</v>
      </c>
      <c r="C11398" s="4" t="s">
        <v>269</v>
      </c>
      <c r="D11398" s="4">
        <v>1551</v>
      </c>
      <c r="E11398" s="4">
        <v>57</v>
      </c>
      <c r="G11398">
        <f t="shared" si="178"/>
        <v>512</v>
      </c>
    </row>
    <row r="11399" spans="2:7" ht="15" hidden="1" x14ac:dyDescent="0.25">
      <c r="B11399" s="4">
        <v>584759881</v>
      </c>
      <c r="C11399" s="4" t="s">
        <v>269</v>
      </c>
      <c r="D11399" s="4">
        <v>1552</v>
      </c>
      <c r="E11399" s="4">
        <v>57</v>
      </c>
      <c r="G11399">
        <f t="shared" si="178"/>
        <v>512</v>
      </c>
    </row>
    <row r="11400" spans="2:7" ht="15" hidden="1" x14ac:dyDescent="0.25">
      <c r="B11400" s="4">
        <v>584759882</v>
      </c>
      <c r="C11400" s="4" t="s">
        <v>269</v>
      </c>
      <c r="D11400" s="4">
        <v>1553</v>
      </c>
      <c r="E11400" s="4">
        <v>57</v>
      </c>
      <c r="G11400">
        <f t="shared" si="178"/>
        <v>512</v>
      </c>
    </row>
    <row r="11401" spans="2:7" ht="15" hidden="1" x14ac:dyDescent="0.25">
      <c r="B11401" s="4">
        <v>584759883</v>
      </c>
      <c r="C11401" s="4" t="s">
        <v>269</v>
      </c>
      <c r="D11401" s="4">
        <v>1554</v>
      </c>
      <c r="E11401" s="4">
        <v>57</v>
      </c>
      <c r="G11401">
        <f t="shared" si="178"/>
        <v>512</v>
      </c>
    </row>
    <row r="11402" spans="2:7" ht="15" hidden="1" x14ac:dyDescent="0.25">
      <c r="B11402" s="4">
        <v>584759884</v>
      </c>
      <c r="C11402" s="4" t="s">
        <v>269</v>
      </c>
      <c r="D11402" s="4">
        <v>1555</v>
      </c>
      <c r="E11402" s="4">
        <v>57</v>
      </c>
      <c r="G11402">
        <f t="shared" si="178"/>
        <v>512</v>
      </c>
    </row>
    <row r="11403" spans="2:7" ht="15" hidden="1" x14ac:dyDescent="0.25">
      <c r="B11403" s="4">
        <v>584759885</v>
      </c>
      <c r="C11403" s="4" t="s">
        <v>269</v>
      </c>
      <c r="D11403" s="4">
        <v>1556</v>
      </c>
      <c r="E11403" s="4">
        <v>57</v>
      </c>
      <c r="G11403">
        <f t="shared" si="178"/>
        <v>512</v>
      </c>
    </row>
    <row r="11404" spans="2:7" ht="15" hidden="1" x14ac:dyDescent="0.25">
      <c r="B11404" s="4">
        <v>584759886</v>
      </c>
      <c r="C11404" s="4" t="s">
        <v>269</v>
      </c>
      <c r="D11404" s="4">
        <v>1557</v>
      </c>
      <c r="E11404" s="4">
        <v>57</v>
      </c>
      <c r="G11404">
        <f t="shared" si="178"/>
        <v>512</v>
      </c>
    </row>
    <row r="11405" spans="2:7" ht="15" hidden="1" x14ac:dyDescent="0.25">
      <c r="B11405" s="4">
        <v>584759887</v>
      </c>
      <c r="C11405" s="4" t="s">
        <v>269</v>
      </c>
      <c r="D11405" s="4">
        <v>1558</v>
      </c>
      <c r="E11405" s="4">
        <v>57</v>
      </c>
      <c r="G11405">
        <f t="shared" si="178"/>
        <v>512</v>
      </c>
    </row>
    <row r="11406" spans="2:7" ht="15" hidden="1" x14ac:dyDescent="0.25">
      <c r="B11406" s="4">
        <v>584759888</v>
      </c>
      <c r="C11406" s="4" t="s">
        <v>269</v>
      </c>
      <c r="D11406" s="4">
        <v>1559</v>
      </c>
      <c r="E11406" s="4">
        <v>57</v>
      </c>
      <c r="G11406">
        <f t="shared" si="178"/>
        <v>512</v>
      </c>
    </row>
    <row r="11407" spans="2:7" ht="15" hidden="1" x14ac:dyDescent="0.25">
      <c r="B11407" s="4">
        <v>584759888</v>
      </c>
      <c r="C11407" s="4" t="s">
        <v>272</v>
      </c>
      <c r="D11407" s="4">
        <v>144</v>
      </c>
      <c r="E11407" s="4">
        <v>221</v>
      </c>
      <c r="G11407">
        <f t="shared" si="178"/>
        <v>1824</v>
      </c>
    </row>
    <row r="11408" spans="2:7" ht="15" hidden="1" x14ac:dyDescent="0.25">
      <c r="B11408" s="4">
        <v>584759889</v>
      </c>
      <c r="C11408" s="4" t="s">
        <v>269</v>
      </c>
      <c r="D11408" s="4">
        <v>1560</v>
      </c>
      <c r="E11408" s="4">
        <v>57</v>
      </c>
      <c r="G11408">
        <f t="shared" si="178"/>
        <v>512</v>
      </c>
    </row>
    <row r="11409" spans="2:7" ht="15" hidden="1" x14ac:dyDescent="0.25">
      <c r="B11409" s="4">
        <v>584759890</v>
      </c>
      <c r="C11409" s="4" t="s">
        <v>269</v>
      </c>
      <c r="D11409" s="4">
        <v>1561</v>
      </c>
      <c r="E11409" s="4">
        <v>57</v>
      </c>
      <c r="G11409">
        <f t="shared" si="178"/>
        <v>512</v>
      </c>
    </row>
    <row r="11410" spans="2:7" ht="15" hidden="1" x14ac:dyDescent="0.25">
      <c r="B11410" s="4">
        <v>584759891</v>
      </c>
      <c r="C11410" s="4" t="s">
        <v>269</v>
      </c>
      <c r="D11410" s="4">
        <v>1562</v>
      </c>
      <c r="E11410" s="4">
        <v>57</v>
      </c>
      <c r="G11410">
        <f t="shared" si="178"/>
        <v>512</v>
      </c>
    </row>
    <row r="11411" spans="2:7" ht="15" hidden="1" x14ac:dyDescent="0.25">
      <c r="B11411" s="4">
        <v>584759892</v>
      </c>
      <c r="C11411" s="4" t="s">
        <v>269</v>
      </c>
      <c r="D11411" s="4">
        <v>1563</v>
      </c>
      <c r="E11411" s="4">
        <v>57</v>
      </c>
      <c r="G11411">
        <f t="shared" si="178"/>
        <v>512</v>
      </c>
    </row>
    <row r="11412" spans="2:7" ht="15" hidden="1" x14ac:dyDescent="0.25">
      <c r="B11412" s="4">
        <v>584759893</v>
      </c>
      <c r="C11412" s="4" t="s">
        <v>269</v>
      </c>
      <c r="D11412" s="4">
        <v>1564</v>
      </c>
      <c r="E11412" s="4">
        <v>57</v>
      </c>
      <c r="G11412">
        <f t="shared" si="178"/>
        <v>512</v>
      </c>
    </row>
    <row r="11413" spans="2:7" ht="15" hidden="1" x14ac:dyDescent="0.25">
      <c r="B11413" s="4">
        <v>584759894</v>
      </c>
      <c r="C11413" s="4" t="s">
        <v>269</v>
      </c>
      <c r="D11413" s="4">
        <v>1565</v>
      </c>
      <c r="E11413" s="4">
        <v>57</v>
      </c>
      <c r="G11413">
        <f t="shared" si="178"/>
        <v>512</v>
      </c>
    </row>
    <row r="11414" spans="2:7" ht="15" hidden="1" x14ac:dyDescent="0.25">
      <c r="B11414" s="4">
        <v>584759895</v>
      </c>
      <c r="C11414" s="4" t="s">
        <v>269</v>
      </c>
      <c r="D11414" s="4">
        <v>1566</v>
      </c>
      <c r="E11414" s="4">
        <v>57</v>
      </c>
      <c r="G11414">
        <f t="shared" si="178"/>
        <v>512</v>
      </c>
    </row>
    <row r="11415" spans="2:7" ht="15" hidden="1" x14ac:dyDescent="0.25">
      <c r="B11415" s="4">
        <v>584759896</v>
      </c>
      <c r="C11415" s="4" t="s">
        <v>269</v>
      </c>
      <c r="D11415" s="4">
        <v>1567</v>
      </c>
      <c r="E11415" s="4">
        <v>57</v>
      </c>
      <c r="G11415">
        <f t="shared" si="178"/>
        <v>512</v>
      </c>
    </row>
    <row r="11416" spans="2:7" ht="15" hidden="1" x14ac:dyDescent="0.25">
      <c r="B11416" s="4">
        <v>584759897</v>
      </c>
      <c r="C11416" s="4" t="s">
        <v>269</v>
      </c>
      <c r="D11416" s="4">
        <v>1568</v>
      </c>
      <c r="E11416" s="4">
        <v>57</v>
      </c>
      <c r="G11416">
        <f t="shared" si="178"/>
        <v>512</v>
      </c>
    </row>
    <row r="11417" spans="2:7" ht="15" hidden="1" x14ac:dyDescent="0.25">
      <c r="B11417" s="4">
        <v>584759898</v>
      </c>
      <c r="C11417" s="4" t="s">
        <v>269</v>
      </c>
      <c r="D11417" s="4">
        <v>1569</v>
      </c>
      <c r="E11417" s="4">
        <v>57</v>
      </c>
      <c r="G11417">
        <f t="shared" si="178"/>
        <v>512</v>
      </c>
    </row>
    <row r="11418" spans="2:7" ht="15" hidden="1" x14ac:dyDescent="0.25">
      <c r="B11418" s="4">
        <v>584759898</v>
      </c>
      <c r="C11418" s="4" t="s">
        <v>272</v>
      </c>
      <c r="D11418" s="4">
        <v>145</v>
      </c>
      <c r="E11418" s="4">
        <v>225</v>
      </c>
      <c r="G11418">
        <f t="shared" si="178"/>
        <v>1856</v>
      </c>
    </row>
    <row r="11419" spans="2:7" ht="15" hidden="1" x14ac:dyDescent="0.25">
      <c r="B11419" s="4">
        <v>584759899</v>
      </c>
      <c r="C11419" s="4" t="s">
        <v>269</v>
      </c>
      <c r="D11419" s="4">
        <v>1570</v>
      </c>
      <c r="E11419" s="4">
        <v>57</v>
      </c>
      <c r="G11419">
        <f t="shared" si="178"/>
        <v>512</v>
      </c>
    </row>
    <row r="11420" spans="2:7" ht="15" hidden="1" x14ac:dyDescent="0.25">
      <c r="B11420" s="4">
        <v>584759900</v>
      </c>
      <c r="C11420" s="4" t="s">
        <v>269</v>
      </c>
      <c r="D11420" s="4">
        <v>1571</v>
      </c>
      <c r="E11420" s="4">
        <v>57</v>
      </c>
      <c r="G11420">
        <f t="shared" si="178"/>
        <v>512</v>
      </c>
    </row>
    <row r="11421" spans="2:7" ht="15" hidden="1" x14ac:dyDescent="0.25">
      <c r="B11421" s="4">
        <v>584759901</v>
      </c>
      <c r="C11421" s="4" t="s">
        <v>269</v>
      </c>
      <c r="D11421" s="4">
        <v>1572</v>
      </c>
      <c r="E11421" s="4">
        <v>57</v>
      </c>
      <c r="G11421">
        <f t="shared" si="178"/>
        <v>512</v>
      </c>
    </row>
    <row r="11422" spans="2:7" ht="15" hidden="1" x14ac:dyDescent="0.25">
      <c r="B11422" s="4">
        <v>584759902</v>
      </c>
      <c r="C11422" s="4" t="s">
        <v>269</v>
      </c>
      <c r="D11422" s="4">
        <v>1573</v>
      </c>
      <c r="E11422" s="4">
        <v>57</v>
      </c>
      <c r="G11422">
        <f t="shared" si="178"/>
        <v>512</v>
      </c>
    </row>
    <row r="11423" spans="2:7" ht="15" hidden="1" x14ac:dyDescent="0.25">
      <c r="B11423" s="4">
        <v>584759903</v>
      </c>
      <c r="C11423" s="4" t="s">
        <v>269</v>
      </c>
      <c r="D11423" s="4">
        <v>1574</v>
      </c>
      <c r="E11423" s="4">
        <v>57</v>
      </c>
      <c r="G11423">
        <f t="shared" si="178"/>
        <v>512</v>
      </c>
    </row>
    <row r="11424" spans="2:7" ht="15" hidden="1" x14ac:dyDescent="0.25">
      <c r="B11424" s="4">
        <v>584759904</v>
      </c>
      <c r="C11424" s="4" t="s">
        <v>269</v>
      </c>
      <c r="D11424" s="4">
        <v>1575</v>
      </c>
      <c r="E11424" s="4">
        <v>57</v>
      </c>
      <c r="G11424">
        <f t="shared" si="178"/>
        <v>512</v>
      </c>
    </row>
    <row r="11425" spans="2:7" ht="15" hidden="1" x14ac:dyDescent="0.25">
      <c r="B11425" s="4">
        <v>584759905</v>
      </c>
      <c r="C11425" s="4" t="s">
        <v>269</v>
      </c>
      <c r="D11425" s="4">
        <v>1576</v>
      </c>
      <c r="E11425" s="4">
        <v>57</v>
      </c>
      <c r="G11425">
        <f t="shared" si="178"/>
        <v>512</v>
      </c>
    </row>
    <row r="11426" spans="2:7" ht="15" hidden="1" x14ac:dyDescent="0.25">
      <c r="B11426" s="4">
        <v>584759906</v>
      </c>
      <c r="C11426" s="4" t="s">
        <v>269</v>
      </c>
      <c r="D11426" s="4">
        <v>1577</v>
      </c>
      <c r="E11426" s="4">
        <v>57</v>
      </c>
      <c r="G11426">
        <f t="shared" si="178"/>
        <v>512</v>
      </c>
    </row>
    <row r="11427" spans="2:7" ht="15" hidden="1" x14ac:dyDescent="0.25">
      <c r="B11427" s="4">
        <v>584759907</v>
      </c>
      <c r="C11427" s="4" t="s">
        <v>269</v>
      </c>
      <c r="D11427" s="4">
        <v>1578</v>
      </c>
      <c r="E11427" s="4">
        <v>57</v>
      </c>
      <c r="G11427">
        <f t="shared" si="178"/>
        <v>512</v>
      </c>
    </row>
    <row r="11428" spans="2:7" ht="15" hidden="1" x14ac:dyDescent="0.25">
      <c r="B11428" s="4">
        <v>584759908</v>
      </c>
      <c r="C11428" s="4" t="s">
        <v>269</v>
      </c>
      <c r="D11428" s="4">
        <v>1579</v>
      </c>
      <c r="E11428" s="4">
        <v>57</v>
      </c>
      <c r="G11428">
        <f t="shared" si="178"/>
        <v>512</v>
      </c>
    </row>
    <row r="11429" spans="2:7" ht="15" hidden="1" x14ac:dyDescent="0.25">
      <c r="B11429" s="4">
        <v>584759908</v>
      </c>
      <c r="C11429" s="4" t="s">
        <v>272</v>
      </c>
      <c r="D11429" s="4">
        <v>146</v>
      </c>
      <c r="E11429" s="4">
        <v>233</v>
      </c>
      <c r="G11429">
        <f t="shared" si="178"/>
        <v>1920</v>
      </c>
    </row>
    <row r="11430" spans="2:7" ht="15" hidden="1" x14ac:dyDescent="0.25">
      <c r="B11430" s="4">
        <v>584759909</v>
      </c>
      <c r="C11430" s="4" t="s">
        <v>269</v>
      </c>
      <c r="D11430" s="4">
        <v>1580</v>
      </c>
      <c r="E11430" s="4">
        <v>57</v>
      </c>
      <c r="G11430">
        <f t="shared" si="178"/>
        <v>512</v>
      </c>
    </row>
    <row r="11431" spans="2:7" ht="15" hidden="1" x14ac:dyDescent="0.25">
      <c r="B11431" s="4">
        <v>584759910</v>
      </c>
      <c r="C11431" s="4" t="s">
        <v>269</v>
      </c>
      <c r="D11431" s="4">
        <v>1581</v>
      </c>
      <c r="E11431" s="4">
        <v>57</v>
      </c>
      <c r="G11431">
        <f t="shared" si="178"/>
        <v>512</v>
      </c>
    </row>
    <row r="11432" spans="2:7" ht="15" hidden="1" x14ac:dyDescent="0.25">
      <c r="B11432" s="4">
        <v>584759911</v>
      </c>
      <c r="C11432" s="4" t="s">
        <v>269</v>
      </c>
      <c r="D11432" s="4">
        <v>1582</v>
      </c>
      <c r="E11432" s="4">
        <v>57</v>
      </c>
      <c r="G11432">
        <f t="shared" si="178"/>
        <v>512</v>
      </c>
    </row>
    <row r="11433" spans="2:7" ht="15" hidden="1" x14ac:dyDescent="0.25">
      <c r="B11433" s="4">
        <v>584759912</v>
      </c>
      <c r="C11433" s="4" t="s">
        <v>269</v>
      </c>
      <c r="D11433" s="4">
        <v>1583</v>
      </c>
      <c r="E11433" s="4">
        <v>57</v>
      </c>
      <c r="G11433">
        <f t="shared" si="178"/>
        <v>512</v>
      </c>
    </row>
    <row r="11434" spans="2:7" ht="15" hidden="1" x14ac:dyDescent="0.25">
      <c r="B11434" s="4">
        <v>584759913</v>
      </c>
      <c r="C11434" s="4" t="s">
        <v>269</v>
      </c>
      <c r="D11434" s="4">
        <v>1584</v>
      </c>
      <c r="E11434" s="4">
        <v>57</v>
      </c>
      <c r="G11434">
        <f t="shared" si="178"/>
        <v>512</v>
      </c>
    </row>
    <row r="11435" spans="2:7" ht="15" hidden="1" x14ac:dyDescent="0.25">
      <c r="B11435" s="4">
        <v>584759914</v>
      </c>
      <c r="C11435" s="4" t="s">
        <v>269</v>
      </c>
      <c r="D11435" s="4">
        <v>1585</v>
      </c>
      <c r="E11435" s="4">
        <v>57</v>
      </c>
      <c r="G11435">
        <f t="shared" si="178"/>
        <v>512</v>
      </c>
    </row>
    <row r="11436" spans="2:7" ht="15" hidden="1" x14ac:dyDescent="0.25">
      <c r="B11436" s="4">
        <v>584759915</v>
      </c>
      <c r="C11436" s="4" t="s">
        <v>269</v>
      </c>
      <c r="D11436" s="4">
        <v>1586</v>
      </c>
      <c r="E11436" s="4">
        <v>57</v>
      </c>
      <c r="G11436">
        <f t="shared" si="178"/>
        <v>512</v>
      </c>
    </row>
    <row r="11437" spans="2:7" ht="15" hidden="1" x14ac:dyDescent="0.25">
      <c r="B11437" s="4">
        <v>584759916</v>
      </c>
      <c r="C11437" s="4" t="s">
        <v>269</v>
      </c>
      <c r="D11437" s="4">
        <v>1587</v>
      </c>
      <c r="E11437" s="4">
        <v>57</v>
      </c>
      <c r="G11437">
        <f t="shared" si="178"/>
        <v>512</v>
      </c>
    </row>
    <row r="11438" spans="2:7" ht="15" hidden="1" x14ac:dyDescent="0.25">
      <c r="B11438" s="4">
        <v>584759917</v>
      </c>
      <c r="C11438" s="4" t="s">
        <v>269</v>
      </c>
      <c r="D11438" s="4">
        <v>1588</v>
      </c>
      <c r="E11438" s="4">
        <v>57</v>
      </c>
      <c r="G11438">
        <f t="shared" si="178"/>
        <v>512</v>
      </c>
    </row>
    <row r="11439" spans="2:7" ht="15" hidden="1" x14ac:dyDescent="0.25">
      <c r="B11439" s="4">
        <v>584759918</v>
      </c>
      <c r="C11439" s="4" t="s">
        <v>269</v>
      </c>
      <c r="D11439" s="4">
        <v>1589</v>
      </c>
      <c r="E11439" s="4">
        <v>57</v>
      </c>
      <c r="G11439">
        <f t="shared" si="178"/>
        <v>512</v>
      </c>
    </row>
    <row r="11440" spans="2:7" ht="15" hidden="1" x14ac:dyDescent="0.25">
      <c r="B11440" s="4">
        <v>584759918</v>
      </c>
      <c r="C11440" s="4" t="s">
        <v>272</v>
      </c>
      <c r="D11440" s="4">
        <v>147</v>
      </c>
      <c r="E11440" s="4">
        <v>221</v>
      </c>
      <c r="G11440">
        <f t="shared" si="178"/>
        <v>1824</v>
      </c>
    </row>
    <row r="11441" spans="2:7" ht="15" hidden="1" x14ac:dyDescent="0.25">
      <c r="B11441" s="4">
        <v>584759919</v>
      </c>
      <c r="C11441" s="4" t="s">
        <v>269</v>
      </c>
      <c r="D11441" s="4">
        <v>1590</v>
      </c>
      <c r="E11441" s="4">
        <v>57</v>
      </c>
      <c r="G11441">
        <f t="shared" si="178"/>
        <v>512</v>
      </c>
    </row>
    <row r="11442" spans="2:7" ht="15" hidden="1" x14ac:dyDescent="0.25">
      <c r="B11442" s="4">
        <v>584759920</v>
      </c>
      <c r="C11442" s="4" t="s">
        <v>269</v>
      </c>
      <c r="D11442" s="4">
        <v>1591</v>
      </c>
      <c r="E11442" s="4">
        <v>57</v>
      </c>
      <c r="G11442">
        <f t="shared" si="178"/>
        <v>512</v>
      </c>
    </row>
    <row r="11443" spans="2:7" ht="15" hidden="1" x14ac:dyDescent="0.25">
      <c r="B11443" s="4">
        <v>584759921</v>
      </c>
      <c r="C11443" s="4" t="s">
        <v>269</v>
      </c>
      <c r="D11443" s="4">
        <v>1592</v>
      </c>
      <c r="E11443" s="4">
        <v>57</v>
      </c>
      <c r="G11443">
        <f t="shared" si="178"/>
        <v>512</v>
      </c>
    </row>
    <row r="11444" spans="2:7" ht="15" hidden="1" x14ac:dyDescent="0.25">
      <c r="B11444" s="4">
        <v>584759922</v>
      </c>
      <c r="C11444" s="4" t="s">
        <v>269</v>
      </c>
      <c r="D11444" s="4">
        <v>1593</v>
      </c>
      <c r="E11444" s="4">
        <v>57</v>
      </c>
      <c r="G11444">
        <f t="shared" si="178"/>
        <v>512</v>
      </c>
    </row>
    <row r="11445" spans="2:7" ht="15" hidden="1" x14ac:dyDescent="0.25">
      <c r="B11445" s="4">
        <v>584759923</v>
      </c>
      <c r="C11445" s="4" t="s">
        <v>269</v>
      </c>
      <c r="D11445" s="4">
        <v>1594</v>
      </c>
      <c r="E11445" s="4">
        <v>57</v>
      </c>
      <c r="G11445">
        <f t="shared" si="178"/>
        <v>512</v>
      </c>
    </row>
    <row r="11446" spans="2:7" ht="15" hidden="1" x14ac:dyDescent="0.25">
      <c r="B11446" s="4">
        <v>584759924</v>
      </c>
      <c r="C11446" s="4" t="s">
        <v>269</v>
      </c>
      <c r="D11446" s="4">
        <v>1595</v>
      </c>
      <c r="E11446" s="4">
        <v>57</v>
      </c>
      <c r="G11446">
        <f t="shared" si="178"/>
        <v>512</v>
      </c>
    </row>
    <row r="11447" spans="2:7" ht="15" hidden="1" x14ac:dyDescent="0.25">
      <c r="B11447" s="4">
        <v>584759925</v>
      </c>
      <c r="C11447" s="4" t="s">
        <v>269</v>
      </c>
      <c r="D11447" s="4">
        <v>1596</v>
      </c>
      <c r="E11447" s="4">
        <v>57</v>
      </c>
      <c r="G11447">
        <f t="shared" si="178"/>
        <v>512</v>
      </c>
    </row>
    <row r="11448" spans="2:7" ht="15" hidden="1" x14ac:dyDescent="0.25">
      <c r="B11448" s="4">
        <v>584759926</v>
      </c>
      <c r="C11448" s="4" t="s">
        <v>269</v>
      </c>
      <c r="D11448" s="4">
        <v>1597</v>
      </c>
      <c r="E11448" s="4">
        <v>57</v>
      </c>
      <c r="G11448">
        <f t="shared" si="178"/>
        <v>512</v>
      </c>
    </row>
    <row r="11449" spans="2:7" ht="15" hidden="1" x14ac:dyDescent="0.25">
      <c r="B11449" s="4">
        <v>584759927</v>
      </c>
      <c r="C11449" s="4" t="s">
        <v>269</v>
      </c>
      <c r="D11449" s="4">
        <v>1598</v>
      </c>
      <c r="E11449" s="4">
        <v>57</v>
      </c>
      <c r="G11449">
        <f t="shared" si="178"/>
        <v>512</v>
      </c>
    </row>
    <row r="11450" spans="2:7" ht="15" hidden="1" x14ac:dyDescent="0.25">
      <c r="B11450" s="4">
        <v>584759928</v>
      </c>
      <c r="C11450" s="4" t="s">
        <v>269</v>
      </c>
      <c r="D11450" s="4">
        <v>1599</v>
      </c>
      <c r="E11450" s="4">
        <v>57</v>
      </c>
      <c r="G11450">
        <f t="shared" si="178"/>
        <v>512</v>
      </c>
    </row>
    <row r="11451" spans="2:7" ht="15" hidden="1" x14ac:dyDescent="0.25">
      <c r="B11451" s="4">
        <v>584759928</v>
      </c>
      <c r="C11451" s="4" t="s">
        <v>272</v>
      </c>
      <c r="D11451" s="4">
        <v>148</v>
      </c>
      <c r="E11451" s="4">
        <v>227</v>
      </c>
      <c r="G11451">
        <f t="shared" si="178"/>
        <v>1872</v>
      </c>
    </row>
    <row r="11452" spans="2:7" ht="15" hidden="1" x14ac:dyDescent="0.25">
      <c r="B11452" s="4">
        <v>584759929</v>
      </c>
      <c r="C11452" s="4" t="s">
        <v>269</v>
      </c>
      <c r="D11452" s="4">
        <v>1600</v>
      </c>
      <c r="E11452" s="4">
        <v>57</v>
      </c>
      <c r="G11452">
        <f t="shared" si="178"/>
        <v>512</v>
      </c>
    </row>
    <row r="11453" spans="2:7" ht="15" hidden="1" x14ac:dyDescent="0.25">
      <c r="B11453" s="4">
        <v>584759930</v>
      </c>
      <c r="C11453" s="4" t="s">
        <v>269</v>
      </c>
      <c r="D11453" s="4">
        <v>1601</v>
      </c>
      <c r="E11453" s="4">
        <v>57</v>
      </c>
      <c r="G11453">
        <f t="shared" si="178"/>
        <v>512</v>
      </c>
    </row>
    <row r="11454" spans="2:7" ht="15" hidden="1" x14ac:dyDescent="0.25">
      <c r="B11454" s="4">
        <v>584759931</v>
      </c>
      <c r="C11454" s="4" t="s">
        <v>269</v>
      </c>
      <c r="D11454" s="4">
        <v>1602</v>
      </c>
      <c r="E11454" s="4">
        <v>57</v>
      </c>
      <c r="G11454">
        <f t="shared" si="178"/>
        <v>512</v>
      </c>
    </row>
    <row r="11455" spans="2:7" ht="15" hidden="1" x14ac:dyDescent="0.25">
      <c r="B11455" s="4">
        <v>584759932</v>
      </c>
      <c r="C11455" s="4" t="s">
        <v>269</v>
      </c>
      <c r="D11455" s="4">
        <v>1603</v>
      </c>
      <c r="E11455" s="4">
        <v>57</v>
      </c>
      <c r="G11455">
        <f t="shared" si="178"/>
        <v>512</v>
      </c>
    </row>
    <row r="11456" spans="2:7" ht="15" hidden="1" x14ac:dyDescent="0.25">
      <c r="B11456" s="4">
        <v>584759933</v>
      </c>
      <c r="C11456" s="4" t="s">
        <v>269</v>
      </c>
      <c r="D11456" s="4">
        <v>1604</v>
      </c>
      <c r="E11456" s="4">
        <v>57</v>
      </c>
      <c r="G11456">
        <f t="shared" si="178"/>
        <v>512</v>
      </c>
    </row>
    <row r="11457" spans="2:7" ht="15" hidden="1" x14ac:dyDescent="0.25">
      <c r="B11457" s="4">
        <v>584759934</v>
      </c>
      <c r="C11457" s="4" t="s">
        <v>269</v>
      </c>
      <c r="D11457" s="4">
        <v>1605</v>
      </c>
      <c r="E11457" s="4">
        <v>57</v>
      </c>
      <c r="G11457">
        <f t="shared" si="178"/>
        <v>512</v>
      </c>
    </row>
    <row r="11458" spans="2:7" ht="15" hidden="1" x14ac:dyDescent="0.25">
      <c r="B11458" s="4">
        <v>584759935</v>
      </c>
      <c r="C11458" s="4" t="s">
        <v>269</v>
      </c>
      <c r="D11458" s="4">
        <v>1606</v>
      </c>
      <c r="E11458" s="4">
        <v>57</v>
      </c>
      <c r="G11458">
        <f t="shared" si="178"/>
        <v>512</v>
      </c>
    </row>
    <row r="11459" spans="2:7" ht="15" hidden="1" x14ac:dyDescent="0.25">
      <c r="B11459" s="4">
        <v>584759936</v>
      </c>
      <c r="C11459" s="4" t="s">
        <v>269</v>
      </c>
      <c r="D11459" s="4">
        <v>1607</v>
      </c>
      <c r="E11459" s="4">
        <v>57</v>
      </c>
      <c r="G11459">
        <f t="shared" si="178"/>
        <v>512</v>
      </c>
    </row>
    <row r="11460" spans="2:7" ht="15" hidden="1" x14ac:dyDescent="0.25">
      <c r="B11460" s="4">
        <v>584759937</v>
      </c>
      <c r="C11460" s="4" t="s">
        <v>269</v>
      </c>
      <c r="D11460" s="4">
        <v>1608</v>
      </c>
      <c r="E11460" s="4">
        <v>57</v>
      </c>
      <c r="G11460">
        <f t="shared" ref="G11460:G11523" si="179">(E11460+7)*8</f>
        <v>512</v>
      </c>
    </row>
    <row r="11461" spans="2:7" ht="15" hidden="1" x14ac:dyDescent="0.25">
      <c r="B11461" s="4">
        <v>584759938</v>
      </c>
      <c r="C11461" s="4" t="s">
        <v>269</v>
      </c>
      <c r="D11461" s="4">
        <v>1609</v>
      </c>
      <c r="E11461" s="4">
        <v>57</v>
      </c>
      <c r="G11461">
        <f t="shared" si="179"/>
        <v>512</v>
      </c>
    </row>
    <row r="11462" spans="2:7" ht="15" hidden="1" x14ac:dyDescent="0.25">
      <c r="B11462" s="4">
        <v>584759938</v>
      </c>
      <c r="C11462" s="4" t="s">
        <v>272</v>
      </c>
      <c r="D11462" s="4">
        <v>149</v>
      </c>
      <c r="E11462" s="4">
        <v>227</v>
      </c>
      <c r="G11462">
        <f t="shared" si="179"/>
        <v>1872</v>
      </c>
    </row>
    <row r="11463" spans="2:7" ht="15" hidden="1" x14ac:dyDescent="0.25">
      <c r="B11463" s="4">
        <v>584759939</v>
      </c>
      <c r="C11463" s="4" t="s">
        <v>269</v>
      </c>
      <c r="D11463" s="4">
        <v>1610</v>
      </c>
      <c r="E11463" s="4">
        <v>57</v>
      </c>
      <c r="G11463">
        <f t="shared" si="179"/>
        <v>512</v>
      </c>
    </row>
    <row r="11464" spans="2:7" ht="15" hidden="1" x14ac:dyDescent="0.25">
      <c r="B11464" s="4">
        <v>584759940</v>
      </c>
      <c r="C11464" s="4" t="s">
        <v>269</v>
      </c>
      <c r="D11464" s="4">
        <v>1611</v>
      </c>
      <c r="E11464" s="4">
        <v>57</v>
      </c>
      <c r="G11464">
        <f t="shared" si="179"/>
        <v>512</v>
      </c>
    </row>
    <row r="11465" spans="2:7" ht="15" hidden="1" x14ac:dyDescent="0.25">
      <c r="B11465" s="4">
        <v>584759941</v>
      </c>
      <c r="C11465" s="4" t="s">
        <v>269</v>
      </c>
      <c r="D11465" s="4">
        <v>1612</v>
      </c>
      <c r="E11465" s="4">
        <v>57</v>
      </c>
      <c r="G11465">
        <f t="shared" si="179"/>
        <v>512</v>
      </c>
    </row>
    <row r="11466" spans="2:7" ht="15" hidden="1" x14ac:dyDescent="0.25">
      <c r="B11466" s="4">
        <v>584759942</v>
      </c>
      <c r="C11466" s="4" t="s">
        <v>268</v>
      </c>
      <c r="D11466" s="4">
        <v>290</v>
      </c>
      <c r="E11466" s="4">
        <v>9</v>
      </c>
      <c r="G11466">
        <f t="shared" si="179"/>
        <v>128</v>
      </c>
    </row>
    <row r="11467" spans="2:7" ht="15" hidden="1" x14ac:dyDescent="0.25">
      <c r="B11467" s="4">
        <v>584759942</v>
      </c>
      <c r="C11467" s="4" t="s">
        <v>268</v>
      </c>
      <c r="D11467" s="4">
        <v>290</v>
      </c>
      <c r="E11467" s="4">
        <v>9</v>
      </c>
      <c r="G11467">
        <f t="shared" si="179"/>
        <v>128</v>
      </c>
    </row>
    <row r="11468" spans="2:7" ht="15" hidden="1" x14ac:dyDescent="0.25">
      <c r="B11468" s="4">
        <v>584759942</v>
      </c>
      <c r="C11468" s="4" t="s">
        <v>268</v>
      </c>
      <c r="D11468" s="4">
        <v>291</v>
      </c>
      <c r="E11468" s="4">
        <v>7</v>
      </c>
      <c r="G11468">
        <f t="shared" si="179"/>
        <v>112</v>
      </c>
    </row>
    <row r="11469" spans="2:7" ht="15" hidden="1" x14ac:dyDescent="0.25">
      <c r="B11469" s="4">
        <v>584759942</v>
      </c>
      <c r="C11469" s="4" t="s">
        <v>268</v>
      </c>
      <c r="D11469" s="4">
        <v>291</v>
      </c>
      <c r="E11469" s="4">
        <v>7</v>
      </c>
      <c r="G11469">
        <f t="shared" si="179"/>
        <v>112</v>
      </c>
    </row>
    <row r="11470" spans="2:7" ht="15" hidden="1" x14ac:dyDescent="0.25">
      <c r="B11470" s="4">
        <v>584759942</v>
      </c>
      <c r="C11470" s="4" t="s">
        <v>269</v>
      </c>
      <c r="D11470" s="4">
        <v>1613</v>
      </c>
      <c r="E11470" s="4">
        <v>57</v>
      </c>
      <c r="G11470">
        <f t="shared" si="179"/>
        <v>512</v>
      </c>
    </row>
    <row r="11471" spans="2:7" ht="15" hidden="1" x14ac:dyDescent="0.25">
      <c r="B11471" s="4">
        <v>584759943</v>
      </c>
      <c r="C11471" s="4" t="s">
        <v>268</v>
      </c>
      <c r="D11471" s="4">
        <v>292</v>
      </c>
      <c r="E11471" s="4">
        <v>9</v>
      </c>
      <c r="G11471">
        <f t="shared" si="179"/>
        <v>128</v>
      </c>
    </row>
    <row r="11472" spans="2:7" ht="15" hidden="1" x14ac:dyDescent="0.25">
      <c r="B11472" s="4">
        <v>584759943</v>
      </c>
      <c r="C11472" s="4" t="s">
        <v>268</v>
      </c>
      <c r="D11472" s="4">
        <v>292</v>
      </c>
      <c r="E11472" s="4">
        <v>9</v>
      </c>
      <c r="G11472">
        <f t="shared" si="179"/>
        <v>128</v>
      </c>
    </row>
    <row r="11473" spans="2:7" ht="15" hidden="1" x14ac:dyDescent="0.25">
      <c r="B11473" s="4">
        <v>584759943</v>
      </c>
      <c r="C11473" s="4" t="s">
        <v>268</v>
      </c>
      <c r="D11473" s="4">
        <v>293</v>
      </c>
      <c r="E11473" s="4">
        <v>7</v>
      </c>
      <c r="G11473">
        <f t="shared" si="179"/>
        <v>112</v>
      </c>
    </row>
    <row r="11474" spans="2:7" ht="15" hidden="1" x14ac:dyDescent="0.25">
      <c r="B11474" s="4">
        <v>584759943</v>
      </c>
      <c r="C11474" s="4" t="s">
        <v>268</v>
      </c>
      <c r="D11474" s="4">
        <v>293</v>
      </c>
      <c r="E11474" s="4">
        <v>7</v>
      </c>
      <c r="G11474">
        <f t="shared" si="179"/>
        <v>112</v>
      </c>
    </row>
    <row r="11475" spans="2:7" ht="15" hidden="1" x14ac:dyDescent="0.25">
      <c r="B11475" s="4">
        <v>584759943</v>
      </c>
      <c r="C11475" s="4" t="s">
        <v>269</v>
      </c>
      <c r="D11475" s="4">
        <v>1614</v>
      </c>
      <c r="E11475" s="4">
        <v>57</v>
      </c>
      <c r="G11475">
        <f t="shared" si="179"/>
        <v>512</v>
      </c>
    </row>
    <row r="11476" spans="2:7" ht="15" hidden="1" x14ac:dyDescent="0.25">
      <c r="B11476" s="4">
        <v>584759944</v>
      </c>
      <c r="C11476" s="4" t="s">
        <v>268</v>
      </c>
      <c r="D11476" s="4">
        <v>294</v>
      </c>
      <c r="E11476" s="4">
        <v>9</v>
      </c>
      <c r="G11476">
        <f t="shared" si="179"/>
        <v>128</v>
      </c>
    </row>
    <row r="11477" spans="2:7" ht="15" hidden="1" x14ac:dyDescent="0.25">
      <c r="B11477" s="4">
        <v>584759944</v>
      </c>
      <c r="C11477" s="4" t="s">
        <v>268</v>
      </c>
      <c r="D11477" s="4">
        <v>294</v>
      </c>
      <c r="E11477" s="4">
        <v>9</v>
      </c>
      <c r="G11477">
        <f t="shared" si="179"/>
        <v>128</v>
      </c>
    </row>
    <row r="11478" spans="2:7" ht="15" hidden="1" x14ac:dyDescent="0.25">
      <c r="B11478" s="4">
        <v>584759944</v>
      </c>
      <c r="C11478" s="4" t="s">
        <v>268</v>
      </c>
      <c r="D11478" s="4">
        <v>295</v>
      </c>
      <c r="E11478" s="4">
        <v>7</v>
      </c>
      <c r="G11478">
        <f t="shared" si="179"/>
        <v>112</v>
      </c>
    </row>
    <row r="11479" spans="2:7" ht="15" hidden="1" x14ac:dyDescent="0.25">
      <c r="B11479" s="4">
        <v>584759944</v>
      </c>
      <c r="C11479" s="4" t="s">
        <v>268</v>
      </c>
      <c r="D11479" s="4">
        <v>295</v>
      </c>
      <c r="E11479" s="4">
        <v>7</v>
      </c>
      <c r="G11479">
        <f t="shared" si="179"/>
        <v>112</v>
      </c>
    </row>
    <row r="11480" spans="2:7" ht="15" hidden="1" x14ac:dyDescent="0.25">
      <c r="B11480" s="4">
        <v>584759944</v>
      </c>
      <c r="C11480" s="4" t="s">
        <v>269</v>
      </c>
      <c r="D11480" s="4">
        <v>1615</v>
      </c>
      <c r="E11480" s="4">
        <v>57</v>
      </c>
      <c r="G11480">
        <f t="shared" si="179"/>
        <v>512</v>
      </c>
    </row>
    <row r="11481" spans="2:7" ht="15" hidden="1" x14ac:dyDescent="0.25">
      <c r="B11481" s="4">
        <v>584759945</v>
      </c>
      <c r="C11481" s="4" t="s">
        <v>268</v>
      </c>
      <c r="D11481" s="4">
        <v>296</v>
      </c>
      <c r="E11481" s="4">
        <v>7</v>
      </c>
      <c r="G11481">
        <f t="shared" si="179"/>
        <v>112</v>
      </c>
    </row>
    <row r="11482" spans="2:7" ht="15" hidden="1" x14ac:dyDescent="0.25">
      <c r="B11482" s="4">
        <v>584759945</v>
      </c>
      <c r="C11482" s="4" t="s">
        <v>268</v>
      </c>
      <c r="D11482" s="4">
        <v>296</v>
      </c>
      <c r="E11482" s="4">
        <v>7</v>
      </c>
      <c r="G11482">
        <f t="shared" si="179"/>
        <v>112</v>
      </c>
    </row>
    <row r="11483" spans="2:7" ht="15" hidden="1" x14ac:dyDescent="0.25">
      <c r="B11483" s="4">
        <v>584759945</v>
      </c>
      <c r="C11483" s="4" t="s">
        <v>268</v>
      </c>
      <c r="D11483" s="4">
        <v>297</v>
      </c>
      <c r="E11483" s="4">
        <v>5</v>
      </c>
      <c r="G11483">
        <f t="shared" si="179"/>
        <v>96</v>
      </c>
    </row>
    <row r="11484" spans="2:7" ht="15" hidden="1" x14ac:dyDescent="0.25">
      <c r="B11484" s="4">
        <v>584759945</v>
      </c>
      <c r="C11484" s="4" t="s">
        <v>268</v>
      </c>
      <c r="D11484" s="4">
        <v>297</v>
      </c>
      <c r="E11484" s="4">
        <v>5</v>
      </c>
      <c r="G11484">
        <f t="shared" si="179"/>
        <v>96</v>
      </c>
    </row>
    <row r="11485" spans="2:7" ht="15" x14ac:dyDescent="0.25">
      <c r="B11485" s="4">
        <v>584759948</v>
      </c>
      <c r="C11485" s="4" t="s">
        <v>270</v>
      </c>
      <c r="D11485" s="4">
        <v>5</v>
      </c>
      <c r="E11485" s="4">
        <v>1100</v>
      </c>
      <c r="G11485">
        <f t="shared" si="179"/>
        <v>8856</v>
      </c>
    </row>
    <row r="11486" spans="2:7" ht="15" x14ac:dyDescent="0.25">
      <c r="B11486" s="4">
        <v>584759948</v>
      </c>
      <c r="C11486" s="4" t="s">
        <v>271</v>
      </c>
      <c r="D11486" s="4">
        <v>5</v>
      </c>
      <c r="E11486" s="4">
        <v>1100</v>
      </c>
      <c r="G11486">
        <f t="shared" si="179"/>
        <v>8856</v>
      </c>
    </row>
    <row r="11487" spans="2:7" ht="15" hidden="1" x14ac:dyDescent="0.25">
      <c r="B11487" s="4">
        <v>584759949</v>
      </c>
      <c r="C11487" s="4" t="s">
        <v>272</v>
      </c>
      <c r="D11487" s="4">
        <v>150</v>
      </c>
      <c r="E11487" s="4">
        <v>219</v>
      </c>
      <c r="G11487">
        <f t="shared" si="179"/>
        <v>1808</v>
      </c>
    </row>
    <row r="11488" spans="2:7" ht="15" hidden="1" x14ac:dyDescent="0.25">
      <c r="B11488" s="4">
        <v>584760166</v>
      </c>
      <c r="C11488" s="4" t="s">
        <v>268</v>
      </c>
      <c r="D11488" s="4">
        <v>298</v>
      </c>
      <c r="E11488" s="4">
        <v>9</v>
      </c>
      <c r="G11488">
        <f t="shared" si="179"/>
        <v>128</v>
      </c>
    </row>
    <row r="11489" spans="2:7" ht="15" hidden="1" x14ac:dyDescent="0.25">
      <c r="B11489" s="4">
        <v>584760166</v>
      </c>
      <c r="C11489" s="4" t="s">
        <v>268</v>
      </c>
      <c r="D11489" s="4">
        <v>298</v>
      </c>
      <c r="E11489" s="4">
        <v>9</v>
      </c>
      <c r="G11489">
        <f t="shared" si="179"/>
        <v>128</v>
      </c>
    </row>
    <row r="11490" spans="2:7" ht="15" hidden="1" x14ac:dyDescent="0.25">
      <c r="B11490" s="4">
        <v>584760169</v>
      </c>
      <c r="C11490" s="4" t="s">
        <v>268</v>
      </c>
      <c r="D11490" s="4">
        <v>299</v>
      </c>
      <c r="E11490" s="4">
        <v>9</v>
      </c>
      <c r="G11490">
        <f t="shared" si="179"/>
        <v>128</v>
      </c>
    </row>
    <row r="11491" spans="2:7" ht="15" hidden="1" x14ac:dyDescent="0.25">
      <c r="B11491" s="4">
        <v>584760169</v>
      </c>
      <c r="C11491" s="4" t="s">
        <v>268</v>
      </c>
      <c r="D11491" s="4">
        <v>299</v>
      </c>
      <c r="E11491" s="4">
        <v>9</v>
      </c>
      <c r="G11491">
        <f t="shared" si="179"/>
        <v>128</v>
      </c>
    </row>
    <row r="11492" spans="2:7" ht="15" hidden="1" x14ac:dyDescent="0.25">
      <c r="B11492" s="4">
        <v>584760172</v>
      </c>
      <c r="C11492" s="4" t="s">
        <v>268</v>
      </c>
      <c r="D11492" s="4">
        <v>300</v>
      </c>
      <c r="E11492" s="4">
        <v>9</v>
      </c>
      <c r="G11492">
        <f t="shared" si="179"/>
        <v>128</v>
      </c>
    </row>
    <row r="11493" spans="2:7" ht="15" hidden="1" x14ac:dyDescent="0.25">
      <c r="B11493" s="4">
        <v>584760172</v>
      </c>
      <c r="C11493" s="4" t="s">
        <v>268</v>
      </c>
      <c r="D11493" s="4">
        <v>300</v>
      </c>
      <c r="E11493" s="4">
        <v>9</v>
      </c>
      <c r="G11493">
        <f t="shared" si="179"/>
        <v>128</v>
      </c>
    </row>
    <row r="11494" spans="2:7" ht="15" hidden="1" x14ac:dyDescent="0.25">
      <c r="B11494" s="4">
        <v>584760175</v>
      </c>
      <c r="C11494" s="4" t="s">
        <v>268</v>
      </c>
      <c r="D11494" s="4">
        <v>301</v>
      </c>
      <c r="E11494" s="4">
        <v>7</v>
      </c>
      <c r="G11494">
        <f t="shared" si="179"/>
        <v>112</v>
      </c>
    </row>
    <row r="11495" spans="2:7" ht="15" hidden="1" x14ac:dyDescent="0.25">
      <c r="B11495" s="4">
        <v>584760175</v>
      </c>
      <c r="C11495" s="4" t="s">
        <v>268</v>
      </c>
      <c r="D11495" s="4">
        <v>301</v>
      </c>
      <c r="E11495" s="4">
        <v>7</v>
      </c>
      <c r="G11495">
        <f t="shared" si="179"/>
        <v>112</v>
      </c>
    </row>
    <row r="11496" spans="2:7" ht="15" hidden="1" x14ac:dyDescent="0.25">
      <c r="B11496" s="4">
        <v>584760656</v>
      </c>
      <c r="C11496" s="4" t="s">
        <v>273</v>
      </c>
      <c r="D11496" s="4">
        <v>2415</v>
      </c>
      <c r="E11496" s="4">
        <v>317</v>
      </c>
      <c r="G11496">
        <f t="shared" si="179"/>
        <v>2592</v>
      </c>
    </row>
    <row r="11497" spans="2:7" ht="15" hidden="1" x14ac:dyDescent="0.25">
      <c r="B11497" s="4">
        <v>584760688</v>
      </c>
      <c r="C11497" s="4" t="s">
        <v>275</v>
      </c>
      <c r="D11497" s="4">
        <v>170</v>
      </c>
      <c r="E11497" s="4">
        <v>180</v>
      </c>
      <c r="G11497">
        <f t="shared" si="179"/>
        <v>1496</v>
      </c>
    </row>
    <row r="11498" spans="2:7" ht="15" hidden="1" x14ac:dyDescent="0.25">
      <c r="B11498" s="4">
        <v>584760692</v>
      </c>
      <c r="C11498" s="4" t="s">
        <v>273</v>
      </c>
      <c r="D11498" s="4">
        <v>2451</v>
      </c>
      <c r="E11498" s="4">
        <v>317</v>
      </c>
      <c r="G11498">
        <f t="shared" si="179"/>
        <v>2592</v>
      </c>
    </row>
    <row r="11499" spans="2:7" ht="15" hidden="1" x14ac:dyDescent="0.25">
      <c r="B11499" s="4">
        <v>584760716</v>
      </c>
      <c r="C11499" s="4" t="s">
        <v>268</v>
      </c>
      <c r="D11499" s="4">
        <v>302</v>
      </c>
      <c r="E11499" s="4">
        <v>13</v>
      </c>
      <c r="G11499">
        <f t="shared" si="179"/>
        <v>160</v>
      </c>
    </row>
    <row r="11500" spans="2:7" ht="15" hidden="1" x14ac:dyDescent="0.25">
      <c r="B11500" s="4">
        <v>584760716</v>
      </c>
      <c r="C11500" s="4" t="s">
        <v>268</v>
      </c>
      <c r="D11500" s="4">
        <v>302</v>
      </c>
      <c r="E11500" s="4">
        <v>13</v>
      </c>
      <c r="G11500">
        <f t="shared" si="179"/>
        <v>160</v>
      </c>
    </row>
    <row r="11501" spans="2:7" ht="15" hidden="1" x14ac:dyDescent="0.25">
      <c r="B11501" s="4">
        <v>584760728</v>
      </c>
      <c r="C11501" s="4" t="s">
        <v>273</v>
      </c>
      <c r="D11501" s="4">
        <v>2487</v>
      </c>
      <c r="E11501" s="4">
        <v>317</v>
      </c>
      <c r="G11501">
        <f t="shared" si="179"/>
        <v>2592</v>
      </c>
    </row>
    <row r="11502" spans="2:7" ht="15" hidden="1" x14ac:dyDescent="0.25">
      <c r="B11502" s="4">
        <v>584760764</v>
      </c>
      <c r="C11502" s="4" t="s">
        <v>273</v>
      </c>
      <c r="D11502" s="4">
        <v>2523</v>
      </c>
      <c r="E11502" s="4">
        <v>317</v>
      </c>
      <c r="G11502">
        <f t="shared" si="179"/>
        <v>2592</v>
      </c>
    </row>
    <row r="11503" spans="2:7" ht="15" hidden="1" x14ac:dyDescent="0.25">
      <c r="B11503" s="4">
        <v>584760776</v>
      </c>
      <c r="C11503" s="4" t="s">
        <v>268</v>
      </c>
      <c r="D11503" s="4">
        <v>303</v>
      </c>
      <c r="E11503" s="4">
        <v>13</v>
      </c>
      <c r="G11503">
        <f t="shared" si="179"/>
        <v>160</v>
      </c>
    </row>
    <row r="11504" spans="2:7" ht="15" hidden="1" x14ac:dyDescent="0.25">
      <c r="B11504" s="4">
        <v>584760776</v>
      </c>
      <c r="C11504" s="4" t="s">
        <v>268</v>
      </c>
      <c r="D11504" s="4">
        <v>303</v>
      </c>
      <c r="E11504" s="4">
        <v>13</v>
      </c>
      <c r="G11504">
        <f t="shared" si="179"/>
        <v>160</v>
      </c>
    </row>
    <row r="11505" spans="2:7" ht="15" hidden="1" x14ac:dyDescent="0.25">
      <c r="B11505" s="4">
        <v>584760776</v>
      </c>
      <c r="C11505" s="4" t="s">
        <v>268</v>
      </c>
      <c r="D11505" s="4">
        <v>304</v>
      </c>
      <c r="E11505" s="4">
        <v>13</v>
      </c>
      <c r="G11505">
        <f t="shared" si="179"/>
        <v>160</v>
      </c>
    </row>
    <row r="11506" spans="2:7" ht="15" hidden="1" x14ac:dyDescent="0.25">
      <c r="B11506" s="4">
        <v>584760776</v>
      </c>
      <c r="C11506" s="4" t="s">
        <v>268</v>
      </c>
      <c r="D11506" s="4">
        <v>304</v>
      </c>
      <c r="E11506" s="4">
        <v>13</v>
      </c>
      <c r="G11506">
        <f t="shared" si="179"/>
        <v>160</v>
      </c>
    </row>
    <row r="11507" spans="2:7" ht="15" hidden="1" x14ac:dyDescent="0.25">
      <c r="B11507" s="4">
        <v>584760788</v>
      </c>
      <c r="C11507" s="4" t="s">
        <v>275</v>
      </c>
      <c r="D11507" s="4">
        <v>171</v>
      </c>
      <c r="E11507" s="4">
        <v>174</v>
      </c>
      <c r="G11507">
        <f t="shared" si="179"/>
        <v>1448</v>
      </c>
    </row>
    <row r="11508" spans="2:7" ht="15" hidden="1" x14ac:dyDescent="0.25">
      <c r="B11508" s="4">
        <v>584760800</v>
      </c>
      <c r="C11508" s="4" t="s">
        <v>273</v>
      </c>
      <c r="D11508" s="4">
        <v>2559</v>
      </c>
      <c r="E11508" s="4">
        <v>317</v>
      </c>
      <c r="G11508">
        <f t="shared" si="179"/>
        <v>2592</v>
      </c>
    </row>
    <row r="11509" spans="2:7" ht="15" hidden="1" x14ac:dyDescent="0.25">
      <c r="B11509" s="4">
        <v>584760835</v>
      </c>
      <c r="C11509" s="4" t="s">
        <v>273</v>
      </c>
      <c r="D11509" s="4">
        <v>2594</v>
      </c>
      <c r="E11509" s="4">
        <v>317</v>
      </c>
      <c r="G11509">
        <f t="shared" si="179"/>
        <v>2592</v>
      </c>
    </row>
    <row r="11510" spans="2:7" ht="15" hidden="1" x14ac:dyDescent="0.25">
      <c r="B11510" s="4">
        <v>584760836</v>
      </c>
      <c r="C11510" s="4" t="s">
        <v>268</v>
      </c>
      <c r="D11510" s="4">
        <v>305</v>
      </c>
      <c r="E11510" s="4">
        <v>6</v>
      </c>
      <c r="G11510">
        <f t="shared" si="179"/>
        <v>104</v>
      </c>
    </row>
    <row r="11511" spans="2:7" ht="15" hidden="1" x14ac:dyDescent="0.25">
      <c r="B11511" s="4">
        <v>584760836</v>
      </c>
      <c r="C11511" s="4" t="s">
        <v>268</v>
      </c>
      <c r="D11511" s="4">
        <v>305</v>
      </c>
      <c r="E11511" s="4">
        <v>6</v>
      </c>
      <c r="G11511">
        <f t="shared" si="179"/>
        <v>104</v>
      </c>
    </row>
    <row r="11512" spans="2:7" ht="15" hidden="1" x14ac:dyDescent="0.25">
      <c r="B11512" s="4">
        <v>584760836</v>
      </c>
      <c r="C11512" s="4" t="s">
        <v>268</v>
      </c>
      <c r="D11512" s="4">
        <v>306</v>
      </c>
      <c r="E11512" s="4">
        <v>6</v>
      </c>
      <c r="G11512">
        <f t="shared" si="179"/>
        <v>104</v>
      </c>
    </row>
    <row r="11513" spans="2:7" ht="15" hidden="1" x14ac:dyDescent="0.25">
      <c r="B11513" s="4">
        <v>584760836</v>
      </c>
      <c r="C11513" s="4" t="s">
        <v>268</v>
      </c>
      <c r="D11513" s="4">
        <v>306</v>
      </c>
      <c r="E11513" s="4">
        <v>6</v>
      </c>
      <c r="G11513">
        <f t="shared" si="179"/>
        <v>104</v>
      </c>
    </row>
    <row r="11514" spans="2:7" ht="15" hidden="1" x14ac:dyDescent="0.25">
      <c r="B11514" s="4">
        <v>584760836</v>
      </c>
      <c r="C11514" s="4" t="s">
        <v>268</v>
      </c>
      <c r="D11514" s="4">
        <v>307</v>
      </c>
      <c r="E11514" s="4">
        <v>15</v>
      </c>
      <c r="G11514">
        <f t="shared" si="179"/>
        <v>176</v>
      </c>
    </row>
    <row r="11515" spans="2:7" ht="15" hidden="1" x14ac:dyDescent="0.25">
      <c r="B11515" s="4">
        <v>584760836</v>
      </c>
      <c r="C11515" s="4" t="s">
        <v>268</v>
      </c>
      <c r="D11515" s="4">
        <v>307</v>
      </c>
      <c r="E11515" s="4">
        <v>15</v>
      </c>
      <c r="G11515">
        <f t="shared" si="179"/>
        <v>176</v>
      </c>
    </row>
    <row r="11516" spans="2:7" ht="15" hidden="1" x14ac:dyDescent="0.25">
      <c r="B11516" s="4">
        <v>584760836</v>
      </c>
      <c r="C11516" s="4" t="s">
        <v>268</v>
      </c>
      <c r="D11516" s="4">
        <v>308</v>
      </c>
      <c r="E11516" s="4">
        <v>6</v>
      </c>
      <c r="G11516">
        <f t="shared" si="179"/>
        <v>104</v>
      </c>
    </row>
    <row r="11517" spans="2:7" ht="15" hidden="1" x14ac:dyDescent="0.25">
      <c r="B11517" s="4">
        <v>584760836</v>
      </c>
      <c r="C11517" s="4" t="s">
        <v>268</v>
      </c>
      <c r="D11517" s="4">
        <v>308</v>
      </c>
      <c r="E11517" s="4">
        <v>6</v>
      </c>
      <c r="G11517">
        <f t="shared" si="179"/>
        <v>104</v>
      </c>
    </row>
    <row r="11518" spans="2:7" ht="15" hidden="1" x14ac:dyDescent="0.25">
      <c r="B11518" s="4">
        <v>584760836</v>
      </c>
      <c r="C11518" s="4" t="s">
        <v>268</v>
      </c>
      <c r="D11518" s="4">
        <v>309</v>
      </c>
      <c r="E11518" s="4">
        <v>5</v>
      </c>
      <c r="G11518">
        <f t="shared" si="179"/>
        <v>96</v>
      </c>
    </row>
    <row r="11519" spans="2:7" ht="15" hidden="1" x14ac:dyDescent="0.25">
      <c r="B11519" s="4">
        <v>584760836</v>
      </c>
      <c r="C11519" s="4" t="s">
        <v>268</v>
      </c>
      <c r="D11519" s="4">
        <v>309</v>
      </c>
      <c r="E11519" s="4">
        <v>5</v>
      </c>
      <c r="G11519">
        <f t="shared" si="179"/>
        <v>96</v>
      </c>
    </row>
    <row r="11520" spans="2:7" ht="15" hidden="1" x14ac:dyDescent="0.25">
      <c r="B11520" s="4">
        <v>584760871</v>
      </c>
      <c r="C11520" s="4" t="s">
        <v>273</v>
      </c>
      <c r="D11520" s="4">
        <v>2630</v>
      </c>
      <c r="E11520" s="4">
        <v>317</v>
      </c>
      <c r="G11520">
        <f t="shared" si="179"/>
        <v>2592</v>
      </c>
    </row>
    <row r="11521" spans="2:7" ht="15" hidden="1" x14ac:dyDescent="0.25">
      <c r="B11521" s="4">
        <v>584760888</v>
      </c>
      <c r="C11521" s="4" t="s">
        <v>275</v>
      </c>
      <c r="D11521" s="4">
        <v>172</v>
      </c>
      <c r="E11521" s="4">
        <v>210</v>
      </c>
      <c r="G11521">
        <f t="shared" si="179"/>
        <v>1736</v>
      </c>
    </row>
    <row r="11522" spans="2:7" ht="15" hidden="1" x14ac:dyDescent="0.25">
      <c r="B11522" s="4">
        <v>584760907</v>
      </c>
      <c r="C11522" s="4" t="s">
        <v>273</v>
      </c>
      <c r="D11522" s="4">
        <v>2666</v>
      </c>
      <c r="E11522" s="4">
        <v>317</v>
      </c>
      <c r="G11522">
        <f t="shared" si="179"/>
        <v>2592</v>
      </c>
    </row>
    <row r="11523" spans="2:7" ht="15" hidden="1" x14ac:dyDescent="0.25">
      <c r="B11523" s="4">
        <v>584760931</v>
      </c>
      <c r="C11523" s="4" t="s">
        <v>273</v>
      </c>
      <c r="D11523" s="4">
        <v>2690</v>
      </c>
      <c r="E11523" s="4">
        <v>317</v>
      </c>
      <c r="G11523">
        <f t="shared" si="179"/>
        <v>2592</v>
      </c>
    </row>
    <row r="11524" spans="2:7" ht="15" hidden="1" x14ac:dyDescent="0.25">
      <c r="B11524" s="4">
        <v>584760967</v>
      </c>
      <c r="C11524" s="4" t="s">
        <v>273</v>
      </c>
      <c r="D11524" s="4">
        <v>2726</v>
      </c>
      <c r="E11524" s="4">
        <v>317</v>
      </c>
      <c r="G11524">
        <f t="shared" ref="G11524:G11587" si="180">(E11524+7)*8</f>
        <v>2592</v>
      </c>
    </row>
    <row r="11525" spans="2:7" ht="15" hidden="1" x14ac:dyDescent="0.25">
      <c r="B11525" s="4">
        <v>584760988</v>
      </c>
      <c r="C11525" s="4" t="s">
        <v>275</v>
      </c>
      <c r="D11525" s="4">
        <v>173</v>
      </c>
      <c r="E11525" s="4">
        <v>172</v>
      </c>
      <c r="G11525">
        <f t="shared" si="180"/>
        <v>1432</v>
      </c>
    </row>
    <row r="11526" spans="2:7" ht="15" hidden="1" x14ac:dyDescent="0.25">
      <c r="B11526" s="4">
        <v>584761015</v>
      </c>
      <c r="C11526" s="4" t="s">
        <v>273</v>
      </c>
      <c r="D11526" s="4">
        <v>2774</v>
      </c>
      <c r="E11526" s="4">
        <v>317</v>
      </c>
      <c r="G11526">
        <f t="shared" si="180"/>
        <v>2592</v>
      </c>
    </row>
    <row r="11527" spans="2:7" ht="15" hidden="1" x14ac:dyDescent="0.25">
      <c r="B11527" s="4">
        <v>584761025</v>
      </c>
      <c r="C11527" s="4" t="s">
        <v>273</v>
      </c>
      <c r="D11527" s="4">
        <v>2784</v>
      </c>
      <c r="E11527" s="4">
        <v>317</v>
      </c>
      <c r="G11527">
        <f t="shared" si="180"/>
        <v>2592</v>
      </c>
    </row>
    <row r="11528" spans="2:7" ht="15" hidden="1" x14ac:dyDescent="0.25">
      <c r="B11528" s="4">
        <v>584761039</v>
      </c>
      <c r="C11528" s="4" t="s">
        <v>273</v>
      </c>
      <c r="D11528" s="4">
        <v>2798</v>
      </c>
      <c r="E11528" s="4">
        <v>317</v>
      </c>
      <c r="G11528">
        <f t="shared" si="180"/>
        <v>2592</v>
      </c>
    </row>
    <row r="11529" spans="2:7" ht="15" hidden="1" x14ac:dyDescent="0.25">
      <c r="B11529" s="4">
        <v>584761088</v>
      </c>
      <c r="C11529" s="4" t="s">
        <v>275</v>
      </c>
      <c r="D11529" s="4">
        <v>174</v>
      </c>
      <c r="E11529" s="4">
        <v>178</v>
      </c>
      <c r="G11529">
        <f t="shared" si="180"/>
        <v>1480</v>
      </c>
    </row>
    <row r="11530" spans="2:7" ht="15" hidden="1" x14ac:dyDescent="0.25">
      <c r="B11530" s="4">
        <v>584761182</v>
      </c>
      <c r="C11530" s="4" t="s">
        <v>273</v>
      </c>
      <c r="D11530" s="4">
        <v>2941</v>
      </c>
      <c r="E11530" s="4">
        <v>317</v>
      </c>
      <c r="G11530">
        <f t="shared" si="180"/>
        <v>2592</v>
      </c>
    </row>
    <row r="11531" spans="2:7" ht="15" hidden="1" x14ac:dyDescent="0.25">
      <c r="B11531" s="4">
        <v>584761188</v>
      </c>
      <c r="C11531" s="4" t="s">
        <v>275</v>
      </c>
      <c r="D11531" s="4">
        <v>175</v>
      </c>
      <c r="E11531" s="4">
        <v>188</v>
      </c>
      <c r="G11531">
        <f t="shared" si="180"/>
        <v>1560</v>
      </c>
    </row>
    <row r="11532" spans="2:7" ht="15" hidden="1" x14ac:dyDescent="0.25">
      <c r="B11532" s="4">
        <v>584761196</v>
      </c>
      <c r="C11532" s="4" t="s">
        <v>268</v>
      </c>
      <c r="D11532" s="4">
        <v>310</v>
      </c>
      <c r="E11532" s="4">
        <v>13</v>
      </c>
      <c r="G11532">
        <f t="shared" si="180"/>
        <v>160</v>
      </c>
    </row>
    <row r="11533" spans="2:7" ht="15" hidden="1" x14ac:dyDescent="0.25">
      <c r="B11533" s="4">
        <v>584761196</v>
      </c>
      <c r="C11533" s="4" t="s">
        <v>268</v>
      </c>
      <c r="D11533" s="4">
        <v>310</v>
      </c>
      <c r="E11533" s="4">
        <v>13</v>
      </c>
      <c r="G11533">
        <f t="shared" si="180"/>
        <v>160</v>
      </c>
    </row>
    <row r="11534" spans="2:7" ht="15" hidden="1" x14ac:dyDescent="0.25">
      <c r="B11534" s="4">
        <v>584761218</v>
      </c>
      <c r="C11534" s="4" t="s">
        <v>273</v>
      </c>
      <c r="D11534" s="4">
        <v>2977</v>
      </c>
      <c r="E11534" s="4">
        <v>317</v>
      </c>
      <c r="G11534">
        <f t="shared" si="180"/>
        <v>2592</v>
      </c>
    </row>
    <row r="11535" spans="2:7" ht="15" hidden="1" x14ac:dyDescent="0.25">
      <c r="B11535" s="4">
        <v>584761254</v>
      </c>
      <c r="C11535" s="4" t="s">
        <v>273</v>
      </c>
      <c r="D11535" s="4">
        <v>3013</v>
      </c>
      <c r="E11535" s="4">
        <v>317</v>
      </c>
      <c r="G11535">
        <f t="shared" si="180"/>
        <v>2592</v>
      </c>
    </row>
    <row r="11536" spans="2:7" ht="15" hidden="1" x14ac:dyDescent="0.25">
      <c r="B11536" s="4">
        <v>584761256</v>
      </c>
      <c r="C11536" s="4" t="s">
        <v>268</v>
      </c>
      <c r="D11536" s="4">
        <v>311</v>
      </c>
      <c r="E11536" s="4">
        <v>13</v>
      </c>
      <c r="G11536">
        <f t="shared" si="180"/>
        <v>160</v>
      </c>
    </row>
    <row r="11537" spans="2:7" ht="15" hidden="1" x14ac:dyDescent="0.25">
      <c r="B11537" s="4">
        <v>584761256</v>
      </c>
      <c r="C11537" s="4" t="s">
        <v>268</v>
      </c>
      <c r="D11537" s="4">
        <v>311</v>
      </c>
      <c r="E11537" s="4">
        <v>13</v>
      </c>
      <c r="G11537">
        <f t="shared" si="180"/>
        <v>160</v>
      </c>
    </row>
    <row r="11538" spans="2:7" ht="15" hidden="1" x14ac:dyDescent="0.25">
      <c r="B11538" s="4">
        <v>584761288</v>
      </c>
      <c r="C11538" s="4" t="s">
        <v>275</v>
      </c>
      <c r="D11538" s="4">
        <v>176</v>
      </c>
      <c r="E11538" s="4">
        <v>176</v>
      </c>
      <c r="G11538">
        <f t="shared" si="180"/>
        <v>1464</v>
      </c>
    </row>
    <row r="11539" spans="2:7" ht="15" hidden="1" x14ac:dyDescent="0.25">
      <c r="B11539" s="4">
        <v>584761290</v>
      </c>
      <c r="C11539" s="4" t="s">
        <v>273</v>
      </c>
      <c r="D11539" s="4">
        <v>3049</v>
      </c>
      <c r="E11539" s="4">
        <v>317</v>
      </c>
      <c r="G11539">
        <f t="shared" si="180"/>
        <v>2592</v>
      </c>
    </row>
    <row r="11540" spans="2:7" ht="15" hidden="1" x14ac:dyDescent="0.25">
      <c r="B11540" s="4">
        <v>584761316</v>
      </c>
      <c r="C11540" s="4" t="s">
        <v>278</v>
      </c>
      <c r="D11540" s="4">
        <v>0</v>
      </c>
      <c r="E11540" s="4">
        <v>59</v>
      </c>
      <c r="G11540">
        <f t="shared" si="180"/>
        <v>528</v>
      </c>
    </row>
    <row r="11541" spans="2:7" ht="15" hidden="1" x14ac:dyDescent="0.25">
      <c r="B11541" s="4">
        <v>584761316</v>
      </c>
      <c r="C11541" s="4" t="s">
        <v>268</v>
      </c>
      <c r="D11541" s="4">
        <v>312</v>
      </c>
      <c r="E11541" s="4">
        <v>13</v>
      </c>
      <c r="G11541">
        <f t="shared" si="180"/>
        <v>160</v>
      </c>
    </row>
    <row r="11542" spans="2:7" ht="15" hidden="1" x14ac:dyDescent="0.25">
      <c r="B11542" s="4">
        <v>584761316</v>
      </c>
      <c r="C11542" s="4" t="s">
        <v>268</v>
      </c>
      <c r="D11542" s="4">
        <v>312</v>
      </c>
      <c r="E11542" s="4">
        <v>13</v>
      </c>
      <c r="G11542">
        <f t="shared" si="180"/>
        <v>160</v>
      </c>
    </row>
    <row r="11543" spans="2:7" ht="15" hidden="1" x14ac:dyDescent="0.25">
      <c r="B11543" s="4">
        <v>584761325</v>
      </c>
      <c r="C11543" s="4" t="s">
        <v>273</v>
      </c>
      <c r="D11543" s="4">
        <v>3084</v>
      </c>
      <c r="E11543" s="4">
        <v>317</v>
      </c>
      <c r="G11543">
        <f t="shared" si="180"/>
        <v>2592</v>
      </c>
    </row>
    <row r="11544" spans="2:7" ht="15" hidden="1" x14ac:dyDescent="0.25">
      <c r="B11544" s="4">
        <v>584761361</v>
      </c>
      <c r="C11544" s="4" t="s">
        <v>273</v>
      </c>
      <c r="D11544" s="4">
        <v>3120</v>
      </c>
      <c r="E11544" s="4">
        <v>317</v>
      </c>
      <c r="G11544">
        <f t="shared" si="180"/>
        <v>2592</v>
      </c>
    </row>
    <row r="11545" spans="2:7" ht="15" hidden="1" x14ac:dyDescent="0.25">
      <c r="B11545" s="4">
        <v>584761376</v>
      </c>
      <c r="C11545" s="4" t="s">
        <v>278</v>
      </c>
      <c r="D11545" s="4">
        <v>1</v>
      </c>
      <c r="E11545" s="4">
        <v>59</v>
      </c>
      <c r="G11545">
        <f t="shared" si="180"/>
        <v>528</v>
      </c>
    </row>
    <row r="11546" spans="2:7" ht="15" hidden="1" x14ac:dyDescent="0.25">
      <c r="B11546" s="4">
        <v>584761376</v>
      </c>
      <c r="C11546" s="4" t="s">
        <v>268</v>
      </c>
      <c r="D11546" s="4">
        <v>313</v>
      </c>
      <c r="E11546" s="4">
        <v>13</v>
      </c>
      <c r="G11546">
        <f t="shared" si="180"/>
        <v>160</v>
      </c>
    </row>
    <row r="11547" spans="2:7" ht="15" hidden="1" x14ac:dyDescent="0.25">
      <c r="B11547" s="4">
        <v>584761376</v>
      </c>
      <c r="C11547" s="4" t="s">
        <v>268</v>
      </c>
      <c r="D11547" s="4">
        <v>313</v>
      </c>
      <c r="E11547" s="4">
        <v>13</v>
      </c>
      <c r="G11547">
        <f t="shared" si="180"/>
        <v>160</v>
      </c>
    </row>
    <row r="11548" spans="2:7" ht="15" hidden="1" x14ac:dyDescent="0.25">
      <c r="B11548" s="4">
        <v>584761397</v>
      </c>
      <c r="C11548" s="4" t="s">
        <v>273</v>
      </c>
      <c r="D11548" s="4">
        <v>3156</v>
      </c>
      <c r="E11548" s="4">
        <v>317</v>
      </c>
      <c r="G11548">
        <f t="shared" si="180"/>
        <v>2592</v>
      </c>
    </row>
    <row r="11549" spans="2:7" ht="15" hidden="1" x14ac:dyDescent="0.25">
      <c r="B11549" s="4">
        <v>584761445</v>
      </c>
      <c r="C11549" s="4" t="s">
        <v>273</v>
      </c>
      <c r="D11549" s="4">
        <v>3204</v>
      </c>
      <c r="E11549" s="4">
        <v>317</v>
      </c>
      <c r="G11549">
        <f t="shared" si="180"/>
        <v>2592</v>
      </c>
    </row>
    <row r="11550" spans="2:7" ht="15" hidden="1" x14ac:dyDescent="0.25">
      <c r="B11550" s="4">
        <v>584761648</v>
      </c>
      <c r="C11550" s="4" t="s">
        <v>273</v>
      </c>
      <c r="D11550" s="4">
        <v>3407</v>
      </c>
      <c r="E11550" s="4">
        <v>317</v>
      </c>
      <c r="G11550">
        <f t="shared" si="180"/>
        <v>2592</v>
      </c>
    </row>
    <row r="11551" spans="2:7" ht="15" hidden="1" x14ac:dyDescent="0.25">
      <c r="B11551" s="4">
        <v>584761744</v>
      </c>
      <c r="C11551" s="4" t="s">
        <v>269</v>
      </c>
      <c r="D11551" s="4">
        <v>1616</v>
      </c>
      <c r="E11551" s="4">
        <v>57</v>
      </c>
      <c r="G11551">
        <f t="shared" si="180"/>
        <v>512</v>
      </c>
    </row>
    <row r="11552" spans="2:7" ht="15" hidden="1" x14ac:dyDescent="0.25">
      <c r="B11552" s="4">
        <v>584762042</v>
      </c>
      <c r="C11552" s="4" t="s">
        <v>273</v>
      </c>
      <c r="D11552" s="4">
        <v>3801</v>
      </c>
      <c r="E11552" s="4">
        <v>317</v>
      </c>
      <c r="G11552">
        <f t="shared" si="180"/>
        <v>2592</v>
      </c>
    </row>
    <row r="11553" spans="2:7" ht="15" hidden="1" x14ac:dyDescent="0.25">
      <c r="B11553" s="4">
        <v>584762224</v>
      </c>
      <c r="C11553" s="4" t="s">
        <v>273</v>
      </c>
      <c r="D11553" s="4">
        <v>3983</v>
      </c>
      <c r="E11553" s="4">
        <v>317</v>
      </c>
      <c r="G11553">
        <f t="shared" si="180"/>
        <v>2592</v>
      </c>
    </row>
    <row r="11554" spans="2:7" ht="15" hidden="1" x14ac:dyDescent="0.25">
      <c r="B11554" s="4">
        <v>584762437</v>
      </c>
      <c r="C11554" s="4" t="s">
        <v>273</v>
      </c>
      <c r="D11554" s="4">
        <v>4196</v>
      </c>
      <c r="E11554" s="4">
        <v>317</v>
      </c>
      <c r="G11554">
        <f t="shared" si="180"/>
        <v>2592</v>
      </c>
    </row>
    <row r="11555" spans="2:7" ht="15" hidden="1" x14ac:dyDescent="0.25">
      <c r="B11555" s="4">
        <v>584762831</v>
      </c>
      <c r="C11555" s="4" t="s">
        <v>273</v>
      </c>
      <c r="D11555" s="4">
        <v>4590</v>
      </c>
      <c r="E11555" s="4">
        <v>317</v>
      </c>
      <c r="G11555">
        <f t="shared" si="180"/>
        <v>2592</v>
      </c>
    </row>
    <row r="11556" spans="2:7" ht="15" hidden="1" x14ac:dyDescent="0.25">
      <c r="B11556" s="4">
        <v>584763226</v>
      </c>
      <c r="C11556" s="4" t="s">
        <v>273</v>
      </c>
      <c r="D11556" s="4">
        <v>4985</v>
      </c>
      <c r="E11556" s="4">
        <v>317</v>
      </c>
      <c r="G11556">
        <f t="shared" si="180"/>
        <v>2592</v>
      </c>
    </row>
    <row r="11557" spans="2:7" ht="15" hidden="1" x14ac:dyDescent="0.25">
      <c r="B11557" s="4">
        <v>584763423</v>
      </c>
      <c r="C11557" s="4" t="s">
        <v>273</v>
      </c>
      <c r="D11557" s="4">
        <v>5182</v>
      </c>
      <c r="E11557" s="4">
        <v>317</v>
      </c>
      <c r="G11557">
        <f t="shared" si="180"/>
        <v>2592</v>
      </c>
    </row>
    <row r="11558" spans="2:7" ht="15" hidden="1" x14ac:dyDescent="0.25">
      <c r="B11558" s="4">
        <v>584763544</v>
      </c>
      <c r="C11558" s="4" t="s">
        <v>269</v>
      </c>
      <c r="D11558" s="4">
        <v>1617</v>
      </c>
      <c r="E11558" s="4">
        <v>57</v>
      </c>
      <c r="G11558">
        <f t="shared" si="180"/>
        <v>512</v>
      </c>
    </row>
    <row r="11559" spans="2:7" ht="15" hidden="1" x14ac:dyDescent="0.25">
      <c r="B11559" s="4">
        <v>584763548</v>
      </c>
      <c r="C11559" s="4" t="s">
        <v>272</v>
      </c>
      <c r="D11559" s="4">
        <v>151</v>
      </c>
      <c r="E11559" s="4">
        <v>375</v>
      </c>
      <c r="G11559">
        <f t="shared" si="180"/>
        <v>3056</v>
      </c>
    </row>
    <row r="11560" spans="2:7" ht="15" hidden="1" x14ac:dyDescent="0.25">
      <c r="B11560" s="4">
        <v>584763648</v>
      </c>
      <c r="C11560" s="4" t="s">
        <v>272</v>
      </c>
      <c r="D11560" s="4">
        <v>152</v>
      </c>
      <c r="E11560" s="4">
        <v>257</v>
      </c>
      <c r="G11560">
        <f t="shared" si="180"/>
        <v>2112</v>
      </c>
    </row>
    <row r="11561" spans="2:7" ht="15" hidden="1" x14ac:dyDescent="0.25">
      <c r="B11561" s="4">
        <v>584763748</v>
      </c>
      <c r="C11561" s="4" t="s">
        <v>272</v>
      </c>
      <c r="D11561" s="4">
        <v>153</v>
      </c>
      <c r="E11561" s="4">
        <v>261</v>
      </c>
      <c r="G11561">
        <f t="shared" si="180"/>
        <v>2144</v>
      </c>
    </row>
    <row r="11562" spans="2:7" ht="15" hidden="1" x14ac:dyDescent="0.25">
      <c r="B11562" s="4">
        <v>584763751</v>
      </c>
      <c r="C11562" s="4" t="s">
        <v>273</v>
      </c>
      <c r="D11562" s="4">
        <v>5510</v>
      </c>
      <c r="E11562" s="4">
        <v>317</v>
      </c>
      <c r="G11562">
        <f t="shared" si="180"/>
        <v>2592</v>
      </c>
    </row>
    <row r="11563" spans="2:7" ht="15" hidden="1" x14ac:dyDescent="0.25">
      <c r="B11563" s="4">
        <v>584763848</v>
      </c>
      <c r="C11563" s="4" t="s">
        <v>272</v>
      </c>
      <c r="D11563" s="4">
        <v>154</v>
      </c>
      <c r="E11563" s="4">
        <v>265</v>
      </c>
      <c r="G11563">
        <f t="shared" si="180"/>
        <v>2176</v>
      </c>
    </row>
    <row r="11564" spans="2:7" ht="15" hidden="1" x14ac:dyDescent="0.25">
      <c r="B11564" s="4">
        <v>584763948</v>
      </c>
      <c r="C11564" s="4" t="s">
        <v>272</v>
      </c>
      <c r="D11564" s="4">
        <v>155</v>
      </c>
      <c r="E11564" s="4">
        <v>257</v>
      </c>
      <c r="G11564">
        <f t="shared" si="180"/>
        <v>2112</v>
      </c>
    </row>
    <row r="11565" spans="2:7" ht="15" hidden="1" x14ac:dyDescent="0.25">
      <c r="B11565" s="4">
        <v>584764048</v>
      </c>
      <c r="C11565" s="4" t="s">
        <v>272</v>
      </c>
      <c r="D11565" s="4">
        <v>156</v>
      </c>
      <c r="E11565" s="4">
        <v>263</v>
      </c>
      <c r="G11565">
        <f t="shared" si="180"/>
        <v>2160</v>
      </c>
    </row>
    <row r="11566" spans="2:7" ht="15" hidden="1" x14ac:dyDescent="0.25">
      <c r="B11566" s="4">
        <v>584764148</v>
      </c>
      <c r="C11566" s="4" t="s">
        <v>272</v>
      </c>
      <c r="D11566" s="4">
        <v>157</v>
      </c>
      <c r="E11566" s="4">
        <v>255</v>
      </c>
      <c r="G11566">
        <f t="shared" si="180"/>
        <v>2096</v>
      </c>
    </row>
    <row r="11567" spans="2:7" ht="15" hidden="1" x14ac:dyDescent="0.25">
      <c r="B11567" s="4">
        <v>584764248</v>
      </c>
      <c r="C11567" s="4" t="s">
        <v>272</v>
      </c>
      <c r="D11567" s="4">
        <v>158</v>
      </c>
      <c r="E11567" s="4">
        <v>255</v>
      </c>
      <c r="G11567">
        <f t="shared" si="180"/>
        <v>2096</v>
      </c>
    </row>
    <row r="11568" spans="2:7" ht="15" hidden="1" x14ac:dyDescent="0.25">
      <c r="B11568" s="4">
        <v>584764277</v>
      </c>
      <c r="C11568" s="4" t="s">
        <v>273</v>
      </c>
      <c r="D11568" s="4">
        <v>6036</v>
      </c>
      <c r="E11568" s="4">
        <v>317</v>
      </c>
      <c r="G11568">
        <f t="shared" si="180"/>
        <v>2592</v>
      </c>
    </row>
    <row r="11569" spans="2:7" ht="15" hidden="1" x14ac:dyDescent="0.25">
      <c r="B11569" s="4">
        <v>584764348</v>
      </c>
      <c r="C11569" s="4" t="s">
        <v>272</v>
      </c>
      <c r="D11569" s="4">
        <v>159</v>
      </c>
      <c r="E11569" s="4">
        <v>263</v>
      </c>
      <c r="G11569">
        <f t="shared" si="180"/>
        <v>2160</v>
      </c>
    </row>
    <row r="11570" spans="2:7" ht="15" hidden="1" x14ac:dyDescent="0.25">
      <c r="B11570" s="4">
        <v>584764448</v>
      </c>
      <c r="C11570" s="4" t="s">
        <v>272</v>
      </c>
      <c r="D11570" s="4">
        <v>160</v>
      </c>
      <c r="E11570" s="4">
        <v>257</v>
      </c>
      <c r="G11570">
        <f t="shared" si="180"/>
        <v>2112</v>
      </c>
    </row>
    <row r="11571" spans="2:7" ht="15" hidden="1" x14ac:dyDescent="0.25">
      <c r="B11571" s="4">
        <v>584764468</v>
      </c>
      <c r="C11571" s="4" t="s">
        <v>273</v>
      </c>
      <c r="D11571" s="4">
        <v>6227</v>
      </c>
      <c r="E11571" s="4">
        <v>317</v>
      </c>
      <c r="G11571">
        <f t="shared" si="180"/>
        <v>2592</v>
      </c>
    </row>
    <row r="11572" spans="2:7" ht="15" hidden="1" x14ac:dyDescent="0.25">
      <c r="B11572" s="4">
        <v>584764526</v>
      </c>
      <c r="C11572" s="4" t="s">
        <v>273</v>
      </c>
      <c r="D11572" s="4">
        <v>6285</v>
      </c>
      <c r="E11572" s="4">
        <v>317</v>
      </c>
      <c r="G11572">
        <f t="shared" si="180"/>
        <v>2592</v>
      </c>
    </row>
    <row r="11573" spans="2:7" ht="15" hidden="1" x14ac:dyDescent="0.25">
      <c r="B11573" s="4">
        <v>584764548</v>
      </c>
      <c r="C11573" s="4" t="s">
        <v>272</v>
      </c>
      <c r="D11573" s="4">
        <v>161</v>
      </c>
      <c r="E11573" s="4">
        <v>265</v>
      </c>
      <c r="G11573">
        <f t="shared" si="180"/>
        <v>2176</v>
      </c>
    </row>
    <row r="11574" spans="2:7" ht="15" hidden="1" x14ac:dyDescent="0.25">
      <c r="B11574" s="4">
        <v>584764554</v>
      </c>
      <c r="C11574" s="4" t="s">
        <v>273</v>
      </c>
      <c r="D11574" s="4">
        <v>6313</v>
      </c>
      <c r="E11574" s="4">
        <v>317</v>
      </c>
      <c r="G11574">
        <f t="shared" si="180"/>
        <v>2592</v>
      </c>
    </row>
    <row r="11575" spans="2:7" ht="15" hidden="1" x14ac:dyDescent="0.25">
      <c r="B11575" s="4">
        <v>584764583</v>
      </c>
      <c r="C11575" s="4" t="s">
        <v>273</v>
      </c>
      <c r="D11575" s="4">
        <v>6342</v>
      </c>
      <c r="E11575" s="4">
        <v>317</v>
      </c>
      <c r="G11575">
        <f t="shared" si="180"/>
        <v>2592</v>
      </c>
    </row>
    <row r="11576" spans="2:7" ht="15" hidden="1" x14ac:dyDescent="0.25">
      <c r="B11576" s="4">
        <v>584764611</v>
      </c>
      <c r="C11576" s="4" t="s">
        <v>273</v>
      </c>
      <c r="D11576" s="4">
        <v>6370</v>
      </c>
      <c r="E11576" s="4">
        <v>317</v>
      </c>
      <c r="G11576">
        <f t="shared" si="180"/>
        <v>2592</v>
      </c>
    </row>
    <row r="11577" spans="2:7" ht="15" hidden="1" x14ac:dyDescent="0.25">
      <c r="B11577" s="4">
        <v>584764622</v>
      </c>
      <c r="C11577" s="4" t="s">
        <v>273</v>
      </c>
      <c r="D11577" s="4">
        <v>6381</v>
      </c>
      <c r="E11577" s="4">
        <v>317</v>
      </c>
      <c r="G11577">
        <f t="shared" si="180"/>
        <v>2592</v>
      </c>
    </row>
    <row r="11578" spans="2:7" ht="15" hidden="1" x14ac:dyDescent="0.25">
      <c r="B11578" s="4">
        <v>584764640</v>
      </c>
      <c r="C11578" s="4" t="s">
        <v>273</v>
      </c>
      <c r="D11578" s="4">
        <v>6399</v>
      </c>
      <c r="E11578" s="4">
        <v>317</v>
      </c>
      <c r="G11578">
        <f t="shared" si="180"/>
        <v>2592</v>
      </c>
    </row>
    <row r="11579" spans="2:7" ht="15" hidden="1" x14ac:dyDescent="0.25">
      <c r="B11579" s="4">
        <v>584764648</v>
      </c>
      <c r="C11579" s="4" t="s">
        <v>272</v>
      </c>
      <c r="D11579" s="4">
        <v>162</v>
      </c>
      <c r="E11579" s="4">
        <v>255</v>
      </c>
      <c r="G11579">
        <f t="shared" si="180"/>
        <v>2096</v>
      </c>
    </row>
    <row r="11580" spans="2:7" ht="15" hidden="1" x14ac:dyDescent="0.25">
      <c r="B11580" s="4">
        <v>584764668</v>
      </c>
      <c r="C11580" s="4" t="s">
        <v>273</v>
      </c>
      <c r="D11580" s="4">
        <v>6427</v>
      </c>
      <c r="E11580" s="4">
        <v>317</v>
      </c>
      <c r="G11580">
        <f t="shared" si="180"/>
        <v>2592</v>
      </c>
    </row>
    <row r="11581" spans="2:7" ht="15" hidden="1" x14ac:dyDescent="0.25">
      <c r="B11581" s="4">
        <v>584764748</v>
      </c>
      <c r="C11581" s="4" t="s">
        <v>272</v>
      </c>
      <c r="D11581" s="4">
        <v>163</v>
      </c>
      <c r="E11581" s="4">
        <v>263</v>
      </c>
      <c r="G11581">
        <f t="shared" si="180"/>
        <v>2160</v>
      </c>
    </row>
    <row r="11582" spans="2:7" ht="15" hidden="1" x14ac:dyDescent="0.25">
      <c r="B11582" s="4">
        <v>584764829</v>
      </c>
      <c r="C11582" s="4" t="s">
        <v>273</v>
      </c>
      <c r="D11582" s="4">
        <v>6588</v>
      </c>
      <c r="E11582" s="4">
        <v>317</v>
      </c>
      <c r="G11582">
        <f t="shared" si="180"/>
        <v>2592</v>
      </c>
    </row>
    <row r="11583" spans="2:7" ht="15" hidden="1" x14ac:dyDescent="0.25">
      <c r="B11583" s="4">
        <v>584764848</v>
      </c>
      <c r="C11583" s="4" t="s">
        <v>272</v>
      </c>
      <c r="D11583" s="4">
        <v>164</v>
      </c>
      <c r="E11583" s="4">
        <v>263</v>
      </c>
      <c r="G11583">
        <f t="shared" si="180"/>
        <v>2160</v>
      </c>
    </row>
    <row r="11584" spans="2:7" ht="15" hidden="1" x14ac:dyDescent="0.25">
      <c r="B11584" s="4">
        <v>584764948</v>
      </c>
      <c r="C11584" s="4" t="s">
        <v>272</v>
      </c>
      <c r="D11584" s="4">
        <v>165</v>
      </c>
      <c r="E11584" s="4">
        <v>263</v>
      </c>
      <c r="G11584">
        <f t="shared" si="180"/>
        <v>2160</v>
      </c>
    </row>
    <row r="11585" spans="2:7" ht="15" hidden="1" x14ac:dyDescent="0.25">
      <c r="B11585" s="4">
        <v>584765048</v>
      </c>
      <c r="C11585" s="4" t="s">
        <v>272</v>
      </c>
      <c r="D11585" s="4">
        <v>166</v>
      </c>
      <c r="E11585" s="4">
        <v>251</v>
      </c>
      <c r="G11585">
        <f t="shared" si="180"/>
        <v>2064</v>
      </c>
    </row>
    <row r="11586" spans="2:7" ht="15" hidden="1" x14ac:dyDescent="0.25">
      <c r="B11586" s="4">
        <v>584765148</v>
      </c>
      <c r="C11586" s="4" t="s">
        <v>272</v>
      </c>
      <c r="D11586" s="4">
        <v>167</v>
      </c>
      <c r="E11586" s="4">
        <v>265</v>
      </c>
      <c r="G11586">
        <f t="shared" si="180"/>
        <v>2176</v>
      </c>
    </row>
    <row r="11587" spans="2:7" ht="15" hidden="1" x14ac:dyDescent="0.25">
      <c r="B11587" s="4">
        <v>584765248</v>
      </c>
      <c r="C11587" s="4" t="s">
        <v>272</v>
      </c>
      <c r="D11587" s="4">
        <v>168</v>
      </c>
      <c r="E11587" s="4">
        <v>259</v>
      </c>
      <c r="G11587">
        <f t="shared" si="180"/>
        <v>2128</v>
      </c>
    </row>
    <row r="11588" spans="2:7" ht="15" hidden="1" x14ac:dyDescent="0.25">
      <c r="B11588" s="4">
        <v>584765256</v>
      </c>
      <c r="C11588" s="4" t="s">
        <v>273</v>
      </c>
      <c r="D11588" s="4">
        <v>7015</v>
      </c>
      <c r="E11588" s="4">
        <v>317</v>
      </c>
      <c r="G11588">
        <f t="shared" ref="G11588:G11651" si="181">(E11588+7)*8</f>
        <v>2592</v>
      </c>
    </row>
    <row r="11589" spans="2:7" ht="15" hidden="1" x14ac:dyDescent="0.25">
      <c r="B11589" s="4">
        <v>584765344</v>
      </c>
      <c r="C11589" s="4" t="s">
        <v>269</v>
      </c>
      <c r="D11589" s="4">
        <v>1618</v>
      </c>
      <c r="E11589" s="4">
        <v>57</v>
      </c>
      <c r="G11589">
        <f t="shared" si="181"/>
        <v>512</v>
      </c>
    </row>
    <row r="11590" spans="2:7" ht="15" hidden="1" x14ac:dyDescent="0.25">
      <c r="B11590" s="4">
        <v>584765348</v>
      </c>
      <c r="C11590" s="4" t="s">
        <v>272</v>
      </c>
      <c r="D11590" s="4">
        <v>169</v>
      </c>
      <c r="E11590" s="4">
        <v>263</v>
      </c>
      <c r="G11590">
        <f t="shared" si="181"/>
        <v>2160</v>
      </c>
    </row>
    <row r="11591" spans="2:7" ht="15" hidden="1" x14ac:dyDescent="0.25">
      <c r="B11591" s="4">
        <v>584765448</v>
      </c>
      <c r="C11591" s="4" t="s">
        <v>272</v>
      </c>
      <c r="D11591" s="4">
        <v>170</v>
      </c>
      <c r="E11591" s="4">
        <v>271</v>
      </c>
      <c r="G11591">
        <f t="shared" si="181"/>
        <v>2224</v>
      </c>
    </row>
    <row r="11592" spans="2:7" ht="15" hidden="1" x14ac:dyDescent="0.25">
      <c r="B11592" s="4">
        <v>584765548</v>
      </c>
      <c r="C11592" s="4" t="s">
        <v>272</v>
      </c>
      <c r="D11592" s="4">
        <v>171</v>
      </c>
      <c r="E11592" s="4">
        <v>261</v>
      </c>
      <c r="G11592">
        <f t="shared" si="181"/>
        <v>2144</v>
      </c>
    </row>
    <row r="11593" spans="2:7" ht="15" hidden="1" x14ac:dyDescent="0.25">
      <c r="B11593" s="4">
        <v>584765648</v>
      </c>
      <c r="C11593" s="4" t="s">
        <v>272</v>
      </c>
      <c r="D11593" s="4">
        <v>172</v>
      </c>
      <c r="E11593" s="4">
        <v>265</v>
      </c>
      <c r="G11593">
        <f t="shared" si="181"/>
        <v>2176</v>
      </c>
    </row>
    <row r="11594" spans="2:7" ht="15" hidden="1" x14ac:dyDescent="0.25">
      <c r="B11594" s="4">
        <v>584765748</v>
      </c>
      <c r="C11594" s="4" t="s">
        <v>272</v>
      </c>
      <c r="D11594" s="4">
        <v>173</v>
      </c>
      <c r="E11594" s="4">
        <v>259</v>
      </c>
      <c r="G11594">
        <f t="shared" si="181"/>
        <v>2128</v>
      </c>
    </row>
    <row r="11595" spans="2:7" ht="15" hidden="1" x14ac:dyDescent="0.25">
      <c r="B11595" s="4">
        <v>584765821</v>
      </c>
      <c r="C11595" s="4" t="s">
        <v>273</v>
      </c>
      <c r="D11595" s="4">
        <v>7580</v>
      </c>
      <c r="E11595" s="4">
        <v>317</v>
      </c>
      <c r="G11595">
        <f t="shared" si="181"/>
        <v>2592</v>
      </c>
    </row>
    <row r="11596" spans="2:7" ht="15" hidden="1" x14ac:dyDescent="0.25">
      <c r="B11596" s="4">
        <v>584765824</v>
      </c>
      <c r="C11596" s="4" t="s">
        <v>273</v>
      </c>
      <c r="D11596" s="4">
        <v>7583</v>
      </c>
      <c r="E11596" s="4">
        <v>317</v>
      </c>
      <c r="G11596">
        <f t="shared" si="181"/>
        <v>2592</v>
      </c>
    </row>
    <row r="11597" spans="2:7" ht="15" hidden="1" x14ac:dyDescent="0.25">
      <c r="B11597" s="4">
        <v>584765848</v>
      </c>
      <c r="C11597" s="4" t="s">
        <v>272</v>
      </c>
      <c r="D11597" s="4">
        <v>174</v>
      </c>
      <c r="E11597" s="4">
        <v>267</v>
      </c>
      <c r="G11597">
        <f t="shared" si="181"/>
        <v>2192</v>
      </c>
    </row>
    <row r="11598" spans="2:7" ht="15" hidden="1" x14ac:dyDescent="0.25">
      <c r="B11598" s="4">
        <v>584765948</v>
      </c>
      <c r="C11598" s="4" t="s">
        <v>272</v>
      </c>
      <c r="D11598" s="4">
        <v>175</v>
      </c>
      <c r="E11598" s="4">
        <v>269</v>
      </c>
      <c r="G11598">
        <f t="shared" si="181"/>
        <v>2208</v>
      </c>
    </row>
    <row r="11599" spans="2:7" ht="15" hidden="1" x14ac:dyDescent="0.25">
      <c r="B11599" s="4">
        <v>584766048</v>
      </c>
      <c r="C11599" s="4" t="s">
        <v>272</v>
      </c>
      <c r="D11599" s="4">
        <v>176</v>
      </c>
      <c r="E11599" s="4">
        <v>257</v>
      </c>
      <c r="G11599">
        <f t="shared" si="181"/>
        <v>2112</v>
      </c>
    </row>
    <row r="11600" spans="2:7" ht="15" hidden="1" x14ac:dyDescent="0.25">
      <c r="B11600" s="4">
        <v>584766148</v>
      </c>
      <c r="C11600" s="4" t="s">
        <v>272</v>
      </c>
      <c r="D11600" s="4">
        <v>177</v>
      </c>
      <c r="E11600" s="4">
        <v>265</v>
      </c>
      <c r="G11600">
        <f t="shared" si="181"/>
        <v>2176</v>
      </c>
    </row>
    <row r="11601" spans="2:7" ht="15" hidden="1" x14ac:dyDescent="0.25">
      <c r="B11601" s="4">
        <v>584766248</v>
      </c>
      <c r="C11601" s="4" t="s">
        <v>272</v>
      </c>
      <c r="D11601" s="4">
        <v>178</v>
      </c>
      <c r="E11601" s="4">
        <v>271</v>
      </c>
      <c r="G11601">
        <f t="shared" si="181"/>
        <v>2224</v>
      </c>
    </row>
    <row r="11602" spans="2:7" ht="15" hidden="1" x14ac:dyDescent="0.25">
      <c r="B11602" s="4">
        <v>584766251</v>
      </c>
      <c r="C11602" s="4" t="s">
        <v>273</v>
      </c>
      <c r="D11602" s="4">
        <v>8010</v>
      </c>
      <c r="E11602" s="4">
        <v>317</v>
      </c>
      <c r="G11602">
        <f t="shared" si="181"/>
        <v>2592</v>
      </c>
    </row>
    <row r="11603" spans="2:7" ht="15" hidden="1" x14ac:dyDescent="0.25">
      <c r="B11603" s="4">
        <v>584766348</v>
      </c>
      <c r="C11603" s="4" t="s">
        <v>272</v>
      </c>
      <c r="D11603" s="4">
        <v>179</v>
      </c>
      <c r="E11603" s="4">
        <v>269</v>
      </c>
      <c r="G11603">
        <f t="shared" si="181"/>
        <v>2208</v>
      </c>
    </row>
    <row r="11604" spans="2:7" ht="15" hidden="1" x14ac:dyDescent="0.25">
      <c r="B11604" s="4">
        <v>584766448</v>
      </c>
      <c r="C11604" s="4" t="s">
        <v>272</v>
      </c>
      <c r="D11604" s="4">
        <v>180</v>
      </c>
      <c r="E11604" s="4">
        <v>257</v>
      </c>
      <c r="G11604">
        <f t="shared" si="181"/>
        <v>2112</v>
      </c>
    </row>
    <row r="11605" spans="2:7" ht="15" hidden="1" x14ac:dyDescent="0.25">
      <c r="B11605" s="4">
        <v>584766548</v>
      </c>
      <c r="C11605" s="4" t="s">
        <v>272</v>
      </c>
      <c r="D11605" s="4">
        <v>181</v>
      </c>
      <c r="E11605" s="4">
        <v>265</v>
      </c>
      <c r="G11605">
        <f t="shared" si="181"/>
        <v>2176</v>
      </c>
    </row>
    <row r="11606" spans="2:7" ht="15" hidden="1" x14ac:dyDescent="0.25">
      <c r="B11606" s="4">
        <v>584766648</v>
      </c>
      <c r="C11606" s="4" t="s">
        <v>272</v>
      </c>
      <c r="D11606" s="4">
        <v>182</v>
      </c>
      <c r="E11606" s="4">
        <v>275</v>
      </c>
      <c r="G11606">
        <f t="shared" si="181"/>
        <v>2256</v>
      </c>
    </row>
    <row r="11607" spans="2:7" ht="15" hidden="1" x14ac:dyDescent="0.25">
      <c r="B11607" s="4">
        <v>584766725</v>
      </c>
      <c r="C11607" s="4" t="s">
        <v>273</v>
      </c>
      <c r="D11607" s="4">
        <v>8484</v>
      </c>
      <c r="E11607" s="4">
        <v>317</v>
      </c>
      <c r="G11607">
        <f t="shared" si="181"/>
        <v>2592</v>
      </c>
    </row>
    <row r="11608" spans="2:7" ht="15" hidden="1" x14ac:dyDescent="0.25">
      <c r="B11608" s="4">
        <v>584766748</v>
      </c>
      <c r="C11608" s="4" t="s">
        <v>272</v>
      </c>
      <c r="D11608" s="4">
        <v>183</v>
      </c>
      <c r="E11608" s="4">
        <v>263</v>
      </c>
      <c r="G11608">
        <f t="shared" si="181"/>
        <v>2160</v>
      </c>
    </row>
    <row r="11609" spans="2:7" ht="15" hidden="1" x14ac:dyDescent="0.25">
      <c r="B11609" s="4">
        <v>584766753</v>
      </c>
      <c r="C11609" s="4" t="s">
        <v>273</v>
      </c>
      <c r="D11609" s="4">
        <v>8512</v>
      </c>
      <c r="E11609" s="4">
        <v>317</v>
      </c>
      <c r="G11609">
        <f t="shared" si="181"/>
        <v>2592</v>
      </c>
    </row>
    <row r="11610" spans="2:7" ht="15" hidden="1" x14ac:dyDescent="0.25">
      <c r="B11610" s="4">
        <v>584766782</v>
      </c>
      <c r="C11610" s="4" t="s">
        <v>273</v>
      </c>
      <c r="D11610" s="4">
        <v>8541</v>
      </c>
      <c r="E11610" s="4">
        <v>317</v>
      </c>
      <c r="G11610">
        <f t="shared" si="181"/>
        <v>2592</v>
      </c>
    </row>
    <row r="11611" spans="2:7" ht="15" hidden="1" x14ac:dyDescent="0.25">
      <c r="B11611" s="4">
        <v>584766810</v>
      </c>
      <c r="C11611" s="4" t="s">
        <v>273</v>
      </c>
      <c r="D11611" s="4">
        <v>8569</v>
      </c>
      <c r="E11611" s="4">
        <v>317</v>
      </c>
      <c r="G11611">
        <f t="shared" si="181"/>
        <v>2592</v>
      </c>
    </row>
    <row r="11612" spans="2:7" ht="15" hidden="1" x14ac:dyDescent="0.25">
      <c r="B11612" s="4">
        <v>584766829</v>
      </c>
      <c r="C11612" s="4" t="s">
        <v>273</v>
      </c>
      <c r="D11612" s="4">
        <v>8588</v>
      </c>
      <c r="E11612" s="4">
        <v>317</v>
      </c>
      <c r="G11612">
        <f t="shared" si="181"/>
        <v>2592</v>
      </c>
    </row>
    <row r="11613" spans="2:7" ht="15" hidden="1" x14ac:dyDescent="0.25">
      <c r="B11613" s="4">
        <v>584766848</v>
      </c>
      <c r="C11613" s="4" t="s">
        <v>272</v>
      </c>
      <c r="D11613" s="4">
        <v>184</v>
      </c>
      <c r="E11613" s="4">
        <v>265</v>
      </c>
      <c r="G11613">
        <f t="shared" si="181"/>
        <v>2176</v>
      </c>
    </row>
    <row r="11614" spans="2:7" ht="15" hidden="1" x14ac:dyDescent="0.25">
      <c r="B11614" s="4">
        <v>584766867</v>
      </c>
      <c r="C11614" s="4" t="s">
        <v>273</v>
      </c>
      <c r="D11614" s="4">
        <v>8626</v>
      </c>
      <c r="E11614" s="4">
        <v>317</v>
      </c>
      <c r="G11614">
        <f t="shared" si="181"/>
        <v>2592</v>
      </c>
    </row>
    <row r="11615" spans="2:7" ht="15" hidden="1" x14ac:dyDescent="0.25">
      <c r="B11615" s="4">
        <v>584766896</v>
      </c>
      <c r="C11615" s="4" t="s">
        <v>273</v>
      </c>
      <c r="D11615" s="4">
        <v>8655</v>
      </c>
      <c r="E11615" s="4">
        <v>317</v>
      </c>
      <c r="G11615">
        <f t="shared" si="181"/>
        <v>2592</v>
      </c>
    </row>
    <row r="11616" spans="2:7" ht="15" hidden="1" x14ac:dyDescent="0.25">
      <c r="B11616" s="4">
        <v>584766924</v>
      </c>
      <c r="C11616" s="4" t="s">
        <v>273</v>
      </c>
      <c r="D11616" s="4">
        <v>8683</v>
      </c>
      <c r="E11616" s="4">
        <v>317</v>
      </c>
      <c r="G11616">
        <f t="shared" si="181"/>
        <v>2592</v>
      </c>
    </row>
    <row r="11617" spans="2:7" ht="15" hidden="1" x14ac:dyDescent="0.25">
      <c r="B11617" s="4">
        <v>584766943</v>
      </c>
      <c r="C11617" s="4" t="s">
        <v>273</v>
      </c>
      <c r="D11617" s="4">
        <v>8702</v>
      </c>
      <c r="E11617" s="4">
        <v>317</v>
      </c>
      <c r="G11617">
        <f t="shared" si="181"/>
        <v>2592</v>
      </c>
    </row>
    <row r="11618" spans="2:7" ht="15" hidden="1" x14ac:dyDescent="0.25">
      <c r="B11618" s="4">
        <v>584766948</v>
      </c>
      <c r="C11618" s="4" t="s">
        <v>272</v>
      </c>
      <c r="D11618" s="4">
        <v>185</v>
      </c>
      <c r="E11618" s="4">
        <v>271</v>
      </c>
      <c r="G11618">
        <f t="shared" si="181"/>
        <v>2224</v>
      </c>
    </row>
    <row r="11619" spans="2:7" ht="15" hidden="1" x14ac:dyDescent="0.25">
      <c r="B11619" s="4">
        <v>584766981</v>
      </c>
      <c r="C11619" s="4" t="s">
        <v>273</v>
      </c>
      <c r="D11619" s="4">
        <v>8740</v>
      </c>
      <c r="E11619" s="4">
        <v>317</v>
      </c>
      <c r="G11619">
        <f t="shared" si="181"/>
        <v>2592</v>
      </c>
    </row>
    <row r="11620" spans="2:7" ht="15" hidden="1" x14ac:dyDescent="0.25">
      <c r="B11620" s="4">
        <v>584767000</v>
      </c>
      <c r="C11620" s="4" t="s">
        <v>273</v>
      </c>
      <c r="D11620" s="4">
        <v>8759</v>
      </c>
      <c r="E11620" s="4">
        <v>317</v>
      </c>
      <c r="G11620">
        <f t="shared" si="181"/>
        <v>2592</v>
      </c>
    </row>
    <row r="11621" spans="2:7" ht="15" hidden="1" x14ac:dyDescent="0.25">
      <c r="B11621" s="4">
        <v>584767020</v>
      </c>
      <c r="C11621" s="4" t="s">
        <v>273</v>
      </c>
      <c r="D11621" s="4">
        <v>8779</v>
      </c>
      <c r="E11621" s="4">
        <v>317</v>
      </c>
      <c r="G11621">
        <f t="shared" si="181"/>
        <v>2592</v>
      </c>
    </row>
    <row r="11622" spans="2:7" ht="15" hidden="1" x14ac:dyDescent="0.25">
      <c r="B11622" s="4">
        <v>584767028</v>
      </c>
      <c r="C11622" s="4" t="s">
        <v>273</v>
      </c>
      <c r="D11622" s="4">
        <v>8787</v>
      </c>
      <c r="E11622" s="4">
        <v>317</v>
      </c>
      <c r="G11622">
        <f t="shared" si="181"/>
        <v>2592</v>
      </c>
    </row>
    <row r="11623" spans="2:7" ht="15" hidden="1" x14ac:dyDescent="0.25">
      <c r="B11623" s="4">
        <v>584767048</v>
      </c>
      <c r="C11623" s="4" t="s">
        <v>272</v>
      </c>
      <c r="D11623" s="4">
        <v>186</v>
      </c>
      <c r="E11623" s="4">
        <v>265</v>
      </c>
      <c r="G11623">
        <f t="shared" si="181"/>
        <v>2176</v>
      </c>
    </row>
    <row r="11624" spans="2:7" ht="15" hidden="1" x14ac:dyDescent="0.25">
      <c r="B11624" s="4">
        <v>584767057</v>
      </c>
      <c r="C11624" s="4" t="s">
        <v>273</v>
      </c>
      <c r="D11624" s="4">
        <v>8816</v>
      </c>
      <c r="E11624" s="4">
        <v>317</v>
      </c>
      <c r="G11624">
        <f t="shared" si="181"/>
        <v>2592</v>
      </c>
    </row>
    <row r="11625" spans="2:7" ht="15" hidden="1" x14ac:dyDescent="0.25">
      <c r="B11625" s="4">
        <v>584767085</v>
      </c>
      <c r="C11625" s="4" t="s">
        <v>273</v>
      </c>
      <c r="D11625" s="4">
        <v>8844</v>
      </c>
      <c r="E11625" s="4">
        <v>317</v>
      </c>
      <c r="G11625">
        <f t="shared" si="181"/>
        <v>2592</v>
      </c>
    </row>
    <row r="11626" spans="2:7" ht="15" hidden="1" x14ac:dyDescent="0.25">
      <c r="B11626" s="4">
        <v>584767114</v>
      </c>
      <c r="C11626" s="4" t="s">
        <v>273</v>
      </c>
      <c r="D11626" s="4">
        <v>8873</v>
      </c>
      <c r="E11626" s="4">
        <v>317</v>
      </c>
      <c r="G11626">
        <f t="shared" si="181"/>
        <v>2592</v>
      </c>
    </row>
    <row r="11627" spans="2:7" ht="15" hidden="1" x14ac:dyDescent="0.25">
      <c r="B11627" s="4">
        <v>584767142</v>
      </c>
      <c r="C11627" s="4" t="s">
        <v>273</v>
      </c>
      <c r="D11627" s="4">
        <v>8901</v>
      </c>
      <c r="E11627" s="4">
        <v>317</v>
      </c>
      <c r="G11627">
        <f t="shared" si="181"/>
        <v>2592</v>
      </c>
    </row>
    <row r="11628" spans="2:7" ht="15" hidden="1" x14ac:dyDescent="0.25">
      <c r="B11628" s="4">
        <v>584767144</v>
      </c>
      <c r="C11628" s="4" t="s">
        <v>269</v>
      </c>
      <c r="D11628" s="4">
        <v>1619</v>
      </c>
      <c r="E11628" s="4">
        <v>57</v>
      </c>
      <c r="G11628">
        <f t="shared" si="181"/>
        <v>512</v>
      </c>
    </row>
    <row r="11629" spans="2:7" ht="15" x14ac:dyDescent="0.25">
      <c r="B11629" s="4">
        <v>584767148</v>
      </c>
      <c r="C11629" s="4" t="s">
        <v>270</v>
      </c>
      <c r="D11629" s="4">
        <v>6</v>
      </c>
      <c r="E11629" s="4">
        <v>1370</v>
      </c>
      <c r="G11629">
        <f t="shared" si="181"/>
        <v>11016</v>
      </c>
    </row>
    <row r="11630" spans="2:7" ht="15" x14ac:dyDescent="0.25">
      <c r="B11630" s="4">
        <v>584767148</v>
      </c>
      <c r="C11630" s="4" t="s">
        <v>271</v>
      </c>
      <c r="D11630" s="4">
        <v>6</v>
      </c>
      <c r="E11630" s="4">
        <v>1370</v>
      </c>
      <c r="G11630">
        <f t="shared" si="181"/>
        <v>11016</v>
      </c>
    </row>
    <row r="11631" spans="2:7" ht="15" hidden="1" x14ac:dyDescent="0.25">
      <c r="B11631" s="4">
        <v>584767149</v>
      </c>
      <c r="C11631" s="4" t="s">
        <v>272</v>
      </c>
      <c r="D11631" s="4">
        <v>187</v>
      </c>
      <c r="E11631" s="4">
        <v>265</v>
      </c>
      <c r="G11631">
        <f t="shared" si="181"/>
        <v>2176</v>
      </c>
    </row>
    <row r="11632" spans="2:7" ht="15" hidden="1" x14ac:dyDescent="0.25">
      <c r="B11632" s="4">
        <v>584767170</v>
      </c>
      <c r="C11632" s="4" t="s">
        <v>273</v>
      </c>
      <c r="D11632" s="4">
        <v>8929</v>
      </c>
      <c r="E11632" s="4">
        <v>317</v>
      </c>
      <c r="G11632">
        <f t="shared" si="181"/>
        <v>2592</v>
      </c>
    </row>
    <row r="11633" spans="2:7" ht="15" hidden="1" x14ac:dyDescent="0.25">
      <c r="B11633" s="4">
        <v>584767199</v>
      </c>
      <c r="C11633" s="4" t="s">
        <v>273</v>
      </c>
      <c r="D11633" s="4">
        <v>8958</v>
      </c>
      <c r="E11633" s="4">
        <v>317</v>
      </c>
      <c r="G11633">
        <f t="shared" si="181"/>
        <v>2592</v>
      </c>
    </row>
    <row r="11634" spans="2:7" ht="15" hidden="1" x14ac:dyDescent="0.25">
      <c r="B11634" s="4">
        <v>584767227</v>
      </c>
      <c r="C11634" s="4" t="s">
        <v>273</v>
      </c>
      <c r="D11634" s="4">
        <v>8986</v>
      </c>
      <c r="E11634" s="4">
        <v>317</v>
      </c>
      <c r="G11634">
        <f t="shared" si="181"/>
        <v>2592</v>
      </c>
    </row>
    <row r="11635" spans="2:7" ht="15" hidden="1" x14ac:dyDescent="0.25">
      <c r="B11635" s="4">
        <v>584767248</v>
      </c>
      <c r="C11635" s="4" t="s">
        <v>272</v>
      </c>
      <c r="D11635" s="4">
        <v>188</v>
      </c>
      <c r="E11635" s="4">
        <v>265</v>
      </c>
      <c r="G11635">
        <f t="shared" si="181"/>
        <v>2176</v>
      </c>
    </row>
    <row r="11636" spans="2:7" ht="15" hidden="1" x14ac:dyDescent="0.25">
      <c r="B11636" s="4">
        <v>584767256</v>
      </c>
      <c r="C11636" s="4" t="s">
        <v>273</v>
      </c>
      <c r="D11636" s="4">
        <v>9015</v>
      </c>
      <c r="E11636" s="4">
        <v>317</v>
      </c>
      <c r="G11636">
        <f t="shared" si="181"/>
        <v>2592</v>
      </c>
    </row>
    <row r="11637" spans="2:7" ht="15" hidden="1" x14ac:dyDescent="0.25">
      <c r="B11637" s="4">
        <v>584767284</v>
      </c>
      <c r="C11637" s="4" t="s">
        <v>273</v>
      </c>
      <c r="D11637" s="4">
        <v>9043</v>
      </c>
      <c r="E11637" s="4">
        <v>317</v>
      </c>
      <c r="G11637">
        <f t="shared" si="181"/>
        <v>2592</v>
      </c>
    </row>
    <row r="11638" spans="2:7" ht="15" hidden="1" x14ac:dyDescent="0.25">
      <c r="B11638" s="4">
        <v>584767313</v>
      </c>
      <c r="C11638" s="4" t="s">
        <v>273</v>
      </c>
      <c r="D11638" s="4">
        <v>9072</v>
      </c>
      <c r="E11638" s="4">
        <v>317</v>
      </c>
      <c r="G11638">
        <f t="shared" si="181"/>
        <v>2592</v>
      </c>
    </row>
    <row r="11639" spans="2:7" ht="15" hidden="1" x14ac:dyDescent="0.25">
      <c r="B11639" s="4">
        <v>584767341</v>
      </c>
      <c r="C11639" s="4" t="s">
        <v>273</v>
      </c>
      <c r="D11639" s="4">
        <v>9100</v>
      </c>
      <c r="E11639" s="4">
        <v>317</v>
      </c>
      <c r="G11639">
        <f t="shared" si="181"/>
        <v>2592</v>
      </c>
    </row>
    <row r="11640" spans="2:7" ht="15" hidden="1" x14ac:dyDescent="0.25">
      <c r="B11640" s="4">
        <v>584767348</v>
      </c>
      <c r="C11640" s="4" t="s">
        <v>272</v>
      </c>
      <c r="D11640" s="4">
        <v>189</v>
      </c>
      <c r="E11640" s="4">
        <v>277</v>
      </c>
      <c r="G11640">
        <f t="shared" si="181"/>
        <v>2272</v>
      </c>
    </row>
    <row r="11641" spans="2:7" ht="15" hidden="1" x14ac:dyDescent="0.25">
      <c r="B11641" s="4">
        <v>584767370</v>
      </c>
      <c r="C11641" s="4" t="s">
        <v>273</v>
      </c>
      <c r="D11641" s="4">
        <v>9129</v>
      </c>
      <c r="E11641" s="4">
        <v>317</v>
      </c>
      <c r="G11641">
        <f t="shared" si="181"/>
        <v>2592</v>
      </c>
    </row>
    <row r="11642" spans="2:7" ht="15" hidden="1" x14ac:dyDescent="0.25">
      <c r="B11642" s="4">
        <v>584767398</v>
      </c>
      <c r="C11642" s="4" t="s">
        <v>273</v>
      </c>
      <c r="D11642" s="4">
        <v>9157</v>
      </c>
      <c r="E11642" s="4">
        <v>317</v>
      </c>
      <c r="G11642">
        <f t="shared" si="181"/>
        <v>2592</v>
      </c>
    </row>
    <row r="11643" spans="2:7" ht="15" hidden="1" x14ac:dyDescent="0.25">
      <c r="B11643" s="4">
        <v>584767426</v>
      </c>
      <c r="C11643" s="4" t="s">
        <v>273</v>
      </c>
      <c r="D11643" s="4">
        <v>9185</v>
      </c>
      <c r="E11643" s="4">
        <v>317</v>
      </c>
      <c r="G11643">
        <f t="shared" si="181"/>
        <v>2592</v>
      </c>
    </row>
    <row r="11644" spans="2:7" ht="15" hidden="1" x14ac:dyDescent="0.25">
      <c r="B11644" s="4">
        <v>584767448</v>
      </c>
      <c r="C11644" s="4" t="s">
        <v>272</v>
      </c>
      <c r="D11644" s="4">
        <v>190</v>
      </c>
      <c r="E11644" s="4">
        <v>269</v>
      </c>
      <c r="G11644">
        <f t="shared" si="181"/>
        <v>2208</v>
      </c>
    </row>
    <row r="11645" spans="2:7" ht="15" hidden="1" x14ac:dyDescent="0.25">
      <c r="B11645" s="4">
        <v>584767455</v>
      </c>
      <c r="C11645" s="4" t="s">
        <v>273</v>
      </c>
      <c r="D11645" s="4">
        <v>9214</v>
      </c>
      <c r="E11645" s="4">
        <v>317</v>
      </c>
      <c r="G11645">
        <f t="shared" si="181"/>
        <v>2592</v>
      </c>
    </row>
    <row r="11646" spans="2:7" ht="15" hidden="1" x14ac:dyDescent="0.25">
      <c r="B11646" s="4">
        <v>584767483</v>
      </c>
      <c r="C11646" s="4" t="s">
        <v>273</v>
      </c>
      <c r="D11646" s="4">
        <v>9242</v>
      </c>
      <c r="E11646" s="4">
        <v>317</v>
      </c>
      <c r="G11646">
        <f t="shared" si="181"/>
        <v>2592</v>
      </c>
    </row>
    <row r="11647" spans="2:7" ht="15" hidden="1" x14ac:dyDescent="0.25">
      <c r="B11647" s="4">
        <v>584767512</v>
      </c>
      <c r="C11647" s="4" t="s">
        <v>273</v>
      </c>
      <c r="D11647" s="4">
        <v>9271</v>
      </c>
      <c r="E11647" s="4">
        <v>317</v>
      </c>
      <c r="G11647">
        <f t="shared" si="181"/>
        <v>2592</v>
      </c>
    </row>
    <row r="11648" spans="2:7" ht="15" hidden="1" x14ac:dyDescent="0.25">
      <c r="B11648" s="4">
        <v>584767540</v>
      </c>
      <c r="C11648" s="4" t="s">
        <v>273</v>
      </c>
      <c r="D11648" s="4">
        <v>9299</v>
      </c>
      <c r="E11648" s="4">
        <v>317</v>
      </c>
      <c r="G11648">
        <f t="shared" si="181"/>
        <v>2592</v>
      </c>
    </row>
    <row r="11649" spans="2:7" ht="15" hidden="1" x14ac:dyDescent="0.25">
      <c r="B11649" s="4">
        <v>584767548</v>
      </c>
      <c r="C11649" s="4" t="s">
        <v>272</v>
      </c>
      <c r="D11649" s="4">
        <v>191</v>
      </c>
      <c r="E11649" s="4">
        <v>263</v>
      </c>
      <c r="G11649">
        <f t="shared" si="181"/>
        <v>2160</v>
      </c>
    </row>
    <row r="11650" spans="2:7" ht="15" hidden="1" x14ac:dyDescent="0.25">
      <c r="B11650" s="4">
        <v>584767569</v>
      </c>
      <c r="C11650" s="4" t="s">
        <v>273</v>
      </c>
      <c r="D11650" s="4">
        <v>9328</v>
      </c>
      <c r="E11650" s="4">
        <v>317</v>
      </c>
      <c r="G11650">
        <f t="shared" si="181"/>
        <v>2592</v>
      </c>
    </row>
    <row r="11651" spans="2:7" ht="15" hidden="1" x14ac:dyDescent="0.25">
      <c r="B11651" s="4">
        <v>584767597</v>
      </c>
      <c r="C11651" s="4" t="s">
        <v>273</v>
      </c>
      <c r="D11651" s="4">
        <v>9356</v>
      </c>
      <c r="E11651" s="4">
        <v>317</v>
      </c>
      <c r="G11651">
        <f t="shared" si="181"/>
        <v>2592</v>
      </c>
    </row>
    <row r="11652" spans="2:7" ht="15" hidden="1" x14ac:dyDescent="0.25">
      <c r="B11652" s="4">
        <v>584767616</v>
      </c>
      <c r="C11652" s="4" t="s">
        <v>273</v>
      </c>
      <c r="D11652" s="4">
        <v>9375</v>
      </c>
      <c r="E11652" s="4">
        <v>317</v>
      </c>
      <c r="G11652">
        <f t="shared" ref="G11652:G11715" si="182">(E11652+7)*8</f>
        <v>2592</v>
      </c>
    </row>
    <row r="11653" spans="2:7" ht="15" hidden="1" x14ac:dyDescent="0.25">
      <c r="B11653" s="4">
        <v>584767644</v>
      </c>
      <c r="C11653" s="4" t="s">
        <v>273</v>
      </c>
      <c r="D11653" s="4">
        <v>9403</v>
      </c>
      <c r="E11653" s="4">
        <v>317</v>
      </c>
      <c r="G11653">
        <f t="shared" si="182"/>
        <v>2592</v>
      </c>
    </row>
    <row r="11654" spans="2:7" ht="15" hidden="1" x14ac:dyDescent="0.25">
      <c r="B11654" s="4">
        <v>584767648</v>
      </c>
      <c r="C11654" s="4" t="s">
        <v>272</v>
      </c>
      <c r="D11654" s="4">
        <v>192</v>
      </c>
      <c r="E11654" s="4">
        <v>275</v>
      </c>
      <c r="G11654">
        <f t="shared" si="182"/>
        <v>2256</v>
      </c>
    </row>
    <row r="11655" spans="2:7" ht="15" hidden="1" x14ac:dyDescent="0.25">
      <c r="B11655" s="4">
        <v>584767673</v>
      </c>
      <c r="C11655" s="4" t="s">
        <v>273</v>
      </c>
      <c r="D11655" s="4">
        <v>9432</v>
      </c>
      <c r="E11655" s="4">
        <v>317</v>
      </c>
      <c r="G11655">
        <f t="shared" si="182"/>
        <v>2592</v>
      </c>
    </row>
    <row r="11656" spans="2:7" ht="15" hidden="1" x14ac:dyDescent="0.25">
      <c r="B11656" s="4">
        <v>584767701</v>
      </c>
      <c r="C11656" s="4" t="s">
        <v>273</v>
      </c>
      <c r="D11656" s="4">
        <v>9460</v>
      </c>
      <c r="E11656" s="4">
        <v>317</v>
      </c>
      <c r="G11656">
        <f t="shared" si="182"/>
        <v>2592</v>
      </c>
    </row>
    <row r="11657" spans="2:7" ht="15" hidden="1" x14ac:dyDescent="0.25">
      <c r="B11657" s="4">
        <v>584767730</v>
      </c>
      <c r="C11657" s="4" t="s">
        <v>273</v>
      </c>
      <c r="D11657" s="4">
        <v>9489</v>
      </c>
      <c r="E11657" s="4">
        <v>317</v>
      </c>
      <c r="G11657">
        <f t="shared" si="182"/>
        <v>2592</v>
      </c>
    </row>
    <row r="11658" spans="2:7" ht="15" hidden="1" x14ac:dyDescent="0.25">
      <c r="B11658" s="4">
        <v>584767748</v>
      </c>
      <c r="C11658" s="4" t="s">
        <v>272</v>
      </c>
      <c r="D11658" s="4">
        <v>193</v>
      </c>
      <c r="E11658" s="4">
        <v>273</v>
      </c>
      <c r="G11658">
        <f t="shared" si="182"/>
        <v>2240</v>
      </c>
    </row>
    <row r="11659" spans="2:7" ht="15" hidden="1" x14ac:dyDescent="0.25">
      <c r="B11659" s="4">
        <v>584767758</v>
      </c>
      <c r="C11659" s="4" t="s">
        <v>273</v>
      </c>
      <c r="D11659" s="4">
        <v>9517</v>
      </c>
      <c r="E11659" s="4">
        <v>317</v>
      </c>
      <c r="G11659">
        <f t="shared" si="182"/>
        <v>2592</v>
      </c>
    </row>
    <row r="11660" spans="2:7" ht="15" hidden="1" x14ac:dyDescent="0.25">
      <c r="B11660" s="4">
        <v>584767787</v>
      </c>
      <c r="C11660" s="4" t="s">
        <v>273</v>
      </c>
      <c r="D11660" s="4">
        <v>9546</v>
      </c>
      <c r="E11660" s="4">
        <v>317</v>
      </c>
      <c r="G11660">
        <f t="shared" si="182"/>
        <v>2592</v>
      </c>
    </row>
    <row r="11661" spans="2:7" ht="15" hidden="1" x14ac:dyDescent="0.25">
      <c r="B11661" s="4">
        <v>584767815</v>
      </c>
      <c r="C11661" s="4" t="s">
        <v>273</v>
      </c>
      <c r="D11661" s="4">
        <v>9574</v>
      </c>
      <c r="E11661" s="4">
        <v>317</v>
      </c>
      <c r="G11661">
        <f t="shared" si="182"/>
        <v>2592</v>
      </c>
    </row>
    <row r="11662" spans="2:7" ht="15" hidden="1" x14ac:dyDescent="0.25">
      <c r="B11662" s="4">
        <v>584767843</v>
      </c>
      <c r="C11662" s="4" t="s">
        <v>273</v>
      </c>
      <c r="D11662" s="4">
        <v>9602</v>
      </c>
      <c r="E11662" s="4">
        <v>317</v>
      </c>
      <c r="G11662">
        <f t="shared" si="182"/>
        <v>2592</v>
      </c>
    </row>
    <row r="11663" spans="2:7" ht="15" hidden="1" x14ac:dyDescent="0.25">
      <c r="B11663" s="4">
        <v>584767848</v>
      </c>
      <c r="C11663" s="4" t="s">
        <v>272</v>
      </c>
      <c r="D11663" s="4">
        <v>194</v>
      </c>
      <c r="E11663" s="4">
        <v>271</v>
      </c>
      <c r="G11663">
        <f t="shared" si="182"/>
        <v>2224</v>
      </c>
    </row>
    <row r="11664" spans="2:7" ht="15" hidden="1" x14ac:dyDescent="0.25">
      <c r="B11664" s="4">
        <v>584767872</v>
      </c>
      <c r="C11664" s="4" t="s">
        <v>273</v>
      </c>
      <c r="D11664" s="4">
        <v>9631</v>
      </c>
      <c r="E11664" s="4">
        <v>317</v>
      </c>
      <c r="G11664">
        <f t="shared" si="182"/>
        <v>2592</v>
      </c>
    </row>
    <row r="11665" spans="2:7" ht="15" hidden="1" x14ac:dyDescent="0.25">
      <c r="B11665" s="4">
        <v>584767900</v>
      </c>
      <c r="C11665" s="4" t="s">
        <v>273</v>
      </c>
      <c r="D11665" s="4">
        <v>9659</v>
      </c>
      <c r="E11665" s="4">
        <v>317</v>
      </c>
      <c r="G11665">
        <f t="shared" si="182"/>
        <v>2592</v>
      </c>
    </row>
    <row r="11666" spans="2:7" ht="15" hidden="1" x14ac:dyDescent="0.25">
      <c r="B11666" s="4">
        <v>584767929</v>
      </c>
      <c r="C11666" s="4" t="s">
        <v>273</v>
      </c>
      <c r="D11666" s="4">
        <v>9688</v>
      </c>
      <c r="E11666" s="4">
        <v>317</v>
      </c>
      <c r="G11666">
        <f t="shared" si="182"/>
        <v>2592</v>
      </c>
    </row>
    <row r="11667" spans="2:7" ht="15" hidden="1" x14ac:dyDescent="0.25">
      <c r="B11667" s="4">
        <v>584767948</v>
      </c>
      <c r="C11667" s="4" t="s">
        <v>272</v>
      </c>
      <c r="D11667" s="4">
        <v>195</v>
      </c>
      <c r="E11667" s="4">
        <v>265</v>
      </c>
      <c r="G11667">
        <f t="shared" si="182"/>
        <v>2176</v>
      </c>
    </row>
    <row r="11668" spans="2:7" ht="15" hidden="1" x14ac:dyDescent="0.25">
      <c r="B11668" s="4">
        <v>584767957</v>
      </c>
      <c r="C11668" s="4" t="s">
        <v>273</v>
      </c>
      <c r="D11668" s="4">
        <v>9716</v>
      </c>
      <c r="E11668" s="4">
        <v>317</v>
      </c>
      <c r="G11668">
        <f t="shared" si="182"/>
        <v>2592</v>
      </c>
    </row>
    <row r="11669" spans="2:7" ht="15" hidden="1" x14ac:dyDescent="0.25">
      <c r="B11669" s="4">
        <v>584767986</v>
      </c>
      <c r="C11669" s="4" t="s">
        <v>273</v>
      </c>
      <c r="D11669" s="4">
        <v>9745</v>
      </c>
      <c r="E11669" s="4">
        <v>317</v>
      </c>
      <c r="G11669">
        <f t="shared" si="182"/>
        <v>2592</v>
      </c>
    </row>
    <row r="11670" spans="2:7" ht="15" hidden="1" x14ac:dyDescent="0.25">
      <c r="B11670" s="4">
        <v>584768014</v>
      </c>
      <c r="C11670" s="4" t="s">
        <v>273</v>
      </c>
      <c r="D11670" s="4">
        <v>9773</v>
      </c>
      <c r="E11670" s="4">
        <v>317</v>
      </c>
      <c r="G11670">
        <f t="shared" si="182"/>
        <v>2592</v>
      </c>
    </row>
    <row r="11671" spans="2:7" ht="15" hidden="1" x14ac:dyDescent="0.25">
      <c r="B11671" s="4">
        <v>584768043</v>
      </c>
      <c r="C11671" s="4" t="s">
        <v>273</v>
      </c>
      <c r="D11671" s="4">
        <v>9802</v>
      </c>
      <c r="E11671" s="4">
        <v>317</v>
      </c>
      <c r="G11671">
        <f t="shared" si="182"/>
        <v>2592</v>
      </c>
    </row>
    <row r="11672" spans="2:7" ht="15" hidden="1" x14ac:dyDescent="0.25">
      <c r="B11672" s="4">
        <v>584768048</v>
      </c>
      <c r="C11672" s="4" t="s">
        <v>272</v>
      </c>
      <c r="D11672" s="4">
        <v>196</v>
      </c>
      <c r="E11672" s="4">
        <v>261</v>
      </c>
      <c r="G11672">
        <f t="shared" si="182"/>
        <v>2144</v>
      </c>
    </row>
    <row r="11673" spans="2:7" ht="15" hidden="1" x14ac:dyDescent="0.25">
      <c r="B11673" s="4">
        <v>584768071</v>
      </c>
      <c r="C11673" s="4" t="s">
        <v>273</v>
      </c>
      <c r="D11673" s="4">
        <v>9830</v>
      </c>
      <c r="E11673" s="4">
        <v>317</v>
      </c>
      <c r="G11673">
        <f t="shared" si="182"/>
        <v>2592</v>
      </c>
    </row>
    <row r="11674" spans="2:7" ht="15" hidden="1" x14ac:dyDescent="0.25">
      <c r="B11674" s="4">
        <v>584768099</v>
      </c>
      <c r="C11674" s="4" t="s">
        <v>273</v>
      </c>
      <c r="D11674" s="4">
        <v>9858</v>
      </c>
      <c r="E11674" s="4">
        <v>317</v>
      </c>
      <c r="G11674">
        <f t="shared" si="182"/>
        <v>2592</v>
      </c>
    </row>
    <row r="11675" spans="2:7" ht="15" hidden="1" x14ac:dyDescent="0.25">
      <c r="B11675" s="4">
        <v>584768118</v>
      </c>
      <c r="C11675" s="4" t="s">
        <v>273</v>
      </c>
      <c r="D11675" s="4">
        <v>9877</v>
      </c>
      <c r="E11675" s="4">
        <v>317</v>
      </c>
      <c r="G11675">
        <f t="shared" si="182"/>
        <v>2592</v>
      </c>
    </row>
    <row r="11676" spans="2:7" ht="15" hidden="1" x14ac:dyDescent="0.25">
      <c r="B11676" s="4">
        <v>584768147</v>
      </c>
      <c r="C11676" s="4" t="s">
        <v>273</v>
      </c>
      <c r="D11676" s="4">
        <v>9906</v>
      </c>
      <c r="E11676" s="4">
        <v>317</v>
      </c>
      <c r="G11676">
        <f t="shared" si="182"/>
        <v>2592</v>
      </c>
    </row>
    <row r="11677" spans="2:7" ht="15" hidden="1" x14ac:dyDescent="0.25">
      <c r="B11677" s="4">
        <v>584768148</v>
      </c>
      <c r="C11677" s="4" t="s">
        <v>272</v>
      </c>
      <c r="D11677" s="4">
        <v>197</v>
      </c>
      <c r="E11677" s="4">
        <v>269</v>
      </c>
      <c r="G11677">
        <f t="shared" si="182"/>
        <v>2208</v>
      </c>
    </row>
    <row r="11678" spans="2:7" ht="15" hidden="1" x14ac:dyDescent="0.25">
      <c r="B11678" s="4">
        <v>584768185</v>
      </c>
      <c r="C11678" s="4" t="s">
        <v>273</v>
      </c>
      <c r="D11678" s="4">
        <v>9944</v>
      </c>
      <c r="E11678" s="4">
        <v>317</v>
      </c>
      <c r="G11678">
        <f t="shared" si="182"/>
        <v>2592</v>
      </c>
    </row>
    <row r="11679" spans="2:7" ht="15" hidden="1" x14ac:dyDescent="0.25">
      <c r="B11679" s="4">
        <v>584768213</v>
      </c>
      <c r="C11679" s="4" t="s">
        <v>273</v>
      </c>
      <c r="D11679" s="4">
        <v>9972</v>
      </c>
      <c r="E11679" s="4">
        <v>317</v>
      </c>
      <c r="G11679">
        <f t="shared" si="182"/>
        <v>2592</v>
      </c>
    </row>
    <row r="11680" spans="2:7" ht="15" hidden="1" x14ac:dyDescent="0.25">
      <c r="B11680" s="4">
        <v>584768219</v>
      </c>
      <c r="C11680" s="4" t="s">
        <v>273</v>
      </c>
      <c r="D11680" s="4">
        <v>9978</v>
      </c>
      <c r="E11680" s="4">
        <v>317</v>
      </c>
      <c r="G11680">
        <f t="shared" si="182"/>
        <v>2592</v>
      </c>
    </row>
    <row r="11681" spans="2:7" ht="15" hidden="1" x14ac:dyDescent="0.25">
      <c r="B11681" s="4">
        <v>584768232</v>
      </c>
      <c r="C11681" s="4" t="s">
        <v>273</v>
      </c>
      <c r="D11681" s="4">
        <v>9991</v>
      </c>
      <c r="E11681" s="4">
        <v>317</v>
      </c>
      <c r="G11681">
        <f t="shared" si="182"/>
        <v>2592</v>
      </c>
    </row>
    <row r="11682" spans="2:7" ht="15" hidden="1" x14ac:dyDescent="0.25">
      <c r="B11682" s="4">
        <v>584768248</v>
      </c>
      <c r="C11682" s="4" t="s">
        <v>272</v>
      </c>
      <c r="D11682" s="4">
        <v>198</v>
      </c>
      <c r="E11682" s="4">
        <v>277</v>
      </c>
      <c r="G11682">
        <f t="shared" si="182"/>
        <v>2272</v>
      </c>
    </row>
    <row r="11683" spans="2:7" ht="15" hidden="1" x14ac:dyDescent="0.25">
      <c r="B11683" s="4">
        <v>584768261</v>
      </c>
      <c r="C11683" s="4" t="s">
        <v>273</v>
      </c>
      <c r="D11683" s="4">
        <v>10020</v>
      </c>
      <c r="E11683" s="4">
        <v>317</v>
      </c>
      <c r="G11683">
        <f t="shared" si="182"/>
        <v>2592</v>
      </c>
    </row>
    <row r="11684" spans="2:7" ht="15" hidden="1" x14ac:dyDescent="0.25">
      <c r="B11684" s="4">
        <v>584768289</v>
      </c>
      <c r="C11684" s="4" t="s">
        <v>273</v>
      </c>
      <c r="D11684" s="4">
        <v>10048</v>
      </c>
      <c r="E11684" s="4">
        <v>317</v>
      </c>
      <c r="G11684">
        <f t="shared" si="182"/>
        <v>2592</v>
      </c>
    </row>
    <row r="11685" spans="2:7" ht="15" hidden="1" x14ac:dyDescent="0.25">
      <c r="B11685" s="4">
        <v>584768317</v>
      </c>
      <c r="C11685" s="4" t="s">
        <v>273</v>
      </c>
      <c r="D11685" s="4">
        <v>10076</v>
      </c>
      <c r="E11685" s="4">
        <v>317</v>
      </c>
      <c r="G11685">
        <f t="shared" si="182"/>
        <v>2592</v>
      </c>
    </row>
    <row r="11686" spans="2:7" ht="15" hidden="1" x14ac:dyDescent="0.25">
      <c r="B11686" s="4">
        <v>584768346</v>
      </c>
      <c r="C11686" s="4" t="s">
        <v>273</v>
      </c>
      <c r="D11686" s="4">
        <v>10105</v>
      </c>
      <c r="E11686" s="4">
        <v>317</v>
      </c>
      <c r="G11686">
        <f t="shared" si="182"/>
        <v>2592</v>
      </c>
    </row>
    <row r="11687" spans="2:7" ht="15" hidden="1" x14ac:dyDescent="0.25">
      <c r="B11687" s="4">
        <v>584768348</v>
      </c>
      <c r="C11687" s="4" t="s">
        <v>272</v>
      </c>
      <c r="D11687" s="4">
        <v>199</v>
      </c>
      <c r="E11687" s="4">
        <v>275</v>
      </c>
      <c r="G11687">
        <f t="shared" si="182"/>
        <v>2256</v>
      </c>
    </row>
    <row r="11688" spans="2:7" ht="15" hidden="1" x14ac:dyDescent="0.25">
      <c r="B11688" s="4">
        <v>584768374</v>
      </c>
      <c r="C11688" s="4" t="s">
        <v>273</v>
      </c>
      <c r="D11688" s="4">
        <v>10133</v>
      </c>
      <c r="E11688" s="4">
        <v>317</v>
      </c>
      <c r="G11688">
        <f t="shared" si="182"/>
        <v>2592</v>
      </c>
    </row>
    <row r="11689" spans="2:7" ht="15" hidden="1" x14ac:dyDescent="0.25">
      <c r="B11689" s="4">
        <v>584768403</v>
      </c>
      <c r="C11689" s="4" t="s">
        <v>273</v>
      </c>
      <c r="D11689" s="4">
        <v>10162</v>
      </c>
      <c r="E11689" s="4">
        <v>317</v>
      </c>
      <c r="G11689">
        <f t="shared" si="182"/>
        <v>2592</v>
      </c>
    </row>
    <row r="11690" spans="2:7" ht="15" hidden="1" x14ac:dyDescent="0.25">
      <c r="B11690" s="4">
        <v>584768431</v>
      </c>
      <c r="C11690" s="4" t="s">
        <v>273</v>
      </c>
      <c r="D11690" s="4">
        <v>10190</v>
      </c>
      <c r="E11690" s="4">
        <v>317</v>
      </c>
      <c r="G11690">
        <f t="shared" si="182"/>
        <v>2592</v>
      </c>
    </row>
    <row r="11691" spans="2:7" ht="15" hidden="1" x14ac:dyDescent="0.25">
      <c r="B11691" s="4">
        <v>584768448</v>
      </c>
      <c r="C11691" s="4" t="s">
        <v>272</v>
      </c>
      <c r="D11691" s="4">
        <v>200</v>
      </c>
      <c r="E11691" s="4">
        <v>267</v>
      </c>
      <c r="G11691">
        <f t="shared" si="182"/>
        <v>2192</v>
      </c>
    </row>
    <row r="11692" spans="2:7" ht="15" hidden="1" x14ac:dyDescent="0.25">
      <c r="B11692" s="4">
        <v>584768460</v>
      </c>
      <c r="C11692" s="4" t="s">
        <v>273</v>
      </c>
      <c r="D11692" s="4">
        <v>10219</v>
      </c>
      <c r="E11692" s="4">
        <v>317</v>
      </c>
      <c r="G11692">
        <f t="shared" si="182"/>
        <v>2592</v>
      </c>
    </row>
    <row r="11693" spans="2:7" ht="15" hidden="1" x14ac:dyDescent="0.25">
      <c r="B11693" s="4">
        <v>584768488</v>
      </c>
      <c r="C11693" s="4" t="s">
        <v>273</v>
      </c>
      <c r="D11693" s="4">
        <v>10247</v>
      </c>
      <c r="E11693" s="4">
        <v>317</v>
      </c>
      <c r="G11693">
        <f t="shared" si="182"/>
        <v>2592</v>
      </c>
    </row>
    <row r="11694" spans="2:7" ht="15" hidden="1" x14ac:dyDescent="0.25">
      <c r="B11694" s="4">
        <v>584768516</v>
      </c>
      <c r="C11694" s="4" t="s">
        <v>273</v>
      </c>
      <c r="D11694" s="4">
        <v>10275</v>
      </c>
      <c r="E11694" s="4">
        <v>317</v>
      </c>
      <c r="G11694">
        <f t="shared" si="182"/>
        <v>2592</v>
      </c>
    </row>
    <row r="11695" spans="2:7" ht="15" hidden="1" x14ac:dyDescent="0.25">
      <c r="B11695" s="4">
        <v>584768545</v>
      </c>
      <c r="C11695" s="4" t="s">
        <v>273</v>
      </c>
      <c r="D11695" s="4">
        <v>10304</v>
      </c>
      <c r="E11695" s="4">
        <v>317</v>
      </c>
      <c r="G11695">
        <f t="shared" si="182"/>
        <v>2592</v>
      </c>
    </row>
    <row r="11696" spans="2:7" ht="15" hidden="1" x14ac:dyDescent="0.25">
      <c r="B11696" s="4">
        <v>584768548</v>
      </c>
      <c r="C11696" s="4" t="s">
        <v>272</v>
      </c>
      <c r="D11696" s="4">
        <v>201</v>
      </c>
      <c r="E11696" s="4">
        <v>269</v>
      </c>
      <c r="G11696">
        <f t="shared" si="182"/>
        <v>2208</v>
      </c>
    </row>
    <row r="11697" spans="2:7" ht="15" hidden="1" x14ac:dyDescent="0.25">
      <c r="B11697" s="4">
        <v>584768573</v>
      </c>
      <c r="C11697" s="4" t="s">
        <v>273</v>
      </c>
      <c r="D11697" s="4">
        <v>10332</v>
      </c>
      <c r="E11697" s="4">
        <v>317</v>
      </c>
      <c r="G11697">
        <f t="shared" si="182"/>
        <v>2592</v>
      </c>
    </row>
    <row r="11698" spans="2:7" ht="15" hidden="1" x14ac:dyDescent="0.25">
      <c r="B11698" s="4">
        <v>584768602</v>
      </c>
      <c r="C11698" s="4" t="s">
        <v>273</v>
      </c>
      <c r="D11698" s="4">
        <v>10361</v>
      </c>
      <c r="E11698" s="4">
        <v>317</v>
      </c>
      <c r="G11698">
        <f t="shared" si="182"/>
        <v>2592</v>
      </c>
    </row>
    <row r="11699" spans="2:7" ht="15" hidden="1" x14ac:dyDescent="0.25">
      <c r="B11699" s="4">
        <v>584768630</v>
      </c>
      <c r="C11699" s="4" t="s">
        <v>273</v>
      </c>
      <c r="D11699" s="4">
        <v>10389</v>
      </c>
      <c r="E11699" s="4">
        <v>317</v>
      </c>
      <c r="G11699">
        <f t="shared" si="182"/>
        <v>2592</v>
      </c>
    </row>
    <row r="11700" spans="2:7" ht="15" hidden="1" x14ac:dyDescent="0.25">
      <c r="B11700" s="4">
        <v>584768648</v>
      </c>
      <c r="C11700" s="4" t="s">
        <v>272</v>
      </c>
      <c r="D11700" s="4">
        <v>202</v>
      </c>
      <c r="E11700" s="4">
        <v>275</v>
      </c>
      <c r="G11700">
        <f t="shared" si="182"/>
        <v>2256</v>
      </c>
    </row>
    <row r="11701" spans="2:7" ht="15" hidden="1" x14ac:dyDescent="0.25">
      <c r="B11701" s="4">
        <v>584768659</v>
      </c>
      <c r="C11701" s="4" t="s">
        <v>273</v>
      </c>
      <c r="D11701" s="4">
        <v>10418</v>
      </c>
      <c r="E11701" s="4">
        <v>317</v>
      </c>
      <c r="G11701">
        <f t="shared" si="182"/>
        <v>2592</v>
      </c>
    </row>
    <row r="11702" spans="2:7" ht="15" hidden="1" x14ac:dyDescent="0.25">
      <c r="B11702" s="4">
        <v>584768687</v>
      </c>
      <c r="C11702" s="4" t="s">
        <v>273</v>
      </c>
      <c r="D11702" s="4">
        <v>10446</v>
      </c>
      <c r="E11702" s="4">
        <v>317</v>
      </c>
      <c r="G11702">
        <f t="shared" si="182"/>
        <v>2592</v>
      </c>
    </row>
    <row r="11703" spans="2:7" ht="15" hidden="1" x14ac:dyDescent="0.25">
      <c r="B11703" s="4">
        <v>584768716</v>
      </c>
      <c r="C11703" s="4" t="s">
        <v>273</v>
      </c>
      <c r="D11703" s="4">
        <v>10475</v>
      </c>
      <c r="E11703" s="4">
        <v>317</v>
      </c>
      <c r="G11703">
        <f t="shared" si="182"/>
        <v>2592</v>
      </c>
    </row>
    <row r="11704" spans="2:7" ht="15" hidden="1" x14ac:dyDescent="0.25">
      <c r="B11704" s="4">
        <v>584768735</v>
      </c>
      <c r="C11704" s="4" t="s">
        <v>273</v>
      </c>
      <c r="D11704" s="4">
        <v>10494</v>
      </c>
      <c r="E11704" s="4">
        <v>317</v>
      </c>
      <c r="G11704">
        <f t="shared" si="182"/>
        <v>2592</v>
      </c>
    </row>
    <row r="11705" spans="2:7" ht="15" hidden="1" x14ac:dyDescent="0.25">
      <c r="B11705" s="4">
        <v>584768748</v>
      </c>
      <c r="C11705" s="4" t="s">
        <v>272</v>
      </c>
      <c r="D11705" s="4">
        <v>203</v>
      </c>
      <c r="E11705" s="4">
        <v>275</v>
      </c>
      <c r="G11705">
        <f t="shared" si="182"/>
        <v>2256</v>
      </c>
    </row>
    <row r="11706" spans="2:7" ht="15" hidden="1" x14ac:dyDescent="0.25">
      <c r="B11706" s="4">
        <v>584768763</v>
      </c>
      <c r="C11706" s="4" t="s">
        <v>273</v>
      </c>
      <c r="D11706" s="4">
        <v>10522</v>
      </c>
      <c r="E11706" s="4">
        <v>317</v>
      </c>
      <c r="G11706">
        <f t="shared" si="182"/>
        <v>2592</v>
      </c>
    </row>
    <row r="11707" spans="2:7" ht="15" hidden="1" x14ac:dyDescent="0.25">
      <c r="B11707" s="4">
        <v>584768791</v>
      </c>
      <c r="C11707" s="4" t="s">
        <v>273</v>
      </c>
      <c r="D11707" s="4">
        <v>10550</v>
      </c>
      <c r="E11707" s="4">
        <v>317</v>
      </c>
      <c r="G11707">
        <f t="shared" si="182"/>
        <v>2592</v>
      </c>
    </row>
    <row r="11708" spans="2:7" ht="15" hidden="1" x14ac:dyDescent="0.25">
      <c r="B11708" s="4">
        <v>584768820</v>
      </c>
      <c r="C11708" s="4" t="s">
        <v>273</v>
      </c>
      <c r="D11708" s="4">
        <v>10579</v>
      </c>
      <c r="E11708" s="4">
        <v>317</v>
      </c>
      <c r="G11708">
        <f t="shared" si="182"/>
        <v>2592</v>
      </c>
    </row>
    <row r="11709" spans="2:7" ht="15" hidden="1" x14ac:dyDescent="0.25">
      <c r="B11709" s="4">
        <v>584768848</v>
      </c>
      <c r="C11709" s="4" t="s">
        <v>273</v>
      </c>
      <c r="D11709" s="4">
        <v>10607</v>
      </c>
      <c r="E11709" s="4">
        <v>317</v>
      </c>
      <c r="G11709">
        <f t="shared" si="182"/>
        <v>2592</v>
      </c>
    </row>
    <row r="11710" spans="2:7" ht="15" hidden="1" x14ac:dyDescent="0.25">
      <c r="B11710" s="4">
        <v>584768848</v>
      </c>
      <c r="C11710" s="4" t="s">
        <v>272</v>
      </c>
      <c r="D11710" s="4">
        <v>204</v>
      </c>
      <c r="E11710" s="4">
        <v>267</v>
      </c>
      <c r="G11710">
        <f t="shared" si="182"/>
        <v>2192</v>
      </c>
    </row>
    <row r="11711" spans="2:7" ht="15" hidden="1" x14ac:dyDescent="0.25">
      <c r="B11711" s="4">
        <v>584768877</v>
      </c>
      <c r="C11711" s="4" t="s">
        <v>273</v>
      </c>
      <c r="D11711" s="4">
        <v>10636</v>
      </c>
      <c r="E11711" s="4">
        <v>317</v>
      </c>
      <c r="G11711">
        <f t="shared" si="182"/>
        <v>2592</v>
      </c>
    </row>
    <row r="11712" spans="2:7" ht="15" hidden="1" x14ac:dyDescent="0.25">
      <c r="B11712" s="4">
        <v>584768905</v>
      </c>
      <c r="C11712" s="4" t="s">
        <v>273</v>
      </c>
      <c r="D11712" s="4">
        <v>10664</v>
      </c>
      <c r="E11712" s="4">
        <v>317</v>
      </c>
      <c r="G11712">
        <f t="shared" si="182"/>
        <v>2592</v>
      </c>
    </row>
    <row r="11713" spans="2:7" ht="15" hidden="1" x14ac:dyDescent="0.25">
      <c r="B11713" s="4">
        <v>584768934</v>
      </c>
      <c r="C11713" s="4" t="s">
        <v>273</v>
      </c>
      <c r="D11713" s="4">
        <v>10693</v>
      </c>
      <c r="E11713" s="4">
        <v>317</v>
      </c>
      <c r="G11713">
        <f t="shared" si="182"/>
        <v>2592</v>
      </c>
    </row>
    <row r="11714" spans="2:7" ht="15" hidden="1" x14ac:dyDescent="0.25">
      <c r="B11714" s="4">
        <v>584768944</v>
      </c>
      <c r="C11714" s="4" t="s">
        <v>269</v>
      </c>
      <c r="D11714" s="4">
        <v>1620</v>
      </c>
      <c r="E11714" s="4">
        <v>57</v>
      </c>
      <c r="G11714">
        <f t="shared" si="182"/>
        <v>512</v>
      </c>
    </row>
    <row r="11715" spans="2:7" ht="15" hidden="1" x14ac:dyDescent="0.25">
      <c r="B11715" s="4">
        <v>584768948</v>
      </c>
      <c r="C11715" s="4" t="s">
        <v>272</v>
      </c>
      <c r="D11715" s="4">
        <v>205</v>
      </c>
      <c r="E11715" s="4">
        <v>269</v>
      </c>
      <c r="G11715">
        <f t="shared" si="182"/>
        <v>2208</v>
      </c>
    </row>
    <row r="11716" spans="2:7" ht="15" hidden="1" x14ac:dyDescent="0.25">
      <c r="B11716" s="4">
        <v>584768962</v>
      </c>
      <c r="C11716" s="4" t="s">
        <v>273</v>
      </c>
      <c r="D11716" s="4">
        <v>10721</v>
      </c>
      <c r="E11716" s="4">
        <v>317</v>
      </c>
      <c r="G11716">
        <f t="shared" ref="G11716:G11779" si="183">(E11716+7)*8</f>
        <v>2592</v>
      </c>
    </row>
    <row r="11717" spans="2:7" ht="15" hidden="1" x14ac:dyDescent="0.25">
      <c r="B11717" s="4">
        <v>584768990</v>
      </c>
      <c r="C11717" s="4" t="s">
        <v>273</v>
      </c>
      <c r="D11717" s="4">
        <v>10749</v>
      </c>
      <c r="E11717" s="4">
        <v>317</v>
      </c>
      <c r="G11717">
        <f t="shared" si="183"/>
        <v>2592</v>
      </c>
    </row>
    <row r="11718" spans="2:7" ht="15" hidden="1" x14ac:dyDescent="0.25">
      <c r="B11718" s="4">
        <v>584769019</v>
      </c>
      <c r="C11718" s="4" t="s">
        <v>273</v>
      </c>
      <c r="D11718" s="4">
        <v>10778</v>
      </c>
      <c r="E11718" s="4">
        <v>317</v>
      </c>
      <c r="G11718">
        <f t="shared" si="183"/>
        <v>2592</v>
      </c>
    </row>
    <row r="11719" spans="2:7" ht="15" hidden="1" x14ac:dyDescent="0.25">
      <c r="B11719" s="4">
        <v>584769047</v>
      </c>
      <c r="C11719" s="4" t="s">
        <v>273</v>
      </c>
      <c r="D11719" s="4">
        <v>10806</v>
      </c>
      <c r="E11719" s="4">
        <v>317</v>
      </c>
      <c r="G11719">
        <f t="shared" si="183"/>
        <v>2592</v>
      </c>
    </row>
    <row r="11720" spans="2:7" ht="15" hidden="1" x14ac:dyDescent="0.25">
      <c r="B11720" s="4">
        <v>584769048</v>
      </c>
      <c r="C11720" s="4" t="s">
        <v>272</v>
      </c>
      <c r="D11720" s="4">
        <v>206</v>
      </c>
      <c r="E11720" s="4">
        <v>279</v>
      </c>
      <c r="G11720">
        <f t="shared" si="183"/>
        <v>2288</v>
      </c>
    </row>
    <row r="11721" spans="2:7" ht="15" hidden="1" x14ac:dyDescent="0.25">
      <c r="B11721" s="4">
        <v>584769076</v>
      </c>
      <c r="C11721" s="4" t="s">
        <v>273</v>
      </c>
      <c r="D11721" s="4">
        <v>10835</v>
      </c>
      <c r="E11721" s="4">
        <v>317</v>
      </c>
      <c r="G11721">
        <f t="shared" si="183"/>
        <v>2592</v>
      </c>
    </row>
    <row r="11722" spans="2:7" ht="15" hidden="1" x14ac:dyDescent="0.25">
      <c r="B11722" s="4">
        <v>584769104</v>
      </c>
      <c r="C11722" s="4" t="s">
        <v>273</v>
      </c>
      <c r="D11722" s="4">
        <v>10863</v>
      </c>
      <c r="E11722" s="4">
        <v>317</v>
      </c>
      <c r="G11722">
        <f t="shared" si="183"/>
        <v>2592</v>
      </c>
    </row>
    <row r="11723" spans="2:7" ht="15" hidden="1" x14ac:dyDescent="0.25">
      <c r="B11723" s="4">
        <v>584769133</v>
      </c>
      <c r="C11723" s="4" t="s">
        <v>273</v>
      </c>
      <c r="D11723" s="4">
        <v>10892</v>
      </c>
      <c r="E11723" s="4">
        <v>317</v>
      </c>
      <c r="G11723">
        <f t="shared" si="183"/>
        <v>2592</v>
      </c>
    </row>
    <row r="11724" spans="2:7" ht="15" hidden="1" x14ac:dyDescent="0.25">
      <c r="B11724" s="4">
        <v>584769148</v>
      </c>
      <c r="C11724" s="4" t="s">
        <v>272</v>
      </c>
      <c r="D11724" s="4">
        <v>207</v>
      </c>
      <c r="E11724" s="4">
        <v>265</v>
      </c>
      <c r="G11724">
        <f t="shared" si="183"/>
        <v>2176</v>
      </c>
    </row>
    <row r="11725" spans="2:7" ht="15" hidden="1" x14ac:dyDescent="0.25">
      <c r="B11725" s="4">
        <v>584769161</v>
      </c>
      <c r="C11725" s="4" t="s">
        <v>273</v>
      </c>
      <c r="D11725" s="4">
        <v>10920</v>
      </c>
      <c r="E11725" s="4">
        <v>317</v>
      </c>
      <c r="G11725">
        <f t="shared" si="183"/>
        <v>2592</v>
      </c>
    </row>
    <row r="11726" spans="2:7" ht="15" hidden="1" x14ac:dyDescent="0.25">
      <c r="B11726" s="4">
        <v>584769189</v>
      </c>
      <c r="C11726" s="4" t="s">
        <v>273</v>
      </c>
      <c r="D11726" s="4">
        <v>10948</v>
      </c>
      <c r="E11726" s="4">
        <v>317</v>
      </c>
      <c r="G11726">
        <f t="shared" si="183"/>
        <v>2592</v>
      </c>
    </row>
    <row r="11727" spans="2:7" ht="15" hidden="1" x14ac:dyDescent="0.25">
      <c r="B11727" s="4">
        <v>584769218</v>
      </c>
      <c r="C11727" s="4" t="s">
        <v>273</v>
      </c>
      <c r="D11727" s="4">
        <v>10977</v>
      </c>
      <c r="E11727" s="4">
        <v>317</v>
      </c>
      <c r="G11727">
        <f t="shared" si="183"/>
        <v>2592</v>
      </c>
    </row>
    <row r="11728" spans="2:7" ht="15" hidden="1" x14ac:dyDescent="0.25">
      <c r="B11728" s="4">
        <v>584769246</v>
      </c>
      <c r="C11728" s="4" t="s">
        <v>273</v>
      </c>
      <c r="D11728" s="4">
        <v>11005</v>
      </c>
      <c r="E11728" s="4">
        <v>317</v>
      </c>
      <c r="G11728">
        <f t="shared" si="183"/>
        <v>2592</v>
      </c>
    </row>
    <row r="11729" spans="2:7" ht="15" hidden="1" x14ac:dyDescent="0.25">
      <c r="B11729" s="4">
        <v>584769248</v>
      </c>
      <c r="C11729" s="4" t="s">
        <v>272</v>
      </c>
      <c r="D11729" s="4">
        <v>208</v>
      </c>
      <c r="E11729" s="4">
        <v>273</v>
      </c>
      <c r="G11729">
        <f t="shared" si="183"/>
        <v>2240</v>
      </c>
    </row>
    <row r="11730" spans="2:7" ht="15" hidden="1" x14ac:dyDescent="0.25">
      <c r="B11730" s="4">
        <v>584769275</v>
      </c>
      <c r="C11730" s="4" t="s">
        <v>273</v>
      </c>
      <c r="D11730" s="4">
        <v>11034</v>
      </c>
      <c r="E11730" s="4">
        <v>317</v>
      </c>
      <c r="G11730">
        <f t="shared" si="183"/>
        <v>2592</v>
      </c>
    </row>
    <row r="11731" spans="2:7" ht="15" hidden="1" x14ac:dyDescent="0.25">
      <c r="B11731" s="4">
        <v>584769303</v>
      </c>
      <c r="C11731" s="4" t="s">
        <v>273</v>
      </c>
      <c r="D11731" s="4">
        <v>11062</v>
      </c>
      <c r="E11731" s="4">
        <v>317</v>
      </c>
      <c r="G11731">
        <f t="shared" si="183"/>
        <v>2592</v>
      </c>
    </row>
    <row r="11732" spans="2:7" ht="15" hidden="1" x14ac:dyDescent="0.25">
      <c r="B11732" s="4">
        <v>584769332</v>
      </c>
      <c r="C11732" s="4" t="s">
        <v>273</v>
      </c>
      <c r="D11732" s="4">
        <v>11091</v>
      </c>
      <c r="E11732" s="4">
        <v>317</v>
      </c>
      <c r="G11732">
        <f t="shared" si="183"/>
        <v>2592</v>
      </c>
    </row>
    <row r="11733" spans="2:7" ht="15" hidden="1" x14ac:dyDescent="0.25">
      <c r="B11733" s="4">
        <v>584769348</v>
      </c>
      <c r="C11733" s="4" t="s">
        <v>272</v>
      </c>
      <c r="D11733" s="4">
        <v>209</v>
      </c>
      <c r="E11733" s="4">
        <v>269</v>
      </c>
      <c r="G11733">
        <f t="shared" si="183"/>
        <v>2208</v>
      </c>
    </row>
    <row r="11734" spans="2:7" ht="15" hidden="1" x14ac:dyDescent="0.25">
      <c r="B11734" s="4">
        <v>584769360</v>
      </c>
      <c r="C11734" s="4" t="s">
        <v>273</v>
      </c>
      <c r="D11734" s="4">
        <v>11119</v>
      </c>
      <c r="E11734" s="4">
        <v>317</v>
      </c>
      <c r="G11734">
        <f t="shared" si="183"/>
        <v>2592</v>
      </c>
    </row>
    <row r="11735" spans="2:7" ht="15" hidden="1" x14ac:dyDescent="0.25">
      <c r="B11735" s="4">
        <v>584769379</v>
      </c>
      <c r="C11735" s="4" t="s">
        <v>273</v>
      </c>
      <c r="D11735" s="4">
        <v>11138</v>
      </c>
      <c r="E11735" s="4">
        <v>317</v>
      </c>
      <c r="G11735">
        <f t="shared" si="183"/>
        <v>2592</v>
      </c>
    </row>
    <row r="11736" spans="2:7" ht="15" hidden="1" x14ac:dyDescent="0.25">
      <c r="B11736" s="4">
        <v>584769408</v>
      </c>
      <c r="C11736" s="4" t="s">
        <v>273</v>
      </c>
      <c r="D11736" s="4">
        <v>11167</v>
      </c>
      <c r="E11736" s="4">
        <v>317</v>
      </c>
      <c r="G11736">
        <f t="shared" si="183"/>
        <v>2592</v>
      </c>
    </row>
    <row r="11737" spans="2:7" ht="15" hidden="1" x14ac:dyDescent="0.25">
      <c r="B11737" s="4">
        <v>584769418</v>
      </c>
      <c r="C11737" s="4" t="s">
        <v>273</v>
      </c>
      <c r="D11737" s="4">
        <v>11177</v>
      </c>
      <c r="E11737" s="4">
        <v>317</v>
      </c>
      <c r="G11737">
        <f t="shared" si="183"/>
        <v>2592</v>
      </c>
    </row>
    <row r="11738" spans="2:7" ht="15" hidden="1" x14ac:dyDescent="0.25">
      <c r="B11738" s="4">
        <v>584769436</v>
      </c>
      <c r="C11738" s="4" t="s">
        <v>273</v>
      </c>
      <c r="D11738" s="4">
        <v>11195</v>
      </c>
      <c r="E11738" s="4">
        <v>317</v>
      </c>
      <c r="G11738">
        <f t="shared" si="183"/>
        <v>2592</v>
      </c>
    </row>
    <row r="11739" spans="2:7" ht="15" hidden="1" x14ac:dyDescent="0.25">
      <c r="B11739" s="4">
        <v>584769448</v>
      </c>
      <c r="C11739" s="4" t="s">
        <v>272</v>
      </c>
      <c r="D11739" s="4">
        <v>210</v>
      </c>
      <c r="E11739" s="4">
        <v>267</v>
      </c>
      <c r="G11739">
        <f t="shared" si="183"/>
        <v>2192</v>
      </c>
    </row>
    <row r="11740" spans="2:7" ht="15" hidden="1" x14ac:dyDescent="0.25">
      <c r="B11740" s="4">
        <v>584769474</v>
      </c>
      <c r="C11740" s="4" t="s">
        <v>273</v>
      </c>
      <c r="D11740" s="4">
        <v>11233</v>
      </c>
      <c r="E11740" s="4">
        <v>317</v>
      </c>
      <c r="G11740">
        <f t="shared" si="183"/>
        <v>2592</v>
      </c>
    </row>
    <row r="11741" spans="2:7" ht="15" hidden="1" x14ac:dyDescent="0.25">
      <c r="B11741" s="4">
        <v>584769493</v>
      </c>
      <c r="C11741" s="4" t="s">
        <v>273</v>
      </c>
      <c r="D11741" s="4">
        <v>11252</v>
      </c>
      <c r="E11741" s="4">
        <v>317</v>
      </c>
      <c r="G11741">
        <f t="shared" si="183"/>
        <v>2592</v>
      </c>
    </row>
    <row r="11742" spans="2:7" ht="15" hidden="1" x14ac:dyDescent="0.25">
      <c r="B11742" s="4">
        <v>584769521</v>
      </c>
      <c r="C11742" s="4" t="s">
        <v>273</v>
      </c>
      <c r="D11742" s="4">
        <v>11280</v>
      </c>
      <c r="E11742" s="4">
        <v>317</v>
      </c>
      <c r="G11742">
        <f t="shared" si="183"/>
        <v>2592</v>
      </c>
    </row>
    <row r="11743" spans="2:7" ht="15" hidden="1" x14ac:dyDescent="0.25">
      <c r="B11743" s="4">
        <v>584769548</v>
      </c>
      <c r="C11743" s="4" t="s">
        <v>272</v>
      </c>
      <c r="D11743" s="4">
        <v>211</v>
      </c>
      <c r="E11743" s="4">
        <v>267</v>
      </c>
      <c r="G11743">
        <f t="shared" si="183"/>
        <v>2192</v>
      </c>
    </row>
    <row r="11744" spans="2:7" ht="15" hidden="1" x14ac:dyDescent="0.25">
      <c r="B11744" s="4">
        <v>584769550</v>
      </c>
      <c r="C11744" s="4" t="s">
        <v>273</v>
      </c>
      <c r="D11744" s="4">
        <v>11309</v>
      </c>
      <c r="E11744" s="4">
        <v>317</v>
      </c>
      <c r="G11744">
        <f t="shared" si="183"/>
        <v>2592</v>
      </c>
    </row>
    <row r="11745" spans="2:7" ht="15" hidden="1" x14ac:dyDescent="0.25">
      <c r="B11745" s="4">
        <v>584769578</v>
      </c>
      <c r="C11745" s="4" t="s">
        <v>273</v>
      </c>
      <c r="D11745" s="4">
        <v>11337</v>
      </c>
      <c r="E11745" s="4">
        <v>317</v>
      </c>
      <c r="G11745">
        <f t="shared" si="183"/>
        <v>2592</v>
      </c>
    </row>
    <row r="11746" spans="2:7" ht="15" hidden="1" x14ac:dyDescent="0.25">
      <c r="B11746" s="4">
        <v>584769607</v>
      </c>
      <c r="C11746" s="4" t="s">
        <v>273</v>
      </c>
      <c r="D11746" s="4">
        <v>11366</v>
      </c>
      <c r="E11746" s="4">
        <v>317</v>
      </c>
      <c r="G11746">
        <f t="shared" si="183"/>
        <v>2592</v>
      </c>
    </row>
    <row r="11747" spans="2:7" ht="15" hidden="1" x14ac:dyDescent="0.25">
      <c r="B11747" s="4">
        <v>584769635</v>
      </c>
      <c r="C11747" s="4" t="s">
        <v>273</v>
      </c>
      <c r="D11747" s="4">
        <v>11394</v>
      </c>
      <c r="E11747" s="4">
        <v>317</v>
      </c>
      <c r="G11747">
        <f t="shared" si="183"/>
        <v>2592</v>
      </c>
    </row>
    <row r="11748" spans="2:7" ht="15" hidden="1" x14ac:dyDescent="0.25">
      <c r="B11748" s="4">
        <v>584769648</v>
      </c>
      <c r="C11748" s="4" t="s">
        <v>272</v>
      </c>
      <c r="D11748" s="4">
        <v>212</v>
      </c>
      <c r="E11748" s="4">
        <v>273</v>
      </c>
      <c r="G11748">
        <f t="shared" si="183"/>
        <v>2240</v>
      </c>
    </row>
    <row r="11749" spans="2:7" ht="15" hidden="1" x14ac:dyDescent="0.25">
      <c r="B11749" s="4">
        <v>584769663</v>
      </c>
      <c r="C11749" s="4" t="s">
        <v>273</v>
      </c>
      <c r="D11749" s="4">
        <v>11422</v>
      </c>
      <c r="E11749" s="4">
        <v>317</v>
      </c>
      <c r="G11749">
        <f t="shared" si="183"/>
        <v>2592</v>
      </c>
    </row>
    <row r="11750" spans="2:7" ht="15" hidden="1" x14ac:dyDescent="0.25">
      <c r="B11750" s="4">
        <v>584769692</v>
      </c>
      <c r="C11750" s="4" t="s">
        <v>273</v>
      </c>
      <c r="D11750" s="4">
        <v>11451</v>
      </c>
      <c r="E11750" s="4">
        <v>317</v>
      </c>
      <c r="G11750">
        <f t="shared" si="183"/>
        <v>2592</v>
      </c>
    </row>
    <row r="11751" spans="2:7" ht="15" hidden="1" x14ac:dyDescent="0.25">
      <c r="B11751" s="4">
        <v>584769720</v>
      </c>
      <c r="C11751" s="4" t="s">
        <v>273</v>
      </c>
      <c r="D11751" s="4">
        <v>11479</v>
      </c>
      <c r="E11751" s="4">
        <v>317</v>
      </c>
      <c r="G11751">
        <f t="shared" si="183"/>
        <v>2592</v>
      </c>
    </row>
    <row r="11752" spans="2:7" ht="15" hidden="1" x14ac:dyDescent="0.25">
      <c r="B11752" s="4">
        <v>584769748</v>
      </c>
      <c r="C11752" s="4" t="s">
        <v>272</v>
      </c>
      <c r="D11752" s="4">
        <v>213</v>
      </c>
      <c r="E11752" s="4">
        <v>273</v>
      </c>
      <c r="G11752">
        <f t="shared" si="183"/>
        <v>2240</v>
      </c>
    </row>
    <row r="11753" spans="2:7" ht="15" hidden="1" x14ac:dyDescent="0.25">
      <c r="B11753" s="4">
        <v>584769749</v>
      </c>
      <c r="C11753" s="4" t="s">
        <v>273</v>
      </c>
      <c r="D11753" s="4">
        <v>11508</v>
      </c>
      <c r="E11753" s="4">
        <v>317</v>
      </c>
      <c r="G11753">
        <f t="shared" si="183"/>
        <v>2592</v>
      </c>
    </row>
    <row r="11754" spans="2:7" ht="15" hidden="1" x14ac:dyDescent="0.25">
      <c r="B11754" s="4">
        <v>584769777</v>
      </c>
      <c r="C11754" s="4" t="s">
        <v>273</v>
      </c>
      <c r="D11754" s="4">
        <v>11536</v>
      </c>
      <c r="E11754" s="4">
        <v>317</v>
      </c>
      <c r="G11754">
        <f t="shared" si="183"/>
        <v>2592</v>
      </c>
    </row>
    <row r="11755" spans="2:7" ht="15" hidden="1" x14ac:dyDescent="0.25">
      <c r="B11755" s="4">
        <v>584769806</v>
      </c>
      <c r="C11755" s="4" t="s">
        <v>273</v>
      </c>
      <c r="D11755" s="4">
        <v>11565</v>
      </c>
      <c r="E11755" s="4">
        <v>317</v>
      </c>
      <c r="G11755">
        <f t="shared" si="183"/>
        <v>2592</v>
      </c>
    </row>
    <row r="11756" spans="2:7" ht="15" hidden="1" x14ac:dyDescent="0.25">
      <c r="B11756" s="4">
        <v>584769834</v>
      </c>
      <c r="C11756" s="4" t="s">
        <v>273</v>
      </c>
      <c r="D11756" s="4">
        <v>11593</v>
      </c>
      <c r="E11756" s="4">
        <v>317</v>
      </c>
      <c r="G11756">
        <f t="shared" si="183"/>
        <v>2592</v>
      </c>
    </row>
    <row r="11757" spans="2:7" ht="15" hidden="1" x14ac:dyDescent="0.25">
      <c r="B11757" s="4">
        <v>584769848</v>
      </c>
      <c r="C11757" s="4" t="s">
        <v>272</v>
      </c>
      <c r="D11757" s="4">
        <v>214</v>
      </c>
      <c r="E11757" s="4">
        <v>273</v>
      </c>
      <c r="G11757">
        <f t="shared" si="183"/>
        <v>2240</v>
      </c>
    </row>
    <row r="11758" spans="2:7" ht="15" hidden="1" x14ac:dyDescent="0.25">
      <c r="B11758" s="4">
        <v>584769863</v>
      </c>
      <c r="C11758" s="4" t="s">
        <v>273</v>
      </c>
      <c r="D11758" s="4">
        <v>11622</v>
      </c>
      <c r="E11758" s="4">
        <v>317</v>
      </c>
      <c r="G11758">
        <f t="shared" si="183"/>
        <v>2592</v>
      </c>
    </row>
    <row r="11759" spans="2:7" ht="15" hidden="1" x14ac:dyDescent="0.25">
      <c r="B11759" s="4">
        <v>584769891</v>
      </c>
      <c r="C11759" s="4" t="s">
        <v>273</v>
      </c>
      <c r="D11759" s="4">
        <v>11650</v>
      </c>
      <c r="E11759" s="4">
        <v>317</v>
      </c>
      <c r="G11759">
        <f t="shared" si="183"/>
        <v>2592</v>
      </c>
    </row>
    <row r="11760" spans="2:7" ht="15" hidden="1" x14ac:dyDescent="0.25">
      <c r="B11760" s="4">
        <v>584769919</v>
      </c>
      <c r="C11760" s="4" t="s">
        <v>273</v>
      </c>
      <c r="D11760" s="4">
        <v>11678</v>
      </c>
      <c r="E11760" s="4">
        <v>317</v>
      </c>
      <c r="G11760">
        <f t="shared" si="183"/>
        <v>2592</v>
      </c>
    </row>
    <row r="11761" spans="2:7" ht="15" hidden="1" x14ac:dyDescent="0.25">
      <c r="B11761" s="4">
        <v>584769938</v>
      </c>
      <c r="C11761" s="4" t="s">
        <v>273</v>
      </c>
      <c r="D11761" s="4">
        <v>11697</v>
      </c>
      <c r="E11761" s="4">
        <v>317</v>
      </c>
      <c r="G11761">
        <f t="shared" si="183"/>
        <v>2592</v>
      </c>
    </row>
    <row r="11762" spans="2:7" ht="15" hidden="1" x14ac:dyDescent="0.25">
      <c r="B11762" s="4">
        <v>584769948</v>
      </c>
      <c r="C11762" s="4" t="s">
        <v>272</v>
      </c>
      <c r="D11762" s="4">
        <v>215</v>
      </c>
      <c r="E11762" s="4">
        <v>261</v>
      </c>
      <c r="G11762">
        <f t="shared" si="183"/>
        <v>2144</v>
      </c>
    </row>
    <row r="11763" spans="2:7" ht="15" hidden="1" x14ac:dyDescent="0.25">
      <c r="B11763" s="4">
        <v>584769976</v>
      </c>
      <c r="C11763" s="4" t="s">
        <v>273</v>
      </c>
      <c r="D11763" s="4">
        <v>11735</v>
      </c>
      <c r="E11763" s="4">
        <v>317</v>
      </c>
      <c r="G11763">
        <f t="shared" si="183"/>
        <v>2592</v>
      </c>
    </row>
    <row r="11764" spans="2:7" ht="15" hidden="1" x14ac:dyDescent="0.25">
      <c r="B11764" s="4">
        <v>584769995</v>
      </c>
      <c r="C11764" s="4" t="s">
        <v>273</v>
      </c>
      <c r="D11764" s="4">
        <v>11754</v>
      </c>
      <c r="E11764" s="4">
        <v>317</v>
      </c>
      <c r="G11764">
        <f t="shared" si="183"/>
        <v>2592</v>
      </c>
    </row>
    <row r="11765" spans="2:7" ht="15" hidden="1" x14ac:dyDescent="0.25">
      <c r="B11765" s="4">
        <v>584770024</v>
      </c>
      <c r="C11765" s="4" t="s">
        <v>273</v>
      </c>
      <c r="D11765" s="4">
        <v>11783</v>
      </c>
      <c r="E11765" s="4">
        <v>317</v>
      </c>
      <c r="G11765">
        <f t="shared" si="183"/>
        <v>2592</v>
      </c>
    </row>
    <row r="11766" spans="2:7" ht="15" hidden="1" x14ac:dyDescent="0.25">
      <c r="B11766" s="4">
        <v>584770048</v>
      </c>
      <c r="C11766" s="4" t="s">
        <v>272</v>
      </c>
      <c r="D11766" s="4">
        <v>216</v>
      </c>
      <c r="E11766" s="4">
        <v>275</v>
      </c>
      <c r="G11766">
        <f t="shared" si="183"/>
        <v>2256</v>
      </c>
    </row>
    <row r="11767" spans="2:7" ht="15" hidden="1" x14ac:dyDescent="0.25">
      <c r="B11767" s="4">
        <v>584770052</v>
      </c>
      <c r="C11767" s="4" t="s">
        <v>273</v>
      </c>
      <c r="D11767" s="4">
        <v>11811</v>
      </c>
      <c r="E11767" s="4">
        <v>317</v>
      </c>
      <c r="G11767">
        <f t="shared" si="183"/>
        <v>2592</v>
      </c>
    </row>
    <row r="11768" spans="2:7" ht="15" hidden="1" x14ac:dyDescent="0.25">
      <c r="B11768" s="4">
        <v>584770081</v>
      </c>
      <c r="C11768" s="4" t="s">
        <v>273</v>
      </c>
      <c r="D11768" s="4">
        <v>11840</v>
      </c>
      <c r="E11768" s="4">
        <v>317</v>
      </c>
      <c r="G11768">
        <f t="shared" si="183"/>
        <v>2592</v>
      </c>
    </row>
    <row r="11769" spans="2:7" ht="15" hidden="1" x14ac:dyDescent="0.25">
      <c r="B11769" s="4">
        <v>584770109</v>
      </c>
      <c r="C11769" s="4" t="s">
        <v>273</v>
      </c>
      <c r="D11769" s="4">
        <v>11868</v>
      </c>
      <c r="E11769" s="4">
        <v>317</v>
      </c>
      <c r="G11769">
        <f t="shared" si="183"/>
        <v>2592</v>
      </c>
    </row>
    <row r="11770" spans="2:7" ht="15" hidden="1" x14ac:dyDescent="0.25">
      <c r="B11770" s="4">
        <v>584770137</v>
      </c>
      <c r="C11770" s="4" t="s">
        <v>273</v>
      </c>
      <c r="D11770" s="4">
        <v>11896</v>
      </c>
      <c r="E11770" s="4">
        <v>317</v>
      </c>
      <c r="G11770">
        <f t="shared" si="183"/>
        <v>2592</v>
      </c>
    </row>
    <row r="11771" spans="2:7" ht="15" hidden="1" x14ac:dyDescent="0.25">
      <c r="B11771" s="4">
        <v>584770148</v>
      </c>
      <c r="C11771" s="4" t="s">
        <v>272</v>
      </c>
      <c r="D11771" s="4">
        <v>217</v>
      </c>
      <c r="E11771" s="4">
        <v>269</v>
      </c>
      <c r="G11771">
        <f t="shared" si="183"/>
        <v>2208</v>
      </c>
    </row>
    <row r="11772" spans="2:7" ht="15" hidden="1" x14ac:dyDescent="0.25">
      <c r="B11772" s="4">
        <v>584770166</v>
      </c>
      <c r="C11772" s="4" t="s">
        <v>273</v>
      </c>
      <c r="D11772" s="4">
        <v>11925</v>
      </c>
      <c r="E11772" s="4">
        <v>317</v>
      </c>
      <c r="G11772">
        <f t="shared" si="183"/>
        <v>2592</v>
      </c>
    </row>
    <row r="11773" spans="2:7" ht="15" hidden="1" x14ac:dyDescent="0.25">
      <c r="B11773" s="4">
        <v>584770194</v>
      </c>
      <c r="C11773" s="4" t="s">
        <v>273</v>
      </c>
      <c r="D11773" s="4">
        <v>11953</v>
      </c>
      <c r="E11773" s="4">
        <v>317</v>
      </c>
      <c r="G11773">
        <f t="shared" si="183"/>
        <v>2592</v>
      </c>
    </row>
    <row r="11774" spans="2:7" ht="15" hidden="1" x14ac:dyDescent="0.25">
      <c r="B11774" s="4">
        <v>584770223</v>
      </c>
      <c r="C11774" s="4" t="s">
        <v>273</v>
      </c>
      <c r="D11774" s="4">
        <v>11982</v>
      </c>
      <c r="E11774" s="4">
        <v>317</v>
      </c>
      <c r="G11774">
        <f t="shared" si="183"/>
        <v>2592</v>
      </c>
    </row>
    <row r="11775" spans="2:7" ht="15" hidden="1" x14ac:dyDescent="0.25">
      <c r="B11775" s="4">
        <v>584770248</v>
      </c>
      <c r="C11775" s="4" t="s">
        <v>272</v>
      </c>
      <c r="D11775" s="4">
        <v>218</v>
      </c>
      <c r="E11775" s="4">
        <v>267</v>
      </c>
      <c r="G11775">
        <f t="shared" si="183"/>
        <v>2192</v>
      </c>
    </row>
    <row r="11776" spans="2:7" ht="15" hidden="1" x14ac:dyDescent="0.25">
      <c r="B11776" s="4">
        <v>584770251</v>
      </c>
      <c r="C11776" s="4" t="s">
        <v>273</v>
      </c>
      <c r="D11776" s="4">
        <v>12010</v>
      </c>
      <c r="E11776" s="4">
        <v>317</v>
      </c>
      <c r="G11776">
        <f t="shared" si="183"/>
        <v>2592</v>
      </c>
    </row>
    <row r="11777" spans="2:7" ht="15" hidden="1" x14ac:dyDescent="0.25">
      <c r="B11777" s="4">
        <v>584770280</v>
      </c>
      <c r="C11777" s="4" t="s">
        <v>273</v>
      </c>
      <c r="D11777" s="4">
        <v>12039</v>
      </c>
      <c r="E11777" s="4">
        <v>317</v>
      </c>
      <c r="G11777">
        <f t="shared" si="183"/>
        <v>2592</v>
      </c>
    </row>
    <row r="11778" spans="2:7" ht="15" hidden="1" x14ac:dyDescent="0.25">
      <c r="B11778" s="4">
        <v>584770308</v>
      </c>
      <c r="C11778" s="4" t="s">
        <v>273</v>
      </c>
      <c r="D11778" s="4">
        <v>12067</v>
      </c>
      <c r="E11778" s="4">
        <v>317</v>
      </c>
      <c r="G11778">
        <f t="shared" si="183"/>
        <v>2592</v>
      </c>
    </row>
    <row r="11779" spans="2:7" ht="15" hidden="1" x14ac:dyDescent="0.25">
      <c r="B11779" s="4">
        <v>584770336</v>
      </c>
      <c r="C11779" s="4" t="s">
        <v>273</v>
      </c>
      <c r="D11779" s="4">
        <v>12095</v>
      </c>
      <c r="E11779" s="4">
        <v>317</v>
      </c>
      <c r="G11779">
        <f t="shared" si="183"/>
        <v>2592</v>
      </c>
    </row>
    <row r="11780" spans="2:7" ht="15" hidden="1" x14ac:dyDescent="0.25">
      <c r="B11780" s="4">
        <v>584770348</v>
      </c>
      <c r="C11780" s="4" t="s">
        <v>272</v>
      </c>
      <c r="D11780" s="4">
        <v>219</v>
      </c>
      <c r="E11780" s="4">
        <v>263</v>
      </c>
      <c r="G11780">
        <f t="shared" ref="G11780:G11843" si="184">(E11780+7)*8</f>
        <v>2160</v>
      </c>
    </row>
    <row r="11781" spans="2:7" ht="15" hidden="1" x14ac:dyDescent="0.25">
      <c r="B11781" s="4">
        <v>584770365</v>
      </c>
      <c r="C11781" s="4" t="s">
        <v>273</v>
      </c>
      <c r="D11781" s="4">
        <v>12124</v>
      </c>
      <c r="E11781" s="4">
        <v>317</v>
      </c>
      <c r="G11781">
        <f t="shared" si="184"/>
        <v>2592</v>
      </c>
    </row>
    <row r="11782" spans="2:7" ht="15" hidden="1" x14ac:dyDescent="0.25">
      <c r="B11782" s="4">
        <v>584770393</v>
      </c>
      <c r="C11782" s="4" t="s">
        <v>273</v>
      </c>
      <c r="D11782" s="4">
        <v>12152</v>
      </c>
      <c r="E11782" s="4">
        <v>317</v>
      </c>
      <c r="G11782">
        <f t="shared" si="184"/>
        <v>2592</v>
      </c>
    </row>
    <row r="11783" spans="2:7" ht="15" hidden="1" x14ac:dyDescent="0.25">
      <c r="B11783" s="4">
        <v>584770422</v>
      </c>
      <c r="C11783" s="4" t="s">
        <v>273</v>
      </c>
      <c r="D11783" s="4">
        <v>12181</v>
      </c>
      <c r="E11783" s="4">
        <v>317</v>
      </c>
      <c r="G11783">
        <f t="shared" si="184"/>
        <v>2592</v>
      </c>
    </row>
    <row r="11784" spans="2:7" ht="15" hidden="1" x14ac:dyDescent="0.25">
      <c r="B11784" s="4">
        <v>584770448</v>
      </c>
      <c r="C11784" s="4" t="s">
        <v>272</v>
      </c>
      <c r="D11784" s="4">
        <v>220</v>
      </c>
      <c r="E11784" s="4">
        <v>265</v>
      </c>
      <c r="G11784">
        <f t="shared" si="184"/>
        <v>2176</v>
      </c>
    </row>
    <row r="11785" spans="2:7" ht="15" hidden="1" x14ac:dyDescent="0.25">
      <c r="B11785" s="4">
        <v>584770450</v>
      </c>
      <c r="C11785" s="4" t="s">
        <v>273</v>
      </c>
      <c r="D11785" s="4">
        <v>12209</v>
      </c>
      <c r="E11785" s="4">
        <v>317</v>
      </c>
      <c r="G11785">
        <f t="shared" si="184"/>
        <v>2592</v>
      </c>
    </row>
    <row r="11786" spans="2:7" ht="15" hidden="1" x14ac:dyDescent="0.25">
      <c r="B11786" s="4">
        <v>584770479</v>
      </c>
      <c r="C11786" s="4" t="s">
        <v>273</v>
      </c>
      <c r="D11786" s="4">
        <v>12238</v>
      </c>
      <c r="E11786" s="4">
        <v>317</v>
      </c>
      <c r="G11786">
        <f t="shared" si="184"/>
        <v>2592</v>
      </c>
    </row>
    <row r="11787" spans="2:7" ht="15" hidden="1" x14ac:dyDescent="0.25">
      <c r="B11787" s="4">
        <v>584770507</v>
      </c>
      <c r="C11787" s="4" t="s">
        <v>273</v>
      </c>
      <c r="D11787" s="4">
        <v>12266</v>
      </c>
      <c r="E11787" s="4">
        <v>317</v>
      </c>
      <c r="G11787">
        <f t="shared" si="184"/>
        <v>2592</v>
      </c>
    </row>
    <row r="11788" spans="2:7" ht="15" hidden="1" x14ac:dyDescent="0.25">
      <c r="B11788" s="4">
        <v>584770536</v>
      </c>
      <c r="C11788" s="4" t="s">
        <v>273</v>
      </c>
      <c r="D11788" s="4">
        <v>12295</v>
      </c>
      <c r="E11788" s="4">
        <v>317</v>
      </c>
      <c r="G11788">
        <f t="shared" si="184"/>
        <v>2592</v>
      </c>
    </row>
    <row r="11789" spans="2:7" ht="15" hidden="1" x14ac:dyDescent="0.25">
      <c r="B11789" s="4">
        <v>584770548</v>
      </c>
      <c r="C11789" s="4" t="s">
        <v>272</v>
      </c>
      <c r="D11789" s="4">
        <v>221</v>
      </c>
      <c r="E11789" s="4">
        <v>263</v>
      </c>
      <c r="G11789">
        <f t="shared" si="184"/>
        <v>2160</v>
      </c>
    </row>
    <row r="11790" spans="2:7" ht="15" hidden="1" x14ac:dyDescent="0.25">
      <c r="B11790" s="4">
        <v>584770564</v>
      </c>
      <c r="C11790" s="4" t="s">
        <v>273</v>
      </c>
      <c r="D11790" s="4">
        <v>12323</v>
      </c>
      <c r="E11790" s="4">
        <v>317</v>
      </c>
      <c r="G11790">
        <f t="shared" si="184"/>
        <v>2592</v>
      </c>
    </row>
    <row r="11791" spans="2:7" ht="15" hidden="1" x14ac:dyDescent="0.25">
      <c r="B11791" s="4">
        <v>584770583</v>
      </c>
      <c r="C11791" s="4" t="s">
        <v>273</v>
      </c>
      <c r="D11791" s="4">
        <v>12342</v>
      </c>
      <c r="E11791" s="4">
        <v>317</v>
      </c>
      <c r="G11791">
        <f t="shared" si="184"/>
        <v>2592</v>
      </c>
    </row>
    <row r="11792" spans="2:7" ht="15" hidden="1" x14ac:dyDescent="0.25">
      <c r="B11792" s="4">
        <v>584770611</v>
      </c>
      <c r="C11792" s="4" t="s">
        <v>273</v>
      </c>
      <c r="D11792" s="4">
        <v>12370</v>
      </c>
      <c r="E11792" s="4">
        <v>317</v>
      </c>
      <c r="G11792">
        <f t="shared" si="184"/>
        <v>2592</v>
      </c>
    </row>
    <row r="11793" spans="2:7" ht="15" hidden="1" x14ac:dyDescent="0.25">
      <c r="B11793" s="4">
        <v>584770617</v>
      </c>
      <c r="C11793" s="4" t="s">
        <v>273</v>
      </c>
      <c r="D11793" s="4">
        <v>12376</v>
      </c>
      <c r="E11793" s="4">
        <v>317</v>
      </c>
      <c r="G11793">
        <f t="shared" si="184"/>
        <v>2592</v>
      </c>
    </row>
    <row r="11794" spans="2:7" ht="15" hidden="1" x14ac:dyDescent="0.25">
      <c r="B11794" s="4">
        <v>584770640</v>
      </c>
      <c r="C11794" s="4" t="s">
        <v>273</v>
      </c>
      <c r="D11794" s="4">
        <v>12399</v>
      </c>
      <c r="E11794" s="4">
        <v>317</v>
      </c>
      <c r="G11794">
        <f t="shared" si="184"/>
        <v>2592</v>
      </c>
    </row>
    <row r="11795" spans="2:7" ht="15" hidden="1" x14ac:dyDescent="0.25">
      <c r="B11795" s="4">
        <v>584770648</v>
      </c>
      <c r="C11795" s="4" t="s">
        <v>272</v>
      </c>
      <c r="D11795" s="4">
        <v>222</v>
      </c>
      <c r="E11795" s="4">
        <v>263</v>
      </c>
      <c r="G11795">
        <f t="shared" si="184"/>
        <v>2160</v>
      </c>
    </row>
    <row r="11796" spans="2:7" ht="15" hidden="1" x14ac:dyDescent="0.25">
      <c r="B11796" s="4">
        <v>584770668</v>
      </c>
      <c r="C11796" s="4" t="s">
        <v>273</v>
      </c>
      <c r="D11796" s="4">
        <v>12427</v>
      </c>
      <c r="E11796" s="4">
        <v>317</v>
      </c>
      <c r="G11796">
        <f t="shared" si="184"/>
        <v>2592</v>
      </c>
    </row>
    <row r="11797" spans="2:7" ht="15" hidden="1" x14ac:dyDescent="0.25">
      <c r="B11797" s="4">
        <v>584770697</v>
      </c>
      <c r="C11797" s="4" t="s">
        <v>273</v>
      </c>
      <c r="D11797" s="4">
        <v>12456</v>
      </c>
      <c r="E11797" s="4">
        <v>317</v>
      </c>
      <c r="G11797">
        <f t="shared" si="184"/>
        <v>2592</v>
      </c>
    </row>
    <row r="11798" spans="2:7" ht="15" hidden="1" x14ac:dyDescent="0.25">
      <c r="B11798" s="4">
        <v>584770725</v>
      </c>
      <c r="C11798" s="4" t="s">
        <v>273</v>
      </c>
      <c r="D11798" s="4">
        <v>12484</v>
      </c>
      <c r="E11798" s="4">
        <v>317</v>
      </c>
      <c r="G11798">
        <f t="shared" si="184"/>
        <v>2592</v>
      </c>
    </row>
    <row r="11799" spans="2:7" ht="15" hidden="1" x14ac:dyDescent="0.25">
      <c r="B11799" s="4">
        <v>584770744</v>
      </c>
      <c r="C11799" s="4" t="s">
        <v>269</v>
      </c>
      <c r="D11799" s="4">
        <v>1621</v>
      </c>
      <c r="E11799" s="4">
        <v>57</v>
      </c>
      <c r="G11799">
        <f t="shared" si="184"/>
        <v>512</v>
      </c>
    </row>
    <row r="11800" spans="2:7" ht="15" hidden="1" x14ac:dyDescent="0.25">
      <c r="B11800" s="4">
        <v>584770748</v>
      </c>
      <c r="C11800" s="4" t="s">
        <v>272</v>
      </c>
      <c r="D11800" s="4">
        <v>223</v>
      </c>
      <c r="E11800" s="4">
        <v>271</v>
      </c>
      <c r="G11800">
        <f t="shared" si="184"/>
        <v>2224</v>
      </c>
    </row>
    <row r="11801" spans="2:7" ht="15" hidden="1" x14ac:dyDescent="0.25">
      <c r="B11801" s="4">
        <v>584770754</v>
      </c>
      <c r="C11801" s="4" t="s">
        <v>273</v>
      </c>
      <c r="D11801" s="4">
        <v>12513</v>
      </c>
      <c r="E11801" s="4">
        <v>317</v>
      </c>
      <c r="G11801">
        <f t="shared" si="184"/>
        <v>2592</v>
      </c>
    </row>
    <row r="11802" spans="2:7" ht="15" hidden="1" x14ac:dyDescent="0.25">
      <c r="B11802" s="4">
        <v>584770782</v>
      </c>
      <c r="C11802" s="4" t="s">
        <v>273</v>
      </c>
      <c r="D11802" s="4">
        <v>12541</v>
      </c>
      <c r="E11802" s="4">
        <v>317</v>
      </c>
      <c r="G11802">
        <f t="shared" si="184"/>
        <v>2592</v>
      </c>
    </row>
    <row r="11803" spans="2:7" ht="15" hidden="1" x14ac:dyDescent="0.25">
      <c r="B11803" s="4">
        <v>584770810</v>
      </c>
      <c r="C11803" s="4" t="s">
        <v>273</v>
      </c>
      <c r="D11803" s="4">
        <v>12569</v>
      </c>
      <c r="E11803" s="4">
        <v>317</v>
      </c>
      <c r="G11803">
        <f t="shared" si="184"/>
        <v>2592</v>
      </c>
    </row>
    <row r="11804" spans="2:7" ht="15" hidden="1" x14ac:dyDescent="0.25">
      <c r="B11804" s="4">
        <v>584770839</v>
      </c>
      <c r="C11804" s="4" t="s">
        <v>273</v>
      </c>
      <c r="D11804" s="4">
        <v>12598</v>
      </c>
      <c r="E11804" s="4">
        <v>317</v>
      </c>
      <c r="G11804">
        <f t="shared" si="184"/>
        <v>2592</v>
      </c>
    </row>
    <row r="11805" spans="2:7" ht="15" hidden="1" x14ac:dyDescent="0.25">
      <c r="B11805" s="4">
        <v>584770848</v>
      </c>
      <c r="C11805" s="4" t="s">
        <v>272</v>
      </c>
      <c r="D11805" s="4">
        <v>224</v>
      </c>
      <c r="E11805" s="4">
        <v>267</v>
      </c>
      <c r="G11805">
        <f t="shared" si="184"/>
        <v>2192</v>
      </c>
    </row>
    <row r="11806" spans="2:7" ht="15" hidden="1" x14ac:dyDescent="0.25">
      <c r="B11806" s="4">
        <v>584770867</v>
      </c>
      <c r="C11806" s="4" t="s">
        <v>273</v>
      </c>
      <c r="D11806" s="4">
        <v>12626</v>
      </c>
      <c r="E11806" s="4">
        <v>317</v>
      </c>
      <c r="G11806">
        <f t="shared" si="184"/>
        <v>2592</v>
      </c>
    </row>
    <row r="11807" spans="2:7" ht="15" hidden="1" x14ac:dyDescent="0.25">
      <c r="B11807" s="4">
        <v>584770896</v>
      </c>
      <c r="C11807" s="4" t="s">
        <v>273</v>
      </c>
      <c r="D11807" s="4">
        <v>12655</v>
      </c>
      <c r="E11807" s="4">
        <v>317</v>
      </c>
      <c r="G11807">
        <f t="shared" si="184"/>
        <v>2592</v>
      </c>
    </row>
    <row r="11808" spans="2:7" ht="15" hidden="1" x14ac:dyDescent="0.25">
      <c r="B11808" s="4">
        <v>584770924</v>
      </c>
      <c r="C11808" s="4" t="s">
        <v>273</v>
      </c>
      <c r="D11808" s="4">
        <v>12683</v>
      </c>
      <c r="E11808" s="4">
        <v>317</v>
      </c>
      <c r="G11808">
        <f t="shared" si="184"/>
        <v>2592</v>
      </c>
    </row>
    <row r="11809" spans="2:7" ht="15" hidden="1" x14ac:dyDescent="0.25">
      <c r="B11809" s="4">
        <v>584770948</v>
      </c>
      <c r="C11809" s="4" t="s">
        <v>272</v>
      </c>
      <c r="D11809" s="4">
        <v>225</v>
      </c>
      <c r="E11809" s="4">
        <v>269</v>
      </c>
      <c r="G11809">
        <f t="shared" si="184"/>
        <v>2208</v>
      </c>
    </row>
    <row r="11810" spans="2:7" ht="15" hidden="1" x14ac:dyDescent="0.25">
      <c r="B11810" s="4">
        <v>584770953</v>
      </c>
      <c r="C11810" s="4" t="s">
        <v>273</v>
      </c>
      <c r="D11810" s="4">
        <v>12712</v>
      </c>
      <c r="E11810" s="4">
        <v>317</v>
      </c>
      <c r="G11810">
        <f t="shared" si="184"/>
        <v>2592</v>
      </c>
    </row>
    <row r="11811" spans="2:7" ht="15" hidden="1" x14ac:dyDescent="0.25">
      <c r="B11811" s="4">
        <v>584770981</v>
      </c>
      <c r="C11811" s="4" t="s">
        <v>273</v>
      </c>
      <c r="D11811" s="4">
        <v>12740</v>
      </c>
      <c r="E11811" s="4">
        <v>317</v>
      </c>
      <c r="G11811">
        <f t="shared" si="184"/>
        <v>2592</v>
      </c>
    </row>
    <row r="11812" spans="2:7" ht="15" hidden="1" x14ac:dyDescent="0.25">
      <c r="B11812" s="4">
        <v>584771009</v>
      </c>
      <c r="C11812" s="4" t="s">
        <v>273</v>
      </c>
      <c r="D11812" s="4">
        <v>12768</v>
      </c>
      <c r="E11812" s="4">
        <v>317</v>
      </c>
      <c r="G11812">
        <f t="shared" si="184"/>
        <v>2592</v>
      </c>
    </row>
    <row r="11813" spans="2:7" ht="15" hidden="1" x14ac:dyDescent="0.25">
      <c r="B11813" s="4">
        <v>584771038</v>
      </c>
      <c r="C11813" s="4" t="s">
        <v>273</v>
      </c>
      <c r="D11813" s="4">
        <v>12797</v>
      </c>
      <c r="E11813" s="4">
        <v>317</v>
      </c>
      <c r="G11813">
        <f t="shared" si="184"/>
        <v>2592</v>
      </c>
    </row>
    <row r="11814" spans="2:7" ht="15" hidden="1" x14ac:dyDescent="0.25">
      <c r="B11814" s="4">
        <v>584771048</v>
      </c>
      <c r="C11814" s="4" t="s">
        <v>272</v>
      </c>
      <c r="D11814" s="4">
        <v>226</v>
      </c>
      <c r="E11814" s="4">
        <v>263</v>
      </c>
      <c r="G11814">
        <f t="shared" si="184"/>
        <v>2160</v>
      </c>
    </row>
    <row r="11815" spans="2:7" ht="15" hidden="1" x14ac:dyDescent="0.25">
      <c r="B11815" s="4">
        <v>584771066</v>
      </c>
      <c r="C11815" s="4" t="s">
        <v>273</v>
      </c>
      <c r="D11815" s="4">
        <v>12825</v>
      </c>
      <c r="E11815" s="4">
        <v>317</v>
      </c>
      <c r="G11815">
        <f t="shared" si="184"/>
        <v>2592</v>
      </c>
    </row>
    <row r="11816" spans="2:7" ht="15" hidden="1" x14ac:dyDescent="0.25">
      <c r="B11816" s="4">
        <v>584771095</v>
      </c>
      <c r="C11816" s="4" t="s">
        <v>273</v>
      </c>
      <c r="D11816" s="4">
        <v>12854</v>
      </c>
      <c r="E11816" s="4">
        <v>317</v>
      </c>
      <c r="G11816">
        <f t="shared" si="184"/>
        <v>2592</v>
      </c>
    </row>
    <row r="11817" spans="2:7" ht="15" hidden="1" x14ac:dyDescent="0.25">
      <c r="B11817" s="4">
        <v>584771123</v>
      </c>
      <c r="C11817" s="4" t="s">
        <v>273</v>
      </c>
      <c r="D11817" s="4">
        <v>12882</v>
      </c>
      <c r="E11817" s="4">
        <v>317</v>
      </c>
      <c r="G11817">
        <f t="shared" si="184"/>
        <v>2592</v>
      </c>
    </row>
    <row r="11818" spans="2:7" ht="15" hidden="1" x14ac:dyDescent="0.25">
      <c r="B11818" s="4">
        <v>584771148</v>
      </c>
      <c r="C11818" s="4" t="s">
        <v>272</v>
      </c>
      <c r="D11818" s="4">
        <v>227</v>
      </c>
      <c r="E11818" s="4">
        <v>273</v>
      </c>
      <c r="G11818">
        <f t="shared" si="184"/>
        <v>2240</v>
      </c>
    </row>
    <row r="11819" spans="2:7" ht="15" hidden="1" x14ac:dyDescent="0.25">
      <c r="B11819" s="4">
        <v>584771152</v>
      </c>
      <c r="C11819" s="4" t="s">
        <v>273</v>
      </c>
      <c r="D11819" s="4">
        <v>12911</v>
      </c>
      <c r="E11819" s="4">
        <v>317</v>
      </c>
      <c r="G11819">
        <f t="shared" si="184"/>
        <v>2592</v>
      </c>
    </row>
    <row r="11820" spans="2:7" ht="15" hidden="1" x14ac:dyDescent="0.25">
      <c r="B11820" s="4">
        <v>584771180</v>
      </c>
      <c r="C11820" s="4" t="s">
        <v>273</v>
      </c>
      <c r="D11820" s="4">
        <v>12939</v>
      </c>
      <c r="E11820" s="4">
        <v>317</v>
      </c>
      <c r="G11820">
        <f t="shared" si="184"/>
        <v>2592</v>
      </c>
    </row>
    <row r="11821" spans="2:7" ht="15" hidden="1" x14ac:dyDescent="0.25">
      <c r="B11821" s="4">
        <v>584771209</v>
      </c>
      <c r="C11821" s="4" t="s">
        <v>273</v>
      </c>
      <c r="D11821" s="4">
        <v>12968</v>
      </c>
      <c r="E11821" s="4">
        <v>317</v>
      </c>
      <c r="G11821">
        <f t="shared" si="184"/>
        <v>2592</v>
      </c>
    </row>
    <row r="11822" spans="2:7" ht="15" hidden="1" x14ac:dyDescent="0.25">
      <c r="B11822" s="4">
        <v>584771227</v>
      </c>
      <c r="C11822" s="4" t="s">
        <v>273</v>
      </c>
      <c r="D11822" s="4">
        <v>12986</v>
      </c>
      <c r="E11822" s="4">
        <v>317</v>
      </c>
      <c r="G11822">
        <f t="shared" si="184"/>
        <v>2592</v>
      </c>
    </row>
    <row r="11823" spans="2:7" ht="15" hidden="1" x14ac:dyDescent="0.25">
      <c r="B11823" s="4">
        <v>584771248</v>
      </c>
      <c r="C11823" s="4" t="s">
        <v>272</v>
      </c>
      <c r="D11823" s="4">
        <v>228</v>
      </c>
      <c r="E11823" s="4">
        <v>269</v>
      </c>
      <c r="G11823">
        <f t="shared" si="184"/>
        <v>2208</v>
      </c>
    </row>
    <row r="11824" spans="2:7" ht="15" hidden="1" x14ac:dyDescent="0.25">
      <c r="B11824" s="4">
        <v>584771265</v>
      </c>
      <c r="C11824" s="4" t="s">
        <v>273</v>
      </c>
      <c r="D11824" s="4">
        <v>13024</v>
      </c>
      <c r="E11824" s="4">
        <v>317</v>
      </c>
      <c r="G11824">
        <f t="shared" si="184"/>
        <v>2592</v>
      </c>
    </row>
    <row r="11825" spans="2:7" ht="15" hidden="1" x14ac:dyDescent="0.25">
      <c r="B11825" s="4">
        <v>584771284</v>
      </c>
      <c r="C11825" s="4" t="s">
        <v>273</v>
      </c>
      <c r="D11825" s="4">
        <v>13043</v>
      </c>
      <c r="E11825" s="4">
        <v>317</v>
      </c>
      <c r="G11825">
        <f t="shared" si="184"/>
        <v>2592</v>
      </c>
    </row>
    <row r="11826" spans="2:7" ht="15" hidden="1" x14ac:dyDescent="0.25">
      <c r="B11826" s="4">
        <v>584771313</v>
      </c>
      <c r="C11826" s="4" t="s">
        <v>273</v>
      </c>
      <c r="D11826" s="4">
        <v>13072</v>
      </c>
      <c r="E11826" s="4">
        <v>317</v>
      </c>
      <c r="G11826">
        <f t="shared" si="184"/>
        <v>2592</v>
      </c>
    </row>
    <row r="11827" spans="2:7" ht="15" hidden="1" x14ac:dyDescent="0.25">
      <c r="B11827" s="4">
        <v>584771341</v>
      </c>
      <c r="C11827" s="4" t="s">
        <v>273</v>
      </c>
      <c r="D11827" s="4">
        <v>13100</v>
      </c>
      <c r="E11827" s="4">
        <v>317</v>
      </c>
      <c r="G11827">
        <f t="shared" si="184"/>
        <v>2592</v>
      </c>
    </row>
    <row r="11828" spans="2:7" ht="15" hidden="1" x14ac:dyDescent="0.25">
      <c r="B11828" s="4">
        <v>584771348</v>
      </c>
      <c r="C11828" s="4" t="s">
        <v>272</v>
      </c>
      <c r="D11828" s="4">
        <v>229</v>
      </c>
      <c r="E11828" s="4">
        <v>267</v>
      </c>
      <c r="G11828">
        <f t="shared" si="184"/>
        <v>2192</v>
      </c>
    </row>
    <row r="11829" spans="2:7" ht="15" hidden="1" x14ac:dyDescent="0.25">
      <c r="B11829" s="4">
        <v>584771370</v>
      </c>
      <c r="C11829" s="4" t="s">
        <v>273</v>
      </c>
      <c r="D11829" s="4">
        <v>13129</v>
      </c>
      <c r="E11829" s="4">
        <v>317</v>
      </c>
      <c r="G11829">
        <f t="shared" si="184"/>
        <v>2592</v>
      </c>
    </row>
    <row r="11830" spans="2:7" ht="15" hidden="1" x14ac:dyDescent="0.25">
      <c r="B11830" s="4">
        <v>584771398</v>
      </c>
      <c r="C11830" s="4" t="s">
        <v>273</v>
      </c>
      <c r="D11830" s="4">
        <v>13157</v>
      </c>
      <c r="E11830" s="4">
        <v>317</v>
      </c>
      <c r="G11830">
        <f t="shared" si="184"/>
        <v>2592</v>
      </c>
    </row>
    <row r="11831" spans="2:7" ht="15" hidden="1" x14ac:dyDescent="0.25">
      <c r="B11831" s="4">
        <v>584771427</v>
      </c>
      <c r="C11831" s="4" t="s">
        <v>273</v>
      </c>
      <c r="D11831" s="4">
        <v>13186</v>
      </c>
      <c r="E11831" s="4">
        <v>317</v>
      </c>
      <c r="G11831">
        <f t="shared" si="184"/>
        <v>2592</v>
      </c>
    </row>
    <row r="11832" spans="2:7" ht="15" hidden="1" x14ac:dyDescent="0.25">
      <c r="B11832" s="4">
        <v>584771448</v>
      </c>
      <c r="C11832" s="4" t="s">
        <v>272</v>
      </c>
      <c r="D11832" s="4">
        <v>230</v>
      </c>
      <c r="E11832" s="4">
        <v>269</v>
      </c>
      <c r="G11832">
        <f t="shared" si="184"/>
        <v>2208</v>
      </c>
    </row>
    <row r="11833" spans="2:7" ht="15" hidden="1" x14ac:dyDescent="0.25">
      <c r="B11833" s="4">
        <v>584771455</v>
      </c>
      <c r="C11833" s="4" t="s">
        <v>273</v>
      </c>
      <c r="D11833" s="4">
        <v>13214</v>
      </c>
      <c r="E11833" s="4">
        <v>317</v>
      </c>
      <c r="G11833">
        <f t="shared" si="184"/>
        <v>2592</v>
      </c>
    </row>
    <row r="11834" spans="2:7" ht="15" hidden="1" x14ac:dyDescent="0.25">
      <c r="B11834" s="4">
        <v>584771483</v>
      </c>
      <c r="C11834" s="4" t="s">
        <v>273</v>
      </c>
      <c r="D11834" s="4">
        <v>13242</v>
      </c>
      <c r="E11834" s="4">
        <v>317</v>
      </c>
      <c r="G11834">
        <f t="shared" si="184"/>
        <v>2592</v>
      </c>
    </row>
    <row r="11835" spans="2:7" ht="15" hidden="1" x14ac:dyDescent="0.25">
      <c r="B11835" s="4">
        <v>584771512</v>
      </c>
      <c r="C11835" s="4" t="s">
        <v>273</v>
      </c>
      <c r="D11835" s="4">
        <v>13271</v>
      </c>
      <c r="E11835" s="4">
        <v>317</v>
      </c>
      <c r="G11835">
        <f t="shared" si="184"/>
        <v>2592</v>
      </c>
    </row>
    <row r="11836" spans="2:7" ht="15" hidden="1" x14ac:dyDescent="0.25">
      <c r="B11836" s="4">
        <v>584771540</v>
      </c>
      <c r="C11836" s="4" t="s">
        <v>273</v>
      </c>
      <c r="D11836" s="4">
        <v>13299</v>
      </c>
      <c r="E11836" s="4">
        <v>317</v>
      </c>
      <c r="G11836">
        <f t="shared" si="184"/>
        <v>2592</v>
      </c>
    </row>
    <row r="11837" spans="2:7" ht="15" hidden="1" x14ac:dyDescent="0.25">
      <c r="B11837" s="4">
        <v>584771548</v>
      </c>
      <c r="C11837" s="4" t="s">
        <v>272</v>
      </c>
      <c r="D11837" s="4">
        <v>231</v>
      </c>
      <c r="E11837" s="4">
        <v>271</v>
      </c>
      <c r="G11837">
        <f t="shared" si="184"/>
        <v>2224</v>
      </c>
    </row>
    <row r="11838" spans="2:7" ht="15" hidden="1" x14ac:dyDescent="0.25">
      <c r="B11838" s="4">
        <v>584771569</v>
      </c>
      <c r="C11838" s="4" t="s">
        <v>273</v>
      </c>
      <c r="D11838" s="4">
        <v>13328</v>
      </c>
      <c r="E11838" s="4">
        <v>317</v>
      </c>
      <c r="G11838">
        <f t="shared" si="184"/>
        <v>2592</v>
      </c>
    </row>
    <row r="11839" spans="2:7" ht="15" hidden="1" x14ac:dyDescent="0.25">
      <c r="B11839" s="4">
        <v>584771597</v>
      </c>
      <c r="C11839" s="4" t="s">
        <v>273</v>
      </c>
      <c r="D11839" s="4">
        <v>13356</v>
      </c>
      <c r="E11839" s="4">
        <v>317</v>
      </c>
      <c r="G11839">
        <f t="shared" si="184"/>
        <v>2592</v>
      </c>
    </row>
    <row r="11840" spans="2:7" ht="15" hidden="1" x14ac:dyDescent="0.25">
      <c r="B11840" s="4">
        <v>584771626</v>
      </c>
      <c r="C11840" s="4" t="s">
        <v>273</v>
      </c>
      <c r="D11840" s="4">
        <v>13385</v>
      </c>
      <c r="E11840" s="4">
        <v>317</v>
      </c>
      <c r="G11840">
        <f t="shared" si="184"/>
        <v>2592</v>
      </c>
    </row>
    <row r="11841" spans="2:7" ht="15" hidden="1" x14ac:dyDescent="0.25">
      <c r="B11841" s="4">
        <v>584771648</v>
      </c>
      <c r="C11841" s="4" t="s">
        <v>272</v>
      </c>
      <c r="D11841" s="4">
        <v>232</v>
      </c>
      <c r="E11841" s="4">
        <v>263</v>
      </c>
      <c r="G11841">
        <f t="shared" si="184"/>
        <v>2160</v>
      </c>
    </row>
    <row r="11842" spans="2:7" ht="15" hidden="1" x14ac:dyDescent="0.25">
      <c r="B11842" s="4">
        <v>584771654</v>
      </c>
      <c r="C11842" s="4" t="s">
        <v>273</v>
      </c>
      <c r="D11842" s="4">
        <v>13413</v>
      </c>
      <c r="E11842" s="4">
        <v>317</v>
      </c>
      <c r="G11842">
        <f t="shared" si="184"/>
        <v>2592</v>
      </c>
    </row>
    <row r="11843" spans="2:7" ht="15" hidden="1" x14ac:dyDescent="0.25">
      <c r="B11843" s="4">
        <v>584771682</v>
      </c>
      <c r="C11843" s="4" t="s">
        <v>273</v>
      </c>
      <c r="D11843" s="4">
        <v>13441</v>
      </c>
      <c r="E11843" s="4">
        <v>317</v>
      </c>
      <c r="G11843">
        <f t="shared" si="184"/>
        <v>2592</v>
      </c>
    </row>
    <row r="11844" spans="2:7" ht="15" hidden="1" x14ac:dyDescent="0.25">
      <c r="B11844" s="4">
        <v>584771711</v>
      </c>
      <c r="C11844" s="4" t="s">
        <v>273</v>
      </c>
      <c r="D11844" s="4">
        <v>13470</v>
      </c>
      <c r="E11844" s="4">
        <v>317</v>
      </c>
      <c r="G11844">
        <f t="shared" ref="G11844:G11907" si="185">(E11844+7)*8</f>
        <v>2592</v>
      </c>
    </row>
    <row r="11845" spans="2:7" ht="15" hidden="1" x14ac:dyDescent="0.25">
      <c r="B11845" s="4">
        <v>584771739</v>
      </c>
      <c r="C11845" s="4" t="s">
        <v>273</v>
      </c>
      <c r="D11845" s="4">
        <v>13498</v>
      </c>
      <c r="E11845" s="4">
        <v>317</v>
      </c>
      <c r="G11845">
        <f t="shared" si="185"/>
        <v>2592</v>
      </c>
    </row>
    <row r="11846" spans="2:7" ht="15" hidden="1" x14ac:dyDescent="0.25">
      <c r="B11846" s="4">
        <v>584771748</v>
      </c>
      <c r="C11846" s="4" t="s">
        <v>272</v>
      </c>
      <c r="D11846" s="4">
        <v>233</v>
      </c>
      <c r="E11846" s="4">
        <v>269</v>
      </c>
      <c r="G11846">
        <f t="shared" si="185"/>
        <v>2208</v>
      </c>
    </row>
    <row r="11847" spans="2:7" ht="15" hidden="1" x14ac:dyDescent="0.25">
      <c r="B11847" s="4">
        <v>584771768</v>
      </c>
      <c r="C11847" s="4" t="s">
        <v>273</v>
      </c>
      <c r="D11847" s="4">
        <v>13527</v>
      </c>
      <c r="E11847" s="4">
        <v>317</v>
      </c>
      <c r="G11847">
        <f t="shared" si="185"/>
        <v>2592</v>
      </c>
    </row>
    <row r="11848" spans="2:7" ht="15" hidden="1" x14ac:dyDescent="0.25">
      <c r="B11848" s="4">
        <v>584771796</v>
      </c>
      <c r="C11848" s="4" t="s">
        <v>273</v>
      </c>
      <c r="D11848" s="4">
        <v>13555</v>
      </c>
      <c r="E11848" s="4">
        <v>317</v>
      </c>
      <c r="G11848">
        <f t="shared" si="185"/>
        <v>2592</v>
      </c>
    </row>
    <row r="11849" spans="2:7" ht="15" hidden="1" x14ac:dyDescent="0.25">
      <c r="B11849" s="4">
        <v>584771815</v>
      </c>
      <c r="C11849" s="4" t="s">
        <v>273</v>
      </c>
      <c r="D11849" s="4">
        <v>13574</v>
      </c>
      <c r="E11849" s="4">
        <v>317</v>
      </c>
      <c r="G11849">
        <f t="shared" si="185"/>
        <v>2592</v>
      </c>
    </row>
    <row r="11850" spans="2:7" ht="15" hidden="1" x14ac:dyDescent="0.25">
      <c r="B11850" s="4">
        <v>584771816</v>
      </c>
      <c r="C11850" s="4" t="s">
        <v>273</v>
      </c>
      <c r="D11850" s="4">
        <v>13575</v>
      </c>
      <c r="E11850" s="4">
        <v>317</v>
      </c>
      <c r="G11850">
        <f t="shared" si="185"/>
        <v>2592</v>
      </c>
    </row>
    <row r="11851" spans="2:7" ht="15" hidden="1" x14ac:dyDescent="0.25">
      <c r="B11851" s="4">
        <v>584771844</v>
      </c>
      <c r="C11851" s="4" t="s">
        <v>273</v>
      </c>
      <c r="D11851" s="4">
        <v>13603</v>
      </c>
      <c r="E11851" s="4">
        <v>317</v>
      </c>
      <c r="G11851">
        <f t="shared" si="185"/>
        <v>2592</v>
      </c>
    </row>
    <row r="11852" spans="2:7" ht="15" hidden="1" x14ac:dyDescent="0.25">
      <c r="B11852" s="4">
        <v>584771848</v>
      </c>
      <c r="C11852" s="4" t="s">
        <v>272</v>
      </c>
      <c r="D11852" s="4">
        <v>234</v>
      </c>
      <c r="E11852" s="4">
        <v>261</v>
      </c>
      <c r="G11852">
        <f t="shared" si="185"/>
        <v>2144</v>
      </c>
    </row>
    <row r="11853" spans="2:7" ht="15" hidden="1" x14ac:dyDescent="0.25">
      <c r="B11853" s="4">
        <v>584771872</v>
      </c>
      <c r="C11853" s="4" t="s">
        <v>273</v>
      </c>
      <c r="D11853" s="4">
        <v>13631</v>
      </c>
      <c r="E11853" s="4">
        <v>317</v>
      </c>
      <c r="G11853">
        <f t="shared" si="185"/>
        <v>2592</v>
      </c>
    </row>
    <row r="11854" spans="2:7" ht="15" hidden="1" x14ac:dyDescent="0.25">
      <c r="B11854" s="4">
        <v>584771900</v>
      </c>
      <c r="C11854" s="4" t="s">
        <v>273</v>
      </c>
      <c r="D11854" s="4">
        <v>13659</v>
      </c>
      <c r="E11854" s="4">
        <v>317</v>
      </c>
      <c r="G11854">
        <f t="shared" si="185"/>
        <v>2592</v>
      </c>
    </row>
    <row r="11855" spans="2:7" ht="15" hidden="1" x14ac:dyDescent="0.25">
      <c r="B11855" s="4">
        <v>584771929</v>
      </c>
      <c r="C11855" s="4" t="s">
        <v>273</v>
      </c>
      <c r="D11855" s="4">
        <v>13688</v>
      </c>
      <c r="E11855" s="4">
        <v>317</v>
      </c>
      <c r="G11855">
        <f t="shared" si="185"/>
        <v>2592</v>
      </c>
    </row>
    <row r="11856" spans="2:7" ht="15" hidden="1" x14ac:dyDescent="0.25">
      <c r="B11856" s="4">
        <v>584771948</v>
      </c>
      <c r="C11856" s="4" t="s">
        <v>272</v>
      </c>
      <c r="D11856" s="4">
        <v>235</v>
      </c>
      <c r="E11856" s="4">
        <v>265</v>
      </c>
      <c r="G11856">
        <f t="shared" si="185"/>
        <v>2176</v>
      </c>
    </row>
    <row r="11857" spans="2:7" ht="15" hidden="1" x14ac:dyDescent="0.25">
      <c r="B11857" s="4">
        <v>584771957</v>
      </c>
      <c r="C11857" s="4" t="s">
        <v>273</v>
      </c>
      <c r="D11857" s="4">
        <v>13716</v>
      </c>
      <c r="E11857" s="4">
        <v>317</v>
      </c>
      <c r="G11857">
        <f t="shared" si="185"/>
        <v>2592</v>
      </c>
    </row>
    <row r="11858" spans="2:7" ht="15" hidden="1" x14ac:dyDescent="0.25">
      <c r="B11858" s="4">
        <v>584771986</v>
      </c>
      <c r="C11858" s="4" t="s">
        <v>273</v>
      </c>
      <c r="D11858" s="4">
        <v>13745</v>
      </c>
      <c r="E11858" s="4">
        <v>317</v>
      </c>
      <c r="G11858">
        <f t="shared" si="185"/>
        <v>2592</v>
      </c>
    </row>
    <row r="11859" spans="2:7" ht="15" hidden="1" x14ac:dyDescent="0.25">
      <c r="B11859" s="4">
        <v>584772014</v>
      </c>
      <c r="C11859" s="4" t="s">
        <v>273</v>
      </c>
      <c r="D11859" s="4">
        <v>13773</v>
      </c>
      <c r="E11859" s="4">
        <v>317</v>
      </c>
      <c r="G11859">
        <f t="shared" si="185"/>
        <v>2592</v>
      </c>
    </row>
    <row r="11860" spans="2:7" ht="15" hidden="1" x14ac:dyDescent="0.25">
      <c r="B11860" s="4">
        <v>584772043</v>
      </c>
      <c r="C11860" s="4" t="s">
        <v>273</v>
      </c>
      <c r="D11860" s="4">
        <v>13802</v>
      </c>
      <c r="E11860" s="4">
        <v>317</v>
      </c>
      <c r="G11860">
        <f t="shared" si="185"/>
        <v>2592</v>
      </c>
    </row>
    <row r="11861" spans="2:7" ht="15" hidden="1" x14ac:dyDescent="0.25">
      <c r="B11861" s="4">
        <v>584772048</v>
      </c>
      <c r="C11861" s="4" t="s">
        <v>272</v>
      </c>
      <c r="D11861" s="4">
        <v>236</v>
      </c>
      <c r="E11861" s="4">
        <v>271</v>
      </c>
      <c r="G11861">
        <f t="shared" si="185"/>
        <v>2224</v>
      </c>
    </row>
    <row r="11862" spans="2:7" ht="15" hidden="1" x14ac:dyDescent="0.25">
      <c r="B11862" s="4">
        <v>584772071</v>
      </c>
      <c r="C11862" s="4" t="s">
        <v>273</v>
      </c>
      <c r="D11862" s="4">
        <v>13830</v>
      </c>
      <c r="E11862" s="4">
        <v>317</v>
      </c>
      <c r="G11862">
        <f t="shared" si="185"/>
        <v>2592</v>
      </c>
    </row>
    <row r="11863" spans="2:7" ht="15" hidden="1" x14ac:dyDescent="0.25">
      <c r="B11863" s="4">
        <v>584772100</v>
      </c>
      <c r="C11863" s="4" t="s">
        <v>273</v>
      </c>
      <c r="D11863" s="4">
        <v>13859</v>
      </c>
      <c r="E11863" s="4">
        <v>317</v>
      </c>
      <c r="G11863">
        <f t="shared" si="185"/>
        <v>2592</v>
      </c>
    </row>
    <row r="11864" spans="2:7" ht="15" hidden="1" x14ac:dyDescent="0.25">
      <c r="B11864" s="4">
        <v>584772128</v>
      </c>
      <c r="C11864" s="4" t="s">
        <v>273</v>
      </c>
      <c r="D11864" s="4">
        <v>13887</v>
      </c>
      <c r="E11864" s="4">
        <v>317</v>
      </c>
      <c r="G11864">
        <f t="shared" si="185"/>
        <v>2592</v>
      </c>
    </row>
    <row r="11865" spans="2:7" ht="15" hidden="1" x14ac:dyDescent="0.25">
      <c r="B11865" s="4">
        <v>584772148</v>
      </c>
      <c r="C11865" s="4" t="s">
        <v>272</v>
      </c>
      <c r="D11865" s="4">
        <v>237</v>
      </c>
      <c r="E11865" s="4">
        <v>271</v>
      </c>
      <c r="G11865">
        <f t="shared" si="185"/>
        <v>2224</v>
      </c>
    </row>
    <row r="11866" spans="2:7" ht="15" hidden="1" x14ac:dyDescent="0.25">
      <c r="B11866" s="4">
        <v>584772156</v>
      </c>
      <c r="C11866" s="4" t="s">
        <v>273</v>
      </c>
      <c r="D11866" s="4">
        <v>13915</v>
      </c>
      <c r="E11866" s="4">
        <v>317</v>
      </c>
      <c r="G11866">
        <f t="shared" si="185"/>
        <v>2592</v>
      </c>
    </row>
    <row r="11867" spans="2:7" ht="15" hidden="1" x14ac:dyDescent="0.25">
      <c r="B11867" s="4">
        <v>584772185</v>
      </c>
      <c r="C11867" s="4" t="s">
        <v>273</v>
      </c>
      <c r="D11867" s="4">
        <v>13944</v>
      </c>
      <c r="E11867" s="4">
        <v>317</v>
      </c>
      <c r="G11867">
        <f t="shared" si="185"/>
        <v>2592</v>
      </c>
    </row>
    <row r="11868" spans="2:7" ht="15" hidden="1" x14ac:dyDescent="0.25">
      <c r="B11868" s="4">
        <v>584772213</v>
      </c>
      <c r="C11868" s="4" t="s">
        <v>273</v>
      </c>
      <c r="D11868" s="4">
        <v>13972</v>
      </c>
      <c r="E11868" s="4">
        <v>317</v>
      </c>
      <c r="G11868">
        <f t="shared" si="185"/>
        <v>2592</v>
      </c>
    </row>
    <row r="11869" spans="2:7" ht="15" hidden="1" x14ac:dyDescent="0.25">
      <c r="B11869" s="4">
        <v>584772242</v>
      </c>
      <c r="C11869" s="4" t="s">
        <v>273</v>
      </c>
      <c r="D11869" s="4">
        <v>14001</v>
      </c>
      <c r="E11869" s="4">
        <v>317</v>
      </c>
      <c r="G11869">
        <f t="shared" si="185"/>
        <v>2592</v>
      </c>
    </row>
    <row r="11870" spans="2:7" ht="15" hidden="1" x14ac:dyDescent="0.25">
      <c r="B11870" s="4">
        <v>584772248</v>
      </c>
      <c r="C11870" s="4" t="s">
        <v>272</v>
      </c>
      <c r="D11870" s="4">
        <v>238</v>
      </c>
      <c r="E11870" s="4">
        <v>269</v>
      </c>
      <c r="G11870">
        <f t="shared" si="185"/>
        <v>2208</v>
      </c>
    </row>
    <row r="11871" spans="2:7" ht="15" hidden="1" x14ac:dyDescent="0.25">
      <c r="B11871" s="4">
        <v>584772270</v>
      </c>
      <c r="C11871" s="4" t="s">
        <v>273</v>
      </c>
      <c r="D11871" s="4">
        <v>14029</v>
      </c>
      <c r="E11871" s="4">
        <v>317</v>
      </c>
      <c r="G11871">
        <f t="shared" si="185"/>
        <v>2592</v>
      </c>
    </row>
    <row r="11872" spans="2:7" ht="15" hidden="1" x14ac:dyDescent="0.25">
      <c r="B11872" s="4">
        <v>584772299</v>
      </c>
      <c r="C11872" s="4" t="s">
        <v>273</v>
      </c>
      <c r="D11872" s="4">
        <v>14058</v>
      </c>
      <c r="E11872" s="4">
        <v>317</v>
      </c>
      <c r="G11872">
        <f t="shared" si="185"/>
        <v>2592</v>
      </c>
    </row>
    <row r="11873" spans="2:7" ht="15" hidden="1" x14ac:dyDescent="0.25">
      <c r="B11873" s="4">
        <v>584772318</v>
      </c>
      <c r="C11873" s="4" t="s">
        <v>273</v>
      </c>
      <c r="D11873" s="4">
        <v>14077</v>
      </c>
      <c r="E11873" s="4">
        <v>317</v>
      </c>
      <c r="G11873">
        <f t="shared" si="185"/>
        <v>2592</v>
      </c>
    </row>
    <row r="11874" spans="2:7" ht="15" hidden="1" x14ac:dyDescent="0.25">
      <c r="B11874" s="4">
        <v>584772346</v>
      </c>
      <c r="C11874" s="4" t="s">
        <v>273</v>
      </c>
      <c r="D11874" s="4">
        <v>14105</v>
      </c>
      <c r="E11874" s="4">
        <v>317</v>
      </c>
      <c r="G11874">
        <f t="shared" si="185"/>
        <v>2592</v>
      </c>
    </row>
    <row r="11875" spans="2:7" ht="15" hidden="1" x14ac:dyDescent="0.25">
      <c r="B11875" s="4">
        <v>584772348</v>
      </c>
      <c r="C11875" s="4" t="s">
        <v>272</v>
      </c>
      <c r="D11875" s="4">
        <v>239</v>
      </c>
      <c r="E11875" s="4">
        <v>271</v>
      </c>
      <c r="G11875">
        <f t="shared" si="185"/>
        <v>2224</v>
      </c>
    </row>
    <row r="11876" spans="2:7" ht="15" hidden="1" x14ac:dyDescent="0.25">
      <c r="B11876" s="4">
        <v>584772374</v>
      </c>
      <c r="C11876" s="4" t="s">
        <v>273</v>
      </c>
      <c r="D11876" s="4">
        <v>14133</v>
      </c>
      <c r="E11876" s="4">
        <v>317</v>
      </c>
      <c r="G11876">
        <f t="shared" si="185"/>
        <v>2592</v>
      </c>
    </row>
    <row r="11877" spans="2:7" ht="15" hidden="1" x14ac:dyDescent="0.25">
      <c r="B11877" s="4">
        <v>584772412</v>
      </c>
      <c r="C11877" s="4" t="s">
        <v>273</v>
      </c>
      <c r="D11877" s="4">
        <v>14171</v>
      </c>
      <c r="E11877" s="4">
        <v>317</v>
      </c>
      <c r="G11877">
        <f t="shared" si="185"/>
        <v>2592</v>
      </c>
    </row>
    <row r="11878" spans="2:7" ht="15" hidden="1" x14ac:dyDescent="0.25">
      <c r="B11878" s="4">
        <v>584772431</v>
      </c>
      <c r="C11878" s="4" t="s">
        <v>273</v>
      </c>
      <c r="D11878" s="4">
        <v>14190</v>
      </c>
      <c r="E11878" s="4">
        <v>317</v>
      </c>
      <c r="G11878">
        <f t="shared" si="185"/>
        <v>2592</v>
      </c>
    </row>
    <row r="11879" spans="2:7" ht="15" hidden="1" x14ac:dyDescent="0.25">
      <c r="B11879" s="4">
        <v>584772448</v>
      </c>
      <c r="C11879" s="4" t="s">
        <v>272</v>
      </c>
      <c r="D11879" s="4">
        <v>240</v>
      </c>
      <c r="E11879" s="4">
        <v>273</v>
      </c>
      <c r="G11879">
        <f t="shared" si="185"/>
        <v>2240</v>
      </c>
    </row>
    <row r="11880" spans="2:7" ht="15" hidden="1" x14ac:dyDescent="0.25">
      <c r="B11880" s="4">
        <v>584772469</v>
      </c>
      <c r="C11880" s="4" t="s">
        <v>273</v>
      </c>
      <c r="D11880" s="4">
        <v>14228</v>
      </c>
      <c r="E11880" s="4">
        <v>317</v>
      </c>
      <c r="G11880">
        <f t="shared" si="185"/>
        <v>2592</v>
      </c>
    </row>
    <row r="11881" spans="2:7" ht="15" hidden="1" x14ac:dyDescent="0.25">
      <c r="B11881" s="4">
        <v>584772488</v>
      </c>
      <c r="C11881" s="4" t="s">
        <v>273</v>
      </c>
      <c r="D11881" s="4">
        <v>14247</v>
      </c>
      <c r="E11881" s="4">
        <v>317</v>
      </c>
      <c r="G11881">
        <f t="shared" si="185"/>
        <v>2592</v>
      </c>
    </row>
    <row r="11882" spans="2:7" ht="15" hidden="1" x14ac:dyDescent="0.25">
      <c r="B11882" s="4">
        <v>584772517</v>
      </c>
      <c r="C11882" s="4" t="s">
        <v>273</v>
      </c>
      <c r="D11882" s="4">
        <v>14276</v>
      </c>
      <c r="E11882" s="4">
        <v>317</v>
      </c>
      <c r="G11882">
        <f t="shared" si="185"/>
        <v>2592</v>
      </c>
    </row>
    <row r="11883" spans="2:7" ht="15" hidden="1" x14ac:dyDescent="0.25">
      <c r="B11883" s="4">
        <v>584772544</v>
      </c>
      <c r="C11883" s="4" t="s">
        <v>269</v>
      </c>
      <c r="D11883" s="4">
        <v>1622</v>
      </c>
      <c r="E11883" s="4">
        <v>57</v>
      </c>
      <c r="G11883">
        <f t="shared" si="185"/>
        <v>512</v>
      </c>
    </row>
    <row r="11884" spans="2:7" ht="15" hidden="1" x14ac:dyDescent="0.25">
      <c r="B11884" s="4">
        <v>584772545</v>
      </c>
      <c r="C11884" s="4" t="s">
        <v>273</v>
      </c>
      <c r="D11884" s="4">
        <v>14304</v>
      </c>
      <c r="E11884" s="4">
        <v>317</v>
      </c>
      <c r="G11884">
        <f t="shared" si="185"/>
        <v>2592</v>
      </c>
    </row>
    <row r="11885" spans="2:7" ht="15" hidden="1" x14ac:dyDescent="0.25">
      <c r="B11885" s="4">
        <v>584772548</v>
      </c>
      <c r="C11885" s="4" t="s">
        <v>272</v>
      </c>
      <c r="D11885" s="4">
        <v>241</v>
      </c>
      <c r="E11885" s="4">
        <v>267</v>
      </c>
      <c r="G11885">
        <f t="shared" si="185"/>
        <v>2192</v>
      </c>
    </row>
    <row r="11886" spans="2:7" ht="15" hidden="1" x14ac:dyDescent="0.25">
      <c r="B11886" s="4">
        <v>584772574</v>
      </c>
      <c r="C11886" s="4" t="s">
        <v>273</v>
      </c>
      <c r="D11886" s="4">
        <v>14333</v>
      </c>
      <c r="E11886" s="4">
        <v>317</v>
      </c>
      <c r="G11886">
        <f t="shared" si="185"/>
        <v>2592</v>
      </c>
    </row>
    <row r="11887" spans="2:7" ht="15" hidden="1" x14ac:dyDescent="0.25">
      <c r="B11887" s="4">
        <v>584772602</v>
      </c>
      <c r="C11887" s="4" t="s">
        <v>273</v>
      </c>
      <c r="D11887" s="4">
        <v>14361</v>
      </c>
      <c r="E11887" s="4">
        <v>317</v>
      </c>
      <c r="G11887">
        <f t="shared" si="185"/>
        <v>2592</v>
      </c>
    </row>
    <row r="11888" spans="2:7" ht="15" hidden="1" x14ac:dyDescent="0.25">
      <c r="B11888" s="4">
        <v>584772630</v>
      </c>
      <c r="C11888" s="4" t="s">
        <v>273</v>
      </c>
      <c r="D11888" s="4">
        <v>14389</v>
      </c>
      <c r="E11888" s="4">
        <v>317</v>
      </c>
      <c r="G11888">
        <f t="shared" si="185"/>
        <v>2592</v>
      </c>
    </row>
    <row r="11889" spans="2:7" ht="15" hidden="1" x14ac:dyDescent="0.25">
      <c r="B11889" s="4">
        <v>584772648</v>
      </c>
      <c r="C11889" s="4" t="s">
        <v>272</v>
      </c>
      <c r="D11889" s="4">
        <v>242</v>
      </c>
      <c r="E11889" s="4">
        <v>265</v>
      </c>
      <c r="G11889">
        <f t="shared" si="185"/>
        <v>2176</v>
      </c>
    </row>
    <row r="11890" spans="2:7" ht="15" hidden="1" x14ac:dyDescent="0.25">
      <c r="B11890" s="4">
        <v>584772659</v>
      </c>
      <c r="C11890" s="4" t="s">
        <v>273</v>
      </c>
      <c r="D11890" s="4">
        <v>14418</v>
      </c>
      <c r="E11890" s="4">
        <v>317</v>
      </c>
      <c r="G11890">
        <f t="shared" si="185"/>
        <v>2592</v>
      </c>
    </row>
    <row r="11891" spans="2:7" ht="15" hidden="1" x14ac:dyDescent="0.25">
      <c r="B11891" s="4">
        <v>584772687</v>
      </c>
      <c r="C11891" s="4" t="s">
        <v>273</v>
      </c>
      <c r="D11891" s="4">
        <v>14446</v>
      </c>
      <c r="E11891" s="4">
        <v>317</v>
      </c>
      <c r="G11891">
        <f t="shared" si="185"/>
        <v>2592</v>
      </c>
    </row>
    <row r="11892" spans="2:7" ht="15" hidden="1" x14ac:dyDescent="0.25">
      <c r="B11892" s="4">
        <v>584772716</v>
      </c>
      <c r="C11892" s="4" t="s">
        <v>273</v>
      </c>
      <c r="D11892" s="4">
        <v>14475</v>
      </c>
      <c r="E11892" s="4">
        <v>317</v>
      </c>
      <c r="G11892">
        <f t="shared" si="185"/>
        <v>2592</v>
      </c>
    </row>
    <row r="11893" spans="2:7" ht="15" hidden="1" x14ac:dyDescent="0.25">
      <c r="B11893" s="4">
        <v>584772744</v>
      </c>
      <c r="C11893" s="4" t="s">
        <v>273</v>
      </c>
      <c r="D11893" s="4">
        <v>14503</v>
      </c>
      <c r="E11893" s="4">
        <v>317</v>
      </c>
      <c r="G11893">
        <f t="shared" si="185"/>
        <v>2592</v>
      </c>
    </row>
    <row r="11894" spans="2:7" ht="15" hidden="1" x14ac:dyDescent="0.25">
      <c r="B11894" s="4">
        <v>584772748</v>
      </c>
      <c r="C11894" s="4" t="s">
        <v>272</v>
      </c>
      <c r="D11894" s="4">
        <v>243</v>
      </c>
      <c r="E11894" s="4">
        <v>271</v>
      </c>
      <c r="G11894">
        <f t="shared" si="185"/>
        <v>2224</v>
      </c>
    </row>
    <row r="11895" spans="2:7" ht="15" hidden="1" x14ac:dyDescent="0.25">
      <c r="B11895" s="4">
        <v>584772773</v>
      </c>
      <c r="C11895" s="4" t="s">
        <v>273</v>
      </c>
      <c r="D11895" s="4">
        <v>14532</v>
      </c>
      <c r="E11895" s="4">
        <v>317</v>
      </c>
      <c r="G11895">
        <f t="shared" si="185"/>
        <v>2592</v>
      </c>
    </row>
    <row r="11896" spans="2:7" ht="15" hidden="1" x14ac:dyDescent="0.25">
      <c r="B11896" s="4">
        <v>584772801</v>
      </c>
      <c r="C11896" s="4" t="s">
        <v>273</v>
      </c>
      <c r="D11896" s="4">
        <v>14560</v>
      </c>
      <c r="E11896" s="4">
        <v>317</v>
      </c>
      <c r="G11896">
        <f t="shared" si="185"/>
        <v>2592</v>
      </c>
    </row>
    <row r="11897" spans="2:7" ht="15" hidden="1" x14ac:dyDescent="0.25">
      <c r="B11897" s="4">
        <v>584772829</v>
      </c>
      <c r="C11897" s="4" t="s">
        <v>273</v>
      </c>
      <c r="D11897" s="4">
        <v>14588</v>
      </c>
      <c r="E11897" s="4">
        <v>317</v>
      </c>
      <c r="G11897">
        <f t="shared" si="185"/>
        <v>2592</v>
      </c>
    </row>
    <row r="11898" spans="2:7" ht="15" hidden="1" x14ac:dyDescent="0.25">
      <c r="B11898" s="4">
        <v>584772848</v>
      </c>
      <c r="C11898" s="4" t="s">
        <v>272</v>
      </c>
      <c r="D11898" s="4">
        <v>244</v>
      </c>
      <c r="E11898" s="4">
        <v>265</v>
      </c>
      <c r="G11898">
        <f t="shared" si="185"/>
        <v>2176</v>
      </c>
    </row>
    <row r="11899" spans="2:7" ht="15" hidden="1" x14ac:dyDescent="0.25">
      <c r="B11899" s="4">
        <v>584772858</v>
      </c>
      <c r="C11899" s="4" t="s">
        <v>273</v>
      </c>
      <c r="D11899" s="4">
        <v>14617</v>
      </c>
      <c r="E11899" s="4">
        <v>317</v>
      </c>
      <c r="G11899">
        <f t="shared" si="185"/>
        <v>2592</v>
      </c>
    </row>
    <row r="11900" spans="2:7" ht="15" hidden="1" x14ac:dyDescent="0.25">
      <c r="B11900" s="4">
        <v>584772886</v>
      </c>
      <c r="C11900" s="4" t="s">
        <v>273</v>
      </c>
      <c r="D11900" s="4">
        <v>14645</v>
      </c>
      <c r="E11900" s="4">
        <v>317</v>
      </c>
      <c r="G11900">
        <f t="shared" si="185"/>
        <v>2592</v>
      </c>
    </row>
    <row r="11901" spans="2:7" ht="15" hidden="1" x14ac:dyDescent="0.25">
      <c r="B11901" s="4">
        <v>584772915</v>
      </c>
      <c r="C11901" s="4" t="s">
        <v>273</v>
      </c>
      <c r="D11901" s="4">
        <v>14674</v>
      </c>
      <c r="E11901" s="4">
        <v>317</v>
      </c>
      <c r="G11901">
        <f t="shared" si="185"/>
        <v>2592</v>
      </c>
    </row>
    <row r="11902" spans="2:7" ht="15" hidden="1" x14ac:dyDescent="0.25">
      <c r="B11902" s="4">
        <v>584772934</v>
      </c>
      <c r="C11902" s="4" t="s">
        <v>273</v>
      </c>
      <c r="D11902" s="4">
        <v>14693</v>
      </c>
      <c r="E11902" s="4">
        <v>317</v>
      </c>
      <c r="G11902">
        <f t="shared" si="185"/>
        <v>2592</v>
      </c>
    </row>
    <row r="11903" spans="2:7" ht="15" hidden="1" x14ac:dyDescent="0.25">
      <c r="B11903" s="4">
        <v>584772948</v>
      </c>
      <c r="C11903" s="4" t="s">
        <v>272</v>
      </c>
      <c r="D11903" s="4">
        <v>245</v>
      </c>
      <c r="E11903" s="4">
        <v>265</v>
      </c>
      <c r="G11903">
        <f t="shared" si="185"/>
        <v>2176</v>
      </c>
    </row>
    <row r="11904" spans="2:7" ht="15" hidden="1" x14ac:dyDescent="0.25">
      <c r="B11904" s="4">
        <v>584772972</v>
      </c>
      <c r="C11904" s="4" t="s">
        <v>273</v>
      </c>
      <c r="D11904" s="4">
        <v>14731</v>
      </c>
      <c r="E11904" s="4">
        <v>317</v>
      </c>
      <c r="G11904">
        <f t="shared" si="185"/>
        <v>2592</v>
      </c>
    </row>
    <row r="11905" spans="2:7" ht="15" hidden="1" x14ac:dyDescent="0.25">
      <c r="B11905" s="4">
        <v>584772991</v>
      </c>
      <c r="C11905" s="4" t="s">
        <v>273</v>
      </c>
      <c r="D11905" s="4">
        <v>14750</v>
      </c>
      <c r="E11905" s="4">
        <v>317</v>
      </c>
      <c r="G11905">
        <f t="shared" si="185"/>
        <v>2592</v>
      </c>
    </row>
    <row r="11906" spans="2:7" ht="15" hidden="1" x14ac:dyDescent="0.25">
      <c r="B11906" s="4">
        <v>584773015</v>
      </c>
      <c r="C11906" s="4" t="s">
        <v>273</v>
      </c>
      <c r="D11906" s="4">
        <v>14774</v>
      </c>
      <c r="E11906" s="4">
        <v>317</v>
      </c>
      <c r="G11906">
        <f t="shared" si="185"/>
        <v>2592</v>
      </c>
    </row>
    <row r="11907" spans="2:7" ht="15" hidden="1" x14ac:dyDescent="0.25">
      <c r="B11907" s="4">
        <v>584773019</v>
      </c>
      <c r="C11907" s="4" t="s">
        <v>273</v>
      </c>
      <c r="D11907" s="4">
        <v>14778</v>
      </c>
      <c r="E11907" s="4">
        <v>317</v>
      </c>
      <c r="G11907">
        <f t="shared" si="185"/>
        <v>2592</v>
      </c>
    </row>
    <row r="11908" spans="2:7" ht="15" hidden="1" x14ac:dyDescent="0.25">
      <c r="B11908" s="4">
        <v>584773047</v>
      </c>
      <c r="C11908" s="4" t="s">
        <v>273</v>
      </c>
      <c r="D11908" s="4">
        <v>14806</v>
      </c>
      <c r="E11908" s="4">
        <v>317</v>
      </c>
      <c r="G11908">
        <f t="shared" ref="G11908:G11971" si="186">(E11908+7)*8</f>
        <v>2592</v>
      </c>
    </row>
    <row r="11909" spans="2:7" ht="15" hidden="1" x14ac:dyDescent="0.25">
      <c r="B11909" s="4">
        <v>584773048</v>
      </c>
      <c r="C11909" s="4" t="s">
        <v>272</v>
      </c>
      <c r="D11909" s="4">
        <v>246</v>
      </c>
      <c r="E11909" s="4">
        <v>257</v>
      </c>
      <c r="G11909">
        <f t="shared" si="186"/>
        <v>2112</v>
      </c>
    </row>
    <row r="11910" spans="2:7" ht="15" hidden="1" x14ac:dyDescent="0.25">
      <c r="B11910" s="4">
        <v>584773076</v>
      </c>
      <c r="C11910" s="4" t="s">
        <v>273</v>
      </c>
      <c r="D11910" s="4">
        <v>14835</v>
      </c>
      <c r="E11910" s="4">
        <v>317</v>
      </c>
      <c r="G11910">
        <f t="shared" si="186"/>
        <v>2592</v>
      </c>
    </row>
    <row r="11911" spans="2:7" ht="15" hidden="1" x14ac:dyDescent="0.25">
      <c r="B11911" s="4">
        <v>584773104</v>
      </c>
      <c r="C11911" s="4" t="s">
        <v>273</v>
      </c>
      <c r="D11911" s="4">
        <v>14863</v>
      </c>
      <c r="E11911" s="4">
        <v>317</v>
      </c>
      <c r="G11911">
        <f t="shared" si="186"/>
        <v>2592</v>
      </c>
    </row>
    <row r="11912" spans="2:7" ht="15" hidden="1" x14ac:dyDescent="0.25">
      <c r="B11912" s="4">
        <v>584773133</v>
      </c>
      <c r="C11912" s="4" t="s">
        <v>273</v>
      </c>
      <c r="D11912" s="4">
        <v>14892</v>
      </c>
      <c r="E11912" s="4">
        <v>317</v>
      </c>
      <c r="G11912">
        <f t="shared" si="186"/>
        <v>2592</v>
      </c>
    </row>
    <row r="11913" spans="2:7" ht="15" hidden="1" x14ac:dyDescent="0.25">
      <c r="B11913" s="4">
        <v>584773148</v>
      </c>
      <c r="C11913" s="4" t="s">
        <v>272</v>
      </c>
      <c r="D11913" s="4">
        <v>247</v>
      </c>
      <c r="E11913" s="4">
        <v>263</v>
      </c>
      <c r="G11913">
        <f t="shared" si="186"/>
        <v>2160</v>
      </c>
    </row>
    <row r="11914" spans="2:7" ht="15" hidden="1" x14ac:dyDescent="0.25">
      <c r="B11914" s="4">
        <v>584773161</v>
      </c>
      <c r="C11914" s="4" t="s">
        <v>273</v>
      </c>
      <c r="D11914" s="4">
        <v>14920</v>
      </c>
      <c r="E11914" s="4">
        <v>317</v>
      </c>
      <c r="G11914">
        <f t="shared" si="186"/>
        <v>2592</v>
      </c>
    </row>
    <row r="11915" spans="2:7" ht="15" hidden="1" x14ac:dyDescent="0.25">
      <c r="B11915" s="4">
        <v>584773190</v>
      </c>
      <c r="C11915" s="4" t="s">
        <v>273</v>
      </c>
      <c r="D11915" s="4">
        <v>14949</v>
      </c>
      <c r="E11915" s="4">
        <v>317</v>
      </c>
      <c r="G11915">
        <f t="shared" si="186"/>
        <v>2592</v>
      </c>
    </row>
    <row r="11916" spans="2:7" ht="15" hidden="1" x14ac:dyDescent="0.25">
      <c r="B11916" s="4">
        <v>584773218</v>
      </c>
      <c r="C11916" s="4" t="s">
        <v>273</v>
      </c>
      <c r="D11916" s="4">
        <v>14977</v>
      </c>
      <c r="E11916" s="4">
        <v>317</v>
      </c>
      <c r="G11916">
        <f t="shared" si="186"/>
        <v>2592</v>
      </c>
    </row>
    <row r="11917" spans="2:7" ht="15" hidden="1" x14ac:dyDescent="0.25">
      <c r="B11917" s="4">
        <v>584773247</v>
      </c>
      <c r="C11917" s="4" t="s">
        <v>273</v>
      </c>
      <c r="D11917" s="4">
        <v>15006</v>
      </c>
      <c r="E11917" s="4">
        <v>317</v>
      </c>
      <c r="G11917">
        <f t="shared" si="186"/>
        <v>2592</v>
      </c>
    </row>
    <row r="11918" spans="2:7" ht="15" hidden="1" x14ac:dyDescent="0.25">
      <c r="B11918" s="4">
        <v>584773248</v>
      </c>
      <c r="C11918" s="4" t="s">
        <v>272</v>
      </c>
      <c r="D11918" s="4">
        <v>248</v>
      </c>
      <c r="E11918" s="4">
        <v>267</v>
      </c>
      <c r="G11918">
        <f t="shared" si="186"/>
        <v>2192</v>
      </c>
    </row>
    <row r="11919" spans="2:7" ht="15" hidden="1" x14ac:dyDescent="0.25">
      <c r="B11919" s="4">
        <v>584773275</v>
      </c>
      <c r="C11919" s="4" t="s">
        <v>273</v>
      </c>
      <c r="D11919" s="4">
        <v>15034</v>
      </c>
      <c r="E11919" s="4">
        <v>317</v>
      </c>
      <c r="G11919">
        <f t="shared" si="186"/>
        <v>2592</v>
      </c>
    </row>
    <row r="11920" spans="2:7" ht="15" hidden="1" x14ac:dyDescent="0.25">
      <c r="B11920" s="4">
        <v>584773303</v>
      </c>
      <c r="C11920" s="4" t="s">
        <v>273</v>
      </c>
      <c r="D11920" s="4">
        <v>15062</v>
      </c>
      <c r="E11920" s="4">
        <v>317</v>
      </c>
      <c r="G11920">
        <f t="shared" si="186"/>
        <v>2592</v>
      </c>
    </row>
    <row r="11921" spans="2:7" ht="15" hidden="1" x14ac:dyDescent="0.25">
      <c r="B11921" s="4">
        <v>584773332</v>
      </c>
      <c r="C11921" s="4" t="s">
        <v>273</v>
      </c>
      <c r="D11921" s="4">
        <v>15091</v>
      </c>
      <c r="E11921" s="4">
        <v>317</v>
      </c>
      <c r="G11921">
        <f t="shared" si="186"/>
        <v>2592</v>
      </c>
    </row>
    <row r="11922" spans="2:7" ht="15" hidden="1" x14ac:dyDescent="0.25">
      <c r="B11922" s="4">
        <v>584773348</v>
      </c>
      <c r="C11922" s="4" t="s">
        <v>272</v>
      </c>
      <c r="D11922" s="4">
        <v>249</v>
      </c>
      <c r="E11922" s="4">
        <v>277</v>
      </c>
      <c r="G11922">
        <f t="shared" si="186"/>
        <v>2272</v>
      </c>
    </row>
    <row r="11923" spans="2:7" ht="15" hidden="1" x14ac:dyDescent="0.25">
      <c r="B11923" s="4">
        <v>584773360</v>
      </c>
      <c r="C11923" s="4" t="s">
        <v>273</v>
      </c>
      <c r="D11923" s="4">
        <v>15119</v>
      </c>
      <c r="E11923" s="4">
        <v>317</v>
      </c>
      <c r="G11923">
        <f t="shared" si="186"/>
        <v>2592</v>
      </c>
    </row>
    <row r="11924" spans="2:7" ht="15" hidden="1" x14ac:dyDescent="0.25">
      <c r="B11924" s="4">
        <v>584773389</v>
      </c>
      <c r="C11924" s="4" t="s">
        <v>273</v>
      </c>
      <c r="D11924" s="4">
        <v>15148</v>
      </c>
      <c r="E11924" s="4">
        <v>317</v>
      </c>
      <c r="G11924">
        <f t="shared" si="186"/>
        <v>2592</v>
      </c>
    </row>
    <row r="11925" spans="2:7" ht="15" hidden="1" x14ac:dyDescent="0.25">
      <c r="B11925" s="4">
        <v>584773417</v>
      </c>
      <c r="C11925" s="4" t="s">
        <v>273</v>
      </c>
      <c r="D11925" s="4">
        <v>15176</v>
      </c>
      <c r="E11925" s="4">
        <v>317</v>
      </c>
      <c r="G11925">
        <f t="shared" si="186"/>
        <v>2592</v>
      </c>
    </row>
    <row r="11926" spans="2:7" ht="15" hidden="1" x14ac:dyDescent="0.25">
      <c r="B11926" s="4">
        <v>584773446</v>
      </c>
      <c r="C11926" s="4" t="s">
        <v>273</v>
      </c>
      <c r="D11926" s="4">
        <v>15205</v>
      </c>
      <c r="E11926" s="4">
        <v>317</v>
      </c>
      <c r="G11926">
        <f t="shared" si="186"/>
        <v>2592</v>
      </c>
    </row>
    <row r="11927" spans="2:7" ht="15" hidden="1" x14ac:dyDescent="0.25">
      <c r="B11927" s="4">
        <v>584773448</v>
      </c>
      <c r="C11927" s="4" t="s">
        <v>272</v>
      </c>
      <c r="D11927" s="4">
        <v>250</v>
      </c>
      <c r="E11927" s="4">
        <v>275</v>
      </c>
      <c r="G11927">
        <f t="shared" si="186"/>
        <v>2256</v>
      </c>
    </row>
    <row r="11928" spans="2:7" ht="15" hidden="1" x14ac:dyDescent="0.25">
      <c r="B11928" s="4">
        <v>584773474</v>
      </c>
      <c r="C11928" s="4" t="s">
        <v>273</v>
      </c>
      <c r="D11928" s="4">
        <v>15233</v>
      </c>
      <c r="E11928" s="4">
        <v>317</v>
      </c>
      <c r="G11928">
        <f t="shared" si="186"/>
        <v>2592</v>
      </c>
    </row>
    <row r="11929" spans="2:7" ht="15" hidden="1" x14ac:dyDescent="0.25">
      <c r="B11929" s="4">
        <v>584773502</v>
      </c>
      <c r="C11929" s="4" t="s">
        <v>273</v>
      </c>
      <c r="D11929" s="4">
        <v>15261</v>
      </c>
      <c r="E11929" s="4">
        <v>317</v>
      </c>
      <c r="G11929">
        <f t="shared" si="186"/>
        <v>2592</v>
      </c>
    </row>
    <row r="11930" spans="2:7" ht="15" hidden="1" x14ac:dyDescent="0.25">
      <c r="B11930" s="4">
        <v>584773521</v>
      </c>
      <c r="C11930" s="4" t="s">
        <v>273</v>
      </c>
      <c r="D11930" s="4">
        <v>15280</v>
      </c>
      <c r="E11930" s="4">
        <v>317</v>
      </c>
      <c r="G11930">
        <f t="shared" si="186"/>
        <v>2592</v>
      </c>
    </row>
    <row r="11931" spans="2:7" ht="15" hidden="1" x14ac:dyDescent="0.25">
      <c r="B11931" s="4">
        <v>584773548</v>
      </c>
      <c r="C11931" s="4" t="s">
        <v>272</v>
      </c>
      <c r="D11931" s="4">
        <v>251</v>
      </c>
      <c r="E11931" s="4">
        <v>269</v>
      </c>
      <c r="G11931">
        <f t="shared" si="186"/>
        <v>2208</v>
      </c>
    </row>
    <row r="11932" spans="2:7" ht="15" hidden="1" x14ac:dyDescent="0.25">
      <c r="B11932" s="4">
        <v>584773559</v>
      </c>
      <c r="C11932" s="4" t="s">
        <v>273</v>
      </c>
      <c r="D11932" s="4">
        <v>15318</v>
      </c>
      <c r="E11932" s="4">
        <v>317</v>
      </c>
      <c r="G11932">
        <f t="shared" si="186"/>
        <v>2592</v>
      </c>
    </row>
    <row r="11933" spans="2:7" ht="15" hidden="1" x14ac:dyDescent="0.25">
      <c r="B11933" s="4">
        <v>584773578</v>
      </c>
      <c r="C11933" s="4" t="s">
        <v>273</v>
      </c>
      <c r="D11933" s="4">
        <v>15337</v>
      </c>
      <c r="E11933" s="4">
        <v>317</v>
      </c>
      <c r="G11933">
        <f t="shared" si="186"/>
        <v>2592</v>
      </c>
    </row>
    <row r="11934" spans="2:7" ht="15" hidden="1" x14ac:dyDescent="0.25">
      <c r="B11934" s="4">
        <v>584773607</v>
      </c>
      <c r="C11934" s="4" t="s">
        <v>273</v>
      </c>
      <c r="D11934" s="4">
        <v>15366</v>
      </c>
      <c r="E11934" s="4">
        <v>317</v>
      </c>
      <c r="G11934">
        <f t="shared" si="186"/>
        <v>2592</v>
      </c>
    </row>
    <row r="11935" spans="2:7" ht="15" hidden="1" x14ac:dyDescent="0.25">
      <c r="B11935" s="4">
        <v>584773635</v>
      </c>
      <c r="C11935" s="4" t="s">
        <v>273</v>
      </c>
      <c r="D11935" s="4">
        <v>15394</v>
      </c>
      <c r="E11935" s="4">
        <v>317</v>
      </c>
      <c r="G11935">
        <f t="shared" si="186"/>
        <v>2592</v>
      </c>
    </row>
    <row r="11936" spans="2:7" ht="15" hidden="1" x14ac:dyDescent="0.25">
      <c r="B11936" s="4">
        <v>584773648</v>
      </c>
      <c r="C11936" s="4" t="s">
        <v>272</v>
      </c>
      <c r="D11936" s="4">
        <v>252</v>
      </c>
      <c r="E11936" s="4">
        <v>267</v>
      </c>
      <c r="G11936">
        <f t="shared" si="186"/>
        <v>2192</v>
      </c>
    </row>
    <row r="11937" spans="2:7" ht="15" hidden="1" x14ac:dyDescent="0.25">
      <c r="B11937" s="4">
        <v>584773664</v>
      </c>
      <c r="C11937" s="4" t="s">
        <v>273</v>
      </c>
      <c r="D11937" s="4">
        <v>15423</v>
      </c>
      <c r="E11937" s="4">
        <v>317</v>
      </c>
      <c r="G11937">
        <f t="shared" si="186"/>
        <v>2592</v>
      </c>
    </row>
    <row r="11938" spans="2:7" ht="15" hidden="1" x14ac:dyDescent="0.25">
      <c r="B11938" s="4">
        <v>584773692</v>
      </c>
      <c r="C11938" s="4" t="s">
        <v>273</v>
      </c>
      <c r="D11938" s="4">
        <v>15451</v>
      </c>
      <c r="E11938" s="4">
        <v>317</v>
      </c>
      <c r="G11938">
        <f t="shared" si="186"/>
        <v>2592</v>
      </c>
    </row>
    <row r="11939" spans="2:7" ht="15" hidden="1" x14ac:dyDescent="0.25">
      <c r="B11939" s="4">
        <v>584773720</v>
      </c>
      <c r="C11939" s="4" t="s">
        <v>273</v>
      </c>
      <c r="D11939" s="4">
        <v>15479</v>
      </c>
      <c r="E11939" s="4">
        <v>317</v>
      </c>
      <c r="G11939">
        <f t="shared" si="186"/>
        <v>2592</v>
      </c>
    </row>
    <row r="11940" spans="2:7" ht="15" hidden="1" x14ac:dyDescent="0.25">
      <c r="B11940" s="4">
        <v>584773748</v>
      </c>
      <c r="C11940" s="4" t="s">
        <v>272</v>
      </c>
      <c r="D11940" s="4">
        <v>253</v>
      </c>
      <c r="E11940" s="4">
        <v>263</v>
      </c>
      <c r="G11940">
        <f t="shared" si="186"/>
        <v>2160</v>
      </c>
    </row>
    <row r="11941" spans="2:7" ht="15" hidden="1" x14ac:dyDescent="0.25">
      <c r="B11941" s="4">
        <v>584773749</v>
      </c>
      <c r="C11941" s="4" t="s">
        <v>273</v>
      </c>
      <c r="D11941" s="4">
        <v>15508</v>
      </c>
      <c r="E11941" s="4">
        <v>317</v>
      </c>
      <c r="G11941">
        <f t="shared" si="186"/>
        <v>2592</v>
      </c>
    </row>
    <row r="11942" spans="2:7" ht="15" hidden="1" x14ac:dyDescent="0.25">
      <c r="B11942" s="4">
        <v>584773777</v>
      </c>
      <c r="C11942" s="4" t="s">
        <v>273</v>
      </c>
      <c r="D11942" s="4">
        <v>15536</v>
      </c>
      <c r="E11942" s="4">
        <v>317</v>
      </c>
      <c r="G11942">
        <f t="shared" si="186"/>
        <v>2592</v>
      </c>
    </row>
    <row r="11943" spans="2:7" ht="15" hidden="1" x14ac:dyDescent="0.25">
      <c r="B11943" s="4">
        <v>584773806</v>
      </c>
      <c r="C11943" s="4" t="s">
        <v>273</v>
      </c>
      <c r="D11943" s="4">
        <v>15565</v>
      </c>
      <c r="E11943" s="4">
        <v>317</v>
      </c>
      <c r="G11943">
        <f t="shared" si="186"/>
        <v>2592</v>
      </c>
    </row>
    <row r="11944" spans="2:7" ht="15" hidden="1" x14ac:dyDescent="0.25">
      <c r="B11944" s="4">
        <v>584773834</v>
      </c>
      <c r="C11944" s="4" t="s">
        <v>273</v>
      </c>
      <c r="D11944" s="4">
        <v>15593</v>
      </c>
      <c r="E11944" s="4">
        <v>317</v>
      </c>
      <c r="G11944">
        <f t="shared" si="186"/>
        <v>2592</v>
      </c>
    </row>
    <row r="11945" spans="2:7" ht="15" hidden="1" x14ac:dyDescent="0.25">
      <c r="B11945" s="4">
        <v>584773848</v>
      </c>
      <c r="C11945" s="4" t="s">
        <v>272</v>
      </c>
      <c r="D11945" s="4">
        <v>254</v>
      </c>
      <c r="E11945" s="4">
        <v>259</v>
      </c>
      <c r="G11945">
        <f t="shared" si="186"/>
        <v>2128</v>
      </c>
    </row>
    <row r="11946" spans="2:7" ht="15" hidden="1" x14ac:dyDescent="0.25">
      <c r="B11946" s="4">
        <v>584773863</v>
      </c>
      <c r="C11946" s="4" t="s">
        <v>273</v>
      </c>
      <c r="D11946" s="4">
        <v>15622</v>
      </c>
      <c r="E11946" s="4">
        <v>317</v>
      </c>
      <c r="G11946">
        <f t="shared" si="186"/>
        <v>2592</v>
      </c>
    </row>
    <row r="11947" spans="2:7" ht="15" hidden="1" x14ac:dyDescent="0.25">
      <c r="B11947" s="4">
        <v>584773891</v>
      </c>
      <c r="C11947" s="4" t="s">
        <v>273</v>
      </c>
      <c r="D11947" s="4">
        <v>15650</v>
      </c>
      <c r="E11947" s="4">
        <v>317</v>
      </c>
      <c r="G11947">
        <f t="shared" si="186"/>
        <v>2592</v>
      </c>
    </row>
    <row r="11948" spans="2:7" ht="15" hidden="1" x14ac:dyDescent="0.25">
      <c r="B11948" s="4">
        <v>584773920</v>
      </c>
      <c r="C11948" s="4" t="s">
        <v>273</v>
      </c>
      <c r="D11948" s="4">
        <v>15679</v>
      </c>
      <c r="E11948" s="4">
        <v>317</v>
      </c>
      <c r="G11948">
        <f t="shared" si="186"/>
        <v>2592</v>
      </c>
    </row>
    <row r="11949" spans="2:7" ht="15" hidden="1" x14ac:dyDescent="0.25">
      <c r="B11949" s="4">
        <v>584773948</v>
      </c>
      <c r="C11949" s="4" t="s">
        <v>273</v>
      </c>
      <c r="D11949" s="4">
        <v>15707</v>
      </c>
      <c r="E11949" s="4">
        <v>317</v>
      </c>
      <c r="G11949">
        <f t="shared" si="186"/>
        <v>2592</v>
      </c>
    </row>
    <row r="11950" spans="2:7" ht="15" hidden="1" x14ac:dyDescent="0.25">
      <c r="B11950" s="4">
        <v>584773948</v>
      </c>
      <c r="C11950" s="4" t="s">
        <v>272</v>
      </c>
      <c r="D11950" s="4">
        <v>255</v>
      </c>
      <c r="E11950" s="4">
        <v>275</v>
      </c>
      <c r="G11950">
        <f t="shared" si="186"/>
        <v>2256</v>
      </c>
    </row>
    <row r="11951" spans="2:7" ht="15" hidden="1" x14ac:dyDescent="0.25">
      <c r="B11951" s="4">
        <v>584773976</v>
      </c>
      <c r="C11951" s="4" t="s">
        <v>273</v>
      </c>
      <c r="D11951" s="4">
        <v>15735</v>
      </c>
      <c r="E11951" s="4">
        <v>317</v>
      </c>
      <c r="G11951">
        <f t="shared" si="186"/>
        <v>2592</v>
      </c>
    </row>
    <row r="11952" spans="2:7" ht="15" hidden="1" x14ac:dyDescent="0.25">
      <c r="B11952" s="4">
        <v>584774005</v>
      </c>
      <c r="C11952" s="4" t="s">
        <v>273</v>
      </c>
      <c r="D11952" s="4">
        <v>15764</v>
      </c>
      <c r="E11952" s="4">
        <v>317</v>
      </c>
      <c r="G11952">
        <f t="shared" si="186"/>
        <v>2592</v>
      </c>
    </row>
    <row r="11953" spans="2:7" ht="15" hidden="1" x14ac:dyDescent="0.25">
      <c r="B11953" s="4">
        <v>584774033</v>
      </c>
      <c r="C11953" s="4" t="s">
        <v>273</v>
      </c>
      <c r="D11953" s="4">
        <v>15792</v>
      </c>
      <c r="E11953" s="4">
        <v>317</v>
      </c>
      <c r="G11953">
        <f t="shared" si="186"/>
        <v>2592</v>
      </c>
    </row>
    <row r="11954" spans="2:7" ht="15" hidden="1" x14ac:dyDescent="0.25">
      <c r="B11954" s="4">
        <v>584774048</v>
      </c>
      <c r="C11954" s="4" t="s">
        <v>272</v>
      </c>
      <c r="D11954" s="4">
        <v>256</v>
      </c>
      <c r="E11954" s="4">
        <v>271</v>
      </c>
      <c r="G11954">
        <f t="shared" si="186"/>
        <v>2224</v>
      </c>
    </row>
    <row r="11955" spans="2:7" ht="15" hidden="1" x14ac:dyDescent="0.25">
      <c r="B11955" s="4">
        <v>584774062</v>
      </c>
      <c r="C11955" s="4" t="s">
        <v>273</v>
      </c>
      <c r="D11955" s="4">
        <v>15821</v>
      </c>
      <c r="E11955" s="4">
        <v>317</v>
      </c>
      <c r="G11955">
        <f t="shared" si="186"/>
        <v>2592</v>
      </c>
    </row>
    <row r="11956" spans="2:7" ht="15" hidden="1" x14ac:dyDescent="0.25">
      <c r="B11956" s="4">
        <v>584774090</v>
      </c>
      <c r="C11956" s="4" t="s">
        <v>273</v>
      </c>
      <c r="D11956" s="4">
        <v>15849</v>
      </c>
      <c r="E11956" s="4">
        <v>317</v>
      </c>
      <c r="G11956">
        <f t="shared" si="186"/>
        <v>2592</v>
      </c>
    </row>
    <row r="11957" spans="2:7" ht="15" hidden="1" x14ac:dyDescent="0.25">
      <c r="B11957" s="4">
        <v>584774119</v>
      </c>
      <c r="C11957" s="4" t="s">
        <v>273</v>
      </c>
      <c r="D11957" s="4">
        <v>15878</v>
      </c>
      <c r="E11957" s="4">
        <v>317</v>
      </c>
      <c r="G11957">
        <f t="shared" si="186"/>
        <v>2592</v>
      </c>
    </row>
    <row r="11958" spans="2:7" ht="15" hidden="1" x14ac:dyDescent="0.25">
      <c r="B11958" s="4">
        <v>584774138</v>
      </c>
      <c r="C11958" s="4" t="s">
        <v>273</v>
      </c>
      <c r="D11958" s="4">
        <v>15897</v>
      </c>
      <c r="E11958" s="4">
        <v>317</v>
      </c>
      <c r="G11958">
        <f t="shared" si="186"/>
        <v>2592</v>
      </c>
    </row>
    <row r="11959" spans="2:7" ht="15" hidden="1" x14ac:dyDescent="0.25">
      <c r="B11959" s="4">
        <v>584774148</v>
      </c>
      <c r="C11959" s="4" t="s">
        <v>272</v>
      </c>
      <c r="D11959" s="4">
        <v>257</v>
      </c>
      <c r="E11959" s="4">
        <v>271</v>
      </c>
      <c r="G11959">
        <f t="shared" si="186"/>
        <v>2224</v>
      </c>
    </row>
    <row r="11960" spans="2:7" ht="15" hidden="1" x14ac:dyDescent="0.25">
      <c r="B11960" s="4">
        <v>584774175</v>
      </c>
      <c r="C11960" s="4" t="s">
        <v>273</v>
      </c>
      <c r="D11960" s="4">
        <v>15934</v>
      </c>
      <c r="E11960" s="4">
        <v>317</v>
      </c>
      <c r="G11960">
        <f t="shared" si="186"/>
        <v>2592</v>
      </c>
    </row>
    <row r="11961" spans="2:7" ht="15" hidden="1" x14ac:dyDescent="0.25">
      <c r="B11961" s="4">
        <v>584774194</v>
      </c>
      <c r="C11961" s="4" t="s">
        <v>273</v>
      </c>
      <c r="D11961" s="4">
        <v>15953</v>
      </c>
      <c r="E11961" s="4">
        <v>317</v>
      </c>
      <c r="G11961">
        <f t="shared" si="186"/>
        <v>2592</v>
      </c>
    </row>
    <row r="11962" spans="2:7" ht="15" hidden="1" x14ac:dyDescent="0.25">
      <c r="B11962" s="4">
        <v>584774214</v>
      </c>
      <c r="C11962" s="4" t="s">
        <v>273</v>
      </c>
      <c r="D11962" s="4">
        <v>15973</v>
      </c>
      <c r="E11962" s="4">
        <v>317</v>
      </c>
      <c r="G11962">
        <f t="shared" si="186"/>
        <v>2592</v>
      </c>
    </row>
    <row r="11963" spans="2:7" ht="15" hidden="1" x14ac:dyDescent="0.25">
      <c r="B11963" s="4">
        <v>584774223</v>
      </c>
      <c r="C11963" s="4" t="s">
        <v>273</v>
      </c>
      <c r="D11963" s="4">
        <v>15982</v>
      </c>
      <c r="E11963" s="4">
        <v>317</v>
      </c>
      <c r="G11963">
        <f t="shared" si="186"/>
        <v>2592</v>
      </c>
    </row>
    <row r="11964" spans="2:7" ht="15" hidden="1" x14ac:dyDescent="0.25">
      <c r="B11964" s="4">
        <v>584774248</v>
      </c>
      <c r="C11964" s="4" t="s">
        <v>272</v>
      </c>
      <c r="D11964" s="4">
        <v>258</v>
      </c>
      <c r="E11964" s="4">
        <v>271</v>
      </c>
      <c r="G11964">
        <f t="shared" si="186"/>
        <v>2224</v>
      </c>
    </row>
    <row r="11965" spans="2:7" ht="15" hidden="1" x14ac:dyDescent="0.25">
      <c r="B11965" s="4">
        <v>584774251</v>
      </c>
      <c r="C11965" s="4" t="s">
        <v>273</v>
      </c>
      <c r="D11965" s="4">
        <v>16010</v>
      </c>
      <c r="E11965" s="4">
        <v>317</v>
      </c>
      <c r="G11965">
        <f t="shared" si="186"/>
        <v>2592</v>
      </c>
    </row>
    <row r="11966" spans="2:7" ht="15" hidden="1" x14ac:dyDescent="0.25">
      <c r="B11966" s="4">
        <v>584774280</v>
      </c>
      <c r="C11966" s="4" t="s">
        <v>273</v>
      </c>
      <c r="D11966" s="4">
        <v>16039</v>
      </c>
      <c r="E11966" s="4">
        <v>317</v>
      </c>
      <c r="G11966">
        <f t="shared" si="186"/>
        <v>2592</v>
      </c>
    </row>
    <row r="11967" spans="2:7" ht="15" hidden="1" x14ac:dyDescent="0.25">
      <c r="B11967" s="4">
        <v>584774308</v>
      </c>
      <c r="C11967" s="4" t="s">
        <v>273</v>
      </c>
      <c r="D11967" s="4">
        <v>16067</v>
      </c>
      <c r="E11967" s="4">
        <v>317</v>
      </c>
      <c r="G11967">
        <f t="shared" si="186"/>
        <v>2592</v>
      </c>
    </row>
    <row r="11968" spans="2:7" ht="15" hidden="1" x14ac:dyDescent="0.25">
      <c r="B11968" s="4">
        <v>584774337</v>
      </c>
      <c r="C11968" s="4" t="s">
        <v>273</v>
      </c>
      <c r="D11968" s="4">
        <v>16096</v>
      </c>
      <c r="E11968" s="4">
        <v>317</v>
      </c>
      <c r="G11968">
        <f t="shared" si="186"/>
        <v>2592</v>
      </c>
    </row>
    <row r="11969" spans="2:7" ht="15" hidden="1" x14ac:dyDescent="0.25">
      <c r="B11969" s="4">
        <v>584774344</v>
      </c>
      <c r="C11969" s="4" t="s">
        <v>269</v>
      </c>
      <c r="D11969" s="4">
        <v>1623</v>
      </c>
      <c r="E11969" s="4">
        <v>57</v>
      </c>
      <c r="G11969">
        <f t="shared" si="186"/>
        <v>512</v>
      </c>
    </row>
    <row r="11970" spans="2:7" ht="15" x14ac:dyDescent="0.25">
      <c r="B11970" s="4">
        <v>584774348</v>
      </c>
      <c r="C11970" s="4" t="s">
        <v>270</v>
      </c>
      <c r="D11970" s="4">
        <v>7</v>
      </c>
      <c r="E11970" s="4">
        <v>1160</v>
      </c>
      <c r="G11970">
        <f t="shared" si="186"/>
        <v>9336</v>
      </c>
    </row>
    <row r="11971" spans="2:7" ht="15" x14ac:dyDescent="0.25">
      <c r="B11971" s="4">
        <v>584774348</v>
      </c>
      <c r="C11971" s="4" t="s">
        <v>271</v>
      </c>
      <c r="D11971" s="4">
        <v>7</v>
      </c>
      <c r="E11971" s="4">
        <v>1160</v>
      </c>
      <c r="G11971">
        <f t="shared" si="186"/>
        <v>9336</v>
      </c>
    </row>
    <row r="11972" spans="2:7" ht="15" hidden="1" x14ac:dyDescent="0.25">
      <c r="B11972" s="4">
        <v>584774349</v>
      </c>
      <c r="C11972" s="4" t="s">
        <v>272</v>
      </c>
      <c r="D11972" s="4">
        <v>259</v>
      </c>
      <c r="E11972" s="4">
        <v>265</v>
      </c>
      <c r="G11972">
        <f t="shared" ref="G11972:G12035" si="187">(E11972+7)*8</f>
        <v>2176</v>
      </c>
    </row>
    <row r="11973" spans="2:7" ht="15" hidden="1" x14ac:dyDescent="0.25">
      <c r="B11973" s="4">
        <v>584774365</v>
      </c>
      <c r="C11973" s="4" t="s">
        <v>273</v>
      </c>
      <c r="D11973" s="4">
        <v>16124</v>
      </c>
      <c r="E11973" s="4">
        <v>317</v>
      </c>
      <c r="G11973">
        <f t="shared" si="187"/>
        <v>2592</v>
      </c>
    </row>
    <row r="11974" spans="2:7" ht="15" hidden="1" x14ac:dyDescent="0.25">
      <c r="B11974" s="4">
        <v>584774393</v>
      </c>
      <c r="C11974" s="4" t="s">
        <v>273</v>
      </c>
      <c r="D11974" s="4">
        <v>16152</v>
      </c>
      <c r="E11974" s="4">
        <v>317</v>
      </c>
      <c r="G11974">
        <f t="shared" si="187"/>
        <v>2592</v>
      </c>
    </row>
    <row r="11975" spans="2:7" ht="15" hidden="1" x14ac:dyDescent="0.25">
      <c r="B11975" s="4">
        <v>584774422</v>
      </c>
      <c r="C11975" s="4" t="s">
        <v>273</v>
      </c>
      <c r="D11975" s="4">
        <v>16181</v>
      </c>
      <c r="E11975" s="4">
        <v>317</v>
      </c>
      <c r="G11975">
        <f t="shared" si="187"/>
        <v>2592</v>
      </c>
    </row>
    <row r="11976" spans="2:7" ht="15" hidden="1" x14ac:dyDescent="0.25">
      <c r="B11976" s="4">
        <v>584774448</v>
      </c>
      <c r="C11976" s="4" t="s">
        <v>272</v>
      </c>
      <c r="D11976" s="4">
        <v>260</v>
      </c>
      <c r="E11976" s="4">
        <v>271</v>
      </c>
      <c r="G11976">
        <f t="shared" si="187"/>
        <v>2224</v>
      </c>
    </row>
    <row r="11977" spans="2:7" ht="15" hidden="1" x14ac:dyDescent="0.25">
      <c r="B11977" s="4">
        <v>584774450</v>
      </c>
      <c r="C11977" s="4" t="s">
        <v>273</v>
      </c>
      <c r="D11977" s="4">
        <v>16209</v>
      </c>
      <c r="E11977" s="4">
        <v>317</v>
      </c>
      <c r="G11977">
        <f t="shared" si="187"/>
        <v>2592</v>
      </c>
    </row>
    <row r="11978" spans="2:7" ht="15" hidden="1" x14ac:dyDescent="0.25">
      <c r="B11978" s="4">
        <v>584774479</v>
      </c>
      <c r="C11978" s="4" t="s">
        <v>273</v>
      </c>
      <c r="D11978" s="4">
        <v>16238</v>
      </c>
      <c r="E11978" s="4">
        <v>317</v>
      </c>
      <c r="G11978">
        <f t="shared" si="187"/>
        <v>2592</v>
      </c>
    </row>
    <row r="11979" spans="2:7" ht="15" hidden="1" x14ac:dyDescent="0.25">
      <c r="B11979" s="4">
        <v>584774507</v>
      </c>
      <c r="C11979" s="4" t="s">
        <v>273</v>
      </c>
      <c r="D11979" s="4">
        <v>16266</v>
      </c>
      <c r="E11979" s="4">
        <v>317</v>
      </c>
      <c r="G11979">
        <f t="shared" si="187"/>
        <v>2592</v>
      </c>
    </row>
    <row r="11980" spans="2:7" ht="15" hidden="1" x14ac:dyDescent="0.25">
      <c r="B11980" s="4">
        <v>584774536</v>
      </c>
      <c r="C11980" s="4" t="s">
        <v>273</v>
      </c>
      <c r="D11980" s="4">
        <v>16295</v>
      </c>
      <c r="E11980" s="4">
        <v>317</v>
      </c>
      <c r="G11980">
        <f t="shared" si="187"/>
        <v>2592</v>
      </c>
    </row>
    <row r="11981" spans="2:7" ht="15" hidden="1" x14ac:dyDescent="0.25">
      <c r="B11981" s="4">
        <v>584774548</v>
      </c>
      <c r="C11981" s="4" t="s">
        <v>272</v>
      </c>
      <c r="D11981" s="4">
        <v>261</v>
      </c>
      <c r="E11981" s="4">
        <v>273</v>
      </c>
      <c r="G11981">
        <f t="shared" si="187"/>
        <v>2240</v>
      </c>
    </row>
    <row r="11982" spans="2:7" ht="15" hidden="1" x14ac:dyDescent="0.25">
      <c r="B11982" s="4">
        <v>584774564</v>
      </c>
      <c r="C11982" s="4" t="s">
        <v>273</v>
      </c>
      <c r="D11982" s="4">
        <v>16323</v>
      </c>
      <c r="E11982" s="4">
        <v>317</v>
      </c>
      <c r="G11982">
        <f t="shared" si="187"/>
        <v>2592</v>
      </c>
    </row>
    <row r="11983" spans="2:7" ht="15" hidden="1" x14ac:dyDescent="0.25">
      <c r="B11983" s="4">
        <v>584774593</v>
      </c>
      <c r="C11983" s="4" t="s">
        <v>273</v>
      </c>
      <c r="D11983" s="4">
        <v>16352</v>
      </c>
      <c r="E11983" s="4">
        <v>317</v>
      </c>
      <c r="G11983">
        <f t="shared" si="187"/>
        <v>2592</v>
      </c>
    </row>
    <row r="11984" spans="2:7" ht="15" hidden="1" x14ac:dyDescent="0.25">
      <c r="B11984" s="4">
        <v>584774621</v>
      </c>
      <c r="C11984" s="4" t="s">
        <v>273</v>
      </c>
      <c r="D11984" s="4">
        <v>16380</v>
      </c>
      <c r="E11984" s="4">
        <v>317</v>
      </c>
      <c r="G11984">
        <f t="shared" si="187"/>
        <v>2592</v>
      </c>
    </row>
    <row r="11985" spans="2:7" ht="15" hidden="1" x14ac:dyDescent="0.25">
      <c r="B11985" s="4">
        <v>584774648</v>
      </c>
      <c r="C11985" s="4" t="s">
        <v>272</v>
      </c>
      <c r="D11985" s="4">
        <v>262</v>
      </c>
      <c r="E11985" s="4">
        <v>275</v>
      </c>
      <c r="G11985">
        <f t="shared" si="187"/>
        <v>2256</v>
      </c>
    </row>
    <row r="11986" spans="2:7" ht="15" hidden="1" x14ac:dyDescent="0.25">
      <c r="B11986" s="4">
        <v>584774649</v>
      </c>
      <c r="C11986" s="4" t="s">
        <v>273</v>
      </c>
      <c r="D11986" s="4">
        <v>24</v>
      </c>
      <c r="E11986" s="4">
        <v>317</v>
      </c>
      <c r="G11986">
        <f t="shared" si="187"/>
        <v>2592</v>
      </c>
    </row>
    <row r="11987" spans="2:7" ht="15" hidden="1" x14ac:dyDescent="0.25">
      <c r="B11987" s="4">
        <v>584774678</v>
      </c>
      <c r="C11987" s="4" t="s">
        <v>273</v>
      </c>
      <c r="D11987" s="4">
        <v>53</v>
      </c>
      <c r="E11987" s="4">
        <v>317</v>
      </c>
      <c r="G11987">
        <f t="shared" si="187"/>
        <v>2592</v>
      </c>
    </row>
    <row r="11988" spans="2:7" ht="15" hidden="1" x14ac:dyDescent="0.25">
      <c r="B11988" s="4">
        <v>584774706</v>
      </c>
      <c r="C11988" s="4" t="s">
        <v>273</v>
      </c>
      <c r="D11988" s="4">
        <v>81</v>
      </c>
      <c r="E11988" s="4">
        <v>317</v>
      </c>
      <c r="G11988">
        <f t="shared" si="187"/>
        <v>2592</v>
      </c>
    </row>
    <row r="11989" spans="2:7" ht="15" hidden="1" x14ac:dyDescent="0.25">
      <c r="B11989" s="4">
        <v>584774735</v>
      </c>
      <c r="C11989" s="4" t="s">
        <v>273</v>
      </c>
      <c r="D11989" s="4">
        <v>110</v>
      </c>
      <c r="E11989" s="4">
        <v>317</v>
      </c>
      <c r="G11989">
        <f t="shared" si="187"/>
        <v>2592</v>
      </c>
    </row>
    <row r="11990" spans="2:7" ht="15" hidden="1" x14ac:dyDescent="0.25">
      <c r="B11990" s="4">
        <v>584774748</v>
      </c>
      <c r="C11990" s="4" t="s">
        <v>272</v>
      </c>
      <c r="D11990" s="4">
        <v>263</v>
      </c>
      <c r="E11990" s="4">
        <v>265</v>
      </c>
      <c r="G11990">
        <f t="shared" si="187"/>
        <v>2176</v>
      </c>
    </row>
    <row r="11991" spans="2:7" ht="15" hidden="1" x14ac:dyDescent="0.25">
      <c r="B11991" s="4">
        <v>584774763</v>
      </c>
      <c r="C11991" s="4" t="s">
        <v>273</v>
      </c>
      <c r="D11991" s="4">
        <v>138</v>
      </c>
      <c r="E11991" s="4">
        <v>317</v>
      </c>
      <c r="G11991">
        <f t="shared" si="187"/>
        <v>2592</v>
      </c>
    </row>
    <row r="11992" spans="2:7" ht="15" hidden="1" x14ac:dyDescent="0.25">
      <c r="B11992" s="4">
        <v>584774792</v>
      </c>
      <c r="C11992" s="4" t="s">
        <v>273</v>
      </c>
      <c r="D11992" s="4">
        <v>167</v>
      </c>
      <c r="E11992" s="4">
        <v>317</v>
      </c>
      <c r="G11992">
        <f t="shared" si="187"/>
        <v>2592</v>
      </c>
    </row>
    <row r="11993" spans="2:7" ht="15" hidden="1" x14ac:dyDescent="0.25">
      <c r="B11993" s="4">
        <v>584774811</v>
      </c>
      <c r="C11993" s="4" t="s">
        <v>273</v>
      </c>
      <c r="D11993" s="4">
        <v>186</v>
      </c>
      <c r="E11993" s="4">
        <v>317</v>
      </c>
      <c r="G11993">
        <f t="shared" si="187"/>
        <v>2592</v>
      </c>
    </row>
    <row r="11994" spans="2:7" ht="15" hidden="1" x14ac:dyDescent="0.25">
      <c r="B11994" s="4">
        <v>584774839</v>
      </c>
      <c r="C11994" s="4" t="s">
        <v>273</v>
      </c>
      <c r="D11994" s="4">
        <v>214</v>
      </c>
      <c r="E11994" s="4">
        <v>317</v>
      </c>
      <c r="G11994">
        <f t="shared" si="187"/>
        <v>2592</v>
      </c>
    </row>
    <row r="11995" spans="2:7" ht="15" hidden="1" x14ac:dyDescent="0.25">
      <c r="B11995" s="4">
        <v>584774848</v>
      </c>
      <c r="C11995" s="4" t="s">
        <v>272</v>
      </c>
      <c r="D11995" s="4">
        <v>264</v>
      </c>
      <c r="E11995" s="4">
        <v>263</v>
      </c>
      <c r="G11995">
        <f t="shared" si="187"/>
        <v>2160</v>
      </c>
    </row>
    <row r="11996" spans="2:7" ht="15" hidden="1" x14ac:dyDescent="0.25">
      <c r="B11996" s="4">
        <v>584774867</v>
      </c>
      <c r="C11996" s="4" t="s">
        <v>273</v>
      </c>
      <c r="D11996" s="4">
        <v>242</v>
      </c>
      <c r="E11996" s="4">
        <v>317</v>
      </c>
      <c r="G11996">
        <f t="shared" si="187"/>
        <v>2592</v>
      </c>
    </row>
    <row r="11997" spans="2:7" ht="15" hidden="1" x14ac:dyDescent="0.25">
      <c r="B11997" s="4">
        <v>584774896</v>
      </c>
      <c r="C11997" s="4" t="s">
        <v>273</v>
      </c>
      <c r="D11997" s="4">
        <v>271</v>
      </c>
      <c r="E11997" s="4">
        <v>317</v>
      </c>
      <c r="G11997">
        <f t="shared" si="187"/>
        <v>2592</v>
      </c>
    </row>
    <row r="11998" spans="2:7" ht="15" hidden="1" x14ac:dyDescent="0.25">
      <c r="B11998" s="4">
        <v>584774924</v>
      </c>
      <c r="C11998" s="4" t="s">
        <v>273</v>
      </c>
      <c r="D11998" s="4">
        <v>299</v>
      </c>
      <c r="E11998" s="4">
        <v>317</v>
      </c>
      <c r="G11998">
        <f t="shared" si="187"/>
        <v>2592</v>
      </c>
    </row>
    <row r="11999" spans="2:7" ht="15" hidden="1" x14ac:dyDescent="0.25">
      <c r="B11999" s="4">
        <v>584774948</v>
      </c>
      <c r="C11999" s="4" t="s">
        <v>272</v>
      </c>
      <c r="D11999" s="4">
        <v>265</v>
      </c>
      <c r="E11999" s="4">
        <v>269</v>
      </c>
      <c r="G11999">
        <f t="shared" si="187"/>
        <v>2208</v>
      </c>
    </row>
    <row r="12000" spans="2:7" ht="15" hidden="1" x14ac:dyDescent="0.25">
      <c r="B12000" s="4">
        <v>584774953</v>
      </c>
      <c r="C12000" s="4" t="s">
        <v>273</v>
      </c>
      <c r="D12000" s="4">
        <v>328</v>
      </c>
      <c r="E12000" s="4">
        <v>317</v>
      </c>
      <c r="G12000">
        <f t="shared" si="187"/>
        <v>2592</v>
      </c>
    </row>
    <row r="12001" spans="2:7" ht="15" hidden="1" x14ac:dyDescent="0.25">
      <c r="B12001" s="4">
        <v>584774981</v>
      </c>
      <c r="C12001" s="4" t="s">
        <v>273</v>
      </c>
      <c r="D12001" s="4">
        <v>356</v>
      </c>
      <c r="E12001" s="4">
        <v>317</v>
      </c>
      <c r="G12001">
        <f t="shared" si="187"/>
        <v>2592</v>
      </c>
    </row>
    <row r="12002" spans="2:7" ht="15" hidden="1" x14ac:dyDescent="0.25">
      <c r="B12002" s="4">
        <v>584775010</v>
      </c>
      <c r="C12002" s="4" t="s">
        <v>273</v>
      </c>
      <c r="D12002" s="4">
        <v>385</v>
      </c>
      <c r="E12002" s="4">
        <v>317</v>
      </c>
      <c r="G12002">
        <f t="shared" si="187"/>
        <v>2592</v>
      </c>
    </row>
    <row r="12003" spans="2:7" ht="15" hidden="1" x14ac:dyDescent="0.25">
      <c r="B12003" s="4">
        <v>584775038</v>
      </c>
      <c r="C12003" s="4" t="s">
        <v>273</v>
      </c>
      <c r="D12003" s="4">
        <v>413</v>
      </c>
      <c r="E12003" s="4">
        <v>317</v>
      </c>
      <c r="G12003">
        <f t="shared" si="187"/>
        <v>2592</v>
      </c>
    </row>
    <row r="12004" spans="2:7" ht="15" hidden="1" x14ac:dyDescent="0.25">
      <c r="B12004" s="4">
        <v>584775048</v>
      </c>
      <c r="C12004" s="4" t="s">
        <v>272</v>
      </c>
      <c r="D12004" s="4">
        <v>266</v>
      </c>
      <c r="E12004" s="4">
        <v>261</v>
      </c>
      <c r="G12004">
        <f t="shared" si="187"/>
        <v>2144</v>
      </c>
    </row>
    <row r="12005" spans="2:7" ht="15" hidden="1" x14ac:dyDescent="0.25">
      <c r="B12005" s="4">
        <v>584775066</v>
      </c>
      <c r="C12005" s="4" t="s">
        <v>273</v>
      </c>
      <c r="D12005" s="4">
        <v>441</v>
      </c>
      <c r="E12005" s="4">
        <v>317</v>
      </c>
      <c r="G12005">
        <f t="shared" si="187"/>
        <v>2592</v>
      </c>
    </row>
    <row r="12006" spans="2:7" ht="15" hidden="1" x14ac:dyDescent="0.25">
      <c r="B12006" s="4">
        <v>584775095</v>
      </c>
      <c r="C12006" s="4" t="s">
        <v>273</v>
      </c>
      <c r="D12006" s="4">
        <v>470</v>
      </c>
      <c r="E12006" s="4">
        <v>317</v>
      </c>
      <c r="G12006">
        <f t="shared" si="187"/>
        <v>2592</v>
      </c>
    </row>
    <row r="12007" spans="2:7" ht="15" hidden="1" x14ac:dyDescent="0.25">
      <c r="B12007" s="4">
        <v>584775123</v>
      </c>
      <c r="C12007" s="4" t="s">
        <v>273</v>
      </c>
      <c r="D12007" s="4">
        <v>498</v>
      </c>
      <c r="E12007" s="4">
        <v>317</v>
      </c>
      <c r="G12007">
        <f t="shared" si="187"/>
        <v>2592</v>
      </c>
    </row>
    <row r="12008" spans="2:7" ht="15" hidden="1" x14ac:dyDescent="0.25">
      <c r="B12008" s="4">
        <v>584775148</v>
      </c>
      <c r="C12008" s="4" t="s">
        <v>272</v>
      </c>
      <c r="D12008" s="4">
        <v>267</v>
      </c>
      <c r="E12008" s="4">
        <v>267</v>
      </c>
      <c r="G12008">
        <f t="shared" si="187"/>
        <v>2192</v>
      </c>
    </row>
    <row r="12009" spans="2:7" ht="15" hidden="1" x14ac:dyDescent="0.25">
      <c r="B12009" s="4">
        <v>584775152</v>
      </c>
      <c r="C12009" s="4" t="s">
        <v>273</v>
      </c>
      <c r="D12009" s="4">
        <v>527</v>
      </c>
      <c r="E12009" s="4">
        <v>317</v>
      </c>
      <c r="G12009">
        <f t="shared" si="187"/>
        <v>2592</v>
      </c>
    </row>
    <row r="12010" spans="2:7" ht="15" hidden="1" x14ac:dyDescent="0.25">
      <c r="B12010" s="4">
        <v>584775180</v>
      </c>
      <c r="C12010" s="4" t="s">
        <v>273</v>
      </c>
      <c r="D12010" s="4">
        <v>555</v>
      </c>
      <c r="E12010" s="4">
        <v>317</v>
      </c>
      <c r="G12010">
        <f t="shared" si="187"/>
        <v>2592</v>
      </c>
    </row>
    <row r="12011" spans="2:7" ht="15" hidden="1" x14ac:dyDescent="0.25">
      <c r="B12011" s="4">
        <v>584775209</v>
      </c>
      <c r="C12011" s="4" t="s">
        <v>273</v>
      </c>
      <c r="D12011" s="4">
        <v>584</v>
      </c>
      <c r="E12011" s="4">
        <v>317</v>
      </c>
      <c r="G12011">
        <f t="shared" si="187"/>
        <v>2592</v>
      </c>
    </row>
    <row r="12012" spans="2:7" ht="15" hidden="1" x14ac:dyDescent="0.25">
      <c r="B12012" s="4">
        <v>584775237</v>
      </c>
      <c r="C12012" s="4" t="s">
        <v>273</v>
      </c>
      <c r="D12012" s="4">
        <v>612</v>
      </c>
      <c r="E12012" s="4">
        <v>317</v>
      </c>
      <c r="G12012">
        <f t="shared" si="187"/>
        <v>2592</v>
      </c>
    </row>
    <row r="12013" spans="2:7" ht="15" hidden="1" x14ac:dyDescent="0.25">
      <c r="B12013" s="4">
        <v>584775248</v>
      </c>
      <c r="C12013" s="4" t="s">
        <v>272</v>
      </c>
      <c r="D12013" s="4">
        <v>268</v>
      </c>
      <c r="E12013" s="4">
        <v>263</v>
      </c>
      <c r="G12013">
        <f t="shared" si="187"/>
        <v>2160</v>
      </c>
    </row>
    <row r="12014" spans="2:7" ht="15" hidden="1" x14ac:dyDescent="0.25">
      <c r="B12014" s="4">
        <v>584775266</v>
      </c>
      <c r="C12014" s="4" t="s">
        <v>273</v>
      </c>
      <c r="D12014" s="4">
        <v>641</v>
      </c>
      <c r="E12014" s="4">
        <v>317</v>
      </c>
      <c r="G12014">
        <f t="shared" si="187"/>
        <v>2592</v>
      </c>
    </row>
    <row r="12015" spans="2:7" ht="15" hidden="1" x14ac:dyDescent="0.25">
      <c r="B12015" s="4">
        <v>584775294</v>
      </c>
      <c r="C12015" s="4" t="s">
        <v>273</v>
      </c>
      <c r="D12015" s="4">
        <v>669</v>
      </c>
      <c r="E12015" s="4">
        <v>317</v>
      </c>
      <c r="G12015">
        <f t="shared" si="187"/>
        <v>2592</v>
      </c>
    </row>
    <row r="12016" spans="2:7" ht="15" hidden="1" x14ac:dyDescent="0.25">
      <c r="B12016" s="4">
        <v>584775322</v>
      </c>
      <c r="C12016" s="4" t="s">
        <v>273</v>
      </c>
      <c r="D12016" s="4">
        <v>697</v>
      </c>
      <c r="E12016" s="4">
        <v>317</v>
      </c>
      <c r="G12016">
        <f t="shared" si="187"/>
        <v>2592</v>
      </c>
    </row>
    <row r="12017" spans="2:7" ht="15" hidden="1" x14ac:dyDescent="0.25">
      <c r="B12017" s="4">
        <v>584775348</v>
      </c>
      <c r="C12017" s="4" t="s">
        <v>272</v>
      </c>
      <c r="D12017" s="4">
        <v>269</v>
      </c>
      <c r="E12017" s="4">
        <v>263</v>
      </c>
      <c r="G12017">
        <f t="shared" si="187"/>
        <v>2160</v>
      </c>
    </row>
    <row r="12018" spans="2:7" ht="15" hidden="1" x14ac:dyDescent="0.25">
      <c r="B12018" s="4">
        <v>584775351</v>
      </c>
      <c r="C12018" s="4" t="s">
        <v>273</v>
      </c>
      <c r="D12018" s="4">
        <v>726</v>
      </c>
      <c r="E12018" s="4">
        <v>317</v>
      </c>
      <c r="G12018">
        <f t="shared" si="187"/>
        <v>2592</v>
      </c>
    </row>
    <row r="12019" spans="2:7" ht="15" hidden="1" x14ac:dyDescent="0.25">
      <c r="B12019" s="4">
        <v>584775379</v>
      </c>
      <c r="C12019" s="4" t="s">
        <v>273</v>
      </c>
      <c r="D12019" s="4">
        <v>754</v>
      </c>
      <c r="E12019" s="4">
        <v>317</v>
      </c>
      <c r="G12019">
        <f t="shared" si="187"/>
        <v>2592</v>
      </c>
    </row>
    <row r="12020" spans="2:7" ht="15" hidden="1" x14ac:dyDescent="0.25">
      <c r="B12020" s="4">
        <v>584775408</v>
      </c>
      <c r="C12020" s="4" t="s">
        <v>273</v>
      </c>
      <c r="D12020" s="4">
        <v>783</v>
      </c>
      <c r="E12020" s="4">
        <v>317</v>
      </c>
      <c r="G12020">
        <f t="shared" si="187"/>
        <v>2592</v>
      </c>
    </row>
    <row r="12021" spans="2:7" ht="15" hidden="1" x14ac:dyDescent="0.25">
      <c r="B12021" s="4">
        <v>584775413</v>
      </c>
      <c r="C12021" s="4" t="s">
        <v>273</v>
      </c>
      <c r="D12021" s="4">
        <v>788</v>
      </c>
      <c r="E12021" s="4">
        <v>317</v>
      </c>
      <c r="G12021">
        <f t="shared" si="187"/>
        <v>2592</v>
      </c>
    </row>
    <row r="12022" spans="2:7" ht="15" hidden="1" x14ac:dyDescent="0.25">
      <c r="B12022" s="4">
        <v>584775427</v>
      </c>
      <c r="C12022" s="4" t="s">
        <v>273</v>
      </c>
      <c r="D12022" s="4">
        <v>802</v>
      </c>
      <c r="E12022" s="4">
        <v>317</v>
      </c>
      <c r="G12022">
        <f t="shared" si="187"/>
        <v>2592</v>
      </c>
    </row>
    <row r="12023" spans="2:7" ht="15" hidden="1" x14ac:dyDescent="0.25">
      <c r="B12023" s="4">
        <v>584775448</v>
      </c>
      <c r="C12023" s="4" t="s">
        <v>272</v>
      </c>
      <c r="D12023" s="4">
        <v>270</v>
      </c>
      <c r="E12023" s="4">
        <v>259</v>
      </c>
      <c r="G12023">
        <f t="shared" si="187"/>
        <v>2128</v>
      </c>
    </row>
    <row r="12024" spans="2:7" ht="15" hidden="1" x14ac:dyDescent="0.25">
      <c r="B12024" s="4">
        <v>584775455</v>
      </c>
      <c r="C12024" s="4" t="s">
        <v>273</v>
      </c>
      <c r="D12024" s="4">
        <v>830</v>
      </c>
      <c r="E12024" s="4">
        <v>317</v>
      </c>
      <c r="G12024">
        <f t="shared" si="187"/>
        <v>2592</v>
      </c>
    </row>
    <row r="12025" spans="2:7" ht="15" hidden="1" x14ac:dyDescent="0.25">
      <c r="B12025" s="4">
        <v>584775484</v>
      </c>
      <c r="C12025" s="4" t="s">
        <v>273</v>
      </c>
      <c r="D12025" s="4">
        <v>859</v>
      </c>
      <c r="E12025" s="4">
        <v>317</v>
      </c>
      <c r="G12025">
        <f t="shared" si="187"/>
        <v>2592</v>
      </c>
    </row>
    <row r="12026" spans="2:7" ht="15" hidden="1" x14ac:dyDescent="0.25">
      <c r="B12026" s="4">
        <v>584775512</v>
      </c>
      <c r="C12026" s="4" t="s">
        <v>273</v>
      </c>
      <c r="D12026" s="4">
        <v>887</v>
      </c>
      <c r="E12026" s="4">
        <v>317</v>
      </c>
      <c r="G12026">
        <f t="shared" si="187"/>
        <v>2592</v>
      </c>
    </row>
    <row r="12027" spans="2:7" ht="15" hidden="1" x14ac:dyDescent="0.25">
      <c r="B12027" s="4">
        <v>584775540</v>
      </c>
      <c r="C12027" s="4" t="s">
        <v>273</v>
      </c>
      <c r="D12027" s="4">
        <v>915</v>
      </c>
      <c r="E12027" s="4">
        <v>317</v>
      </c>
      <c r="G12027">
        <f t="shared" si="187"/>
        <v>2592</v>
      </c>
    </row>
    <row r="12028" spans="2:7" ht="15" hidden="1" x14ac:dyDescent="0.25">
      <c r="B12028" s="4">
        <v>584775548</v>
      </c>
      <c r="C12028" s="4" t="s">
        <v>272</v>
      </c>
      <c r="D12028" s="4">
        <v>271</v>
      </c>
      <c r="E12028" s="4">
        <v>271</v>
      </c>
      <c r="G12028">
        <f t="shared" si="187"/>
        <v>2224</v>
      </c>
    </row>
    <row r="12029" spans="2:7" ht="15" hidden="1" x14ac:dyDescent="0.25">
      <c r="B12029" s="4">
        <v>584775569</v>
      </c>
      <c r="C12029" s="4" t="s">
        <v>273</v>
      </c>
      <c r="D12029" s="4">
        <v>944</v>
      </c>
      <c r="E12029" s="4">
        <v>317</v>
      </c>
      <c r="G12029">
        <f t="shared" si="187"/>
        <v>2592</v>
      </c>
    </row>
    <row r="12030" spans="2:7" ht="15" hidden="1" x14ac:dyDescent="0.25">
      <c r="B12030" s="4">
        <v>584775597</v>
      </c>
      <c r="C12030" s="4" t="s">
        <v>273</v>
      </c>
      <c r="D12030" s="4">
        <v>972</v>
      </c>
      <c r="E12030" s="4">
        <v>317</v>
      </c>
      <c r="G12030">
        <f t="shared" si="187"/>
        <v>2592</v>
      </c>
    </row>
    <row r="12031" spans="2:7" ht="15" hidden="1" x14ac:dyDescent="0.25">
      <c r="B12031" s="4">
        <v>584775648</v>
      </c>
      <c r="C12031" s="4" t="s">
        <v>272</v>
      </c>
      <c r="D12031" s="4">
        <v>272</v>
      </c>
      <c r="E12031" s="4">
        <v>269</v>
      </c>
      <c r="G12031">
        <f t="shared" si="187"/>
        <v>2208</v>
      </c>
    </row>
    <row r="12032" spans="2:7" ht="15" hidden="1" x14ac:dyDescent="0.25">
      <c r="B12032" s="4">
        <v>584775656</v>
      </c>
      <c r="C12032" s="4" t="s">
        <v>273</v>
      </c>
      <c r="D12032" s="4">
        <v>1031</v>
      </c>
      <c r="E12032" s="4">
        <v>317</v>
      </c>
      <c r="G12032">
        <f t="shared" si="187"/>
        <v>2592</v>
      </c>
    </row>
    <row r="12033" spans="2:7" ht="15" hidden="1" x14ac:dyDescent="0.25">
      <c r="B12033" s="4">
        <v>584775692</v>
      </c>
      <c r="C12033" s="4" t="s">
        <v>273</v>
      </c>
      <c r="D12033" s="4">
        <v>1067</v>
      </c>
      <c r="E12033" s="4">
        <v>317</v>
      </c>
      <c r="G12033">
        <f t="shared" si="187"/>
        <v>2592</v>
      </c>
    </row>
    <row r="12034" spans="2:7" ht="15" hidden="1" x14ac:dyDescent="0.25">
      <c r="B12034" s="4">
        <v>584775727</v>
      </c>
      <c r="C12034" s="4" t="s">
        <v>273</v>
      </c>
      <c r="D12034" s="4">
        <v>1102</v>
      </c>
      <c r="E12034" s="4">
        <v>317</v>
      </c>
      <c r="G12034">
        <f t="shared" si="187"/>
        <v>2592</v>
      </c>
    </row>
    <row r="12035" spans="2:7" ht="15" hidden="1" x14ac:dyDescent="0.25">
      <c r="B12035" s="4">
        <v>584775748</v>
      </c>
      <c r="C12035" s="4" t="s">
        <v>272</v>
      </c>
      <c r="D12035" s="4">
        <v>273</v>
      </c>
      <c r="E12035" s="4">
        <v>259</v>
      </c>
      <c r="G12035">
        <f t="shared" si="187"/>
        <v>2128</v>
      </c>
    </row>
    <row r="12036" spans="2:7" ht="15" hidden="1" x14ac:dyDescent="0.25">
      <c r="B12036" s="4">
        <v>584775763</v>
      </c>
      <c r="C12036" s="4" t="s">
        <v>273</v>
      </c>
      <c r="D12036" s="4">
        <v>1138</v>
      </c>
      <c r="E12036" s="4">
        <v>317</v>
      </c>
      <c r="G12036">
        <f t="shared" ref="G12036:G12057" si="188">(E12036+7)*8</f>
        <v>2592</v>
      </c>
    </row>
    <row r="12037" spans="2:7" ht="15" hidden="1" x14ac:dyDescent="0.25">
      <c r="B12037" s="4">
        <v>584775799</v>
      </c>
      <c r="C12037" s="4" t="s">
        <v>273</v>
      </c>
      <c r="D12037" s="4">
        <v>1174</v>
      </c>
      <c r="E12037" s="4">
        <v>317</v>
      </c>
      <c r="G12037">
        <f t="shared" si="188"/>
        <v>2592</v>
      </c>
    </row>
    <row r="12038" spans="2:7" ht="15" hidden="1" x14ac:dyDescent="0.25">
      <c r="B12038" s="4">
        <v>584775835</v>
      </c>
      <c r="C12038" s="4" t="s">
        <v>273</v>
      </c>
      <c r="D12038" s="4">
        <v>1210</v>
      </c>
      <c r="E12038" s="4">
        <v>317</v>
      </c>
      <c r="G12038">
        <f t="shared" si="188"/>
        <v>2592</v>
      </c>
    </row>
    <row r="12039" spans="2:7" ht="15" hidden="1" x14ac:dyDescent="0.25">
      <c r="B12039" s="4">
        <v>584775848</v>
      </c>
      <c r="C12039" s="4" t="s">
        <v>272</v>
      </c>
      <c r="D12039" s="4">
        <v>274</v>
      </c>
      <c r="E12039" s="4">
        <v>257</v>
      </c>
      <c r="G12039">
        <f t="shared" si="188"/>
        <v>2112</v>
      </c>
    </row>
    <row r="12040" spans="2:7" ht="15" hidden="1" x14ac:dyDescent="0.25">
      <c r="B12040" s="4">
        <v>584775871</v>
      </c>
      <c r="C12040" s="4" t="s">
        <v>273</v>
      </c>
      <c r="D12040" s="4">
        <v>1246</v>
      </c>
      <c r="E12040" s="4">
        <v>317</v>
      </c>
      <c r="G12040">
        <f t="shared" si="188"/>
        <v>2592</v>
      </c>
    </row>
    <row r="12041" spans="2:7" ht="15" hidden="1" x14ac:dyDescent="0.25">
      <c r="B12041" s="4">
        <v>584775907</v>
      </c>
      <c r="C12041" s="4" t="s">
        <v>273</v>
      </c>
      <c r="D12041" s="4">
        <v>1282</v>
      </c>
      <c r="E12041" s="4">
        <v>317</v>
      </c>
      <c r="G12041">
        <f t="shared" si="188"/>
        <v>2592</v>
      </c>
    </row>
    <row r="12042" spans="2:7" ht="15" hidden="1" x14ac:dyDescent="0.25">
      <c r="B12042" s="4">
        <v>584775943</v>
      </c>
      <c r="C12042" s="4" t="s">
        <v>273</v>
      </c>
      <c r="D12042" s="4">
        <v>1318</v>
      </c>
      <c r="E12042" s="4">
        <v>317</v>
      </c>
      <c r="G12042">
        <f t="shared" si="188"/>
        <v>2592</v>
      </c>
    </row>
    <row r="12043" spans="2:7" ht="15" hidden="1" x14ac:dyDescent="0.25">
      <c r="B12043" s="4">
        <v>584775948</v>
      </c>
      <c r="C12043" s="4" t="s">
        <v>272</v>
      </c>
      <c r="D12043" s="4">
        <v>275</v>
      </c>
      <c r="E12043" s="4">
        <v>273</v>
      </c>
      <c r="G12043">
        <f t="shared" si="188"/>
        <v>2240</v>
      </c>
    </row>
    <row r="12044" spans="2:7" ht="15" hidden="1" x14ac:dyDescent="0.25">
      <c r="B12044" s="4">
        <v>584775978</v>
      </c>
      <c r="C12044" s="4" t="s">
        <v>273</v>
      </c>
      <c r="D12044" s="4">
        <v>1353</v>
      </c>
      <c r="E12044" s="4">
        <v>317</v>
      </c>
      <c r="G12044">
        <f t="shared" si="188"/>
        <v>2592</v>
      </c>
    </row>
    <row r="12045" spans="2:7" ht="15" hidden="1" x14ac:dyDescent="0.25">
      <c r="B12045" s="4">
        <v>584776014</v>
      </c>
      <c r="C12045" s="4" t="s">
        <v>273</v>
      </c>
      <c r="D12045" s="4">
        <v>1389</v>
      </c>
      <c r="E12045" s="4">
        <v>317</v>
      </c>
      <c r="G12045">
        <f t="shared" si="188"/>
        <v>2592</v>
      </c>
    </row>
    <row r="12046" spans="2:7" ht="15" hidden="1" x14ac:dyDescent="0.25">
      <c r="B12046" s="4">
        <v>584776048</v>
      </c>
      <c r="C12046" s="4" t="s">
        <v>272</v>
      </c>
      <c r="D12046" s="4">
        <v>276</v>
      </c>
      <c r="E12046" s="4">
        <v>273</v>
      </c>
      <c r="G12046">
        <f t="shared" si="188"/>
        <v>2240</v>
      </c>
    </row>
    <row r="12047" spans="2:7" ht="15" hidden="1" x14ac:dyDescent="0.25">
      <c r="B12047" s="4">
        <v>584776050</v>
      </c>
      <c r="C12047" s="4" t="s">
        <v>273</v>
      </c>
      <c r="D12047" s="4">
        <v>1425</v>
      </c>
      <c r="E12047" s="4">
        <v>317</v>
      </c>
      <c r="G12047">
        <f t="shared" si="188"/>
        <v>2592</v>
      </c>
    </row>
    <row r="12048" spans="2:7" ht="15" hidden="1" x14ac:dyDescent="0.25">
      <c r="B12048" s="4">
        <v>584776086</v>
      </c>
      <c r="C12048" s="4" t="s">
        <v>273</v>
      </c>
      <c r="D12048" s="4">
        <v>1461</v>
      </c>
      <c r="E12048" s="4">
        <v>317</v>
      </c>
      <c r="G12048">
        <f t="shared" si="188"/>
        <v>2592</v>
      </c>
    </row>
    <row r="12049" spans="2:7" ht="15" hidden="1" x14ac:dyDescent="0.25">
      <c r="B12049" s="4">
        <v>584776122</v>
      </c>
      <c r="C12049" s="4" t="s">
        <v>273</v>
      </c>
      <c r="D12049" s="4">
        <v>1497</v>
      </c>
      <c r="E12049" s="4">
        <v>317</v>
      </c>
      <c r="G12049">
        <f t="shared" si="188"/>
        <v>2592</v>
      </c>
    </row>
    <row r="12050" spans="2:7" ht="15" hidden="1" x14ac:dyDescent="0.25">
      <c r="B12050" s="4">
        <v>584776144</v>
      </c>
      <c r="C12050" s="4" t="s">
        <v>269</v>
      </c>
      <c r="D12050" s="4">
        <v>1624</v>
      </c>
      <c r="E12050" s="4">
        <v>57</v>
      </c>
      <c r="G12050">
        <f t="shared" si="188"/>
        <v>512</v>
      </c>
    </row>
    <row r="12051" spans="2:7" ht="15" hidden="1" x14ac:dyDescent="0.25">
      <c r="B12051" s="4">
        <v>584776148</v>
      </c>
      <c r="C12051" s="4" t="s">
        <v>272</v>
      </c>
      <c r="D12051" s="4">
        <v>277</v>
      </c>
      <c r="E12051" s="4">
        <v>269</v>
      </c>
      <c r="G12051">
        <f t="shared" si="188"/>
        <v>2208</v>
      </c>
    </row>
    <row r="12052" spans="2:7" ht="15" hidden="1" x14ac:dyDescent="0.25">
      <c r="B12052" s="4">
        <v>584776158</v>
      </c>
      <c r="C12052" s="4" t="s">
        <v>273</v>
      </c>
      <c r="D12052" s="4">
        <v>1533</v>
      </c>
      <c r="E12052" s="4">
        <v>317</v>
      </c>
      <c r="G12052">
        <f t="shared" si="188"/>
        <v>2592</v>
      </c>
    </row>
    <row r="12053" spans="2:7" ht="15" hidden="1" x14ac:dyDescent="0.25">
      <c r="B12053" s="4">
        <v>584776194</v>
      </c>
      <c r="C12053" s="4" t="s">
        <v>273</v>
      </c>
      <c r="D12053" s="4">
        <v>1569</v>
      </c>
      <c r="E12053" s="4">
        <v>317</v>
      </c>
      <c r="G12053">
        <f t="shared" si="188"/>
        <v>2592</v>
      </c>
    </row>
    <row r="12054" spans="2:7" ht="15" hidden="1" x14ac:dyDescent="0.25">
      <c r="B12054" s="4">
        <v>584776229</v>
      </c>
      <c r="C12054" s="4" t="s">
        <v>273</v>
      </c>
      <c r="D12054" s="4">
        <v>1604</v>
      </c>
      <c r="E12054" s="4">
        <v>317</v>
      </c>
      <c r="G12054">
        <f t="shared" si="188"/>
        <v>2592</v>
      </c>
    </row>
    <row r="12055" spans="2:7" ht="15" hidden="1" x14ac:dyDescent="0.25">
      <c r="B12055" s="4">
        <v>584776248</v>
      </c>
      <c r="C12055" s="4" t="s">
        <v>272</v>
      </c>
      <c r="D12055" s="4">
        <v>278</v>
      </c>
      <c r="E12055" s="4">
        <v>259</v>
      </c>
      <c r="G12055">
        <f t="shared" si="188"/>
        <v>2128</v>
      </c>
    </row>
    <row r="12056" spans="2:7" ht="15" hidden="1" x14ac:dyDescent="0.25">
      <c r="B12056" s="4">
        <v>584776265</v>
      </c>
      <c r="C12056" s="4" t="s">
        <v>273</v>
      </c>
      <c r="D12056" s="4">
        <v>1640</v>
      </c>
      <c r="E12056" s="4">
        <v>317</v>
      </c>
      <c r="G12056">
        <f t="shared" si="188"/>
        <v>2592</v>
      </c>
    </row>
    <row r="12057" spans="2:7" ht="15" hidden="1" x14ac:dyDescent="0.25">
      <c r="B12057" s="4">
        <v>584776301</v>
      </c>
      <c r="C12057" s="4" t="s">
        <v>273</v>
      </c>
      <c r="D12057" s="4">
        <v>1676</v>
      </c>
      <c r="E12057" s="4">
        <v>317</v>
      </c>
      <c r="G12057">
        <f t="shared" si="188"/>
        <v>2592</v>
      </c>
    </row>
  </sheetData>
  <autoFilter ref="B3:G12057" xr:uid="{00000000-0009-0000-0000-00000C000000}">
    <filterColumn colId="1">
      <filters>
        <filter val="0x0693"/>
        <filter val="0x0694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1:AD76"/>
  <sheetViews>
    <sheetView topLeftCell="A19" zoomScaleNormal="100" workbookViewId="0">
      <selection activeCell="N18" activeCellId="1" sqref="P21:P26 N18"/>
    </sheetView>
  </sheetViews>
  <sheetFormatPr defaultColWidth="8.7109375" defaultRowHeight="14.25" customHeight="1" x14ac:dyDescent="0.25"/>
  <cols>
    <col min="6" max="6" width="48" customWidth="1"/>
    <col min="9" max="9" width="2.28515625" customWidth="1"/>
    <col min="12" max="12" width="2.28515625" customWidth="1"/>
    <col min="15" max="15" width="8.85546875" customWidth="1"/>
  </cols>
  <sheetData>
    <row r="1" spans="3:17" ht="15" x14ac:dyDescent="0.25">
      <c r="C1" s="130" t="s">
        <v>118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spans="3:17" ht="15" x14ac:dyDescent="0.25">
      <c r="G2" s="166" t="s">
        <v>129</v>
      </c>
      <c r="H2" s="166"/>
      <c r="I2" s="4"/>
      <c r="J2" s="166" t="s">
        <v>280</v>
      </c>
      <c r="K2" s="166"/>
      <c r="L2" s="4"/>
      <c r="M2" s="166" t="s">
        <v>281</v>
      </c>
      <c r="N2" s="166"/>
      <c r="O2" s="4"/>
      <c r="P2" s="166" t="s">
        <v>282</v>
      </c>
      <c r="Q2" s="166"/>
    </row>
    <row r="3" spans="3:17" ht="15" x14ac:dyDescent="0.25">
      <c r="G3" s="131" t="s">
        <v>283</v>
      </c>
      <c r="H3" s="131" t="s">
        <v>284</v>
      </c>
      <c r="J3" s="131" t="s">
        <v>283</v>
      </c>
      <c r="K3" s="131" t="s">
        <v>284</v>
      </c>
      <c r="M3" s="131" t="s">
        <v>283</v>
      </c>
      <c r="N3" s="131" t="s">
        <v>284</v>
      </c>
      <c r="P3" s="131" t="s">
        <v>283</v>
      </c>
      <c r="Q3" s="131" t="s">
        <v>284</v>
      </c>
    </row>
    <row r="4" spans="3:17" ht="15" x14ac:dyDescent="0.25">
      <c r="E4" t="s">
        <v>285</v>
      </c>
      <c r="G4">
        <v>48</v>
      </c>
      <c r="H4">
        <v>6</v>
      </c>
      <c r="J4">
        <v>48</v>
      </c>
      <c r="K4">
        <v>6</v>
      </c>
      <c r="M4">
        <v>48</v>
      </c>
      <c r="N4">
        <v>6</v>
      </c>
      <c r="P4">
        <v>48</v>
      </c>
      <c r="Q4">
        <v>6</v>
      </c>
    </row>
    <row r="5" spans="3:17" ht="15" x14ac:dyDescent="0.25">
      <c r="E5" t="s">
        <v>47</v>
      </c>
      <c r="G5">
        <v>32</v>
      </c>
      <c r="H5">
        <v>4</v>
      </c>
      <c r="J5">
        <v>32</v>
      </c>
      <c r="K5">
        <v>4</v>
      </c>
      <c r="M5">
        <v>32</v>
      </c>
      <c r="N5">
        <v>4</v>
      </c>
      <c r="P5">
        <v>32</v>
      </c>
      <c r="Q5">
        <v>4</v>
      </c>
    </row>
    <row r="7" spans="3:17" ht="15" x14ac:dyDescent="0.25">
      <c r="E7" t="s">
        <v>49</v>
      </c>
    </row>
    <row r="8" spans="3:17" ht="15" x14ac:dyDescent="0.25">
      <c r="F8" t="s">
        <v>50</v>
      </c>
      <c r="G8">
        <v>16</v>
      </c>
      <c r="H8">
        <v>2</v>
      </c>
      <c r="J8">
        <v>16</v>
      </c>
      <c r="K8">
        <v>2</v>
      </c>
      <c r="M8">
        <v>16</v>
      </c>
      <c r="N8">
        <v>2</v>
      </c>
      <c r="P8">
        <v>16</v>
      </c>
      <c r="Q8">
        <v>2</v>
      </c>
    </row>
    <row r="9" spans="3:17" ht="15" x14ac:dyDescent="0.25">
      <c r="F9" t="s">
        <v>51</v>
      </c>
      <c r="G9">
        <v>16</v>
      </c>
      <c r="H9">
        <v>2</v>
      </c>
      <c r="J9">
        <v>16</v>
      </c>
      <c r="K9">
        <v>2</v>
      </c>
      <c r="M9">
        <v>16</v>
      </c>
      <c r="N9">
        <v>2</v>
      </c>
      <c r="P9">
        <v>16</v>
      </c>
      <c r="Q9">
        <v>2</v>
      </c>
    </row>
    <row r="10" spans="3:17" ht="15" x14ac:dyDescent="0.25">
      <c r="F10" t="s">
        <v>52</v>
      </c>
      <c r="G10">
        <v>32</v>
      </c>
      <c r="H10">
        <v>4</v>
      </c>
      <c r="J10">
        <v>32</v>
      </c>
      <c r="K10">
        <v>4</v>
      </c>
      <c r="M10">
        <v>32</v>
      </c>
      <c r="N10">
        <v>4</v>
      </c>
      <c r="P10">
        <v>32</v>
      </c>
      <c r="Q10">
        <v>4</v>
      </c>
    </row>
    <row r="11" spans="3:17" ht="15" x14ac:dyDescent="0.25">
      <c r="F11" t="s">
        <v>53</v>
      </c>
      <c r="G11" s="31">
        <v>16</v>
      </c>
      <c r="H11" s="31">
        <v>2</v>
      </c>
      <c r="I11" s="31"/>
      <c r="J11" s="31">
        <v>16</v>
      </c>
      <c r="K11" s="31">
        <v>2</v>
      </c>
      <c r="L11" s="31"/>
      <c r="M11" s="31">
        <v>16</v>
      </c>
      <c r="N11" s="31">
        <v>2</v>
      </c>
      <c r="O11" s="31"/>
      <c r="P11" s="31">
        <v>16</v>
      </c>
      <c r="Q11" s="31">
        <v>2</v>
      </c>
    </row>
    <row r="12" spans="3:17" ht="15" x14ac:dyDescent="0.25">
      <c r="F12" t="s">
        <v>54</v>
      </c>
      <c r="G12">
        <f>SUM(G8:G11)</f>
        <v>80</v>
      </c>
      <c r="H12">
        <f>SUM(H8:H11)</f>
        <v>10</v>
      </c>
      <c r="J12">
        <f>SUM(J8:J11)</f>
        <v>80</v>
      </c>
      <c r="K12">
        <f>SUM(K8:K11)</f>
        <v>10</v>
      </c>
      <c r="M12">
        <f>SUM(M8:M11)</f>
        <v>80</v>
      </c>
      <c r="N12">
        <f>SUM(N8:N11)</f>
        <v>10</v>
      </c>
      <c r="P12">
        <f>SUM(P8:P11)</f>
        <v>80</v>
      </c>
      <c r="Q12">
        <f>SUM(Q8:Q11)</f>
        <v>10</v>
      </c>
    </row>
    <row r="14" spans="3:17" ht="15" x14ac:dyDescent="0.25">
      <c r="E14" t="s">
        <v>286</v>
      </c>
    </row>
    <row r="15" spans="3:17" ht="15" x14ac:dyDescent="0.25">
      <c r="F15" t="s">
        <v>287</v>
      </c>
      <c r="G15">
        <v>8</v>
      </c>
      <c r="H15">
        <v>1</v>
      </c>
      <c r="J15">
        <v>8</v>
      </c>
      <c r="K15">
        <v>1</v>
      </c>
      <c r="M15">
        <v>8</v>
      </c>
      <c r="N15">
        <v>1</v>
      </c>
      <c r="P15">
        <v>8</v>
      </c>
      <c r="Q15">
        <v>1</v>
      </c>
    </row>
    <row r="16" spans="3:17" ht="15" x14ac:dyDescent="0.25">
      <c r="F16" t="s">
        <v>288</v>
      </c>
      <c r="G16">
        <v>8</v>
      </c>
      <c r="H16">
        <v>1</v>
      </c>
      <c r="J16">
        <v>8</v>
      </c>
      <c r="K16">
        <v>1</v>
      </c>
      <c r="M16">
        <v>8</v>
      </c>
      <c r="N16">
        <v>1</v>
      </c>
      <c r="P16">
        <v>8</v>
      </c>
      <c r="Q16">
        <v>1</v>
      </c>
    </row>
    <row r="17" spans="5:17" ht="18.75" x14ac:dyDescent="0.25">
      <c r="F17" s="132" t="s">
        <v>289</v>
      </c>
      <c r="G17">
        <v>16</v>
      </c>
      <c r="H17">
        <v>2</v>
      </c>
      <c r="J17">
        <v>16</v>
      </c>
      <c r="K17">
        <v>2</v>
      </c>
      <c r="M17">
        <v>16</v>
      </c>
      <c r="N17">
        <v>2</v>
      </c>
      <c r="P17">
        <v>16</v>
      </c>
      <c r="Q17">
        <v>2</v>
      </c>
    </row>
    <row r="18" spans="5:17" ht="15" x14ac:dyDescent="0.25">
      <c r="F18" t="s">
        <v>290</v>
      </c>
      <c r="J18">
        <f>15*11+11</f>
        <v>176</v>
      </c>
      <c r="K18">
        <f>J18/8</f>
        <v>22</v>
      </c>
    </row>
    <row r="19" spans="5:17" ht="15" x14ac:dyDescent="0.25">
      <c r="F19" t="s">
        <v>291</v>
      </c>
      <c r="M19">
        <f>15*6+6</f>
        <v>96</v>
      </c>
      <c r="N19">
        <f>M19/8</f>
        <v>12</v>
      </c>
      <c r="P19">
        <f>15*6+6</f>
        <v>96</v>
      </c>
      <c r="Q19">
        <f>P19/8</f>
        <v>12</v>
      </c>
    </row>
    <row r="20" spans="5:17" ht="15" x14ac:dyDescent="0.25">
      <c r="F20" t="s">
        <v>292</v>
      </c>
      <c r="G20" s="31">
        <v>0</v>
      </c>
      <c r="H20" s="31">
        <v>0</v>
      </c>
      <c r="I20" s="31"/>
      <c r="J20" s="31"/>
      <c r="K20" s="31"/>
      <c r="L20" s="31"/>
      <c r="M20" s="31"/>
      <c r="N20" s="31"/>
      <c r="O20" s="31"/>
      <c r="P20" s="31"/>
      <c r="Q20" s="31"/>
    </row>
    <row r="21" spans="5:17" ht="15" x14ac:dyDescent="0.25">
      <c r="F21" t="s">
        <v>293</v>
      </c>
      <c r="G21">
        <f>SUM(G15:G20)</f>
        <v>32</v>
      </c>
      <c r="H21">
        <f>SUM(H15:H20)</f>
        <v>4</v>
      </c>
      <c r="J21">
        <f>SUM(J15:J20)</f>
        <v>208</v>
      </c>
      <c r="K21">
        <f>SUM(K15:K20)</f>
        <v>26</v>
      </c>
      <c r="M21">
        <f>SUM(M15:M20)</f>
        <v>128</v>
      </c>
      <c r="N21">
        <f>SUM(N15:N20)</f>
        <v>16</v>
      </c>
      <c r="P21">
        <f>SUM(P15:P20)</f>
        <v>128</v>
      </c>
      <c r="Q21">
        <f>SUM(Q15:Q20)</f>
        <v>16</v>
      </c>
    </row>
    <row r="24" spans="5:17" ht="15" x14ac:dyDescent="0.25">
      <c r="E24" t="s">
        <v>294</v>
      </c>
      <c r="F24" t="s">
        <v>295</v>
      </c>
      <c r="G24">
        <f>4*G21</f>
        <v>128</v>
      </c>
      <c r="H24">
        <f>4*H21</f>
        <v>16</v>
      </c>
      <c r="J24">
        <f>4*J21</f>
        <v>832</v>
      </c>
      <c r="K24">
        <f>4*K21</f>
        <v>104</v>
      </c>
      <c r="M24">
        <f>4*M21</f>
        <v>512</v>
      </c>
      <c r="N24">
        <f>4*N21</f>
        <v>64</v>
      </c>
      <c r="P24">
        <f>4*P21</f>
        <v>512</v>
      </c>
      <c r="Q24">
        <f>4*Q21</f>
        <v>64</v>
      </c>
    </row>
    <row r="26" spans="5:17" ht="15" x14ac:dyDescent="0.25">
      <c r="E26">
        <v>1</v>
      </c>
      <c r="F26" t="s">
        <v>296</v>
      </c>
      <c r="G26">
        <f>G24*$E26</f>
        <v>128</v>
      </c>
      <c r="H26">
        <f>H24*$E26</f>
        <v>16</v>
      </c>
      <c r="J26">
        <f>J24*$E26</f>
        <v>832</v>
      </c>
      <c r="K26">
        <f>K24*$E26</f>
        <v>104</v>
      </c>
      <c r="M26">
        <f>M24*$E26</f>
        <v>512</v>
      </c>
      <c r="N26">
        <f>N24*$E26</f>
        <v>64</v>
      </c>
      <c r="P26">
        <f>P24*$E26</f>
        <v>512</v>
      </c>
      <c r="Q26">
        <f>Q24*$E26</f>
        <v>64</v>
      </c>
    </row>
    <row r="28" spans="5:17" ht="15" x14ac:dyDescent="0.25">
      <c r="E28" t="s">
        <v>297</v>
      </c>
      <c r="G28">
        <f>G4+G5+G12+G26</f>
        <v>288</v>
      </c>
      <c r="H28">
        <f>H4+H5+H12+H26</f>
        <v>36</v>
      </c>
      <c r="J28">
        <f>J4+J5+J12+J26</f>
        <v>992</v>
      </c>
      <c r="K28">
        <f>K4+K5+K12+K26</f>
        <v>124</v>
      </c>
      <c r="M28">
        <f>M4+M5+M12+M26</f>
        <v>672</v>
      </c>
      <c r="N28">
        <f>N4+N5+N12+N26</f>
        <v>84</v>
      </c>
      <c r="P28">
        <f>P4+P5+P12+P26</f>
        <v>672</v>
      </c>
      <c r="Q28">
        <f>Q4+Q5+Q12+Q26</f>
        <v>84</v>
      </c>
    </row>
    <row r="30" spans="5:17" ht="15" x14ac:dyDescent="0.25">
      <c r="E30" t="s">
        <v>298</v>
      </c>
      <c r="H30">
        <f>H28-H4-1</f>
        <v>29</v>
      </c>
      <c r="K30">
        <f>K28-K4-1</f>
        <v>117</v>
      </c>
      <c r="N30">
        <f>N28-N4-1</f>
        <v>77</v>
      </c>
      <c r="Q30">
        <f>Q28-Q4-1</f>
        <v>77</v>
      </c>
    </row>
    <row r="37" spans="3:17" ht="15" x14ac:dyDescent="0.25">
      <c r="C37" s="130" t="s">
        <v>299</v>
      </c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</row>
    <row r="38" spans="3:17" ht="15" x14ac:dyDescent="0.25">
      <c r="G38" s="166" t="s">
        <v>129</v>
      </c>
      <c r="H38" s="166"/>
      <c r="I38" s="4"/>
      <c r="J38" s="166" t="s">
        <v>280</v>
      </c>
      <c r="K38" s="166"/>
      <c r="L38" s="4"/>
      <c r="M38" s="166" t="s">
        <v>280</v>
      </c>
      <c r="N38" s="166"/>
      <c r="O38" s="4"/>
      <c r="P38" s="166" t="s">
        <v>282</v>
      </c>
      <c r="Q38" s="166"/>
    </row>
    <row r="39" spans="3:17" ht="15" x14ac:dyDescent="0.25">
      <c r="G39" s="131" t="s">
        <v>283</v>
      </c>
      <c r="H39" s="131" t="s">
        <v>284</v>
      </c>
      <c r="J39" s="131" t="s">
        <v>283</v>
      </c>
      <c r="K39" s="131" t="s">
        <v>284</v>
      </c>
      <c r="M39" s="131" t="s">
        <v>283</v>
      </c>
      <c r="N39" s="131" t="s">
        <v>284</v>
      </c>
      <c r="P39" s="131" t="s">
        <v>283</v>
      </c>
      <c r="Q39" s="131" t="s">
        <v>284</v>
      </c>
    </row>
    <row r="40" spans="3:17" ht="15" x14ac:dyDescent="0.25">
      <c r="E40" t="s">
        <v>285</v>
      </c>
      <c r="G40">
        <v>48</v>
      </c>
      <c r="H40">
        <v>6</v>
      </c>
      <c r="J40">
        <v>48</v>
      </c>
      <c r="K40">
        <v>6</v>
      </c>
      <c r="M40">
        <v>48</v>
      </c>
      <c r="N40">
        <v>6</v>
      </c>
      <c r="P40">
        <v>48</v>
      </c>
      <c r="Q40">
        <v>6</v>
      </c>
    </row>
    <row r="41" spans="3:17" ht="15" x14ac:dyDescent="0.25">
      <c r="E41" t="s">
        <v>47</v>
      </c>
      <c r="G41">
        <v>32</v>
      </c>
      <c r="H41">
        <v>4</v>
      </c>
      <c r="J41">
        <v>32</v>
      </c>
      <c r="K41">
        <v>4</v>
      </c>
      <c r="M41">
        <v>32</v>
      </c>
      <c r="N41">
        <v>4</v>
      </c>
      <c r="P41">
        <v>32</v>
      </c>
      <c r="Q41">
        <v>4</v>
      </c>
    </row>
    <row r="43" spans="3:17" ht="15" x14ac:dyDescent="0.25">
      <c r="E43" t="s">
        <v>49</v>
      </c>
    </row>
    <row r="44" spans="3:17" ht="15" x14ac:dyDescent="0.25">
      <c r="F44" t="s">
        <v>50</v>
      </c>
      <c r="G44">
        <v>16</v>
      </c>
      <c r="H44">
        <v>2</v>
      </c>
      <c r="J44">
        <v>16</v>
      </c>
      <c r="K44">
        <v>2</v>
      </c>
      <c r="M44">
        <v>16</v>
      </c>
      <c r="N44">
        <v>2</v>
      </c>
      <c r="P44">
        <v>16</v>
      </c>
      <c r="Q44">
        <v>2</v>
      </c>
    </row>
    <row r="45" spans="3:17" ht="15" x14ac:dyDescent="0.25">
      <c r="F45" t="s">
        <v>51</v>
      </c>
      <c r="G45">
        <v>16</v>
      </c>
      <c r="H45">
        <v>2</v>
      </c>
      <c r="J45">
        <v>16</v>
      </c>
      <c r="K45">
        <v>2</v>
      </c>
      <c r="M45">
        <v>16</v>
      </c>
      <c r="N45">
        <v>2</v>
      </c>
      <c r="P45">
        <v>16</v>
      </c>
      <c r="Q45">
        <v>2</v>
      </c>
    </row>
    <row r="46" spans="3:17" ht="15" x14ac:dyDescent="0.25">
      <c r="F46" t="s">
        <v>52</v>
      </c>
      <c r="G46">
        <v>32</v>
      </c>
      <c r="H46">
        <v>4</v>
      </c>
      <c r="J46">
        <v>32</v>
      </c>
      <c r="K46">
        <v>4</v>
      </c>
      <c r="M46">
        <v>32</v>
      </c>
      <c r="N46">
        <v>4</v>
      </c>
      <c r="P46">
        <v>32</v>
      </c>
      <c r="Q46">
        <v>4</v>
      </c>
    </row>
    <row r="47" spans="3:17" ht="15" x14ac:dyDescent="0.25">
      <c r="F47" t="s">
        <v>53</v>
      </c>
      <c r="G47" s="31">
        <v>16</v>
      </c>
      <c r="H47" s="31">
        <v>2</v>
      </c>
      <c r="I47" s="31"/>
      <c r="J47" s="31">
        <v>16</v>
      </c>
      <c r="K47" s="31">
        <v>2</v>
      </c>
      <c r="L47" s="31"/>
      <c r="M47" s="31">
        <v>16</v>
      </c>
      <c r="N47" s="31">
        <v>2</v>
      </c>
      <c r="O47" s="31"/>
      <c r="P47" s="31">
        <v>16</v>
      </c>
      <c r="Q47" s="31">
        <v>2</v>
      </c>
    </row>
    <row r="48" spans="3:17" ht="15" x14ac:dyDescent="0.25">
      <c r="F48" t="s">
        <v>54</v>
      </c>
      <c r="G48">
        <f>SUM(G44:G47)</f>
        <v>80</v>
      </c>
      <c r="H48">
        <f>SUM(H44:H47)</f>
        <v>10</v>
      </c>
      <c r="J48">
        <f>SUM(J44:J47)</f>
        <v>80</v>
      </c>
      <c r="K48">
        <f>SUM(K44:K47)</f>
        <v>10</v>
      </c>
      <c r="M48">
        <f>SUM(M44:M47)</f>
        <v>80</v>
      </c>
      <c r="N48">
        <f>SUM(N44:N47)</f>
        <v>10</v>
      </c>
      <c r="P48">
        <f>SUM(P44:P47)</f>
        <v>80</v>
      </c>
      <c r="Q48">
        <f>SUM(Q44:Q47)</f>
        <v>10</v>
      </c>
    </row>
    <row r="50" spans="4:30" ht="15" x14ac:dyDescent="0.25">
      <c r="E50" t="s">
        <v>286</v>
      </c>
    </row>
    <row r="51" spans="4:30" ht="15" x14ac:dyDescent="0.25">
      <c r="F51" t="s">
        <v>287</v>
      </c>
      <c r="G51">
        <v>8</v>
      </c>
      <c r="H51">
        <v>1</v>
      </c>
      <c r="J51">
        <v>8</v>
      </c>
      <c r="K51">
        <v>1</v>
      </c>
      <c r="M51">
        <v>8</v>
      </c>
      <c r="N51">
        <v>1</v>
      </c>
      <c r="P51">
        <v>8</v>
      </c>
      <c r="Q51">
        <v>1</v>
      </c>
    </row>
    <row r="52" spans="4:30" ht="15" x14ac:dyDescent="0.25">
      <c r="F52" t="s">
        <v>288</v>
      </c>
      <c r="G52">
        <v>8</v>
      </c>
      <c r="H52">
        <v>1</v>
      </c>
      <c r="J52">
        <v>8</v>
      </c>
      <c r="K52">
        <v>1</v>
      </c>
      <c r="M52">
        <v>8</v>
      </c>
      <c r="N52">
        <v>1</v>
      </c>
      <c r="P52">
        <v>8</v>
      </c>
      <c r="Q52">
        <v>1</v>
      </c>
    </row>
    <row r="53" spans="4:30" ht="18.75" x14ac:dyDescent="0.25">
      <c r="F53" s="133" t="s">
        <v>300</v>
      </c>
      <c r="G53">
        <v>16</v>
      </c>
      <c r="H53">
        <v>2</v>
      </c>
      <c r="J53">
        <v>16</v>
      </c>
      <c r="K53">
        <v>2</v>
      </c>
      <c r="M53">
        <v>16</v>
      </c>
      <c r="N53">
        <v>2</v>
      </c>
      <c r="P53">
        <v>16</v>
      </c>
      <c r="Q53">
        <v>2</v>
      </c>
    </row>
    <row r="54" spans="4:30" ht="15" x14ac:dyDescent="0.25">
      <c r="F54" t="s">
        <v>290</v>
      </c>
      <c r="J54">
        <f>15*11+11</f>
        <v>176</v>
      </c>
      <c r="K54">
        <f>J54/8</f>
        <v>22</v>
      </c>
    </row>
    <row r="55" spans="4:30" ht="15" x14ac:dyDescent="0.25">
      <c r="F55" t="s">
        <v>301</v>
      </c>
      <c r="M55">
        <f>15*5+5</f>
        <v>80</v>
      </c>
      <c r="N55">
        <f>M55/8</f>
        <v>10</v>
      </c>
      <c r="P55">
        <f>15*5+5</f>
        <v>80</v>
      </c>
      <c r="Q55">
        <f>P55/8</f>
        <v>10</v>
      </c>
    </row>
    <row r="56" spans="4:30" ht="15" x14ac:dyDescent="0.25">
      <c r="F56" t="s">
        <v>292</v>
      </c>
      <c r="G56" s="31">
        <v>0</v>
      </c>
      <c r="H56" s="31">
        <v>0</v>
      </c>
      <c r="I56" s="31"/>
      <c r="J56" s="31"/>
      <c r="K56" s="31"/>
      <c r="L56" s="31"/>
      <c r="M56" s="31"/>
      <c r="N56" s="31"/>
      <c r="O56" s="31"/>
      <c r="P56" s="31"/>
      <c r="Q56" s="31"/>
    </row>
    <row r="57" spans="4:30" ht="15" x14ac:dyDescent="0.25">
      <c r="F57" t="s">
        <v>293</v>
      </c>
      <c r="G57">
        <f>SUM(G51:G56)</f>
        <v>32</v>
      </c>
      <c r="H57">
        <f>SUM(H51:H56)</f>
        <v>4</v>
      </c>
      <c r="J57">
        <f>SUM(J51:J56)</f>
        <v>208</v>
      </c>
      <c r="K57">
        <f>SUM(K51:K56)</f>
        <v>26</v>
      </c>
      <c r="M57">
        <f>SUM(M51:M56)</f>
        <v>112</v>
      </c>
      <c r="N57">
        <f>SUM(N51:N56)</f>
        <v>14</v>
      </c>
      <c r="P57">
        <f>SUM(P51:P56)</f>
        <v>112</v>
      </c>
      <c r="Q57">
        <f>SUM(Q51:Q56)</f>
        <v>14</v>
      </c>
    </row>
    <row r="60" spans="4:30" ht="15" x14ac:dyDescent="0.25">
      <c r="E60" t="s">
        <v>294</v>
      </c>
      <c r="F60" t="s">
        <v>295</v>
      </c>
      <c r="G60">
        <f>4*G57</f>
        <v>128</v>
      </c>
      <c r="H60">
        <f>4*H57</f>
        <v>16</v>
      </c>
      <c r="J60">
        <f>4*J57</f>
        <v>832</v>
      </c>
      <c r="K60">
        <f>4*K57</f>
        <v>104</v>
      </c>
      <c r="M60">
        <f>4*M57</f>
        <v>448</v>
      </c>
      <c r="N60">
        <f>4*N57</f>
        <v>56</v>
      </c>
      <c r="P60">
        <f>4*P57</f>
        <v>448</v>
      </c>
      <c r="Q60">
        <f>4*Q57</f>
        <v>56</v>
      </c>
    </row>
    <row r="61" spans="4:30" ht="15" x14ac:dyDescent="0.25">
      <c r="D61" s="166" t="s">
        <v>302</v>
      </c>
      <c r="E61" s="166"/>
      <c r="U61" t="s">
        <v>303</v>
      </c>
      <c r="AA61" t="s">
        <v>304</v>
      </c>
    </row>
    <row r="62" spans="4:30" ht="15" x14ac:dyDescent="0.25">
      <c r="D62" s="77" t="s">
        <v>305</v>
      </c>
      <c r="E62" s="77" t="s">
        <v>306</v>
      </c>
      <c r="R62" t="s">
        <v>307</v>
      </c>
      <c r="T62">
        <v>20</v>
      </c>
      <c r="U62">
        <v>10</v>
      </c>
      <c r="V62">
        <v>3</v>
      </c>
      <c r="W62">
        <v>2</v>
      </c>
      <c r="X62">
        <v>1</v>
      </c>
      <c r="Z62">
        <v>20</v>
      </c>
      <c r="AA62">
        <v>10</v>
      </c>
      <c r="AB62">
        <v>3</v>
      </c>
      <c r="AC62">
        <v>2</v>
      </c>
      <c r="AD62">
        <v>1</v>
      </c>
    </row>
    <row r="63" spans="4:30" ht="15" x14ac:dyDescent="0.25">
      <c r="D63" s="4">
        <v>10</v>
      </c>
      <c r="E63" s="4">
        <v>0</v>
      </c>
      <c r="F63" t="s">
        <v>296</v>
      </c>
      <c r="G63">
        <f>G60*$D63</f>
        <v>1280</v>
      </c>
      <c r="H63">
        <f>H60*$D63</f>
        <v>160</v>
      </c>
      <c r="J63">
        <f>J60*$D63</f>
        <v>8320</v>
      </c>
      <c r="K63">
        <f>K60*$D63</f>
        <v>1040</v>
      </c>
      <c r="M63">
        <f>M60*$D63</f>
        <v>4480</v>
      </c>
      <c r="N63">
        <f>N60*$D63</f>
        <v>560</v>
      </c>
      <c r="P63">
        <f t="shared" ref="P63:P72" si="0">D63*M$60+E63*G$60</f>
        <v>4480</v>
      </c>
      <c r="Q63">
        <f t="shared" ref="Q63:Q72" si="1">P63/8</f>
        <v>560</v>
      </c>
      <c r="R63">
        <f t="shared" ref="R63:R72" si="2">P$40+P$41+P$48+P63</f>
        <v>4640</v>
      </c>
      <c r="T63" s="39">
        <f t="shared" ref="T63:X72" si="3">$R63/(T$62*64)</f>
        <v>3.625</v>
      </c>
      <c r="U63" s="39">
        <f t="shared" si="3"/>
        <v>7.25</v>
      </c>
      <c r="V63" s="39">
        <f t="shared" si="3"/>
        <v>24.166666666666668</v>
      </c>
      <c r="W63" s="39">
        <f t="shared" si="3"/>
        <v>36.25</v>
      </c>
      <c r="X63" s="39">
        <f t="shared" si="3"/>
        <v>72.5</v>
      </c>
      <c r="Z63" s="39">
        <f t="shared" ref="Z63:AD72" si="4">(3600*24/1000000)*$R63/(Z$62*64)</f>
        <v>0.31320000000000003</v>
      </c>
      <c r="AA63" s="39">
        <f t="shared" si="4"/>
        <v>0.62640000000000007</v>
      </c>
      <c r="AB63" s="39">
        <f t="shared" si="4"/>
        <v>2.0880000000000001</v>
      </c>
      <c r="AC63" s="39">
        <f t="shared" si="4"/>
        <v>3.1320000000000001</v>
      </c>
      <c r="AD63" s="39">
        <f t="shared" si="4"/>
        <v>6.2640000000000002</v>
      </c>
    </row>
    <row r="64" spans="4:30" ht="15" x14ac:dyDescent="0.25">
      <c r="D64" s="4">
        <v>9</v>
      </c>
      <c r="E64" s="4">
        <v>1</v>
      </c>
      <c r="P64">
        <f t="shared" si="0"/>
        <v>4160</v>
      </c>
      <c r="Q64">
        <f t="shared" si="1"/>
        <v>520</v>
      </c>
      <c r="R64">
        <f t="shared" si="2"/>
        <v>4320</v>
      </c>
      <c r="T64" s="39">
        <f t="shared" si="3"/>
        <v>3.375</v>
      </c>
      <c r="U64" s="39">
        <f t="shared" si="3"/>
        <v>6.75</v>
      </c>
      <c r="V64" s="39">
        <f t="shared" si="3"/>
        <v>22.5</v>
      </c>
      <c r="W64" s="39">
        <f t="shared" si="3"/>
        <v>33.75</v>
      </c>
      <c r="X64" s="39">
        <f t="shared" si="3"/>
        <v>67.5</v>
      </c>
      <c r="Z64" s="39">
        <f t="shared" si="4"/>
        <v>0.29160000000000003</v>
      </c>
      <c r="AA64" s="39">
        <f t="shared" si="4"/>
        <v>0.58320000000000005</v>
      </c>
      <c r="AB64" s="39">
        <f t="shared" si="4"/>
        <v>1.9440000000000002</v>
      </c>
      <c r="AC64" s="39">
        <f t="shared" si="4"/>
        <v>2.9160000000000004</v>
      </c>
      <c r="AD64" s="39">
        <f t="shared" si="4"/>
        <v>5.8320000000000007</v>
      </c>
    </row>
    <row r="65" spans="4:30" ht="15" x14ac:dyDescent="0.25">
      <c r="D65" s="4">
        <v>8</v>
      </c>
      <c r="E65" s="4">
        <v>2</v>
      </c>
      <c r="P65">
        <f t="shared" si="0"/>
        <v>3840</v>
      </c>
      <c r="Q65">
        <f t="shared" si="1"/>
        <v>480</v>
      </c>
      <c r="R65">
        <f t="shared" si="2"/>
        <v>4000</v>
      </c>
      <c r="T65" s="39">
        <f t="shared" si="3"/>
        <v>3.125</v>
      </c>
      <c r="U65" s="39">
        <f t="shared" si="3"/>
        <v>6.25</v>
      </c>
      <c r="V65" s="39">
        <f t="shared" si="3"/>
        <v>20.833333333333332</v>
      </c>
      <c r="W65" s="39">
        <f t="shared" si="3"/>
        <v>31.25</v>
      </c>
      <c r="X65" s="39">
        <f t="shared" si="3"/>
        <v>62.5</v>
      </c>
      <c r="Z65" s="39">
        <f t="shared" si="4"/>
        <v>0.27</v>
      </c>
      <c r="AA65" s="39">
        <f t="shared" si="4"/>
        <v>0.54</v>
      </c>
      <c r="AB65" s="39">
        <f t="shared" si="4"/>
        <v>1.8</v>
      </c>
      <c r="AC65" s="39">
        <f t="shared" si="4"/>
        <v>2.7</v>
      </c>
      <c r="AD65" s="39">
        <f t="shared" si="4"/>
        <v>5.4</v>
      </c>
    </row>
    <row r="66" spans="4:30" ht="15" x14ac:dyDescent="0.25">
      <c r="D66" s="4">
        <v>7</v>
      </c>
      <c r="E66" s="4">
        <v>3</v>
      </c>
      <c r="P66">
        <f t="shared" si="0"/>
        <v>3520</v>
      </c>
      <c r="Q66">
        <f t="shared" si="1"/>
        <v>440</v>
      </c>
      <c r="R66">
        <f t="shared" si="2"/>
        <v>3680</v>
      </c>
      <c r="T66" s="39">
        <f t="shared" si="3"/>
        <v>2.875</v>
      </c>
      <c r="U66" s="39">
        <f t="shared" si="3"/>
        <v>5.75</v>
      </c>
      <c r="V66" s="39">
        <f t="shared" si="3"/>
        <v>19.166666666666668</v>
      </c>
      <c r="W66" s="39">
        <f t="shared" si="3"/>
        <v>28.75</v>
      </c>
      <c r="X66" s="39">
        <f t="shared" si="3"/>
        <v>57.5</v>
      </c>
      <c r="Z66" s="39">
        <f t="shared" si="4"/>
        <v>0.24840000000000001</v>
      </c>
      <c r="AA66" s="39">
        <f t="shared" si="4"/>
        <v>0.49680000000000002</v>
      </c>
      <c r="AB66" s="39">
        <f t="shared" si="4"/>
        <v>1.6559999999999999</v>
      </c>
      <c r="AC66" s="39">
        <f t="shared" si="4"/>
        <v>2.484</v>
      </c>
      <c r="AD66" s="39">
        <f t="shared" si="4"/>
        <v>4.968</v>
      </c>
    </row>
    <row r="67" spans="4:30" ht="15" x14ac:dyDescent="0.25">
      <c r="D67" s="4">
        <v>6</v>
      </c>
      <c r="E67" s="4">
        <v>4</v>
      </c>
      <c r="P67">
        <f t="shared" si="0"/>
        <v>3200</v>
      </c>
      <c r="Q67">
        <f t="shared" si="1"/>
        <v>400</v>
      </c>
      <c r="R67">
        <f t="shared" si="2"/>
        <v>3360</v>
      </c>
      <c r="T67" s="39">
        <f t="shared" si="3"/>
        <v>2.625</v>
      </c>
      <c r="U67" s="39">
        <f t="shared" si="3"/>
        <v>5.25</v>
      </c>
      <c r="V67" s="39">
        <f t="shared" si="3"/>
        <v>17.5</v>
      </c>
      <c r="W67" s="39">
        <f t="shared" si="3"/>
        <v>26.25</v>
      </c>
      <c r="X67" s="39">
        <f t="shared" si="3"/>
        <v>52.5</v>
      </c>
      <c r="Z67" s="39">
        <f t="shared" si="4"/>
        <v>0.22680000000000003</v>
      </c>
      <c r="AA67" s="39">
        <f t="shared" si="4"/>
        <v>0.45360000000000006</v>
      </c>
      <c r="AB67" s="39">
        <f t="shared" si="4"/>
        <v>1.5120000000000002</v>
      </c>
      <c r="AC67" s="39">
        <f t="shared" si="4"/>
        <v>2.2680000000000002</v>
      </c>
      <c r="AD67" s="39">
        <f t="shared" si="4"/>
        <v>4.5360000000000005</v>
      </c>
    </row>
    <row r="68" spans="4:30" ht="15" x14ac:dyDescent="0.25">
      <c r="D68" s="4">
        <v>5</v>
      </c>
      <c r="E68" s="4">
        <v>5</v>
      </c>
      <c r="P68">
        <f t="shared" si="0"/>
        <v>2880</v>
      </c>
      <c r="Q68">
        <f t="shared" si="1"/>
        <v>360</v>
      </c>
      <c r="R68">
        <f t="shared" si="2"/>
        <v>3040</v>
      </c>
      <c r="T68" s="134">
        <f t="shared" si="3"/>
        <v>2.375</v>
      </c>
      <c r="U68" s="135">
        <f t="shared" si="3"/>
        <v>4.75</v>
      </c>
      <c r="V68" s="135">
        <f t="shared" si="3"/>
        <v>15.833333333333334</v>
      </c>
      <c r="W68" s="135">
        <f t="shared" si="3"/>
        <v>23.75</v>
      </c>
      <c r="X68" s="136">
        <f t="shared" si="3"/>
        <v>47.5</v>
      </c>
      <c r="Z68" s="134">
        <f t="shared" si="4"/>
        <v>0.20519999999999999</v>
      </c>
      <c r="AA68" s="135">
        <f t="shared" si="4"/>
        <v>0.41039999999999999</v>
      </c>
      <c r="AB68" s="135">
        <f t="shared" si="4"/>
        <v>1.3680000000000001</v>
      </c>
      <c r="AC68" s="135">
        <f t="shared" si="4"/>
        <v>2.052</v>
      </c>
      <c r="AD68" s="136">
        <f t="shared" si="4"/>
        <v>4.1040000000000001</v>
      </c>
    </row>
    <row r="69" spans="4:30" ht="15" x14ac:dyDescent="0.25">
      <c r="D69" s="4">
        <v>4</v>
      </c>
      <c r="E69" s="4">
        <v>6</v>
      </c>
      <c r="P69">
        <f t="shared" si="0"/>
        <v>2560</v>
      </c>
      <c r="Q69">
        <f t="shared" si="1"/>
        <v>320</v>
      </c>
      <c r="R69">
        <f t="shared" si="2"/>
        <v>2720</v>
      </c>
      <c r="T69" s="39">
        <f t="shared" si="3"/>
        <v>2.125</v>
      </c>
      <c r="U69" s="39">
        <f t="shared" si="3"/>
        <v>4.25</v>
      </c>
      <c r="V69" s="39">
        <f t="shared" si="3"/>
        <v>14.166666666666666</v>
      </c>
      <c r="W69" s="39">
        <f t="shared" si="3"/>
        <v>21.25</v>
      </c>
      <c r="X69" s="39">
        <f t="shared" si="3"/>
        <v>42.5</v>
      </c>
      <c r="Z69" s="39">
        <f t="shared" si="4"/>
        <v>0.18360000000000001</v>
      </c>
      <c r="AA69" s="39">
        <f t="shared" si="4"/>
        <v>0.36720000000000003</v>
      </c>
      <c r="AB69" s="39">
        <f t="shared" si="4"/>
        <v>1.224</v>
      </c>
      <c r="AC69" s="39">
        <f t="shared" si="4"/>
        <v>1.8360000000000001</v>
      </c>
      <c r="AD69" s="39">
        <f t="shared" si="4"/>
        <v>3.6720000000000002</v>
      </c>
    </row>
    <row r="70" spans="4:30" ht="15" x14ac:dyDescent="0.25">
      <c r="D70" s="4">
        <v>3</v>
      </c>
      <c r="E70" s="4">
        <v>7</v>
      </c>
      <c r="P70">
        <f t="shared" si="0"/>
        <v>2240</v>
      </c>
      <c r="Q70">
        <f t="shared" si="1"/>
        <v>280</v>
      </c>
      <c r="R70">
        <f t="shared" si="2"/>
        <v>2400</v>
      </c>
      <c r="T70" s="39">
        <f t="shared" si="3"/>
        <v>1.875</v>
      </c>
      <c r="U70" s="39">
        <f t="shared" si="3"/>
        <v>3.75</v>
      </c>
      <c r="V70" s="39">
        <f t="shared" si="3"/>
        <v>12.5</v>
      </c>
      <c r="W70" s="39">
        <f t="shared" si="3"/>
        <v>18.75</v>
      </c>
      <c r="X70" s="39">
        <f t="shared" si="3"/>
        <v>37.5</v>
      </c>
      <c r="Z70" s="39">
        <f t="shared" si="4"/>
        <v>0.16200000000000001</v>
      </c>
      <c r="AA70" s="39">
        <f t="shared" si="4"/>
        <v>0.32400000000000001</v>
      </c>
      <c r="AB70" s="39">
        <f t="shared" si="4"/>
        <v>1.08</v>
      </c>
      <c r="AC70" s="39">
        <f t="shared" si="4"/>
        <v>1.62</v>
      </c>
      <c r="AD70" s="39">
        <f t="shared" si="4"/>
        <v>3.24</v>
      </c>
    </row>
    <row r="71" spans="4:30" ht="15" x14ac:dyDescent="0.25">
      <c r="D71" s="4">
        <v>2</v>
      </c>
      <c r="E71" s="4">
        <v>8</v>
      </c>
      <c r="P71">
        <f t="shared" si="0"/>
        <v>1920</v>
      </c>
      <c r="Q71">
        <f t="shared" si="1"/>
        <v>240</v>
      </c>
      <c r="R71">
        <f t="shared" si="2"/>
        <v>2080</v>
      </c>
      <c r="T71" s="39">
        <f t="shared" si="3"/>
        <v>1.625</v>
      </c>
      <c r="U71" s="39">
        <f t="shared" si="3"/>
        <v>3.25</v>
      </c>
      <c r="V71" s="39">
        <f t="shared" si="3"/>
        <v>10.833333333333334</v>
      </c>
      <c r="W71" s="39">
        <f t="shared" si="3"/>
        <v>16.25</v>
      </c>
      <c r="X71" s="39">
        <f t="shared" si="3"/>
        <v>32.5</v>
      </c>
      <c r="Z71" s="39">
        <f t="shared" si="4"/>
        <v>0.14040000000000002</v>
      </c>
      <c r="AA71" s="39">
        <f t="shared" si="4"/>
        <v>0.28080000000000005</v>
      </c>
      <c r="AB71" s="39">
        <f t="shared" si="4"/>
        <v>0.93600000000000005</v>
      </c>
      <c r="AC71" s="39">
        <f t="shared" si="4"/>
        <v>1.4040000000000001</v>
      </c>
      <c r="AD71" s="39">
        <f t="shared" si="4"/>
        <v>2.8080000000000003</v>
      </c>
    </row>
    <row r="72" spans="4:30" ht="15" x14ac:dyDescent="0.25">
      <c r="D72" s="4">
        <v>1</v>
      </c>
      <c r="E72" s="4">
        <v>9</v>
      </c>
      <c r="P72">
        <f t="shared" si="0"/>
        <v>1600</v>
      </c>
      <c r="Q72">
        <f t="shared" si="1"/>
        <v>200</v>
      </c>
      <c r="R72">
        <f t="shared" si="2"/>
        <v>1760</v>
      </c>
      <c r="T72" s="39">
        <f t="shared" si="3"/>
        <v>1.375</v>
      </c>
      <c r="U72" s="39">
        <f t="shared" si="3"/>
        <v>2.75</v>
      </c>
      <c r="V72" s="39">
        <f t="shared" si="3"/>
        <v>9.1666666666666661</v>
      </c>
      <c r="W72" s="39">
        <f t="shared" si="3"/>
        <v>13.75</v>
      </c>
      <c r="X72" s="39">
        <f t="shared" si="3"/>
        <v>27.5</v>
      </c>
      <c r="Z72" s="39">
        <f t="shared" si="4"/>
        <v>0.11880000000000002</v>
      </c>
      <c r="AA72" s="39">
        <f t="shared" si="4"/>
        <v>0.23760000000000003</v>
      </c>
      <c r="AB72" s="39">
        <f t="shared" si="4"/>
        <v>0.79200000000000015</v>
      </c>
      <c r="AC72" s="39">
        <f t="shared" si="4"/>
        <v>1.1880000000000002</v>
      </c>
      <c r="AD72" s="39">
        <f t="shared" si="4"/>
        <v>2.3760000000000003</v>
      </c>
    </row>
    <row r="73" spans="4:30" ht="15" x14ac:dyDescent="0.25">
      <c r="D73" s="4"/>
      <c r="E73" s="4"/>
    </row>
    <row r="74" spans="4:30" ht="15" x14ac:dyDescent="0.25">
      <c r="E74" t="s">
        <v>297</v>
      </c>
      <c r="G74">
        <f>G40+G41+G48+G63</f>
        <v>1440</v>
      </c>
      <c r="H74">
        <f>H40+H41+H48+H63</f>
        <v>180</v>
      </c>
      <c r="J74">
        <f>J40+J41+J48+J63</f>
        <v>8480</v>
      </c>
      <c r="K74">
        <f>K40+K41+K48+K63</f>
        <v>1060</v>
      </c>
      <c r="M74">
        <f>M40+M41+M48+M63</f>
        <v>4640</v>
      </c>
      <c r="N74">
        <f>N40+N41+N48+N63</f>
        <v>580</v>
      </c>
    </row>
    <row r="76" spans="4:30" ht="15" x14ac:dyDescent="0.25">
      <c r="E76" t="s">
        <v>298</v>
      </c>
      <c r="H76">
        <f>H74-H40-1</f>
        <v>173</v>
      </c>
      <c r="K76">
        <f>K74-K40-1</f>
        <v>1053</v>
      </c>
      <c r="N76">
        <f>N74-N40-1</f>
        <v>573</v>
      </c>
    </row>
  </sheetData>
  <mergeCells count="9">
    <mergeCell ref="D61:E61"/>
    <mergeCell ref="G2:H2"/>
    <mergeCell ref="J2:K2"/>
    <mergeCell ref="M2:N2"/>
    <mergeCell ref="P2:Q2"/>
    <mergeCell ref="G38:H38"/>
    <mergeCell ref="J38:K38"/>
    <mergeCell ref="M38:N38"/>
    <mergeCell ref="P38:Q38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Volume estimator</vt:lpstr>
      <vt:lpstr>Packet size and rates</vt:lpstr>
      <vt:lpstr>hibernation_yearly</vt:lpstr>
      <vt:lpstr>hibernation_24267_acq</vt:lpstr>
      <vt:lpstr>25096acq</vt:lpstr>
      <vt:lpstr>25118</vt:lpstr>
      <vt:lpstr>25139</vt:lpstr>
      <vt:lpstr>25159</vt:lpstr>
      <vt:lpstr>25181</vt:lpstr>
      <vt:lpstr>25207</vt:lpstr>
      <vt:lpstr>26179</vt:lpstr>
      <vt:lpstr>26201</vt:lpstr>
      <vt:lpstr>26222</vt:lpstr>
      <vt:lpstr>posthib</vt:lpstr>
      <vt:lpstr>Macro Summary</vt:lpstr>
      <vt:lpstr>TLM packet from pre-hib test</vt:lpstr>
      <vt:lpstr>partial channel use</vt:lpstr>
    </vt:vector>
  </TitlesOfParts>
  <Company>Johns Hopkins University - Applied Physics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Jaskulek, Steve</dc:creator>
  <dc:description/>
  <cp:lastModifiedBy>Brian Carcich</cp:lastModifiedBy>
  <cp:revision>40</cp:revision>
  <dcterms:created xsi:type="dcterms:W3CDTF">2021-10-05T20:43:26Z</dcterms:created>
  <dcterms:modified xsi:type="dcterms:W3CDTF">2026-07-09T11:27:18Z</dcterms:modified>
  <dc:language>en-US</dc:language>
</cp:coreProperties>
</file>