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0_DOCUMENTS\3MU69\0_LOADS\2026\"/>
    </mc:Choice>
  </mc:AlternateContent>
  <xr:revisionPtr revIDLastSave="0" documentId="13_ncr:1_{14E14697-61C0-40F2-A9D2-3E1A83B25330}" xr6:coauthVersionLast="47" xr6:coauthVersionMax="47" xr10:uidLastSave="{00000000-0000-0000-0000-000000000000}"/>
  <bookViews>
    <workbookView xWindow="8475" yWindow="-14535" windowWidth="24330" windowHeight="12720" firstSheet="3" activeTab="6" xr2:uid="{19D6FCFA-CD28-440A-9377-5C1FF7C2D043}"/>
  </bookViews>
  <sheets>
    <sheet name="btc_mods" sheetId="16" r:id="rId1"/>
    <sheet name="sclk_data" sheetId="17" r:id="rId2"/>
    <sheet name="pb_calc_pre_2025" sheetId="1" r:id="rId3"/>
    <sheet name="2025_pb" sheetId="2" r:id="rId4"/>
    <sheet name="Sheet2" sheetId="15" r:id="rId5"/>
    <sheet name="PEPSSI data tracking" sheetId="18" r:id="rId6"/>
    <sheet name="2025_pb_2" sheetId="3" r:id="rId7"/>
    <sheet name="alice pb 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s>
  <functionGroups builtInGroupCount="19"/>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427" i="3" l="1"/>
  <c r="Z427" i="3"/>
  <c r="Z420" i="3"/>
  <c r="AC420" i="3"/>
  <c r="AC419" i="3"/>
  <c r="AC418" i="3"/>
  <c r="Z419" i="3"/>
  <c r="Z418" i="3"/>
  <c r="R428" i="3"/>
  <c r="R429" i="3"/>
  <c r="Q428" i="3"/>
  <c r="W433" i="3"/>
  <c r="Q433" i="3"/>
  <c r="R433" i="3" s="1"/>
  <c r="S433" i="3" s="1"/>
  <c r="T433" i="3" s="1"/>
  <c r="V433" i="3" s="1"/>
  <c r="W432" i="3"/>
  <c r="R432" i="3" s="1"/>
  <c r="S432" i="3" s="1"/>
  <c r="T432" i="3" s="1"/>
  <c r="V432" i="3" s="1"/>
  <c r="Q432" i="3"/>
  <c r="Q430" i="3"/>
  <c r="Q429" i="3"/>
  <c r="W424" i="3"/>
  <c r="Q424" i="3"/>
  <c r="W423" i="3"/>
  <c r="R423" i="3" s="1"/>
  <c r="S423" i="3" s="1"/>
  <c r="T423" i="3" s="1"/>
  <c r="V423" i="3" s="1"/>
  <c r="X423" i="3" s="1"/>
  <c r="Q423" i="3"/>
  <c r="T422" i="3"/>
  <c r="R422" i="3"/>
  <c r="Q422" i="3"/>
  <c r="AC410" i="3"/>
  <c r="AC409" i="3"/>
  <c r="AC408" i="3"/>
  <c r="V410" i="3"/>
  <c r="Y408" i="3"/>
  <c r="X433" i="3" l="1"/>
  <c r="X432" i="3"/>
  <c r="R424" i="3"/>
  <c r="S424" i="3" s="1"/>
  <c r="T424" i="3" s="1"/>
  <c r="V424" i="3" s="1"/>
  <c r="X424" i="3" s="1"/>
  <c r="Y31" i="3" l="1"/>
  <c r="AF31" i="3" s="1"/>
  <c r="Y34" i="3"/>
  <c r="AF34" i="3" s="1"/>
  <c r="AG33" i="3"/>
  <c r="M22" i="3"/>
  <c r="T404" i="3"/>
  <c r="V404" i="3" s="1"/>
  <c r="V31" i="3" l="1"/>
  <c r="V34" i="3"/>
  <c r="V427" i="3" l="1"/>
  <c r="V420" i="3"/>
  <c r="G19" i="14"/>
  <c r="F19" i="14"/>
  <c r="J25" i="14"/>
  <c r="I25" i="14"/>
  <c r="E25" i="14"/>
  <c r="K25" i="14" s="1"/>
  <c r="J24" i="14"/>
  <c r="K24" i="14" s="1"/>
  <c r="I24" i="14"/>
  <c r="E24" i="14"/>
  <c r="L23" i="14"/>
  <c r="J23" i="14"/>
  <c r="K23" i="14" s="1"/>
  <c r="M23" i="14" s="1"/>
  <c r="I23" i="14"/>
  <c r="E23" i="14"/>
  <c r="M24" i="14" l="1"/>
  <c r="L24" i="14"/>
  <c r="M25" i="14" l="1"/>
  <c r="L25" i="14"/>
  <c r="Y23" i="3" l="1"/>
  <c r="V23" i="3" s="1"/>
  <c r="P433" i="3"/>
  <c r="O433" i="3"/>
  <c r="P432" i="3"/>
  <c r="O432" i="3"/>
  <c r="Y32" i="3"/>
  <c r="AF32" i="3" s="1"/>
  <c r="P431" i="3"/>
  <c r="O431" i="3"/>
  <c r="V32" i="3" l="1"/>
  <c r="P430" i="3" l="1"/>
  <c r="O430" i="3"/>
  <c r="P429" i="3"/>
  <c r="O429" i="3"/>
  <c r="P428" i="3"/>
  <c r="O428" i="3"/>
  <c r="P424" i="3"/>
  <c r="O424" i="3"/>
  <c r="P423" i="3"/>
  <c r="O423" i="3"/>
  <c r="O422" i="3"/>
  <c r="P422" i="3"/>
  <c r="O418" i="3"/>
  <c r="P418" i="3"/>
  <c r="P421" i="3"/>
  <c r="O421" i="3"/>
  <c r="I18" i="14" l="1"/>
  <c r="J18" i="14" s="1"/>
  <c r="K18" i="14" s="1"/>
  <c r="Q18" i="14"/>
  <c r="Q19" i="14" s="1"/>
  <c r="Q20" i="14"/>
  <c r="E18" i="14"/>
  <c r="AE427" i="3"/>
  <c r="P427" i="3"/>
  <c r="O427" i="3"/>
  <c r="P426" i="3"/>
  <c r="O426" i="3"/>
  <c r="P425" i="3"/>
  <c r="O425" i="3"/>
  <c r="P420" i="3"/>
  <c r="O420" i="3"/>
  <c r="AE419" i="3"/>
  <c r="P419" i="3"/>
  <c r="O419" i="3"/>
  <c r="P417" i="3"/>
  <c r="O417" i="3"/>
  <c r="P416" i="3"/>
  <c r="O416" i="3"/>
  <c r="P415" i="3"/>
  <c r="O415" i="3"/>
  <c r="P414" i="3"/>
  <c r="O414" i="3"/>
  <c r="P413" i="3"/>
  <c r="O413" i="3"/>
  <c r="O412" i="3"/>
  <c r="P412" i="3"/>
  <c r="L108" i="6"/>
  <c r="P411" i="3"/>
  <c r="O411" i="3"/>
  <c r="P407" i="3"/>
  <c r="O407" i="3"/>
  <c r="AF433" i="3"/>
  <c r="AF432" i="3"/>
  <c r="AF431" i="3"/>
  <c r="AF430" i="3"/>
  <c r="AF429" i="3"/>
  <c r="AF428" i="3"/>
  <c r="AF427" i="3"/>
  <c r="AF426" i="3"/>
  <c r="AF425" i="3"/>
  <c r="AF424" i="3"/>
  <c r="AF423" i="3"/>
  <c r="AF422" i="3"/>
  <c r="AF421" i="3"/>
  <c r="AF420" i="3"/>
  <c r="AF419" i="3"/>
  <c r="AF418" i="3"/>
  <c r="AF417" i="3"/>
  <c r="AF416" i="3"/>
  <c r="AF415" i="3"/>
  <c r="AF414" i="3"/>
  <c r="AF413" i="3"/>
  <c r="AF412" i="3"/>
  <c r="AF411" i="3"/>
  <c r="AF410" i="3"/>
  <c r="AF409" i="3"/>
  <c r="AF408" i="3"/>
  <c r="AF407" i="3"/>
  <c r="AF406" i="3"/>
  <c r="P406" i="3"/>
  <c r="O406" i="3"/>
  <c r="O404" i="3"/>
  <c r="R404" i="3"/>
  <c r="Q405" i="3" s="1"/>
  <c r="AF404" i="3"/>
  <c r="AN433" i="3"/>
  <c r="AA433" i="3" s="1"/>
  <c r="AN432" i="3"/>
  <c r="AA432" i="3" s="1"/>
  <c r="AN431" i="3"/>
  <c r="AA431" i="3" s="1"/>
  <c r="W431" i="3" s="1"/>
  <c r="AN430" i="3"/>
  <c r="AA430" i="3" s="1"/>
  <c r="W430" i="3" s="1"/>
  <c r="AN429" i="3"/>
  <c r="AA429" i="3" s="1"/>
  <c r="W429" i="3" s="1"/>
  <c r="AN428" i="3"/>
  <c r="AA428" i="3" s="1"/>
  <c r="W428" i="3" s="1"/>
  <c r="AN427" i="3"/>
  <c r="AA427" i="3" s="1"/>
  <c r="W427" i="3" s="1"/>
  <c r="X427" i="3" s="1"/>
  <c r="AN426" i="3"/>
  <c r="AA426" i="3" s="1"/>
  <c r="W426" i="3" s="1"/>
  <c r="AN425" i="3"/>
  <c r="AA425" i="3" s="1"/>
  <c r="W425" i="3" s="1"/>
  <c r="AN424" i="3"/>
  <c r="AA424" i="3" s="1"/>
  <c r="AN423" i="3"/>
  <c r="AN422" i="3"/>
  <c r="AA422" i="3" s="1"/>
  <c r="W422" i="3" s="1"/>
  <c r="AN421" i="3"/>
  <c r="AA421" i="3" s="1"/>
  <c r="W421" i="3" s="1"/>
  <c r="AN420" i="3"/>
  <c r="AA420" i="3" s="1"/>
  <c r="AN419" i="3"/>
  <c r="AA419" i="3" s="1"/>
  <c r="AN418" i="3"/>
  <c r="AA418" i="3" s="1"/>
  <c r="AN417" i="3"/>
  <c r="AA417" i="3" s="1"/>
  <c r="W417" i="3" s="1"/>
  <c r="AN416" i="3"/>
  <c r="AA416" i="3" s="1"/>
  <c r="W416" i="3" s="1"/>
  <c r="AN415" i="3"/>
  <c r="AA415" i="3" s="1"/>
  <c r="W415" i="3" s="1"/>
  <c r="AN414" i="3"/>
  <c r="AA414" i="3" s="1"/>
  <c r="W414" i="3" s="1"/>
  <c r="AN413" i="3"/>
  <c r="AA413" i="3" s="1"/>
  <c r="W413" i="3" s="1"/>
  <c r="AN412" i="3"/>
  <c r="AA412" i="3" s="1"/>
  <c r="W412" i="3" s="1"/>
  <c r="AN411" i="3"/>
  <c r="AA411" i="3" s="1"/>
  <c r="W411" i="3" s="1"/>
  <c r="AN410" i="3"/>
  <c r="AA410" i="3" s="1"/>
  <c r="AN409" i="3"/>
  <c r="AA409" i="3" s="1"/>
  <c r="AN408" i="3"/>
  <c r="AA408" i="3" s="1"/>
  <c r="Z408" i="3" s="1"/>
  <c r="Z409" i="3" s="1"/>
  <c r="Z410" i="3" s="1"/>
  <c r="W410" i="3" s="1"/>
  <c r="AN407" i="3"/>
  <c r="AA407" i="3" s="1"/>
  <c r="W407" i="3" s="1"/>
  <c r="AN406" i="3"/>
  <c r="AA406" i="3" s="1"/>
  <c r="AN404" i="3"/>
  <c r="AA404" i="3"/>
  <c r="W404" i="3"/>
  <c r="Q404" i="3"/>
  <c r="P404" i="3"/>
  <c r="T1" i="3"/>
  <c r="F3" i="17"/>
  <c r="L405" i="3" a="1"/>
  <c r="M404" i="3" a="1"/>
  <c r="L404" i="3" a="1"/>
  <c r="F4" i="17" a="1"/>
  <c r="Y410" i="3" l="1"/>
  <c r="X410" i="3"/>
  <c r="AO433" i="3"/>
  <c r="AA423" i="3"/>
  <c r="S404" i="3"/>
  <c r="AB406" i="3"/>
  <c r="AB407" i="3" s="1"/>
  <c r="AB408" i="3" s="1"/>
  <c r="AB409" i="3" s="1"/>
  <c r="W406" i="3"/>
  <c r="AB418" i="3"/>
  <c r="AB419" i="3" s="1"/>
  <c r="AB420" i="3" s="1"/>
  <c r="AB433" i="3"/>
  <c r="R18" i="14"/>
  <c r="S18" i="14" s="1"/>
  <c r="AD427" i="3"/>
  <c r="AE420" i="3"/>
  <c r="AD419" i="3"/>
  <c r="AD418" i="3"/>
  <c r="AE418" i="3"/>
  <c r="L405" i="3"/>
  <c r="AO422" i="3"/>
  <c r="AE404" i="3"/>
  <c r="AC404" i="3" s="1"/>
  <c r="AN434" i="3"/>
  <c r="AO415" i="3"/>
  <c r="L404" i="3"/>
  <c r="M404" i="3"/>
  <c r="F4" i="17"/>
  <c r="M359" i="3"/>
  <c r="L384" i="3"/>
  <c r="W384" i="3"/>
  <c r="Y35" i="3"/>
  <c r="AF35" i="3" s="1"/>
  <c r="W420" i="3" l="1"/>
  <c r="X420" i="3" s="1"/>
  <c r="AD420" i="3" s="1"/>
  <c r="X404" i="3"/>
  <c r="W405" i="3" s="1"/>
  <c r="R405" i="3" s="1"/>
  <c r="V35" i="3"/>
  <c r="AD404" i="3" l="1"/>
  <c r="Q360" i="3"/>
  <c r="O366" i="3"/>
  <c r="O347" i="3"/>
  <c r="P347" i="3"/>
  <c r="L359" i="3" a="1"/>
  <c r="L359" i="3" l="1"/>
  <c r="L347" i="3"/>
  <c r="L332" i="3"/>
  <c r="L333" i="3"/>
  <c r="L380" i="3"/>
  <c r="P381" i="3"/>
  <c r="O381" i="3"/>
  <c r="L381" i="3"/>
  <c r="P380" i="3"/>
  <c r="O380" i="3"/>
  <c r="L366" i="3"/>
  <c r="AH366" i="3" l="1"/>
  <c r="AR366" i="3"/>
  <c r="AA366" i="3" s="1"/>
  <c r="W366" i="3" s="1"/>
  <c r="AH367" i="3"/>
  <c r="AR367" i="3"/>
  <c r="AA367" i="3" s="1"/>
  <c r="W367" i="3" s="1"/>
  <c r="AH368" i="3"/>
  <c r="AR368" i="3"/>
  <c r="AA368" i="3" s="1"/>
  <c r="W368" i="3" s="1"/>
  <c r="AH369" i="3"/>
  <c r="AR369" i="3"/>
  <c r="AA369" i="3" s="1"/>
  <c r="W369" i="3" s="1"/>
  <c r="Q365" i="3"/>
  <c r="R334" i="3"/>
  <c r="R360" i="3"/>
  <c r="AR347" i="3"/>
  <c r="AH347" i="3"/>
  <c r="Q345" i="3"/>
  <c r="R330" i="3"/>
  <c r="L346" i="3"/>
  <c r="M361" i="3" a="1"/>
  <c r="L364" i="3" a="1"/>
  <c r="L364" i="3" l="1"/>
  <c r="M361" i="3"/>
  <c r="AA347" i="3"/>
  <c r="W347" i="3" s="1"/>
  <c r="L367" i="3"/>
  <c r="P366" i="3"/>
  <c r="P360" i="3"/>
  <c r="L345" i="3"/>
  <c r="P345" i="3"/>
  <c r="Q331" i="3"/>
  <c r="S3" i="3"/>
  <c r="P331" i="3"/>
  <c r="L331" i="3"/>
  <c r="S2" i="3"/>
  <c r="S5" i="3"/>
  <c r="L369" i="3"/>
  <c r="L368" i="3"/>
  <c r="L334" i="3"/>
  <c r="L330" i="3"/>
  <c r="L329" i="3"/>
  <c r="L328" i="3"/>
  <c r="L378" i="3"/>
  <c r="L379" i="3"/>
  <c r="AA379" i="3"/>
  <c r="W379" i="3" s="1"/>
  <c r="P379" i="3"/>
  <c r="O379" i="3"/>
  <c r="AA378" i="3"/>
  <c r="W378" i="3" s="1"/>
  <c r="P378" i="3"/>
  <c r="O378" i="3"/>
  <c r="Q377" i="3"/>
  <c r="O377" i="3"/>
  <c r="P377" i="3"/>
  <c r="AA377" i="3"/>
  <c r="W377" i="3" s="1"/>
  <c r="AH377" i="3"/>
  <c r="AR377" i="3"/>
  <c r="AS377" i="3" s="1"/>
  <c r="AH378" i="3"/>
  <c r="AR378" i="3"/>
  <c r="AH379" i="3"/>
  <c r="AR379" i="3"/>
  <c r="AH380" i="3"/>
  <c r="AR380" i="3"/>
  <c r="AA380" i="3" s="1"/>
  <c r="W380" i="3" s="1"/>
  <c r="AH381" i="3"/>
  <c r="AR381" i="3"/>
  <c r="AA381" i="3" s="1"/>
  <c r="W381" i="3" s="1"/>
  <c r="AQ382" i="3"/>
  <c r="Y33" i="3"/>
  <c r="V33" i="3" s="1"/>
  <c r="P369" i="3"/>
  <c r="O369" i="3"/>
  <c r="P368" i="3"/>
  <c r="O368" i="3"/>
  <c r="P367" i="3"/>
  <c r="O367" i="3"/>
  <c r="P365" i="3"/>
  <c r="P346" i="3"/>
  <c r="O346" i="3"/>
  <c r="P334" i="3"/>
  <c r="O334" i="3"/>
  <c r="P333" i="3"/>
  <c r="O333" i="3"/>
  <c r="P332" i="3"/>
  <c r="O332" i="3"/>
  <c r="P330" i="3"/>
  <c r="O330" i="3"/>
  <c r="O329" i="3"/>
  <c r="O328" i="3"/>
  <c r="O327" i="3"/>
  <c r="P329" i="3"/>
  <c r="P328" i="3"/>
  <c r="L327" i="3"/>
  <c r="P327" i="3"/>
  <c r="S313" i="3"/>
  <c r="V315" i="3"/>
  <c r="AK315" i="3" s="1"/>
  <c r="P315" i="3"/>
  <c r="O315" i="3"/>
  <c r="V314" i="3"/>
  <c r="AK314" i="3" s="1"/>
  <c r="P314" i="3"/>
  <c r="O314" i="3"/>
  <c r="V313" i="3"/>
  <c r="AK313" i="3" s="1"/>
  <c r="P313" i="3"/>
  <c r="O313" i="3"/>
  <c r="V312" i="3"/>
  <c r="AK312" i="3" s="1"/>
  <c r="P312" i="3"/>
  <c r="O312" i="3"/>
  <c r="V311" i="3"/>
  <c r="AK311" i="3" s="1"/>
  <c r="AC311" i="3" s="1"/>
  <c r="P311" i="3"/>
  <c r="O311" i="3"/>
  <c r="AH346" i="3"/>
  <c r="AH334" i="3"/>
  <c r="AH333" i="3"/>
  <c r="AH332" i="3"/>
  <c r="AH330" i="3"/>
  <c r="AH329" i="3"/>
  <c r="AH328" i="3"/>
  <c r="AH327" i="3"/>
  <c r="AH315" i="3"/>
  <c r="AH314" i="3"/>
  <c r="AH313" i="3"/>
  <c r="AH312" i="3"/>
  <c r="AH311" i="3"/>
  <c r="AR346" i="3"/>
  <c r="AA346" i="3" s="1"/>
  <c r="W346" i="3" s="1"/>
  <c r="AR334" i="3"/>
  <c r="AA334" i="3" s="1"/>
  <c r="W334" i="3" s="1"/>
  <c r="AR333" i="3"/>
  <c r="AA333" i="3" s="1"/>
  <c r="W333" i="3" s="1"/>
  <c r="AR332" i="3"/>
  <c r="AA332" i="3" s="1"/>
  <c r="W332" i="3" s="1"/>
  <c r="AR330" i="3"/>
  <c r="AA330" i="3" s="1"/>
  <c r="W330" i="3" s="1"/>
  <c r="AR329" i="3"/>
  <c r="AA329" i="3" s="1"/>
  <c r="W329" i="3" s="1"/>
  <c r="AR328" i="3"/>
  <c r="AA328" i="3" s="1"/>
  <c r="W328" i="3" s="1"/>
  <c r="AR327" i="3"/>
  <c r="AA327" i="3" s="1"/>
  <c r="AR315" i="3"/>
  <c r="AA315" i="3" s="1"/>
  <c r="AR314" i="3"/>
  <c r="AA314" i="3" s="1"/>
  <c r="AR313" i="3"/>
  <c r="AA313" i="3" s="1"/>
  <c r="AT312" i="3"/>
  <c r="AR312" i="3"/>
  <c r="AA312" i="3" s="1"/>
  <c r="AR311" i="3"/>
  <c r="AA311" i="3" s="1"/>
  <c r="G10" i="14"/>
  <c r="G7" i="14"/>
  <c r="L377" i="3" a="1"/>
  <c r="L377" i="3" l="1"/>
  <c r="T2" i="3"/>
  <c r="Z315" i="3"/>
  <c r="W311" i="3"/>
  <c r="X311" i="3" s="1"/>
  <c r="Y311" i="3" s="1"/>
  <c r="AB315" i="3"/>
  <c r="AS378" i="3"/>
  <c r="AS379" i="3" s="1"/>
  <c r="AS380" i="3" s="1"/>
  <c r="AS381" i="3" s="1"/>
  <c r="AC313" i="3"/>
  <c r="AD313" i="3" s="1"/>
  <c r="R377" i="3"/>
  <c r="AF33" i="3"/>
  <c r="AR382" i="3"/>
  <c r="S311" i="3"/>
  <c r="AS311" i="3"/>
  <c r="AS312" i="3" s="1"/>
  <c r="AS313" i="3" s="1"/>
  <c r="AS314" i="3" s="1"/>
  <c r="AS315" i="3" s="1"/>
  <c r="AS327" i="3" s="1"/>
  <c r="AS328" i="3" s="1"/>
  <c r="AS329" i="3" s="1"/>
  <c r="AS330" i="3" s="1"/>
  <c r="M376" i="3" a="1"/>
  <c r="M376" i="3" l="1"/>
  <c r="Q378" i="3"/>
  <c r="R378" i="3" s="1"/>
  <c r="S378" i="3" s="1"/>
  <c r="T378" i="3" s="1"/>
  <c r="V378" i="3" s="1"/>
  <c r="AS332" i="3"/>
  <c r="AS333" i="3" s="1"/>
  <c r="AS334" i="3" s="1"/>
  <c r="AS346" i="3" s="1"/>
  <c r="AS347" i="3" s="1"/>
  <c r="AJ311" i="3"/>
  <c r="W312" i="3"/>
  <c r="X312" i="3" s="1"/>
  <c r="Y312" i="3" s="1"/>
  <c r="H9" i="14"/>
  <c r="H10" i="14" s="1"/>
  <c r="Q379" i="3" l="1"/>
  <c r="R379" i="3" s="1"/>
  <c r="S379" i="3" s="1"/>
  <c r="T379" i="3" s="1"/>
  <c r="V379" i="3" s="1"/>
  <c r="AS366" i="3"/>
  <c r="AS367" i="3" s="1"/>
  <c r="AS368" i="3" s="1"/>
  <c r="AS369" i="3" s="1"/>
  <c r="X378" i="3"/>
  <c r="AJ378" i="3" s="1"/>
  <c r="AK378" i="3"/>
  <c r="AJ312" i="3"/>
  <c r="W313" i="3"/>
  <c r="X313" i="3" s="1"/>
  <c r="Y313" i="3" s="1"/>
  <c r="I9" i="14"/>
  <c r="A4" i="14"/>
  <c r="E9" i="14"/>
  <c r="M275" i="3"/>
  <c r="L274" i="3"/>
  <c r="L275" i="3" s="1"/>
  <c r="AC306" i="3"/>
  <c r="S4" i="3"/>
  <c r="P302" i="3"/>
  <c r="R301" i="3"/>
  <c r="AK379" i="3" l="1"/>
  <c r="X379" i="3"/>
  <c r="J9" i="14"/>
  <c r="AJ379" i="3"/>
  <c r="W314" i="3"/>
  <c r="X314" i="3" s="1"/>
  <c r="Y314" i="3" s="1"/>
  <c r="AJ313" i="3"/>
  <c r="L299" i="3"/>
  <c r="O291" i="3"/>
  <c r="P291" i="3"/>
  <c r="AH292" i="3"/>
  <c r="AH291" i="3"/>
  <c r="AA291" i="3"/>
  <c r="W291" i="3" s="1"/>
  <c r="P294" i="3"/>
  <c r="P289" i="3"/>
  <c r="P280" i="3"/>
  <c r="P284" i="3"/>
  <c r="P283" i="3"/>
  <c r="P282" i="3"/>
  <c r="P281" i="3"/>
  <c r="L422" i="3" a="1"/>
  <c r="M422" i="3" a="1"/>
  <c r="L422" i="3" l="1"/>
  <c r="M422" i="3"/>
  <c r="S422" i="3"/>
  <c r="W315" i="3"/>
  <c r="X315" i="3" s="1"/>
  <c r="Y315" i="3" s="1"/>
  <c r="AJ314" i="3"/>
  <c r="L301" i="3"/>
  <c r="Q294" i="3"/>
  <c r="R288" i="3"/>
  <c r="AA280" i="3"/>
  <c r="T280" i="3"/>
  <c r="R280" i="3"/>
  <c r="L282" i="3"/>
  <c r="L283" i="3"/>
  <c r="L284" i="3"/>
  <c r="Y30" i="3"/>
  <c r="AF30" i="3" s="1"/>
  <c r="P301" i="3"/>
  <c r="O301" i="3"/>
  <c r="L300" i="3"/>
  <c r="L296" i="3"/>
  <c r="P295" i="3"/>
  <c r="O295" i="3"/>
  <c r="AA301" i="3"/>
  <c r="W301" i="3" s="1"/>
  <c r="AA300" i="3"/>
  <c r="W300" i="3" s="1"/>
  <c r="P300" i="3"/>
  <c r="O300" i="3"/>
  <c r="AA299" i="3"/>
  <c r="W299" i="3" s="1"/>
  <c r="P299" i="3"/>
  <c r="O299" i="3"/>
  <c r="L295" i="3"/>
  <c r="L289" i="3"/>
  <c r="Q281" i="3"/>
  <c r="X4" i="3"/>
  <c r="K144" i="6"/>
  <c r="K45" i="6"/>
  <c r="K54" i="6"/>
  <c r="K63" i="6"/>
  <c r="K72" i="6"/>
  <c r="K81" i="6"/>
  <c r="K90" i="6"/>
  <c r="K99" i="6"/>
  <c r="K135" i="6"/>
  <c r="K126" i="6"/>
  <c r="K117" i="6"/>
  <c r="K108" i="6"/>
  <c r="J54" i="6"/>
  <c r="J45" i="6"/>
  <c r="J72" i="6"/>
  <c r="J63" i="6"/>
  <c r="J81" i="6"/>
  <c r="J144" i="6"/>
  <c r="J135" i="6"/>
  <c r="J126" i="6"/>
  <c r="J117" i="6"/>
  <c r="J90" i="6"/>
  <c r="J99" i="6"/>
  <c r="J108" i="6"/>
  <c r="T292" i="3"/>
  <c r="Q292" i="3"/>
  <c r="L423" i="3" a="1"/>
  <c r="V422" i="3" l="1"/>
  <c r="X422" i="3" s="1"/>
  <c r="L423" i="3"/>
  <c r="W327" i="3"/>
  <c r="AJ315" i="3"/>
  <c r="O30" i="3"/>
  <c r="N30" i="3" s="1"/>
  <c r="V30" i="3"/>
  <c r="M423" i="3" a="1"/>
  <c r="M423" i="3" l="1"/>
  <c r="Q280" i="3"/>
  <c r="T288" i="3"/>
  <c r="V288" i="3" s="1"/>
  <c r="AK288" i="3" s="1"/>
  <c r="AC288" i="3" s="1"/>
  <c r="Q288" i="3"/>
  <c r="S288" i="3" s="1"/>
  <c r="AA296" i="3"/>
  <c r="W296" i="3" s="1"/>
  <c r="P296" i="3"/>
  <c r="O296" i="3"/>
  <c r="AA295" i="3"/>
  <c r="W295" i="3" s="1"/>
  <c r="AA292" i="3"/>
  <c r="P292" i="3"/>
  <c r="O292" i="3"/>
  <c r="AA288" i="3"/>
  <c r="W288" i="3" s="1"/>
  <c r="P288" i="3"/>
  <c r="O288" i="3"/>
  <c r="AA284" i="3"/>
  <c r="W284" i="3" s="1"/>
  <c r="O284" i="3"/>
  <c r="AA283" i="3"/>
  <c r="W283" i="3" s="1"/>
  <c r="O283" i="3"/>
  <c r="AA282" i="3"/>
  <c r="W282" i="3" s="1"/>
  <c r="O282" i="3"/>
  <c r="W280" i="3"/>
  <c r="O280" i="3"/>
  <c r="W248" i="3"/>
  <c r="Q248" i="3"/>
  <c r="P248" i="3"/>
  <c r="O248" i="3"/>
  <c r="L424" i="3" a="1"/>
  <c r="M405" i="3" a="1"/>
  <c r="M405" i="3" l="1"/>
  <c r="L424" i="3"/>
  <c r="AD423" i="3"/>
  <c r="AE423" i="3"/>
  <c r="Q406" i="3"/>
  <c r="R406" i="3" s="1"/>
  <c r="S406" i="3" s="1"/>
  <c r="T406" i="3" s="1"/>
  <c r="S405" i="3"/>
  <c r="W292" i="3"/>
  <c r="X288" i="3"/>
  <c r="W289" i="3" s="1"/>
  <c r="L406" i="3" a="1"/>
  <c r="M424" i="3" a="1"/>
  <c r="T405" i="3" l="1"/>
  <c r="V405" i="3" s="1"/>
  <c r="S429" i="3"/>
  <c r="M424" i="3"/>
  <c r="L406" i="3"/>
  <c r="AJ288" i="3"/>
  <c r="AH280" i="3"/>
  <c r="AQ302" i="3"/>
  <c r="V256" i="3"/>
  <c r="Y256" i="3" s="1"/>
  <c r="U162" i="3"/>
  <c r="T162" i="3"/>
  <c r="S162" i="3"/>
  <c r="M161" i="3"/>
  <c r="P161" i="3" s="1"/>
  <c r="A227" i="3"/>
  <c r="A228"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4" i="3"/>
  <c r="L244" i="3"/>
  <c r="W243" i="3"/>
  <c r="L243" i="3"/>
  <c r="W242" i="3"/>
  <c r="L242" i="3"/>
  <c r="W241" i="3"/>
  <c r="L241" i="3"/>
  <c r="W240" i="3"/>
  <c r="L240" i="3"/>
  <c r="W239" i="3"/>
  <c r="L239" i="3"/>
  <c r="W238" i="3"/>
  <c r="L238" i="3"/>
  <c r="W237" i="3"/>
  <c r="L237" i="3"/>
  <c r="W236" i="3"/>
  <c r="L236" i="3"/>
  <c r="W235" i="3"/>
  <c r="L235" i="3"/>
  <c r="W234" i="3"/>
  <c r="L234" i="3"/>
  <c r="W233" i="3"/>
  <c r="L233" i="3"/>
  <c r="AS230" i="3"/>
  <c r="AN230" i="3"/>
  <c r="AD230" i="3"/>
  <c r="AC230" i="3"/>
  <c r="M230" i="3"/>
  <c r="M229" i="3" s="1"/>
  <c r="M228" i="3" s="1"/>
  <c r="M227" i="3" s="1"/>
  <c r="M226" i="3" s="1"/>
  <c r="AR229" i="3"/>
  <c r="AR228" i="3"/>
  <c r="AR227" i="3"/>
  <c r="AC227" i="3"/>
  <c r="AR226" i="3"/>
  <c r="AE225" i="3"/>
  <c r="AT224" i="3"/>
  <c r="AR224" i="3"/>
  <c r="AA224" i="3" s="1"/>
  <c r="W224" i="3" s="1"/>
  <c r="AH224" i="3"/>
  <c r="P224" i="3"/>
  <c r="O224" i="3"/>
  <c r="L224" i="3"/>
  <c r="P223" i="3"/>
  <c r="R222" i="3"/>
  <c r="Q223" i="3" s="1"/>
  <c r="Q222" i="3"/>
  <c r="AT221" i="3"/>
  <c r="AR221" i="3"/>
  <c r="AA221" i="3" s="1"/>
  <c r="W221" i="3" s="1"/>
  <c r="AH221" i="3"/>
  <c r="R221" i="3"/>
  <c r="Q221" i="3"/>
  <c r="P221" i="3"/>
  <c r="O221" i="3"/>
  <c r="AT220" i="3"/>
  <c r="AR220" i="3"/>
  <c r="AA220" i="3" s="1"/>
  <c r="W220" i="3" s="1"/>
  <c r="AH220" i="3"/>
  <c r="P220" i="3"/>
  <c r="O220" i="3"/>
  <c r="AT219" i="3"/>
  <c r="AR219" i="3"/>
  <c r="AA219" i="3" s="1"/>
  <c r="W219" i="3" s="1"/>
  <c r="AH219" i="3"/>
  <c r="P219" i="3"/>
  <c r="O219" i="3"/>
  <c r="AT218" i="3"/>
  <c r="AR218" i="3"/>
  <c r="AA218" i="3" s="1"/>
  <c r="W218" i="3" s="1"/>
  <c r="AH218" i="3"/>
  <c r="R218" i="3"/>
  <c r="Q218" i="3"/>
  <c r="R347" i="3" s="1"/>
  <c r="P218" i="3"/>
  <c r="O218" i="3"/>
  <c r="AT217" i="3"/>
  <c r="AR217" i="3"/>
  <c r="AA217" i="3" s="1"/>
  <c r="W217" i="3" s="1"/>
  <c r="AH217" i="3"/>
  <c r="P217" i="3"/>
  <c r="O217" i="3"/>
  <c r="AB205" i="3"/>
  <c r="AC203" i="3"/>
  <c r="AH202" i="3"/>
  <c r="AA202" i="3"/>
  <c r="W202" i="3" s="1"/>
  <c r="P202" i="3"/>
  <c r="O202" i="3"/>
  <c r="AH201" i="3"/>
  <c r="AA201" i="3"/>
  <c r="W201" i="3" s="1"/>
  <c r="P201" i="3"/>
  <c r="O201" i="3"/>
  <c r="AQ200" i="3"/>
  <c r="AH200" i="3"/>
  <c r="AA200" i="3"/>
  <c r="W200" i="3" s="1"/>
  <c r="P200" i="3"/>
  <c r="O200" i="3"/>
  <c r="AQ199" i="3"/>
  <c r="AK199" i="3"/>
  <c r="AJ199" i="3"/>
  <c r="AH199" i="3"/>
  <c r="AA199" i="3"/>
  <c r="AQ198" i="3"/>
  <c r="AR198" i="3" s="1"/>
  <c r="AH198" i="3"/>
  <c r="AQ197" i="3"/>
  <c r="P196" i="3"/>
  <c r="AH195" i="3"/>
  <c r="AA195" i="3"/>
  <c r="W195" i="3" s="1"/>
  <c r="P195" i="3"/>
  <c r="O195" i="3"/>
  <c r="AH194" i="3"/>
  <c r="AA194" i="3"/>
  <c r="W194" i="3" s="1"/>
  <c r="P194" i="3"/>
  <c r="O194" i="3"/>
  <c r="AH193" i="3"/>
  <c r="AA193" i="3"/>
  <c r="W193" i="3" s="1"/>
  <c r="Q193" i="3"/>
  <c r="P193" i="3"/>
  <c r="O193" i="3"/>
  <c r="AH192" i="3"/>
  <c r="AA192" i="3"/>
  <c r="W192" i="3" s="1"/>
  <c r="P192" i="3"/>
  <c r="O192" i="3"/>
  <c r="AH191" i="3"/>
  <c r="AA191" i="3"/>
  <c r="W191" i="3" s="1"/>
  <c r="P191" i="3"/>
  <c r="O191" i="3"/>
  <c r="AH190" i="3"/>
  <c r="AA190" i="3"/>
  <c r="W190" i="3" s="1"/>
  <c r="P190" i="3"/>
  <c r="O190" i="3"/>
  <c r="AH189" i="3"/>
  <c r="AA189" i="3"/>
  <c r="W189" i="3" s="1"/>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P172" i="3"/>
  <c r="AH171" i="3"/>
  <c r="AA171" i="3"/>
  <c r="W171" i="3" s="1"/>
  <c r="P171" i="3"/>
  <c r="O171" i="3"/>
  <c r="R169" i="3"/>
  <c r="AR167" i="3"/>
  <c r="AH167" i="3"/>
  <c r="AA167" i="3"/>
  <c r="W167" i="3" s="1"/>
  <c r="R167" i="3"/>
  <c r="Q168" i="3" s="1"/>
  <c r="P167" i="3"/>
  <c r="O167" i="3"/>
  <c r="AN157" i="3"/>
  <c r="Y156" i="3"/>
  <c r="W156" i="3" s="1"/>
  <c r="Q156" i="3"/>
  <c r="O156" i="3"/>
  <c r="Y155" i="3"/>
  <c r="O155" i="3"/>
  <c r="L155" i="3"/>
  <c r="Y154" i="3"/>
  <c r="O154" i="3"/>
  <c r="L154" i="3"/>
  <c r="Y153" i="3"/>
  <c r="W153" i="3" s="1"/>
  <c r="O153" i="3"/>
  <c r="L153" i="3"/>
  <c r="Y152" i="3"/>
  <c r="W152" i="3" s="1"/>
  <c r="O152" i="3"/>
  <c r="L152" i="3"/>
  <c r="Y151" i="3"/>
  <c r="W151" i="3" s="1"/>
  <c r="O151" i="3"/>
  <c r="L151" i="3"/>
  <c r="Y150" i="3"/>
  <c r="W150" i="3" s="1"/>
  <c r="O150" i="3"/>
  <c r="L150" i="3"/>
  <c r="Y148" i="3"/>
  <c r="W148" i="3" s="1"/>
  <c r="O148" i="3"/>
  <c r="L148" i="3"/>
  <c r="Y147" i="3"/>
  <c r="W147" i="3" s="1"/>
  <c r="O147" i="3"/>
  <c r="L147" i="3"/>
  <c r="Q146" i="3"/>
  <c r="Q170" i="3" s="1"/>
  <c r="Y144" i="3"/>
  <c r="W144" i="3" s="1"/>
  <c r="R144" i="3"/>
  <c r="O144" i="3"/>
  <c r="L144" i="3"/>
  <c r="Y142" i="3"/>
  <c r="W142" i="3" s="1"/>
  <c r="O142" i="3"/>
  <c r="L142" i="3"/>
  <c r="Y141" i="3"/>
  <c r="W141" i="3" s="1"/>
  <c r="O141" i="3"/>
  <c r="L141" i="3"/>
  <c r="Y140" i="3"/>
  <c r="W140" i="3" s="1"/>
  <c r="O140" i="3"/>
  <c r="L140" i="3"/>
  <c r="Y139" i="3"/>
  <c r="W139" i="3" s="1"/>
  <c r="O139" i="3"/>
  <c r="L139" i="3"/>
  <c r="Y138" i="3"/>
  <c r="W138" i="3" s="1"/>
  <c r="O138" i="3"/>
  <c r="L138" i="3"/>
  <c r="Y137" i="3"/>
  <c r="O137" i="3"/>
  <c r="L137" i="3"/>
  <c r="Y136" i="3"/>
  <c r="O136" i="3"/>
  <c r="L136" i="3"/>
  <c r="AI135" i="3"/>
  <c r="Q135" i="3"/>
  <c r="Y128" i="3"/>
  <c r="R128" i="3"/>
  <c r="O128" i="3"/>
  <c r="W108" i="3"/>
  <c r="Y108" i="3" s="1"/>
  <c r="Y106" i="3"/>
  <c r="W106" i="3" s="1"/>
  <c r="AC106" i="3" s="1"/>
  <c r="AD106" i="3" s="1"/>
  <c r="Y105" i="3"/>
  <c r="W105" i="3" s="1"/>
  <c r="Y104" i="3"/>
  <c r="W104" i="3" s="1"/>
  <c r="Y103" i="3"/>
  <c r="W103" i="3" s="1"/>
  <c r="AC103" i="3" s="1"/>
  <c r="AD103" i="3" s="1"/>
  <c r="Y102" i="3"/>
  <c r="W102" i="3" s="1"/>
  <c r="Q101" i="3"/>
  <c r="AQ99" i="3"/>
  <c r="AQ102" i="3" s="1"/>
  <c r="AQ103" i="3" s="1"/>
  <c r="AQ104" i="3" s="1"/>
  <c r="AQ105" i="3" s="1"/>
  <c r="AQ106" i="3" s="1"/>
  <c r="Y99" i="3"/>
  <c r="R99" i="3"/>
  <c r="Q99" i="3"/>
  <c r="AB96" i="3"/>
  <c r="Z96" i="3"/>
  <c r="V96" i="3"/>
  <c r="W96" i="3" s="1"/>
  <c r="Y95" i="3"/>
  <c r="W95" i="3" s="1"/>
  <c r="Y94" i="3"/>
  <c r="W94" i="3" s="1"/>
  <c r="Y93" i="3"/>
  <c r="W93" i="3" s="1"/>
  <c r="Y92" i="3"/>
  <c r="W92" i="3" s="1"/>
  <c r="Y91" i="3"/>
  <c r="Q90" i="3"/>
  <c r="AQ88" i="3"/>
  <c r="AQ91" i="3" s="1"/>
  <c r="AQ92" i="3" s="1"/>
  <c r="AQ93" i="3" s="1"/>
  <c r="AQ94" i="3" s="1"/>
  <c r="AQ95" i="3" s="1"/>
  <c r="Y88" i="3"/>
  <c r="W88" i="3" s="1"/>
  <c r="R88" i="3"/>
  <c r="R78" i="3"/>
  <c r="Q79" i="3" s="1"/>
  <c r="R76" i="3"/>
  <c r="R74" i="3" s="1"/>
  <c r="Y74" i="3"/>
  <c r="Q74" i="3"/>
  <c r="AF72" i="3"/>
  <c r="Q72" i="3"/>
  <c r="Y70" i="3"/>
  <c r="R70" i="3"/>
  <c r="Y68" i="3"/>
  <c r="W68" i="3" s="1"/>
  <c r="R68" i="3"/>
  <c r="U65" i="3"/>
  <c r="AP62" i="3"/>
  <c r="AP63" i="3" s="1"/>
  <c r="AQ66" i="3" s="1"/>
  <c r="AQ67" i="3" s="1"/>
  <c r="AQ68" i="3" s="1"/>
  <c r="AQ73" i="3" s="1"/>
  <c r="AQ74" i="3" s="1"/>
  <c r="AQ75" i="3" s="1"/>
  <c r="AQ76" i="3" s="1"/>
  <c r="AQ77" i="3" s="1"/>
  <c r="AR77" i="3" s="1"/>
  <c r="AF55" i="3"/>
  <c r="Y55" i="3"/>
  <c r="W55" i="3" s="1"/>
  <c r="AJ54" i="3"/>
  <c r="AF53" i="3"/>
  <c r="Y53" i="3"/>
  <c r="L53" i="3"/>
  <c r="AF52" i="3"/>
  <c r="Y52" i="3"/>
  <c r="W52" i="3" s="1"/>
  <c r="L52" i="3"/>
  <c r="AF51" i="3"/>
  <c r="Y51" i="3"/>
  <c r="W51" i="3" s="1"/>
  <c r="Q51" i="3"/>
  <c r="AF48" i="3"/>
  <c r="Y48" i="3"/>
  <c r="W48" i="3" s="1"/>
  <c r="AF47" i="3"/>
  <c r="Y47" i="3"/>
  <c r="AB46" i="3"/>
  <c r="T46" i="3"/>
  <c r="V46" i="3" s="1"/>
  <c r="R46" i="3"/>
  <c r="Q47" i="3" s="1"/>
  <c r="Y45" i="3"/>
  <c r="W45" i="3" s="1"/>
  <c r="R45" i="3"/>
  <c r="Q46" i="3" s="1"/>
  <c r="Q45" i="3"/>
  <c r="AJ44" i="3"/>
  <c r="AE43" i="3"/>
  <c r="AF43" i="3" s="1"/>
  <c r="U43" i="3"/>
  <c r="AD42" i="3"/>
  <c r="AE42" i="3" s="1"/>
  <c r="M42" i="3"/>
  <c r="T41" i="3"/>
  <c r="V41" i="3" s="1"/>
  <c r="P41" i="3"/>
  <c r="Y29" i="3"/>
  <c r="AF29" i="3" s="1"/>
  <c r="Y28" i="3"/>
  <c r="AF28" i="3" s="1"/>
  <c r="Y27" i="3"/>
  <c r="AF27" i="3" s="1"/>
  <c r="Y26" i="3"/>
  <c r="AF26" i="3" s="1"/>
  <c r="Y25" i="3"/>
  <c r="AF25" i="3" s="1"/>
  <c r="Y24" i="3"/>
  <c r="AF24"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92"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L89" i="3" a="1"/>
  <c r="M406" i="3" a="1"/>
  <c r="M69" i="3" a="1"/>
  <c r="L71" i="3" a="1"/>
  <c r="M67" i="3" a="1"/>
  <c r="T429" i="3" l="1"/>
  <c r="V429" i="3" s="1"/>
  <c r="AE405" i="3"/>
  <c r="AC405" i="3" s="1"/>
  <c r="X405" i="3"/>
  <c r="AD405" i="3" s="1"/>
  <c r="M406" i="3"/>
  <c r="V406" i="3"/>
  <c r="Q407" i="3"/>
  <c r="R407" i="3" s="1"/>
  <c r="AD424" i="3"/>
  <c r="AE424" i="3"/>
  <c r="M67" i="3"/>
  <c r="M69" i="3"/>
  <c r="L71" i="3"/>
  <c r="L89" i="3"/>
  <c r="V20" i="3"/>
  <c r="R191" i="3" s="1"/>
  <c r="V26" i="3"/>
  <c r="V11" i="3"/>
  <c r="AF18" i="3"/>
  <c r="V12" i="3"/>
  <c r="R156" i="3" s="1"/>
  <c r="S46" i="3"/>
  <c r="Q5" i="3"/>
  <c r="AR199" i="3"/>
  <c r="AR200" i="3" s="1"/>
  <c r="Y57" i="3"/>
  <c r="AF13" i="3"/>
  <c r="V24" i="3"/>
  <c r="S99" i="3"/>
  <c r="T99" i="3" s="1"/>
  <c r="V99" i="3" s="1"/>
  <c r="AI99" i="3" s="1"/>
  <c r="V27" i="3"/>
  <c r="V21" i="3"/>
  <c r="S45" i="3"/>
  <c r="T45" i="3" s="1"/>
  <c r="V45" i="3" s="1"/>
  <c r="AI45" i="3" s="1"/>
  <c r="V25" i="3"/>
  <c r="V14" i="3"/>
  <c r="V15" i="3"/>
  <c r="V29" i="3"/>
  <c r="R51" i="3"/>
  <c r="S51" i="3" s="1"/>
  <c r="T51" i="3" s="1"/>
  <c r="V51"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5"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8" i="3"/>
  <c r="V218" i="3" s="1"/>
  <c r="AK218" i="3" s="1"/>
  <c r="O381" i="1"/>
  <c r="Q381" i="1" s="1"/>
  <c r="AC85" i="2"/>
  <c r="AD85" i="2" s="1"/>
  <c r="X85" i="2"/>
  <c r="S222"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4" i="3"/>
  <c r="AD104" i="3" s="1"/>
  <c r="Q73" i="12"/>
  <c r="Q191" i="12"/>
  <c r="P191" i="12"/>
  <c r="P193" i="12" s="1"/>
  <c r="R252" i="1"/>
  <c r="S252" i="1" s="1"/>
  <c r="P252" i="1"/>
  <c r="Q252" i="1" s="1"/>
  <c r="V3" i="2"/>
  <c r="S177" i="2"/>
  <c r="T177" i="2" s="1"/>
  <c r="V177" i="2" s="1"/>
  <c r="AI177" i="2" s="1"/>
  <c r="R358" i="12"/>
  <c r="P358" i="12"/>
  <c r="Z95" i="3"/>
  <c r="W91" i="3"/>
  <c r="P482" i="12"/>
  <c r="P611" i="1"/>
  <c r="R659" i="1"/>
  <c r="X659" i="1" s="1"/>
  <c r="Q482" i="12"/>
  <c r="W141" i="2"/>
  <c r="AC105" i="3"/>
  <c r="AD105"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80" i="3"/>
  <c r="P232" i="1"/>
  <c r="Q232" i="1"/>
  <c r="W60" i="2"/>
  <c r="X60" i="2" s="1"/>
  <c r="Y61" i="2"/>
  <c r="R168" i="3"/>
  <c r="S168" i="3" s="1"/>
  <c r="R171"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8" i="3"/>
  <c r="N37" i="1"/>
  <c r="P37" i="1" s="1"/>
  <c r="N38" i="1"/>
  <c r="R505" i="12"/>
  <c r="S505" i="12" s="1"/>
  <c r="P505" i="12"/>
  <c r="Q505" i="12" s="1"/>
  <c r="M402" i="1"/>
  <c r="X207" i="2"/>
  <c r="AC102" i="3"/>
  <c r="AD102"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4" i="3"/>
  <c r="Y75" i="3"/>
  <c r="G27" i="6"/>
  <c r="I27" i="6" s="1"/>
  <c r="K19" i="8"/>
  <c r="D19" i="8"/>
  <c r="Q14" i="12"/>
  <c r="Q17" i="12" s="1"/>
  <c r="P14" i="12"/>
  <c r="P17" i="12" s="1"/>
  <c r="Q123" i="12"/>
  <c r="Q127" i="12" s="1"/>
  <c r="P127" i="12"/>
  <c r="R608" i="1"/>
  <c r="X608" i="1" s="1"/>
  <c r="Q44" i="12"/>
  <c r="P44" i="12"/>
  <c r="P47" i="12" s="1"/>
  <c r="S309" i="12"/>
  <c r="AC90" i="2"/>
  <c r="AD90" i="2" s="1"/>
  <c r="W128" i="3"/>
  <c r="Z128" i="3"/>
  <c r="Z136" i="3" s="1"/>
  <c r="Z137" i="3" s="1"/>
  <c r="Z138" i="3" s="1"/>
  <c r="Z139" i="3" s="1"/>
  <c r="Z140" i="3" s="1"/>
  <c r="Z141" i="3" s="1"/>
  <c r="Z142" i="3" s="1"/>
  <c r="Z144" i="3" s="1"/>
  <c r="Z147"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7" i="3"/>
  <c r="W53" i="3"/>
  <c r="Y79" i="3"/>
  <c r="D23" i="7"/>
  <c r="B18" i="7" s="1"/>
  <c r="R308" i="12"/>
  <c r="S308" i="12" s="1"/>
  <c r="P308" i="12"/>
  <c r="Q308" i="12" s="1"/>
  <c r="N617" i="1"/>
  <c r="P617" i="1" s="1"/>
  <c r="L644" i="1"/>
  <c r="R661" i="1"/>
  <c r="X661" i="1" s="1"/>
  <c r="W99" i="3"/>
  <c r="Z106" i="3"/>
  <c r="W154"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7"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8" i="3" s="1"/>
  <c r="S248"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4"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21"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6"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8" i="3"/>
  <c r="AR230"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L407" i="3" a="1"/>
  <c r="S407" i="3" l="1"/>
  <c r="T407" i="3" s="1"/>
  <c r="Q411" i="3"/>
  <c r="L407" i="3"/>
  <c r="AE406" i="3"/>
  <c r="AC406" i="3" s="1"/>
  <c r="X406" i="3"/>
  <c r="AD406" i="3" s="1"/>
  <c r="S292" i="3"/>
  <c r="V292" i="3" s="1"/>
  <c r="AK292" i="3" s="1"/>
  <c r="Q52" i="3"/>
  <c r="R52" i="3" s="1"/>
  <c r="S52" i="3" s="1"/>
  <c r="T52" i="3" s="1"/>
  <c r="AB45" i="3"/>
  <c r="AD46" i="3" s="1"/>
  <c r="AB51" i="3"/>
  <c r="AC51" i="3" s="1"/>
  <c r="R193" i="3"/>
  <c r="Q194" i="3" s="1"/>
  <c r="R194" i="3" s="1"/>
  <c r="T248" i="3"/>
  <c r="V248" i="3" s="1"/>
  <c r="X248" i="3" s="1"/>
  <c r="Y248" i="3"/>
  <c r="X45" i="3"/>
  <c r="W46" i="3" s="1"/>
  <c r="X46" i="3" s="1"/>
  <c r="W47"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21" i="3"/>
  <c r="V221" i="3" s="1"/>
  <c r="Y221" i="3"/>
  <c r="G29" i="6"/>
  <c r="I29" i="6" s="1"/>
  <c r="G67" i="6"/>
  <c r="I67" i="6" s="1"/>
  <c r="I72" i="6" s="1"/>
  <c r="C173" i="6" s="1"/>
  <c r="Q195" i="12"/>
  <c r="S475" i="12"/>
  <c r="Q19" i="12"/>
  <c r="P136" i="1"/>
  <c r="R646" i="1"/>
  <c r="X646" i="1" s="1"/>
  <c r="P195" i="12"/>
  <c r="P454" i="12"/>
  <c r="P457" i="12" s="1"/>
  <c r="R457" i="12"/>
  <c r="S156" i="3"/>
  <c r="T156" i="3" s="1"/>
  <c r="Q167" i="3"/>
  <c r="S167"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72" i="3"/>
  <c r="R369" i="12"/>
  <c r="P366" i="12"/>
  <c r="P369" i="12" s="1"/>
  <c r="S37" i="2"/>
  <c r="T37" i="2" s="1"/>
  <c r="Q38" i="2"/>
  <c r="R38" i="2" s="1"/>
  <c r="K645" i="1"/>
  <c r="M645" i="1" s="1"/>
  <c r="N645" i="1" s="1"/>
  <c r="P645" i="1" s="1"/>
  <c r="M644" i="1"/>
  <c r="N644" i="1" s="1"/>
  <c r="P644" i="1" s="1"/>
  <c r="Q40" i="12"/>
  <c r="T168" i="3"/>
  <c r="V168" i="3" s="1"/>
  <c r="AK168" i="3" s="1"/>
  <c r="Y168" i="3"/>
  <c r="S279" i="12"/>
  <c r="S283" i="12" s="1"/>
  <c r="R283" i="12"/>
  <c r="R292" i="12" s="1"/>
  <c r="Q77" i="1"/>
  <c r="Q134" i="1"/>
  <c r="Q136" i="1" s="1"/>
  <c r="D20" i="8"/>
  <c r="AA74" i="3"/>
  <c r="T74" i="3"/>
  <c r="V74" i="3" s="1"/>
  <c r="AI74" i="3" s="1"/>
  <c r="P287" i="12"/>
  <c r="P290" i="12" s="1"/>
  <c r="R290" i="12"/>
  <c r="S290" i="12"/>
  <c r="Q287" i="12"/>
  <c r="Q290" i="12" s="1"/>
  <c r="AC99" i="3"/>
  <c r="AD99" i="3" s="1"/>
  <c r="X99"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51" i="3"/>
  <c r="X51" i="3"/>
  <c r="AH51" i="3" s="1"/>
  <c r="P263" i="1"/>
  <c r="R344" i="12"/>
  <c r="T335" i="12"/>
  <c r="R513" i="12"/>
  <c r="P510" i="12"/>
  <c r="P513" i="12" s="1"/>
  <c r="Q192" i="3"/>
  <c r="R192" i="3" s="1"/>
  <c r="S192" i="3" s="1"/>
  <c r="S191"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22" i="3"/>
  <c r="V222" i="3" s="1"/>
  <c r="AK222" i="3" s="1"/>
  <c r="Y222"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8" i="3"/>
  <c r="AJ218"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M407" i="3" a="1"/>
  <c r="M407" i="3" l="1"/>
  <c r="V407" i="3"/>
  <c r="AC45" i="3"/>
  <c r="AE45" i="3" s="1"/>
  <c r="AD45" i="3"/>
  <c r="Q53" i="3"/>
  <c r="R53" i="3" s="1"/>
  <c r="S53" i="3" s="1"/>
  <c r="T53" i="3" s="1"/>
  <c r="X292" i="3"/>
  <c r="W294" i="3" s="1"/>
  <c r="Z248" i="3"/>
  <c r="Z168" i="3"/>
  <c r="AH45" i="3"/>
  <c r="S193" i="3"/>
  <c r="Y193" i="3" s="1"/>
  <c r="Z221" i="3"/>
  <c r="Q196" i="3"/>
  <c r="S172" i="3"/>
  <c r="Y167" i="3"/>
  <c r="T167" i="3"/>
  <c r="V167" i="3" s="1"/>
  <c r="AC87" i="2"/>
  <c r="AD87" i="2" s="1"/>
  <c r="AD93" i="2" s="1"/>
  <c r="R87" i="2"/>
  <c r="O393" i="1"/>
  <c r="Q393" i="1" s="1"/>
  <c r="H193" i="6"/>
  <c r="D193" i="6"/>
  <c r="D199" i="6" s="1"/>
  <c r="D175" i="6"/>
  <c r="V156" i="3"/>
  <c r="AC156" i="3"/>
  <c r="AD156" i="3" s="1"/>
  <c r="P430" i="12"/>
  <c r="T421" i="12"/>
  <c r="R629" i="12"/>
  <c r="R631" i="12" s="1"/>
  <c r="P626" i="12"/>
  <c r="P629" i="12" s="1"/>
  <c r="P631" i="12" s="1"/>
  <c r="AB52" i="3"/>
  <c r="AC52" i="3" s="1"/>
  <c r="V52" i="3"/>
  <c r="X74" i="3"/>
  <c r="R47"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4" i="3"/>
  <c r="AD74" i="3" s="1"/>
  <c r="AC74" i="3"/>
  <c r="T191" i="3"/>
  <c r="V191" i="3" s="1"/>
  <c r="Y191" i="3"/>
  <c r="T192" i="3"/>
  <c r="V192" i="3" s="1"/>
  <c r="Y192"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4" i="3"/>
  <c r="Q195" i="3"/>
  <c r="S195" i="3" s="1"/>
  <c r="I81" i="6"/>
  <c r="C172" i="6" s="1"/>
  <c r="D172" i="6" s="1"/>
  <c r="T450" i="12"/>
  <c r="P459" i="12"/>
  <c r="Q631" i="12"/>
  <c r="R631" i="1"/>
  <c r="X631" i="1" s="1"/>
  <c r="Y631" i="1"/>
  <c r="V37" i="2"/>
  <c r="AB37" i="2"/>
  <c r="AC37" i="2" s="1"/>
  <c r="Q484" i="12"/>
  <c r="Q485" i="12" s="1"/>
  <c r="S485" i="12"/>
  <c r="I395" i="1"/>
  <c r="M395" i="1"/>
  <c r="Z222"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101" i="3"/>
  <c r="AH99" i="3"/>
  <c r="R205" i="12"/>
  <c r="AK221" i="3"/>
  <c r="AD221" i="3" s="1"/>
  <c r="AD222" i="3" s="1"/>
  <c r="X221" i="3"/>
  <c r="W222" i="3" s="1"/>
  <c r="X407" i="3" l="1"/>
  <c r="AD407" i="3" s="1"/>
  <c r="AE407" i="3"/>
  <c r="AC407" i="3" s="1"/>
  <c r="AE46" i="3"/>
  <c r="Q70" i="3"/>
  <c r="Z191" i="3"/>
  <c r="AJ292" i="3"/>
  <c r="AB292" i="3"/>
  <c r="T193" i="3"/>
  <c r="V193" i="3" s="1"/>
  <c r="Z193" i="3" s="1"/>
  <c r="Z192" i="3"/>
  <c r="AK192" i="3"/>
  <c r="X192" i="3"/>
  <c r="AJ192" i="3" s="1"/>
  <c r="AJ221" i="3"/>
  <c r="X222" i="3"/>
  <c r="Q56" i="2"/>
  <c r="S56" i="2" s="1"/>
  <c r="T56" i="2" s="1"/>
  <c r="S39" i="2"/>
  <c r="T39" i="2" s="1"/>
  <c r="S335" i="1"/>
  <c r="T335" i="1" s="1"/>
  <c r="M341" i="1" s="1"/>
  <c r="N395" i="1"/>
  <c r="L396" i="1"/>
  <c r="J395" i="1"/>
  <c r="P270" i="1"/>
  <c r="Q270" i="1"/>
  <c r="S374" i="1"/>
  <c r="T375" i="1"/>
  <c r="W156" i="2"/>
  <c r="AH154" i="2"/>
  <c r="AK191" i="3"/>
  <c r="X191" i="3"/>
  <c r="AJ191" i="3" s="1"/>
  <c r="L612" i="1"/>
  <c r="AI156" i="3"/>
  <c r="X156" i="3"/>
  <c r="AH156" i="3" s="1"/>
  <c r="S380" i="1"/>
  <c r="T381" i="1"/>
  <c r="S393" i="1"/>
  <c r="AK167" i="3"/>
  <c r="AD167" i="3" s="1"/>
  <c r="AD168" i="3" s="1"/>
  <c r="X167" i="3"/>
  <c r="Q387" i="1"/>
  <c r="S356" i="1"/>
  <c r="T356" i="1" s="1"/>
  <c r="Y172" i="3"/>
  <c r="T172" i="3"/>
  <c r="V172" i="3" s="1"/>
  <c r="AK172" i="3" s="1"/>
  <c r="V38" i="2"/>
  <c r="AB38" i="2"/>
  <c r="AC38" i="2" s="1"/>
  <c r="AC101" i="3"/>
  <c r="AD101" i="3" s="1"/>
  <c r="AD107" i="3" s="1"/>
  <c r="R101" i="3"/>
  <c r="Q88" i="2"/>
  <c r="R88" i="2" s="1"/>
  <c r="S87" i="2"/>
  <c r="T87" i="2" s="1"/>
  <c r="V87" i="2" s="1"/>
  <c r="H208" i="6"/>
  <c r="D208" i="6"/>
  <c r="R209" i="2"/>
  <c r="S209" i="2" s="1"/>
  <c r="T209" i="2" s="1"/>
  <c r="V209" i="2" s="1"/>
  <c r="AI209" i="2" s="1"/>
  <c r="AB209" i="2" s="1"/>
  <c r="AB210" i="2" s="1"/>
  <c r="AB211" i="2" s="1"/>
  <c r="AB212" i="2" s="1"/>
  <c r="Y195" i="3"/>
  <c r="T195" i="3"/>
  <c r="V195" i="3" s="1"/>
  <c r="S337" i="1"/>
  <c r="Q337" i="1"/>
  <c r="S47" i="3"/>
  <c r="Q48" i="3"/>
  <c r="R48" i="3" s="1"/>
  <c r="S338" i="1"/>
  <c r="Q338" i="1"/>
  <c r="T194" i="3"/>
  <c r="V194" i="3" s="1"/>
  <c r="Y194" i="3"/>
  <c r="AH74" i="3"/>
  <c r="W79" i="3"/>
  <c r="H200" i="6"/>
  <c r="H199" i="6"/>
  <c r="H206" i="6"/>
  <c r="J403" i="1"/>
  <c r="L404" i="1"/>
  <c r="N403" i="1"/>
  <c r="O403" i="1" s="1"/>
  <c r="Q403" i="1" s="1"/>
  <c r="S403" i="1" s="1"/>
  <c r="Z167" i="3"/>
  <c r="S336" i="1"/>
  <c r="Q336" i="1"/>
  <c r="AI52" i="3"/>
  <c r="X52" i="3"/>
  <c r="AH52" i="3" s="1"/>
  <c r="H194" i="6"/>
  <c r="H207" i="6" s="1"/>
  <c r="D174" i="6"/>
  <c r="D194" i="6"/>
  <c r="X37" i="2"/>
  <c r="AH37" i="2" s="1"/>
  <c r="AI37" i="2"/>
  <c r="T65" i="2"/>
  <c r="V65" i="2" s="1"/>
  <c r="AA65" i="2"/>
  <c r="AI181" i="2"/>
  <c r="X181" i="2"/>
  <c r="AI180" i="2"/>
  <c r="X180" i="2"/>
  <c r="AH180" i="2" s="1"/>
  <c r="Q34" i="2"/>
  <c r="R34" i="2" s="1"/>
  <c r="S33" i="2"/>
  <c r="V53" i="3"/>
  <c r="AB53" i="3"/>
  <c r="AC53" i="3" s="1"/>
  <c r="L69" i="3" a="1"/>
  <c r="AD422" i="3" l="1"/>
  <c r="AE422" i="3"/>
  <c r="L69" i="3"/>
  <c r="S70" i="3"/>
  <c r="T70" i="3" s="1"/>
  <c r="AB70" i="3" s="1"/>
  <c r="AC70" i="3" s="1"/>
  <c r="V70" i="3"/>
  <c r="AI70" i="3" s="1"/>
  <c r="X193" i="3"/>
  <c r="AJ193" i="3" s="1"/>
  <c r="AK193" i="3"/>
  <c r="AI53" i="3"/>
  <c r="X53" i="3"/>
  <c r="AH53"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101" i="3"/>
  <c r="T101" i="3" s="1"/>
  <c r="V101" i="3" s="1"/>
  <c r="Q102" i="3"/>
  <c r="R102" i="3" s="1"/>
  <c r="S48" i="3"/>
  <c r="Q55" i="3"/>
  <c r="R55" i="3" s="1"/>
  <c r="AB56" i="2"/>
  <c r="AC56" i="2" s="1"/>
  <c r="V56" i="2"/>
  <c r="AI56" i="2" s="1"/>
  <c r="R156" i="2"/>
  <c r="O395" i="1"/>
  <c r="Q395" i="1" s="1"/>
  <c r="AB47" i="3"/>
  <c r="T47" i="3"/>
  <c r="V47" i="3" s="1"/>
  <c r="AJ222" i="3"/>
  <c r="W223" i="3"/>
  <c r="AI38" i="2"/>
  <c r="X38" i="2"/>
  <c r="AH38" i="2" s="1"/>
  <c r="AK194" i="3"/>
  <c r="X194" i="3"/>
  <c r="AJ194" i="3" s="1"/>
  <c r="D206" i="6"/>
  <c r="D209" i="6" s="1"/>
  <c r="D200" i="6"/>
  <c r="D201" i="6" s="1"/>
  <c r="N341" i="1"/>
  <c r="O341" i="1" s="1"/>
  <c r="Q341" i="1" s="1"/>
  <c r="S341" i="1" s="1"/>
  <c r="L342" i="1"/>
  <c r="N342" i="1" s="1"/>
  <c r="O342" i="1" s="1"/>
  <c r="Q342" i="1" s="1"/>
  <c r="S342" i="1" s="1"/>
  <c r="S343" i="1" s="1"/>
  <c r="V39" i="2"/>
  <c r="AB39" i="2"/>
  <c r="AC39" i="2" s="1"/>
  <c r="Z195" i="3"/>
  <c r="I404" i="1"/>
  <c r="N404" i="1"/>
  <c r="O404" i="1" s="1"/>
  <c r="Q404" i="1" s="1"/>
  <c r="S404" i="1" s="1"/>
  <c r="R405" i="1" s="1"/>
  <c r="S405" i="1" s="1"/>
  <c r="R406" i="1" s="1"/>
  <c r="S406" i="1" s="1"/>
  <c r="R407" i="1" s="1"/>
  <c r="AI87" i="2"/>
  <c r="X87" i="2"/>
  <c r="AH87" i="2" s="1"/>
  <c r="S34" i="2"/>
  <c r="Q41" i="2"/>
  <c r="R41" i="2" s="1"/>
  <c r="AH181" i="2"/>
  <c r="W182" i="2"/>
  <c r="R79" i="3"/>
  <c r="AI65" i="2"/>
  <c r="X65" i="2"/>
  <c r="AH65" i="2" s="1"/>
  <c r="Z194" i="3"/>
  <c r="Z172" i="3"/>
  <c r="W168" i="3"/>
  <c r="X168" i="3" s="1"/>
  <c r="AJ167" i="3"/>
  <c r="X195" i="3"/>
  <c r="W196" i="3" s="1"/>
  <c r="AK195" i="3"/>
  <c r="X209" i="2"/>
  <c r="AH209" i="2" s="1"/>
  <c r="AE408" i="3" l="1"/>
  <c r="AD408" i="3"/>
  <c r="S79" i="3"/>
  <c r="AA79" i="3" s="1"/>
  <c r="Q302" i="3"/>
  <c r="S55" i="3"/>
  <c r="Q68" i="3"/>
  <c r="Q103" i="3"/>
  <c r="R103" i="3" s="1"/>
  <c r="S102" i="3"/>
  <c r="T102" i="3" s="1"/>
  <c r="V102" i="3" s="1"/>
  <c r="M397" i="1"/>
  <c r="S344" i="1"/>
  <c r="T344" i="1" s="1"/>
  <c r="M345" i="1" s="1"/>
  <c r="AI88" i="2"/>
  <c r="X88" i="2"/>
  <c r="AH88" i="2" s="1"/>
  <c r="AD33" i="2"/>
  <c r="AE33" i="2" s="1"/>
  <c r="AC33" i="2"/>
  <c r="M407" i="1"/>
  <c r="W170" i="3"/>
  <c r="AJ168" i="3"/>
  <c r="AD65" i="2"/>
  <c r="AI101" i="3"/>
  <c r="X101" i="3"/>
  <c r="AH101" i="3" s="1"/>
  <c r="AJ195" i="3"/>
  <c r="S89" i="2"/>
  <c r="T89" i="2" s="1"/>
  <c r="V89" i="2" s="1"/>
  <c r="Q90" i="2"/>
  <c r="R90" i="2" s="1"/>
  <c r="R182" i="2"/>
  <c r="AI33" i="2"/>
  <c r="X33" i="2"/>
  <c r="AH33" i="2" s="1"/>
  <c r="Q54" i="2"/>
  <c r="S54" i="2" s="1"/>
  <c r="S41" i="2"/>
  <c r="AB34" i="2"/>
  <c r="T34" i="2"/>
  <c r="V34" i="2" s="1"/>
  <c r="T48" i="3"/>
  <c r="V48" i="3" s="1"/>
  <c r="AB48" i="3"/>
  <c r="X39" i="2"/>
  <c r="AH39" i="2" s="1"/>
  <c r="AI39" i="2"/>
  <c r="Y613" i="1"/>
  <c r="R613" i="1"/>
  <c r="X613" i="1" s="1"/>
  <c r="Y612" i="1"/>
  <c r="R612" i="1"/>
  <c r="X612" i="1" s="1"/>
  <c r="R223" i="3"/>
  <c r="AI47" i="3"/>
  <c r="X47" i="3"/>
  <c r="AH47" i="3" s="1"/>
  <c r="AD47" i="3"/>
  <c r="AE47" i="3" s="1"/>
  <c r="AC47" i="3"/>
  <c r="S395" i="1"/>
  <c r="S156" i="2"/>
  <c r="T156" i="2" s="1"/>
  <c r="V156" i="2" s="1"/>
  <c r="Q157" i="2"/>
  <c r="S157" i="2" s="1"/>
  <c r="T157" i="2" s="1"/>
  <c r="V157" i="2" s="1"/>
  <c r="L67" i="3" a="1"/>
  <c r="L67" i="3" l="1"/>
  <c r="S68" i="3"/>
  <c r="T79" i="3"/>
  <c r="V79" i="3" s="1"/>
  <c r="AC79" i="3" s="1"/>
  <c r="AD34" i="2"/>
  <c r="AC34" i="2"/>
  <c r="AE34" i="2" s="1"/>
  <c r="T41" i="2"/>
  <c r="V41" i="2" s="1"/>
  <c r="AB41" i="2"/>
  <c r="L347" i="1"/>
  <c r="N345" i="1"/>
  <c r="O345" i="1" s="1"/>
  <c r="Q345" i="1" s="1"/>
  <c r="L346" i="1"/>
  <c r="N346" i="1" s="1"/>
  <c r="O346" i="1" s="1"/>
  <c r="Q346" i="1" s="1"/>
  <c r="S346" i="1" s="1"/>
  <c r="T346" i="1" s="1"/>
  <c r="M347" i="1" s="1"/>
  <c r="AI102" i="3"/>
  <c r="X102" i="3"/>
  <c r="AH102" i="3" s="1"/>
  <c r="AA54" i="2"/>
  <c r="T54" i="2"/>
  <c r="V54" i="2" s="1"/>
  <c r="AI156" i="2"/>
  <c r="AB156" i="2" s="1"/>
  <c r="X156" i="2"/>
  <c r="AH156" i="2" s="1"/>
  <c r="S182" i="2"/>
  <c r="T182" i="2" s="1"/>
  <c r="V182" i="2" s="1"/>
  <c r="Q186" i="2"/>
  <c r="R186" i="2" s="1"/>
  <c r="S186" i="2" s="1"/>
  <c r="T186" i="2" s="1"/>
  <c r="V186" i="2" s="1"/>
  <c r="J397" i="1"/>
  <c r="L398" i="1"/>
  <c r="N397" i="1"/>
  <c r="Q104" i="3"/>
  <c r="R104" i="3" s="1"/>
  <c r="S103" i="3"/>
  <c r="T103" i="3" s="1"/>
  <c r="V103" i="3" s="1"/>
  <c r="R170" i="3"/>
  <c r="AC48" i="3"/>
  <c r="AE48" i="3" s="1"/>
  <c r="AD48" i="3"/>
  <c r="N407" i="1"/>
  <c r="O407" i="1" s="1"/>
  <c r="Q407" i="1" s="1"/>
  <c r="S407" i="1" s="1"/>
  <c r="L409" i="1"/>
  <c r="J407" i="1"/>
  <c r="AB79" i="3"/>
  <c r="AI89" i="2"/>
  <c r="X89" i="2"/>
  <c r="AH89" i="2" s="1"/>
  <c r="T68" i="3"/>
  <c r="V68" i="3" s="1"/>
  <c r="AA68" i="3"/>
  <c r="AI48" i="3"/>
  <c r="X48" i="3"/>
  <c r="AH48" i="3" s="1"/>
  <c r="AI34" i="2"/>
  <c r="X34" i="2"/>
  <c r="AH34" i="2" s="1"/>
  <c r="AI157" i="2"/>
  <c r="X157" i="2"/>
  <c r="Q91" i="2"/>
  <c r="R91" i="2" s="1"/>
  <c r="S90" i="2"/>
  <c r="T90" i="2" s="1"/>
  <c r="V90" i="2" s="1"/>
  <c r="S223" i="3"/>
  <c r="R196" i="3"/>
  <c r="AB55" i="3"/>
  <c r="T55" i="3"/>
  <c r="V55" i="3" s="1"/>
  <c r="AD409" i="3" l="1"/>
  <c r="AE409" i="3"/>
  <c r="X79" i="3"/>
  <c r="AH79" i="3" s="1"/>
  <c r="AI79" i="3"/>
  <c r="AK248" i="3"/>
  <c r="AD248" i="3" s="1"/>
  <c r="AJ248" i="3"/>
  <c r="S104" i="3"/>
  <c r="T104" i="3" s="1"/>
  <c r="V104" i="3" s="1"/>
  <c r="Q105" i="3"/>
  <c r="R105" i="3" s="1"/>
  <c r="AI182" i="2"/>
  <c r="X182" i="2"/>
  <c r="AH182" i="2" s="1"/>
  <c r="O397" i="1"/>
  <c r="Q397" i="1" s="1"/>
  <c r="AI54" i="2"/>
  <c r="X54" i="2"/>
  <c r="AC41" i="2"/>
  <c r="AD41" i="2"/>
  <c r="S170" i="3"/>
  <c r="Q171" i="3"/>
  <c r="S171" i="3" s="1"/>
  <c r="AI90" i="2"/>
  <c r="X90" i="2"/>
  <c r="AH90" i="2" s="1"/>
  <c r="Q92" i="2"/>
  <c r="R92" i="2" s="1"/>
  <c r="S91" i="2"/>
  <c r="T91" i="2" s="1"/>
  <c r="V91" i="2" s="1"/>
  <c r="W158" i="2"/>
  <c r="X158" i="2" s="1"/>
  <c r="AH157" i="2"/>
  <c r="AI186" i="2"/>
  <c r="X186" i="2"/>
  <c r="AH186" i="2" s="1"/>
  <c r="AC68" i="3"/>
  <c r="AB68" i="3"/>
  <c r="AD68" i="3" s="1"/>
  <c r="L348" i="1"/>
  <c r="N347" i="1"/>
  <c r="O347" i="1" s="1"/>
  <c r="Q347" i="1" s="1"/>
  <c r="S347" i="1" s="1"/>
  <c r="AI41" i="2"/>
  <c r="X41" i="2"/>
  <c r="AH41" i="2" s="1"/>
  <c r="I398" i="1"/>
  <c r="M398" i="1"/>
  <c r="AI68" i="3"/>
  <c r="X68" i="3"/>
  <c r="AB157" i="2"/>
  <c r="AB158" i="2" s="1"/>
  <c r="AB177" i="2" s="1"/>
  <c r="AB178" i="2" s="1"/>
  <c r="AB179" i="2" s="1"/>
  <c r="AB180" i="2" s="1"/>
  <c r="AB181" i="2" s="1"/>
  <c r="AB182" i="2" s="1"/>
  <c r="AC54" i="2"/>
  <c r="AB54" i="2"/>
  <c r="AD79" i="3"/>
  <c r="AI55" i="3"/>
  <c r="X55" i="3"/>
  <c r="AH55" i="3" s="1"/>
  <c r="AD55" i="3"/>
  <c r="AC55" i="3"/>
  <c r="AI103" i="3"/>
  <c r="X103" i="3"/>
  <c r="AH103" i="3" s="1"/>
  <c r="S345" i="1"/>
  <c r="I409" i="1"/>
  <c r="M409" i="1"/>
  <c r="Q200" i="3"/>
  <c r="R200" i="3" s="1"/>
  <c r="S200" i="3" s="1"/>
  <c r="T200" i="3" s="1"/>
  <c r="V200" i="3" s="1"/>
  <c r="S196" i="3"/>
  <c r="Y223" i="3"/>
  <c r="T223" i="3"/>
  <c r="V223" i="3" s="1"/>
  <c r="R411" i="3" l="1"/>
  <c r="S411" i="3" s="1"/>
  <c r="T411" i="3" s="1"/>
  <c r="AB80" i="3"/>
  <c r="Y171" i="3"/>
  <c r="T171" i="3"/>
  <c r="V171" i="3" s="1"/>
  <c r="AH54" i="2"/>
  <c r="W56" i="2"/>
  <c r="X56" i="2" s="1"/>
  <c r="AB186" i="2"/>
  <c r="AB189" i="2" s="1"/>
  <c r="J398" i="1"/>
  <c r="N398" i="1"/>
  <c r="L399" i="1"/>
  <c r="Z223" i="3"/>
  <c r="Q106" i="3"/>
  <c r="R106" i="3" s="1"/>
  <c r="S105" i="3"/>
  <c r="T105" i="3" s="1"/>
  <c r="V105" i="3" s="1"/>
  <c r="W159" i="2"/>
  <c r="AH158" i="2"/>
  <c r="Q94" i="2"/>
  <c r="R94" i="2" s="1"/>
  <c r="S94" i="2" s="1"/>
  <c r="T94" i="2" s="1"/>
  <c r="V94" i="2" s="1"/>
  <c r="Q135" i="2"/>
  <c r="S92" i="2"/>
  <c r="T92" i="2" s="1"/>
  <c r="V92" i="2" s="1"/>
  <c r="L424" i="1"/>
  <c r="J409" i="1"/>
  <c r="N409" i="1"/>
  <c r="O409" i="1" s="1"/>
  <c r="Q409" i="1" s="1"/>
  <c r="AI104" i="3"/>
  <c r="X104" i="3"/>
  <c r="AH104" i="3" s="1"/>
  <c r="AI91" i="2"/>
  <c r="X91" i="2"/>
  <c r="AH91" i="2" s="1"/>
  <c r="AD54" i="2"/>
  <c r="AB66" i="2"/>
  <c r="AB42" i="2"/>
  <c r="AE41" i="2"/>
  <c r="AH68" i="3"/>
  <c r="W70" i="3"/>
  <c r="X70" i="3" s="1"/>
  <c r="S397" i="1"/>
  <c r="AK200" i="3"/>
  <c r="X200" i="3"/>
  <c r="AJ200" i="3" s="1"/>
  <c r="AE55" i="3"/>
  <c r="AB56" i="3"/>
  <c r="T170" i="3"/>
  <c r="V170" i="3" s="1"/>
  <c r="Y170" i="3"/>
  <c r="AK223" i="3"/>
  <c r="X223" i="3"/>
  <c r="AJ223" i="3" s="1"/>
  <c r="Y196" i="3"/>
  <c r="T196" i="3"/>
  <c r="V196" i="3" s="1"/>
  <c r="N348" i="1"/>
  <c r="O348" i="1" s="1"/>
  <c r="Q348" i="1" s="1"/>
  <c r="L349" i="1"/>
  <c r="L411" i="3" a="1"/>
  <c r="L411" i="3" l="1"/>
  <c r="AE410" i="3"/>
  <c r="AD410" i="3"/>
  <c r="AD223" i="3"/>
  <c r="AD224" i="3" s="1"/>
  <c r="AB225" i="3" s="1"/>
  <c r="AB226" i="3" s="1"/>
  <c r="G418" i="1"/>
  <c r="M424" i="1"/>
  <c r="Z196" i="3"/>
  <c r="AI94" i="2"/>
  <c r="X94" i="2"/>
  <c r="AH94" i="2" s="1"/>
  <c r="Q108" i="3"/>
  <c r="R108" i="3" s="1"/>
  <c r="S108" i="3" s="1"/>
  <c r="T108" i="3" s="1"/>
  <c r="V108" i="3" s="1"/>
  <c r="S106" i="3"/>
  <c r="T106" i="3" s="1"/>
  <c r="V106" i="3" s="1"/>
  <c r="Q149" i="3"/>
  <c r="S348" i="1"/>
  <c r="T348" i="1" s="1"/>
  <c r="M349" i="1" s="1"/>
  <c r="N349" i="1" s="1"/>
  <c r="O349" i="1" s="1"/>
  <c r="Q349" i="1" s="1"/>
  <c r="S349" i="1" s="1"/>
  <c r="Q350" i="1"/>
  <c r="Q413" i="1"/>
  <c r="S409" i="1"/>
  <c r="Z170" i="3"/>
  <c r="Y197" i="3"/>
  <c r="AA197" i="3" s="1"/>
  <c r="AK170" i="3"/>
  <c r="AD170" i="3" s="1"/>
  <c r="X170" i="3"/>
  <c r="AJ170" i="3" s="1"/>
  <c r="AI105" i="3"/>
  <c r="X105" i="3"/>
  <c r="AH105" i="3" s="1"/>
  <c r="W72" i="3"/>
  <c r="AH70" i="3"/>
  <c r="AK171" i="3"/>
  <c r="X171" i="3"/>
  <c r="AK196" i="3"/>
  <c r="X196" i="3"/>
  <c r="AJ196" i="3" s="1"/>
  <c r="AI92" i="2"/>
  <c r="X92" i="2"/>
  <c r="AH92" i="2" s="1"/>
  <c r="M399" i="1"/>
  <c r="I399" i="1"/>
  <c r="O398" i="1"/>
  <c r="Q398" i="1" s="1"/>
  <c r="W58" i="2"/>
  <c r="AH56" i="2"/>
  <c r="Z171" i="3"/>
  <c r="M411" i="3" a="1"/>
  <c r="M411" i="3" l="1"/>
  <c r="V411" i="3"/>
  <c r="Q421" i="3"/>
  <c r="R421" i="3" s="1"/>
  <c r="AD171" i="3"/>
  <c r="AD172" i="3" s="1"/>
  <c r="AD191" i="3" s="1"/>
  <c r="AD192" i="3" s="1"/>
  <c r="AD193" i="3" s="1"/>
  <c r="AD194" i="3" s="1"/>
  <c r="AD195" i="3" s="1"/>
  <c r="AD196" i="3" s="1"/>
  <c r="AD200" i="3" s="1"/>
  <c r="AB203" i="3" s="1"/>
  <c r="AI106" i="3"/>
  <c r="X106" i="3"/>
  <c r="AH106" i="3" s="1"/>
  <c r="R58" i="2"/>
  <c r="S398" i="1"/>
  <c r="X108" i="3"/>
  <c r="AH108" i="3" s="1"/>
  <c r="AI108" i="3"/>
  <c r="AJ171" i="3"/>
  <c r="W172" i="3"/>
  <c r="X172" i="3" s="1"/>
  <c r="L425" i="1"/>
  <c r="M425" i="1" s="1"/>
  <c r="N424" i="1"/>
  <c r="O424" i="1" s="1"/>
  <c r="Q424" i="1" s="1"/>
  <c r="R72" i="3"/>
  <c r="J399" i="1"/>
  <c r="N399" i="1"/>
  <c r="O399" i="1" s="1"/>
  <c r="Q399" i="1" s="1"/>
  <c r="S399" i="1" s="1"/>
  <c r="L400" i="1"/>
  <c r="I418" i="1"/>
  <c r="H418" i="1"/>
  <c r="L421" i="3" a="1"/>
  <c r="M71" i="3" a="1"/>
  <c r="S421" i="3" l="1"/>
  <c r="T421" i="3" s="1"/>
  <c r="L421" i="3"/>
  <c r="AE411" i="3"/>
  <c r="AC411" i="3" s="1"/>
  <c r="AC421" i="3" s="1"/>
  <c r="AC422" i="3" s="1"/>
  <c r="AC423" i="3" s="1"/>
  <c r="AC424" i="3" s="1"/>
  <c r="X411" i="3"/>
  <c r="AD411" i="3" s="1"/>
  <c r="M71" i="3"/>
  <c r="Q88" i="3"/>
  <c r="S88" i="3" s="1"/>
  <c r="T88" i="3" s="1"/>
  <c r="V88" i="3" s="1"/>
  <c r="S72" i="3"/>
  <c r="T72" i="3" s="1"/>
  <c r="N400" i="1"/>
  <c r="O400" i="1" s="1"/>
  <c r="Q400" i="1" s="1"/>
  <c r="S400" i="1" s="1"/>
  <c r="R401" i="1" s="1"/>
  <c r="I400" i="1"/>
  <c r="S424" i="1"/>
  <c r="W173" i="3"/>
  <c r="AJ172" i="3"/>
  <c r="N425" i="1"/>
  <c r="O425" i="1" s="1"/>
  <c r="Q425" i="1" s="1"/>
  <c r="S425" i="1" s="1"/>
  <c r="L426" i="1"/>
  <c r="M426" i="1" s="1"/>
  <c r="S58" i="2"/>
  <c r="T58" i="2" s="1"/>
  <c r="Q74" i="2"/>
  <c r="S74" i="2" s="1"/>
  <c r="T74" i="2" s="1"/>
  <c r="V74" i="2" s="1"/>
  <c r="L432" i="3" a="1"/>
  <c r="M421" i="3" a="1"/>
  <c r="L432" i="3" l="1"/>
  <c r="M421" i="3"/>
  <c r="V421" i="3"/>
  <c r="AB58" i="2"/>
  <c r="AC58" i="2" s="1"/>
  <c r="V58" i="2"/>
  <c r="L427" i="1"/>
  <c r="M427" i="1" s="1"/>
  <c r="N426" i="1"/>
  <c r="O426" i="1" s="1"/>
  <c r="Q426" i="1" s="1"/>
  <c r="S426" i="1" s="1"/>
  <c r="M401" i="1"/>
  <c r="V72" i="3"/>
  <c r="AB72" i="3"/>
  <c r="AC72" i="3" s="1"/>
  <c r="AI74" i="2"/>
  <c r="AC74" i="2"/>
  <c r="X74" i="2"/>
  <c r="AI88" i="3"/>
  <c r="AC88" i="3"/>
  <c r="X88" i="3"/>
  <c r="M432" i="3" a="1"/>
  <c r="M432" i="3" l="1"/>
  <c r="X421" i="3"/>
  <c r="AD421" i="3" s="1"/>
  <c r="AE421" i="3"/>
  <c r="AE88" i="3"/>
  <c r="AD88" i="3"/>
  <c r="J401" i="1"/>
  <c r="N401" i="1"/>
  <c r="L402" i="1"/>
  <c r="I402" i="1" s="1"/>
  <c r="AI72" i="3"/>
  <c r="X72" i="3"/>
  <c r="AH72" i="3" s="1"/>
  <c r="AI58" i="2"/>
  <c r="X58" i="2"/>
  <c r="AH58" i="2" s="1"/>
  <c r="W90" i="3"/>
  <c r="AH88" i="3"/>
  <c r="AH74" i="2"/>
  <c r="W76" i="2"/>
  <c r="AE74" i="2"/>
  <c r="AD74" i="2"/>
  <c r="N427" i="1"/>
  <c r="O427" i="1" s="1"/>
  <c r="Q427" i="1" s="1"/>
  <c r="L428" i="1"/>
  <c r="M428" i="1" s="1"/>
  <c r="L433" i="3" a="1"/>
  <c r="L433" i="3" l="1"/>
  <c r="L429" i="1"/>
  <c r="M429" i="1" s="1"/>
  <c r="N428" i="1"/>
  <c r="O428" i="1" s="1"/>
  <c r="Q428" i="1" s="1"/>
  <c r="S428" i="1" s="1"/>
  <c r="S427" i="1"/>
  <c r="R76" i="2"/>
  <c r="R90" i="3"/>
  <c r="O401" i="1"/>
  <c r="Q401" i="1" s="1"/>
  <c r="N410" i="1"/>
  <c r="M89" i="3" a="1"/>
  <c r="AD432" i="3" l="1"/>
  <c r="AE432" i="3"/>
  <c r="M89" i="3"/>
  <c r="Q410" i="1"/>
  <c r="R410" i="1" s="1"/>
  <c r="S401" i="1"/>
  <c r="Q77" i="2"/>
  <c r="R77" i="2" s="1"/>
  <c r="S76" i="2"/>
  <c r="T76" i="2" s="1"/>
  <c r="V76" i="2" s="1"/>
  <c r="N412" i="1"/>
  <c r="M412" i="1" s="1"/>
  <c r="O410" i="1"/>
  <c r="P410" i="1" s="1"/>
  <c r="V410" i="1" s="1"/>
  <c r="X410" i="1" s="1"/>
  <c r="N429" i="1"/>
  <c r="O429" i="1" s="1"/>
  <c r="Q429" i="1" s="1"/>
  <c r="S429" i="1" s="1"/>
  <c r="L430" i="1"/>
  <c r="M430" i="1" s="1"/>
  <c r="S90" i="3"/>
  <c r="T90" i="3" s="1"/>
  <c r="V90" i="3" s="1"/>
  <c r="Q91" i="3"/>
  <c r="R91" i="3" s="1"/>
  <c r="M433" i="3" a="1"/>
  <c r="M433" i="3" l="1"/>
  <c r="AE433" i="3"/>
  <c r="AD433" i="3"/>
  <c r="AC90" i="3"/>
  <c r="AI90" i="3"/>
  <c r="X90" i="3"/>
  <c r="AH90" i="3" s="1"/>
  <c r="S77" i="2"/>
  <c r="T77" i="2" s="1"/>
  <c r="V77" i="2" s="1"/>
  <c r="Q78" i="2"/>
  <c r="R78" i="2" s="1"/>
  <c r="Q92" i="3"/>
  <c r="R92" i="3" s="1"/>
  <c r="S91" i="3"/>
  <c r="T91" i="3" s="1"/>
  <c r="V91" i="3" s="1"/>
  <c r="L431" i="1"/>
  <c r="M431" i="1" s="1"/>
  <c r="N430" i="1"/>
  <c r="O430" i="1" s="1"/>
  <c r="Q430" i="1" s="1"/>
  <c r="S430" i="1" s="1"/>
  <c r="AI76" i="2"/>
  <c r="AC76" i="2"/>
  <c r="X76" i="2"/>
  <c r="AH76" i="2" s="1"/>
  <c r="AI91" i="3" l="1"/>
  <c r="AC91" i="3"/>
  <c r="X91" i="3"/>
  <c r="AH91" i="3" s="1"/>
  <c r="AC77" i="2"/>
  <c r="AI77" i="2"/>
  <c r="X77" i="2"/>
  <c r="AH77" i="2" s="1"/>
  <c r="AE76" i="2"/>
  <c r="AD76" i="2"/>
  <c r="L432" i="1"/>
  <c r="M432" i="1" s="1"/>
  <c r="N431" i="1"/>
  <c r="O431" i="1" s="1"/>
  <c r="Q431" i="1" s="1"/>
  <c r="S431" i="1" s="1"/>
  <c r="S92" i="3"/>
  <c r="T92" i="3" s="1"/>
  <c r="V92" i="3" s="1"/>
  <c r="Q93" i="3"/>
  <c r="R93" i="3" s="1"/>
  <c r="Q79" i="2"/>
  <c r="R79" i="2" s="1"/>
  <c r="S78" i="2"/>
  <c r="T78" i="2" s="1"/>
  <c r="V78" i="2" s="1"/>
  <c r="AD90" i="3"/>
  <c r="AE90" i="3"/>
  <c r="L433" i="1" l="1"/>
  <c r="M433" i="1" s="1"/>
  <c r="N432" i="1"/>
  <c r="O432" i="1" s="1"/>
  <c r="Q432" i="1" s="1"/>
  <c r="S432" i="1" s="1"/>
  <c r="S79" i="2"/>
  <c r="T79" i="2" s="1"/>
  <c r="V79" i="2" s="1"/>
  <c r="Q80" i="2"/>
  <c r="R80" i="2" s="1"/>
  <c r="Q94" i="3"/>
  <c r="R94" i="3" s="1"/>
  <c r="S93" i="3"/>
  <c r="T93" i="3" s="1"/>
  <c r="V93" i="3" s="1"/>
  <c r="AE91" i="3"/>
  <c r="AD91" i="3"/>
  <c r="AI78" i="2"/>
  <c r="AC78" i="2"/>
  <c r="X78" i="2"/>
  <c r="AH78" i="2" s="1"/>
  <c r="AI92" i="3"/>
  <c r="X92" i="3"/>
  <c r="AH92" i="3" s="1"/>
  <c r="AC92" i="3"/>
  <c r="AE77" i="2"/>
  <c r="AD77" i="2"/>
  <c r="Q95" i="3" l="1"/>
  <c r="S94" i="3"/>
  <c r="T94" i="3" s="1"/>
  <c r="V94" i="3" s="1"/>
  <c r="AD92" i="3"/>
  <c r="AE92" i="3"/>
  <c r="AC79" i="2"/>
  <c r="AI79" i="2"/>
  <c r="X79" i="2"/>
  <c r="AH79" i="2" s="1"/>
  <c r="AD78" i="2"/>
  <c r="AE78" i="2"/>
  <c r="S80" i="2"/>
  <c r="T80" i="2" s="1"/>
  <c r="V80" i="2" s="1"/>
  <c r="Q81" i="2"/>
  <c r="R81" i="2" s="1"/>
  <c r="L434" i="1"/>
  <c r="M434" i="1" s="1"/>
  <c r="N433" i="1"/>
  <c r="O433" i="1" s="1"/>
  <c r="Q433" i="1" s="1"/>
  <c r="S433" i="1" s="1"/>
  <c r="AI93" i="3"/>
  <c r="AC93" i="3"/>
  <c r="X93" i="3"/>
  <c r="AH93" i="3" s="1"/>
  <c r="L96" i="3" a="1"/>
  <c r="L96" i="3" l="1"/>
  <c r="R95" i="3"/>
  <c r="L448" i="1"/>
  <c r="M448" i="1" s="1"/>
  <c r="N434" i="1"/>
  <c r="O434" i="1" s="1"/>
  <c r="Q434" i="1" s="1"/>
  <c r="N436" i="1"/>
  <c r="O436" i="1" s="1"/>
  <c r="Q436" i="1" s="1"/>
  <c r="S436" i="1" s="1"/>
  <c r="T436" i="1" s="1"/>
  <c r="AI80" i="2"/>
  <c r="AC80" i="2"/>
  <c r="X80" i="2"/>
  <c r="AH80" i="2" s="1"/>
  <c r="S95" i="3"/>
  <c r="T95" i="3" s="1"/>
  <c r="V95" i="3" s="1"/>
  <c r="Q128" i="3"/>
  <c r="S128" i="3" s="1"/>
  <c r="T128" i="3" s="1"/>
  <c r="AE93" i="3"/>
  <c r="AD93" i="3"/>
  <c r="S81" i="2"/>
  <c r="T81" i="2" s="1"/>
  <c r="V81" i="2" s="1"/>
  <c r="Q114" i="2"/>
  <c r="S114" i="2" s="1"/>
  <c r="T114" i="2" s="1"/>
  <c r="AD79" i="2"/>
  <c r="AE79" i="2"/>
  <c r="AC94" i="3"/>
  <c r="AI94" i="3"/>
  <c r="X94" i="3"/>
  <c r="AH94" i="3" s="1"/>
  <c r="M96" i="3" a="1"/>
  <c r="M96" i="3" l="1"/>
  <c r="AI81" i="2"/>
  <c r="AC81" i="2"/>
  <c r="X81" i="2"/>
  <c r="AH81" i="2" s="1"/>
  <c r="X95" i="3"/>
  <c r="AH95" i="3" s="1"/>
  <c r="AI95" i="3"/>
  <c r="AC95" i="3"/>
  <c r="AE94" i="3"/>
  <c r="AD94" i="3"/>
  <c r="AE80" i="2"/>
  <c r="AD80" i="2"/>
  <c r="V114" i="2"/>
  <c r="AC114" i="2"/>
  <c r="S434" i="1"/>
  <c r="Q435" i="1"/>
  <c r="AC128" i="3"/>
  <c r="V128" i="3"/>
  <c r="L449" i="1"/>
  <c r="M449" i="1" s="1"/>
  <c r="N448" i="1"/>
  <c r="O448" i="1" s="1"/>
  <c r="Q448" i="1" s="1"/>
  <c r="S448" i="1" s="1"/>
  <c r="AE128" i="3" l="1"/>
  <c r="AD128" i="3"/>
  <c r="AI128" i="3"/>
  <c r="X128" i="3"/>
  <c r="L450" i="1"/>
  <c r="M450" i="1" s="1"/>
  <c r="N449" i="1"/>
  <c r="O449" i="1" s="1"/>
  <c r="Q449" i="1" s="1"/>
  <c r="S449" i="1" s="1"/>
  <c r="AI114" i="2"/>
  <c r="X114" i="2"/>
  <c r="AD81" i="2"/>
  <c r="AD82" i="2" s="1"/>
  <c r="AE81" i="2"/>
  <c r="AE114" i="2"/>
  <c r="AD114" i="2"/>
  <c r="AE95" i="3"/>
  <c r="AD95" i="3"/>
  <c r="AD96" i="3" s="1"/>
  <c r="AH114" i="2" l="1"/>
  <c r="W121" i="2"/>
  <c r="L451" i="1"/>
  <c r="M451" i="1" s="1"/>
  <c r="N450" i="1"/>
  <c r="O450" i="1" s="1"/>
  <c r="Q450" i="1" s="1"/>
  <c r="S450" i="1" s="1"/>
  <c r="AH128" i="3"/>
  <c r="W135" i="3"/>
  <c r="R135" i="3" l="1"/>
  <c r="AC135" i="3"/>
  <c r="N451" i="1"/>
  <c r="O451" i="1" s="1"/>
  <c r="Q451" i="1" s="1"/>
  <c r="S451" i="1" s="1"/>
  <c r="L452" i="1"/>
  <c r="M452" i="1" s="1"/>
  <c r="AC121" i="2"/>
  <c r="R121" i="2"/>
  <c r="AE121" i="2" l="1"/>
  <c r="AD121" i="2"/>
  <c r="N452" i="1"/>
  <c r="O452" i="1" s="1"/>
  <c r="Q452" i="1" s="1"/>
  <c r="S452" i="1" s="1"/>
  <c r="L453" i="1"/>
  <c r="M453" i="1" s="1"/>
  <c r="Q122" i="2"/>
  <c r="S121" i="2"/>
  <c r="T121" i="2" s="1"/>
  <c r="V121" i="2" s="1"/>
  <c r="AD135" i="3"/>
  <c r="AE135" i="3"/>
  <c r="S135" i="3"/>
  <c r="T135" i="3" s="1"/>
  <c r="V135" i="3" s="1"/>
  <c r="Q136" i="3"/>
  <c r="L454" i="1" l="1"/>
  <c r="M454" i="1" s="1"/>
  <c r="N453" i="1"/>
  <c r="O453" i="1" s="1"/>
  <c r="Q453" i="1" s="1"/>
  <c r="S453" i="1" s="1"/>
  <c r="AI136" i="3"/>
  <c r="X135" i="3"/>
  <c r="AI122" i="2"/>
  <c r="X121" i="2"/>
  <c r="W122" i="2" l="1"/>
  <c r="AH122" i="2"/>
  <c r="AH136" i="3"/>
  <c r="W136" i="3"/>
  <c r="N454" i="1"/>
  <c r="O454" i="1" s="1"/>
  <c r="Q454" i="1" s="1"/>
  <c r="S454" i="1" s="1"/>
  <c r="L455" i="1"/>
  <c r="M455" i="1" s="1"/>
  <c r="R136" i="3" l="1"/>
  <c r="L456" i="1"/>
  <c r="M456" i="1" s="1"/>
  <c r="N455" i="1"/>
  <c r="O455" i="1" s="1"/>
  <c r="Q455" i="1" s="1"/>
  <c r="S455" i="1" s="1"/>
  <c r="R122" i="2"/>
  <c r="S136" i="3" l="1"/>
  <c r="T136" i="3" s="1"/>
  <c r="Q137" i="3"/>
  <c r="R137" i="3" s="1"/>
  <c r="Q123" i="2"/>
  <c r="R123" i="2" s="1"/>
  <c r="S122" i="2"/>
  <c r="T122" i="2" s="1"/>
  <c r="L467" i="1"/>
  <c r="M467" i="1" s="1"/>
  <c r="N456" i="1"/>
  <c r="O456" i="1" s="1"/>
  <c r="Q456" i="1" s="1"/>
  <c r="S456" i="1" s="1"/>
  <c r="Q138" i="3" l="1"/>
  <c r="R138" i="3" s="1"/>
  <c r="S137" i="3"/>
  <c r="T137" i="3" s="1"/>
  <c r="N467" i="1"/>
  <c r="O467" i="1" s="1"/>
  <c r="Q467" i="1" s="1"/>
  <c r="S467" i="1" s="1"/>
  <c r="L468" i="1"/>
  <c r="M468" i="1" s="1"/>
  <c r="AC122" i="2"/>
  <c r="V122" i="2"/>
  <c r="Q124" i="2"/>
  <c r="R124" i="2" s="1"/>
  <c r="S123" i="2"/>
  <c r="T123" i="2" s="1"/>
  <c r="AC136" i="3"/>
  <c r="V136" i="3"/>
  <c r="S124" i="2" l="1"/>
  <c r="T124" i="2" s="1"/>
  <c r="Q125" i="2"/>
  <c r="R125" i="2" s="1"/>
  <c r="AD136" i="3"/>
  <c r="AE136" i="3"/>
  <c r="AE122" i="2"/>
  <c r="AD122" i="2"/>
  <c r="V137" i="3"/>
  <c r="AC137" i="3"/>
  <c r="AI137" i="3"/>
  <c r="X136" i="3"/>
  <c r="AH137" i="3" s="1"/>
  <c r="AC123" i="2"/>
  <c r="V123" i="2"/>
  <c r="AI123" i="2"/>
  <c r="X122" i="2"/>
  <c r="AH123" i="2" s="1"/>
  <c r="L469" i="1"/>
  <c r="M469" i="1" s="1"/>
  <c r="N468" i="1"/>
  <c r="O468" i="1" s="1"/>
  <c r="Q468" i="1" s="1"/>
  <c r="S468" i="1" s="1"/>
  <c r="S138" i="3"/>
  <c r="T138" i="3" s="1"/>
  <c r="Q139" i="3"/>
  <c r="R139" i="3" s="1"/>
  <c r="AD137" i="3" l="1"/>
  <c r="AE137" i="3"/>
  <c r="S139" i="3"/>
  <c r="T139" i="3" s="1"/>
  <c r="Q140" i="3"/>
  <c r="R140" i="3" s="1"/>
  <c r="L470" i="1"/>
  <c r="M470" i="1" s="1"/>
  <c r="N469" i="1"/>
  <c r="O469" i="1" s="1"/>
  <c r="Q469" i="1" s="1"/>
  <c r="S469" i="1" s="1"/>
  <c r="AI124" i="2"/>
  <c r="X123" i="2"/>
  <c r="AH124" i="2" s="1"/>
  <c r="V138" i="3"/>
  <c r="AC138" i="3"/>
  <c r="AE123" i="2"/>
  <c r="AD123" i="2"/>
  <c r="AI138" i="3"/>
  <c r="X137" i="3"/>
  <c r="AH138" i="3" s="1"/>
  <c r="Q126" i="2"/>
  <c r="R126" i="2" s="1"/>
  <c r="S125" i="2"/>
  <c r="T125" i="2" s="1"/>
  <c r="V124" i="2"/>
  <c r="AC124" i="2"/>
  <c r="AI139" i="3" l="1"/>
  <c r="X138" i="3"/>
  <c r="AH139" i="3" s="1"/>
  <c r="AE124" i="2"/>
  <c r="AD124" i="2"/>
  <c r="AI125" i="2"/>
  <c r="X124" i="2"/>
  <c r="AH125" i="2" s="1"/>
  <c r="S126" i="2"/>
  <c r="T126" i="2" s="1"/>
  <c r="Q127" i="2"/>
  <c r="R127" i="2" s="1"/>
  <c r="AE138" i="3"/>
  <c r="AD138" i="3"/>
  <c r="N470" i="1"/>
  <c r="O470" i="1" s="1"/>
  <c r="Q470" i="1" s="1"/>
  <c r="S470" i="1" s="1"/>
  <c r="L471" i="1"/>
  <c r="M471" i="1" s="1"/>
  <c r="AC139" i="3"/>
  <c r="V139" i="3"/>
  <c r="X139" i="3" s="1"/>
  <c r="AC125" i="2"/>
  <c r="V125" i="2"/>
  <c r="X125" i="2" s="1"/>
  <c r="Q141" i="3"/>
  <c r="R141" i="3" s="1"/>
  <c r="S140" i="3"/>
  <c r="T140" i="3" s="1"/>
  <c r="AC140" i="3" l="1"/>
  <c r="V140" i="3"/>
  <c r="S141" i="3"/>
  <c r="T141" i="3" s="1"/>
  <c r="Q142" i="3"/>
  <c r="R142" i="3" s="1"/>
  <c r="AE125" i="2"/>
  <c r="AD125" i="2"/>
  <c r="N471" i="1"/>
  <c r="O471" i="1" s="1"/>
  <c r="Q471" i="1" s="1"/>
  <c r="S471" i="1" s="1"/>
  <c r="L472" i="1"/>
  <c r="N472" i="1" s="1"/>
  <c r="O472" i="1" s="1"/>
  <c r="Q472" i="1" s="1"/>
  <c r="S472" i="1" s="1"/>
  <c r="R473" i="1" s="1"/>
  <c r="S473" i="1" s="1"/>
  <c r="R474" i="1" s="1"/>
  <c r="S127" i="2"/>
  <c r="T127" i="2" s="1"/>
  <c r="Q128" i="2"/>
  <c r="R128" i="2" s="1"/>
  <c r="AE139" i="3"/>
  <c r="AD139" i="3"/>
  <c r="AC126" i="2"/>
  <c r="V126" i="2"/>
  <c r="AE126" i="2" l="1"/>
  <c r="AD126" i="2"/>
  <c r="M474" i="1"/>
  <c r="AI140" i="3"/>
  <c r="X140" i="3"/>
  <c r="AH140" i="3" s="1"/>
  <c r="AI126" i="2"/>
  <c r="X126" i="2"/>
  <c r="AH126" i="2" s="1"/>
  <c r="Q130" i="2"/>
  <c r="S130" i="2" s="1"/>
  <c r="T130" i="2" s="1"/>
  <c r="S128" i="2"/>
  <c r="T128" i="2" s="1"/>
  <c r="AC127" i="2"/>
  <c r="V127" i="2"/>
  <c r="S142" i="3"/>
  <c r="T142" i="3" s="1"/>
  <c r="Q144" i="3"/>
  <c r="S144" i="3" s="1"/>
  <c r="T144" i="3" s="1"/>
  <c r="AC141" i="3"/>
  <c r="V141" i="3"/>
  <c r="AE140" i="3"/>
  <c r="AD140" i="3"/>
  <c r="V130" i="2" l="1"/>
  <c r="AC130" i="2"/>
  <c r="AD130" i="2" s="1"/>
  <c r="AI141" i="3"/>
  <c r="X141" i="3"/>
  <c r="AH141" i="3" s="1"/>
  <c r="AD141" i="3"/>
  <c r="AE141" i="3"/>
  <c r="AC142" i="3"/>
  <c r="AD142" i="3" s="1"/>
  <c r="AD133" i="3" s="1"/>
  <c r="V142" i="3"/>
  <c r="AE127" i="2"/>
  <c r="AD127" i="2"/>
  <c r="AC144" i="3"/>
  <c r="AD144" i="3" s="1"/>
  <c r="V144"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42" i="3"/>
  <c r="X142" i="3"/>
  <c r="AH142" i="3" s="1"/>
  <c r="AI144" i="3"/>
  <c r="X144" i="3"/>
  <c r="AI130" i="2"/>
  <c r="X130" i="2"/>
  <c r="W146" i="3" l="1"/>
  <c r="AH144" i="3"/>
  <c r="L490" i="1"/>
  <c r="M490" i="1" s="1"/>
  <c r="N489" i="1"/>
  <c r="O489" i="1" s="1"/>
  <c r="Q489" i="1" s="1"/>
  <c r="S489" i="1" s="1"/>
  <c r="AH130" i="2"/>
  <c r="W132" i="2"/>
  <c r="R132" i="2" l="1"/>
  <c r="N490" i="1"/>
  <c r="O490" i="1" s="1"/>
  <c r="Q490" i="1" s="1"/>
  <c r="S490" i="1" s="1"/>
  <c r="L491" i="1"/>
  <c r="M491" i="1" s="1"/>
  <c r="R146" i="3"/>
  <c r="S146" i="3" l="1"/>
  <c r="T146" i="3" s="1"/>
  <c r="Q147" i="3"/>
  <c r="R147" i="3" s="1"/>
  <c r="L513" i="1"/>
  <c r="M513" i="1" s="1"/>
  <c r="N491" i="1"/>
  <c r="O491" i="1" s="1"/>
  <c r="Q491" i="1" s="1"/>
  <c r="S491" i="1" s="1"/>
  <c r="Q133" i="2"/>
  <c r="R133" i="2" s="1"/>
  <c r="S132" i="2"/>
  <c r="T132" i="2" s="1"/>
  <c r="AC132" i="2" l="1"/>
  <c r="AD132" i="2" s="1"/>
  <c r="V132" i="2"/>
  <c r="Q148" i="3"/>
  <c r="S148" i="3" s="1"/>
  <c r="T148" i="3" s="1"/>
  <c r="S147" i="3"/>
  <c r="T147" i="3" s="1"/>
  <c r="S133" i="2"/>
  <c r="T133" i="2" s="1"/>
  <c r="Q134" i="2"/>
  <c r="S134" i="2" s="1"/>
  <c r="T134" i="2" s="1"/>
  <c r="N513" i="1"/>
  <c r="O513" i="1" s="1"/>
  <c r="Q513" i="1" s="1"/>
  <c r="S513" i="1" s="1"/>
  <c r="L514" i="1"/>
  <c r="M514" i="1" s="1"/>
  <c r="V146" i="3"/>
  <c r="AC146" i="3"/>
  <c r="AD146" i="3" s="1"/>
  <c r="AI146" i="3" l="1"/>
  <c r="X146" i="3"/>
  <c r="AH146" i="3" s="1"/>
  <c r="V147" i="3"/>
  <c r="AC147" i="3"/>
  <c r="AD147" i="3" s="1"/>
  <c r="L515" i="1"/>
  <c r="M515" i="1" s="1"/>
  <c r="N514" i="1"/>
  <c r="O514" i="1" s="1"/>
  <c r="Q514" i="1" s="1"/>
  <c r="S514" i="1" s="1"/>
  <c r="AC134" i="2"/>
  <c r="AD134" i="2" s="1"/>
  <c r="V134" i="2"/>
  <c r="AI132" i="2"/>
  <c r="X132" i="2"/>
  <c r="AH132" i="2" s="1"/>
  <c r="AC133" i="2"/>
  <c r="AD133" i="2" s="1"/>
  <c r="V133" i="2"/>
  <c r="AC148" i="3"/>
  <c r="AD148" i="3" s="1"/>
  <c r="V148" i="3"/>
  <c r="AI148" i="3" l="1"/>
  <c r="AA148" i="3" s="1"/>
  <c r="Z148" i="3" s="1"/>
  <c r="Z156" i="3" s="1"/>
  <c r="AA156" i="3" s="1"/>
  <c r="X148" i="3"/>
  <c r="AI133" i="2"/>
  <c r="X133" i="2"/>
  <c r="AH133" i="2" s="1"/>
  <c r="AI134" i="2"/>
  <c r="AA134" i="2" s="1"/>
  <c r="Z134" i="2" s="1"/>
  <c r="Z142" i="2" s="1"/>
  <c r="AA142" i="2" s="1"/>
  <c r="X134" i="2"/>
  <c r="L527" i="1"/>
  <c r="M527" i="1" s="1"/>
  <c r="N515" i="1"/>
  <c r="O515" i="1" s="1"/>
  <c r="Q515" i="1" s="1"/>
  <c r="S515" i="1" s="1"/>
  <c r="AI147" i="3"/>
  <c r="X147" i="3"/>
  <c r="AH147" i="3" s="1"/>
  <c r="AH148" i="3" l="1"/>
  <c r="W149" i="3"/>
  <c r="N527" i="1"/>
  <c r="O527" i="1" s="1"/>
  <c r="Q527" i="1" s="1"/>
  <c r="S527" i="1" s="1"/>
  <c r="L528" i="1"/>
  <c r="M528" i="1" s="1"/>
  <c r="W135" i="2"/>
  <c r="AH134" i="2"/>
  <c r="R149" i="3" l="1"/>
  <c r="Z149" i="3"/>
  <c r="Z150" i="3" s="1"/>
  <c r="Z151" i="3" s="1"/>
  <c r="Z152" i="3" s="1"/>
  <c r="Z153" i="3" s="1"/>
  <c r="Z154" i="3" s="1"/>
  <c r="Z155" i="3" s="1"/>
  <c r="Z135" i="2"/>
  <c r="Z136" i="2" s="1"/>
  <c r="Z137" i="2" s="1"/>
  <c r="Z138" i="2" s="1"/>
  <c r="Z139" i="2" s="1"/>
  <c r="Z140" i="2" s="1"/>
  <c r="Z141" i="2" s="1"/>
  <c r="R135" i="2"/>
  <c r="L529" i="1"/>
  <c r="N529" i="1" s="1"/>
  <c r="O529" i="1" s="1"/>
  <c r="Q529" i="1" s="1"/>
  <c r="S529" i="1" s="1"/>
  <c r="N528" i="1"/>
  <c r="O528" i="1" s="1"/>
  <c r="Q528" i="1" s="1"/>
  <c r="S528" i="1" s="1"/>
  <c r="Q150" i="3" l="1"/>
  <c r="R150" i="3" s="1"/>
  <c r="S149" i="3"/>
  <c r="T149" i="3" s="1"/>
  <c r="Q136" i="2"/>
  <c r="R136" i="2" s="1"/>
  <c r="S135" i="2"/>
  <c r="T135" i="2" s="1"/>
  <c r="AC135" i="2" l="1"/>
  <c r="AD135" i="2" s="1"/>
  <c r="V135" i="2"/>
  <c r="V149" i="3"/>
  <c r="AC149" i="3"/>
  <c r="AD149" i="3" s="1"/>
  <c r="Q137" i="2"/>
  <c r="R137" i="2" s="1"/>
  <c r="S136" i="2"/>
  <c r="T136" i="2" s="1"/>
  <c r="S150" i="3"/>
  <c r="T150" i="3" s="1"/>
  <c r="Q151" i="3"/>
  <c r="R151" i="3" s="1"/>
  <c r="AC150" i="3" l="1"/>
  <c r="AD150" i="3" s="1"/>
  <c r="V150" i="3"/>
  <c r="S137" i="2"/>
  <c r="T137" i="2" s="1"/>
  <c r="Q138" i="2"/>
  <c r="R138" i="2" s="1"/>
  <c r="AI135" i="2"/>
  <c r="X135" i="2"/>
  <c r="AH135" i="2" s="1"/>
  <c r="S151" i="3"/>
  <c r="T151" i="3" s="1"/>
  <c r="Q152" i="3"/>
  <c r="R152" i="3" s="1"/>
  <c r="AC136" i="2"/>
  <c r="AD136" i="2" s="1"/>
  <c r="V136" i="2"/>
  <c r="AI149" i="3"/>
  <c r="X149" i="3"/>
  <c r="AH149" i="3" s="1"/>
  <c r="AI136" i="2" l="1"/>
  <c r="X136" i="2"/>
  <c r="AH136" i="2" s="1"/>
  <c r="AC151" i="3"/>
  <c r="AD151" i="3" s="1"/>
  <c r="V151" i="3"/>
  <c r="AI150" i="3"/>
  <c r="X150" i="3"/>
  <c r="AH150" i="3" s="1"/>
  <c r="S152" i="3"/>
  <c r="T152" i="3" s="1"/>
  <c r="Q153" i="3"/>
  <c r="R153" i="3" s="1"/>
  <c r="S138" i="2"/>
  <c r="T138" i="2" s="1"/>
  <c r="Q139" i="2"/>
  <c r="R139" i="2" s="1"/>
  <c r="V137" i="2"/>
  <c r="AC137" i="2"/>
  <c r="AD137" i="2" s="1"/>
  <c r="AI137" i="2" l="1"/>
  <c r="X137" i="2"/>
  <c r="AH137" i="2" s="1"/>
  <c r="Q140" i="2"/>
  <c r="R140" i="2" s="1"/>
  <c r="S139" i="2"/>
  <c r="T139" i="2" s="1"/>
  <c r="AC138" i="2"/>
  <c r="AD138" i="2" s="1"/>
  <c r="V138" i="2"/>
  <c r="AI151" i="3"/>
  <c r="X151" i="3"/>
  <c r="AH151" i="3" s="1"/>
  <c r="S153" i="3"/>
  <c r="T153" i="3" s="1"/>
  <c r="Q154" i="3"/>
  <c r="R154" i="3" s="1"/>
  <c r="AC152" i="3"/>
  <c r="AD152" i="3" s="1"/>
  <c r="V152" i="3"/>
  <c r="S154" i="3" l="1"/>
  <c r="T154" i="3" s="1"/>
  <c r="Q155" i="3"/>
  <c r="R155" i="3" s="1"/>
  <c r="AI152" i="3"/>
  <c r="X152" i="3"/>
  <c r="AH152" i="3" s="1"/>
  <c r="AC153" i="3"/>
  <c r="AD153" i="3" s="1"/>
  <c r="V153" i="3"/>
  <c r="AI138" i="2"/>
  <c r="X138" i="2"/>
  <c r="AH138" i="2" s="1"/>
  <c r="AC139" i="2"/>
  <c r="AD139" i="2" s="1"/>
  <c r="V139" i="2"/>
  <c r="S140" i="2"/>
  <c r="T140" i="2" s="1"/>
  <c r="Q141" i="2"/>
  <c r="R141" i="2" s="1"/>
  <c r="AI139" i="2" l="1"/>
  <c r="X139" i="2"/>
  <c r="AH139" i="2" s="1"/>
  <c r="Q144" i="2"/>
  <c r="R144" i="2" s="1"/>
  <c r="S141" i="2"/>
  <c r="T141" i="2" s="1"/>
  <c r="V140" i="2"/>
  <c r="AC140" i="2"/>
  <c r="AD140" i="2" s="1"/>
  <c r="AI153" i="3"/>
  <c r="X153" i="3"/>
  <c r="AH153" i="3" s="1"/>
  <c r="Q158" i="3"/>
  <c r="R158" i="3" s="1"/>
  <c r="S155" i="3"/>
  <c r="T155" i="3" s="1"/>
  <c r="V154" i="3"/>
  <c r="AC154" i="3"/>
  <c r="AD154" i="3" s="1"/>
  <c r="AC155" i="3" l="1"/>
  <c r="AD155" i="3" s="1"/>
  <c r="V155" i="3"/>
  <c r="AI154" i="3"/>
  <c r="X154" i="3"/>
  <c r="AH154" i="3" s="1"/>
  <c r="Q159" i="3"/>
  <c r="R159" i="3" s="1"/>
  <c r="S158" i="3"/>
  <c r="T158" i="3" s="1"/>
  <c r="V158"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8" i="3"/>
  <c r="AH158" i="3" s="1"/>
  <c r="AI158" i="3"/>
  <c r="S159" i="3"/>
  <c r="T159" i="3" s="1"/>
  <c r="V159" i="3" s="1"/>
  <c r="Q173" i="3"/>
  <c r="R173" i="3" s="1"/>
  <c r="AI155" i="3"/>
  <c r="X155" i="3"/>
  <c r="AH155" i="3" s="1"/>
  <c r="Q174" i="3" l="1"/>
  <c r="R174" i="3" s="1"/>
  <c r="S173" i="3"/>
  <c r="T173" i="3" s="1"/>
  <c r="V173" i="3" s="1"/>
  <c r="X159" i="3"/>
  <c r="AH159" i="3" s="1"/>
  <c r="AI159" i="3"/>
  <c r="AH160" i="3" s="1"/>
  <c r="Q160" i="2"/>
  <c r="R160" i="2" s="1"/>
  <c r="S159" i="2"/>
  <c r="T159" i="2" s="1"/>
  <c r="V159" i="2" s="1"/>
  <c r="AI145" i="2"/>
  <c r="AH146" i="2" s="1"/>
  <c r="X145" i="2"/>
  <c r="AH145" i="2" s="1"/>
  <c r="S160" i="2" l="1"/>
  <c r="T160" i="2" s="1"/>
  <c r="V160" i="2" s="1"/>
  <c r="Q161" i="2"/>
  <c r="R161" i="2" s="1"/>
  <c r="AI159" i="2"/>
  <c r="AA159" i="2" s="1"/>
  <c r="X159" i="2"/>
  <c r="AH159" i="2" s="1"/>
  <c r="AK173" i="3"/>
  <c r="AC173" i="3" s="1"/>
  <c r="X173" i="3"/>
  <c r="AJ173" i="3" s="1"/>
  <c r="S174" i="3"/>
  <c r="T174" i="3" s="1"/>
  <c r="V174" i="3" s="1"/>
  <c r="Q175" i="3"/>
  <c r="R175" i="3" s="1"/>
  <c r="AK174" i="3" l="1"/>
  <c r="AC174" i="3" s="1"/>
  <c r="X174" i="3"/>
  <c r="AJ174" i="3" s="1"/>
  <c r="Q176" i="3"/>
  <c r="R176" i="3" s="1"/>
  <c r="S175" i="3"/>
  <c r="T175" i="3" s="1"/>
  <c r="V175" i="3" s="1"/>
  <c r="S161" i="2"/>
  <c r="T161" i="2" s="1"/>
  <c r="V161" i="2" s="1"/>
  <c r="Q162" i="2"/>
  <c r="R162" i="2" s="1"/>
  <c r="AI160" i="2"/>
  <c r="AA160" i="2" s="1"/>
  <c r="X160" i="2"/>
  <c r="AH160" i="2" s="1"/>
  <c r="S162" i="2" l="1"/>
  <c r="T162" i="2" s="1"/>
  <c r="V162" i="2" s="1"/>
  <c r="Q163" i="2"/>
  <c r="R163" i="2" s="1"/>
  <c r="AI161" i="2"/>
  <c r="AA161" i="2" s="1"/>
  <c r="X161" i="2"/>
  <c r="AH161" i="2" s="1"/>
  <c r="AK175" i="3"/>
  <c r="AC175" i="3" s="1"/>
  <c r="X175" i="3"/>
  <c r="AJ175" i="3" s="1"/>
  <c r="Q177" i="3"/>
  <c r="R177" i="3" s="1"/>
  <c r="S176" i="3"/>
  <c r="T176" i="3" s="1"/>
  <c r="V176" i="3" s="1"/>
  <c r="AK176" i="3" l="1"/>
  <c r="AC176" i="3" s="1"/>
  <c r="X176" i="3"/>
  <c r="AJ176" i="3" s="1"/>
  <c r="S177" i="3"/>
  <c r="T177" i="3" s="1"/>
  <c r="V177" i="3" s="1"/>
  <c r="Q178" i="3"/>
  <c r="R178" i="3" s="1"/>
  <c r="S163" i="2"/>
  <c r="T163" i="2" s="1"/>
  <c r="V163" i="2" s="1"/>
  <c r="Q164" i="2"/>
  <c r="R164" i="2" s="1"/>
  <c r="AI162" i="2"/>
  <c r="AA162" i="2" s="1"/>
  <c r="X162" i="2"/>
  <c r="AH162" i="2" s="1"/>
  <c r="AK177" i="3" l="1"/>
  <c r="AC177" i="3" s="1"/>
  <c r="X177" i="3"/>
  <c r="AJ177" i="3" s="1"/>
  <c r="Q165" i="2"/>
  <c r="R165" i="2" s="1"/>
  <c r="S164" i="2"/>
  <c r="T164" i="2" s="1"/>
  <c r="V164" i="2" s="1"/>
  <c r="AI163" i="2"/>
  <c r="AA163" i="2" s="1"/>
  <c r="X163" i="2"/>
  <c r="AH163" i="2" s="1"/>
  <c r="S178" i="3"/>
  <c r="T178" i="3" s="1"/>
  <c r="V178" i="3" s="1"/>
  <c r="Q179" i="3"/>
  <c r="R179" i="3" s="1"/>
  <c r="AK178" i="3" l="1"/>
  <c r="AC178" i="3" s="1"/>
  <c r="X178" i="3"/>
  <c r="AJ178" i="3" s="1"/>
  <c r="Q166" i="2"/>
  <c r="R166" i="2" s="1"/>
  <c r="S165" i="2"/>
  <c r="T165" i="2" s="1"/>
  <c r="V165" i="2" s="1"/>
  <c r="Q180" i="3"/>
  <c r="R180" i="3" s="1"/>
  <c r="S179" i="3"/>
  <c r="T179" i="3" s="1"/>
  <c r="V179" i="3" s="1"/>
  <c r="AI164" i="2"/>
  <c r="AA164" i="2" s="1"/>
  <c r="X164" i="2"/>
  <c r="AH164" i="2" s="1"/>
  <c r="AI165" i="2" l="1"/>
  <c r="AA165" i="2" s="1"/>
  <c r="X165" i="2"/>
  <c r="AH165" i="2" s="1"/>
  <c r="AK179" i="3"/>
  <c r="AC179" i="3" s="1"/>
  <c r="X179" i="3"/>
  <c r="AJ179" i="3" s="1"/>
  <c r="Q181" i="3"/>
  <c r="R181" i="3" s="1"/>
  <c r="S180" i="3"/>
  <c r="T180" i="3" s="1"/>
  <c r="V180" i="3" s="1"/>
  <c r="S166" i="2"/>
  <c r="T166" i="2" s="1"/>
  <c r="V166" i="2" s="1"/>
  <c r="Q167" i="2"/>
  <c r="R167" i="2" s="1"/>
  <c r="Q168" i="2" l="1"/>
  <c r="R168" i="2" s="1"/>
  <c r="S167" i="2"/>
  <c r="T167" i="2" s="1"/>
  <c r="V167" i="2" s="1"/>
  <c r="AI166" i="2"/>
  <c r="AA166" i="2" s="1"/>
  <c r="X166" i="2"/>
  <c r="AH166" i="2" s="1"/>
  <c r="AK180" i="3"/>
  <c r="AC180" i="3" s="1"/>
  <c r="X180" i="3"/>
  <c r="AJ180" i="3" s="1"/>
  <c r="Q182" i="3"/>
  <c r="R182" i="3" s="1"/>
  <c r="S181" i="3"/>
  <c r="T181" i="3" s="1"/>
  <c r="V181" i="3" s="1"/>
  <c r="AI167" i="2" l="1"/>
  <c r="AA167" i="2" s="1"/>
  <c r="X167" i="2"/>
  <c r="AH167" i="2" s="1"/>
  <c r="AK181" i="3"/>
  <c r="AC181" i="3" s="1"/>
  <c r="X181" i="3"/>
  <c r="AJ181" i="3" s="1"/>
  <c r="Q183" i="3"/>
  <c r="R183" i="3" s="1"/>
  <c r="S182" i="3"/>
  <c r="T182" i="3" s="1"/>
  <c r="V182" i="3" s="1"/>
  <c r="Q169" i="2"/>
  <c r="R169" i="2" s="1"/>
  <c r="S168" i="2"/>
  <c r="T168" i="2" s="1"/>
  <c r="V168" i="2" s="1"/>
  <c r="AI168" i="2" l="1"/>
  <c r="AA168" i="2" s="1"/>
  <c r="X168" i="2"/>
  <c r="AH168" i="2" s="1"/>
  <c r="Q170" i="2"/>
  <c r="R170" i="2" s="1"/>
  <c r="S169" i="2"/>
  <c r="T169" i="2" s="1"/>
  <c r="V169" i="2" s="1"/>
  <c r="AK182" i="3"/>
  <c r="AC182" i="3" s="1"/>
  <c r="X182" i="3"/>
  <c r="AJ182" i="3" s="1"/>
  <c r="S183" i="3"/>
  <c r="T183" i="3" s="1"/>
  <c r="V183" i="3" s="1"/>
  <c r="Q184" i="3"/>
  <c r="R184" i="3" s="1"/>
  <c r="AI169" i="2" l="1"/>
  <c r="AA169" i="2" s="1"/>
  <c r="X169" i="2"/>
  <c r="AH169" i="2" s="1"/>
  <c r="S184" i="3"/>
  <c r="T184" i="3" s="1"/>
  <c r="V184" i="3" s="1"/>
  <c r="Q185" i="3"/>
  <c r="R185" i="3" s="1"/>
  <c r="AK183" i="3"/>
  <c r="AC183" i="3" s="1"/>
  <c r="X183" i="3"/>
  <c r="AJ183" i="3" s="1"/>
  <c r="S170" i="2"/>
  <c r="T170" i="2" s="1"/>
  <c r="V170" i="2" s="1"/>
  <c r="Q171" i="2"/>
  <c r="R171" i="2" s="1"/>
  <c r="Q172" i="2" l="1"/>
  <c r="R172" i="2" s="1"/>
  <c r="S171" i="2"/>
  <c r="T171" i="2" s="1"/>
  <c r="V171" i="2" s="1"/>
  <c r="AK184" i="3"/>
  <c r="AC184" i="3" s="1"/>
  <c r="X184" i="3"/>
  <c r="AJ184" i="3" s="1"/>
  <c r="AI170" i="2"/>
  <c r="AA170" i="2" s="1"/>
  <c r="X170" i="2"/>
  <c r="AH170" i="2" s="1"/>
  <c r="Q186" i="3"/>
  <c r="R186" i="3" s="1"/>
  <c r="S185" i="3"/>
  <c r="T185" i="3" s="1"/>
  <c r="V185" i="3" s="1"/>
  <c r="AK185" i="3" l="1"/>
  <c r="AC185" i="3" s="1"/>
  <c r="X185" i="3"/>
  <c r="AJ185" i="3" s="1"/>
  <c r="AI171" i="2"/>
  <c r="AA171" i="2" s="1"/>
  <c r="X171" i="2"/>
  <c r="AH171" i="2" s="1"/>
  <c r="S186" i="3"/>
  <c r="T186" i="3" s="1"/>
  <c r="V186" i="3" s="1"/>
  <c r="Q187" i="3"/>
  <c r="R187" i="3" s="1"/>
  <c r="S172" i="2"/>
  <c r="T172" i="2" s="1"/>
  <c r="V172" i="2" s="1"/>
  <c r="Q173" i="2"/>
  <c r="R173" i="2" s="1"/>
  <c r="AK186" i="3" l="1"/>
  <c r="AC186" i="3" s="1"/>
  <c r="X186" i="3"/>
  <c r="AJ186" i="3" s="1"/>
  <c r="AI172" i="2"/>
  <c r="AA172" i="2" s="1"/>
  <c r="X172" i="2"/>
  <c r="AH172" i="2" s="1"/>
  <c r="Q188" i="3"/>
  <c r="R188" i="3" s="1"/>
  <c r="S187" i="3"/>
  <c r="T187" i="3" s="1"/>
  <c r="V187" i="3" s="1"/>
  <c r="Q174" i="2"/>
  <c r="R174" i="2" s="1"/>
  <c r="S173" i="2"/>
  <c r="T173" i="2" s="1"/>
  <c r="V173" i="2" s="1"/>
  <c r="AI173" i="2" l="1"/>
  <c r="AA173" i="2" s="1"/>
  <c r="X173" i="2"/>
  <c r="AH173" i="2" s="1"/>
  <c r="AK187" i="3"/>
  <c r="AC187" i="3" s="1"/>
  <c r="X187" i="3"/>
  <c r="AJ187" i="3" s="1"/>
  <c r="Q175" i="2"/>
  <c r="R175" i="2" s="1"/>
  <c r="S174" i="2"/>
  <c r="T174" i="2" s="1"/>
  <c r="V174" i="2" s="1"/>
  <c r="Q189" i="3"/>
  <c r="R189" i="3" s="1"/>
  <c r="S188" i="3"/>
  <c r="T188" i="3" s="1"/>
  <c r="V188" i="3" s="1"/>
  <c r="AK188" i="3" l="1"/>
  <c r="AC188" i="3" s="1"/>
  <c r="X188" i="3"/>
  <c r="AJ188" i="3" s="1"/>
  <c r="Q190" i="3"/>
  <c r="R190" i="3" s="1"/>
  <c r="S189" i="3"/>
  <c r="T189" i="3" s="1"/>
  <c r="V189" i="3" s="1"/>
  <c r="X174" i="2"/>
  <c r="AH174" i="2" s="1"/>
  <c r="AI174" i="2"/>
  <c r="AA174" i="2" s="1"/>
  <c r="Q176" i="2"/>
  <c r="R176" i="2" s="1"/>
  <c r="S175" i="2"/>
  <c r="T175" i="2" s="1"/>
  <c r="V175" i="2" s="1"/>
  <c r="AI175" i="2" l="1"/>
  <c r="AA175" i="2" s="1"/>
  <c r="X175" i="2"/>
  <c r="AH175" i="2" s="1"/>
  <c r="S176" i="2"/>
  <c r="T176" i="2" s="1"/>
  <c r="V176" i="2" s="1"/>
  <c r="Q187" i="2"/>
  <c r="R187" i="2" s="1"/>
  <c r="AK189" i="3"/>
  <c r="AC189" i="3" s="1"/>
  <c r="X189" i="3"/>
  <c r="AJ189" i="3" s="1"/>
  <c r="Q201" i="3"/>
  <c r="R201" i="3" s="1"/>
  <c r="S190" i="3"/>
  <c r="T190" i="3" s="1"/>
  <c r="V190" i="3" s="1"/>
  <c r="X176" i="2" l="1"/>
  <c r="AH176" i="2" s="1"/>
  <c r="AI176" i="2"/>
  <c r="AA176" i="2" s="1"/>
  <c r="AK190" i="3"/>
  <c r="AC190" i="3" s="1"/>
  <c r="X190" i="3"/>
  <c r="AJ190" i="3" s="1"/>
  <c r="Q188" i="2"/>
  <c r="R188" i="2" s="1"/>
  <c r="S187" i="2"/>
  <c r="T187" i="2" s="1"/>
  <c r="V187" i="2" s="1"/>
  <c r="S201" i="3"/>
  <c r="T201" i="3" s="1"/>
  <c r="V201" i="3" s="1"/>
  <c r="Q202" i="3"/>
  <c r="R202" i="3" s="1"/>
  <c r="S202" i="3" l="1"/>
  <c r="T202" i="3" s="1"/>
  <c r="V202" i="3" s="1"/>
  <c r="Q217" i="3"/>
  <c r="R217" i="3" s="1"/>
  <c r="AK201" i="3"/>
  <c r="AC201" i="3" s="1"/>
  <c r="X201" i="3"/>
  <c r="AJ201" i="3" s="1"/>
  <c r="S188" i="2"/>
  <c r="T188" i="2" s="1"/>
  <c r="V188" i="2" s="1"/>
  <c r="Q203" i="2"/>
  <c r="R203" i="2" s="1"/>
  <c r="AI187" i="2"/>
  <c r="AA187" i="2" s="1"/>
  <c r="X187" i="2"/>
  <c r="AH187" i="2" s="1"/>
  <c r="Q205" i="2" l="1"/>
  <c r="R205" i="2" s="1"/>
  <c r="S203" i="2"/>
  <c r="T203" i="2" s="1"/>
  <c r="V203" i="2" s="1"/>
  <c r="AI188" i="2"/>
  <c r="AA188" i="2" s="1"/>
  <c r="X188" i="2"/>
  <c r="AH188" i="2" s="1"/>
  <c r="Q219" i="3"/>
  <c r="R219" i="3" s="1"/>
  <c r="S217" i="3"/>
  <c r="T217" i="3" s="1"/>
  <c r="V217" i="3" s="1"/>
  <c r="AK202" i="3"/>
  <c r="AC202" i="3" s="1"/>
  <c r="X202" i="3"/>
  <c r="AJ202" i="3" s="1"/>
  <c r="AK217" i="3" l="1"/>
  <c r="AC217" i="3" s="1"/>
  <c r="AC218" i="3" s="1"/>
  <c r="X217" i="3"/>
  <c r="AJ217" i="3" s="1"/>
  <c r="Q220" i="3"/>
  <c r="R220" i="3" s="1"/>
  <c r="S219" i="3"/>
  <c r="T219" i="3" s="1"/>
  <c r="V219"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9" i="3"/>
  <c r="X219" i="3"/>
  <c r="AJ219" i="3" s="1"/>
  <c r="Q224" i="3"/>
  <c r="R224" i="3" s="1"/>
  <c r="S220" i="3"/>
  <c r="T220" i="3" s="1"/>
  <c r="V220" i="3" s="1"/>
  <c r="AC219" i="3"/>
  <c r="Q233" i="3" l="1"/>
  <c r="R233" i="3" s="1"/>
  <c r="S224" i="3"/>
  <c r="T224" i="3" s="1"/>
  <c r="V224" i="3" s="1"/>
  <c r="AK220" i="3"/>
  <c r="AC220" i="3" s="1"/>
  <c r="AC224" i="3" s="1"/>
  <c r="X220" i="3"/>
  <c r="AJ220" i="3" s="1"/>
  <c r="X210" i="2"/>
  <c r="AH210" i="2" s="1"/>
  <c r="AI210" i="2"/>
  <c r="AA210" i="2" s="1"/>
  <c r="AI206" i="2"/>
  <c r="AA206" i="2" s="1"/>
  <c r="X206" i="2"/>
  <c r="AH206" i="2" s="1"/>
  <c r="AK224" i="3" l="1"/>
  <c r="X224" i="3"/>
  <c r="AJ224" i="3" s="1"/>
  <c r="Q234" i="3"/>
  <c r="R234" i="3" s="1"/>
  <c r="S233" i="3"/>
  <c r="T233" i="3" s="1"/>
  <c r="V233" i="3" s="1"/>
  <c r="Q235" i="3" l="1"/>
  <c r="R235" i="3" s="1"/>
  <c r="S234" i="3"/>
  <c r="T234" i="3" s="1"/>
  <c r="V234" i="3" s="1"/>
  <c r="AK233" i="3"/>
  <c r="AC233" i="3" s="1"/>
  <c r="X233" i="3"/>
  <c r="AJ233" i="3" s="1"/>
  <c r="Q236" i="3" l="1"/>
  <c r="R236" i="3" s="1"/>
  <c r="S235" i="3"/>
  <c r="T235" i="3" s="1"/>
  <c r="V235" i="3" s="1"/>
  <c r="AK234" i="3"/>
  <c r="AC234" i="3" s="1"/>
  <c r="X234" i="3"/>
  <c r="AJ234" i="3" s="1"/>
  <c r="AK235" i="3" l="1"/>
  <c r="AC235" i="3" s="1"/>
  <c r="X235" i="3"/>
  <c r="AJ235" i="3" s="1"/>
  <c r="Q237" i="3"/>
  <c r="R237" i="3" s="1"/>
  <c r="S236" i="3"/>
  <c r="T236" i="3" s="1"/>
  <c r="V236" i="3" s="1"/>
  <c r="AK236" i="3" l="1"/>
  <c r="AC236" i="3" s="1"/>
  <c r="X236" i="3"/>
  <c r="AJ236" i="3" s="1"/>
  <c r="S237" i="3"/>
  <c r="T237" i="3" s="1"/>
  <c r="V237" i="3" s="1"/>
  <c r="Q238" i="3"/>
  <c r="R238" i="3" s="1"/>
  <c r="Q239" i="3" l="1"/>
  <c r="R239" i="3" s="1"/>
  <c r="S238" i="3"/>
  <c r="T238" i="3" s="1"/>
  <c r="V238" i="3" s="1"/>
  <c r="AK237" i="3"/>
  <c r="AC237" i="3" s="1"/>
  <c r="X237" i="3"/>
  <c r="AJ237" i="3" s="1"/>
  <c r="AK238" i="3" l="1"/>
  <c r="AC238" i="3" s="1"/>
  <c r="X238" i="3"/>
  <c r="AJ238" i="3" s="1"/>
  <c r="Q240" i="3"/>
  <c r="R240" i="3" s="1"/>
  <c r="S239" i="3"/>
  <c r="T239" i="3" s="1"/>
  <c r="V239" i="3" s="1"/>
  <c r="AK239" i="3" l="1"/>
  <c r="AC239" i="3" s="1"/>
  <c r="X239" i="3"/>
  <c r="AJ239" i="3" s="1"/>
  <c r="S240" i="3"/>
  <c r="T240" i="3" s="1"/>
  <c r="V240" i="3" s="1"/>
  <c r="Q241" i="3"/>
  <c r="R241" i="3" s="1"/>
  <c r="Q242" i="3" l="1"/>
  <c r="R242" i="3" s="1"/>
  <c r="S241" i="3"/>
  <c r="T241" i="3" s="1"/>
  <c r="V241" i="3" s="1"/>
  <c r="X241" i="3" s="1"/>
  <c r="AK240" i="3"/>
  <c r="AC240" i="3" s="1"/>
  <c r="AC241" i="3" s="1"/>
  <c r="AC242" i="3" s="1"/>
  <c r="AC243" i="3" s="1"/>
  <c r="AC244" i="3" s="1"/>
  <c r="X240" i="3"/>
  <c r="AJ240" i="3" s="1"/>
  <c r="S242" i="3" l="1"/>
  <c r="T242" i="3" s="1"/>
  <c r="V242" i="3" s="1"/>
  <c r="X242" i="3" s="1"/>
  <c r="Q243" i="3"/>
  <c r="R243" i="3" s="1"/>
  <c r="S243" i="3" l="1"/>
  <c r="T243" i="3" s="1"/>
  <c r="V243" i="3" s="1"/>
  <c r="X243" i="3" s="1"/>
  <c r="Q244" i="3"/>
  <c r="R244" i="3" s="1"/>
  <c r="Q291" i="3" s="1"/>
  <c r="Y22" i="3"/>
  <c r="V22" i="3" s="1"/>
  <c r="R291" i="3" l="1"/>
  <c r="Q299" i="3" s="1"/>
  <c r="R299" i="3" s="1"/>
  <c r="Q301" i="3" s="1"/>
  <c r="S244" i="3"/>
  <c r="T244" i="3" s="1"/>
  <c r="V244" i="3" s="1"/>
  <c r="X244" i="3" s="1"/>
  <c r="AF22" i="3"/>
  <c r="S299" i="3" l="1"/>
  <c r="T299" i="3" s="1"/>
  <c r="V299" i="3" s="1"/>
  <c r="AK299" i="3" s="1"/>
  <c r="S291" i="3"/>
  <c r="T291" i="3" s="1"/>
  <c r="V291" i="3" s="1"/>
  <c r="X299" i="3" l="1"/>
  <c r="AJ299" i="3" s="1"/>
  <c r="AK291" i="3"/>
  <c r="AC291" i="3" s="1"/>
  <c r="AC299" i="3" s="1"/>
  <c r="X291" i="3"/>
  <c r="AJ291" i="3" s="1"/>
  <c r="S301" i="3" l="1"/>
  <c r="T301" i="3" s="1"/>
  <c r="V301" i="3" s="1"/>
  <c r="V280" i="3"/>
  <c r="X280" i="3" s="1"/>
  <c r="S280" i="3"/>
  <c r="AK301" i="3" l="1"/>
  <c r="AC301" i="3" s="1"/>
  <c r="X301" i="3"/>
  <c r="AK280" i="3"/>
  <c r="AD280" i="3" s="1"/>
  <c r="AJ280" i="3"/>
  <c r="W281" i="3"/>
  <c r="AJ301" i="3" l="1"/>
  <c r="W302" i="3"/>
  <c r="R281" i="3"/>
  <c r="R302" i="3" l="1"/>
  <c r="S281" i="3"/>
  <c r="T281" i="3" s="1"/>
  <c r="V281" i="3" s="1"/>
  <c r="Q282" i="3"/>
  <c r="R282" i="3" s="1"/>
  <c r="S302" i="3" l="1"/>
  <c r="T302" i="3" s="1"/>
  <c r="V302" i="3" s="1"/>
  <c r="AK302" i="3" s="1"/>
  <c r="AC302" i="3" s="1"/>
  <c r="AC304" i="3" s="1"/>
  <c r="Q327" i="3"/>
  <c r="R327" i="3" s="1"/>
  <c r="S282" i="3"/>
  <c r="T282" i="3" s="1"/>
  <c r="V282" i="3" s="1"/>
  <c r="Q283" i="3"/>
  <c r="R283" i="3" s="1"/>
  <c r="AK281" i="3"/>
  <c r="AD281" i="3" s="1"/>
  <c r="X281" i="3"/>
  <c r="AJ281" i="3" s="1"/>
  <c r="M326" i="3" a="1"/>
  <c r="M326" i="3" l="1"/>
  <c r="X302" i="3"/>
  <c r="AJ302" i="3" s="1"/>
  <c r="S327" i="3"/>
  <c r="T327" i="3" s="1"/>
  <c r="V327" i="3" s="1"/>
  <c r="Q328" i="3"/>
  <c r="X282" i="3"/>
  <c r="AJ282" i="3" s="1"/>
  <c r="AK282" i="3"/>
  <c r="AD282" i="3" s="1"/>
  <c r="S283" i="3"/>
  <c r="T283" i="3" s="1"/>
  <c r="V283" i="3" s="1"/>
  <c r="Q284" i="3"/>
  <c r="R284" i="3" s="1"/>
  <c r="AK327" i="3" l="1"/>
  <c r="AC327" i="3" s="1"/>
  <c r="X327" i="3"/>
  <c r="S284" i="3"/>
  <c r="T284" i="3" s="1"/>
  <c r="V284" i="3" s="1"/>
  <c r="Q289" i="3"/>
  <c r="X283" i="3"/>
  <c r="AJ283" i="3" s="1"/>
  <c r="AK283" i="3"/>
  <c r="AD283" i="3" s="1"/>
  <c r="R328" i="3" l="1"/>
  <c r="AJ327" i="3"/>
  <c r="R289" i="3"/>
  <c r="S377" i="3" s="1"/>
  <c r="T377" i="3" s="1"/>
  <c r="V377" i="3" s="1"/>
  <c r="X284" i="3"/>
  <c r="AJ284" i="3" s="1"/>
  <c r="AK284" i="3"/>
  <c r="AD284" i="3" s="1"/>
  <c r="AK377" i="3" l="1"/>
  <c r="AC377" i="3" s="1"/>
  <c r="AC378" i="3" s="1"/>
  <c r="AC379" i="3" s="1"/>
  <c r="X377" i="3"/>
  <c r="AJ377" i="3" s="1"/>
  <c r="S289" i="3"/>
  <c r="T289" i="3" s="1"/>
  <c r="V289" i="3" s="1"/>
  <c r="AK289" i="3" s="1"/>
  <c r="AD289" i="3" s="1"/>
  <c r="S328" i="3"/>
  <c r="T328" i="3" s="1"/>
  <c r="V328" i="3" s="1"/>
  <c r="Q329" i="3"/>
  <c r="R294" i="3"/>
  <c r="Q295" i="3" s="1"/>
  <c r="R295" i="3" s="1"/>
  <c r="X289" i="3" l="1"/>
  <c r="AJ289" i="3" s="1"/>
  <c r="X328" i="3"/>
  <c r="AK328" i="3"/>
  <c r="AC328" i="3" s="1"/>
  <c r="S295" i="3"/>
  <c r="T295" i="3" s="1"/>
  <c r="V295" i="3" s="1"/>
  <c r="Q296" i="3"/>
  <c r="R296" i="3" s="1"/>
  <c r="Q300" i="3" s="1"/>
  <c r="R300" i="3" s="1"/>
  <c r="S294" i="3"/>
  <c r="T294" i="3" s="1"/>
  <c r="V294" i="3" s="1"/>
  <c r="AJ328" i="3" l="1"/>
  <c r="X295" i="3"/>
  <c r="AJ295" i="3" s="1"/>
  <c r="AK295" i="3"/>
  <c r="X294" i="3"/>
  <c r="AJ294" i="3" s="1"/>
  <c r="AK294" i="3"/>
  <c r="AD294" i="3" s="1"/>
  <c r="AD295" i="3" s="1"/>
  <c r="S296" i="3"/>
  <c r="T296" i="3" s="1"/>
  <c r="V296" i="3" s="1"/>
  <c r="S300" i="3"/>
  <c r="T300" i="3" s="1"/>
  <c r="V300" i="3" s="1"/>
  <c r="R329" i="3" l="1"/>
  <c r="AK296" i="3"/>
  <c r="AD296" i="3" s="1"/>
  <c r="X296" i="3"/>
  <c r="AJ296" i="3" s="1"/>
  <c r="AK300" i="3"/>
  <c r="X300" i="3"/>
  <c r="AJ300" i="3" s="1"/>
  <c r="S329" i="3" l="1"/>
  <c r="T329" i="3" s="1"/>
  <c r="V329" i="3" s="1"/>
  <c r="Q330" i="3"/>
  <c r="AD300" i="3"/>
  <c r="AD304" i="3" s="1"/>
  <c r="AK329" i="3" l="1"/>
  <c r="AC329" i="3" s="1"/>
  <c r="X329" i="3"/>
  <c r="AJ329" i="3" l="1"/>
  <c r="S330" i="3" l="1"/>
  <c r="T330" i="3" s="1"/>
  <c r="V330" i="3" s="1"/>
  <c r="AK330" i="3" l="1"/>
  <c r="AC330" i="3" s="1"/>
  <c r="X330" i="3"/>
  <c r="W331" i="3" s="1"/>
  <c r="R331" i="3" l="1"/>
  <c r="Q332" i="3" s="1"/>
  <c r="AJ330" i="3"/>
  <c r="R332" i="3" l="1"/>
  <c r="S331" i="3"/>
  <c r="T331" i="3" s="1"/>
  <c r="V331" i="3" s="1"/>
  <c r="X331" i="3" s="1"/>
  <c r="S332" i="3" l="1"/>
  <c r="Q333" i="3"/>
  <c r="T332" i="3" l="1"/>
  <c r="V332" i="3" s="1"/>
  <c r="X332" i="3" l="1"/>
  <c r="AJ332" i="3" s="1"/>
  <c r="AK332" i="3"/>
  <c r="AC332" i="3" s="1"/>
  <c r="R333" i="3" l="1"/>
  <c r="S333" i="3" s="1"/>
  <c r="Q334" i="3" l="1"/>
  <c r="T333" i="3"/>
  <c r="V333" i="3" s="1"/>
  <c r="AK333" i="3" l="1"/>
  <c r="AC333" i="3" s="1"/>
  <c r="X333" i="3"/>
  <c r="AJ333" i="3" s="1"/>
  <c r="S334" i="3" l="1"/>
  <c r="T334" i="3" s="1"/>
  <c r="V334" i="3" s="1"/>
  <c r="AK334" i="3" l="1"/>
  <c r="AC334" i="3" s="1"/>
  <c r="X334" i="3"/>
  <c r="AJ334" i="3" l="1"/>
  <c r="W345" i="3"/>
  <c r="AB345" i="3" s="1"/>
  <c r="R345" i="3" l="1"/>
  <c r="S345" i="3" l="1"/>
  <c r="Q346" i="3"/>
  <c r="R346" i="3" s="1"/>
  <c r="Q347" i="3" s="1"/>
  <c r="S347" i="3" s="1"/>
  <c r="T347" i="3" s="1"/>
  <c r="V347" i="3" s="1"/>
  <c r="AB347" i="3" s="1"/>
  <c r="T345" i="3" l="1"/>
  <c r="V345" i="3" s="1"/>
  <c r="AK347" i="3"/>
  <c r="X347" i="3"/>
  <c r="S346" i="3"/>
  <c r="X345" i="3" l="1"/>
  <c r="AJ345" i="3" s="1"/>
  <c r="AK345" i="3"/>
  <c r="AC345" i="3" s="1"/>
  <c r="AJ347" i="3"/>
  <c r="W360" i="3"/>
  <c r="T346" i="3"/>
  <c r="V346" i="3" s="1"/>
  <c r="X346" i="3" s="1"/>
  <c r="AK346" i="3" l="1"/>
  <c r="S360" i="3"/>
  <c r="T360" i="3" s="1"/>
  <c r="V360" i="3" s="1"/>
  <c r="AB360" i="3" l="1"/>
  <c r="AK360" i="3"/>
  <c r="AC346" i="3"/>
  <c r="AC347" i="3" s="1"/>
  <c r="AC360" i="3" s="1"/>
  <c r="X360" i="3"/>
  <c r="AJ346" i="3"/>
  <c r="W365" i="3" l="1"/>
  <c r="R365" i="3" s="1"/>
  <c r="AJ360" i="3"/>
  <c r="S365" i="3" l="1"/>
  <c r="T365" i="3" s="1"/>
  <c r="Q366" i="3"/>
  <c r="V365" i="3"/>
  <c r="AB365" i="3" l="1"/>
  <c r="AK365" i="3"/>
  <c r="AC365" i="3" s="1"/>
  <c r="X365" i="3"/>
  <c r="AJ365" i="3" s="1"/>
  <c r="R366" i="3" l="1"/>
  <c r="S366" i="3" l="1"/>
  <c r="T366" i="3" s="1"/>
  <c r="V366" i="3" s="1"/>
  <c r="AK366" i="3" s="1"/>
  <c r="AC366" i="3" s="1"/>
  <c r="Q367" i="3"/>
  <c r="R367" i="3"/>
  <c r="Q368" i="3" s="1"/>
  <c r="X366" i="3" l="1"/>
  <c r="AJ366" i="3" s="1"/>
  <c r="S367" i="3"/>
  <c r="T367" i="3" l="1"/>
  <c r="V367" i="3" s="1"/>
  <c r="AK367" i="3" s="1"/>
  <c r="AC367" i="3" s="1"/>
  <c r="X367" i="3" l="1"/>
  <c r="AJ367" i="3" s="1"/>
  <c r="R368" i="3" l="1"/>
  <c r="Q369" i="3" s="1"/>
  <c r="S368" i="3" l="1"/>
  <c r="T368" i="3" l="1"/>
  <c r="V368" i="3" s="1"/>
  <c r="AK368" i="3" s="1"/>
  <c r="AC368" i="3" s="1"/>
  <c r="X368" i="3" l="1"/>
  <c r="AJ368" i="3" s="1"/>
  <c r="R369" i="3" l="1"/>
  <c r="M370" i="3" a="1"/>
  <c r="M370" i="3" l="1"/>
  <c r="Q380" i="3"/>
  <c r="R380" i="3" s="1"/>
  <c r="Q381" i="3" s="1"/>
  <c r="R381" i="3" s="1"/>
  <c r="S380" i="3"/>
  <c r="T380" i="3" s="1"/>
  <c r="V380" i="3" s="1"/>
  <c r="X380" i="3" s="1"/>
  <c r="S369" i="3"/>
  <c r="M382" i="3" a="1"/>
  <c r="M382" i="3" l="1"/>
  <c r="S381" i="3"/>
  <c r="T381" i="3" s="1"/>
  <c r="V381" i="3" s="1"/>
  <c r="X381" i="3" s="1"/>
  <c r="AJ381" i="3" s="1"/>
  <c r="Q384" i="3"/>
  <c r="R384" i="3" s="1"/>
  <c r="Q412" i="3" s="1"/>
  <c r="T369" i="3"/>
  <c r="V369" i="3" s="1"/>
  <c r="AK369" i="3" s="1"/>
  <c r="AC369" i="3" s="1"/>
  <c r="M385" i="3" a="1"/>
  <c r="L412" i="3" a="1"/>
  <c r="L412" i="3" l="1"/>
  <c r="R412" i="3"/>
  <c r="M385" i="3"/>
  <c r="S384" i="3"/>
  <c r="T384" i="3" s="1"/>
  <c r="V384" i="3" s="1"/>
  <c r="X384" i="3" s="1"/>
  <c r="X369" i="3"/>
  <c r="AJ369" i="3" s="1"/>
  <c r="M412" i="3" a="1"/>
  <c r="M412" i="3" l="1"/>
  <c r="Q413" i="3"/>
  <c r="S412" i="3"/>
  <c r="T412" i="3" s="1"/>
  <c r="V412" i="3" s="1"/>
  <c r="AK380" i="3"/>
  <c r="AC380" i="3" s="1"/>
  <c r="L413" i="3" a="1"/>
  <c r="L413" i="3" l="1"/>
  <c r="X412" i="3"/>
  <c r="AD412" i="3" s="1"/>
  <c r="AE412" i="3"/>
  <c r="AC412" i="3" s="1"/>
  <c r="R413" i="3"/>
  <c r="AJ380" i="3"/>
  <c r="M413" i="3" a="1"/>
  <c r="M413" i="3" l="1"/>
  <c r="S413" i="3"/>
  <c r="T413" i="3" s="1"/>
  <c r="V413" i="3" s="1"/>
  <c r="Q414" i="3"/>
  <c r="AK381" i="3"/>
  <c r="AC381" i="3" s="1"/>
  <c r="L414" i="3" a="1"/>
  <c r="L414" i="3" l="1"/>
  <c r="R414" i="3"/>
  <c r="AE413" i="3"/>
  <c r="AC413" i="3" s="1"/>
  <c r="X413" i="3"/>
  <c r="AD413" i="3" s="1"/>
  <c r="M414" i="3" a="1"/>
  <c r="M414" i="3" l="1"/>
  <c r="S414" i="3"/>
  <c r="T414" i="3" s="1"/>
  <c r="V414" i="3" s="1"/>
  <c r="Q415" i="3"/>
  <c r="L415" i="3" a="1"/>
  <c r="L415" i="3" l="1"/>
  <c r="AE414" i="3"/>
  <c r="AC414" i="3" s="1"/>
  <c r="X414" i="3"/>
  <c r="AD414" i="3" s="1"/>
  <c r="R415" i="3"/>
  <c r="M415" i="3" a="1"/>
  <c r="M415" i="3" l="1"/>
  <c r="S415" i="3"/>
  <c r="T415" i="3" s="1"/>
  <c r="V415" i="3" s="1"/>
  <c r="Q416" i="3"/>
  <c r="L416" i="3" a="1"/>
  <c r="L416" i="3" l="1"/>
  <c r="R416" i="3"/>
  <c r="AE415" i="3"/>
  <c r="AC415" i="3" s="1"/>
  <c r="X415" i="3"/>
  <c r="AD415" i="3" s="1"/>
  <c r="M416" i="3" a="1"/>
  <c r="M416" i="3" l="1"/>
  <c r="S416" i="3"/>
  <c r="T416" i="3" s="1"/>
  <c r="V416" i="3" s="1"/>
  <c r="Q417" i="3"/>
  <c r="L417" i="3" a="1"/>
  <c r="L417" i="3" l="1"/>
  <c r="R417" i="3"/>
  <c r="AE416" i="3"/>
  <c r="AC416" i="3" s="1"/>
  <c r="X416" i="3"/>
  <c r="AD416" i="3" s="1"/>
  <c r="M417" i="3" a="1"/>
  <c r="M417" i="3" l="1"/>
  <c r="S417" i="3"/>
  <c r="T417" i="3" s="1"/>
  <c r="V417" i="3" s="1"/>
  <c r="Q425" i="3"/>
  <c r="L425" i="3" a="1"/>
  <c r="L425" i="3" l="1"/>
  <c r="R425" i="3"/>
  <c r="AE417" i="3"/>
  <c r="AC417" i="3" s="1"/>
  <c r="X417" i="3"/>
  <c r="AD417" i="3" s="1"/>
  <c r="M425" i="3" a="1"/>
  <c r="M425" i="3" l="1"/>
  <c r="S425" i="3"/>
  <c r="T425" i="3" s="1"/>
  <c r="V425" i="3" s="1"/>
  <c r="Q426" i="3"/>
  <c r="L426" i="3" a="1"/>
  <c r="L426" i="3" l="1"/>
  <c r="R426" i="3"/>
  <c r="X425" i="3"/>
  <c r="AD425" i="3" s="1"/>
  <c r="AE425" i="3"/>
  <c r="AC425" i="3" s="1"/>
  <c r="M426" i="3" a="1"/>
  <c r="M426" i="3" l="1"/>
  <c r="S426" i="3"/>
  <c r="T426" i="3" s="1"/>
  <c r="V426" i="3" s="1"/>
  <c r="L428" i="3" a="1"/>
  <c r="L428" i="3" l="1"/>
  <c r="X426" i="3"/>
  <c r="AD426" i="3" s="1"/>
  <c r="AE426" i="3"/>
  <c r="AC426" i="3" s="1"/>
  <c r="M428" i="3" a="1"/>
  <c r="M428" i="3" l="1"/>
  <c r="S428" i="3"/>
  <c r="T428" i="3" s="1"/>
  <c r="V428" i="3" s="1"/>
  <c r="L429" i="3" a="1"/>
  <c r="L429" i="3" l="1"/>
  <c r="X428" i="3"/>
  <c r="AD428" i="3" s="1"/>
  <c r="AE428" i="3"/>
  <c r="AC428" i="3" s="1"/>
  <c r="M429" i="3" a="1"/>
  <c r="M429" i="3" l="1"/>
  <c r="L430" i="3" a="1"/>
  <c r="R430" i="3" l="1"/>
  <c r="S430" i="3" s="1"/>
  <c r="T430" i="3" s="1"/>
  <c r="V430" i="3" s="1"/>
  <c r="L430" i="3"/>
  <c r="X429" i="3"/>
  <c r="AD429" i="3" s="1"/>
  <c r="AE429" i="3"/>
  <c r="AC429" i="3" s="1"/>
  <c r="AC430" i="3" s="1"/>
  <c r="AC431" i="3" s="1"/>
  <c r="AC432" i="3" s="1"/>
  <c r="AC433" i="3" s="1"/>
  <c r="Q431" i="3"/>
  <c r="M430" i="3" a="1"/>
  <c r="L431" i="3" a="1"/>
  <c r="R431" i="3" l="1"/>
  <c r="S431" i="3" s="1"/>
  <c r="T431" i="3" s="1"/>
  <c r="V431" i="3" s="1"/>
  <c r="L431" i="3"/>
  <c r="M430" i="3"/>
  <c r="M431" i="3" a="1"/>
  <c r="M431" i="3" l="1"/>
  <c r="AE430" i="3"/>
  <c r="X430" i="3"/>
  <c r="AD430" i="3" s="1"/>
  <c r="AE431" i="3" l="1"/>
  <c r="X431" i="3"/>
  <c r="AD431"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<sst xmlns="http://schemas.openxmlformats.org/spreadsheetml/2006/main" count="23810" uniqueCount="8592">
  <si>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</si>
  <si>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</si>
  <si>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</si>
  <si>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</si>
  <si>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</si>
  <si>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</si>
  <si>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</si>
  <si>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</si>
  <si>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</si>
  <si>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</si>
  <si>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</si>
  <si>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</si>
  <si>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</si>
  <si>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</si>
  <si>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</si>
  <si>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</si>
  <si>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</si>
  <si>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</si>
  <si>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</si>
  <si>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</si>
  <si>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</si>
  <si>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</si>
  <si>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</si>
  <si>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</si>
  <si>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</si>
  <si>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</si>
  <si>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</si>
  <si>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</si>
  <si>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</si>
  <si>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</si>
  <si>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</si>
  <si>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</si>
  <si>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</si>
  <si>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</si>
  <si>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</si>
  <si>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</si>
  <si>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</si>
  <si>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</si>
  <si>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</si>
  <si>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</si>
  <si>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</si>
  <si>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</si>
  <si>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</si>
  <si>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</si>
  <si>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</si>
  <si>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</si>
  <si>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</si>
  <si>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</si>
  <si>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</si>
  <si>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</si>
  <si>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</si>
  <si>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</si>
  <si>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</si>
  <si>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</si>
  <si>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</si>
  <si>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</si>
  <si>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</si>
  <si>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</si>
  <si>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</si>
  <si>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</si>
  <si>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</si>
  <si>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</si>
  <si>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</si>
  <si>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</si>
  <si>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</si>
  <si>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</si>
  <si>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</si>
  <si>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</si>
  <si>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</si>
  <si>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</si>
  <si>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</si>
  <si>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</si>
  <si>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</si>
  <si>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</si>
  <si>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</si>
  <si>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</si>
  <si>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</si>
  <si>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</si>
  <si>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</si>
  <si>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</si>
  <si>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</si>
  <si>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</si>
  <si>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</si>
  <si>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</si>
  <si>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</si>
  <si>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</si>
  <si>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</si>
  <si>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</si>
  <si>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</si>
  <si>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</si>
  <si>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</si>
  <si>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</si>
  <si>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</si>
  <si>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</si>
  <si>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</si>
  <si>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</si>
  <si>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</si>
  <si>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</si>
  <si>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</si>
  <si>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</si>
  <si>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</si>
  <si>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</si>
  <si>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</si>
  <si>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</si>
  <si>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</si>
  <si>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</si>
  <si>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</si>
  <si>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</si>
  <si>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</si>
  <si>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</si>
  <si>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</si>
  <si>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</si>
  <si>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</si>
  <si>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</si>
  <si>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</si>
  <si>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</si>
  <si>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</si>
  <si>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</si>
  <si>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</si>
  <si>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</si>
  <si>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</si>
  <si>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</si>
  <si>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</si>
  <si>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</si>
  <si>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</si>
  <si>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</si>
  <si>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</si>
  <si>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</si>
  <si>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</si>
  <si>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</si>
  <si>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</si>
  <si>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</si>
  <si>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</si>
  <si>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</si>
  <si>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</si>
  <si>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</si>
  <si>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</si>
  <si>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</si>
  <si>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</si>
  <si>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</si>
  <si>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</si>
  <si>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</si>
  <si>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</si>
  <si>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</si>
  <si>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</si>
  <si>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</si>
  <si>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</si>
  <si>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</si>
  <si>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</si>
  <si>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</si>
  <si>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</si>
  <si>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</si>
  <si>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</si>
  <si>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</si>
  <si>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</si>
  <si>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</si>
  <si>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</si>
  <si>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</si>
  <si>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</si>
  <si>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</si>
  <si>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</si>
  <si>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</si>
  <si>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</si>
  <si>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</si>
  <si>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</si>
  <si>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</si>
  <si>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</si>
  <si>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</si>
  <si>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</si>
  <si>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</si>
  <si>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</si>
  <si>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</si>
  <si>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</si>
  <si>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</si>
  <si>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</si>
  <si>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</si>
  <si>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</si>
  <si>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</si>
  <si>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</si>
  <si>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</si>
  <si>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</si>
  <si>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</si>
  <si>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</si>
  <si>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</si>
  <si>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</si>
  <si>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</si>
  <si>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</si>
  <si>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</si>
  <si>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</si>
  <si>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</si>
  <si>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</si>
  <si>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</si>
  <si>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</si>
  <si>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</si>
  <si>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</si>
  <si>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</si>
  <si>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</si>
  <si>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</si>
  <si>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</si>
  <si>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</si>
  <si>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</si>
  <si>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</si>
  <si>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</si>
  <si>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</si>
  <si>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</si>
  <si>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</si>
  <si>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</si>
  <si>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</si>
  <si>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</si>
  <si>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</si>
  <si>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</si>
  <si>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</si>
  <si>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</si>
  <si>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</si>
  <si>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</si>
  <si>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</si>
  <si>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</si>
  <si>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</si>
  <si>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</si>
  <si>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</si>
  <si>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</si>
  <si>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</si>
  <si>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</si>
  <si>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</si>
  <si>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</si>
  <si>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</si>
  <si>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</si>
  <si>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</si>
  <si>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</si>
  <si>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</si>
  <si>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</si>
  <si>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</si>
  <si>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</si>
  <si>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</si>
  <si>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</si>
  <si>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</si>
  <si>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</si>
  <si>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</si>
  <si>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</si>
  <si>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</si>
  <si>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</si>
  <si>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</si>
  <si>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</si>
  <si>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</si>
  <si>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</si>
  <si>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</si>
  <si>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</si>
  <si>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</si>
  <si>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</si>
  <si>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</si>
  <si>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</si>
  <si>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</si>
  <si>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</si>
  <si>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</si>
  <si>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</si>
  <si>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</si>
  <si>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</si>
  <si>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</si>
  <si>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</si>
  <si>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</si>
  <si>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</si>
  <si>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</si>
  <si>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</si>
  <si>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</si>
  <si>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</si>
  <si>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</si>
  <si>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</si>
  <si>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</si>
  <si>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</si>
  <si>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</si>
  <si>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</si>
  <si>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</si>
  <si>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</si>
  <si>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</si>
  <si>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</si>
  <si>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</si>
  <si>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</si>
  <si>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</si>
  <si>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</si>
  <si>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</si>
  <si>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</si>
  <si>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</si>
  <si>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</si>
  <si>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</si>
  <si>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</si>
  <si>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</si>
  <si>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</si>
  <si>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</si>
  <si>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</si>
  <si>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</si>
  <si>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</si>
  <si>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</si>
  <si>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</si>
  <si>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</si>
  <si>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</si>
  <si>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</si>
  <si>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</si>
  <si>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</si>
  <si>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</si>
  <si>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</si>
  <si>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</si>
  <si>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</si>
  <si>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</si>
  <si>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</si>
  <si>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</si>
  <si>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</si>
  <si>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</si>
  <si>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</si>
  <si>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</si>
  <si>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</si>
  <si>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</si>
  <si>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</si>
  <si>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</si>
  <si>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</si>
  <si>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</si>
  <si>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</si>
  <si>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</si>
  <si>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</si>
  <si>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</si>
  <si>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</si>
  <si>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</si>
  <si>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</si>
  <si>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</si>
  <si>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</si>
  <si>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</si>
  <si>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</si>
  <si>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</si>
  <si>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</si>
  <si>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</si>
  <si>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</si>
  <si>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</si>
  <si>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</si>
  <si>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</si>
  <si>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</si>
  <si>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</si>
  <si>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</si>
  <si>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</si>
  <si>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</si>
  <si>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</si>
  <si>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</si>
  <si>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</si>
  <si>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</si>
  <si>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</si>
  <si>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</si>
  <si>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</si>
  <si>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</si>
  <si>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</si>
  <si>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</si>
  <si>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</si>
  <si>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</si>
  <si>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</si>
  <si>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</si>
  <si>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</si>
  <si>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</si>
  <si>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</si>
  <si>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</si>
  <si>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</si>
  <si>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</si>
  <si>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</si>
  <si>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</si>
  <si>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</si>
  <si>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</si>
  <si>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</si>
  <si>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</si>
  <si>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</si>
  <si>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</si>
  <si>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</si>
  <si>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</si>
  <si>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</si>
  <si>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</si>
  <si>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</si>
  <si>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</si>
  <si>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</si>
  <si>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</si>
  <si>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</si>
  <si>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</si>
  <si>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</si>
  <si>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</si>
  <si>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</si>
  <si>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</si>
  <si>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</si>
  <si>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</si>
  <si>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</si>
  <si>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</si>
  <si>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</si>
  <si>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</si>
  <si>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</si>
  <si>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</si>
  <si>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</si>
  <si>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</si>
  <si>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</si>
  <si>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</si>
  <si>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</si>
  <si>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</si>
  <si>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</si>
  <si>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</si>
  <si>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</si>
  <si>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</si>
  <si>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</si>
  <si>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</si>
  <si>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</si>
  <si>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</si>
  <si>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</si>
  <si>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</si>
  <si>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</si>
  <si>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</si>
  <si>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</si>
  <si>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</si>
  <si>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</si>
  <si>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</si>
  <si>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</si>
  <si>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</si>
  <si>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</si>
  <si>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</si>
  <si>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</si>
  <si>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</si>
  <si>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</si>
  <si>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</si>
  <si>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</si>
  <si>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</si>
  <si>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</si>
  <si>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</si>
  <si>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</si>
  <si>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</si>
  <si>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</si>
  <si>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</si>
  <si>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</si>
  <si>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</si>
  <si>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</si>
  <si>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</si>
  <si>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</si>
  <si>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</si>
  <si>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</si>
  <si>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</si>
  <si>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</si>
  <si>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</si>
  <si>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</si>
  <si>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</si>
  <si>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</si>
  <si>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</si>
  <si>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</si>
  <si>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</si>
  <si>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</si>
  <si>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</si>
  <si>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</si>
  <si>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</si>
  <si>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</si>
  <si>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</si>
  <si>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</si>
  <si>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</si>
  <si>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</si>
  <si>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</si>
  <si>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</si>
  <si>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</si>
  <si>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</si>
  <si>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</si>
  <si>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</si>
  <si>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</si>
  <si>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</si>
  <si>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</si>
  <si>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</si>
  <si>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</si>
  <si>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</si>
  <si>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</si>
  <si>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</si>
  <si>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</si>
  <si>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</si>
  <si>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</si>
  <si>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</si>
  <si>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</si>
  <si>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</si>
  <si>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</si>
  <si>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</si>
  <si>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</si>
  <si>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</si>
  <si>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</si>
  <si>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</si>
  <si>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</si>
  <si>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</si>
  <si>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</si>
  <si>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</si>
  <si>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</si>
  <si>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</si>
  <si>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</si>
  <si>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</si>
  <si>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</si>
  <si>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</si>
  <si>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</si>
  <si>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</si>
  <si>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</si>
  <si>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</si>
  <si>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</si>
  <si>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</si>
  <si>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</si>
  <si>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</si>
  <si>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</si>
  <si>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</si>
  <si>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</si>
  <si>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</si>
  <si>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</si>
  <si>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</si>
  <si>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</si>
  <si>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</si>
  <si>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</si>
  <si>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</si>
  <si>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</si>
  <si>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</si>
  <si>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</si>
  <si>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</si>
  <si>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</si>
  <si>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</si>
  <si>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</si>
  <si>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</si>
  <si>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</si>
  <si>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</si>
  <si>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</si>
  <si>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</si>
  <si>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</si>
  <si>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</si>
  <si>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</si>
  <si>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</si>
  <si>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</si>
  <si>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</si>
  <si>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</si>
  <si>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</si>
  <si>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</si>
  <si>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</si>
  <si>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</si>
  <si>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</si>
  <si>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</si>
  <si>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</si>
  <si>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</si>
  <si>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</si>
  <si>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</si>
  <si>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</si>
  <si>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</si>
  <si>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</si>
  <si>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</si>
  <si>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</si>
  <si>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</si>
  <si>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</si>
  <si>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</si>
  <si>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</si>
  <si>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</si>
  <si>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</si>
  <si>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</si>
  <si>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</si>
  <si>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</si>
  <si>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</si>
  <si>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</si>
  <si>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</si>
  <si>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</si>
  <si>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</si>
  <si>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</si>
  <si>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</si>
  <si>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</si>
  <si>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</si>
  <si>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</si>
  <si>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</si>
  <si>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</si>
  <si>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</si>
  <si>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</si>
  <si>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</si>
  <si>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</si>
  <si>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</si>
  <si>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</si>
  <si>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</si>
  <si>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</si>
  <si>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</si>
  <si>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</si>
  <si>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</si>
  <si>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</si>
  <si>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</si>
  <si>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</si>
  <si>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</si>
  <si>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</si>
  <si>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</si>
  <si>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</si>
  <si>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</si>
  <si>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</si>
  <si>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</si>
  <si>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</si>
  <si>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</si>
  <si>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</si>
  <si>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</si>
  <si>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</si>
  <si>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</si>
  <si>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</si>
  <si>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</si>
  <si>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</si>
  <si>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</si>
  <si>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</si>
  <si>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</si>
  <si>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</si>
  <si>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</si>
  <si>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</si>
  <si>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</si>
  <si>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</si>
  <si>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</si>
  <si>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</si>
  <si>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</si>
  <si>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</si>
  <si>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</si>
  <si>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</si>
  <si>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</si>
  <si>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</si>
  <si>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</si>
  <si>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</si>
  <si>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</si>
  <si>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</si>
  <si>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</si>
  <si>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</si>
  <si>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</si>
  <si>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</si>
  <si>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</si>
  <si>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</si>
  <si>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</si>
  <si>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</si>
  <si>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</si>
  <si>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</si>
  <si>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</si>
  <si>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</si>
  <si>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</si>
  <si>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</si>
  <si>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</si>
  <si>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</si>
  <si>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</si>
  <si>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</si>
  <si>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</si>
  <si>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</si>
  <si>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</si>
  <si>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</si>
  <si>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</si>
  <si>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</si>
  <si>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</si>
  <si>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</si>
  <si>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</si>
  <si>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</si>
  <si>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</si>
  <si>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</si>
  <si>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</si>
  <si>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</si>
  <si>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</si>
  <si>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</si>
  <si>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</si>
  <si>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</si>
  <si>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</si>
  <si>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</si>
  <si>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</si>
  <si>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</si>
  <si>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</si>
  <si>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</si>
  <si>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</si>
  <si>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</si>
  <si>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</si>
  <si>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</si>
  <si>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</si>
  <si>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</si>
  <si>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</si>
  <si>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</si>
  <si>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</si>
  <si>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</si>
  <si>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</si>
  <si>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</si>
  <si>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</si>
  <si>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</si>
  <si>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</si>
  <si>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</si>
  <si>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</si>
  <si>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</si>
  <si>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</si>
  <si>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</si>
  <si>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</si>
  <si>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</si>
  <si>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</si>
  <si>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</si>
  <si>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</si>
  <si>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</si>
  <si>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</si>
  <si>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</si>
  <si>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</si>
  <si>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</si>
  <si>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</si>
  <si>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</si>
  <si>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</si>
  <si>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</si>
  <si>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</si>
  <si>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</si>
  <si>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</si>
  <si>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</si>
  <si>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</si>
  <si>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</si>
  <si>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</si>
  <si>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</si>
  <si>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</si>
  <si>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</si>
  <si>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</si>
  <si>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</si>
  <si>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</si>
  <si>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</si>
  <si>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</si>
  <si>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</si>
  <si>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</si>
  <si>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</si>
  <si>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</si>
  <si>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</si>
  <si>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</si>
  <si>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</si>
  <si>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</si>
  <si>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</si>
  <si>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</si>
  <si>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</si>
  <si>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</si>
  <si>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</si>
  <si>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</si>
  <si>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</si>
  <si>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</si>
  <si>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</si>
  <si>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</si>
  <si>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</si>
  <si>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</si>
  <si>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</si>
  <si>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</si>
  <si>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</si>
  <si>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</si>
  <si>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</si>
  <si>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</si>
  <si>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</si>
  <si>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</si>
  <si>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</si>
  <si>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</si>
  <si>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</si>
  <si>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</si>
  <si>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</si>
  <si>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</si>
  <si>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</si>
  <si>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</si>
  <si>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</si>
  <si>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</si>
  <si>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</si>
  <si>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</si>
  <si>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</si>
  <si>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</si>
  <si>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</si>
  <si>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</si>
  <si>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</si>
  <si>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</si>
  <si>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</si>
  <si>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</si>
  <si>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</si>
  <si>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</si>
  <si>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</si>
  <si>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</si>
  <si>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</si>
  <si>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</si>
  <si>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</si>
  <si>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</si>
  <si>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</si>
  <si>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</si>
  <si>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</si>
  <si>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</si>
  <si>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</si>
  <si>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</si>
  <si>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</si>
  <si>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</si>
  <si>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</si>
  <si>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</si>
  <si>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</si>
  <si>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</si>
  <si>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</si>
  <si>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</si>
  <si>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</si>
  <si>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</si>
  <si>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</si>
  <si>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</si>
  <si>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</si>
  <si>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</si>
  <si>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</si>
  <si>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</si>
  <si>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</si>
  <si>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</si>
  <si>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</si>
  <si>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</si>
  <si>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</si>
  <si>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</si>
  <si>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</si>
  <si>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</si>
  <si>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</si>
  <si>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</si>
  <si>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</si>
  <si>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</si>
  <si>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</si>
  <si>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</si>
  <si>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</si>
  <si>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</si>
  <si>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</si>
  <si>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</si>
  <si>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</si>
  <si>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</si>
  <si>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</si>
  <si>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</si>
  <si>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</si>
  <si>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</si>
  <si>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</si>
  <si>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</si>
  <si>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</si>
  <si>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</si>
  <si>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</si>
  <si>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</si>
  <si>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</si>
  <si>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</si>
  <si>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</si>
  <si>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</si>
  <si>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</si>
  <si>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</si>
  <si>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</si>
  <si>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</si>
  <si>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</si>
  <si>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</si>
  <si>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</si>
  <si>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</si>
  <si>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</si>
  <si>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</si>
  <si>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</si>
  <si>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</si>
  <si>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</si>
  <si>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</si>
  <si>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</si>
  <si>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</si>
  <si>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</si>
  <si>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</si>
  <si>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</si>
  <si>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</si>
  <si>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</si>
  <si>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</si>
  <si>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</si>
  <si>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</si>
  <si>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</si>
  <si>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</si>
  <si>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</si>
  <si>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</si>
  <si>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</si>
  <si>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</si>
  <si>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</si>
  <si>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</si>
  <si>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</si>
  <si>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</si>
  <si>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</si>
  <si>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</si>
  <si>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</si>
  <si>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</si>
  <si>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</si>
  <si>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</si>
  <si>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</si>
  <si>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</si>
  <si>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</si>
  <si>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</si>
  <si>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</si>
  <si>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</si>
  <si>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</si>
  <si>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</si>
  <si>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</si>
  <si>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</si>
  <si>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</si>
  <si>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</si>
  <si>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</si>
  <si>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</si>
  <si>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</si>
  <si>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</si>
  <si>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</si>
  <si>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</si>
  <si>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</si>
  <si>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</si>
  <si>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</si>
  <si>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</si>
  <si>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</si>
  <si>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</si>
  <si>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</si>
  <si>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</si>
  <si>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</si>
  <si>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</si>
  <si>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</si>
  <si>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</si>
  <si>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</si>
  <si>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</si>
  <si>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</si>
  <si>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</si>
  <si>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</si>
  <si>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</si>
  <si>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</si>
  <si>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</si>
  <si>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</si>
  <si>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</si>
  <si>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</si>
  <si>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</si>
  <si>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</si>
  <si>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</si>
  <si>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</si>
  <si>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</si>
  <si>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</si>
  <si>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</si>
  <si>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</si>
  <si>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</si>
  <si>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</si>
  <si>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</si>
  <si>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</si>
  <si>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</si>
  <si>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</si>
  <si>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</si>
  <si>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</si>
  <si>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</si>
  <si>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</si>
  <si>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</si>
  <si>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</si>
  <si>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</si>
  <si>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</si>
  <si>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</si>
  <si>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</si>
  <si>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</si>
  <si>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</si>
  <si>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</si>
  <si>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</si>
  <si>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</si>
  <si>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</si>
  <si>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</si>
  <si>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</si>
  <si>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</si>
  <si>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</si>
  <si>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</si>
  <si>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</si>
  <si>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</si>
  <si>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</si>
  <si>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</si>
  <si>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</si>
  <si>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</si>
  <si>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</si>
  <si>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</si>
  <si>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</si>
  <si>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</si>
  <si>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</si>
  <si>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</si>
  <si>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</si>
  <si>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</si>
  <si>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</si>
  <si>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</si>
  <si>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</si>
  <si>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</si>
  <si>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</si>
  <si>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</si>
  <si>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</si>
  <si>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</si>
  <si>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</si>
  <si>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</si>
  <si>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</si>
  <si>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</si>
  <si>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</si>
  <si>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</si>
  <si>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</si>
  <si>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</si>
  <si>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</si>
  <si>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</si>
  <si>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</si>
  <si>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</si>
  <si>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</si>
  <si>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</si>
  <si>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</si>
  <si>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</si>
  <si>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</si>
  <si>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</si>
  <si>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</si>
  <si>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</si>
  <si>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</si>
  <si>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</si>
  <si>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</si>
  <si>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</si>
  <si>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</si>
  <si>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</si>
  <si>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</si>
  <si>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</si>
  <si>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</si>
  <si>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</si>
  <si>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</si>
  <si>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</si>
  <si>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</si>
  <si>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</si>
  <si>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</si>
  <si>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</si>
  <si>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</si>
  <si>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</si>
  <si>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</si>
  <si>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</si>
  <si>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</si>
  <si>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</si>
  <si>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</si>
  <si>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</si>
  <si>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</si>
  <si>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</si>
  <si>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</si>
  <si>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</si>
  <si>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</si>
  <si>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</si>
  <si>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</si>
  <si>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</si>
  <si>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</si>
  <si>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</si>
  <si>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</si>
  <si>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</si>
  <si>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</si>
  <si>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</si>
  <si>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</si>
  <si>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</si>
  <si>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</si>
  <si>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</si>
  <si>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</si>
  <si>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</si>
  <si>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</si>
  <si>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</si>
  <si>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</si>
  <si>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</si>
  <si>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</si>
  <si>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</si>
  <si>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</si>
  <si>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</si>
  <si>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</si>
  <si>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</si>
  <si>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</si>
  <si>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</si>
  <si>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</si>
  <si>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</si>
  <si>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</si>
  <si>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</si>
  <si>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</si>
  <si>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</si>
  <si>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</si>
  <si>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</si>
  <si>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</si>
  <si>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</si>
  <si>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</si>
  <si>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</si>
  <si>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</si>
  <si>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</si>
  <si>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</si>
  <si>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</si>
  <si>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</si>
  <si>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</si>
  <si>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</si>
  <si>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</si>
  <si>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</si>
  <si>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</si>
  <si>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</si>
  <si>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</si>
  <si>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</si>
  <si>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</si>
  <si>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</si>
  <si>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</si>
  <si>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</si>
  <si>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</si>
  <si>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</si>
  <si>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</si>
  <si>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</si>
  <si>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</si>
  <si>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</si>
  <si>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</si>
  <si>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</si>
  <si>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</si>
  <si>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</si>
  <si>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</si>
  <si>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</si>
  <si>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</si>
  <si>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</si>
  <si>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</si>
  <si>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</si>
  <si>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</si>
  <si>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</si>
  <si>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</si>
  <si>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</si>
  <si>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</si>
  <si>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</si>
  <si>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</si>
  <si>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</si>
  <si>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</si>
  <si>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</si>
  <si>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</si>
  <si>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</si>
  <si>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</si>
  <si>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</si>
  <si>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</si>
  <si>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</si>
  <si>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</si>
  <si>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</si>
  <si>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</si>
  <si>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</si>
  <si>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</si>
  <si>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</si>
  <si>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</si>
  <si>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</si>
  <si>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</si>
  <si>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</si>
  <si>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</si>
  <si>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</si>
  <si>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</si>
  <si>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</si>
  <si>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</si>
  <si>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</si>
  <si>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</si>
  <si>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</si>
  <si>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</si>
  <si>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</si>
  <si>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</si>
  <si>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</si>
  <si>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</si>
  <si>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</si>
  <si>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</si>
  <si>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</si>
  <si>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</si>
  <si>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</si>
  <si>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</si>
  <si>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</si>
  <si>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</si>
  <si>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</si>
  <si>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</si>
  <si>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</si>
  <si>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</si>
  <si>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</si>
  <si>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</si>
  <si>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</si>
  <si>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</si>
  <si>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</si>
  <si>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</si>
  <si>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</si>
  <si>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</si>
  <si>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</si>
  <si>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</si>
  <si>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</si>
  <si>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</si>
  <si>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</si>
  <si>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</si>
  <si>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</si>
  <si>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</si>
  <si>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</si>
  <si>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</si>
  <si>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</si>
  <si>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</si>
  <si>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</si>
  <si>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</si>
  <si>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</si>
  <si>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</si>
  <si>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</si>
  <si>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</si>
  <si>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</si>
  <si>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</si>
  <si>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</si>
  <si>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</si>
  <si>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</si>
  <si>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</si>
  <si>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</si>
  <si>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</si>
  <si>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</si>
  <si>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</si>
  <si>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</si>
  <si>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</si>
  <si>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</si>
  <si>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</si>
  <si>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</si>
  <si>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</si>
  <si>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</si>
  <si>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</si>
  <si>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</si>
  <si>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</si>
  <si>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</si>
  <si>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</si>
  <si>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</si>
  <si>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</si>
  <si>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</si>
  <si>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</si>
  <si>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</si>
  <si>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</si>
  <si>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</si>
  <si>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</si>
  <si>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</si>
  <si>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</si>
  <si>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</si>
  <si>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</si>
  <si>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</si>
  <si>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</si>
  <si>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</si>
  <si>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</si>
  <si>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</si>
  <si>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</si>
  <si>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</si>
  <si>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</si>
  <si>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</si>
  <si>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</si>
  <si>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</si>
  <si>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</si>
  <si>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</si>
  <si>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</si>
  <si>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</si>
  <si>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</si>
  <si>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</si>
  <si>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</si>
  <si>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</si>
  <si>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</si>
  <si>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</si>
  <si>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</si>
  <si>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</si>
  <si>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</si>
  <si>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</si>
  <si>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</si>
  <si>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</si>
  <si>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</si>
  <si>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</si>
  <si>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</si>
  <si>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</si>
  <si>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</si>
  <si>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</si>
  <si>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</si>
  <si>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</si>
  <si>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</si>
  <si>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</si>
  <si>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</si>
  <si>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</si>
  <si>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</si>
  <si>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</si>
  <si>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</si>
  <si>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</si>
  <si>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</si>
  <si>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</si>
  <si>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</si>
  <si>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</si>
  <si>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</si>
  <si>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</si>
  <si>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</si>
  <si>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</si>
  <si>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</si>
  <si>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</si>
  <si>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</si>
  <si>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</si>
  <si>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</si>
  <si>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</si>
  <si>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</si>
  <si>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</si>
  <si>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</si>
  <si>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</si>
  <si>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</si>
  <si>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</si>
  <si>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</si>
  <si>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</si>
  <si>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</si>
  <si>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</si>
  <si>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</si>
  <si>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</si>
  <si>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</si>
  <si>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</si>
  <si>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</si>
  <si>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</si>
  <si>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</si>
  <si>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</si>
  <si>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</si>
  <si>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</si>
  <si>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</si>
  <si>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</si>
  <si>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</si>
  <si>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</si>
  <si>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</si>
  <si>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</si>
  <si>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</si>
  <si>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</si>
  <si>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</si>
  <si>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</si>
  <si>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</si>
  <si>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</si>
  <si>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</si>
  <si>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</si>
  <si>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</si>
  <si>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</si>
  <si>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</si>
  <si>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</si>
  <si>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</si>
  <si>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</si>
  <si>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</si>
  <si>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</si>
  <si>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</si>
  <si>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</si>
  <si>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</si>
  <si>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</si>
  <si>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</si>
  <si>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</si>
  <si>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</si>
  <si>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</si>
  <si>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</si>
  <si>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</si>
  <si>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</si>
  <si>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</si>
  <si>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</si>
  <si>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</si>
  <si>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</si>
  <si>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</si>
  <si>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</si>
  <si>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</si>
  <si>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</si>
  <si>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</si>
  <si>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</si>
  <si>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</si>
  <si>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</si>
  <si>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</si>
  <si>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</si>
  <si>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</si>
  <si>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</si>
  <si>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</si>
  <si>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</si>
  <si>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</si>
  <si>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</si>
  <si>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</si>
  <si>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</si>
  <si>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</si>
  <si>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</si>
  <si>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</si>
  <si>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</si>
  <si>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</si>
  <si>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</si>
  <si>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</si>
  <si>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</si>
  <si>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</si>
  <si>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</si>
  <si>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</si>
  <si>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</si>
  <si>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</si>
  <si>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</si>
  <si>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</si>
  <si>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</si>
  <si>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</si>
  <si>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</si>
  <si>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</si>
  <si>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</si>
  <si>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</si>
  <si>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</si>
  <si>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</si>
  <si>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</si>
  <si>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</si>
  <si>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</si>
  <si>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</si>
  <si>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</si>
  <si>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</si>
  <si>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</si>
  <si>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</si>
  <si>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</si>
  <si>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</si>
  <si>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</si>
  <si>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</si>
  <si>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</si>
  <si>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</si>
  <si>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</si>
  <si>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</si>
  <si>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</si>
  <si>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</si>
  <si>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</si>
  <si>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</si>
  <si>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</si>
  <si>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</si>
  <si>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</si>
  <si>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</si>
  <si>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</si>
  <si>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</si>
  <si>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</si>
  <si>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</si>
  <si>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</si>
  <si>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</si>
  <si>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</si>
  <si>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</si>
  <si>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</si>
  <si>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</si>
  <si>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</si>
  <si>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</si>
  <si>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</si>
  <si>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</si>
  <si>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</si>
  <si>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</si>
  <si>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</si>
  <si>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</si>
  <si>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</si>
  <si>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</si>
  <si>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</si>
  <si>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</si>
  <si>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</si>
  <si>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</si>
  <si>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</si>
  <si>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</si>
  <si>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</si>
  <si>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</si>
  <si>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</si>
  <si>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</si>
  <si>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</si>
  <si>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</si>
  <si>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</si>
  <si>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</si>
  <si>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</si>
  <si>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</si>
  <si>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</si>
  <si>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</si>
  <si>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</si>
  <si>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</si>
  <si>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</si>
  <si>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</si>
  <si>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</si>
  <si>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</si>
  <si>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</si>
  <si>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</si>
  <si>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</si>
  <si>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</si>
  <si>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</si>
  <si>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</si>
  <si>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</si>
  <si>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</si>
  <si>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</si>
  <si>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</si>
  <si>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</si>
  <si>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</si>
  <si>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</si>
  <si>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</si>
  <si>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</si>
  <si>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</si>
  <si>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</si>
  <si>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</si>
  <si>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</si>
  <si>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</si>
  <si>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</si>
  <si>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</si>
  <si>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</si>
  <si>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</si>
  <si>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</si>
  <si>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</si>
  <si>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</si>
  <si>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</si>
  <si>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</si>
  <si>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</si>
  <si>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</si>
  <si>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</si>
  <si>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</si>
  <si>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</si>
  <si>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</si>
  <si>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</si>
  <si>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</si>
  <si>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</si>
  <si>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</si>
  <si>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</si>
  <si>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</si>
  <si>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</si>
  <si>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</si>
  <si>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</si>
  <si>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</si>
  <si>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</si>
  <si>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</si>
  <si>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</si>
  <si>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</si>
  <si>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</si>
  <si>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</si>
  <si>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</si>
  <si>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</si>
  <si>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</si>
  <si>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</si>
  <si>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</si>
  <si>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</si>
  <si>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</si>
  <si>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</si>
  <si>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</si>
  <si>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</si>
  <si>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</si>
  <si>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</si>
  <si>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</si>
  <si>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</si>
  <si>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</si>
  <si>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</si>
  <si>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</si>
  <si>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</si>
  <si>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</si>
  <si>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</si>
  <si>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</si>
  <si>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</si>
  <si>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</si>
  <si>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</si>
  <si>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</si>
  <si>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</si>
  <si>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</si>
  <si>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</si>
  <si>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</si>
  <si>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</si>
  <si>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</si>
  <si>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</si>
  <si>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</si>
  <si>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</si>
  <si>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</si>
  <si>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</si>
  <si>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</si>
  <si>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</si>
  <si>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</si>
  <si>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</si>
  <si>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</si>
  <si>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</si>
  <si>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</si>
  <si>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</si>
  <si>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</si>
  <si>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</si>
  <si>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</si>
  <si>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</si>
  <si>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</si>
  <si>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</si>
  <si>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</si>
  <si>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</si>
  <si>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</si>
  <si>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</si>
  <si>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</si>
  <si>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</si>
  <si>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</si>
  <si>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</si>
  <si>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</si>
  <si>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</si>
  <si>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</si>
  <si>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</si>
  <si>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</si>
  <si>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</si>
  <si>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</si>
  <si>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</si>
  <si>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</si>
  <si>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</si>
  <si>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</si>
  <si>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</si>
  <si>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</si>
  <si>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</si>
  <si>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</si>
  <si>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</si>
  <si>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</si>
  <si>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</si>
  <si>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</si>
  <si>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</si>
  <si>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</si>
  <si>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</si>
  <si>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</si>
  <si>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</si>
  <si>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</si>
  <si>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</si>
  <si>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</si>
  <si>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</si>
  <si>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</si>
  <si>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</si>
  <si>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</si>
  <si>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</si>
  <si>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</si>
  <si>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</si>
  <si>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</si>
  <si>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</si>
  <si>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</si>
  <si>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</si>
  <si>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</si>
  <si>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</si>
  <si>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</si>
  <si>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</si>
  <si>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</si>
  <si>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</si>
  <si>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</si>
  <si>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</si>
  <si>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</si>
  <si>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</si>
  <si>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</si>
  <si>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</si>
  <si>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</si>
  <si>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</si>
  <si>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</si>
  <si>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</si>
  <si>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</si>
  <si>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</si>
  <si>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</si>
  <si>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</si>
  <si>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</si>
  <si>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</si>
  <si>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</si>
  <si>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</si>
  <si>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</si>
  <si>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</si>
  <si>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</si>
  <si>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</si>
  <si>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</si>
  <si>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</si>
  <si>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</si>
  <si>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</si>
  <si>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</si>
  <si>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</si>
  <si>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</si>
  <si>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</si>
  <si>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</si>
  <si>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</si>
  <si>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</si>
  <si>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</si>
  <si>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</si>
  <si>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</si>
  <si>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</si>
  <si>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</si>
  <si>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</si>
  <si>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</si>
  <si>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</si>
  <si>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</si>
  <si>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</si>
  <si>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</si>
  <si>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</si>
  <si>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</si>
  <si>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</si>
  <si>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</si>
  <si>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</si>
  <si>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</si>
  <si>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</si>
  <si>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</si>
  <si>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</si>
  <si>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</si>
  <si>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</si>
  <si>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</si>
  <si>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</si>
  <si>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</si>
  <si>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</si>
  <si>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</si>
  <si>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</si>
  <si>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</si>
  <si>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</si>
  <si>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</si>
  <si>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</si>
  <si>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</si>
  <si>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</si>
  <si>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</si>
  <si>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</si>
  <si>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</si>
  <si>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</si>
  <si>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</si>
  <si>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</si>
  <si>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</si>
  <si>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</si>
  <si>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</si>
  <si>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</si>
  <si>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</si>
  <si>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</si>
  <si>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</si>
  <si>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</si>
  <si>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</si>
  <si>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</si>
  <si>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</si>
  <si>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</si>
  <si>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</si>
  <si>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</si>
  <si>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</si>
  <si>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</si>
  <si>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</si>
  <si>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</si>
  <si>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</si>
  <si>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</si>
  <si>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</si>
  <si>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</si>
  <si>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</si>
  <si>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</si>
  <si>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</si>
  <si>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</si>
  <si>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</si>
  <si>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</si>
  <si>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</si>
  <si>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</si>
  <si>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</si>
  <si>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</si>
  <si>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</si>
  <si>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</si>
  <si>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</si>
  <si>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</si>
  <si>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</si>
  <si>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</si>
  <si>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</si>
  <si>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</si>
  <si>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</si>
  <si>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</si>
  <si>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</si>
  <si>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</si>
  <si>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</si>
  <si>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</si>
  <si>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</si>
  <si>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</si>
  <si>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</si>
  <si>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</si>
  <si>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</si>
  <si>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</si>
  <si>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</si>
  <si>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</si>
  <si>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</si>
  <si>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</si>
  <si>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</si>
  <si>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</si>
  <si>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</si>
  <si>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</si>
  <si>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</si>
  <si>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</si>
  <si>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</si>
  <si>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</si>
  <si>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</si>
  <si>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</si>
  <si>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</si>
  <si>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</si>
  <si>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</si>
  <si>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</si>
  <si>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</si>
  <si>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</si>
  <si>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</si>
  <si>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</si>
  <si>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</si>
  <si>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</si>
  <si>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</si>
  <si>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</si>
  <si>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</si>
  <si>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</si>
  <si>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</si>
  <si>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</si>
  <si>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</si>
  <si>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</si>
  <si>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</si>
  <si>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</si>
  <si>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</si>
  <si>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</si>
  <si>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</si>
  <si>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</si>
  <si>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</si>
  <si>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</si>
  <si>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</si>
  <si>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</si>
  <si>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</si>
  <si>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</si>
  <si>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</si>
  <si>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</si>
  <si>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</si>
  <si>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</si>
  <si>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</si>
  <si>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</si>
  <si>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</si>
  <si>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</si>
  <si>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</si>
  <si>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</si>
  <si>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</si>
  <si>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</si>
  <si>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</si>
  <si>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</si>
  <si>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</si>
  <si>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</si>
  <si>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</si>
  <si>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</si>
  <si>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</si>
  <si>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</si>
  <si>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</si>
  <si>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</si>
  <si>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</si>
  <si>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</si>
  <si>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</si>
  <si>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</si>
  <si>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</si>
  <si>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</si>
  <si>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</si>
  <si>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</si>
  <si>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</si>
  <si>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</si>
  <si>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</si>
  <si>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</si>
  <si>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</si>
  <si>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</si>
  <si>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</si>
  <si>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</si>
  <si>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</si>
  <si>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</si>
  <si>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</si>
  <si>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</si>
  <si>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</si>
  <si>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</si>
  <si>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</si>
  <si>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</si>
  <si>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</si>
  <si>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</si>
  <si>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</si>
  <si>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</si>
  <si>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</si>
  <si>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</si>
  <si>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</si>
  <si>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</si>
  <si>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</si>
  <si>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</si>
  <si>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</si>
  <si>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</si>
  <si>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</si>
  <si>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</si>
  <si>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</si>
  <si>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</si>
  <si>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</si>
  <si>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</si>
  <si>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</si>
  <si>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</si>
  <si>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</si>
  <si>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</si>
  <si>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</si>
  <si>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</si>
  <si>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</si>
  <si>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</si>
  <si>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</si>
  <si>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</si>
  <si>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</si>
  <si>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</si>
  <si>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</si>
  <si>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</si>
  <si>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</si>
  <si>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</si>
  <si>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</si>
  <si>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</si>
  <si>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</si>
  <si>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</si>
  <si>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</si>
  <si>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</si>
  <si>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</si>
  <si>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</si>
  <si>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</si>
  <si>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</si>
  <si>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</si>
  <si>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</si>
  <si>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</si>
  <si>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</si>
  <si>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</si>
  <si>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</si>
  <si>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</si>
  <si>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</si>
  <si>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</si>
  <si>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</si>
  <si>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</si>
  <si>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</si>
  <si>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</si>
  <si>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</si>
  <si>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</si>
  <si>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</si>
  <si>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</si>
  <si>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</si>
  <si>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</si>
  <si>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</si>
  <si>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</si>
  <si>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</si>
  <si>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</si>
  <si>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</si>
  <si>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</si>
  <si>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</si>
  <si>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</si>
  <si>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</si>
  <si>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</si>
  <si>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</si>
  <si>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</si>
  <si>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</si>
  <si>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</si>
  <si>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</si>
  <si>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</si>
  <si>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</si>
  <si>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</si>
  <si>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</si>
  <si>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</si>
  <si>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</si>
  <si>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</si>
  <si>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</si>
  <si>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</si>
  <si>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</si>
  <si>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</si>
  <si>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</si>
  <si>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</si>
  <si>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</si>
  <si>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</si>
  <si>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</si>
  <si>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</si>
  <si>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</si>
  <si>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</si>
  <si>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</si>
  <si>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</si>
  <si>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</si>
  <si>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</si>
  <si>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</si>
  <si>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</si>
  <si>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</si>
  <si>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</si>
  <si>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</si>
  <si>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</si>
  <si>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</si>
  <si>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</si>
  <si>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</si>
  <si>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</si>
  <si>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</si>
  <si>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</si>
  <si>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</si>
  <si>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</si>
  <si>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</si>
  <si>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</si>
  <si>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</si>
  <si>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</si>
  <si>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</si>
  <si>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</si>
  <si>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</si>
  <si>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</si>
  <si>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</si>
  <si>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</si>
  <si>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</si>
  <si>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</si>
  <si>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</si>
  <si>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</si>
  <si>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</si>
  <si>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</si>
  <si>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</si>
  <si>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</si>
  <si>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</si>
  <si>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</si>
  <si>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</si>
  <si>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</si>
  <si>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</si>
  <si>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</si>
  <si>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</si>
  <si>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</si>
  <si>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</si>
  <si>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</si>
  <si>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</si>
  <si>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</si>
  <si>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</si>
  <si>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</si>
  <si>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</si>
  <si>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</si>
  <si>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</si>
  <si>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</si>
  <si>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</si>
  <si>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</si>
  <si>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</si>
  <si>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</si>
  <si>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</si>
  <si>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</si>
  <si>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</si>
  <si>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</si>
  <si>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</si>
  <si>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</si>
  <si>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</si>
  <si>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</si>
  <si>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</si>
  <si>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</si>
  <si>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</si>
  <si>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</si>
  <si>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</si>
  <si>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</si>
  <si>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</si>
  <si>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</si>
  <si>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</si>
  <si>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</si>
  <si>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</si>
  <si>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</si>
  <si>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</si>
  <si>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</si>
  <si>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</si>
  <si>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</si>
  <si>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</si>
  <si>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</si>
  <si>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</si>
  <si>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</si>
  <si>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</si>
  <si>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</si>
  <si>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</si>
  <si>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</si>
  <si>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</si>
  <si>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</si>
  <si>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</si>
  <si>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</si>
  <si>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</si>
  <si>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</si>
  <si>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</si>
  <si>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</si>
  <si>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</si>
  <si>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</si>
  <si>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</si>
  <si>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</si>
  <si>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</si>
  <si>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</si>
  <si>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</si>
  <si>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</si>
  <si>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</si>
  <si>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</si>
  <si>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</si>
  <si>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</si>
  <si>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</si>
  <si>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</si>
  <si>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</si>
  <si>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</si>
  <si>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</si>
  <si>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</si>
  <si>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</si>
  <si>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</si>
  <si>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</si>
  <si>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</si>
  <si>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</si>
  <si>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</si>
  <si>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</si>
  <si>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</si>
  <si>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</si>
  <si>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</si>
  <si>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</si>
  <si>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</si>
  <si>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</si>
  <si>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</si>
  <si>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</si>
  <si>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</si>
  <si>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</si>
  <si>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</si>
  <si>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</si>
  <si>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</si>
  <si>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</si>
  <si>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</si>
  <si>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</si>
  <si>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</si>
  <si>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</si>
  <si>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</si>
  <si>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</si>
  <si>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</si>
  <si>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</si>
  <si>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</si>
  <si>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</si>
  <si>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</si>
  <si>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</si>
  <si>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</si>
  <si>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</si>
  <si>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</si>
  <si>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</si>
  <si>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</si>
  <si>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</si>
  <si>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</si>
  <si>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</si>
  <si>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</si>
  <si>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</si>
  <si>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</si>
  <si>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</si>
  <si>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</si>
  <si>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</si>
  <si>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</si>
  <si>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</si>
  <si>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</si>
  <si>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</si>
  <si>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</si>
  <si>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</si>
  <si>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</si>
  <si>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</si>
  <si>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</si>
  <si>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</si>
  <si>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</si>
  <si>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</si>
  <si>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</si>
  <si>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</si>
  <si>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</si>
  <si>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</si>
  <si>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</si>
  <si>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</si>
  <si>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</si>
  <si>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</si>
  <si>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</si>
  <si>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</si>
  <si>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</si>
  <si>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</si>
  <si>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</si>
  <si>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</si>
  <si>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</si>
  <si>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</si>
  <si>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</si>
  <si>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</si>
  <si>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</si>
  <si>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</si>
  <si>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</si>
  <si>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</si>
  <si>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</si>
  <si>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</si>
  <si>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</si>
  <si>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</si>
  <si>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</si>
  <si>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</si>
  <si>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</si>
  <si>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</si>
  <si>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</si>
  <si>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</si>
  <si>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</si>
  <si>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</si>
  <si>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</si>
  <si>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</si>
  <si>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</si>
  <si>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</si>
  <si>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</si>
  <si>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</si>
  <si>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</si>
  <si>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</si>
  <si>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</si>
  <si>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</si>
  <si>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</si>
  <si>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</si>
  <si>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</si>
  <si>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</si>
  <si>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</si>
  <si>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</si>
  <si>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</si>
  <si>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</si>
  <si>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</si>
  <si>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</si>
  <si>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</si>
  <si>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</si>
  <si>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</si>
  <si>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</si>
  <si>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</si>
  <si>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</si>
  <si>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</si>
  <si>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</si>
  <si>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</si>
  <si>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</si>
  <si>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</si>
  <si>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</si>
  <si>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</si>
  <si>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</si>
  <si>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</si>
  <si>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</si>
  <si>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</si>
  <si>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</si>
  <si>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</si>
  <si>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</si>
  <si>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</si>
  <si>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</si>
  <si>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</si>
  <si>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</si>
  <si>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</si>
  <si>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</si>
  <si>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</si>
  <si>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</si>
  <si>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</si>
  <si>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</si>
  <si>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</si>
  <si>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</si>
  <si>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</si>
  <si>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</si>
  <si>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</si>
  <si>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</si>
  <si>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</si>
  <si>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</si>
  <si>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</si>
  <si>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</si>
  <si>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</si>
  <si>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</si>
  <si>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</si>
  <si>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</si>
  <si>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</si>
  <si>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</si>
  <si>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</si>
  <si>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</si>
  <si>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</si>
  <si>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</si>
  <si>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</si>
  <si>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</si>
  <si>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</si>
  <si>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</si>
  <si>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</si>
  <si>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</si>
  <si>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</si>
  <si>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</si>
  <si>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</si>
  <si>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</si>
  <si>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</si>
  <si>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</si>
  <si>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</si>
  <si>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</si>
  <si>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</si>
  <si>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</si>
  <si>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</si>
  <si>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</si>
  <si>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</si>
  <si>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</si>
  <si>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</si>
  <si>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</si>
  <si>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</si>
  <si>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</si>
  <si>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</si>
  <si>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</si>
  <si>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</si>
  <si>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</si>
  <si>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</si>
  <si>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</si>
  <si>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</si>
  <si>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</si>
  <si>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</si>
  <si>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</si>
  <si>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</si>
  <si>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</si>
  <si>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</si>
  <si>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</si>
  <si>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</si>
  <si>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</si>
  <si>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</si>
  <si>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</si>
  <si>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</si>
  <si>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</si>
  <si>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</si>
  <si>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</si>
  <si>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</si>
  <si>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</si>
  <si>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</si>
  <si>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</si>
  <si>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</si>
  <si>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</si>
  <si>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</si>
  <si>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</si>
  <si>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</si>
  <si>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</si>
  <si>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</si>
  <si>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</si>
  <si>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</si>
  <si>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</si>
  <si>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</si>
  <si>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</si>
  <si>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</si>
  <si>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</si>
  <si>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</si>
  <si>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</si>
  <si>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</si>
  <si>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</si>
  <si>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</si>
  <si>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</si>
  <si>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</si>
  <si>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</si>
  <si>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</si>
  <si>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</si>
  <si>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</si>
  <si>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</si>
  <si>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</si>
  <si>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</si>
  <si>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</si>
  <si>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</si>
  <si>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</si>
  <si>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</si>
  <si>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</si>
  <si>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</si>
  <si>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</si>
  <si>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</si>
  <si>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</si>
  <si>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</si>
  <si>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</si>
  <si>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</si>
  <si>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</si>
  <si>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</si>
  <si>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</si>
  <si>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</si>
  <si>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</si>
  <si>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</si>
  <si>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</si>
  <si>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</si>
  <si>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</si>
  <si>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</si>
  <si>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</si>
  <si>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</si>
  <si>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</si>
  <si>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</si>
  <si>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</si>
  <si>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</si>
  <si>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</si>
  <si>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</si>
  <si>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</si>
  <si>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</si>
  <si>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</si>
  <si>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</si>
  <si>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</si>
  <si>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</si>
  <si>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</si>
  <si>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</si>
  <si>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</si>
  <si>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</si>
  <si>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</si>
  <si>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</si>
  <si>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</si>
  <si>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</si>
  <si>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</si>
  <si>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</si>
  <si>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</si>
  <si>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</si>
  <si>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</si>
  <si>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</si>
  <si>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</si>
  <si>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</si>
  <si>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</si>
  <si>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</si>
  <si>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</si>
  <si>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</si>
  <si>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</si>
  <si>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</si>
  <si>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</si>
  <si>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</si>
  <si>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</si>
  <si>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</si>
  <si>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</si>
  <si>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</si>
  <si>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</si>
  <si>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</si>
  <si>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</si>
  <si>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</si>
  <si>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</si>
  <si>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</si>
  <si>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</si>
  <si>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</si>
  <si>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</si>
  <si>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</si>
  <si>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</si>
  <si>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</si>
  <si>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</si>
  <si>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</si>
  <si>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</si>
  <si>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</si>
  <si>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</si>
  <si>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</si>
  <si>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</si>
  <si>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</si>
  <si>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</si>
  <si>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</si>
  <si>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</si>
  <si>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</si>
  <si>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</si>
  <si>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</si>
  <si>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</si>
  <si>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</si>
  <si>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</si>
  <si>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</si>
  <si>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</si>
  <si>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</si>
  <si>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</si>
  <si>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</si>
  <si>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</si>
  <si>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</si>
  <si>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</si>
  <si>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</si>
  <si>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</si>
  <si>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</si>
  <si>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</si>
  <si>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</si>
  <si>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</si>
  <si>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</si>
  <si>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</si>
  <si>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</si>
  <si>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</si>
  <si>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</si>
  <si>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</si>
  <si>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</si>
  <si>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</si>
  <si>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</si>
  <si>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</si>
  <si>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</si>
  <si>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</si>
  <si>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</si>
  <si>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</si>
  <si>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</si>
  <si>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</si>
  <si>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</si>
  <si>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</si>
  <si>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</si>
  <si>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</si>
  <si>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</si>
  <si>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</si>
  <si>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</si>
  <si>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</si>
  <si>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</si>
  <si>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</si>
  <si>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</si>
  <si>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</si>
  <si>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</si>
  <si>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</si>
  <si>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</si>
  <si>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</si>
  <si>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</si>
  <si>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</si>
  <si>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</si>
  <si>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</si>
  <si>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</si>
  <si>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</si>
  <si>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</si>
  <si>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</si>
  <si>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</si>
  <si>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</si>
  <si>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</si>
  <si>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</si>
  <si>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</si>
  <si>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</si>
  <si>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</si>
  <si>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</si>
  <si>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</si>
  <si>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</si>
  <si>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</si>
  <si>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</si>
  <si>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</si>
  <si>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</si>
  <si>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</si>
  <si>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</si>
  <si>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</si>
  <si>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</si>
  <si>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</si>
  <si>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</si>
  <si>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</si>
  <si>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</si>
  <si>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</si>
  <si>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</si>
  <si>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</si>
  <si>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</si>
  <si>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</si>
  <si>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</si>
  <si>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</si>
  <si>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</si>
  <si>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</si>
  <si>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</si>
  <si>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</si>
  <si>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</si>
  <si>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</si>
  <si>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</si>
  <si>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</si>
  <si>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</si>
  <si>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</si>
  <si>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</si>
  <si>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</si>
  <si>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</si>
  <si>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</si>
  <si>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</si>
  <si>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</si>
  <si>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</si>
  <si>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</si>
  <si>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</si>
  <si>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</si>
  <si>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</si>
  <si>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</si>
  <si>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</si>
  <si>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</si>
  <si>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</si>
  <si>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</si>
  <si>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</si>
  <si>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</si>
  <si>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</si>
  <si>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</si>
  <si>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</si>
  <si>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</si>
  <si>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</si>
  <si>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</si>
  <si>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</si>
  <si>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</si>
  <si>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</si>
  <si>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</si>
  <si>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</si>
  <si>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</si>
  <si>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</si>
  <si>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</si>
  <si>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</si>
  <si>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</si>
  <si>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</si>
  <si>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</si>
  <si>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</si>
  <si>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</si>
  <si>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</si>
  <si>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</si>
  <si>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</si>
  <si>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</si>
  <si>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</si>
  <si>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</si>
  <si>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</si>
  <si>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</si>
  <si>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</si>
  <si>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</si>
  <si>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</si>
  <si>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</si>
  <si>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</si>
  <si>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</si>
  <si>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</si>
  <si>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</si>
  <si>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</si>
  <si>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</si>
  <si>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</si>
  <si>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</si>
  <si>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</si>
  <si>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</si>
  <si>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</si>
  <si>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</si>
  <si>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</si>
  <si>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</si>
  <si>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</si>
  <si>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</si>
  <si>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</si>
  <si>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</si>
  <si>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</si>
  <si>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</si>
  <si>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</si>
  <si>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</si>
  <si>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</si>
  <si>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</si>
  <si>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</si>
  <si>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</si>
  <si>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</si>
  <si>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</si>
  <si>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</si>
  <si>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</si>
  <si>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</si>
  <si>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</si>
  <si>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</si>
  <si>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</si>
  <si>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</si>
  <si>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</si>
  <si>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</si>
  <si>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</si>
  <si>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</si>
  <si>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</si>
  <si>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</si>
  <si>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</si>
  <si>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</si>
  <si>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</si>
  <si>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</si>
  <si>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</si>
  <si>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</si>
  <si>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</si>
  <si>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</si>
  <si>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</si>
  <si>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</si>
  <si>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</si>
  <si>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</si>
  <si>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</si>
  <si>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</si>
  <si>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</si>
  <si>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</si>
  <si>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</si>
  <si>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</si>
  <si>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</si>
  <si>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</si>
  <si>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</si>
  <si>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</si>
  <si>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</si>
  <si>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</si>
  <si>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</si>
  <si>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</si>
  <si>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</si>
  <si>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</si>
  <si>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</si>
  <si>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</si>
  <si>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</si>
  <si>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</si>
  <si>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</si>
  <si>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</si>
  <si>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</si>
  <si>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</si>
  <si>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</si>
  <si>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</si>
  <si>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</si>
  <si>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</si>
  <si>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</si>
  <si>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</si>
  <si>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</si>
  <si>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</si>
  <si>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</si>
  <si>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</si>
  <si>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</si>
  <si>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</si>
  <si>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</si>
  <si>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</si>
  <si>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</si>
  <si>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</si>
  <si>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</si>
  <si>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</si>
  <si>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</si>
  <si>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</si>
  <si>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</si>
  <si>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</si>
  <si>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</si>
  <si>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</si>
  <si>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</si>
  <si>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</si>
  <si>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</si>
  <si>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</si>
  <si>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</si>
  <si>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</si>
  <si>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</si>
  <si>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</si>
  <si>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</si>
  <si>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</si>
  <si>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</si>
  <si>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</si>
  <si>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</si>
  <si>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</si>
  <si>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</si>
  <si>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</si>
  <si>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</si>
  <si>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</si>
  <si>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</si>
  <si>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</si>
  <si>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</si>
  <si>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</si>
  <si>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</si>
  <si>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</si>
  <si>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</si>
  <si>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</si>
  <si>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</si>
  <si>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</si>
  <si>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</si>
  <si>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</si>
  <si>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</si>
  <si>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</si>
  <si>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</si>
  <si>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</si>
  <si>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</si>
  <si>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</si>
  <si>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</si>
  <si>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</si>
  <si>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</si>
  <si>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</si>
  <si>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</si>
  <si>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</si>
  <si>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</si>
  <si>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</si>
  <si>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</si>
  <si>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</si>
  <si>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</si>
  <si>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</si>
  <si>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</si>
  <si>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</si>
  <si>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</si>
  <si>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</si>
  <si>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</si>
  <si>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</si>
  <si>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</si>
  <si>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</si>
  <si>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</si>
  <si>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</si>
  <si>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</si>
  <si>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</si>
  <si>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</si>
  <si>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</si>
  <si>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</si>
  <si>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</si>
  <si>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</si>
  <si>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</si>
  <si>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</si>
  <si>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</si>
  <si>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</si>
  <si>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</si>
  <si>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</si>
  <si>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</si>
  <si>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</si>
  <si>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</si>
  <si>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</si>
  <si>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</si>
  <si>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</si>
  <si>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</si>
  <si>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</si>
  <si>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</si>
  <si>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</si>
  <si>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</si>
  <si>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</si>
  <si>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</si>
  <si>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</si>
  <si>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</si>
  <si>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</si>
  <si>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</si>
  <si>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</si>
  <si>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</si>
  <si>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</si>
  <si>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</si>
  <si>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</si>
  <si>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</si>
  <si>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</si>
  <si>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</si>
  <si>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</si>
  <si>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</si>
  <si>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</si>
  <si>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</si>
  <si>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</si>
  <si>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</si>
  <si>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</si>
  <si>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</si>
  <si>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</si>
  <si>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</si>
  <si>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</si>
  <si>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</si>
  <si>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</si>
  <si>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</si>
  <si>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</si>
  <si>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</si>
  <si>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</si>
  <si>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</si>
  <si>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</si>
  <si>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</si>
  <si>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</si>
  <si>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</si>
  <si>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</si>
  <si>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</si>
  <si>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</si>
  <si>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</si>
  <si>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</si>
  <si>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</si>
  <si>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</si>
  <si>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</si>
  <si>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</si>
  <si>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</si>
  <si>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</si>
  <si>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</si>
  <si>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</si>
  <si>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</si>
  <si>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</si>
  <si>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</si>
  <si>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</si>
  <si>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</si>
  <si>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</si>
  <si>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</si>
  <si>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</si>
  <si>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</si>
  <si>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</si>
  <si>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</si>
  <si>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</si>
  <si>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</si>
  <si>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</si>
  <si>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</si>
  <si>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</si>
  <si>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</si>
  <si>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</si>
  <si>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</si>
  <si>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</si>
  <si>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</si>
  <si>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</si>
  <si>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</si>
  <si>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</si>
  <si>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</si>
  <si>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</si>
  <si>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</si>
  <si>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</si>
  <si>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</si>
  <si>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</si>
  <si>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</si>
  <si>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</si>
  <si>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</si>
  <si>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</si>
  <si>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</si>
  <si>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</si>
  <si>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</si>
  <si>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</si>
  <si>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</si>
  <si>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</si>
  <si>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</si>
  <si>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</si>
  <si>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</si>
  <si>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</si>
  <si>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</si>
  <si>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</si>
  <si>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</si>
  <si>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</si>
  <si>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</si>
  <si>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</si>
  <si>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</si>
  <si>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</si>
  <si>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</si>
  <si>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</si>
  <si>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</si>
  <si>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</si>
  <si>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</si>
  <si>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</si>
  <si>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</si>
  <si>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</si>
  <si>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</si>
  <si>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</si>
  <si>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</si>
  <si>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</si>
  <si>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</si>
  <si>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</si>
  <si>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</si>
  <si>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</si>
  <si>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</si>
  <si>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</si>
  <si>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</si>
  <si>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</si>
  <si>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</si>
  <si>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</si>
  <si>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</si>
  <si>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</si>
  <si>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</si>
  <si>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</si>
  <si>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</si>
  <si>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</si>
  <si>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</si>
  <si>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</si>
  <si>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</si>
  <si>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</si>
  <si>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</si>
  <si>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</si>
  <si>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</si>
  <si>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</si>
  <si>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</si>
  <si>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</si>
  <si>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</si>
  <si>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</si>
  <si>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</si>
  <si>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</si>
  <si>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</si>
  <si>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</si>
  <si>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</si>
  <si>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</si>
  <si>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</si>
  <si>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</si>
  <si>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</si>
  <si>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</si>
  <si>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</si>
  <si>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</si>
  <si>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</si>
  <si>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</si>
  <si>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</si>
  <si>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</si>
  <si>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</si>
  <si>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</si>
  <si>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</si>
  <si>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</si>
  <si>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</si>
  <si>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</si>
  <si>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</si>
  <si>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</si>
  <si>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</si>
  <si>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</si>
  <si>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</si>
  <si>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</si>
  <si>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</si>
  <si>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</si>
  <si>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</si>
  <si>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</si>
  <si>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</si>
  <si>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</si>
  <si>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</si>
  <si>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</si>
  <si>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</si>
  <si>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</si>
  <si>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</si>
  <si>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</si>
  <si>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</si>
  <si>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</si>
  <si>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</si>
  <si>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</si>
  <si>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</si>
  <si>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</si>
  <si>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</si>
  <si>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</si>
  <si>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</si>
  <si>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</si>
  <si>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</si>
  <si>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</si>
  <si>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</si>
  <si>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</si>
  <si>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</si>
  <si>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</si>
  <si>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</si>
  <si>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</si>
  <si>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</si>
  <si>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</si>
  <si>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</si>
  <si>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</si>
  <si>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</si>
  <si>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</si>
  <si>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</si>
  <si>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</si>
  <si>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</si>
  <si>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</si>
  <si>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</si>
  <si>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</si>
  <si>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</si>
  <si>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</si>
  <si>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</si>
  <si>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</si>
  <si>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</si>
  <si>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</si>
  <si>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</si>
  <si>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</si>
  <si>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</si>
  <si>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</si>
  <si>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</si>
  <si>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</si>
  <si>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</si>
  <si>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</si>
  <si>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</si>
  <si>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</si>
  <si>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</si>
  <si>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</si>
  <si>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</si>
  <si>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</si>
  <si>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</si>
  <si>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</si>
  <si>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</si>
  <si>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</si>
  <si>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</si>
  <si>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</si>
  <si>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</si>
  <si>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</si>
  <si>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</si>
  <si>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</si>
  <si>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</si>
  <si>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</si>
  <si>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</si>
  <si>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</si>
  <si>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</si>
  <si>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</si>
  <si>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</si>
  <si>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</si>
  <si>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</si>
  <si>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</si>
  <si>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</si>
  <si>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</si>
  <si>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</si>
  <si>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</si>
  <si>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</si>
  <si>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</si>
  <si>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</si>
  <si>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</si>
  <si>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</si>
  <si>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</si>
  <si>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</si>
  <si>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</si>
  <si>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</si>
  <si>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</si>
  <si>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</si>
  <si>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</si>
  <si>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</si>
  <si>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</si>
  <si>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</si>
  <si>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</si>
  <si>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</si>
  <si>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</si>
  <si>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</si>
  <si>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</si>
  <si>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</si>
  <si>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</si>
  <si>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</si>
  <si>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</si>
  <si>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</si>
  <si>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</si>
  <si>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</si>
  <si>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</si>
  <si>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</si>
  <si>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</si>
  <si>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</si>
  <si>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</si>
  <si>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</si>
  <si>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</si>
  <si>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</si>
  <si>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</si>
  <si>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</si>
  <si>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</si>
  <si>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</si>
  <si>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</si>
  <si>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</si>
  <si>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</si>
  <si>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</si>
  <si>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</si>
  <si>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</si>
  <si>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</si>
  <si>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</si>
  <si>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</si>
  <si>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</si>
  <si>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</si>
  <si>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</si>
  <si>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</si>
  <si>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</si>
  <si>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</si>
  <si>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</si>
  <si>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</si>
  <si>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</si>
  <si>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</si>
  <si>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</si>
  <si>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</si>
  <si>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</si>
  <si>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</si>
  <si>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</si>
  <si>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</si>
  <si>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</si>
  <si>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</si>
  <si>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</si>
  <si>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</si>
  <si>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</si>
  <si>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</si>
  <si>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</si>
  <si>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</si>
  <si>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</si>
  <si>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</si>
  <si>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</si>
  <si>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</si>
  <si>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</si>
  <si>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</si>
  <si>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</si>
  <si>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</si>
  <si>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</si>
  <si>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</si>
  <si>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</si>
  <si>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</si>
  <si>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</si>
  <si>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</si>
  <si>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</si>
  <si>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</si>
  <si>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</si>
  <si>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</si>
  <si>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</si>
  <si>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</si>
  <si>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</si>
  <si>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</si>
  <si>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</si>
  <si>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</si>
  <si>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</si>
  <si>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</si>
  <si>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</si>
  <si>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</si>
  <si>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</si>
  <si>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</si>
  <si>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</si>
  <si>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</si>
  <si>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</si>
  <si>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</si>
  <si>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</si>
  <si>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</si>
  <si>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</si>
  <si>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</si>
  <si>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</si>
  <si>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</si>
  <si>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</si>
  <si>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</si>
  <si>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</si>
  <si>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</si>
  <si>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</si>
  <si>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</si>
  <si>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</si>
  <si>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</si>
  <si>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</si>
  <si>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</si>
  <si>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</si>
  <si>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</si>
  <si>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</si>
  <si>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</si>
  <si>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</si>
  <si>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</si>
  <si>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</si>
  <si>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</si>
  <si>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</si>
  <si>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</si>
  <si>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</si>
  <si>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</si>
  <si>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</si>
  <si>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</si>
  <si>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</si>
  <si>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</si>
  <si>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</si>
  <si>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</si>
  <si>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</si>
  <si>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</si>
  <si>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</si>
  <si>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</si>
  <si>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</si>
  <si>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</si>
  <si>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</si>
  <si>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</si>
  <si>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</si>
  <si>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</si>
  <si>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</si>
  <si>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</si>
  <si>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</si>
  <si>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</si>
  <si>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</si>
  <si>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</si>
  <si>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</si>
  <si>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</si>
  <si>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</si>
  <si>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</si>
  <si>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</si>
  <si>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</si>
  <si>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</si>
  <si>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</si>
  <si>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</si>
  <si>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</si>
  <si>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</si>
  <si>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</si>
  <si>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</si>
  <si>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</si>
  <si>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</si>
  <si>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</si>
  <si>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</si>
  <si>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</si>
  <si>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</si>
  <si>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</si>
  <si>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</si>
  <si>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</si>
  <si>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</si>
  <si>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</si>
  <si>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</si>
  <si>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</si>
  <si>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</si>
  <si>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</si>
  <si>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</si>
  <si>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</si>
  <si>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</si>
  <si>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</si>
  <si>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</si>
  <si>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</si>
  <si>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</si>
  <si>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</si>
  <si>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</si>
  <si>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</si>
  <si>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</si>
  <si>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</si>
  <si>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</si>
  <si>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</si>
  <si>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</si>
  <si>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</si>
  <si>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</si>
  <si>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</si>
  <si>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</si>
  <si>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</si>
  <si>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</si>
  <si>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</si>
  <si>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</si>
  <si>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</si>
  <si>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</si>
  <si>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</si>
  <si>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</si>
  <si>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</si>
  <si>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</si>
  <si>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</si>
  <si>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</si>
  <si>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</si>
  <si>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</si>
  <si>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</si>
  <si>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</si>
  <si>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</si>
  <si>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</si>
  <si>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</si>
  <si>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</si>
  <si>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</si>
  <si>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</si>
  <si>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</si>
  <si>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</si>
  <si>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</si>
  <si>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</si>
  <si>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</si>
  <si>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</si>
  <si>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</si>
  <si>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</si>
  <si>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</si>
  <si>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</si>
  <si>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</si>
  <si>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</si>
  <si>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</si>
  <si>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</si>
  <si>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</si>
  <si>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</si>
  <si>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</si>
  <si>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</si>
  <si>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</si>
  <si>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</si>
  <si>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</si>
  <si>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</si>
  <si>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</si>
  <si>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</si>
  <si>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</si>
  <si>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</si>
  <si>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</si>
  <si>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</si>
  <si>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</si>
  <si>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</si>
  <si>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</si>
  <si>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</si>
  <si>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</si>
  <si>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</si>
  <si>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</si>
  <si>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</si>
  <si>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</si>
  <si>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</si>
  <si>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</si>
  <si>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</si>
  <si>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</si>
  <si>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</si>
  <si>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</si>
  <si>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</si>
  <si>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</si>
  <si>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</si>
  <si>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</si>
  <si>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</si>
  <si>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</si>
  <si>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</si>
  <si>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</si>
  <si>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</si>
  <si>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</si>
  <si>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</si>
  <si>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</si>
  <si>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</si>
  <si>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</si>
  <si>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</si>
  <si>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</si>
  <si>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</si>
  <si>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</si>
  <si>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</si>
  <si>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</si>
  <si>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</si>
  <si>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</si>
  <si>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</si>
  <si>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</si>
  <si>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</si>
  <si>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</si>
  <si>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</si>
  <si>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</si>
  <si>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</si>
  <si>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</si>
  <si>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</si>
  <si>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</si>
  <si>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</si>
  <si>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</si>
  <si>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</si>
  <si>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</si>
  <si>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</si>
  <si>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</si>
  <si>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</si>
  <si>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</si>
  <si>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</si>
  <si>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</si>
  <si>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</si>
  <si>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</si>
  <si>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</si>
  <si>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</si>
  <si>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</si>
  <si>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</si>
  <si>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</si>
  <si>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</si>
  <si>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</si>
  <si>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</si>
  <si>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</si>
  <si>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</si>
  <si>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</si>
  <si>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</si>
  <si>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</si>
  <si>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</si>
  <si>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</si>
  <si>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</si>
  <si>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</si>
  <si>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</si>
  <si>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</si>
  <si>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</si>
  <si>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</si>
  <si>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</si>
  <si>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</si>
  <si>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</si>
  <si>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</si>
  <si>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</si>
  <si>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</si>
  <si>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</si>
  <si>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</si>
  <si>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</si>
  <si>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</si>
  <si>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</si>
  <si>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</si>
  <si>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</si>
  <si>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</si>
  <si>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</si>
  <si>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</si>
  <si>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</si>
  <si>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</si>
  <si>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</si>
  <si>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</si>
  <si>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</si>
  <si>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</si>
  <si>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</si>
  <si>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</si>
  <si>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</si>
  <si>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</si>
  <si>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</si>
  <si>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</si>
  <si>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</si>
  <si>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</si>
  <si>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</si>
  <si>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</si>
  <si>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</si>
  <si>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</si>
  <si>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</si>
  <si>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</si>
  <si>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</si>
  <si>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</si>
  <si>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</si>
  <si>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</si>
  <si>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</si>
  <si>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</si>
  <si>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</si>
  <si>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</si>
  <si>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</si>
  <si>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</si>
  <si>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</si>
  <si>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</si>
  <si>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</si>
  <si>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</si>
  <si>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</si>
  <si>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</si>
  <si>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</si>
  <si>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</si>
  <si>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</si>
  <si>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</si>
  <si>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</si>
  <si>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</si>
  <si>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</si>
  <si>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</si>
  <si>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</si>
  <si>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</si>
  <si>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</si>
  <si>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</si>
  <si>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</si>
  <si>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</si>
  <si>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</si>
  <si>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</si>
  <si>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</si>
  <si>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</si>
  <si>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</si>
  <si>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</si>
  <si>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</si>
  <si>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</si>
  <si>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</si>
  <si>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</si>
  <si>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</si>
  <si>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</si>
  <si>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</si>
  <si>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</si>
  <si>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</si>
  <si>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</si>
  <si>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</si>
  <si>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</si>
  <si>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</si>
  <si>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</si>
  <si>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</si>
  <si>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</si>
  <si>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</si>
  <si>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</si>
  <si>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</si>
  <si>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</si>
  <si>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</si>
  <si>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</si>
  <si>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</si>
  <si>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</si>
  <si>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</si>
  <si>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</si>
  <si>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</si>
  <si>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</si>
  <si>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</si>
  <si>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</si>
  <si>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</si>
  <si>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</si>
  <si>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</si>
  <si>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</si>
  <si>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</si>
  <si>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</si>
  <si>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</si>
  <si>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</si>
  <si>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</si>
  <si>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</si>
  <si>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</si>
  <si>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</si>
  <si>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</si>
  <si>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</si>
  <si>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</si>
  <si>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</si>
  <si>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</si>
  <si>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</si>
  <si>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</si>
  <si>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</si>
  <si>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</si>
  <si>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</si>
  <si>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</si>
  <si>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</si>
  <si>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</si>
  <si>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</si>
  <si>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</si>
  <si>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</si>
  <si>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</si>
  <si>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</si>
  <si>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</si>
  <si>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</si>
  <si>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</si>
  <si>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</si>
  <si>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</si>
  <si>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</si>
  <si>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</si>
  <si>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</si>
  <si>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</si>
  <si>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</si>
  <si>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</si>
  <si>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</si>
  <si>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</si>
  <si>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</si>
  <si>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</si>
  <si>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</si>
  <si>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</si>
  <si>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</si>
  <si>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</si>
  <si>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</si>
  <si>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</si>
  <si>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</si>
  <si>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</si>
  <si>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</si>
  <si>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</si>
  <si>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</si>
  <si>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</si>
  <si>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</si>
  <si>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</si>
  <si>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</si>
  <si>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</si>
  <si>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</si>
  <si>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</si>
  <si>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</si>
  <si>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</si>
  <si>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</si>
  <si>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</si>
  <si>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</si>
  <si>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</si>
  <si>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</si>
  <si>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</si>
  <si>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</si>
  <si>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</si>
  <si>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</si>
  <si>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</si>
  <si>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</si>
  <si>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</si>
  <si>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</si>
  <si>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</si>
  <si>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</si>
  <si>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</si>
  <si>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</si>
  <si>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</si>
  <si>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</si>
  <si>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</si>
  <si>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</si>
  <si>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</si>
  <si>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</si>
  <si>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</si>
  <si>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</si>
  <si>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</si>
  <si>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</si>
  <si>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</si>
  <si>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</si>
  <si>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</si>
  <si>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</si>
  <si>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</si>
  <si>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</si>
  <si>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</si>
  <si>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</si>
  <si>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</si>
  <si>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</si>
  <si>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</si>
  <si>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</si>
  <si>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</si>
  <si>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</si>
  <si>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</si>
  <si>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</si>
  <si>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</si>
  <si>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</si>
  <si>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</si>
  <si>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</si>
  <si>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</si>
  <si>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</si>
  <si>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</si>
  <si>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</si>
  <si>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</si>
  <si>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</si>
  <si>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</si>
  <si>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</si>
  <si>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</si>
  <si>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</si>
  <si>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</si>
  <si>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</si>
  <si>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</si>
  <si>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</si>
  <si>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</si>
  <si>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</si>
  <si>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</si>
  <si>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</si>
  <si>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</si>
  <si>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</si>
  <si>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</si>
  <si>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</si>
  <si>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</si>
  <si>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</si>
  <si>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</si>
  <si>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</si>
  <si>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</si>
  <si>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</si>
  <si>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</si>
  <si>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</si>
  <si>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</si>
  <si>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</si>
  <si>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</si>
  <si>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</si>
  <si>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</si>
  <si>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</si>
  <si>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</si>
  <si>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</si>
  <si>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</si>
  <si>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</si>
  <si>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</si>
  <si>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</si>
  <si>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</si>
  <si>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</si>
  <si>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</si>
  <si>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</si>
  <si>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</si>
  <si>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</si>
  <si>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</si>
  <si>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</si>
  <si>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</si>
  <si>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</si>
  <si>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</si>
  <si>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</si>
  <si>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</si>
  <si>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</si>
  <si>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</si>
  <si>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</si>
  <si>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</si>
  <si>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</si>
  <si>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</si>
  <si>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</si>
  <si>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</si>
  <si>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</si>
  <si>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</si>
  <si>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</si>
  <si>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</si>
  <si>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</si>
  <si>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</si>
  <si>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</si>
  <si>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</si>
  <si>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</si>
  <si>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</si>
  <si>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</si>
  <si>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</si>
  <si>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</si>
  <si>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</si>
  <si>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</si>
  <si>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</si>
  <si>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</si>
  <si>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</si>
  <si>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</si>
  <si>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</si>
  <si>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</si>
  <si>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</si>
  <si>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</si>
  <si>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</si>
  <si>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</si>
  <si>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</si>
  <si>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</si>
  <si>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</si>
  <si>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</si>
  <si>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</si>
  <si>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</si>
  <si>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</si>
  <si>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</si>
  <si>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</si>
  <si>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</si>
  <si>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</si>
  <si>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</si>
  <si>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</si>
  <si>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</si>
  <si>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</si>
  <si>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</si>
  <si>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</si>
  <si>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</si>
  <si>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</si>
  <si>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</si>
  <si>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</si>
  <si>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</si>
  <si>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</si>
  <si>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</si>
  <si>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</si>
  <si>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</si>
  <si>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</si>
  <si>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</si>
  <si>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</si>
  <si>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</si>
  <si>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</si>
  <si>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</si>
  <si>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</si>
  <si>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</si>
  <si>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</si>
  <si>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</si>
  <si>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</si>
  <si>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</si>
  <si>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</si>
  <si>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</si>
  <si>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</si>
  <si>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</si>
  <si>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</si>
  <si>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</si>
  <si>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</si>
  <si>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</si>
  <si>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</si>
  <si>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</si>
  <si>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</si>
  <si>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</si>
  <si>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</si>
  <si>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</si>
  <si>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</si>
  <si>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</si>
  <si>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</si>
  <si>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</si>
  <si>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</si>
  <si>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</si>
  <si>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</si>
  <si>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</si>
  <si>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</si>
  <si>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</si>
  <si>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</si>
  <si>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</si>
  <si>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</si>
  <si>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</si>
  <si>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</si>
  <si>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</si>
  <si>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</si>
  <si>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</si>
  <si>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</si>
  <si>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</si>
  <si>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</si>
  <si>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</si>
  <si>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</si>
  <si>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</si>
  <si>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</si>
  <si>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</si>
  <si>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</si>
  <si>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</si>
  <si>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</si>
  <si>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</si>
  <si>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</si>
  <si>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</si>
  <si>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</si>
  <si>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</si>
  <si>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</si>
  <si>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</si>
  <si>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</si>
  <si>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</si>
  <si>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</si>
  <si>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</si>
  <si>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</si>
  <si>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</si>
  <si>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</si>
  <si>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</si>
  <si>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</si>
  <si>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</si>
  <si>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</si>
  <si>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</si>
  <si>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</si>
  <si>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</si>
  <si>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</si>
  <si>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</si>
  <si>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</si>
  <si>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</si>
  <si>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</si>
  <si>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</si>
  <si>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</si>
  <si>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</si>
  <si>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</si>
  <si>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</si>
  <si>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</si>
  <si>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</si>
  <si>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</si>
  <si>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</si>
  <si>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</si>
  <si>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</si>
  <si>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</si>
  <si>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</si>
  <si>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</si>
  <si>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</si>
  <si>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</si>
  <si>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</si>
  <si>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</si>
  <si>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</si>
  <si>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</si>
  <si>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</si>
  <si>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</si>
  <si>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</si>
  <si>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</si>
  <si>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</si>
  <si>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</si>
  <si>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</si>
  <si>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</si>
  <si>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</si>
  <si>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</si>
  <si>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</si>
  <si>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</si>
  <si>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</si>
  <si>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</si>
  <si>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</si>
  <si>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</si>
  <si>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</si>
  <si>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</si>
  <si>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</si>
  <si>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</si>
  <si>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</si>
  <si>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</si>
  <si>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</si>
  <si>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</si>
  <si>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</si>
  <si>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</si>
  <si>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</si>
  <si>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</si>
  <si>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</si>
  <si>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</si>
  <si>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</si>
  <si>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</si>
  <si>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</si>
  <si>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</si>
  <si>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</si>
  <si>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</si>
  <si>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</si>
  <si>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</si>
  <si>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</si>
  <si>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</si>
  <si>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</si>
  <si>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</si>
  <si>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</si>
  <si>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</si>
  <si>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</si>
  <si>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</si>
  <si>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</si>
  <si>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</si>
  <si>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</si>
  <si>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</si>
  <si>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</si>
  <si>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</si>
  <si>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</si>
  <si>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</si>
  <si>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</si>
  <si>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</si>
  <si>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</si>
  <si>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</si>
  <si>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</si>
  <si>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</si>
  <si>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</si>
  <si>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</si>
  <si>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</si>
  <si>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</si>
  <si>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</si>
  <si>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</si>
  <si>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</si>
  <si>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</si>
  <si>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</si>
  <si>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</si>
  <si>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</si>
  <si>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</si>
  <si>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</si>
  <si>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</si>
  <si>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</si>
  <si>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</si>
  <si>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</si>
  <si>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</si>
  <si>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</si>
  <si>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</si>
  <si>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</si>
  <si>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</si>
  <si>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</si>
  <si>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</si>
  <si>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</si>
  <si>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</si>
  <si>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</si>
  <si>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</si>
  <si>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</si>
  <si>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</si>
  <si>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</si>
  <si>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</si>
  <si>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</si>
  <si>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</si>
  <si>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</si>
  <si>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</si>
  <si>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</si>
  <si>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</si>
  <si>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</si>
  <si>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</si>
  <si>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</si>
  <si>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</si>
  <si>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</si>
  <si>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</si>
  <si>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</si>
  <si>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</si>
  <si>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</si>
  <si>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</si>
  <si>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</si>
  <si>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</si>
  <si>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</si>
  <si>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</si>
  <si>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</si>
  <si>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</si>
  <si>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</si>
  <si>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</si>
  <si>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</si>
  <si>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</si>
  <si>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</si>
  <si>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</si>
  <si>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</si>
  <si>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</si>
  <si>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</si>
  <si>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</si>
  <si>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</si>
  <si>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</si>
  <si>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</si>
  <si>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</si>
  <si>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</si>
  <si>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</si>
  <si>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</si>
  <si>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</si>
  <si>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</si>
  <si>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</si>
  <si>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</si>
  <si>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</si>
  <si>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</si>
  <si>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</si>
  <si>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</si>
  <si>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</si>
  <si>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</si>
  <si>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</si>
  <si>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</si>
  <si>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</si>
  <si>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</si>
  <si>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</si>
  <si>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</si>
  <si>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</si>
  <si>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</si>
  <si>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</si>
  <si>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</si>
  <si>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</si>
  <si>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</si>
  <si>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</si>
  <si>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</si>
  <si>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</si>
  <si>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</si>
  <si>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</si>
  <si>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</si>
  <si>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</si>
  <si>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</si>
  <si>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</si>
  <si>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</si>
  <si>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</si>
  <si>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</si>
  <si>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</si>
  <si>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</si>
  <si>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</si>
  <si>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</si>
  <si>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</si>
  <si>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</si>
  <si>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</si>
  <si>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</si>
  <si>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</si>
  <si>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</si>
  <si>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</si>
  <si>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</si>
  <si>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</si>
  <si>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</si>
  <si>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</si>
  <si>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</si>
  <si>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</si>
  <si>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</si>
  <si>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</si>
  <si>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</si>
  <si>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</si>
  <si>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</si>
  <si>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</si>
  <si>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</si>
  <si>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</si>
  <si>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</si>
  <si>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</si>
  <si>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</si>
  <si>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</si>
  <si>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</si>
  <si>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</si>
  <si>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</si>
  <si>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</si>
  <si>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</si>
  <si>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</si>
  <si>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</si>
  <si>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</si>
  <si>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</si>
  <si>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</si>
  <si>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</si>
  <si>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</si>
  <si>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</si>
  <si>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</si>
  <si>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</si>
  <si>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</si>
  <si>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</si>
  <si>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</si>
  <si>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</si>
  <si>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</si>
  <si>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</si>
  <si>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</si>
  <si>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</si>
  <si>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</si>
  <si>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</si>
  <si>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</si>
  <si>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</si>
  <si>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</si>
  <si>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</si>
  <si>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</si>
  <si>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</si>
  <si>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</si>
  <si>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</si>
  <si>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</si>
  <si>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</si>
  <si>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</si>
  <si>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</si>
  <si>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</si>
  <si>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</si>
  <si>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</si>
  <si>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</si>
  <si>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</si>
  <si>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</si>
  <si>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</si>
  <si>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</si>
  <si>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</si>
  <si>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</si>
  <si>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</si>
  <si>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</si>
  <si>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</si>
  <si>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</si>
  <si>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</si>
  <si>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</si>
  <si>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</si>
  <si>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</si>
  <si>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</si>
  <si>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</si>
  <si>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</si>
  <si>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</si>
  <si>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</si>
  <si>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</si>
  <si>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</si>
  <si>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</si>
  <si>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</si>
  <si>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</si>
  <si>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</si>
  <si>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</si>
  <si>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</si>
  <si>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</si>
  <si>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</si>
  <si>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</si>
  <si>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</si>
  <si>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</si>
  <si>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</si>
  <si>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</si>
  <si>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</si>
  <si>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</si>
  <si>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</si>
  <si>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</si>
  <si>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</si>
  <si>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</si>
  <si>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</si>
  <si>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</si>
  <si>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</si>
  <si>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</si>
  <si>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</si>
  <si>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</si>
  <si>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</si>
  <si>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</si>
  <si>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</si>
  <si>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</si>
  <si>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</si>
  <si>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</si>
  <si>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</si>
  <si>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</si>
  <si>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</si>
  <si>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</si>
  <si>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</si>
  <si>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</si>
  <si>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</si>
  <si>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</si>
  <si>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</si>
  <si>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</si>
  <si>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</si>
  <si>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</si>
  <si>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</si>
  <si>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</si>
  <si>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</si>
  <si>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</si>
  <si>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</si>
  <si>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</si>
  <si>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</si>
  <si>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</si>
  <si>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</si>
  <si>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</si>
  <si>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</si>
  <si>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</si>
  <si>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</si>
  <si>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</si>
  <si>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</si>
  <si>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</si>
  <si>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</si>
  <si>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</si>
  <si>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</si>
  <si>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</si>
  <si>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</si>
  <si>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</si>
  <si>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</si>
  <si>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</si>
  <si>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</si>
  <si>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</si>
  <si>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</si>
  <si>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</si>
  <si>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</si>
  <si>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</si>
  <si>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</si>
  <si>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</si>
  <si>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</si>
  <si>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</si>
  <si>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</si>
  <si>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</si>
  <si>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</si>
  <si>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</si>
  <si>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</si>
  <si>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</si>
  <si>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</si>
  <si>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</si>
  <si>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</si>
  <si>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</si>
  <si>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</si>
  <si>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</si>
  <si>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</si>
  <si>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</si>
  <si>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</si>
  <si>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</si>
  <si>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</si>
  <si>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</si>
  <si>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</si>
  <si>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</si>
  <si>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</si>
  <si>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</si>
  <si>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</si>
  <si>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</si>
  <si>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</si>
  <si>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</si>
  <si>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</si>
  <si>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</si>
  <si>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</si>
  <si>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</si>
  <si>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</si>
  <si>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</si>
  <si>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</si>
  <si>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</si>
  <si>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</si>
  <si>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</si>
  <si>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</si>
  <si>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</si>
  <si>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</si>
  <si>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</si>
  <si>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</si>
  <si>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</si>
  <si>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</si>
  <si>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</si>
  <si>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</si>
  <si>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</si>
  <si>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</si>
  <si>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</si>
  <si>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</si>
  <si>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</si>
  <si>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</si>
  <si>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</si>
  <si>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</si>
  <si>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</si>
  <si>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</si>
  <si>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</si>
  <si>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</si>
  <si>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</si>
  <si>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</si>
  <si>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</si>
  <si>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</si>
  <si>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</si>
  <si>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</si>
  <si>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</si>
  <si>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</si>
  <si>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</si>
  <si>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</si>
  <si>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</si>
  <si>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</si>
  <si>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</si>
  <si>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</si>
  <si>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</si>
  <si>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</si>
  <si>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</si>
  <si>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</si>
  <si>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</si>
  <si>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</si>
  <si>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</si>
  <si>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</si>
  <si>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</si>
  <si>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</si>
  <si>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</si>
  <si>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</si>
  <si>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</si>
  <si>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</si>
  <si>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</si>
  <si>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</si>
  <si>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</si>
  <si>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</si>
  <si>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</si>
  <si>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</si>
  <si>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</si>
  <si>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</si>
  <si>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</si>
  <si>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</si>
  <si>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</si>
  <si>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</si>
  <si>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</si>
  <si>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</si>
  <si>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</si>
  <si>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</si>
  <si>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</si>
  <si>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</si>
  <si>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</si>
  <si>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</si>
  <si>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</si>
  <si>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</si>
  <si>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</si>
  <si>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</si>
  <si>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</si>
  <si>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</si>
  <si>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</si>
  <si>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</si>
  <si>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</si>
  <si>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</si>
  <si>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</si>
  <si>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</si>
  <si>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</si>
  <si>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</si>
  <si>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</si>
  <si>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</si>
  <si>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</si>
  <si>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</si>
  <si>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</si>
  <si>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</si>
  <si>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</si>
  <si>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</si>
  <si>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</si>
  <si>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</si>
  <si>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</si>
  <si>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</si>
  <si>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</si>
  <si>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</si>
  <si>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</si>
  <si>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</si>
  <si>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</si>
  <si>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</si>
  <si>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</si>
  <si>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</si>
  <si>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</si>
  <si>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</si>
  <si>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</si>
  <si>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</si>
  <si>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</si>
  <si>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</si>
  <si>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</si>
  <si>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</si>
  <si>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</si>
  <si>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</si>
  <si>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</si>
  <si>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</si>
  <si>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</si>
  <si>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</si>
  <si>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</si>
  <si>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</si>
  <si>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</si>
  <si>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</si>
  <si>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</si>
  <si>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</si>
  <si>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</si>
  <si>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</si>
  <si>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</si>
  <si>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</si>
  <si>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</si>
  <si>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</si>
  <si>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</si>
  <si>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</si>
  <si>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</si>
  <si>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</si>
  <si>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</si>
  <si>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</si>
  <si>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</si>
  <si>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</si>
  <si>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</si>
  <si>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</si>
  <si>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</si>
  <si>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</si>
  <si>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</si>
  <si>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</si>
  <si>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</si>
  <si>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</si>
  <si>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</si>
  <si>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</si>
  <si>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</si>
  <si>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</si>
  <si>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</si>
  <si>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</si>
  <si>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</si>
  <si>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</si>
  <si>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</si>
  <si>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</si>
  <si>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</si>
  <si>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</si>
  <si>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</si>
  <si>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</si>
  <si>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</si>
  <si>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</si>
  <si>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</si>
  <si>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</si>
  <si>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</si>
  <si>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</si>
  <si>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</si>
  <si>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</si>
  <si>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</si>
  <si>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</si>
  <si>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</si>
  <si>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</si>
  <si>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</si>
  <si>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</si>
  <si>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</si>
  <si>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</si>
  <si>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</si>
  <si>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</si>
  <si>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</si>
  <si>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</si>
  <si>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</si>
  <si>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</si>
  <si>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</si>
  <si>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</si>
  <si>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</si>
  <si>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</si>
  <si>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</si>
  <si>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</si>
  <si>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</si>
  <si>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</si>
  <si>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</si>
  <si>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</si>
  <si>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</si>
  <si>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</si>
  <si>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</si>
  <si>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</si>
  <si>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</si>
  <si>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</si>
  <si>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</si>
  <si>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</si>
  <si>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</si>
  <si>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</si>
  <si>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</si>
  <si>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</si>
  <si>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</si>
  <si>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</si>
  <si>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</si>
  <si>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</si>
  <si>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</si>
  <si>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</si>
  <si>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</si>
  <si>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</si>
  <si>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</si>
  <si>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</si>
  <si>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</si>
  <si>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</si>
  <si>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</si>
  <si>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</si>
  <si>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</si>
  <si>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</si>
  <si>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</si>
  <si>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</si>
  <si>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</si>
  <si>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</si>
  <si>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</si>
  <si>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</si>
  <si>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</si>
  <si>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</si>
  <si>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</si>
  <si>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</si>
  <si>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</si>
  <si>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</si>
  <si>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</si>
  <si>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</si>
  <si>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</si>
  <si>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</si>
  <si>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</si>
  <si>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</si>
  <si>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</si>
  <si>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</si>
  <si>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</si>
  <si>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</si>
  <si>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</si>
  <si>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</si>
  <si>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</si>
  <si>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</si>
  <si>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</si>
  <si>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</si>
  <si>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</si>
  <si>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</si>
  <si>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</si>
  <si>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</si>
  <si>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</si>
  <si>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</si>
  <si>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</si>
  <si>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</si>
  <si>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</si>
  <si>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</si>
  <si>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</si>
  <si>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</si>
  <si>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</si>
  <si>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</si>
  <si>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</si>
  <si>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</si>
  <si>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</si>
  <si>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</si>
  <si>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</si>
  <si>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</si>
  <si>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</si>
  <si>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</si>
  <si>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</si>
  <si>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</si>
  <si>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</si>
  <si>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</si>
  <si>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</si>
  <si>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</si>
  <si>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</si>
  <si>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</si>
  <si>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</si>
  <si>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</si>
  <si>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</si>
  <si>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</si>
  <si>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</si>
  <si>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</si>
  <si>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</si>
  <si>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</si>
  <si>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</si>
  <si>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</si>
  <si>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</si>
  <si>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</si>
  <si>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</si>
  <si>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</si>
  <si>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</si>
  <si>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</si>
  <si>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</si>
  <si>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</si>
  <si>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</si>
  <si>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</si>
  <si>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</si>
  <si>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</si>
  <si>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</si>
  <si>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</si>
  <si>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</si>
  <si>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</si>
  <si>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</si>
  <si>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</si>
  <si>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</si>
  <si>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</si>
  <si>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</si>
  <si>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</si>
  <si>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</si>
  <si>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</si>
  <si>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</si>
  <si>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</si>
  <si>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</si>
  <si>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</si>
  <si>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</si>
  <si>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</si>
  <si>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</si>
  <si>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</si>
  <si>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</si>
  <si>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</si>
  <si>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</si>
  <si>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</si>
  <si>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</si>
  <si>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</si>
  <si>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</si>
  <si>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</si>
  <si>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</si>
  <si>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</si>
  <si>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</si>
  <si>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</si>
  <si>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</si>
  <si>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</si>
  <si>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</si>
  <si>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</si>
  <si>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</si>
  <si>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</si>
  <si>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</si>
  <si>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</si>
  <si>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</si>
  <si>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</si>
  <si>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</si>
  <si>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</si>
  <si>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</si>
  <si>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</si>
  <si>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</si>
  <si>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</si>
  <si>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</si>
  <si>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</si>
  <si>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</si>
  <si>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</si>
  <si>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</si>
  <si>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</si>
  <si>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</si>
  <si>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</si>
  <si>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</si>
  <si>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</si>
  <si>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</si>
  <si>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</si>
  <si>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</si>
  <si>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</si>
  <si>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</si>
  <si>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</si>
  <si>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</si>
  <si>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</si>
  <si>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</si>
  <si>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</si>
  <si>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</si>
  <si>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</si>
  <si>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</si>
  <si>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</si>
  <si>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</si>
  <si>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</si>
  <si>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</si>
  <si>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</si>
  <si>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</si>
  <si>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</si>
  <si>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</si>
  <si>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</si>
  <si>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</si>
  <si>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</si>
  <si>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</si>
  <si>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</si>
  <si>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</si>
  <si>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</si>
  <si>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</si>
  <si>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</si>
  <si>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</si>
  <si>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</si>
  <si>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</si>
  <si>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</si>
  <si>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</si>
  <si>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</si>
  <si>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</si>
  <si>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</si>
  <si>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</si>
  <si>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</si>
  <si>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</si>
  <si>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</si>
  <si>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</si>
  <si>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</si>
  <si>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</si>
  <si>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</si>
  <si>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</si>
  <si>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</si>
  <si>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</si>
  <si>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</si>
  <si>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</si>
  <si>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</si>
  <si>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</si>
  <si>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</si>
  <si>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</si>
  <si>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</si>
  <si>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</si>
  <si>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</si>
  <si>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</si>
  <si>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</si>
  <si>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</si>
  <si>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</si>
  <si>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</si>
  <si>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</si>
  <si>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</si>
  <si>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</si>
  <si>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</si>
  <si>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</si>
  <si>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</si>
  <si>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</si>
  <si>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</si>
  <si>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</si>
  <si>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</si>
  <si>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</si>
  <si>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</si>
  <si>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</si>
  <si>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</si>
  <si>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</si>
  <si>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</si>
  <si>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</si>
  <si>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</si>
  <si>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</si>
  <si>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</si>
  <si>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</si>
  <si>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</si>
  <si>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</si>
  <si>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</si>
  <si>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</si>
  <si>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</si>
  <si>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</si>
  <si>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</si>
  <si>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</si>
  <si>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</si>
  <si>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</si>
  <si>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</si>
  <si>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</si>
  <si>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</si>
  <si>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</si>
  <si>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</si>
  <si>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</si>
  <si>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</si>
  <si>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</si>
  <si>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</si>
  <si>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</si>
  <si>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</si>
  <si>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</si>
  <si>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</si>
  <si>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</si>
  <si>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</si>
  <si>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</si>
  <si>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</si>
  <si>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</si>
  <si>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</si>
  <si>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</si>
  <si>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</si>
  <si>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</si>
  <si>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</si>
  <si>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</si>
  <si>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</si>
  <si>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</si>
  <si>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</si>
  <si>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</si>
  <si>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</si>
  <si>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</si>
  <si>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</si>
  <si>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</si>
  <si>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</si>
  <si>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</si>
  <si>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</si>
  <si>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</si>
  <si>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</si>
  <si>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</si>
  <si>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</si>
  <si>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</si>
  <si>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</si>
  <si>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</si>
  <si>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</si>
  <si>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</si>
  <si>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</si>
  <si>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</si>
  <si>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</si>
  <si>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</si>
  <si>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</si>
  <si>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</si>
  <si>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</si>
  <si>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</si>
  <si>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</si>
  <si>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</si>
  <si>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</si>
  <si>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</si>
  <si>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</si>
  <si>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</si>
  <si>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</si>
  <si>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</si>
  <si>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</si>
  <si>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</si>
  <si>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</si>
  <si>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</si>
  <si>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</si>
  <si>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</si>
  <si>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</si>
  <si>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</si>
  <si>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</si>
  <si>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</si>
  <si>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</si>
  <si>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</si>
  <si>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</si>
  <si>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</si>
  <si>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</si>
  <si>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</si>
  <si>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</si>
  <si>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</si>
  <si>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</si>
  <si>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</si>
  <si>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</si>
  <si>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</si>
  <si>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</si>
  <si>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</si>
  <si>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</si>
  <si>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</si>
  <si>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</si>
  <si>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</si>
  <si>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</si>
  <si>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</si>
  <si>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</si>
  <si>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</si>
  <si>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</si>
  <si>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</si>
  <si>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</si>
  <si>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</si>
  <si>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</si>
  <si>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</si>
  <si>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</si>
  <si>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</si>
  <si>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</si>
  <si>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</si>
  <si>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</si>
  <si>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</si>
  <si>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</si>
  <si>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</si>
  <si>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</si>
  <si>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</si>
  <si>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</si>
  <si>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</si>
  <si>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</si>
  <si>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</si>
  <si>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</si>
  <si>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</si>
  <si>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</si>
  <si>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</si>
  <si>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</si>
  <si>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</si>
  <si>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</si>
  <si>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</si>
  <si>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</si>
  <si>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</si>
  <si>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</si>
  <si>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</si>
  <si>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</si>
  <si>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</si>
  <si>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</si>
  <si>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</si>
  <si>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</si>
  <si>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</si>
  <si>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</si>
  <si>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</si>
  <si>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</si>
  <si>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</si>
  <si>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</si>
  <si>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</si>
  <si>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</si>
  <si>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</si>
  <si>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</si>
  <si>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</si>
  <si>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</si>
  <si>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</si>
  <si>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</si>
  <si>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</si>
  <si>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</si>
  <si>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</si>
  <si>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</si>
  <si>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</si>
  <si>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</si>
  <si>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</si>
  <si>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</si>
  <si>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</si>
  <si>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</si>
  <si>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</si>
  <si>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</si>
  <si>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</si>
  <si>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</si>
  <si>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</si>
  <si>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</si>
  <si>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</si>
  <si>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</si>
  <si>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</si>
  <si>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</si>
  <si>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</si>
  <si>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</si>
  <si>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</si>
  <si>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</si>
  <si>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</si>
  <si>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</si>
  <si>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</si>
  <si>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</si>
  <si>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</si>
  <si>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</si>
  <si>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</si>
  <si>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</si>
  <si>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</si>
  <si>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</si>
  <si>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</si>
  <si>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</si>
  <si>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</si>
  <si>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</si>
  <si>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</si>
  <si>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</si>
  <si>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</si>
  <si>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</si>
  <si>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</si>
  <si>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</si>
  <si>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</si>
  <si>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</si>
  <si>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</si>
  <si>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</si>
  <si>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</si>
  <si>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</si>
  <si>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</si>
  <si>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</si>
  <si>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</si>
  <si>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</si>
  <si>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</si>
  <si>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</si>
  <si>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</si>
  <si>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</si>
  <si>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</si>
  <si>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</si>
  <si>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</si>
  <si>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</si>
  <si>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</si>
  <si>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</si>
  <si>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</si>
  <si>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</si>
  <si>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</si>
  <si>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</si>
  <si>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</si>
  <si>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</si>
  <si>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</si>
  <si>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</si>
  <si>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</si>
  <si>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</si>
  <si>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</si>
  <si>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</si>
  <si>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</si>
  <si>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</si>
  <si>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</si>
  <si>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</si>
  <si>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</si>
  <si>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</si>
  <si>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</si>
  <si>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</si>
  <si>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</si>
  <si>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</si>
  <si>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</si>
  <si>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</si>
  <si>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</si>
  <si>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</si>
  <si>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</si>
  <si>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</si>
  <si>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</si>
  <si>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</si>
  <si>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</si>
  <si>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</si>
  <si>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</si>
  <si>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</si>
  <si>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</si>
  <si>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</si>
  <si>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</si>
  <si>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</si>
  <si>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</si>
  <si>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</si>
  <si>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</si>
  <si>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</si>
  <si>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</si>
  <si>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</si>
  <si>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</si>
  <si>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</si>
  <si>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</si>
  <si>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</si>
  <si>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</si>
  <si>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</si>
  <si>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</si>
  <si>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</si>
  <si>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</si>
  <si>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</si>
  <si>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</si>
  <si>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</si>
  <si>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</si>
  <si>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</si>
  <si>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</si>
  <si>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</si>
  <si>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</si>
  <si>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</si>
  <si>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</si>
  <si>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</si>
  <si>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</si>
  <si>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</si>
  <si>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</si>
  <si>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</si>
  <si>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</si>
  <si>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</si>
  <si>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</si>
  <si>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</si>
  <si>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</si>
  <si>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</si>
  <si>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</si>
  <si>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</si>
  <si>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</si>
  <si>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</si>
  <si>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</si>
  <si>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</si>
  <si>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</si>
  <si>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</si>
  <si>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</si>
  <si>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</si>
  <si>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</si>
  <si>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</si>
  <si>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</si>
  <si>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</si>
  <si>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</si>
  <si>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</si>
  <si>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</si>
  <si>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</si>
  <si>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</si>
  <si>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</si>
  <si>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</si>
  <si>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</si>
  <si>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</si>
  <si>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</si>
  <si>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</si>
  <si>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</si>
  <si>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</si>
  <si>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</si>
  <si>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</si>
  <si>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</si>
  <si>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</si>
  <si>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</si>
  <si>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</si>
  <si>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</si>
  <si>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</si>
  <si>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</si>
  <si>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</si>
  <si>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</si>
  <si>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</si>
  <si>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</si>
  <si>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</si>
  <si>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</si>
  <si>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</si>
  <si>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</si>
  <si>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</si>
  <si>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</si>
  <si>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</si>
  <si>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</si>
  <si>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</si>
  <si>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</si>
  <si>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</si>
  <si>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</si>
  <si>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</si>
  <si>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</si>
  <si>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</si>
  <si>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</si>
  <si>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</si>
  <si>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</si>
  <si>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</si>
  <si>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</si>
  <si>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</si>
  <si>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</si>
  <si>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</si>
  <si>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</si>
  <si>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</si>
  <si>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</si>
  <si>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</si>
  <si>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</si>
  <si>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</si>
  <si>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</si>
  <si>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</si>
  <si>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</si>
  <si>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</si>
  <si>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</si>
  <si>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</si>
  <si>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</si>
  <si>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</si>
  <si>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</si>
  <si>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</si>
  <si>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</si>
  <si>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</si>
  <si>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</si>
  <si>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</si>
  <si>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</si>
  <si>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</si>
  <si>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</si>
  <si>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</si>
  <si>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</si>
  <si>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</si>
  <si>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</si>
  <si>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</si>
  <si>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</si>
  <si>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</si>
  <si>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</si>
  <si>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</si>
  <si>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</si>
  <si>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</si>
  <si>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</si>
  <si>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</si>
  <si>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</si>
  <si>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</si>
  <si>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</si>
  <si>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</si>
  <si>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</si>
  <si>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</si>
  <si>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</si>
  <si>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</si>
  <si>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</si>
  <si>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</si>
  <si>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</si>
  <si>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</si>
  <si>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</si>
  <si>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</si>
  <si>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</si>
  <si>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</si>
  <si>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</si>
  <si>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</si>
  <si>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</si>
  <si>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</si>
  <si>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</si>
  <si>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</si>
  <si>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</si>
  <si>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</si>
  <si>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</si>
  <si>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</si>
  <si>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</si>
  <si>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</si>
  <si>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</si>
  <si>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</si>
  <si>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</si>
  <si>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</si>
  <si>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</si>
  <si>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</si>
  <si>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</si>
  <si>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</si>
  <si>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</si>
  <si>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</si>
  <si>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</si>
  <si>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</si>
  <si>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</si>
  <si>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</si>
  <si>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</si>
  <si>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</si>
  <si>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</si>
  <si>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</si>
  <si>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</si>
  <si>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</si>
  <si>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</si>
  <si>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</si>
  <si>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</si>
  <si>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</si>
  <si>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</si>
  <si>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</si>
  <si>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</si>
  <si>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</si>
  <si>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</si>
  <si>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</si>
  <si>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</si>
  <si>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</si>
  <si>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</si>
  <si>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</si>
  <si>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</si>
  <si>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</si>
  <si>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</si>
  <si>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</si>
  <si>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</si>
  <si>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</si>
  <si>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</si>
  <si>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</si>
  <si>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</si>
  <si>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</si>
  <si>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</si>
  <si>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</si>
  <si>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</si>
  <si>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</si>
  <si>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</si>
  <si>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</si>
  <si>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</si>
  <si>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</si>
  <si>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</si>
  <si>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</si>
  <si>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</si>
  <si>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</si>
  <si>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</si>
  <si>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</si>
  <si>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</si>
  <si>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</si>
  <si>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</si>
  <si>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</si>
  <si>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</si>
  <si>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</si>
  <si>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</si>
  <si>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</si>
  <si>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</si>
  <si>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</si>
  <si>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</si>
  <si>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</si>
  <si>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</si>
  <si>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</si>
  <si>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</si>
  <si>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</si>
  <si>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</si>
  <si>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</si>
  <si>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</si>
  <si>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</si>
  <si>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</si>
  <si>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</si>
  <si>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</si>
  <si>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</si>
  <si>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</si>
  <si>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</si>
  <si>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</si>
  <si>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</si>
  <si>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</si>
  <si>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</si>
  <si>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</si>
  <si>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</si>
  <si>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</si>
  <si>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</si>
  <si>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</si>
  <si>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</si>
  <si>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</si>
  <si>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</si>
  <si>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</si>
  <si>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</si>
  <si>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</si>
  <si>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</si>
  <si>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</si>
  <si>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</si>
  <si>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</si>
  <si>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</si>
  <si>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</si>
  <si>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</si>
  <si>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</si>
  <si>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</si>
  <si>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</si>
  <si>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</si>
  <si>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</si>
  <si>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</si>
  <si>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</si>
  <si>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</si>
  <si>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</si>
  <si>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</si>
  <si>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</si>
  <si>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</si>
  <si>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</si>
  <si>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</si>
  <si>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</si>
  <si>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</si>
  <si>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</si>
  <si>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</si>
  <si>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</si>
  <si>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</si>
  <si>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</si>
  <si>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</si>
  <si>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</si>
  <si>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</si>
  <si>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</si>
  <si>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</si>
  <si>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</si>
  <si>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</si>
  <si>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</si>
  <si>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</si>
  <si>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</si>
  <si>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</si>
  <si>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</si>
  <si>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</si>
  <si>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</si>
  <si>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</si>
  <si>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</si>
  <si>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</si>
  <si>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</si>
  <si>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</si>
  <si>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</si>
  <si>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</si>
  <si>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</si>
  <si>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</si>
  <si>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</si>
  <si>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</si>
  <si>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</si>
  <si>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</si>
  <si>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</si>
  <si>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</si>
  <si>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</si>
  <si>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</si>
  <si>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</si>
  <si>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</si>
  <si>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</si>
  <si>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</si>
  <si>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</si>
  <si>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</si>
  <si>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</si>
  <si>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</si>
  <si>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</si>
  <si>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</si>
  <si>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</si>
  <si>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</si>
  <si>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</si>
  <si>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</si>
  <si>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</si>
  <si>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</si>
  <si>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</si>
  <si>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</si>
  <si>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</si>
  <si>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</si>
  <si>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</si>
  <si>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</si>
  <si>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</si>
  <si>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</si>
  <si>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</si>
  <si>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</si>
  <si>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</si>
  <si>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</si>
  <si>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</si>
  <si>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</si>
  <si>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</si>
  <si>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</si>
  <si>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</si>
  <si>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</si>
  <si>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</si>
  <si>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</si>
  <si>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</si>
  <si>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</si>
  <si>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</si>
  <si>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</si>
  <si>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</si>
  <si>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</si>
  <si>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</si>
  <si>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</si>
  <si>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</si>
  <si>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</si>
  <si>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</si>
  <si>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</si>
  <si>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</si>
  <si>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</si>
  <si>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</si>
  <si>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</si>
  <si>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</si>
  <si>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</si>
  <si>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</si>
  <si>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</si>
  <si>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</si>
  <si>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</si>
  <si>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</si>
  <si>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</si>
  <si>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</si>
  <si>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</si>
  <si>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</si>
  <si>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</si>
  <si>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</si>
  <si>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</si>
  <si>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</si>
  <si>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</si>
  <si>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</si>
  <si>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</si>
  <si>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</si>
  <si>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</si>
  <si>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</si>
  <si>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</si>
  <si>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</si>
  <si>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</si>
  <si>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</si>
  <si>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</si>
  <si>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</si>
  <si>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</si>
  <si>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</si>
  <si>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</si>
  <si>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</si>
  <si>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</si>
  <si>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</si>
  <si>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</si>
  <si>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</si>
  <si>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</si>
  <si>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</si>
  <si>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</si>
  <si>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</si>
  <si>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</si>
  <si>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</si>
  <si>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</si>
  <si>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</si>
  <si>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</si>
  <si>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</si>
  <si>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</si>
  <si>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</si>
  <si>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</si>
  <si>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</si>
  <si>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</si>
  <si>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</si>
  <si>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</si>
  <si>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</si>
  <si>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</si>
  <si>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</si>
  <si>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</si>
  <si>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</si>
  <si>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</si>
  <si>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</si>
  <si>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</si>
  <si>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</si>
  <si>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</si>
  <si>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</si>
  <si>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</si>
  <si>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</si>
  <si>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</si>
  <si>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</si>
  <si>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</si>
  <si>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</si>
  <si>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</si>
  <si>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</si>
  <si>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</si>
  <si>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</si>
  <si>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</si>
  <si>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</si>
  <si>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</si>
  <si>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</si>
  <si>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</si>
  <si>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</si>
  <si>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</si>
  <si>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</si>
  <si>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</si>
  <si>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</si>
  <si>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</si>
  <si>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</si>
  <si>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</si>
  <si>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</si>
  <si>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</si>
  <si>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</si>
  <si>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</si>
  <si>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</si>
  <si>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</si>
  <si>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</si>
  <si>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</si>
  <si>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</si>
  <si>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</si>
  <si>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</si>
  <si>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</si>
  <si>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</si>
  <si>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</si>
  <si>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</si>
  <si>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</si>
  <si>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</si>
  <si>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</si>
  <si>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</si>
  <si>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</si>
  <si>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</si>
  <si>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</si>
  <si>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</si>
  <si>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</si>
  <si>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</si>
  <si>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</si>
  <si>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</si>
  <si>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</si>
  <si>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</si>
  <si>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</si>
  <si>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</si>
  <si>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</si>
  <si>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</si>
  <si>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</si>
  <si>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</si>
  <si>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</si>
  <si>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</si>
  <si>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</si>
  <si>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</si>
  <si>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</si>
  <si>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</si>
  <si>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</si>
  <si>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</si>
  <si>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</si>
  <si>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</si>
  <si>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</si>
  <si>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</si>
  <si>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</si>
  <si>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</si>
  <si>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</si>
  <si>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</si>
  <si>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</si>
  <si>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</si>
  <si>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</si>
  <si>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</si>
  <si>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</si>
  <si>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</si>
  <si>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</si>
  <si>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</si>
  <si>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</si>
  <si>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</si>
  <si>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</si>
  <si>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</si>
  <si>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</si>
  <si>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</si>
  <si>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</si>
  <si>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</si>
  <si>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</si>
  <si>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</si>
  <si>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</si>
  <si>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</si>
  <si>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</si>
  <si>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</si>
  <si>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</si>
  <si>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</si>
  <si>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</si>
  <si>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</si>
  <si>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</si>
  <si>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</si>
  <si>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</si>
  <si>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</si>
  <si>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</si>
  <si>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</si>
  <si>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</si>
  <si>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</si>
  <si>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</si>
  <si>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</si>
  <si>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</si>
  <si>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</si>
  <si>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</si>
  <si>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</si>
  <si>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</si>
  <si>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</si>
  <si>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</si>
  <si>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</si>
  <si>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</si>
  <si>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</si>
  <si>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</si>
  <si>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</si>
  <si>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</si>
  <si>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</si>
  <si>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</si>
  <si>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</si>
  <si>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</si>
  <si>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</si>
  <si>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</si>
  <si>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</si>
  <si>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</si>
  <si>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</si>
  <si>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</si>
  <si>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</si>
  <si>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</si>
  <si>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</si>
  <si>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</si>
  <si>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</si>
  <si>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</si>
  <si>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</si>
  <si>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</si>
  <si>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</si>
  <si>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</si>
  <si>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</si>
  <si>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</si>
  <si>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</si>
  <si>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</si>
  <si>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</si>
  <si>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</si>
  <si>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</si>
  <si>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</si>
  <si>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</si>
  <si>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</si>
  <si>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</si>
  <si>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</si>
  <si>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</si>
  <si>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</si>
  <si>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</si>
  <si>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</si>
  <si>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</si>
  <si>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</si>
  <si>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</si>
  <si>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</si>
  <si>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</si>
  <si>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</si>
  <si>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</si>
  <si>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</si>
  <si>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</si>
  <si>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</si>
  <si>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</si>
  <si>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</si>
  <si>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</si>
  <si>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</si>
  <si>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</si>
  <si>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</si>
  <si>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</si>
  <si>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</si>
  <si>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</si>
  <si>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</si>
  <si>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</si>
  <si>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</si>
  <si>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</si>
  <si>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</si>
  <si>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</si>
  <si>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</si>
  <si>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</si>
  <si>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</si>
  <si>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</si>
  <si>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</si>
  <si>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</si>
  <si>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</si>
  <si>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</si>
  <si>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</si>
  <si>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</si>
  <si>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</si>
  <si>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</si>
  <si>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</si>
  <si>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</si>
  <si>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</si>
  <si>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</si>
  <si>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</si>
  <si>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</si>
  <si>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</si>
  <si>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</si>
  <si>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</si>
  <si>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</si>
  <si>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</si>
  <si>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</si>
  <si>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</si>
  <si>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</si>
  <si>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</si>
  <si>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</si>
  <si>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</si>
  <si>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</si>
  <si>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</si>
  <si>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</si>
  <si>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</si>
  <si>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</si>
  <si>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</si>
  <si>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</si>
  <si>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</si>
  <si>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</si>
  <si>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</si>
  <si>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</si>
  <si>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</si>
  <si>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</si>
  <si>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</si>
  <si>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</si>
  <si>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</si>
  <si>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</si>
  <si>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</si>
  <si>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</si>
  <si>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</si>
  <si>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</si>
  <si>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</si>
  <si>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</si>
  <si>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</si>
  <si>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</si>
  <si>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</si>
  <si>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</si>
  <si>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</si>
  <si>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</si>
  <si>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</si>
  <si>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</si>
  <si>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</si>
  <si>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</si>
  <si>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</si>
  <si>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</si>
  <si>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</si>
  <si>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</si>
  <si>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</si>
  <si>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</si>
  <si>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</si>
  <si>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</si>
  <si>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</si>
  <si>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</si>
  <si>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</si>
  <si>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</si>
  <si>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</si>
  <si>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</si>
  <si>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</si>
  <si>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</si>
  <si>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</si>
  <si>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</si>
  <si>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</si>
  <si>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</si>
  <si>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</si>
  <si>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</si>
  <si>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</si>
  <si>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</si>
  <si>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</si>
  <si>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</si>
  <si>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</si>
  <si>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</si>
  <si>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</si>
  <si>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</si>
  <si>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</si>
  <si>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</si>
  <si>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</si>
  <si>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</si>
  <si>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</si>
  <si>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</si>
  <si>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</si>
  <si>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</si>
  <si>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</si>
  <si>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</si>
  <si>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</si>
  <si>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</si>
  <si>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</si>
  <si>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</si>
  <si>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</si>
  <si>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</si>
  <si>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</si>
  <si>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</si>
  <si>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</si>
  <si>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</si>
  <si>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</si>
  <si>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</si>
  <si>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</si>
  <si>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</si>
  <si>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</si>
  <si>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</si>
  <si>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</si>
  <si>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</si>
  <si>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</si>
  <si>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</si>
  <si>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</si>
  <si>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</si>
  <si>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</si>
  <si>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</si>
  <si>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</si>
  <si>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</si>
  <si>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</si>
  <si>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</si>
  <si>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</si>
  <si>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</si>
  <si>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</si>
  <si>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</si>
  <si>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</si>
  <si>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</si>
  <si>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</si>
  <si>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</si>
  <si>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</si>
  <si>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</si>
  <si>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</si>
  <si>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</si>
  <si>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</si>
  <si>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</si>
  <si>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</si>
  <si>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</si>
  <si>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</si>
  <si>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</si>
  <si>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</si>
  <si>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</si>
  <si>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</si>
  <si>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</si>
  <si>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</si>
  <si>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</si>
  <si>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</si>
  <si>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</si>
  <si>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</si>
  <si>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</si>
  <si>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</si>
  <si>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</si>
  <si>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</si>
  <si>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</si>
  <si>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</si>
  <si>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</si>
  <si>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</si>
  <si>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</si>
  <si>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</si>
  <si>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</si>
  <si>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</si>
  <si>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</si>
  <si>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</si>
  <si>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</si>
  <si>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</si>
  <si>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</si>
  <si>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</si>
  <si>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</si>
  <si>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</si>
  <si>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</si>
  <si>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</si>
  <si>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</si>
  <si>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</si>
  <si>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</si>
  <si>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</si>
  <si>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</si>
  <si>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</si>
  <si>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</si>
  <si>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</si>
  <si>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</si>
  <si>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</si>
  <si>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</si>
  <si>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</si>
  <si>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</si>
  <si>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</si>
  <si>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</si>
  <si>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</si>
  <si>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</si>
  <si>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</si>
  <si>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</si>
  <si>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</si>
  <si>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</si>
  <si>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</si>
  <si>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</si>
  <si>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</si>
  <si>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</si>
  <si>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</si>
  <si>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</si>
  <si>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</si>
  <si>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</si>
  <si>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</si>
  <si>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</si>
  <si>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</si>
  <si>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</si>
  <si>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</si>
  <si>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</si>
  <si>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</si>
  <si>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</si>
  <si>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</si>
  <si>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</si>
  <si>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</si>
  <si>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</si>
  <si>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</si>
  <si>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</si>
  <si>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</si>
  <si>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</si>
  <si>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</si>
  <si>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</si>
  <si>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</si>
  <si>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</si>
  <si>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</si>
  <si>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</si>
  <si>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</si>
  <si>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</si>
  <si>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</si>
  <si>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</si>
  <si>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</si>
  <si>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</si>
  <si>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</si>
  <si>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</si>
  <si>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</si>
  <si>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</si>
  <si>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</si>
  <si>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</si>
  <si>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</si>
  <si>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</si>
  <si>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</si>
  <si>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</si>
  <si>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</si>
  <si>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</si>
  <si>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</si>
  <si>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</si>
  <si>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</si>
  <si>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</si>
  <si>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</si>
  <si>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</si>
  <si>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</si>
  <si>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</si>
  <si>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</si>
  <si>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</si>
  <si>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</si>
  <si>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</si>
  <si>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</si>
  <si>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</si>
  <si>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</si>
  <si>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</si>
  <si>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</si>
  <si>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</si>
  <si>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</si>
  <si>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</si>
  <si>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</si>
  <si>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</si>
  <si>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</si>
  <si>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</si>
  <si>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</si>
  <si>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</si>
  <si>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</si>
  <si>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</si>
  <si>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</si>
  <si>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</si>
  <si>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</si>
  <si>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</si>
  <si>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</si>
  <si>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</si>
  <si>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</si>
  <si>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</si>
  <si>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</si>
  <si>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</si>
  <si>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</si>
  <si>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</si>
  <si>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</si>
  <si>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</si>
  <si>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</si>
  <si>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</si>
  <si>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</si>
  <si>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</si>
  <si>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</si>
  <si>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</si>
  <si>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</si>
  <si>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</si>
  <si>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</si>
  <si>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</si>
  <si>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</si>
  <si>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</si>
  <si>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</si>
  <si>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</si>
  <si>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</si>
  <si>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</si>
  <si>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</si>
  <si>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</si>
  <si>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</si>
  <si>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</si>
  <si>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</si>
  <si>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</si>
  <si>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</si>
  <si>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</si>
  <si>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</si>
  <si>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</si>
  <si>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</si>
  <si>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</si>
  <si>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</si>
  <si>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</si>
  <si>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</si>
  <si>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</si>
  <si>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</si>
  <si>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</si>
  <si>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</si>
  <si>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</si>
  <si>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</si>
  <si>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</si>
  <si>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</si>
  <si>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</si>
  <si>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</si>
  <si>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</si>
  <si>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</si>
  <si>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</si>
  <si>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</si>
  <si>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</si>
  <si>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</si>
  <si>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</si>
  <si>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</si>
  <si>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</si>
  <si>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</si>
  <si>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</si>
  <si>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</si>
  <si>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</si>
  <si>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</si>
  <si>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</si>
  <si>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</si>
  <si>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</si>
  <si>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</si>
  <si>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</si>
  <si>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</si>
  <si>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</si>
  <si>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</si>
  <si>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</si>
  <si>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</si>
  <si>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</si>
  <si>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</si>
  <si>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</si>
  <si>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</si>
  <si>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</si>
  <si>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</si>
  <si>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</si>
  <si>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</si>
  <si>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</si>
  <si>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</si>
  <si>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</si>
  <si>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</si>
  <si>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</si>
  <si>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</si>
  <si>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</si>
  <si>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</si>
  <si>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</si>
  <si>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</si>
  <si>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</si>
  <si>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</si>
  <si>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</si>
  <si>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</si>
  <si>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</si>
  <si>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</si>
  <si>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</si>
  <si>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</si>
  <si>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</si>
  <si>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</si>
  <si>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</si>
  <si>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</si>
  <si>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</si>
  <si>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</si>
  <si>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</si>
  <si>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</si>
  <si>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</si>
  <si>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</si>
  <si>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</si>
  <si>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</si>
  <si>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</si>
  <si>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</si>
  <si>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</si>
  <si>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</si>
  <si>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</si>
  <si>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</si>
  <si>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</si>
  <si>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</si>
  <si>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</si>
  <si>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</si>
  <si>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</si>
  <si>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</si>
  <si>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</si>
  <si>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</si>
  <si>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</si>
  <si>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</si>
  <si>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</si>
  <si>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</si>
  <si>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</si>
  <si>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</si>
  <si>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</si>
  <si>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</si>
  <si>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</si>
  <si>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</si>
  <si>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</si>
  <si>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</si>
  <si>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</si>
  <si>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</si>
  <si>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</si>
  <si>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</si>
  <si>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</si>
  <si>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</si>
  <si>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</si>
  <si>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</si>
  <si>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</si>
  <si>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</si>
  <si>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</si>
  <si>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</si>
  <si>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</si>
  <si>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</si>
  <si>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</si>
  <si>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</si>
  <si>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</si>
  <si>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</si>
  <si>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</si>
  <si>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</si>
  <si>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</si>
  <si>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</si>
  <si>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</si>
  <si>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</si>
  <si>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</si>
  <si>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</si>
  <si>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</si>
  <si>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</si>
  <si>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</si>
  <si>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</si>
  <si>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</si>
  <si>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</si>
  <si>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</si>
  <si>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</si>
  <si>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</si>
  <si>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</si>
  <si>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</si>
  <si>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</si>
  <si>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</si>
  <si>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</si>
  <si>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</si>
  <si>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</si>
  <si>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</si>
  <si>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</si>
  <si>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</si>
  <si>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</si>
  <si>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</si>
  <si>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</si>
  <si>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</si>
  <si>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</si>
  <si>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</si>
  <si>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</si>
  <si>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</si>
  <si>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</si>
  <si>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</si>
  <si>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</si>
  <si>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</si>
  <si>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</si>
  <si>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</si>
  <si>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</si>
  <si>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</si>
  <si>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</si>
  <si>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</si>
  <si>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</si>
  <si>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</si>
  <si>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</si>
  <si>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</si>
  <si>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</si>
  <si>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</si>
  <si>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</si>
  <si>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</si>
  <si>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</si>
  <si>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</si>
  <si>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</si>
  <si>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</si>
  <si>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</si>
  <si>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</si>
  <si>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</si>
  <si>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</si>
  <si>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</si>
  <si>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</si>
  <si>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</si>
  <si>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</si>
  <si>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</si>
  <si>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</si>
  <si>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</si>
  <si>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</si>
  <si>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</si>
  <si>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</si>
  <si>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</si>
  <si>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</si>
  <si>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</si>
  <si>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</si>
  <si>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</si>
  <si>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</si>
  <si>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</si>
  <si>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</si>
  <si>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</si>
  <si>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</si>
  <si>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</si>
  <si>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</si>
  <si>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</si>
  <si>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</si>
  <si>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</si>
  <si>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</si>
  <si>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</si>
  <si>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</si>
  <si>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</si>
  <si>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</si>
  <si>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</si>
  <si>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</si>
  <si>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</si>
  <si>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</si>
  <si>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</si>
  <si>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</si>
  <si>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</si>
  <si>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</si>
  <si>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</si>
  <si>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</si>
  <si>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</si>
  <si>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</si>
  <si>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</si>
  <si>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</si>
  <si>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</si>
  <si>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</si>
  <si>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</si>
  <si>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</si>
  <si>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</si>
  <si>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</si>
  <si>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</si>
  <si>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</si>
  <si>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</si>
  <si>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</si>
  <si>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</si>
  <si>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</si>
  <si>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</si>
  <si>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</si>
  <si>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</si>
  <si>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</si>
  <si>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</si>
  <si>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</si>
  <si>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</si>
  <si>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</si>
  <si>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</si>
  <si>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</si>
  <si>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</si>
  <si>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</si>
  <si>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</si>
  <si>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</si>
  <si>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</si>
  <si>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</si>
  <si>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</si>
  <si>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</si>
  <si>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</si>
  <si>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</si>
  <si>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</si>
  <si>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</si>
  <si>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</si>
  <si>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</si>
  <si>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</si>
  <si>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</si>
  <si>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</si>
  <si>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</si>
  <si>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</si>
  <si>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</si>
  <si>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</si>
  <si>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</si>
  <si>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</si>
  <si>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</si>
  <si>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</si>
  <si>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</si>
  <si>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</si>
  <si>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</si>
  <si>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</si>
  <si>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</si>
  <si>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</si>
  <si>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</si>
  <si>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</si>
  <si>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</si>
  <si>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</si>
  <si>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</si>
  <si>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</si>
  <si>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</si>
  <si>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</si>
  <si>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</si>
  <si>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</si>
  <si>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</si>
  <si>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</si>
  <si>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</si>
  <si>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</si>
  <si>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</si>
  <si>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</si>
  <si>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</si>
  <si>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</si>
  <si>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</si>
  <si>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</si>
  <si>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</si>
  <si>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</si>
  <si>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</si>
  <si>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</si>
  <si>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</si>
  <si>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</si>
  <si>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</si>
  <si>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</si>
  <si>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</si>
  <si>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</si>
  <si>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</si>
  <si>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</si>
  <si>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</si>
  <si>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</si>
  <si>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</si>
  <si>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</si>
  <si>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</si>
  <si>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</si>
  <si>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</si>
  <si>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</si>
  <si>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</si>
  <si>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</si>
  <si>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</si>
  <si>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</si>
  <si>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</si>
  <si>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</si>
  <si>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</si>
  <si>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</si>
  <si>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</si>
  <si>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</si>
  <si>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</si>
  <si>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</si>
  <si>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</si>
  <si>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</si>
  <si>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</si>
  <si>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</si>
  <si>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</si>
  <si>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</si>
  <si>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</si>
  <si>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</si>
  <si>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</si>
  <si>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</si>
  <si>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</si>
  <si>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</si>
  <si>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</si>
  <si>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</si>
  <si>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</si>
  <si>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</si>
  <si>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</si>
  <si>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</si>
  <si>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</si>
  <si>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</si>
  <si>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</si>
  <si>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</si>
  <si>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</si>
  <si>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</si>
  <si>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</si>
  <si>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</si>
  <si>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</si>
  <si>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</si>
  <si>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</si>
  <si>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</si>
  <si>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</si>
  <si>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</si>
  <si>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</si>
  <si>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</si>
  <si>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</si>
  <si>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</si>
  <si>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</si>
  <si>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</si>
  <si>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</si>
  <si>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</si>
  <si>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</si>
  <si>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</si>
  <si>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</si>
  <si>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</si>
  <si>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</si>
  <si>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</si>
  <si>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</si>
  <si>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</si>
  <si>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</si>
  <si>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</si>
  <si>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</si>
  <si>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</si>
  <si>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</si>
  <si>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</si>
  <si>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</si>
  <si>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</si>
  <si>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</si>
  <si>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</si>
  <si>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</si>
  <si>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</si>
  <si>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</si>
  <si>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</si>
  <si>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</si>
  <si>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</si>
  <si>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</si>
  <si>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</si>
  <si>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</si>
  <si>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</si>
  <si>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</si>
  <si>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</si>
  <si>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</si>
  <si>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</si>
  <si>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</si>
  <si>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</si>
  <si>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</si>
  <si>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</si>
  <si>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</si>
  <si>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</si>
  <si>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</si>
  <si>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</si>
  <si>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</si>
  <si>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</si>
  <si>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</si>
  <si>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</si>
  <si>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</si>
  <si>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</si>
  <si>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</si>
  <si>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</si>
  <si>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</si>
  <si>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</si>
  <si>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</si>
  <si>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</si>
  <si>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</si>
  <si>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</si>
  <si>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</si>
  <si>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</si>
  <si>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</si>
  <si>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</si>
  <si>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</si>
  <si>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</si>
  <si>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</si>
  <si>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</si>
  <si>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</si>
  <si>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</si>
  <si>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</si>
  <si>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</si>
  <si>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</si>
  <si>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</si>
  <si>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</si>
  <si>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</si>
  <si>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</si>
  <si>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</si>
  <si>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</si>
  <si>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</si>
  <si>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</si>
  <si>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</si>
  <si>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</si>
  <si>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</si>
  <si>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</si>
  <si>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</si>
  <si>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</si>
  <si>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</si>
  <si>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</si>
  <si>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</si>
  <si>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</si>
  <si>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</si>
  <si>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</si>
  <si>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</si>
  <si>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</si>
  <si>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</si>
  <si>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</si>
  <si>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</si>
  <si>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</si>
  <si>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</si>
  <si>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</si>
  <si>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</si>
  <si>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</si>
  <si>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</si>
  <si>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</si>
  <si>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</si>
  <si>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</si>
  <si>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</si>
  <si>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</si>
  <si>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</si>
  <si>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</si>
  <si>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</si>
  <si>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</si>
  <si>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</si>
  <si>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</si>
  <si>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</si>
  <si>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</si>
  <si>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</si>
  <si>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</si>
  <si>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</si>
  <si>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</si>
  <si>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</si>
  <si>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</si>
  <si>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</si>
  <si>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</si>
  <si>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</si>
  <si>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</si>
  <si>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</si>
  <si>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</si>
  <si>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</si>
  <si>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</si>
  <si>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</si>
  <si>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</si>
  <si>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</si>
  <si>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</si>
  <si>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</si>
  <si>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</si>
  <si>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</si>
  <si>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</si>
  <si>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</si>
  <si>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</si>
  <si>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</si>
  <si>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</si>
  <si>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</si>
  <si>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</si>
  <si>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</si>
  <si>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</si>
  <si>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</si>
  <si>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</si>
  <si>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</si>
  <si>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</si>
  <si>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</si>
  <si>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</si>
  <si>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</si>
  <si>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</si>
  <si>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</si>
  <si>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</si>
  <si>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</si>
  <si>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</si>
  <si>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</si>
  <si>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</si>
  <si>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</si>
  <si>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</si>
  <si>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</si>
  <si>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</si>
  <si>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</si>
  <si>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</si>
  <si>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</si>
  <si>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</si>
  <si>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</si>
  <si>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</si>
  <si>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</si>
  <si>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</si>
  <si>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</si>
  <si>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</si>
  <si>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</si>
  <si>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</si>
  <si>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</si>
  <si>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</si>
  <si>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</si>
  <si>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</si>
  <si>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</si>
  <si>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</si>
  <si>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</si>
  <si>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</si>
  <si>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</si>
  <si>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</si>
  <si>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</si>
  <si>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</si>
  <si>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</si>
  <si>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</si>
  <si>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</si>
  <si>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</si>
  <si>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</si>
  <si>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</si>
  <si>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</si>
  <si>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</si>
  <si>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</si>
  <si>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</si>
  <si>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</si>
  <si>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</si>
  <si>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</si>
  <si>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</si>
  <si>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</si>
  <si>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</si>
  <si>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</si>
  <si>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</si>
  <si>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</si>
  <si>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</si>
  <si>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</si>
  <si>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</si>
  <si>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</si>
  <si>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</si>
  <si>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</si>
  <si>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</si>
  <si>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</si>
  <si>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</si>
  <si>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</si>
  <si>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</si>
  <si>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</si>
  <si>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</si>
  <si>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</si>
  <si>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</si>
  <si>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</si>
  <si>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</si>
  <si>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</si>
  <si>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</si>
  <si>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</si>
  <si>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</si>
  <si>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</si>
  <si>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</si>
  <si>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</si>
  <si>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</si>
  <si>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</si>
  <si>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</si>
  <si>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</si>
  <si>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</si>
  <si>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</si>
  <si>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</si>
  <si>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</si>
  <si>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</si>
  <si>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</si>
  <si>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</si>
  <si>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</si>
  <si>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</si>
  <si>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</si>
  <si>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</si>
  <si>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</si>
  <si>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</si>
  <si>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</si>
  <si>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</si>
  <si>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</si>
  <si>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</si>
  <si>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</si>
  <si>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</si>
  <si>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</si>
  <si>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</si>
  <si>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</si>
  <si>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</si>
  <si>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</si>
  <si>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</si>
  <si>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</si>
  <si>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</si>
  <si>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</si>
  <si>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</si>
  <si>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</si>
  <si>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</si>
  <si>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</si>
  <si>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</si>
  <si>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</si>
  <si>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</si>
  <si>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</si>
  <si>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</si>
  <si>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</si>
  <si>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</si>
  <si>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</si>
  <si>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</si>
  <si>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</si>
  <si>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</si>
  <si>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</si>
  <si>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</si>
  <si>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</si>
  <si>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</si>
  <si>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</si>
  <si>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</si>
  <si>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</si>
  <si>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</si>
  <si>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</si>
  <si>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</si>
  <si>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</si>
  <si>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</si>
  <si>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</si>
  <si>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</si>
  <si>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</si>
  <si>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</si>
  <si>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</si>
  <si>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</si>
  <si>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</si>
  <si>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</si>
  <si>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</si>
  <si>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</si>
  <si>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</si>
  <si>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</si>
  <si>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</si>
  <si>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</si>
  <si>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</si>
  <si>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</si>
  <si>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</si>
  <si>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</si>
  <si>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</si>
  <si>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</si>
  <si>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</si>
  <si>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</si>
  <si>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</si>
  <si>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</si>
  <si>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</si>
  <si>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</si>
  <si>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</si>
  <si>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</si>
  <si>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</si>
  <si>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</si>
  <si>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</si>
  <si>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</si>
  <si>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</si>
  <si>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</si>
  <si>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</si>
  <si>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</si>
  <si>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</si>
  <si>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</si>
  <si>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</si>
  <si>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</si>
  <si>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</si>
  <si>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</si>
  <si>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</si>
  <si>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</si>
  <si>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</si>
  <si>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</si>
  <si>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</si>
  <si>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</si>
  <si>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</si>
  <si>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</si>
  <si>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</si>
  <si>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</si>
  <si>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</si>
  <si>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</si>
  <si>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</si>
  <si>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</si>
  <si>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</si>
  <si>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</si>
  <si>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</si>
  <si>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</si>
  <si>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</si>
  <si>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</si>
  <si>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</si>
  <si>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</si>
  <si>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</si>
  <si>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</si>
  <si>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</si>
  <si>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</si>
  <si>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</si>
  <si>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</si>
  <si>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</si>
  <si>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</si>
  <si>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</si>
  <si>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</si>
  <si>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</si>
  <si>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</si>
  <si>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</si>
  <si>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</si>
  <si>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</si>
  <si>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</si>
  <si>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</si>
  <si>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</si>
  <si>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</si>
  <si>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</si>
  <si>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</si>
  <si>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</si>
  <si>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</si>
  <si>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</si>
  <si>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</si>
  <si>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</si>
  <si>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</si>
  <si>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</si>
  <si>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</si>
  <si>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</si>
  <si>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</si>
  <si>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</si>
  <si>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</si>
  <si>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</si>
  <si>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</si>
  <si>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</si>
  <si>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</si>
  <si>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</si>
  <si>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</si>
  <si>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</si>
  <si>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</si>
  <si>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</si>
  <si>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</si>
  <si>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</si>
  <si>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</si>
  <si>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</si>
  <si>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</si>
  <si>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</si>
  <si>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</si>
  <si>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</si>
  <si>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</si>
  <si>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</si>
  <si>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</si>
  <si>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</si>
  <si>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</si>
  <si>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</si>
  <si>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</si>
  <si>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</si>
  <si>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</si>
  <si>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</si>
  <si>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</si>
  <si>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</si>
  <si>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</si>
  <si>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</si>
  <si>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</si>
  <si>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</si>
  <si>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</si>
  <si>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</si>
  <si>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</si>
  <si>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</si>
  <si>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</si>
  <si>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</si>
  <si>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</si>
  <si>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</si>
  <si>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</si>
  <si>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</si>
  <si>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</si>
  <si>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</si>
  <si>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</si>
  <si>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</si>
  <si>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</si>
  <si>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</si>
  <si>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</si>
  <si>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</si>
  <si>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</si>
  <si>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</si>
  <si>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</si>
  <si>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</si>
  <si>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</si>
  <si>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</si>
  <si>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</si>
  <si>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</si>
  <si>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</si>
  <si>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</si>
  <si>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</si>
  <si>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</si>
  <si>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</si>
  <si>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</si>
  <si>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</si>
  <si>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</si>
  <si>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</si>
  <si>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</si>
  <si>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</si>
  <si>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</si>
  <si>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</si>
  <si>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</si>
  <si>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</si>
  <si>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</si>
  <si>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</si>
  <si>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</si>
  <si>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</si>
  <si>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</si>
  <si>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</si>
  <si>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</si>
  <si>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</si>
  <si>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</si>
  <si>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</si>
  <si>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</si>
  <si>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</si>
  <si>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</si>
  <si>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</si>
  <si>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</si>
  <si>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</si>
  <si>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</si>
  <si>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</si>
  <si>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</si>
  <si>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</si>
  <si>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</si>
  <si>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</si>
  <si>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</si>
  <si>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</si>
  <si>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</si>
  <si>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</si>
  <si>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</si>
  <si>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</si>
  <si>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</si>
  <si>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</si>
  <si>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</si>
  <si>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</si>
  <si>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</si>
  <si>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</si>
  <si>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</si>
  <si>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</si>
  <si>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</si>
  <si>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</si>
  <si>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</si>
  <si>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</si>
  <si>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</si>
  <si>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</si>
  <si>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</si>
  <si>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</si>
  <si>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</si>
  <si>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</si>
  <si>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</si>
  <si>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</si>
  <si>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</si>
  <si>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</si>
  <si>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</si>
  <si>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</si>
  <si>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</si>
  <si>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</si>
  <si>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</si>
  <si>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</si>
  <si>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</si>
  <si>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</si>
  <si>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</si>
  <si>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</si>
  <si>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</si>
  <si>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</si>
  <si>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</si>
  <si>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</si>
  <si>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</si>
  <si>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</si>
  <si>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</si>
  <si>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</si>
  <si>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</si>
  <si>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</si>
  <si>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</si>
  <si>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</si>
  <si>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</si>
  <si>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</si>
  <si>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</si>
  <si>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</si>
  <si>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</si>
  <si>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</si>
  <si>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</si>
  <si>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</si>
  <si>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</si>
  <si>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</si>
  <si>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</si>
  <si>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</si>
  <si>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</si>
  <si>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</si>
  <si>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</si>
  <si>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</si>
  <si>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</si>
  <si>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</si>
  <si>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</si>
  <si>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</si>
  <si>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</si>
  <si>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</si>
  <si>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</si>
  <si>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</si>
  <si>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</si>
  <si>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</si>
  <si>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</si>
  <si>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</si>
  <si>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</si>
  <si>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</si>
  <si>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</si>
  <si>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</si>
  <si>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</si>
  <si>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</si>
  <si>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</si>
  <si>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</si>
  <si>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</si>
  <si>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</si>
  <si>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</si>
  <si>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</si>
  <si>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</si>
  <si>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</si>
  <si>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</si>
  <si>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</si>
  <si>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</si>
  <si>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</si>
  <si>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</si>
  <si>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</si>
  <si>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</si>
  <si>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</si>
  <si>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</si>
  <si>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</si>
  <si>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</si>
  <si>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</si>
  <si>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</si>
  <si>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</si>
  <si>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</si>
  <si>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</si>
  <si>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</si>
  <si>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</si>
  <si>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</si>
  <si>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</si>
  <si>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</si>
  <si>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</si>
  <si>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</si>
  <si>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</si>
  <si>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</si>
  <si>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</si>
  <si>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</si>
  <si>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</si>
  <si>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</si>
  <si>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</si>
  <si>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</si>
  <si>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</si>
  <si>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</si>
  <si>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</si>
  <si>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</si>
  <si>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</si>
  <si>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</si>
  <si>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</si>
  <si>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</si>
  <si>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</si>
  <si>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</si>
  <si>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</si>
  <si>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</si>
  <si>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</si>
  <si>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</si>
  <si>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</si>
  <si>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</si>
  <si>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</si>
  <si>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</si>
  <si>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</si>
  <si>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</si>
  <si>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</si>
  <si>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</si>
  <si>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</si>
  <si>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</si>
  <si>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</si>
  <si>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</si>
  <si>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</si>
  <si>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</si>
  <si>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</si>
  <si>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</si>
  <si>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</si>
  <si>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</si>
  <si>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</si>
  <si>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</si>
  <si>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</si>
  <si>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</si>
  <si>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</si>
  <si>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</si>
  <si>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</si>
  <si>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</si>
  <si>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</si>
  <si>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</si>
  <si>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</si>
  <si>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</si>
  <si>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</si>
  <si>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</si>
  <si>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</si>
  <si>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</si>
  <si>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</si>
  <si>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</si>
  <si>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</si>
  <si>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</si>
  <si>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</si>
  <si>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</si>
  <si>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</si>
  <si>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</si>
  <si>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</si>
  <si>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</si>
  <si>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</si>
  <si>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</si>
  <si>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</si>
  <si>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</si>
  <si>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</si>
  <si>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</si>
  <si>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</si>
  <si>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</si>
  <si>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</si>
  <si>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</si>
  <si>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</si>
  <si>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</si>
  <si>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</si>
  <si>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</si>
  <si>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</si>
  <si>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</si>
  <si>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</si>
  <si>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</si>
  <si>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</si>
  <si>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</si>
  <si>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</si>
  <si>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</si>
  <si>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</si>
  <si>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</si>
  <si>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</si>
  <si>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</si>
  <si>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</si>
  <si>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</si>
  <si>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</si>
  <si>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</si>
  <si>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</si>
  <si>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</si>
  <si>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</si>
  <si>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</si>
  <si>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</si>
  <si>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</si>
  <si>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</si>
  <si>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</si>
  <si>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</si>
  <si>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</si>
  <si>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</si>
  <si>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</si>
  <si>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</si>
  <si>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</si>
  <si>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</si>
  <si>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</si>
  <si>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</si>
  <si>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</si>
  <si>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</si>
  <si>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</si>
  <si>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</si>
  <si>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</si>
  <si>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</si>
  <si>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</si>
  <si>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</si>
  <si>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</si>
  <si>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</si>
  <si>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</si>
  <si>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</si>
  <si>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</si>
  <si>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</si>
  <si>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</si>
  <si>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</si>
  <si>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</si>
  <si>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</si>
  <si>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</si>
  <si>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</si>
  <si>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</si>
  <si>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</si>
  <si>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</si>
  <si>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</si>
  <si>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</si>
  <si>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</si>
  <si>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</si>
  <si>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</si>
  <si>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</si>
  <si>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</si>
  <si>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</si>
  <si>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</si>
  <si>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</si>
  <si>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</si>
  <si>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</si>
  <si>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</si>
  <si>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</si>
  <si>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</si>
  <si>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</si>
  <si>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</si>
  <si>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</si>
  <si>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</si>
  <si>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</si>
  <si>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</si>
  <si>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</si>
  <si>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</si>
  <si>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</si>
  <si>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</si>
  <si>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</si>
  <si>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</si>
  <si>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</si>
  <si>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</si>
  <si>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</si>
  <si>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</si>
  <si>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</si>
  <si>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</si>
  <si>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</si>
  <si>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</si>
  <si>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</si>
  <si>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</si>
  <si>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</si>
  <si>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</si>
  <si>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</si>
  <si>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</si>
  <si>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</si>
  <si>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</si>
  <si>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</si>
  <si>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</si>
  <si>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</si>
  <si>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</si>
  <si>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</si>
  <si>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</si>
  <si>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</si>
  <si>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</si>
  <si>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</si>
  <si>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</si>
  <si>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</si>
  <si>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</si>
  <si>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</si>
  <si>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</si>
  <si>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</si>
  <si>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</si>
  <si>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</si>
  <si>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</si>
  <si>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</si>
  <si>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</si>
  <si>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</si>
  <si>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</si>
  <si>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</si>
  <si>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</si>
  <si>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</si>
  <si>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</si>
  <si>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</si>
  <si>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</si>
  <si>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</si>
  <si>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</si>
  <si>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</si>
  <si>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</si>
  <si>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</si>
  <si>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</si>
  <si>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</si>
  <si>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</si>
  <si>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</si>
  <si>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</si>
  <si>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</si>
  <si>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</si>
  <si>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</si>
  <si>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</si>
  <si>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</si>
  <si>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</si>
  <si>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</si>
  <si>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</si>
  <si>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</si>
  <si>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</si>
  <si>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</si>
  <si>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</si>
  <si>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</si>
  <si>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</si>
  <si>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</si>
  <si>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</si>
  <si>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</si>
  <si>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</si>
  <si>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</si>
  <si>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</si>
  <si>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</si>
  <si>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</si>
  <si>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</si>
  <si>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</si>
  <si>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</si>
  <si>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</si>
  <si>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</si>
  <si>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</si>
  <si>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</si>
  <si>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</si>
  <si>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</si>
  <si>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</si>
  <si>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</si>
  <si>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</si>
  <si>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</si>
  <si>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</si>
  <si>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</si>
  <si>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</si>
  <si>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</si>
  <si>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</si>
  <si>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</si>
  <si>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</si>
  <si>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</si>
  <si>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</si>
  <si>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</si>
  <si>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</si>
  <si>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</si>
  <si>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</si>
  <si>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</si>
  <si>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</si>
  <si>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</si>
  <si>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</si>
  <si>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</si>
  <si>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</si>
  <si>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</si>
  <si>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</si>
  <si>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</si>
  <si>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</si>
  <si>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</si>
  <si>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</si>
  <si>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</si>
  <si>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</si>
  <si>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</si>
  <si>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</si>
  <si>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</si>
  <si>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</si>
  <si>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</si>
  <si>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</si>
  <si>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</si>
  <si>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</si>
  <si>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</si>
  <si>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</si>
  <si>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</si>
  <si>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</si>
  <si>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</si>
  <si>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</si>
  <si>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</si>
  <si>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</si>
  <si>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</si>
  <si>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</si>
  <si>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</si>
  <si>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</si>
  <si>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</si>
  <si>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</si>
  <si>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</si>
  <si>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</si>
  <si>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</si>
  <si>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</si>
  <si>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</si>
  <si>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</si>
  <si>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</si>
  <si>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</si>
  <si>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</si>
  <si>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</si>
  <si>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</si>
  <si>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</si>
  <si>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</si>
  <si>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</si>
  <si>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</si>
  <si>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</si>
  <si>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</si>
  <si>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</si>
  <si>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</si>
  <si>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</si>
  <si>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</si>
  <si>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</si>
  <si>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</si>
  <si>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</si>
  <si>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</si>
  <si>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</si>
  <si>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</si>
  <si>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</si>
  <si>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</si>
  <si>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</si>
  <si>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</si>
  <si>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</si>
  <si>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</si>
  <si>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</si>
  <si>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</si>
  <si>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</si>
  <si>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</si>
  <si>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</si>
  <si>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</si>
  <si>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</si>
  <si>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</si>
  <si>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</si>
  <si>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</si>
  <si>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</si>
  <si>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</si>
  <si>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</si>
  <si>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</si>
  <si>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</si>
  <si>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</si>
  <si>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</si>
  <si>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</si>
  <si>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</si>
  <si>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</si>
  <si>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</si>
  <si>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</si>
  <si>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</si>
  <si>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</si>
  <si>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</si>
  <si>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</si>
  <si>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</si>
  <si>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</si>
  <si>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</si>
  <si>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</si>
  <si>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</si>
  <si>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</si>
  <si>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</si>
  <si>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</si>
  <si>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</si>
  <si>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</si>
  <si>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</si>
  <si>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</si>
  <si>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</si>
  <si>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</si>
  <si>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</si>
  <si>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</si>
  <si>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</si>
  <si>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</si>
  <si>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</si>
  <si>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</si>
  <si>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</si>
  <si>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</si>
  <si>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</si>
  <si>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</si>
  <si>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</si>
  <si>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</si>
  <si>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</si>
  <si>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</si>
  <si>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</si>
  <si>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</si>
  <si>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</si>
  <si>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</si>
  <si>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</si>
  <si>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</si>
  <si>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</si>
  <si>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</si>
  <si>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</si>
  <si>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</si>
  <si>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</si>
  <si>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</si>
  <si>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</si>
  <si>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</si>
  <si>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</si>
  <si>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</si>
  <si>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</si>
  <si>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</si>
  <si>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</si>
  <si>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</si>
  <si>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</si>
  <si>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</si>
  <si>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</si>
  <si>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</si>
  <si>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</si>
  <si>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</si>
  <si>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</si>
  <si>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</si>
  <si>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</si>
  <si>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</si>
  <si>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</si>
  <si>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</si>
  <si>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</si>
  <si>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</si>
  <si>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</si>
  <si>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</si>
  <si>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</si>
  <si>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</si>
  <si>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</si>
  <si>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</si>
  <si>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</si>
  <si>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</si>
  <si>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</si>
  <si>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</si>
  <si>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</si>
  <si>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</si>
  <si>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</si>
  <si>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</si>
  <si>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</si>
  <si>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</si>
  <si>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</si>
  <si>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</si>
  <si>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</si>
  <si>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</si>
  <si>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</si>
  <si>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</si>
  <si>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</si>
  <si>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</si>
  <si>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</si>
  <si>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</si>
  <si>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</si>
  <si>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</si>
  <si>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</si>
  <si>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</si>
  <si>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</si>
  <si>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</si>
  <si>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</si>
  <si>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</si>
  <si>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</si>
  <si>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</si>
  <si>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</si>
  <si>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</si>
  <si>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</si>
  <si>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</si>
  <si>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</si>
  <si>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</si>
  <si>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</si>
  <si>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</si>
  <si>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</si>
  <si>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</si>
  <si>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</si>
  <si>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</si>
  <si>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</si>
  <si>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</si>
  <si>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</si>
  <si>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</si>
  <si>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</si>
  <si>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</si>
  <si>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</si>
  <si>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</si>
  <si>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</si>
  <si>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</si>
  <si>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</si>
  <si>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</si>
  <si>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</si>
  <si>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</si>
  <si>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</si>
  <si>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</si>
  <si>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</si>
  <si>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</si>
  <si>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</si>
  <si>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</si>
  <si>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</si>
  <si>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</si>
  <si>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</si>
  <si>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</si>
  <si>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</si>
  <si>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</si>
  <si>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</si>
  <si>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</si>
  <si>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</si>
  <si>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</si>
  <si>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</si>
  <si>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</si>
  <si>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</si>
  <si>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</si>
  <si>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</si>
  <si>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</si>
  <si>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</si>
  <si>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</si>
  <si>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</si>
  <si>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</si>
  <si>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</si>
  <si>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</si>
  <si>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</si>
  <si>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</si>
  <si>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</si>
  <si>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</si>
  <si>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</si>
  <si>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</si>
  <si>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</si>
  <si>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</si>
  <si>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</si>
  <si>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</si>
  <si>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</si>
  <si>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</si>
  <si>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</si>
  <si>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</si>
  <si>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</si>
  <si>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</si>
  <si>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</si>
  <si>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</si>
  <si>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</si>
  <si>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</si>
  <si>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</si>
  <si>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</si>
  <si>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</si>
  <si>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</si>
  <si>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</si>
  <si>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</si>
  <si>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</si>
  <si>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</si>
  <si>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</si>
  <si>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</si>
  <si>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</si>
  <si>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</si>
  <si>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</si>
  <si>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</si>
  <si>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</si>
  <si>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</si>
  <si>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</si>
  <si>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</si>
  <si>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</si>
  <si>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</si>
  <si>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</si>
  <si>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</si>
  <si>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</si>
  <si>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</si>
  <si>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</si>
  <si>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</si>
  <si>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</si>
  <si>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</si>
  <si>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</si>
  <si>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</si>
  <si>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</si>
  <si>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</si>
  <si>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</si>
  <si>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</si>
  <si>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</si>
  <si>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</si>
  <si>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</si>
  <si>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</si>
  <si>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</si>
  <si>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</si>
  <si>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</si>
  <si>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</si>
  <si>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</si>
  <si>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</si>
  <si>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</si>
  <si>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</si>
  <si>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</si>
  <si>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</si>
  <si>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</si>
  <si>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</si>
  <si>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</si>
  <si>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</si>
  <si>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</si>
  <si>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</si>
  <si>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</si>
  <si>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</si>
  <si>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</si>
  <si>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</si>
  <si>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</si>
  <si>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</si>
  <si>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</si>
  <si>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</si>
  <si>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</si>
  <si>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</si>
  <si>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</si>
  <si>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</si>
  <si>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</si>
  <si>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</si>
  <si>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</si>
  <si>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</si>
  <si>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</si>
  <si>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</si>
  <si>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</si>
  <si>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</si>
  <si>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</si>
  <si>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</si>
  <si>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</si>
  <si>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</si>
  <si>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</si>
  <si>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</si>
  <si>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</si>
  <si>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</si>
  <si>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</si>
  <si>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</si>
  <si>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</si>
  <si>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</si>
  <si>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</si>
  <si>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</si>
  <si>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</si>
  <si>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</si>
  <si>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</si>
  <si>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</si>
  <si>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</si>
  <si>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</si>
  <si>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</si>
  <si>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</si>
  <si>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</si>
  <si>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</si>
  <si>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</si>
  <si>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</si>
  <si>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</si>
  <si>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</si>
  <si>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</si>
  <si>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</si>
  <si>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</si>
  <si>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</si>
  <si>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</si>
  <si>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</si>
  <si>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</si>
  <si>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</si>
  <si>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</si>
  <si>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</si>
  <si>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</si>
  <si>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</si>
  <si>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</si>
  <si>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</si>
  <si>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</si>
  <si>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</si>
  <si>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</si>
  <si>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</si>
  <si>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</si>
  <si>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</si>
  <si>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</si>
  <si>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</si>
  <si>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</si>
  <si>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</si>
  <si>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</si>
  <si>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</si>
  <si>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</si>
  <si>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</si>
  <si>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</si>
  <si>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</si>
  <si>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</si>
  <si>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</si>
  <si>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</si>
  <si>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</si>
  <si>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</si>
  <si>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</si>
  <si>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</si>
  <si>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</si>
  <si>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</si>
  <si>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</si>
  <si>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</si>
  <si>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</si>
  <si>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</si>
  <si>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</si>
  <si>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</si>
  <si>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</si>
  <si>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</si>
  <si>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</si>
  <si>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</si>
  <si>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</si>
  <si>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</si>
  <si>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</si>
  <si>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</si>
  <si>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</si>
  <si>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</si>
  <si>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</si>
  <si>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</si>
  <si>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</si>
  <si>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</si>
  <si>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</si>
  <si>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</si>
  <si>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</si>
  <si>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</si>
  <si>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</si>
  <si>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</si>
  <si>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</si>
  <si>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</si>
  <si>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</si>
  <si>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</si>
  <si>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</si>
  <si>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</si>
  <si>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</si>
  <si>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</si>
  <si>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</si>
  <si>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</si>
  <si>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</si>
  <si>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</si>
  <si>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</si>
  <si>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</si>
  <si>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</si>
  <si>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</si>
  <si>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</si>
  <si>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</si>
  <si>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</si>
  <si>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</si>
  <si>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</si>
  <si>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</si>
  <si>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</si>
  <si>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</si>
  <si>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</si>
  <si>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</si>
  <si>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</si>
  <si>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</si>
  <si>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</si>
  <si>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</si>
  <si>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</si>
  <si>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</si>
  <si>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</si>
  <si>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</si>
  <si>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</si>
  <si>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</si>
  <si>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</si>
  <si>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</si>
  <si>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</si>
  <si>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</si>
  <si>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</si>
  <si>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</si>
  <si>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</si>
  <si>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</si>
  <si>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</si>
  <si>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</si>
  <si>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</si>
  <si>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</si>
  <si>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</si>
  <si>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</si>
  <si>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</si>
  <si>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</si>
  <si>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</si>
  <si>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</si>
  <si>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</si>
  <si>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</si>
  <si>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</si>
  <si>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</si>
  <si>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</si>
  <si>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</si>
  <si>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</si>
  <si>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</si>
  <si>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</si>
  <si>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</si>
  <si>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</si>
  <si>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</si>
  <si>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</si>
  <si>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</si>
  <si>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</si>
  <si>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</si>
  <si>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</si>
  <si>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</si>
  <si>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</si>
  <si>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</si>
  <si>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</si>
  <si>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</si>
  <si>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</si>
  <si>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</si>
  <si>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</si>
  <si>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</si>
  <si>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</si>
  <si>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</si>
  <si>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</si>
  <si>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</si>
  <si>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</si>
  <si>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</si>
  <si>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</si>
  <si>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</si>
  <si>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</si>
  <si>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</si>
  <si>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</si>
  <si>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</si>
  <si>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</si>
  <si>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</si>
  <si>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</si>
  <si>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</si>
  <si>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</si>
  <si>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</si>
  <si>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</si>
  <si>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</si>
  <si>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</si>
  <si>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</si>
  <si>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</si>
  <si>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</si>
  <si>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</si>
  <si>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</si>
  <si>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</si>
  <si>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</si>
  <si>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</si>
  <si>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</si>
  <si>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</si>
  <si>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</si>
  <si>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</si>
  <si>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</si>
  <si>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</si>
  <si>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</si>
  <si>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</si>
  <si>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</si>
  <si>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</si>
  <si>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</si>
  <si>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</si>
  <si>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</si>
  <si>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</si>
  <si>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</si>
  <si>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</si>
  <si>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</si>
  <si>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</si>
  <si>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</si>
  <si>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</si>
  <si>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</si>
  <si>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</si>
  <si>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</si>
  <si>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</si>
  <si>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</si>
  <si>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</si>
  <si>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</si>
  <si>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</si>
  <si>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</si>
  <si>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</si>
  <si>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</si>
  <si>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</si>
  <si>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</si>
  <si>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</si>
  <si>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</si>
  <si>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</si>
  <si>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</si>
  <si>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</si>
  <si>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</si>
  <si>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</si>
  <si>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</si>
  <si>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</si>
  <si>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</si>
  <si>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</si>
  <si>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</si>
  <si>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</si>
  <si>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</si>
  <si>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</si>
  <si>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</si>
  <si>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</si>
  <si>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</si>
  <si>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</si>
  <si>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</si>
  <si>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</si>
  <si>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</si>
  <si>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</si>
  <si>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</si>
  <si>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</si>
  <si>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</si>
  <si>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</si>
  <si>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</si>
  <si>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</si>
  <si>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</si>
  <si>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</si>
  <si>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</si>
  <si>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</si>
  <si>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</si>
  <si>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</si>
  <si>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</si>
  <si>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</si>
  <si>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</si>
  <si>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</si>
  <si>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</si>
  <si>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</si>
  <si>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</si>
  <si>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</si>
  <si>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</si>
  <si>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</si>
  <si>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</si>
  <si>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</si>
  <si>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</si>
  <si>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</si>
  <si>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</si>
  <si>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</si>
  <si>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</si>
  <si>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</si>
  <si>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</si>
  <si>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</si>
  <si>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</si>
  <si>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</si>
  <si>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</si>
  <si>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</si>
  <si>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</si>
  <si>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</si>
  <si>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</si>
  <si>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</si>
  <si>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</si>
  <si>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</si>
  <si>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</si>
  <si>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</si>
  <si>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</si>
  <si>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</si>
  <si>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</si>
  <si>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</si>
  <si>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</si>
  <si>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</si>
  <si>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</si>
  <si>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</si>
  <si>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</si>
  <si>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</si>
  <si>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</si>
  <si>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</si>
  <si>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</si>
  <si>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</si>
  <si>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</si>
  <si>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</si>
  <si>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</si>
  <si>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</si>
  <si>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</si>
  <si>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</si>
  <si>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</si>
  <si>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</si>
  <si>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</si>
  <si>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</si>
  <si>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</si>
  <si>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</si>
  <si>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</si>
  <si>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</si>
  <si>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</si>
  <si>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</si>
  <si>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</si>
  <si>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</si>
  <si>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</si>
  <si>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</si>
  <si>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</si>
  <si>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</si>
  <si>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</si>
  <si>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</si>
  <si>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</si>
  <si>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</si>
  <si>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</si>
  <si>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</si>
  <si>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</si>
  <si>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</si>
  <si>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</si>
  <si>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</si>
  <si>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</si>
  <si>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</si>
  <si>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</si>
  <si>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</si>
  <si>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</si>
  <si>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</si>
  <si>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</si>
  <si>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</si>
  <si>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</si>
  <si>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</si>
  <si>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</si>
  <si>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</si>
  <si>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</si>
  <si>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</si>
  <si>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</si>
  <si>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</si>
  <si>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</si>
  <si>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</si>
  <si>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</si>
  <si>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</si>
  <si>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</si>
  <si>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</si>
  <si>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</si>
  <si>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</si>
  <si>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</si>
  <si>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</si>
  <si>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</si>
  <si>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</si>
  <si>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</si>
  <si>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</si>
  <si>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</si>
  <si>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</si>
  <si>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</si>
  <si>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</si>
  <si>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</si>
  <si>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</si>
  <si>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</si>
  <si>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</si>
  <si>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</si>
  <si>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</si>
  <si>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</si>
  <si>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</si>
  <si>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</si>
  <si>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</si>
  <si>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</si>
  <si>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</si>
  <si>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</si>
  <si>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</si>
  <si>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</si>
  <si>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</si>
  <si>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</si>
  <si>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</si>
  <si>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</si>
  <si>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</si>
  <si>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</si>
  <si>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</si>
  <si>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</si>
  <si>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</si>
  <si>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</si>
  <si>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</si>
  <si>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</si>
  <si>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</si>
  <si>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</si>
  <si>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</si>
  <si>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</si>
  <si>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</si>
  <si>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</si>
  <si>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</si>
  <si>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</si>
  <si>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</si>
  <si>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</si>
  <si>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</si>
  <si>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</si>
  <si>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</si>
  <si>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</si>
  <si>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</si>
  <si>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</si>
  <si>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</si>
  <si>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</si>
  <si>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</si>
  <si>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</si>
  <si>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</si>
  <si>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</si>
  <si>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</si>
  <si>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</si>
  <si>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</si>
  <si>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</si>
  <si>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</si>
  <si>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</si>
  <si>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</si>
  <si>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</si>
  <si>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</si>
  <si>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</si>
  <si>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</si>
  <si>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</si>
  <si>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</si>
  <si>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</si>
  <si>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</si>
  <si>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</si>
  <si>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</si>
  <si>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</si>
  <si>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</si>
  <si>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</si>
  <si>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</si>
  <si>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</si>
  <si>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</si>
  <si>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</si>
  <si>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</si>
  <si>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</si>
  <si>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</si>
  <si>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</si>
  <si>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</si>
  <si>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</si>
  <si>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</si>
  <si>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</si>
  <si>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</si>
  <si>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</si>
  <si>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</si>
  <si>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</si>
  <si>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</si>
  <si>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</si>
  <si>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</si>
  <si>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</si>
  <si>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</si>
  <si>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</si>
  <si>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</si>
  <si>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</si>
  <si>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</si>
  <si>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</si>
  <si>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</si>
  <si>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</si>
  <si>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</si>
  <si>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</si>
  <si>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</si>
  <si>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</si>
  <si>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</si>
  <si>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</si>
  <si>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</si>
  <si>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</si>
  <si>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</si>
  <si>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</si>
  <si>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</si>
  <si>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</si>
  <si>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</si>
  <si>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</si>
  <si>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</si>
  <si>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</si>
  <si>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</si>
  <si>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</si>
  <si>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</si>
  <si>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</si>
  <si>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</si>
  <si>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</si>
  <si>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</si>
  <si>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</si>
  <si>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</si>
  <si>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</si>
  <si>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</si>
  <si>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</si>
  <si>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</si>
  <si>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</si>
  <si>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</si>
  <si>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</si>
  <si>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</si>
  <si>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</si>
  <si>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</si>
  <si>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</si>
  <si>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</si>
  <si>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</si>
  <si>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</si>
  <si>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</si>
  <si>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</si>
  <si>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</si>
  <si>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</si>
  <si>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</si>
  <si>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</si>
  <si>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</si>
  <si>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</si>
  <si>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</si>
  <si>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</si>
  <si>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</si>
  <si>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</si>
  <si>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</si>
  <si>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</si>
  <si>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</si>
  <si>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</si>
  <si>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</si>
  <si>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</si>
  <si>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</si>
  <si>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</si>
  <si>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</si>
  <si>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</si>
  <si>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</si>
  <si>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</si>
  <si>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</si>
  <si>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</si>
  <si>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</si>
  <si>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</si>
  <si>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</si>
  <si>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</si>
  <si>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</si>
  <si>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</si>
  <si>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</si>
  <si>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</si>
  <si>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</si>
  <si>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</si>
  <si>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</si>
  <si>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</si>
  <si>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</si>
  <si>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</si>
  <si>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</si>
  <si>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</si>
  <si>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</si>
  <si>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</si>
  <si>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</si>
  <si>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</si>
  <si>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</si>
  <si>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</si>
  <si>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</si>
  <si>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</si>
  <si>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</si>
  <si>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</si>
  <si>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</si>
  <si>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</si>
  <si>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</si>
  <si>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</si>
  <si>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</si>
  <si>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</si>
  <si>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</si>
  <si>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</si>
  <si>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</si>
  <si>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</si>
  <si>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</si>
  <si>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</si>
  <si>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</si>
  <si>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</si>
  <si>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</si>
  <si>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</si>
  <si>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</si>
  <si>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</si>
  <si>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</si>
  <si>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</si>
  <si>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</si>
  <si>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</si>
  <si>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</si>
  <si>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</si>
  <si>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</si>
  <si>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</si>
  <si>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</si>
  <si>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</si>
  <si>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</si>
  <si>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</si>
  <si>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</si>
  <si>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</si>
  <si>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</si>
  <si>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</si>
  <si>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</si>
  <si>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</si>
  <si>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</si>
  <si>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</si>
  <si>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</si>
  <si>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</si>
  <si>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</si>
  <si>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</si>
  <si>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</si>
  <si>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</si>
  <si>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</si>
  <si>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</si>
  <si>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</si>
  <si>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</si>
  <si>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</si>
  <si>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</si>
  <si>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</si>
  <si>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</si>
  <si>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</si>
  <si>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</si>
  <si>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</si>
  <si>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</si>
  <si>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</si>
  <si>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</si>
  <si>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</si>
  <si>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</si>
  <si>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</si>
  <si>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</si>
  <si>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</si>
  <si>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</si>
  <si>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</si>
  <si>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</si>
  <si>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</si>
  <si>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</si>
  <si>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</si>
  <si>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</si>
  <si>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</si>
  <si>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</si>
  <si>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</si>
  <si>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</si>
  <si>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</si>
  <si>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</si>
  <si>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</si>
  <si>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</si>
  <si>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</si>
  <si>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</si>
  <si>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</si>
  <si>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</si>
  <si>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</si>
  <si>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</si>
  <si>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</si>
  <si>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</si>
  <si>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</si>
  <si>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</si>
  <si>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</si>
  <si>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</si>
  <si>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</si>
  <si>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</si>
  <si>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</si>
  <si>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</si>
  <si>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</si>
  <si>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</si>
  <si>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</si>
  <si>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</si>
  <si>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</si>
  <si>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</si>
  <si>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</si>
  <si>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</si>
  <si>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</si>
  <si>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</si>
  <si>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</si>
  <si>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</si>
  <si>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</si>
  <si>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</si>
  <si>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</si>
  <si>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</si>
  <si>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</si>
  <si>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</si>
  <si>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</si>
  <si>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</si>
  <si>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</si>
  <si>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</si>
  <si>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</si>
  <si>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</si>
  <si>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</si>
  <si>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</si>
  <si>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</si>
  <si>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</si>
  <si>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</si>
  <si>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</si>
  <si>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</si>
  <si>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</si>
  <si>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</si>
  <si>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</si>
  <si>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</si>
  <si>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</si>
  <si>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</si>
  <si>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</si>
  <si>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</si>
  <si>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</si>
  <si>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</si>
  <si>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</si>
  <si>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</si>
  <si>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</si>
  <si>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</si>
  <si>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</si>
  <si>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</si>
  <si>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</si>
  <si>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</si>
  <si>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</si>
  <si>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</si>
  <si>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</si>
  <si>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</si>
  <si>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</si>
  <si>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</si>
  <si>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</si>
  <si>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</si>
  <si>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</si>
  <si>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</si>
  <si>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</si>
  <si>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</si>
  <si>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</si>
  <si>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</si>
  <si>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</si>
  <si>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</si>
  <si>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</si>
  <si>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</si>
  <si>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</si>
  <si>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</si>
  <si>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</si>
  <si>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</si>
  <si>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</si>
  <si>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</si>
  <si>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</si>
  <si>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</si>
  <si>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</si>
  <si>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</si>
  <si>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</si>
  <si>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</si>
  <si>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</si>
  <si>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</si>
  <si>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</si>
  <si>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</si>
  <si>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</si>
  <si>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</si>
  <si>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</si>
  <si>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</si>
  <si>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</si>
  <si>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</si>
  <si>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</si>
  <si>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</si>
  <si>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</si>
  <si>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</si>
  <si>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</si>
  <si>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</si>
  <si>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</si>
  <si>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</si>
  <si>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</si>
  <si>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</si>
  <si>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</si>
  <si>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</si>
  <si>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</si>
  <si>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</si>
  <si>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</si>
  <si>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</si>
  <si>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</si>
  <si>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</si>
  <si>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</si>
  <si>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</si>
  <si>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</si>
  <si>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</si>
  <si>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</si>
  <si>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</si>
  <si>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</si>
  <si>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</si>
  <si>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</si>
  <si>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</si>
  <si>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</si>
  <si>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</si>
  <si>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</si>
  <si>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</si>
  <si>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</si>
  <si>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</si>
  <si>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</si>
  <si>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</si>
  <si>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</si>
  <si>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</si>
  <si>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</si>
  <si>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</si>
  <si>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</si>
  <si>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</si>
  <si>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</si>
  <si>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</si>
  <si>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</si>
  <si>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</si>
  <si>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</si>
  <si>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</si>
  <si>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</si>
  <si>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</si>
  <si>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</si>
  <si>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</si>
  <si>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</si>
  <si>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</si>
  <si>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</si>
  <si>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</si>
  <si>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</si>
  <si>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</si>
  <si>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</si>
  <si>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</si>
  <si>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</si>
  <si>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</si>
  <si>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</si>
  <si>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</si>
  <si>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</si>
  <si>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</si>
  <si>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</si>
  <si>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</si>
  <si>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</si>
  <si>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</si>
  <si>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</si>
  <si>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</si>
  <si>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</si>
  <si>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</si>
  <si>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</si>
  <si>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</si>
  <si>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</si>
  <si>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</si>
  <si>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</si>
  <si>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</si>
  <si>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</si>
  <si>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</si>
  <si>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</si>
  <si>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</si>
  <si>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</si>
  <si>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</si>
  <si>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</si>
  <si>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</si>
  <si>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</si>
  <si>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</si>
  <si>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</si>
  <si>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</si>
  <si>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</si>
  <si>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</si>
  <si>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</si>
  <si>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</si>
  <si>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</si>
  <si>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</si>
  <si>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</si>
  <si>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</si>
  <si>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</si>
  <si>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</si>
  <si>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</si>
  <si>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</si>
  <si>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</si>
  <si>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</si>
  <si>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</si>
  <si>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</si>
  <si>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</si>
  <si>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</si>
  <si>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</si>
  <si>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</si>
  <si>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</si>
  <si>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</si>
  <si>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</si>
  <si>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</si>
  <si>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</si>
  <si>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</si>
  <si>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</si>
  <si>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</si>
  <si>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</si>
  <si>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</si>
  <si>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</si>
  <si>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</si>
  <si>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</si>
  <si>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</si>
  <si>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</si>
  <si>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</si>
  <si>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</si>
  <si>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</si>
  <si>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</si>
  <si>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</si>
  <si>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</si>
  <si>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</si>
  <si>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</si>
  <si>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</si>
  <si>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</si>
  <si>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</si>
  <si>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</si>
  <si>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</si>
  <si>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</si>
  <si>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</si>
  <si>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</si>
  <si>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</si>
  <si>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</si>
  <si>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</si>
  <si>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</si>
  <si>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</si>
  <si>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</si>
  <si>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</si>
  <si>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</si>
  <si>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</si>
  <si>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</si>
  <si>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</si>
  <si>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</si>
  <si>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</si>
  <si>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</si>
  <si>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</si>
  <si>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</si>
  <si>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</si>
  <si>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</si>
  <si>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</si>
  <si>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</si>
  <si>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</si>
  <si>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</si>
  <si>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</si>
  <si>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</si>
  <si>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</si>
  <si>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</si>
  <si>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</si>
  <si>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</si>
  <si>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</si>
  <si>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</si>
  <si>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</si>
  <si>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</si>
  <si>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</si>
  <si>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</si>
  <si>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</si>
  <si>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</si>
  <si>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</si>
  <si>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</si>
  <si>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</si>
  <si>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</si>
  <si>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</si>
  <si>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</si>
  <si>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</si>
  <si>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</si>
  <si>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</si>
  <si>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</si>
  <si>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</si>
  <si>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</si>
  <si>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</si>
  <si>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</si>
  <si>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</si>
  <si>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</si>
  <si>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</si>
  <si>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</si>
  <si>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</si>
  <si>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</si>
  <si>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</si>
  <si>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</si>
  <si>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</si>
  <si>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</si>
  <si>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</si>
  <si>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</si>
  <si>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</si>
  <si>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</si>
  <si>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</si>
  <si>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</si>
  <si>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</si>
  <si>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</si>
  <si>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</si>
  <si>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</si>
  <si>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</si>
  <si>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</si>
  <si>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</si>
  <si>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</si>
  <si>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</si>
  <si>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</si>
  <si>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</si>
  <si>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</si>
  <si>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</si>
  <si>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</si>
  <si>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</si>
  <si>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</si>
  <si>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</si>
  <si>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</si>
  <si>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</si>
  <si>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</si>
  <si>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</si>
  <si>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</si>
  <si>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</si>
  <si>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</si>
  <si>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</si>
  <si>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</si>
  <si>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</si>
  <si>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</si>
  <si>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</si>
  <si>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</si>
  <si>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</si>
  <si>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</si>
  <si>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</si>
  <si>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</si>
  <si>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</si>
  <si>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</si>
  <si>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</si>
  <si>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</si>
  <si>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</si>
  <si>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</si>
  <si>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</si>
  <si>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</si>
  <si>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</si>
  <si>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</si>
  <si>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</si>
  <si>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</si>
  <si>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</si>
  <si>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</si>
  <si>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</si>
  <si>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</si>
  <si>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</si>
  <si>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</si>
  <si>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</si>
  <si>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</si>
  <si>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</si>
  <si>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</si>
  <si>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</si>
  <si>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</si>
  <si>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</si>
  <si>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</si>
  <si>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</si>
  <si>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</si>
  <si>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</si>
  <si>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</si>
  <si>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</si>
  <si>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</si>
  <si>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</si>
  <si>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</si>
  <si>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</si>
  <si>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</si>
  <si>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</si>
  <si>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</si>
  <si>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</si>
  <si>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</si>
  <si>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</si>
  <si>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</si>
  <si>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</si>
  <si>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</si>
  <si>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</si>
  <si>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</si>
  <si>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</si>
  <si>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</si>
  <si>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</si>
  <si>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</si>
  <si>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</si>
  <si>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</si>
  <si>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</si>
  <si>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</si>
  <si>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</si>
  <si>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</si>
  <si>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</si>
  <si>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</si>
  <si>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</si>
  <si>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</si>
  <si>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</si>
  <si>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</si>
  <si>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</si>
  <si>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</si>
  <si>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</si>
  <si>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</si>
  <si>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</si>
  <si>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</si>
  <si>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</si>
  <si>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</si>
  <si>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</si>
  <si>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</si>
  <si>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</si>
  <si>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</si>
  <si>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</si>
  <si>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</si>
  <si>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</si>
  <si>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</si>
  <si>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</si>
  <si>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</si>
  <si>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</si>
  <si>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</si>
  <si>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</si>
  <si>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</si>
  <si>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</si>
  <si>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</si>
  <si>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</si>
  <si>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</si>
  <si>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</si>
  <si>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</si>
  <si>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</si>
  <si>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</si>
  <si>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</si>
  <si>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</si>
  <si>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</si>
  <si>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</si>
  <si>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</si>
  <si>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</si>
  <si>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</si>
  <si>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</si>
  <si>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</si>
  <si>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</si>
  <si>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</si>
  <si>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</si>
  <si>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</si>
  <si>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</si>
  <si>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</si>
  <si>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</si>
  <si>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</si>
  <si>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</si>
  <si>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</si>
  <si>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</si>
  <si>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</si>
  <si>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</si>
  <si>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</si>
  <si>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</si>
  <si>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</si>
  <si>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</si>
  <si>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</si>
  <si>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</si>
  <si>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</si>
  <si>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</si>
  <si>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</si>
  <si>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</si>
  <si>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</si>
  <si>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</si>
  <si>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</si>
  <si>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</si>
  <si>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</si>
  <si>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</si>
  <si>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</si>
  <si>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</si>
  <si>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</si>
  <si>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</si>
  <si>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</si>
  <si>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</si>
  <si>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</si>
  <si>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</si>
  <si>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</si>
  <si>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</si>
  <si>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</si>
  <si>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</si>
  <si>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</si>
  <si>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</si>
  <si>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</si>
  <si>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</si>
  <si>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</si>
  <si>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</si>
  <si>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</si>
  <si>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</si>
  <si>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</si>
  <si>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</si>
  <si>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</si>
  <si>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</si>
  <si>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</si>
  <si>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</si>
  <si>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</si>
  <si>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</si>
  <si>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</si>
  <si>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</si>
  <si>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</si>
  <si>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</si>
  <si>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</si>
  <si>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</si>
  <si>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</si>
  <si>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</si>
  <si>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</si>
  <si>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</si>
  <si>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</si>
  <si>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</si>
  <si>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</si>
  <si>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</si>
  <si>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</si>
  <si>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</si>
  <si>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</si>
  <si>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DSN Track Name</t>
  </si>
  <si>
    <t>~SSR1 PB Start</t>
  </si>
  <si>
    <t>Queued DV (MB)</t>
  </si>
  <si>
    <t>SciDv(*1.05)</t>
  </si>
  <si>
    <t>219 11:58:39</t>
  </si>
  <si>
    <t>219 03:27:01</t>
  </si>
  <si>
    <t>K2PE_PEPSSI_Power_On_Macros_102_104_105_2025_219</t>
  </si>
  <si>
    <t>set n2</t>
  </si>
  <si>
    <t>219 12:26:39</t>
  </si>
  <si>
    <t>219 03:55:01</t>
  </si>
  <si>
    <t>set n1</t>
  </si>
  <si>
    <t>219 12:26:42</t>
  </si>
  <si>
    <t>219 03:55:04</t>
  </si>
  <si>
    <t>set n3</t>
  </si>
  <si>
    <t>219 12:26:45</t>
  </si>
  <si>
    <t>219 03:55:07</t>
  </si>
  <si>
    <t>set status</t>
  </si>
  <si>
    <t>219 12:26:48</t>
  </si>
  <si>
    <t>219 03:55:10</t>
  </si>
  <si>
    <t>run 102</t>
  </si>
  <si>
    <t>219 12:27:39</t>
  </si>
  <si>
    <t>219 03:56:01</t>
  </si>
  <si>
    <t>run 104</t>
  </si>
  <si>
    <t>219 12:37:39</t>
  </si>
  <si>
    <t>219 04:06:01</t>
  </si>
  <si>
    <t>run 105</t>
  </si>
  <si>
    <t>219 12:47:39</t>
  </si>
  <si>
    <t>219 04:16:01</t>
  </si>
  <si>
    <t>start utc</t>
  </si>
  <si>
    <t>end utc</t>
  </si>
  <si>
    <t>track bytes avail</t>
  </si>
  <si>
    <t>TRK_222_2</t>
  </si>
  <si>
    <t>2026-222T22:04:00</t>
  </si>
  <si>
    <t>TRK_225_1</t>
  </si>
  <si>
    <t>2026-225T02:23:00</t>
  </si>
  <si>
    <t>TRK_225_2</t>
  </si>
  <si>
    <t>2026-225T11:33:00</t>
  </si>
  <si>
    <t>TRK_225_3</t>
  </si>
  <si>
    <t>2026-225T23:38:00</t>
  </si>
  <si>
    <t>you have start met for data acquisition</t>
  </si>
  <si>
    <t>TRK_226_1</t>
  </si>
  <si>
    <t>2026-226T11:03:00</t>
  </si>
  <si>
    <t>you have data volume you want to play back (col W in bytes - how much is left on the track)</t>
  </si>
  <si>
    <t>TRK_227_1_</t>
  </si>
  <si>
    <t>2026-227T11:03:00</t>
  </si>
  <si>
    <t>to find the end met that will use up exactly the amount of data on the track</t>
  </si>
  <si>
    <t>TRK_228_1</t>
  </si>
  <si>
    <t>2026-228T22:03:00</t>
  </si>
  <si>
    <t>data volume = rate * time    (bytes/sec   * sec = bytes)</t>
  </si>
  <si>
    <t>TRK_229_1</t>
  </si>
  <si>
    <t>2026-229T11:13:00</t>
  </si>
  <si>
    <t>time = data volume / rate</t>
  </si>
  <si>
    <t>TRK_229_2</t>
  </si>
  <si>
    <t>2026-229T22:03:00</t>
  </si>
  <si>
    <t xml:space="preserve">end time = start time + time </t>
  </si>
  <si>
    <t>TRK_230_1</t>
  </si>
  <si>
    <t>2026-230T11:13:00</t>
  </si>
  <si>
    <t>TRK_231_1_</t>
  </si>
  <si>
    <t>2026-231T10:22:00</t>
  </si>
  <si>
    <t>TRK_232_1</t>
  </si>
  <si>
    <t>2026-232T03:02:00</t>
  </si>
  <si>
    <t>TRK_232_2</t>
  </si>
  <si>
    <t>2026-232T11:32:00</t>
  </si>
  <si>
    <t>TRK_232_3</t>
  </si>
  <si>
    <t>2026-232T23:12:00</t>
  </si>
  <si>
    <t>TRK_233_1</t>
  </si>
  <si>
    <t>2026-233T12:17:00</t>
  </si>
  <si>
    <t>TRK_234_1</t>
  </si>
  <si>
    <t>2026-234T02:47:00</t>
  </si>
  <si>
    <t>TRK_235_1_</t>
  </si>
  <si>
    <t>2026-235T04:42:00</t>
  </si>
  <si>
    <t>TRK_235_2</t>
  </si>
  <si>
    <t>2026-235T12:27:00</t>
  </si>
  <si>
    <t>TRK_235_3</t>
  </si>
  <si>
    <t>2026-235T21:22:00</t>
  </si>
  <si>
    <t>TRK_236_1</t>
  </si>
  <si>
    <t>2026-236T11:32:00</t>
  </si>
  <si>
    <t>TRK_237_1</t>
  </si>
  <si>
    <t>2026-237T00:46:00</t>
  </si>
  <si>
    <t>TRK_237_2</t>
  </si>
  <si>
    <t>2026-237T13:16:00</t>
  </si>
  <si>
    <t>TRK_237_3</t>
  </si>
  <si>
    <t>2026-237T21:46:00</t>
  </si>
  <si>
    <t>TRK_238_1</t>
  </si>
  <si>
    <t>2026-238T12:36:00</t>
  </si>
  <si>
    <t>TRK_239_1_</t>
  </si>
  <si>
    <t>2026-239T21:41:00</t>
  </si>
  <si>
    <t>TRK_240_1</t>
  </si>
  <si>
    <t>2026-240T09:36:00</t>
  </si>
  <si>
    <t>TRK_241_1</t>
  </si>
  <si>
    <t>2026-241T02:41:00</t>
  </si>
  <si>
    <t>TRK_242_1</t>
  </si>
  <si>
    <t>2026-242T09:16:00</t>
  </si>
  <si>
    <t>TRK_243_1_</t>
  </si>
  <si>
    <t>2026-243T00:25:00</t>
  </si>
  <si>
    <t>222/21:49</t>
  </si>
  <si>
    <t>Remainder</t>
  </si>
  <si>
    <t>Mbits Used</t>
  </si>
  <si>
    <t>DSN Track</t>
  </si>
  <si>
    <t>PB Queu Cmd Time</t>
  </si>
  <si>
    <t>26222 also</t>
  </si>
  <si>
    <t>225/02:08</t>
  </si>
  <si>
    <t>225/11:18</t>
  </si>
  <si>
    <t>225/23:23</t>
  </si>
  <si>
    <t>226/10:48</t>
  </si>
  <si>
    <t>227/10:48</t>
  </si>
  <si>
    <t>228/21:48</t>
  </si>
  <si>
    <t>229/21:48</t>
  </si>
  <si>
    <t>229/10:58</t>
  </si>
  <si>
    <t>230/10:58</t>
  </si>
  <si>
    <t>231/10:07</t>
  </si>
  <si>
    <t>232/02:47</t>
  </si>
  <si>
    <t>232/11:17</t>
  </si>
  <si>
    <t>232/22:57</t>
  </si>
  <si>
    <t>233/12:02</t>
  </si>
  <si>
    <t>234/02:32</t>
  </si>
  <si>
    <t>236/11:17</t>
  </si>
  <si>
    <t>237/00:31</t>
  </si>
  <si>
    <t>237/13:01</t>
  </si>
  <si>
    <t>237/21:31</t>
  </si>
  <si>
    <t>238/12:21</t>
  </si>
  <si>
    <t>240/09:21</t>
  </si>
  <si>
    <t>241/02:26</t>
  </si>
  <si>
    <t>242/09:01</t>
  </si>
  <si>
    <t>243/00:10</t>
  </si>
  <si>
    <t>239/21:26</t>
  </si>
  <si>
    <t>235/21:07</t>
  </si>
  <si>
    <t>235/12:12</t>
  </si>
  <si>
    <t>235/04:27</t>
  </si>
  <si>
    <t>post hib 26</t>
  </si>
  <si>
    <t>hib 26 2H</t>
  </si>
  <si>
    <t xml:space="preserve">HSK3 </t>
  </si>
  <si>
    <t>pwr on 25 hib</t>
  </si>
  <si>
    <t>645952358 in data track in the playback</t>
  </si>
  <si>
    <t>default is 645955455</t>
  </si>
  <si>
    <t>original acquisition end</t>
  </si>
  <si>
    <t>(data collection)</t>
  </si>
  <si>
    <t>acquisition delta</t>
  </si>
  <si>
    <t>time (sec)</t>
  </si>
  <si>
    <t>raw dldv</t>
  </si>
  <si>
    <t>from dt</t>
  </si>
  <si>
    <t xml:space="preserve">dldv </t>
  </si>
  <si>
    <t>packetized</t>
  </si>
  <si>
    <t>The problem:</t>
  </si>
  <si>
    <t>Given start and end time whole request, desired Mbits in in column H</t>
  </si>
  <si>
    <t>Find the intermediate met that will play back just the desired Mbits</t>
  </si>
  <si>
    <t>Desired partial</t>
  </si>
  <si>
    <t>pb Mbits</t>
  </si>
  <si>
    <t>partial pb</t>
  </si>
  <si>
    <t>percent of</t>
  </si>
  <si>
    <t>desired to</t>
  </si>
  <si>
    <t>total pb</t>
  </si>
  <si>
    <t>apply that</t>
  </si>
  <si>
    <t xml:space="preserve">percentage to </t>
  </si>
  <si>
    <t>total time</t>
  </si>
  <si>
    <t>In column I we first find the fraction representing desired partial playback to full playback of Mbits</t>
  </si>
  <si>
    <t>In column H we apply that fraction to the total collection duration in cell E18 (3665s) by just multiplying the two</t>
  </si>
  <si>
    <t>(this gives the fractional time of the collection to play back 30 Mbits which is 567)</t>
  </si>
  <si>
    <t>If this is the first partial playback and you want to start at the beginning of the data collection, use start met of original acquisition, end met is that + 567</t>
  </si>
  <si>
    <t xml:space="preserve">If this is not the first partial playback then find the end time of previous partial playback, subtract 1, and add the 567 to give the end met of the new fractional playback. </t>
  </si>
  <si>
    <t>end met of</t>
  </si>
  <si>
    <t>The solution:</t>
  </si>
  <si>
    <t>Alice played back on 225_3, 226_1, 227_1</t>
  </si>
  <si>
    <t>PEPSSI commands moved to RTC doy 205</t>
  </si>
  <si>
    <t xml:space="preserve">pwr on =&gt; </t>
  </si>
  <si>
    <t>ta</t>
  </si>
  <si>
    <t xml:space="preserve">start met of </t>
  </si>
  <si>
    <t>desired partial</t>
  </si>
  <si>
    <t>pb bytes</t>
  </si>
  <si>
    <t>2025 hib and 26179 MAC 104/105</t>
  </si>
  <si>
    <t xml:space="preserve">values wrong should be 22.12 and 18.28 - will be </t>
  </si>
  <si>
    <t>used wrong values br/n3</t>
  </si>
  <si>
    <t>oversubscribed extra 10%</t>
  </si>
  <si>
    <t>360/900/1800</t>
  </si>
  <si>
    <t>26201/26222</t>
  </si>
  <si>
    <t>wrong</t>
  </si>
  <si>
    <t>correct</t>
  </si>
  <si>
    <t>2025 hib</t>
  </si>
  <si>
    <t>Alice Pixellist partial</t>
  </si>
  <si>
    <t>26201 r379</t>
  </si>
  <si>
    <t>26201 all dt</t>
  </si>
  <si>
    <t>calc bytes</t>
  </si>
  <si>
    <t>25 hib early all dt</t>
  </si>
  <si>
    <t>26 hib early pwr on</t>
  </si>
  <si>
    <t>per chunk</t>
  </si>
  <si>
    <t>continue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</si>
</sst>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71">
    <font>
      <sz val="11"/>
      <color theme="1"/>
      <name val="Calibri"/>
      <family val="2"/>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name val="Arial"/>
      <family val="2"/>
    </font>
  </fonts>
  <fills count="83">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7" tint="0.59999389629810485"/>
        <bgColor indexed="64"/>
      </patternFill>
    </fill>
    <fill>
      <patternFill patternType="solid">
        <fgColor rgb="FFCCFFCC"/>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theme="1"/>
        <bgColor indexed="64"/>
      </patternFill>
    </fill>
    <fill>
      <patternFill patternType="solid">
        <fgColor rgb="FF00B0F0"/>
        <bgColor rgb="FFCCFF33"/>
      </patternFill>
    </fill>
    <fill>
      <patternFill patternType="solid">
        <fgColor rgb="FF00B0F0"/>
        <bgColor rgb="FFCCFFFF"/>
      </patternFill>
    </fill>
    <fill>
      <patternFill patternType="solid">
        <fgColor theme="0" tint="-0.14999847407452621"/>
        <bgColor rgb="FFE6E905"/>
      </patternFill>
    </fill>
  </fills>
  <borders count="4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style="thin">
        <color indexed="64"/>
      </right>
      <top/>
      <bottom/>
      <diagonal/>
    </border>
    <border>
      <left/>
      <right style="medium">
        <color auto="1"/>
      </right>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6">
    <xf numFmtId="0" fontId="0" fillId="0" borderId="0"/>
    <xf numFmtId="165" fontId="28" fillId="0" borderId="0" applyBorder="0" applyProtection="0"/>
    <xf numFmtId="0" fontId="3" fillId="0" borderId="0"/>
    <xf numFmtId="0" fontId="2" fillId="0" borderId="0"/>
    <xf numFmtId="0" fontId="68" fillId="0" borderId="0"/>
    <xf numFmtId="0" fontId="1" fillId="0" borderId="0"/>
  </cellStyleXfs>
  <cellXfs count="555">
    <xf numFmtId="0" fontId="0" fillId="0" borderId="0" xfId="0"/>
    <xf numFmtId="0" fontId="49"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4" fillId="2" borderId="0" xfId="0" applyFont="1" applyFill="1"/>
    <xf numFmtId="0" fontId="4"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4"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8" fillId="0" borderId="0" xfId="1" applyNumberFormat="1" applyBorder="1" applyAlignment="1" applyProtection="1">
      <alignment horizontal="center"/>
    </xf>
    <xf numFmtId="165" fontId="28" fillId="0" borderId="0" xfId="1" applyBorder="1" applyAlignment="1" applyProtection="1">
      <alignment horizontal="center"/>
    </xf>
    <xf numFmtId="1" fontId="28" fillId="0" borderId="0" xfId="1" applyNumberFormat="1" applyBorder="1" applyProtection="1"/>
    <xf numFmtId="165" fontId="28" fillId="0" borderId="1" xfId="1" applyBorder="1" applyAlignment="1" applyProtection="1">
      <alignment horizontal="center"/>
    </xf>
    <xf numFmtId="1" fontId="28" fillId="0" borderId="1" xfId="1" applyNumberFormat="1" applyBorder="1" applyProtection="1"/>
    <xf numFmtId="165" fontId="4"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4" fillId="5" borderId="0" xfId="0" applyNumberFormat="1" applyFont="1" applyFill="1" applyAlignment="1">
      <alignment horizontal="center"/>
    </xf>
    <xf numFmtId="0" fontId="0" fillId="7" borderId="2" xfId="0" applyFill="1" applyBorder="1" applyAlignment="1">
      <alignment horizontal="center"/>
    </xf>
    <xf numFmtId="0" fontId="7" fillId="0" borderId="0" xfId="0" applyFont="1" applyAlignment="1">
      <alignment horizontal="right"/>
    </xf>
    <xf numFmtId="2" fontId="0" fillId="0" borderId="0" xfId="0" applyNumberFormat="1" applyAlignment="1">
      <alignment horizontal="center"/>
    </xf>
    <xf numFmtId="0" fontId="0" fillId="8" borderId="0" xfId="0" applyFill="1"/>
    <xf numFmtId="165" fontId="28"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8" fillId="9" borderId="0" xfId="0" applyNumberFormat="1" applyFont="1" applyFill="1" applyAlignment="1">
      <alignment horizontal="center"/>
    </xf>
    <xf numFmtId="0" fontId="9" fillId="9" borderId="0" xfId="0" applyFont="1" applyFill="1" applyAlignment="1">
      <alignment horizontal="center"/>
    </xf>
    <xf numFmtId="0" fontId="7" fillId="0" borderId="0" xfId="0" applyFont="1" applyAlignment="1">
      <alignment horizontal="center"/>
    </xf>
    <xf numFmtId="0" fontId="0" fillId="10" borderId="0" xfId="0" applyFill="1" applyAlignment="1">
      <alignment horizontal="center"/>
    </xf>
    <xf numFmtId="0" fontId="0" fillId="10" borderId="0" xfId="0" applyFill="1"/>
    <xf numFmtId="165" fontId="8" fillId="10" borderId="0" xfId="0" applyNumberFormat="1" applyFont="1" applyFill="1" applyAlignment="1">
      <alignment horizontal="center"/>
    </xf>
    <xf numFmtId="0" fontId="9"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4" fillId="12" borderId="0" xfId="1" applyNumberFormat="1" applyFont="1" applyFill="1" applyBorder="1" applyAlignment="1" applyProtection="1">
      <alignment horizontal="center"/>
    </xf>
    <xf numFmtId="165" fontId="4" fillId="12" borderId="0" xfId="1" applyFont="1" applyFill="1" applyBorder="1" applyAlignment="1" applyProtection="1">
      <alignment horizontal="center"/>
    </xf>
    <xf numFmtId="165" fontId="4"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4"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4"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0" fillId="12" borderId="0" xfId="0" applyFont="1" applyFill="1" applyAlignment="1">
      <alignment horizontal="center"/>
    </xf>
    <xf numFmtId="168" fontId="0" fillId="12" borderId="11" xfId="0" applyNumberFormat="1" applyFill="1" applyBorder="1" applyAlignment="1">
      <alignment horizontal="center"/>
    </xf>
    <xf numFmtId="1" fontId="10"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0"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0"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1" fillId="0" borderId="2" xfId="0" applyFont="1" applyBorder="1"/>
    <xf numFmtId="0" fontId="12" fillId="0" borderId="0" xfId="0" applyFont="1"/>
    <xf numFmtId="0" fontId="11" fillId="13" borderId="2" xfId="0" applyFont="1" applyFill="1" applyBorder="1"/>
    <xf numFmtId="3" fontId="0" fillId="0" borderId="0" xfId="0" applyNumberFormat="1"/>
    <xf numFmtId="0" fontId="13" fillId="13" borderId="2" xfId="0" applyFont="1" applyFill="1" applyBorder="1"/>
    <xf numFmtId="0" fontId="0" fillId="12" borderId="14" xfId="0" applyFill="1" applyBorder="1" applyAlignment="1">
      <alignment horizontal="center"/>
    </xf>
    <xf numFmtId="1" fontId="10"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4" fillId="12" borderId="0" xfId="0" applyFont="1" applyFill="1" applyAlignment="1">
      <alignment horizontal="center"/>
    </xf>
    <xf numFmtId="0" fontId="14" fillId="12" borderId="0" xfId="0" applyFont="1" applyFill="1" applyAlignment="1">
      <alignment horizontal="center"/>
    </xf>
    <xf numFmtId="0" fontId="10" fillId="12" borderId="15" xfId="0" applyFont="1" applyFill="1" applyBorder="1" applyAlignment="1">
      <alignment horizontal="center"/>
    </xf>
    <xf numFmtId="0" fontId="4" fillId="0" borderId="0" xfId="0" applyFont="1"/>
    <xf numFmtId="0" fontId="0" fillId="14" borderId="0" xfId="0" applyFill="1" applyAlignment="1">
      <alignment horizontal="center"/>
    </xf>
    <xf numFmtId="0" fontId="0" fillId="0" borderId="0" xfId="0" applyAlignment="1">
      <alignment horizontal="left"/>
    </xf>
    <xf numFmtId="0" fontId="10" fillId="0" borderId="0" xfId="0" applyFont="1" applyAlignment="1">
      <alignment horizontal="center"/>
    </xf>
    <xf numFmtId="0" fontId="0" fillId="0" borderId="17" xfId="0" applyBorder="1" applyAlignment="1">
      <alignment horizontal="center"/>
    </xf>
    <xf numFmtId="0" fontId="10" fillId="2" borderId="0" xfId="0" applyFont="1" applyFill="1" applyAlignment="1">
      <alignment horizontal="center"/>
    </xf>
    <xf numFmtId="1" fontId="0" fillId="0" borderId="0" xfId="0" applyNumberFormat="1" applyAlignment="1">
      <alignment horizontal="center"/>
    </xf>
    <xf numFmtId="0" fontId="4" fillId="15" borderId="3" xfId="0" applyFont="1" applyFill="1" applyBorder="1"/>
    <xf numFmtId="0" fontId="0" fillId="15" borderId="6" xfId="0" applyFill="1" applyBorder="1" applyAlignment="1">
      <alignment horizontal="left"/>
    </xf>
    <xf numFmtId="0" fontId="4" fillId="15" borderId="7" xfId="0" applyFont="1" applyFill="1" applyBorder="1"/>
    <xf numFmtId="0" fontId="0" fillId="15" borderId="9" xfId="0" applyFill="1" applyBorder="1" applyAlignment="1">
      <alignment horizontal="left"/>
    </xf>
    <xf numFmtId="0" fontId="4"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0"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0"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5" fillId="2" borderId="2" xfId="0" applyFont="1" applyFill="1" applyBorder="1" applyAlignment="1">
      <alignment horizontal="center"/>
    </xf>
    <xf numFmtId="0" fontId="16"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0" fillId="2" borderId="0" xfId="0" applyNumberFormat="1" applyFont="1" applyFill="1" applyAlignment="1">
      <alignment horizontal="center"/>
    </xf>
    <xf numFmtId="0" fontId="14"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1" fillId="0" borderId="2" xfId="0" applyFont="1" applyBorder="1" applyAlignment="1">
      <alignment horizontal="center"/>
    </xf>
    <xf numFmtId="0" fontId="13" fillId="0" borderId="2" xfId="0" applyFont="1" applyBorder="1" applyAlignment="1">
      <alignment horizontal="center"/>
    </xf>
    <xf numFmtId="0" fontId="17" fillId="0" borderId="2" xfId="0" applyFont="1" applyBorder="1" applyAlignment="1">
      <alignment horizontal="center"/>
    </xf>
    <xf numFmtId="0" fontId="13"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4" fillId="15" borderId="3" xfId="0" applyFont="1" applyFill="1" applyBorder="1" applyAlignment="1">
      <alignment horizontal="center"/>
    </xf>
    <xf numFmtId="0" fontId="0" fillId="15" borderId="6" xfId="0" applyFill="1" applyBorder="1" applyAlignment="1">
      <alignment horizontal="center"/>
    </xf>
    <xf numFmtId="0" fontId="18" fillId="0" borderId="0" xfId="0" applyFont="1" applyAlignment="1">
      <alignment vertical="center"/>
    </xf>
    <xf numFmtId="0" fontId="4" fillId="15" borderId="7" xfId="0" applyFont="1" applyFill="1" applyBorder="1" applyAlignment="1">
      <alignment horizontal="center"/>
    </xf>
    <xf numFmtId="0" fontId="0" fillId="15" borderId="9" xfId="0" applyFill="1" applyBorder="1" applyAlignment="1">
      <alignment horizontal="center"/>
    </xf>
    <xf numFmtId="0" fontId="4" fillId="15" borderId="14" xfId="0" applyFont="1" applyFill="1" applyBorder="1" applyAlignment="1">
      <alignment horizontal="center"/>
    </xf>
    <xf numFmtId="0" fontId="0" fillId="15" borderId="16" xfId="0" applyFill="1" applyBorder="1" applyAlignment="1">
      <alignment horizontal="center"/>
    </xf>
    <xf numFmtId="0" fontId="12" fillId="0" borderId="0" xfId="0" applyFont="1" applyAlignment="1">
      <alignment horizontal="right"/>
    </xf>
    <xf numFmtId="1" fontId="4" fillId="0" borderId="0" xfId="0" applyNumberFormat="1" applyFont="1" applyAlignment="1">
      <alignment horizontal="center"/>
    </xf>
    <xf numFmtId="1" fontId="4" fillId="12" borderId="0" xfId="0" applyNumberFormat="1" applyFont="1" applyFill="1" applyAlignment="1">
      <alignment horizontal="center"/>
    </xf>
    <xf numFmtId="169" fontId="0" fillId="0" borderId="0" xfId="0" applyNumberFormat="1" applyAlignment="1">
      <alignment horizontal="center"/>
    </xf>
    <xf numFmtId="0" fontId="4" fillId="0" borderId="0" xfId="0" applyFont="1" applyAlignment="1">
      <alignment horizontal="center"/>
    </xf>
    <xf numFmtId="0" fontId="4"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0" fillId="12" borderId="0" xfId="0" applyNumberFormat="1" applyFont="1" applyFill="1" applyAlignment="1">
      <alignment horizontal="center"/>
    </xf>
    <xf numFmtId="0" fontId="12" fillId="0" borderId="2" xfId="0" applyFont="1" applyBorder="1" applyAlignment="1">
      <alignment horizontal="center"/>
    </xf>
    <xf numFmtId="0" fontId="11" fillId="22" borderId="2" xfId="0" applyFont="1" applyFill="1" applyBorder="1"/>
    <xf numFmtId="0" fontId="13" fillId="22" borderId="2" xfId="0" applyFont="1" applyFill="1" applyBorder="1"/>
    <xf numFmtId="0" fontId="11" fillId="22" borderId="2" xfId="0" applyFont="1" applyFill="1" applyBorder="1" applyAlignment="1">
      <alignment horizontal="center"/>
    </xf>
    <xf numFmtId="0" fontId="13"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1"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9" fillId="2" borderId="0" xfId="2" applyFont="1" applyFill="1"/>
    <xf numFmtId="0" fontId="3" fillId="2" borderId="0" xfId="2" applyFill="1"/>
    <xf numFmtId="0" fontId="4" fillId="12" borderId="7" xfId="0" applyFont="1" applyFill="1" applyBorder="1" applyAlignment="1">
      <alignment horizontal="center"/>
    </xf>
    <xf numFmtId="1" fontId="4" fillId="20" borderId="0" xfId="0" applyNumberFormat="1" applyFont="1" applyFill="1" applyAlignment="1">
      <alignment horizontal="center"/>
    </xf>
    <xf numFmtId="0" fontId="19"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1" fillId="0" borderId="0" xfId="0" applyFont="1"/>
    <xf numFmtId="164" fontId="0" fillId="0" borderId="0" xfId="0" applyNumberFormat="1" applyAlignment="1">
      <alignment horizontal="right"/>
    </xf>
    <xf numFmtId="0" fontId="20" fillId="0" borderId="0" xfId="0" applyFont="1"/>
    <xf numFmtId="0" fontId="19" fillId="11" borderId="0" xfId="2" applyFont="1" applyFill="1"/>
    <xf numFmtId="0" fontId="4" fillId="23" borderId="2" xfId="0" applyFont="1" applyFill="1" applyBorder="1" applyAlignment="1">
      <alignment horizontal="center"/>
    </xf>
    <xf numFmtId="20" fontId="3" fillId="2" borderId="0" xfId="2" applyNumberFormat="1" applyFill="1" applyAlignment="1">
      <alignment vertical="center" wrapText="1"/>
    </xf>
    <xf numFmtId="0" fontId="3" fillId="2" borderId="0" xfId="2" applyFill="1" applyAlignment="1">
      <alignment vertical="center" wrapText="1"/>
    </xf>
    <xf numFmtId="0" fontId="3" fillId="4" borderId="0" xfId="2" applyFill="1" applyAlignment="1">
      <alignment vertical="center"/>
    </xf>
    <xf numFmtId="171" fontId="0" fillId="0" borderId="0" xfId="0" applyNumberFormat="1" applyAlignment="1">
      <alignment horizontal="center"/>
    </xf>
    <xf numFmtId="0" fontId="21" fillId="0" borderId="0" xfId="0" applyFont="1" applyAlignment="1">
      <alignment horizontal="center"/>
    </xf>
    <xf numFmtId="0" fontId="22" fillId="12" borderId="3" xfId="0" applyFont="1" applyFill="1" applyBorder="1" applyAlignment="1">
      <alignment horizontal="center"/>
    </xf>
    <xf numFmtId="1" fontId="22" fillId="20" borderId="0" xfId="0" applyNumberFormat="1" applyFont="1" applyFill="1" applyAlignment="1">
      <alignment horizontal="center"/>
    </xf>
    <xf numFmtId="164" fontId="21" fillId="0" borderId="0" xfId="0" applyNumberFormat="1" applyFont="1" applyAlignment="1">
      <alignment horizontal="center"/>
    </xf>
    <xf numFmtId="1" fontId="21" fillId="12" borderId="0" xfId="0" applyNumberFormat="1" applyFont="1" applyFill="1" applyAlignment="1">
      <alignment horizontal="center"/>
    </xf>
    <xf numFmtId="1" fontId="21" fillId="0" borderId="0" xfId="0" applyNumberFormat="1" applyFont="1" applyAlignment="1">
      <alignment horizontal="center"/>
    </xf>
    <xf numFmtId="1" fontId="21" fillId="12" borderId="9" xfId="0" applyNumberFormat="1" applyFont="1" applyFill="1" applyBorder="1" applyAlignment="1">
      <alignment horizontal="center"/>
    </xf>
    <xf numFmtId="0" fontId="23" fillId="11" borderId="0" xfId="2" applyFont="1" applyFill="1"/>
    <xf numFmtId="0" fontId="24" fillId="2" borderId="0" xfId="2" applyFont="1" applyFill="1"/>
    <xf numFmtId="20" fontId="24" fillId="2" borderId="0" xfId="2" applyNumberFormat="1" applyFont="1" applyFill="1" applyAlignment="1">
      <alignment vertical="center" wrapText="1"/>
    </xf>
    <xf numFmtId="0" fontId="0" fillId="24" borderId="0" xfId="0" applyFill="1" applyAlignment="1">
      <alignment horizontal="center"/>
    </xf>
    <xf numFmtId="1" fontId="4" fillId="24" borderId="0" xfId="0" applyNumberFormat="1" applyFont="1" applyFill="1" applyAlignment="1">
      <alignment horizontal="center"/>
    </xf>
    <xf numFmtId="0" fontId="4" fillId="12" borderId="3" xfId="0" applyFont="1" applyFill="1" applyBorder="1" applyAlignment="1">
      <alignment horizontal="left"/>
    </xf>
    <xf numFmtId="172" fontId="4" fillId="0" borderId="0" xfId="0" applyNumberFormat="1" applyFont="1" applyAlignment="1">
      <alignment horizontal="center"/>
    </xf>
    <xf numFmtId="0" fontId="0" fillId="25" borderId="0" xfId="0" applyFill="1" applyAlignment="1">
      <alignment horizontal="center"/>
    </xf>
    <xf numFmtId="1" fontId="4" fillId="26" borderId="0" xfId="0" applyNumberFormat="1" applyFont="1" applyFill="1" applyAlignment="1">
      <alignment horizontal="center"/>
    </xf>
    <xf numFmtId="0" fontId="4" fillId="27" borderId="0" xfId="0" applyFont="1" applyFill="1"/>
    <xf numFmtId="1" fontId="4" fillId="25" borderId="0" xfId="0" applyNumberFormat="1" applyFont="1" applyFill="1" applyAlignment="1">
      <alignment horizontal="center"/>
    </xf>
    <xf numFmtId="173" fontId="0" fillId="25" borderId="0" xfId="0" applyNumberFormat="1" applyFill="1" applyAlignment="1">
      <alignment horizontal="center"/>
    </xf>
    <xf numFmtId="164" fontId="4" fillId="0" borderId="0" xfId="0" applyNumberFormat="1" applyFont="1" applyAlignment="1">
      <alignment horizontal="center"/>
    </xf>
    <xf numFmtId="0" fontId="4" fillId="15" borderId="3" xfId="0" applyFont="1" applyFill="1" applyBorder="1" applyAlignment="1">
      <alignment horizontal="right"/>
    </xf>
    <xf numFmtId="0" fontId="27"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8" fillId="0" borderId="0" xfId="0" applyFont="1"/>
    <xf numFmtId="0" fontId="28" fillId="0" borderId="0" xfId="0" applyFont="1" applyAlignment="1">
      <alignment horizontal="right"/>
    </xf>
    <xf numFmtId="0" fontId="28" fillId="0" borderId="0" xfId="0" applyFont="1" applyAlignment="1">
      <alignment horizontal="center"/>
    </xf>
    <xf numFmtId="0" fontId="29" fillId="15" borderId="3" xfId="0" applyFont="1" applyFill="1" applyBorder="1" applyAlignment="1">
      <alignment horizontal="center"/>
    </xf>
    <xf numFmtId="169" fontId="28" fillId="15" borderId="6" xfId="0" applyNumberFormat="1" applyFont="1" applyFill="1" applyBorder="1" applyAlignment="1">
      <alignment horizontal="center"/>
    </xf>
    <xf numFmtId="0" fontId="11" fillId="29" borderId="2" xfId="0" applyFont="1" applyFill="1" applyBorder="1"/>
    <xf numFmtId="0" fontId="13" fillId="29" borderId="2" xfId="0" applyFont="1" applyFill="1" applyBorder="1"/>
    <xf numFmtId="0" fontId="0" fillId="30" borderId="0" xfId="0" applyFill="1" applyAlignment="1">
      <alignment horizontal="center"/>
    </xf>
    <xf numFmtId="0" fontId="0" fillId="30" borderId="0" xfId="0" applyFill="1"/>
    <xf numFmtId="0" fontId="3" fillId="30" borderId="0" xfId="2" applyFill="1" applyAlignment="1">
      <alignment vertical="center" wrapText="1"/>
    </xf>
    <xf numFmtId="0" fontId="19" fillId="11" borderId="0" xfId="2" applyFont="1" applyFill="1" applyAlignment="1">
      <alignment horizontal="center"/>
    </xf>
    <xf numFmtId="1" fontId="19" fillId="11" borderId="24" xfId="2" applyNumberFormat="1" applyFont="1" applyFill="1" applyBorder="1" applyAlignment="1">
      <alignment horizontal="center"/>
    </xf>
    <xf numFmtId="169" fontId="19" fillId="11" borderId="25" xfId="2" applyNumberFormat="1" applyFont="1" applyFill="1" applyBorder="1" applyAlignment="1">
      <alignment horizontal="center"/>
    </xf>
    <xf numFmtId="0" fontId="30" fillId="0" borderId="0" xfId="0" applyFont="1"/>
    <xf numFmtId="0" fontId="19" fillId="11" borderId="26" xfId="2" applyFont="1" applyFill="1" applyBorder="1" applyAlignment="1">
      <alignment horizontal="center"/>
    </xf>
    <xf numFmtId="0" fontId="19" fillId="11" borderId="27" xfId="2" applyFont="1" applyFill="1" applyBorder="1" applyAlignment="1">
      <alignment horizontal="center"/>
    </xf>
    <xf numFmtId="1" fontId="19" fillId="11" borderId="0" xfId="2" applyNumberFormat="1" applyFont="1" applyFill="1" applyAlignment="1">
      <alignment horizontal="center"/>
    </xf>
    <xf numFmtId="169" fontId="19"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9"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1" fillId="0" borderId="0" xfId="0" applyFont="1" applyAlignment="1">
      <alignment vertical="center" wrapText="1"/>
    </xf>
    <xf numFmtId="0" fontId="31" fillId="15" borderId="0" xfId="0" applyFont="1" applyFill="1" applyAlignment="1">
      <alignment vertical="center" wrapText="1"/>
    </xf>
    <xf numFmtId="0" fontId="32" fillId="15" borderId="0" xfId="0" applyFont="1" applyFill="1" applyAlignment="1">
      <alignment vertical="center" wrapText="1"/>
    </xf>
    <xf numFmtId="173" fontId="0" fillId="0" borderId="0" xfId="0" applyNumberFormat="1" applyAlignment="1">
      <alignment horizontal="center"/>
    </xf>
    <xf numFmtId="0" fontId="32" fillId="0" borderId="0" xfId="0" applyFont="1"/>
    <xf numFmtId="0" fontId="32" fillId="0" borderId="0" xfId="0" applyFont="1" applyAlignment="1">
      <alignment vertical="center" wrapText="1"/>
    </xf>
    <xf numFmtId="0" fontId="31" fillId="33" borderId="0" xfId="0" applyFont="1" applyFill="1" applyAlignment="1">
      <alignment vertical="center" wrapText="1"/>
    </xf>
    <xf numFmtId="0" fontId="32" fillId="33" borderId="0" xfId="0" applyFont="1" applyFill="1" applyAlignment="1">
      <alignment vertical="center" wrapText="1"/>
    </xf>
    <xf numFmtId="0" fontId="0" fillId="30" borderId="0" xfId="0" applyFill="1" applyAlignment="1">
      <alignment horizontal="left"/>
    </xf>
    <xf numFmtId="0" fontId="19" fillId="15" borderId="0" xfId="2" applyFont="1" applyFill="1"/>
    <xf numFmtId="0" fontId="0" fillId="34" borderId="0" xfId="0" applyFill="1"/>
    <xf numFmtId="0" fontId="0" fillId="13" borderId="0" xfId="0" applyFill="1" applyAlignment="1">
      <alignment horizontal="left"/>
    </xf>
    <xf numFmtId="0" fontId="19" fillId="33" borderId="0" xfId="2" applyFont="1" applyFill="1"/>
    <xf numFmtId="0" fontId="4" fillId="13" borderId="0" xfId="0" applyFont="1" applyFill="1" applyAlignment="1">
      <alignment horizontal="center"/>
    </xf>
    <xf numFmtId="0" fontId="19" fillId="35" borderId="0" xfId="2" applyFont="1" applyFill="1"/>
    <xf numFmtId="0" fontId="31" fillId="35" borderId="0" xfId="0" applyFont="1" applyFill="1" applyAlignment="1">
      <alignment vertical="center" wrapText="1"/>
    </xf>
    <xf numFmtId="0" fontId="32" fillId="35" borderId="0" xfId="0" applyFont="1" applyFill="1" applyAlignment="1">
      <alignment vertical="center" wrapText="1"/>
    </xf>
    <xf numFmtId="0" fontId="13" fillId="25" borderId="2" xfId="0" applyFont="1" applyFill="1" applyBorder="1"/>
    <xf numFmtId="0" fontId="32" fillId="0" borderId="0" xfId="0" applyFont="1" applyAlignment="1">
      <alignment horizontal="center" vertical="center" wrapText="1"/>
    </xf>
    <xf numFmtId="0" fontId="19" fillId="2" borderId="0" xfId="2" applyFont="1" applyFill="1" applyAlignment="1">
      <alignment vertical="center" wrapText="1"/>
    </xf>
    <xf numFmtId="1" fontId="4" fillId="12" borderId="0" xfId="0" applyNumberFormat="1" applyFont="1" applyFill="1" applyAlignment="1">
      <alignment horizontal="center" wrapText="1"/>
    </xf>
    <xf numFmtId="1" fontId="4" fillId="36" borderId="0" xfId="0" applyNumberFormat="1" applyFont="1" applyFill="1" applyAlignment="1">
      <alignment horizontal="center"/>
    </xf>
    <xf numFmtId="1" fontId="30" fillId="12" borderId="9" xfId="0" applyNumberFormat="1" applyFont="1" applyFill="1" applyBorder="1" applyAlignment="1">
      <alignment horizontal="center"/>
    </xf>
    <xf numFmtId="0" fontId="19"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4" fillId="25" borderId="0" xfId="0" applyFont="1" applyFill="1" applyAlignment="1">
      <alignment horizontal="center" wrapText="1"/>
    </xf>
    <xf numFmtId="0" fontId="0" fillId="36" borderId="0" xfId="0" applyFill="1"/>
    <xf numFmtId="0" fontId="19" fillId="13" borderId="0" xfId="2" applyFont="1" applyFill="1" applyAlignment="1">
      <alignment horizontal="center"/>
    </xf>
    <xf numFmtId="0" fontId="4" fillId="30" borderId="0" xfId="0" applyFont="1" applyFill="1" applyAlignment="1">
      <alignment horizontal="center"/>
    </xf>
    <xf numFmtId="0" fontId="0" fillId="30" borderId="0" xfId="0" applyFill="1" applyAlignment="1">
      <alignment vertical="center" wrapText="1"/>
    </xf>
    <xf numFmtId="0" fontId="19" fillId="30" borderId="0" xfId="2" applyFont="1" applyFill="1" applyAlignment="1">
      <alignment horizontal="center"/>
    </xf>
    <xf numFmtId="0" fontId="0" fillId="0" borderId="0" xfId="0" applyAlignment="1">
      <alignment vertical="center" wrapText="1"/>
    </xf>
    <xf numFmtId="2" fontId="19" fillId="11" borderId="0" xfId="2" applyNumberFormat="1" applyFont="1" applyFill="1" applyAlignment="1">
      <alignment horizontal="center"/>
    </xf>
    <xf numFmtId="2" fontId="0" fillId="0" borderId="0" xfId="0" applyNumberFormat="1"/>
    <xf numFmtId="1" fontId="4" fillId="25" borderId="0" xfId="0" applyNumberFormat="1" applyFont="1" applyFill="1" applyAlignment="1">
      <alignment horizontal="center" wrapText="1"/>
    </xf>
    <xf numFmtId="1" fontId="30" fillId="0" borderId="0" xfId="0" applyNumberFormat="1" applyFont="1" applyAlignment="1">
      <alignment horizontal="center"/>
    </xf>
    <xf numFmtId="0" fontId="30" fillId="0" borderId="0" xfId="0" applyFont="1" applyAlignment="1">
      <alignment horizontal="center"/>
    </xf>
    <xf numFmtId="172" fontId="19" fillId="33" borderId="0" xfId="2" applyNumberFormat="1" applyFont="1" applyFill="1"/>
    <xf numFmtId="0" fontId="33" fillId="0" borderId="0" xfId="0" applyFont="1" applyAlignment="1">
      <alignment horizontal="center"/>
    </xf>
    <xf numFmtId="0" fontId="33" fillId="0" borderId="0" xfId="0" applyFont="1"/>
    <xf numFmtId="0" fontId="33" fillId="0" borderId="0" xfId="0" applyFont="1" applyAlignment="1">
      <alignment horizontal="right"/>
    </xf>
    <xf numFmtId="172" fontId="0" fillId="13" borderId="0" xfId="0" applyNumberFormat="1" applyFill="1"/>
    <xf numFmtId="173" fontId="4" fillId="13" borderId="0" xfId="0" applyNumberFormat="1" applyFont="1" applyFill="1" applyAlignment="1">
      <alignment horizontal="center"/>
    </xf>
    <xf numFmtId="172" fontId="19" fillId="13" borderId="0" xfId="2" applyNumberFormat="1" applyFont="1" applyFill="1" applyAlignment="1">
      <alignment horizontal="center"/>
    </xf>
    <xf numFmtId="172" fontId="19"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4" fillId="0" borderId="0" xfId="0" applyFont="1" applyAlignment="1">
      <alignment horizontal="right"/>
    </xf>
    <xf numFmtId="0" fontId="11" fillId="15" borderId="2" xfId="0" applyFont="1" applyFill="1" applyBorder="1"/>
    <xf numFmtId="0" fontId="35" fillId="15" borderId="2" xfId="0" applyFont="1" applyFill="1" applyBorder="1"/>
    <xf numFmtId="0" fontId="4" fillId="15" borderId="0" xfId="0" applyFont="1" applyFill="1" applyAlignment="1">
      <alignment horizontal="center"/>
    </xf>
    <xf numFmtId="1" fontId="36" fillId="15" borderId="0" xfId="0" applyNumberFormat="1" applyFont="1" applyFill="1" applyAlignment="1">
      <alignment horizontal="center"/>
    </xf>
    <xf numFmtId="2" fontId="19" fillId="13" borderId="0" xfId="2" applyNumberFormat="1" applyFont="1" applyFill="1" applyAlignment="1">
      <alignment horizontal="center"/>
    </xf>
    <xf numFmtId="0" fontId="37" fillId="13" borderId="0" xfId="0" applyFont="1" applyFill="1" applyAlignment="1">
      <alignment horizontal="center"/>
    </xf>
    <xf numFmtId="1" fontId="0" fillId="15" borderId="0" xfId="0" applyNumberFormat="1" applyFill="1" applyAlignment="1">
      <alignment horizontal="center" wrapText="1"/>
    </xf>
    <xf numFmtId="1" fontId="33" fillId="25" borderId="0" xfId="0" applyNumberFormat="1" applyFont="1" applyFill="1" applyAlignment="1">
      <alignment horizontal="center"/>
    </xf>
    <xf numFmtId="0" fontId="38"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3" fillId="12" borderId="9" xfId="0" applyNumberFormat="1" applyFont="1" applyFill="1" applyBorder="1" applyAlignment="1">
      <alignment horizontal="center"/>
    </xf>
    <xf numFmtId="1" fontId="30" fillId="25" borderId="0" xfId="0" applyNumberFormat="1" applyFont="1" applyFill="1" applyAlignment="1">
      <alignment horizontal="center"/>
    </xf>
    <xf numFmtId="1" fontId="30" fillId="12" borderId="0" xfId="0" applyNumberFormat="1" applyFont="1" applyFill="1" applyAlignment="1">
      <alignment horizontal="center" wrapText="1"/>
    </xf>
    <xf numFmtId="1" fontId="0" fillId="25" borderId="0" xfId="0" applyNumberFormat="1" applyFill="1" applyAlignment="1">
      <alignment horizontal="center"/>
    </xf>
    <xf numFmtId="2" fontId="19" fillId="30" borderId="0" xfId="2" applyNumberFormat="1" applyFont="1" applyFill="1" applyAlignment="1">
      <alignment horizontal="center"/>
    </xf>
    <xf numFmtId="0" fontId="27" fillId="0" borderId="0" xfId="0" applyFont="1"/>
    <xf numFmtId="1" fontId="39" fillId="12" borderId="0" xfId="0" applyNumberFormat="1" applyFont="1" applyFill="1" applyAlignment="1">
      <alignment horizontal="center" wrapText="1"/>
    </xf>
    <xf numFmtId="1" fontId="33"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8" fillId="0" borderId="0" xfId="0" applyNumberFormat="1" applyFont="1" applyAlignment="1">
      <alignment horizontal="center"/>
    </xf>
    <xf numFmtId="0" fontId="0" fillId="37" borderId="0" xfId="0" applyFill="1"/>
    <xf numFmtId="0" fontId="40" fillId="0" borderId="0" xfId="0" applyFont="1"/>
    <xf numFmtId="0" fontId="41" fillId="38" borderId="0" xfId="0" applyFont="1" applyFill="1"/>
    <xf numFmtId="1" fontId="33" fillId="38" borderId="9" xfId="0" applyNumberFormat="1" applyFont="1" applyFill="1" applyBorder="1" applyAlignment="1">
      <alignment horizontal="center"/>
    </xf>
    <xf numFmtId="172" fontId="33" fillId="38" borderId="9" xfId="0" applyNumberFormat="1" applyFont="1" applyFill="1" applyBorder="1" applyAlignment="1">
      <alignment horizontal="center"/>
    </xf>
    <xf numFmtId="0" fontId="42" fillId="38" borderId="0" xfId="0" applyFont="1" applyFill="1"/>
    <xf numFmtId="0" fontId="27" fillId="15" borderId="0" xfId="0" applyFont="1" applyFill="1"/>
    <xf numFmtId="1" fontId="4"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4" fillId="40" borderId="0" xfId="0" applyFont="1" applyFill="1" applyAlignment="1">
      <alignment horizontal="center"/>
    </xf>
    <xf numFmtId="0" fontId="0" fillId="41" borderId="0" xfId="0" applyFill="1" applyAlignment="1">
      <alignment horizontal="center"/>
    </xf>
    <xf numFmtId="0" fontId="4"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4"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4" fillId="40" borderId="0" xfId="0" applyNumberFormat="1" applyFont="1" applyFill="1" applyAlignment="1">
      <alignment horizontal="center"/>
    </xf>
    <xf numFmtId="0" fontId="4" fillId="16" borderId="2" xfId="0" applyFont="1" applyFill="1" applyBorder="1" applyAlignment="1">
      <alignment horizontal="center"/>
    </xf>
    <xf numFmtId="0" fontId="4"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4" fillId="42" borderId="2" xfId="0" applyFont="1" applyFill="1" applyBorder="1" applyAlignment="1">
      <alignment horizontal="center"/>
    </xf>
    <xf numFmtId="0" fontId="4" fillId="0" borderId="2" xfId="0" applyFont="1" applyBorder="1" applyAlignment="1">
      <alignment horizontal="center"/>
    </xf>
    <xf numFmtId="0" fontId="4" fillId="0" borderId="2" xfId="0" applyFont="1" applyBorder="1"/>
    <xf numFmtId="0" fontId="47" fillId="0" borderId="0" xfId="0" applyFont="1"/>
    <xf numFmtId="0" fontId="46" fillId="0" borderId="0" xfId="0" applyFont="1"/>
    <xf numFmtId="0" fontId="47" fillId="0" borderId="0" xfId="0" applyFont="1" applyAlignment="1">
      <alignment horizontal="center"/>
    </xf>
    <xf numFmtId="0" fontId="48" fillId="0" borderId="0" xfId="0" applyFont="1" applyAlignment="1">
      <alignment horizontal="center"/>
    </xf>
    <xf numFmtId="0" fontId="4" fillId="0" borderId="2" xfId="0" applyFont="1" applyBorder="1" applyAlignment="1">
      <alignment horizontal="left"/>
    </xf>
    <xf numFmtId="0" fontId="49" fillId="43" borderId="24" xfId="0" applyFont="1" applyFill="1" applyBorder="1" applyAlignment="1">
      <alignment vertical="center" wrapText="1"/>
    </xf>
    <xf numFmtId="0" fontId="49" fillId="43" borderId="2" xfId="0" applyFont="1" applyFill="1" applyBorder="1" applyAlignment="1">
      <alignment vertical="center" wrapText="1"/>
    </xf>
    <xf numFmtId="0" fontId="51" fillId="0" borderId="2" xfId="0" applyFont="1" applyBorder="1" applyAlignment="1">
      <alignment horizontal="center" wrapText="1" readingOrder="1"/>
    </xf>
    <xf numFmtId="171" fontId="51" fillId="0" borderId="8" xfId="0" applyNumberFormat="1" applyFont="1" applyBorder="1" applyAlignment="1">
      <alignment horizontal="right" wrapText="1" readingOrder="1"/>
    </xf>
    <xf numFmtId="171" fontId="51" fillId="0" borderId="8" xfId="0" applyNumberFormat="1" applyFont="1" applyBorder="1" applyAlignment="1">
      <alignment horizontal="right"/>
    </xf>
    <xf numFmtId="171" fontId="51" fillId="0" borderId="2" xfId="0" applyNumberFormat="1" applyFont="1" applyBorder="1" applyAlignment="1">
      <alignment horizontal="right" wrapText="1" readingOrder="1"/>
    </xf>
    <xf numFmtId="171" fontId="51" fillId="0" borderId="2" xfId="0" applyNumberFormat="1" applyFont="1" applyBorder="1" applyAlignment="1">
      <alignment horizontal="right"/>
    </xf>
    <xf numFmtId="0" fontId="51" fillId="0" borderId="2" xfId="0" applyFont="1" applyBorder="1"/>
    <xf numFmtId="0" fontId="52" fillId="0" borderId="0" xfId="0" applyFont="1"/>
    <xf numFmtId="0" fontId="3" fillId="0" borderId="3" xfId="0" applyFont="1" applyBorder="1"/>
    <xf numFmtId="0" fontId="3" fillId="0" borderId="4" xfId="0" applyFont="1" applyBorder="1"/>
    <xf numFmtId="0" fontId="3" fillId="0" borderId="6" xfId="0" applyFont="1" applyBorder="1"/>
    <xf numFmtId="0" fontId="3" fillId="0" borderId="7" xfId="0" applyFont="1" applyBorder="1"/>
    <xf numFmtId="0" fontId="3" fillId="0" borderId="0" xfId="0" applyFont="1"/>
    <xf numFmtId="2" fontId="3" fillId="0" borderId="9" xfId="0" applyNumberFormat="1" applyFont="1" applyBorder="1"/>
    <xf numFmtId="0" fontId="3" fillId="0" borderId="9" xfId="0" applyFont="1" applyBorder="1"/>
    <xf numFmtId="0" fontId="0" fillId="0" borderId="9" xfId="0" applyBorder="1"/>
    <xf numFmtId="1" fontId="3" fillId="0" borderId="9" xfId="0" applyNumberFormat="1" applyFont="1" applyBorder="1"/>
    <xf numFmtId="1" fontId="19" fillId="0" borderId="9" xfId="0" applyNumberFormat="1" applyFont="1" applyBorder="1"/>
    <xf numFmtId="0" fontId="3" fillId="0" borderId="14" xfId="0" applyFont="1" applyBorder="1"/>
    <xf numFmtId="0" fontId="3" fillId="0" borderId="15" xfId="0" applyFont="1" applyBorder="1"/>
    <xf numFmtId="1" fontId="19" fillId="0" borderId="16" xfId="0" applyNumberFormat="1" applyFont="1" applyBorder="1"/>
    <xf numFmtId="0" fontId="0" fillId="33" borderId="0" xfId="0" applyFill="1" applyAlignment="1">
      <alignment horizontal="center"/>
    </xf>
    <xf numFmtId="0" fontId="0" fillId="33" borderId="0" xfId="0" applyFill="1"/>
    <xf numFmtId="0" fontId="4"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8" fillId="8" borderId="0" xfId="1" applyFill="1" applyBorder="1" applyProtection="1"/>
    <xf numFmtId="0" fontId="9" fillId="9" borderId="0" xfId="0" applyFont="1" applyFill="1"/>
    <xf numFmtId="0" fontId="9"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4" fillId="0" borderId="0" xfId="0" applyNumberFormat="1" applyFont="1" applyAlignment="1">
      <alignment horizontal="center"/>
    </xf>
    <xf numFmtId="0" fontId="55" fillId="46" borderId="30" xfId="3" applyFont="1" applyFill="1" applyBorder="1"/>
    <xf numFmtId="0" fontId="0" fillId="47" borderId="0" xfId="0" applyFill="1"/>
    <xf numFmtId="0" fontId="55" fillId="46" borderId="30" xfId="0" applyFont="1" applyFill="1" applyBorder="1"/>
    <xf numFmtId="0" fontId="28" fillId="2" borderId="0" xfId="2" applyFont="1" applyFill="1"/>
    <xf numFmtId="0" fontId="28" fillId="2" borderId="0" xfId="2" applyFont="1" applyFill="1" applyAlignment="1">
      <alignment vertical="center" wrapText="1"/>
    </xf>
    <xf numFmtId="0" fontId="55" fillId="48" borderId="30" xfId="0" applyFont="1" applyFill="1" applyBorder="1"/>
    <xf numFmtId="0" fontId="56" fillId="46" borderId="30" xfId="3" applyFont="1" applyFill="1" applyBorder="1"/>
    <xf numFmtId="0" fontId="0" fillId="49" borderId="0" xfId="0" applyFill="1"/>
    <xf numFmtId="0" fontId="55" fillId="50" borderId="2" xfId="0" applyFont="1" applyFill="1" applyBorder="1"/>
    <xf numFmtId="0" fontId="56" fillId="50" borderId="2" xfId="0" applyFont="1" applyFill="1" applyBorder="1"/>
    <xf numFmtId="0" fontId="57" fillId="50" borderId="2" xfId="0" applyFont="1" applyFill="1" applyBorder="1"/>
    <xf numFmtId="0" fontId="0" fillId="51" borderId="0" xfId="0" applyFill="1"/>
    <xf numFmtId="0" fontId="56" fillId="48" borderId="30" xfId="0" applyFont="1" applyFill="1" applyBorder="1"/>
    <xf numFmtId="1" fontId="0" fillId="52" borderId="0" xfId="0" applyNumberFormat="1" applyFill="1" applyAlignment="1">
      <alignment horizontal="center"/>
    </xf>
    <xf numFmtId="2" fontId="19" fillId="13" borderId="1" xfId="2" applyNumberFormat="1" applyFont="1" applyFill="1" applyBorder="1" applyAlignment="1">
      <alignment horizontal="center"/>
    </xf>
    <xf numFmtId="0" fontId="55" fillId="53" borderId="30" xfId="0" applyFont="1" applyFill="1" applyBorder="1"/>
    <xf numFmtId="1" fontId="30" fillId="54" borderId="9" xfId="0" applyNumberFormat="1" applyFont="1" applyFill="1" applyBorder="1" applyAlignment="1">
      <alignment horizontal="center"/>
    </xf>
    <xf numFmtId="1" fontId="58" fillId="0" borderId="0" xfId="0" applyNumberFormat="1" applyFont="1" applyAlignment="1">
      <alignment horizontal="center"/>
    </xf>
    <xf numFmtId="2" fontId="19" fillId="13" borderId="31" xfId="2" applyNumberFormat="1" applyFont="1" applyFill="1" applyBorder="1" applyAlignment="1">
      <alignment horizontal="center"/>
    </xf>
    <xf numFmtId="0" fontId="55" fillId="46" borderId="0" xfId="3" applyFont="1" applyFill="1"/>
    <xf numFmtId="1" fontId="0" fillId="55" borderId="0" xfId="0" applyNumberFormat="1" applyFill="1" applyAlignment="1">
      <alignment horizontal="center"/>
    </xf>
    <xf numFmtId="0" fontId="60" fillId="30" borderId="0" xfId="0" applyFont="1" applyFill="1" applyAlignment="1">
      <alignment horizontal="center"/>
    </xf>
    <xf numFmtId="1" fontId="58"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1" fillId="0" borderId="0" xfId="0" applyFont="1"/>
    <xf numFmtId="0" fontId="62" fillId="0" borderId="0" xfId="0" applyFont="1"/>
    <xf numFmtId="0" fontId="62" fillId="57" borderId="0" xfId="0" applyFont="1" applyFill="1"/>
    <xf numFmtId="0" fontId="63" fillId="0" borderId="0" xfId="0" applyFont="1"/>
    <xf numFmtId="0" fontId="63" fillId="57" borderId="0" xfId="0" applyFont="1" applyFill="1"/>
    <xf numFmtId="1" fontId="60" fillId="0" borderId="0" xfId="0" applyNumberFormat="1" applyFont="1" applyAlignment="1">
      <alignment horizontal="center"/>
    </xf>
    <xf numFmtId="2" fontId="19" fillId="58" borderId="0" xfId="2" applyNumberFormat="1" applyFont="1" applyFill="1" applyAlignment="1">
      <alignment horizontal="center"/>
    </xf>
    <xf numFmtId="0" fontId="0" fillId="56" borderId="0" xfId="0" applyFill="1" applyAlignment="1">
      <alignment horizontal="right"/>
    </xf>
    <xf numFmtId="0" fontId="56" fillId="46" borderId="30" xfId="0" applyFont="1" applyFill="1" applyBorder="1"/>
    <xf numFmtId="1" fontId="0" fillId="59" borderId="0" xfId="0" applyNumberFormat="1" applyFill="1" applyAlignment="1">
      <alignment horizontal="center"/>
    </xf>
    <xf numFmtId="1" fontId="30" fillId="12" borderId="0" xfId="0" applyNumberFormat="1" applyFont="1" applyFill="1" applyAlignment="1">
      <alignment horizontal="center"/>
    </xf>
    <xf numFmtId="1" fontId="60" fillId="12" borderId="9" xfId="0" applyNumberFormat="1" applyFont="1" applyFill="1" applyBorder="1" applyAlignment="1">
      <alignment horizontal="center"/>
    </xf>
    <xf numFmtId="0" fontId="57" fillId="60" borderId="2" xfId="0" applyFont="1" applyFill="1" applyBorder="1"/>
    <xf numFmtId="1" fontId="0" fillId="61" borderId="0" xfId="0" applyNumberFormat="1" applyFill="1" applyAlignment="1">
      <alignment horizontal="center"/>
    </xf>
    <xf numFmtId="2" fontId="4" fillId="49" borderId="0" xfId="0" applyNumberFormat="1" applyFont="1" applyFill="1" applyAlignment="1">
      <alignment horizontal="center"/>
    </xf>
    <xf numFmtId="0" fontId="55" fillId="49" borderId="30" xfId="0" applyFont="1" applyFill="1" applyBorder="1"/>
    <xf numFmtId="0" fontId="55" fillId="56" borderId="30" xfId="0" applyFont="1" applyFill="1" applyBorder="1"/>
    <xf numFmtId="0" fontId="56" fillId="49" borderId="30" xfId="0" applyFont="1" applyFill="1" applyBorder="1"/>
    <xf numFmtId="0" fontId="3" fillId="2" borderId="0" xfId="2" applyFill="1" applyAlignment="1">
      <alignment horizontal="right" vertical="center" wrapText="1"/>
    </xf>
    <xf numFmtId="0" fontId="56" fillId="62" borderId="2" xfId="0" applyFont="1" applyFill="1" applyBorder="1"/>
    <xf numFmtId="0" fontId="56"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5" fillId="65" borderId="30" xfId="0" applyFont="1" applyFill="1" applyBorder="1"/>
    <xf numFmtId="0" fontId="57" fillId="66" borderId="2" xfId="0" applyFont="1" applyFill="1" applyBorder="1"/>
    <xf numFmtId="1" fontId="0" fillId="55" borderId="0" xfId="0" applyNumberFormat="1" applyFill="1" applyAlignment="1">
      <alignment horizontal="center" wrapText="1"/>
    </xf>
    <xf numFmtId="0" fontId="57" fillId="69" borderId="2" xfId="0" applyFont="1" applyFill="1" applyBorder="1"/>
    <xf numFmtId="1" fontId="64" fillId="0" borderId="0" xfId="0" applyNumberFormat="1" applyFont="1" applyAlignment="1">
      <alignment horizontal="center"/>
    </xf>
    <xf numFmtId="1" fontId="64" fillId="0" borderId="0" xfId="0" applyNumberFormat="1" applyFont="1" applyAlignment="1">
      <alignment horizontal="left"/>
    </xf>
    <xf numFmtId="0" fontId="65" fillId="0" borderId="0" xfId="0" applyFont="1" applyAlignment="1">
      <alignment horizontal="center"/>
    </xf>
    <xf numFmtId="0" fontId="65" fillId="0" borderId="0" xfId="0" applyFont="1" applyAlignment="1">
      <alignment horizontal="right"/>
    </xf>
    <xf numFmtId="0" fontId="65" fillId="68" borderId="0" xfId="0" applyFont="1" applyFill="1"/>
    <xf numFmtId="0" fontId="65" fillId="0" borderId="0" xfId="0" applyFont="1"/>
    <xf numFmtId="1" fontId="66" fillId="12" borderId="9" xfId="0" applyNumberFormat="1" applyFont="1" applyFill="1" applyBorder="1" applyAlignment="1">
      <alignment horizontal="center"/>
    </xf>
    <xf numFmtId="1" fontId="66" fillId="67" borderId="0" xfId="0" applyNumberFormat="1" applyFont="1" applyFill="1" applyAlignment="1">
      <alignment horizontal="center"/>
    </xf>
    <xf numFmtId="0" fontId="67" fillId="0" borderId="0" xfId="0" applyFont="1"/>
    <xf numFmtId="0" fontId="68" fillId="0" borderId="0" xfId="4"/>
    <xf numFmtId="22" fontId="68" fillId="0" borderId="0" xfId="4" applyNumberFormat="1"/>
    <xf numFmtId="0" fontId="4" fillId="70" borderId="0" xfId="0" applyFont="1" applyFill="1"/>
    <xf numFmtId="0" fontId="0" fillId="70" borderId="0" xfId="0" applyFill="1"/>
    <xf numFmtId="0" fontId="9" fillId="71" borderId="0" xfId="0" applyFont="1" applyFill="1" applyAlignment="1">
      <alignment horizontal="center"/>
    </xf>
    <xf numFmtId="0" fontId="9"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69" fillId="73" borderId="0" xfId="0" applyFont="1" applyFill="1" applyAlignment="1">
      <alignment horizontal="center"/>
    </xf>
    <xf numFmtId="0" fontId="69" fillId="73" borderId="0" xfId="0" applyFont="1" applyFill="1" applyAlignment="1">
      <alignment vertical="center"/>
    </xf>
    <xf numFmtId="0" fontId="0" fillId="74" borderId="0" xfId="0" applyFill="1"/>
    <xf numFmtId="0" fontId="0" fillId="75" borderId="0" xfId="0" applyFill="1"/>
    <xf numFmtId="0" fontId="55" fillId="75" borderId="30" xfId="0" applyFont="1" applyFill="1" applyBorder="1"/>
    <xf numFmtId="1" fontId="28" fillId="38" borderId="9" xfId="0" applyNumberFormat="1" applyFont="1" applyFill="1" applyBorder="1" applyAlignment="1">
      <alignment horizontal="center"/>
    </xf>
    <xf numFmtId="172" fontId="28" fillId="38" borderId="9" xfId="0" applyNumberFormat="1" applyFont="1" applyFill="1" applyBorder="1" applyAlignment="1">
      <alignment horizontal="center"/>
    </xf>
    <xf numFmtId="0" fontId="70" fillId="76" borderId="30" xfId="0" applyFont="1" applyFill="1" applyBorder="1"/>
    <xf numFmtId="0" fontId="56" fillId="76" borderId="30" xfId="0" applyFont="1" applyFill="1" applyBorder="1"/>
    <xf numFmtId="0" fontId="0" fillId="47" borderId="0" xfId="0" applyFill="1" applyAlignment="1">
      <alignment horizontal="center"/>
    </xf>
    <xf numFmtId="0" fontId="19" fillId="2" borderId="0" xfId="2" applyFont="1" applyFill="1" applyAlignment="1">
      <alignment horizontal="center" vertical="center" wrapText="1"/>
    </xf>
    <xf numFmtId="0" fontId="0" fillId="77" borderId="0" xfId="0" applyFill="1"/>
    <xf numFmtId="0" fontId="0" fillId="78" borderId="0" xfId="0" applyFill="1"/>
    <xf numFmtId="0" fontId="0" fillId="79" borderId="0" xfId="0" applyFill="1"/>
    <xf numFmtId="0" fontId="4" fillId="47" borderId="0" xfId="0" applyFont="1" applyFill="1" applyAlignment="1">
      <alignment horizontal="center"/>
    </xf>
    <xf numFmtId="0" fontId="0" fillId="56" borderId="25" xfId="0" applyFill="1" applyBorder="1"/>
    <xf numFmtId="0" fontId="0" fillId="56" borderId="32" xfId="0" applyFill="1" applyBorder="1"/>
    <xf numFmtId="0" fontId="0" fillId="0" borderId="1" xfId="0" applyBorder="1" applyAlignment="1">
      <alignment horizontal="center"/>
    </xf>
    <xf numFmtId="1" fontId="0" fillId="0" borderId="1" xfId="0" applyNumberFormat="1" applyBorder="1" applyAlignment="1">
      <alignment horizontal="center"/>
    </xf>
    <xf numFmtId="0" fontId="0" fillId="56" borderId="27" xfId="0" applyFill="1" applyBorder="1"/>
    <xf numFmtId="172" fontId="33" fillId="80" borderId="9" xfId="0" applyNumberFormat="1" applyFont="1" applyFill="1" applyBorder="1" applyAlignment="1">
      <alignment horizontal="center"/>
    </xf>
    <xf numFmtId="0" fontId="57" fillId="0" borderId="8" xfId="0" applyFont="1" applyBorder="1"/>
    <xf numFmtId="0" fontId="19" fillId="2" borderId="2" xfId="2" applyFont="1" applyFill="1" applyBorder="1" applyAlignment="1">
      <alignment vertical="center" wrapText="1"/>
    </xf>
    <xf numFmtId="0" fontId="4" fillId="12" borderId="2" xfId="0" applyFont="1" applyFill="1" applyBorder="1" applyAlignment="1">
      <alignment horizontal="center"/>
    </xf>
    <xf numFmtId="1" fontId="0" fillId="12" borderId="2" xfId="0" applyNumberFormat="1" applyFill="1" applyBorder="1" applyAlignment="1">
      <alignment horizontal="center"/>
    </xf>
    <xf numFmtId="1" fontId="0" fillId="0" borderId="2" xfId="0" applyNumberFormat="1" applyBorder="1" applyAlignment="1">
      <alignment horizontal="center"/>
    </xf>
    <xf numFmtId="1" fontId="60" fillId="0" borderId="2" xfId="0" applyNumberFormat="1" applyFont="1" applyBorder="1" applyAlignment="1">
      <alignment horizontal="center"/>
    </xf>
    <xf numFmtId="1" fontId="30" fillId="12" borderId="2" xfId="0" applyNumberFormat="1" applyFont="1" applyFill="1" applyBorder="1" applyAlignment="1">
      <alignment horizontal="center"/>
    </xf>
    <xf numFmtId="1" fontId="33" fillId="38" borderId="2" xfId="0" applyNumberFormat="1" applyFont="1" applyFill="1" applyBorder="1" applyAlignment="1">
      <alignment horizontal="center"/>
    </xf>
    <xf numFmtId="172" fontId="33" fillId="38" borderId="2" xfId="0" applyNumberFormat="1" applyFont="1" applyFill="1" applyBorder="1" applyAlignment="1">
      <alignment horizontal="center"/>
    </xf>
    <xf numFmtId="0" fontId="19" fillId="33" borderId="2" xfId="2" applyFont="1" applyFill="1" applyBorder="1"/>
    <xf numFmtId="0" fontId="0" fillId="56" borderId="34" xfId="0" applyFill="1" applyBorder="1"/>
    <xf numFmtId="0" fontId="0" fillId="56" borderId="35" xfId="0" applyFill="1" applyBorder="1" applyAlignment="1">
      <alignment horizontal="right"/>
    </xf>
    <xf numFmtId="0" fontId="19" fillId="2" borderId="35" xfId="2" applyFont="1" applyFill="1" applyBorder="1" applyAlignment="1">
      <alignment vertical="center" wrapText="1"/>
    </xf>
    <xf numFmtId="0" fontId="4" fillId="12" borderId="35" xfId="0" applyFont="1" applyFill="1" applyBorder="1" applyAlignment="1">
      <alignment horizontal="center"/>
    </xf>
    <xf numFmtId="0" fontId="0" fillId="0" borderId="35" xfId="0" applyBorder="1" applyAlignment="1">
      <alignment horizontal="center"/>
    </xf>
    <xf numFmtId="1" fontId="0" fillId="12" borderId="35" xfId="0" applyNumberFormat="1" applyFill="1" applyBorder="1" applyAlignment="1">
      <alignment horizontal="center"/>
    </xf>
    <xf numFmtId="1" fontId="0" fillId="0" borderId="35" xfId="0" applyNumberFormat="1" applyBorder="1" applyAlignment="1">
      <alignment horizontal="center"/>
    </xf>
    <xf numFmtId="1" fontId="60" fillId="0" borderId="35" xfId="0" applyNumberFormat="1" applyFont="1" applyBorder="1" applyAlignment="1">
      <alignment horizontal="center"/>
    </xf>
    <xf numFmtId="1" fontId="30" fillId="12" borderId="35" xfId="0" applyNumberFormat="1" applyFont="1" applyFill="1" applyBorder="1" applyAlignment="1">
      <alignment horizontal="center"/>
    </xf>
    <xf numFmtId="1" fontId="33" fillId="38" borderId="35" xfId="0" applyNumberFormat="1" applyFont="1" applyFill="1" applyBorder="1" applyAlignment="1">
      <alignment horizontal="center"/>
    </xf>
    <xf numFmtId="172" fontId="33" fillId="38" borderId="35" xfId="0" applyNumberFormat="1" applyFont="1" applyFill="1" applyBorder="1" applyAlignment="1">
      <alignment horizontal="center"/>
    </xf>
    <xf numFmtId="0" fontId="19" fillId="33" borderId="35" xfId="2" applyFont="1" applyFill="1" applyBorder="1"/>
    <xf numFmtId="0" fontId="0" fillId="0" borderId="35" xfId="0" applyBorder="1"/>
    <xf numFmtId="2" fontId="19" fillId="58" borderId="36" xfId="2" applyNumberFormat="1" applyFont="1" applyFill="1" applyBorder="1" applyAlignment="1">
      <alignment horizontal="center"/>
    </xf>
    <xf numFmtId="0" fontId="0" fillId="0" borderId="12" xfId="0" applyBorder="1"/>
    <xf numFmtId="0" fontId="0" fillId="0" borderId="13" xfId="0" applyBorder="1"/>
    <xf numFmtId="0" fontId="0" fillId="0" borderId="37" xfId="0" applyBorder="1"/>
    <xf numFmtId="0" fontId="0" fillId="0" borderId="38" xfId="0" applyBorder="1"/>
    <xf numFmtId="0" fontId="19" fillId="2" borderId="38" xfId="2" applyFont="1" applyFill="1" applyBorder="1" applyAlignment="1">
      <alignment vertical="center" wrapText="1"/>
    </xf>
    <xf numFmtId="0" fontId="4" fillId="12" borderId="38" xfId="0" applyFont="1" applyFill="1" applyBorder="1" applyAlignment="1">
      <alignment horizontal="center"/>
    </xf>
    <xf numFmtId="0" fontId="0" fillId="0" borderId="38" xfId="0" applyBorder="1" applyAlignment="1">
      <alignment horizontal="center"/>
    </xf>
    <xf numFmtId="1" fontId="0" fillId="12" borderId="38" xfId="0" applyNumberFormat="1" applyFill="1" applyBorder="1" applyAlignment="1">
      <alignment horizontal="center"/>
    </xf>
    <xf numFmtId="1" fontId="0" fillId="0" borderId="38" xfId="0" applyNumberFormat="1" applyBorder="1" applyAlignment="1">
      <alignment horizontal="center"/>
    </xf>
    <xf numFmtId="1" fontId="60" fillId="0" borderId="38" xfId="0" applyNumberFormat="1" applyFont="1" applyBorder="1" applyAlignment="1">
      <alignment horizontal="center"/>
    </xf>
    <xf numFmtId="1" fontId="30" fillId="12" borderId="38" xfId="0" applyNumberFormat="1" applyFont="1" applyFill="1" applyBorder="1" applyAlignment="1">
      <alignment horizontal="center"/>
    </xf>
    <xf numFmtId="1" fontId="33" fillId="38" borderId="38" xfId="0" applyNumberFormat="1" applyFont="1" applyFill="1" applyBorder="1" applyAlignment="1">
      <alignment horizontal="center"/>
    </xf>
    <xf numFmtId="172" fontId="33" fillId="38" borderId="38" xfId="0" applyNumberFormat="1" applyFont="1" applyFill="1" applyBorder="1" applyAlignment="1">
      <alignment horizontal="center"/>
    </xf>
    <xf numFmtId="0" fontId="19" fillId="33" borderId="38" xfId="2" applyFont="1" applyFill="1" applyBorder="1"/>
    <xf numFmtId="2" fontId="0" fillId="0" borderId="39" xfId="0" applyNumberFormat="1" applyBorder="1"/>
    <xf numFmtId="1" fontId="0" fillId="63" borderId="0" xfId="0" applyNumberFormat="1" applyFill="1" applyAlignment="1">
      <alignment horizontal="center" wrapText="1"/>
    </xf>
    <xf numFmtId="1" fontId="0" fillId="56" borderId="0" xfId="0" applyNumberFormat="1" applyFill="1" applyAlignment="1">
      <alignment horizontal="center"/>
    </xf>
    <xf numFmtId="1" fontId="30" fillId="63" borderId="9" xfId="0" applyNumberFormat="1" applyFont="1" applyFill="1" applyBorder="1" applyAlignment="1">
      <alignment horizontal="center"/>
    </xf>
    <xf numFmtId="0" fontId="4" fillId="58" borderId="0" xfId="0" applyFont="1" applyFill="1" applyAlignment="1">
      <alignment horizontal="center"/>
    </xf>
    <xf numFmtId="1" fontId="0" fillId="56" borderId="1" xfId="0" applyNumberFormat="1" applyFill="1" applyBorder="1" applyAlignment="1">
      <alignment horizontal="center"/>
    </xf>
    <xf numFmtId="1" fontId="30" fillId="63" borderId="33" xfId="0" applyNumberFormat="1" applyFont="1" applyFill="1" applyBorder="1" applyAlignment="1">
      <alignment horizontal="center"/>
    </xf>
    <xf numFmtId="1" fontId="30" fillId="63" borderId="0" xfId="0" applyNumberFormat="1" applyFont="1" applyFill="1" applyAlignment="1">
      <alignment horizontal="center"/>
    </xf>
    <xf numFmtId="0" fontId="58" fillId="0" borderId="0" xfId="0" applyFont="1"/>
    <xf numFmtId="0" fontId="60" fillId="0" borderId="0" xfId="0" applyFont="1"/>
    <xf numFmtId="2" fontId="19" fillId="81" borderId="0" xfId="2" applyNumberFormat="1" applyFont="1" applyFill="1" applyAlignment="1">
      <alignment horizontal="center"/>
    </xf>
    <xf numFmtId="0" fontId="4" fillId="81" borderId="0" xfId="0" applyFont="1" applyFill="1" applyAlignment="1">
      <alignment horizontal="center"/>
    </xf>
    <xf numFmtId="0" fontId="60" fillId="70" borderId="0" xfId="0" applyFont="1" applyFill="1"/>
    <xf numFmtId="0" fontId="4" fillId="70" borderId="0" xfId="0" applyFont="1" applyFill="1" applyAlignment="1">
      <alignment horizontal="right"/>
    </xf>
    <xf numFmtId="0" fontId="4" fillId="82" borderId="3" xfId="0" applyFont="1" applyFill="1" applyBorder="1" applyAlignment="1">
      <alignment horizontal="center"/>
    </xf>
    <xf numFmtId="169" fontId="0" fillId="82" borderId="6" xfId="0" applyNumberFormat="1" applyFill="1" applyBorder="1" applyAlignment="1">
      <alignment horizontal="center"/>
    </xf>
    <xf numFmtId="0" fontId="0" fillId="70" borderId="0" xfId="0" applyFill="1" applyAlignment="1">
      <alignment horizontal="center"/>
    </xf>
    <xf numFmtId="0" fontId="55" fillId="46" borderId="0" xfId="0" applyFont="1" applyFill="1"/>
    <xf numFmtId="0" fontId="55" fillId="46" borderId="0" xfId="0" applyFont="1" applyFill="1" applyAlignment="1">
      <alignment horizontal="center"/>
    </xf>
    <xf numFmtId="171" fontId="0" fillId="56" borderId="0" xfId="0" applyNumberFormat="1" applyFill="1"/>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5" fillId="7" borderId="2" xfId="0" applyFont="1" applyFill="1" applyBorder="1" applyAlignment="1">
      <alignment horizontal="right"/>
    </xf>
    <xf numFmtId="0" fontId="53" fillId="0" borderId="23" xfId="0" applyFont="1" applyBorder="1" applyAlignment="1">
      <alignment horizontal="center"/>
    </xf>
    <xf numFmtId="0" fontId="49" fillId="43" borderId="29" xfId="0" applyFont="1" applyFill="1" applyBorder="1" applyAlignment="1">
      <alignment horizontal="center" vertical="center" wrapText="1" readingOrder="1"/>
    </xf>
    <xf numFmtId="0" fontId="50" fillId="0" borderId="28" xfId="0" applyFont="1" applyBorder="1" applyAlignment="1">
      <alignment horizontal="left" vertical="top" wrapText="1"/>
    </xf>
    <xf numFmtId="0" fontId="52" fillId="20" borderId="0" xfId="0" applyFont="1" applyFill="1" applyAlignment="1">
      <alignment horizontal="center"/>
    </xf>
    <xf numFmtId="0" fontId="43" fillId="16" borderId="2" xfId="0" applyFont="1" applyFill="1" applyBorder="1" applyAlignment="1">
      <alignment horizontal="center"/>
    </xf>
    <xf numFmtId="0" fontId="0" fillId="0" borderId="10" xfId="0" applyBorder="1" applyAlignment="1">
      <alignment horizontal="center"/>
    </xf>
    <xf numFmtId="0" fontId="45" fillId="16" borderId="2" xfId="0" applyFont="1" applyFill="1" applyBorder="1" applyAlignment="1">
      <alignment horizontal="center"/>
    </xf>
    <xf numFmtId="0" fontId="47" fillId="0" borderId="28" xfId="0" applyFont="1" applyBorder="1" applyAlignment="1">
      <alignment horizontal="left"/>
    </xf>
    <xf numFmtId="0" fontId="0" fillId="0" borderId="2" xfId="0" applyBorder="1" applyAlignment="1">
      <alignment horizontal="center"/>
    </xf>
    <xf numFmtId="0" fontId="46" fillId="0" borderId="28" xfId="0" applyFont="1" applyBorder="1" applyAlignment="1">
      <alignment horizontal="left" wrapText="1"/>
    </xf>
    <xf numFmtId="0" fontId="46"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3 2" xfId="5" xr:uid="{39808B4D-3CE1-4B21-AFE9-047FE59E5CB4}"/>
    <cellStyle name="Normal 4" xfId="4" xr:uid="{C8A07222-4ED6-4F1F-97ED-84F58D7C7624}"/>
  </cellStyles>
  <dxfs count="36">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ill>
        <patternFill>
          <bgColor rgb="FFE0C2CD"/>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15</xdr:row>
      <xdr:rowOff>57150</xdr:rowOff>
    </xdr:from>
    <xdr:ext cx="5076825" cy="239809"/>
    <xdr:sp macro="" textlink="">
      <xdr:nvSpPr>
        <xdr:cNvPr id="2" name="TextBox 1">
          <a:extLst>
            <a:ext uri="{FF2B5EF4-FFF2-40B4-BE49-F238E27FC236}">
              <a16:creationId xmlns:a16="http://schemas.microsoft.com/office/drawing/2014/main" id="{7532BAE3-E49C-BA36-8F83-5A9100F9CB7A}"/>
            </a:ext>
          </a:extLst>
        </xdr:cNvPr>
        <xdr:cNvSpPr txBox="1"/>
      </xdr:nvSpPr>
      <xdr:spPr>
        <a:xfrm>
          <a:off x="1314450" y="2771775"/>
          <a:ext cx="5076825"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t>Hibernation 2024/2025 </a:t>
          </a:r>
          <a:r>
            <a:rPr lang="en-US" sz="1000">
              <a:solidFill>
                <a:schemeClr val="tx1"/>
              </a:solidFill>
              <a:effectLst/>
              <a:latin typeface="+mn-lt"/>
              <a:ea typeface="+mn-ea"/>
              <a:cs typeface="+mn-cs"/>
            </a:rPr>
            <a:t>N1/N3/St</a:t>
          </a:r>
          <a:r>
            <a:rPr lang="en-US" sz="1000" baseline="0">
              <a:solidFill>
                <a:schemeClr val="tx1"/>
              </a:solidFill>
              <a:effectLst/>
              <a:latin typeface="+mn-lt"/>
              <a:ea typeface="+mn-ea"/>
              <a:cs typeface="+mn-cs"/>
            </a:rPr>
            <a:t> 180/7200/1800 -- Macro 101 with 102</a:t>
          </a:r>
          <a:endParaRPr lang="en-US" sz="1000"/>
        </a:p>
      </xdr:txBody>
    </xdr:sp>
    <xdr:clientData/>
  </xdr:oneCellAnchor>
  <xdr:twoCellAnchor>
    <xdr:from>
      <xdr:col>77</xdr:col>
      <xdr:colOff>57150</xdr:colOff>
      <xdr:row>15</xdr:row>
      <xdr:rowOff>177055</xdr:rowOff>
    </xdr:from>
    <xdr:to>
      <xdr:col>82</xdr:col>
      <xdr:colOff>9525</xdr:colOff>
      <xdr:row>16</xdr:row>
      <xdr:rowOff>0</xdr:rowOff>
    </xdr:to>
    <xdr:cxnSp macro="">
      <xdr:nvCxnSpPr>
        <xdr:cNvPr id="4" name="Straight Arrow Connector 3">
          <a:extLst>
            <a:ext uri="{FF2B5EF4-FFF2-40B4-BE49-F238E27FC236}">
              <a16:creationId xmlns:a16="http://schemas.microsoft.com/office/drawing/2014/main" id="{4498A550-5670-0B25-DF7A-E94DC5CDD6B1}"/>
            </a:ext>
          </a:extLst>
        </xdr:cNvPr>
        <xdr:cNvCxnSpPr>
          <a:stCxn id="2" idx="3"/>
        </xdr:cNvCxnSpPr>
      </xdr:nvCxnSpPr>
      <xdr:spPr>
        <a:xfrm>
          <a:off x="6391275" y="2891680"/>
          <a:ext cx="285750" cy="39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542925</xdr:colOff>
      <xdr:row>15</xdr:row>
      <xdr:rowOff>177055</xdr:rowOff>
    </xdr:from>
    <xdr:to>
      <xdr:col>4</xdr:col>
      <xdr:colOff>0</xdr:colOff>
      <xdr:row>16</xdr:row>
      <xdr:rowOff>9525</xdr:rowOff>
    </xdr:to>
    <xdr:cxnSp macro="">
      <xdr:nvCxnSpPr>
        <xdr:cNvPr id="7" name="Straight Arrow Connector 6">
          <a:extLst>
            <a:ext uri="{FF2B5EF4-FFF2-40B4-BE49-F238E27FC236}">
              <a16:creationId xmlns:a16="http://schemas.microsoft.com/office/drawing/2014/main" id="{6EA59239-BA2E-452E-8408-59B118E7443E}"/>
            </a:ext>
          </a:extLst>
        </xdr:cNvPr>
        <xdr:cNvCxnSpPr>
          <a:stCxn id="2" idx="1"/>
        </xdr:cNvCxnSpPr>
      </xdr:nvCxnSpPr>
      <xdr:spPr>
        <a:xfrm flipH="1">
          <a:off x="1133475" y="2891680"/>
          <a:ext cx="180975" cy="13445"/>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281</xdr:col>
      <xdr:colOff>57151</xdr:colOff>
      <xdr:row>7</xdr:row>
      <xdr:rowOff>9525</xdr:rowOff>
    </xdr:from>
    <xdr:ext cx="5791200" cy="254557"/>
    <xdr:sp macro="" textlink="">
      <xdr:nvSpPr>
        <xdr:cNvPr id="11" name="TextBox 10">
          <a:extLst>
            <a:ext uri="{FF2B5EF4-FFF2-40B4-BE49-F238E27FC236}">
              <a16:creationId xmlns:a16="http://schemas.microsoft.com/office/drawing/2014/main" id="{B09A40A9-E40B-40A4-AEF0-28607389F271}"/>
            </a:ext>
          </a:extLst>
        </xdr:cNvPr>
        <xdr:cNvSpPr txBox="1"/>
      </xdr:nvSpPr>
      <xdr:spPr>
        <a:xfrm>
          <a:off x="20945476" y="1276350"/>
          <a:ext cx="5791200"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t>Hibernation 2024/2025 (</a:t>
          </a:r>
          <a:r>
            <a:rPr lang="en-US" sz="1100">
              <a:solidFill>
                <a:schemeClr val="tx1"/>
              </a:solidFill>
              <a:effectLst/>
              <a:latin typeface="+mn-lt"/>
              <a:ea typeface="+mn-ea"/>
              <a:cs typeface="+mn-cs"/>
            </a:rPr>
            <a:t>N1/N3/St</a:t>
          </a:r>
          <a:r>
            <a:rPr lang="en-US" sz="1100" baseline="0">
              <a:solidFill>
                <a:schemeClr val="tx1"/>
              </a:solidFill>
              <a:effectLst/>
              <a:latin typeface="+mn-lt"/>
              <a:ea typeface="+mn-ea"/>
              <a:cs typeface="+mn-cs"/>
            </a:rPr>
            <a:t> 180/7200/1800 -- Macro 101/102)</a:t>
          </a:r>
          <a:endParaRPr lang="en-US">
            <a:effectLst/>
          </a:endParaRPr>
        </a:p>
      </xdr:txBody>
    </xdr:sp>
    <xdr:clientData/>
  </xdr:oneCellAnchor>
  <xdr:twoCellAnchor>
    <xdr:from>
      <xdr:col>365</xdr:col>
      <xdr:colOff>38101</xdr:colOff>
      <xdr:row>7</xdr:row>
      <xdr:rowOff>133350</xdr:rowOff>
    </xdr:from>
    <xdr:to>
      <xdr:col>366</xdr:col>
      <xdr:colOff>257175</xdr:colOff>
      <xdr:row>7</xdr:row>
      <xdr:rowOff>136804</xdr:rowOff>
    </xdr:to>
    <xdr:cxnSp macro="">
      <xdr:nvCxnSpPr>
        <xdr:cNvPr id="12" name="Straight Arrow Connector 11">
          <a:extLst>
            <a:ext uri="{FF2B5EF4-FFF2-40B4-BE49-F238E27FC236}">
              <a16:creationId xmlns:a16="http://schemas.microsoft.com/office/drawing/2014/main" id="{0EC213C4-6FCA-4DAF-A46E-E113B2658C2E}"/>
            </a:ext>
          </a:extLst>
        </xdr:cNvPr>
        <xdr:cNvCxnSpPr>
          <a:stCxn id="11" idx="3"/>
        </xdr:cNvCxnSpPr>
      </xdr:nvCxnSpPr>
      <xdr:spPr>
        <a:xfrm flipV="1">
          <a:off x="26736676" y="1400175"/>
          <a:ext cx="285749" cy="3454"/>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267</xdr:col>
      <xdr:colOff>57150</xdr:colOff>
      <xdr:row>7</xdr:row>
      <xdr:rowOff>136804</xdr:rowOff>
    </xdr:from>
    <xdr:to>
      <xdr:col>281</xdr:col>
      <xdr:colOff>57151</xdr:colOff>
      <xdr:row>7</xdr:row>
      <xdr:rowOff>142875</xdr:rowOff>
    </xdr:to>
    <xdr:cxnSp macro="">
      <xdr:nvCxnSpPr>
        <xdr:cNvPr id="13" name="Straight Arrow Connector 12">
          <a:extLst>
            <a:ext uri="{FF2B5EF4-FFF2-40B4-BE49-F238E27FC236}">
              <a16:creationId xmlns:a16="http://schemas.microsoft.com/office/drawing/2014/main" id="{6A43B8E3-A9D0-493B-B996-779CF9B6C43A}"/>
            </a:ext>
          </a:extLst>
        </xdr:cNvPr>
        <xdr:cNvCxnSpPr>
          <a:stCxn id="11" idx="1"/>
        </xdr:cNvCxnSpPr>
      </xdr:nvCxnSpPr>
      <xdr:spPr>
        <a:xfrm flipH="1">
          <a:off x="20012025" y="1403629"/>
          <a:ext cx="933451" cy="6071"/>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260</xdr:col>
      <xdr:colOff>9525</xdr:colOff>
      <xdr:row>6</xdr:row>
      <xdr:rowOff>123825</xdr:rowOff>
    </xdr:from>
    <xdr:ext cx="1612557" cy="254557"/>
    <xdr:sp macro="" textlink="">
      <xdr:nvSpPr>
        <xdr:cNvPr id="18" name="TextBox 17">
          <a:extLst>
            <a:ext uri="{FF2B5EF4-FFF2-40B4-BE49-F238E27FC236}">
              <a16:creationId xmlns:a16="http://schemas.microsoft.com/office/drawing/2014/main" id="{BA7CF11B-EC7E-4600-938D-F2BE86199DEA}"/>
            </a:ext>
          </a:extLst>
        </xdr:cNvPr>
        <xdr:cNvSpPr txBox="1"/>
      </xdr:nvSpPr>
      <xdr:spPr>
        <a:xfrm>
          <a:off x="19497675" y="1209675"/>
          <a:ext cx="161255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2024-267</a:t>
          </a:r>
        </a:p>
      </xdr:txBody>
    </xdr:sp>
    <xdr:clientData/>
  </xdr:oneCellAnchor>
  <xdr:oneCellAnchor>
    <xdr:from>
      <xdr:col>95</xdr:col>
      <xdr:colOff>0</xdr:colOff>
      <xdr:row>8</xdr:row>
      <xdr:rowOff>104775</xdr:rowOff>
    </xdr:from>
    <xdr:ext cx="624082" cy="254557"/>
    <xdr:sp macro="" textlink="">
      <xdr:nvSpPr>
        <xdr:cNvPr id="19" name="TextBox 18">
          <a:extLst>
            <a:ext uri="{FF2B5EF4-FFF2-40B4-BE49-F238E27FC236}">
              <a16:creationId xmlns:a16="http://schemas.microsoft.com/office/drawing/2014/main" id="{677404B0-9BF5-4980-B0C5-685999B26D37}"/>
            </a:ext>
          </a:extLst>
        </xdr:cNvPr>
        <xdr:cNvSpPr txBox="1"/>
      </xdr:nvSpPr>
      <xdr:spPr>
        <a:xfrm>
          <a:off x="7534275" y="1552575"/>
          <a:ext cx="624082"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25-096</a:t>
          </a:r>
        </a:p>
      </xdr:txBody>
    </xdr:sp>
    <xdr:clientData/>
  </xdr:oneCellAnchor>
  <xdr:oneCellAnchor>
    <xdr:from>
      <xdr:col>98</xdr:col>
      <xdr:colOff>28575</xdr:colOff>
      <xdr:row>14</xdr:row>
      <xdr:rowOff>161925</xdr:rowOff>
    </xdr:from>
    <xdr:ext cx="5076825" cy="254557"/>
    <xdr:sp macro="" textlink="">
      <xdr:nvSpPr>
        <xdr:cNvPr id="29" name="TextBox 28">
          <a:extLst>
            <a:ext uri="{FF2B5EF4-FFF2-40B4-BE49-F238E27FC236}">
              <a16:creationId xmlns:a16="http://schemas.microsoft.com/office/drawing/2014/main" id="{C683EE0F-40EF-4029-ADC4-57F21AFCC23C}"/>
            </a:ext>
          </a:extLst>
        </xdr:cNvPr>
        <xdr:cNvSpPr txBox="1"/>
      </xdr:nvSpPr>
      <xdr:spPr>
        <a:xfrm>
          <a:off x="7762875" y="2695575"/>
          <a:ext cx="5076825"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50"/>
            <a:t>Posthib - </a:t>
          </a:r>
          <a:r>
            <a:rPr lang="en-US" sz="1050">
              <a:solidFill>
                <a:schemeClr val="tx1"/>
              </a:solidFill>
              <a:effectLst/>
              <a:latin typeface="+mn-lt"/>
              <a:ea typeface="+mn-ea"/>
              <a:cs typeface="+mn-cs"/>
            </a:rPr>
            <a:t>N2/N1/N3/St</a:t>
          </a:r>
          <a:r>
            <a:rPr lang="en-US" sz="1050" baseline="0">
              <a:solidFill>
                <a:schemeClr val="tx1"/>
              </a:solidFill>
              <a:effectLst/>
              <a:latin typeface="+mn-lt"/>
              <a:ea typeface="+mn-ea"/>
              <a:cs typeface="+mn-cs"/>
            </a:rPr>
            <a:t> 120/120/7200/1800 -- Macro 101 with 102</a:t>
          </a:r>
          <a:endParaRPr lang="en-US" sz="105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twoCellAnchor>
    <xdr:from>
      <xdr:col>17</xdr:col>
      <xdr:colOff>17318</xdr:colOff>
      <xdr:row>452</xdr:row>
      <xdr:rowOff>8660</xdr:rowOff>
    </xdr:from>
    <xdr:to>
      <xdr:col>18</xdr:col>
      <xdr:colOff>87889</xdr:colOff>
      <xdr:row>457</xdr:row>
      <xdr:rowOff>27275</xdr:rowOff>
    </xdr:to>
    <xdr:cxnSp macro="">
      <xdr:nvCxnSpPr>
        <xdr:cNvPr id="2" name="Straight Arrow Connector 1">
          <a:extLst>
            <a:ext uri="{FF2B5EF4-FFF2-40B4-BE49-F238E27FC236}">
              <a16:creationId xmlns:a16="http://schemas.microsoft.com/office/drawing/2014/main" id="{88980E42-1A6B-409B-9F91-0C4B70E3F25D}"/>
            </a:ext>
          </a:extLst>
        </xdr:cNvPr>
        <xdr:cNvCxnSpPr/>
      </xdr:nvCxnSpPr>
      <xdr:spPr>
        <a:xfrm>
          <a:off x="13085618" y="74770385"/>
          <a:ext cx="899246" cy="8758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1732</xdr:colOff>
      <xdr:row>450</xdr:row>
      <xdr:rowOff>164523</xdr:rowOff>
    </xdr:from>
    <xdr:to>
      <xdr:col>18</xdr:col>
      <xdr:colOff>34636</xdr:colOff>
      <xdr:row>451</xdr:row>
      <xdr:rowOff>865</xdr:rowOff>
    </xdr:to>
    <xdr:cxnSp macro="">
      <xdr:nvCxnSpPr>
        <xdr:cNvPr id="3" name="Straight Arrow Connector 2">
          <a:extLst>
            <a:ext uri="{FF2B5EF4-FFF2-40B4-BE49-F238E27FC236}">
              <a16:creationId xmlns:a16="http://schemas.microsoft.com/office/drawing/2014/main" id="{8E9B4AE0-6D3E-48EE-8B52-85BAF04C4D80}"/>
            </a:ext>
          </a:extLst>
        </xdr:cNvPr>
        <xdr:cNvCxnSpPr/>
      </xdr:nvCxnSpPr>
      <xdr:spPr>
        <a:xfrm flipV="1">
          <a:off x="12241357" y="74588110"/>
          <a:ext cx="1695016" cy="3030"/>
        </a:xfrm>
        <a:prstGeom prst="straightConnector1">
          <a:avLst/>
        </a:prstGeom>
        <a:ln w="28575">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287481</xdr:colOff>
      <xdr:row>449</xdr:row>
      <xdr:rowOff>122958</xdr:rowOff>
    </xdr:from>
    <xdr:ext cx="1070871" cy="254557"/>
    <xdr:sp macro="" textlink="">
      <xdr:nvSpPr>
        <xdr:cNvPr id="4" name="TextBox 3">
          <a:extLst>
            <a:ext uri="{FF2B5EF4-FFF2-40B4-BE49-F238E27FC236}">
              <a16:creationId xmlns:a16="http://schemas.microsoft.com/office/drawing/2014/main" id="{21F6DECF-99E9-47F9-8158-13F3506C3738}"/>
            </a:ext>
          </a:extLst>
        </xdr:cNvPr>
        <xdr:cNvSpPr txBox="1"/>
      </xdr:nvSpPr>
      <xdr:spPr>
        <a:xfrm>
          <a:off x="12527106" y="74370333"/>
          <a:ext cx="1070871"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B050"/>
              </a:solidFill>
            </a:rPr>
            <a:t>35 min pwr on</a:t>
          </a:r>
        </a:p>
      </xdr:txBody>
    </xdr:sp>
    <xdr:clientData/>
  </xdr:oneCellAnchor>
  <xdr:twoCellAnchor>
    <xdr:from>
      <xdr:col>15</xdr:col>
      <xdr:colOff>1073727</xdr:colOff>
      <xdr:row>458</xdr:row>
      <xdr:rowOff>25978</xdr:rowOff>
    </xdr:from>
    <xdr:to>
      <xdr:col>16</xdr:col>
      <xdr:colOff>0</xdr:colOff>
      <xdr:row>459</xdr:row>
      <xdr:rowOff>103909</xdr:rowOff>
    </xdr:to>
    <xdr:cxnSp macro="">
      <xdr:nvCxnSpPr>
        <xdr:cNvPr id="5" name="Straight Arrow Connector 4">
          <a:extLst>
            <a:ext uri="{FF2B5EF4-FFF2-40B4-BE49-F238E27FC236}">
              <a16:creationId xmlns:a16="http://schemas.microsoft.com/office/drawing/2014/main" id="{FF77328B-F969-4630-840E-73C833774AAC}"/>
            </a:ext>
          </a:extLst>
        </xdr:cNvPr>
        <xdr:cNvCxnSpPr/>
      </xdr:nvCxnSpPr>
      <xdr:spPr>
        <a:xfrm flipV="1">
          <a:off x="12232264" y="74792465"/>
          <a:ext cx="7361" cy="24461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54977</xdr:colOff>
      <xdr:row>450</xdr:row>
      <xdr:rowOff>147204</xdr:rowOff>
    </xdr:from>
    <xdr:to>
      <xdr:col>25</xdr:col>
      <xdr:colOff>69272</xdr:colOff>
      <xdr:row>450</xdr:row>
      <xdr:rowOff>169285</xdr:rowOff>
    </xdr:to>
    <xdr:cxnSp macro="">
      <xdr:nvCxnSpPr>
        <xdr:cNvPr id="6" name="Straight Arrow Connector 5">
          <a:extLst>
            <a:ext uri="{FF2B5EF4-FFF2-40B4-BE49-F238E27FC236}">
              <a16:creationId xmlns:a16="http://schemas.microsoft.com/office/drawing/2014/main" id="{D5C16506-39F3-48E3-BE18-79C4F4D6EEDF}"/>
            </a:ext>
          </a:extLst>
        </xdr:cNvPr>
        <xdr:cNvCxnSpPr/>
      </xdr:nvCxnSpPr>
      <xdr:spPr>
        <a:xfrm flipV="1">
          <a:off x="13951952" y="74570791"/>
          <a:ext cx="6257932" cy="17319"/>
        </a:xfrm>
        <a:prstGeom prst="straightConnector1">
          <a:avLst/>
        </a:prstGeom>
        <a:ln w="28575">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401348</xdr:colOff>
      <xdr:row>451</xdr:row>
      <xdr:rowOff>30735</xdr:rowOff>
    </xdr:from>
    <xdr:ext cx="757067" cy="254557"/>
    <xdr:sp macro="" textlink="">
      <xdr:nvSpPr>
        <xdr:cNvPr id="7" name="TextBox 6">
          <a:extLst>
            <a:ext uri="{FF2B5EF4-FFF2-40B4-BE49-F238E27FC236}">
              <a16:creationId xmlns:a16="http://schemas.microsoft.com/office/drawing/2014/main" id="{9E2B8B3C-CE39-4ACF-861B-35D9B00B2325}"/>
            </a:ext>
          </a:extLst>
        </xdr:cNvPr>
        <xdr:cNvSpPr txBox="1"/>
      </xdr:nvSpPr>
      <xdr:spPr>
        <a:xfrm>
          <a:off x="12640973" y="74621010"/>
          <a:ext cx="757067"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B050"/>
              </a:solidFill>
            </a:rPr>
            <a:t>1.6</a:t>
          </a:r>
          <a:r>
            <a:rPr lang="en-US" sz="1100" baseline="0">
              <a:solidFill>
                <a:srgbClr val="00B050"/>
              </a:solidFill>
            </a:rPr>
            <a:t> Mbits</a:t>
          </a:r>
          <a:endParaRPr lang="en-US" sz="1100">
            <a:solidFill>
              <a:srgbClr val="00B050"/>
            </a:solidFill>
          </a:endParaRPr>
        </a:p>
      </xdr:txBody>
    </xdr:sp>
    <xdr:clientData/>
  </xdr:oneCellAnchor>
  <xdr:oneCellAnchor>
    <xdr:from>
      <xdr:col>18</xdr:col>
      <xdr:colOff>164090</xdr:colOff>
      <xdr:row>449</xdr:row>
      <xdr:rowOff>49352</xdr:rowOff>
    </xdr:from>
    <xdr:ext cx="4762933" cy="254557"/>
    <xdr:sp macro="" textlink="">
      <xdr:nvSpPr>
        <xdr:cNvPr id="8" name="TextBox 7">
          <a:extLst>
            <a:ext uri="{FF2B5EF4-FFF2-40B4-BE49-F238E27FC236}">
              <a16:creationId xmlns:a16="http://schemas.microsoft.com/office/drawing/2014/main" id="{B8B632E1-C49A-40AF-9971-FAB43CBC82B7}"/>
            </a:ext>
          </a:extLst>
        </xdr:cNvPr>
        <xdr:cNvSpPr txBox="1"/>
      </xdr:nvSpPr>
      <xdr:spPr>
        <a:xfrm>
          <a:off x="14061065" y="74296727"/>
          <a:ext cx="476293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rgbClr val="00B0F0"/>
              </a:solidFill>
            </a:rPr>
            <a:t>start macros - taking data at a particular rate ( bytes</a:t>
          </a:r>
          <a:r>
            <a:rPr lang="en-US" sz="1100" baseline="0">
              <a:solidFill>
                <a:srgbClr val="00B0F0"/>
              </a:solidFill>
            </a:rPr>
            <a:t> / sec)</a:t>
          </a:r>
          <a:endParaRPr lang="en-US" sz="1100">
            <a:solidFill>
              <a:srgbClr val="00B0F0"/>
            </a:solidFill>
          </a:endParaRPr>
        </a:p>
      </xdr:txBody>
    </xdr:sp>
    <xdr:clientData/>
  </xdr:oneCellAnchor>
  <xdr:twoCellAnchor>
    <xdr:from>
      <xdr:col>18</xdr:col>
      <xdr:colOff>0</xdr:colOff>
      <xdr:row>452</xdr:row>
      <xdr:rowOff>0</xdr:rowOff>
    </xdr:from>
    <xdr:to>
      <xdr:col>18</xdr:col>
      <xdr:colOff>3898</xdr:colOff>
      <xdr:row>453</xdr:row>
      <xdr:rowOff>73169</xdr:rowOff>
    </xdr:to>
    <xdr:cxnSp macro="">
      <xdr:nvCxnSpPr>
        <xdr:cNvPr id="9" name="Straight Arrow Connector 8">
          <a:extLst>
            <a:ext uri="{FF2B5EF4-FFF2-40B4-BE49-F238E27FC236}">
              <a16:creationId xmlns:a16="http://schemas.microsoft.com/office/drawing/2014/main" id="{21D9AA32-5C63-4029-A584-C42E06560156}"/>
            </a:ext>
          </a:extLst>
        </xdr:cNvPr>
        <xdr:cNvCxnSpPr/>
      </xdr:nvCxnSpPr>
      <xdr:spPr>
        <a:xfrm flipV="1">
          <a:off x="13896975" y="74761725"/>
          <a:ext cx="8660" cy="24938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452</xdr:row>
      <xdr:rowOff>0</xdr:rowOff>
    </xdr:from>
    <xdr:to>
      <xdr:col>25</xdr:col>
      <xdr:colOff>3898</xdr:colOff>
      <xdr:row>453</xdr:row>
      <xdr:rowOff>73169</xdr:rowOff>
    </xdr:to>
    <xdr:cxnSp macro="">
      <xdr:nvCxnSpPr>
        <xdr:cNvPr id="10" name="Straight Arrow Connector 9">
          <a:extLst>
            <a:ext uri="{FF2B5EF4-FFF2-40B4-BE49-F238E27FC236}">
              <a16:creationId xmlns:a16="http://schemas.microsoft.com/office/drawing/2014/main" id="{ADB0951F-C634-4418-A805-1EB320D04527}"/>
            </a:ext>
          </a:extLst>
        </xdr:cNvPr>
        <xdr:cNvCxnSpPr/>
      </xdr:nvCxnSpPr>
      <xdr:spPr>
        <a:xfrm flipV="1">
          <a:off x="20135850" y="74761725"/>
          <a:ext cx="8660" cy="24938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591408</xdr:colOff>
      <xdr:row>453</xdr:row>
      <xdr:rowOff>172307</xdr:rowOff>
    </xdr:from>
    <xdr:ext cx="733406" cy="254557"/>
    <xdr:sp macro="" textlink="">
      <xdr:nvSpPr>
        <xdr:cNvPr id="11" name="TextBox 10">
          <a:extLst>
            <a:ext uri="{FF2B5EF4-FFF2-40B4-BE49-F238E27FC236}">
              <a16:creationId xmlns:a16="http://schemas.microsoft.com/office/drawing/2014/main" id="{E8433979-2DF5-49E4-AD65-4915F4DDAA7B}"/>
            </a:ext>
          </a:extLst>
        </xdr:cNvPr>
        <xdr:cNvSpPr txBox="1"/>
      </xdr:nvSpPr>
      <xdr:spPr>
        <a:xfrm>
          <a:off x="11745183" y="75105482"/>
          <a:ext cx="733406"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start</a:t>
          </a:r>
          <a:r>
            <a:rPr lang="en-US" sz="1100" baseline="0">
              <a:solidFill>
                <a:sysClr val="windowText" lastClr="000000"/>
              </a:solidFill>
            </a:rPr>
            <a:t> met</a:t>
          </a:r>
          <a:endParaRPr lang="en-US" sz="1100">
            <a:solidFill>
              <a:sysClr val="windowText" lastClr="000000"/>
            </a:solidFill>
          </a:endParaRPr>
        </a:p>
      </xdr:txBody>
    </xdr:sp>
    <xdr:clientData/>
  </xdr:oneCellAnchor>
  <xdr:oneCellAnchor>
    <xdr:from>
      <xdr:col>24</xdr:col>
      <xdr:colOff>523433</xdr:colOff>
      <xdr:row>453</xdr:row>
      <xdr:rowOff>134207</xdr:rowOff>
    </xdr:from>
    <xdr:ext cx="694485" cy="254557"/>
    <xdr:sp macro="" textlink="">
      <xdr:nvSpPr>
        <xdr:cNvPr id="12" name="TextBox 11">
          <a:extLst>
            <a:ext uri="{FF2B5EF4-FFF2-40B4-BE49-F238E27FC236}">
              <a16:creationId xmlns:a16="http://schemas.microsoft.com/office/drawing/2014/main" id="{834B047B-CAE9-4186-8304-AAD3EAC290DB}"/>
            </a:ext>
          </a:extLst>
        </xdr:cNvPr>
        <xdr:cNvSpPr txBox="1"/>
      </xdr:nvSpPr>
      <xdr:spPr>
        <a:xfrm>
          <a:off x="19830608" y="75067382"/>
          <a:ext cx="694485"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aseline="0">
              <a:solidFill>
                <a:sysClr val="windowText" lastClr="000000"/>
              </a:solidFill>
            </a:rPr>
            <a:t>end met</a:t>
          </a:r>
          <a:endParaRPr lang="en-US" sz="1100">
            <a:solidFill>
              <a:sysClr val="windowText" lastClr="000000"/>
            </a:solidFill>
          </a:endParaRPr>
        </a:p>
      </xdr:txBody>
    </xdr:sp>
    <xdr:clientData/>
  </xdr:oneCellAnchor>
  <xdr:twoCellAnchor>
    <xdr:from>
      <xdr:col>11</xdr:col>
      <xdr:colOff>654194</xdr:colOff>
      <xdr:row>399</xdr:row>
      <xdr:rowOff>117764</xdr:rowOff>
    </xdr:from>
    <xdr:to>
      <xdr:col>11</xdr:col>
      <xdr:colOff>700952</xdr:colOff>
      <xdr:row>407</xdr:row>
      <xdr:rowOff>82694</xdr:rowOff>
    </xdr:to>
    <xdr:cxnSp macro="">
      <xdr:nvCxnSpPr>
        <xdr:cNvPr id="14" name="Straight Arrow Connector 13">
          <a:extLst>
            <a:ext uri="{FF2B5EF4-FFF2-40B4-BE49-F238E27FC236}">
              <a16:creationId xmlns:a16="http://schemas.microsoft.com/office/drawing/2014/main" id="{47A34196-E336-182C-3C0B-E87EE7485108}"/>
            </a:ext>
          </a:extLst>
        </xdr:cNvPr>
        <xdr:cNvCxnSpPr/>
      </xdr:nvCxnSpPr>
      <xdr:spPr>
        <a:xfrm flipV="1">
          <a:off x="6386512" y="75651014"/>
          <a:ext cx="46758" cy="1350385"/>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523875</xdr:colOff>
      <xdr:row>394</xdr:row>
      <xdr:rowOff>19050</xdr:rowOff>
    </xdr:from>
    <xdr:to>
      <xdr:col>13</xdr:col>
      <xdr:colOff>19050</xdr:colOff>
      <xdr:row>399</xdr:row>
      <xdr:rowOff>57150</xdr:rowOff>
    </xdr:to>
    <xdr:sp macro="" textlink="">
      <xdr:nvSpPr>
        <xdr:cNvPr id="15" name="TextBox 14">
          <a:extLst>
            <a:ext uri="{FF2B5EF4-FFF2-40B4-BE49-F238E27FC236}">
              <a16:creationId xmlns:a16="http://schemas.microsoft.com/office/drawing/2014/main" id="{61593862-22B9-CDD0-25A8-A7EA43BFFAC2}"/>
            </a:ext>
          </a:extLst>
        </xdr:cNvPr>
        <xdr:cNvSpPr txBox="1"/>
      </xdr:nvSpPr>
      <xdr:spPr>
        <a:xfrm>
          <a:off x="5838825" y="84772500"/>
          <a:ext cx="1343025" cy="895350"/>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60"/>
  <sheetViews>
    <sheetView workbookViewId="0"/>
  </sheetViews>
  <sheetFormatPr defaultRowHeight="14.25"/>
  <cols>
    <col min="2" max="2" width="4.265625" customWidth="1"/>
    <col min="3" max="3" width="4" customWidth="1"/>
  </cols>
  <sheetData>
    <row r="1" spans="1:3" s="456" customFormat="1">
      <c r="A1" s="455" t="s">
        <v>4384</v>
      </c>
    </row>
    <row r="3" spans="1:3">
      <c r="B3" t="s">
        <v>4389</v>
      </c>
    </row>
    <row r="5" spans="1:3">
      <c r="B5" t="s">
        <v>4390</v>
      </c>
    </row>
    <row r="7" spans="1:3">
      <c r="B7" t="s">
        <v>4388</v>
      </c>
    </row>
    <row r="8" spans="1:3">
      <c r="B8" s="17" t="s">
        <v>4383</v>
      </c>
      <c r="C8" t="s">
        <v>4392</v>
      </c>
    </row>
    <row r="9" spans="1:3">
      <c r="B9" s="17"/>
    </row>
    <row r="10" spans="1:3">
      <c r="B10" t="s">
        <v>4391</v>
      </c>
    </row>
    <row r="11" spans="1:3">
      <c r="B11" s="17" t="s">
        <v>4383</v>
      </c>
      <c r="C11" t="s">
        <v>4386</v>
      </c>
    </row>
    <row r="12" spans="1:3">
      <c r="B12" s="17" t="s">
        <v>4383</v>
      </c>
      <c r="C12" t="s">
        <v>4385</v>
      </c>
    </row>
    <row r="13" spans="1:3">
      <c r="B13" s="17" t="s">
        <v>4383</v>
      </c>
      <c r="C13" t="s">
        <v>4387</v>
      </c>
    </row>
    <row r="15" spans="1:3">
      <c r="B15" t="s">
        <v>8396</v>
      </c>
    </row>
    <row r="17" spans="1:3">
      <c r="B17" t="s">
        <v>8399</v>
      </c>
    </row>
    <row r="18" spans="1:3">
      <c r="B18" s="17" t="s">
        <v>4383</v>
      </c>
      <c r="C18" t="s">
        <v>8397</v>
      </c>
    </row>
    <row r="19" spans="1:3">
      <c r="B19" s="17" t="s">
        <v>4383</v>
      </c>
      <c r="C19" t="s">
        <v>8400</v>
      </c>
    </row>
    <row r="20" spans="1:3">
      <c r="B20" s="17" t="s">
        <v>4383</v>
      </c>
      <c r="C20" t="s">
        <v>8401</v>
      </c>
    </row>
    <row r="21" spans="1:3">
      <c r="B21" s="17" t="s">
        <v>4383</v>
      </c>
      <c r="C21" t="s">
        <v>8402</v>
      </c>
    </row>
    <row r="22" spans="1:3">
      <c r="B22" s="17" t="s">
        <v>4383</v>
      </c>
      <c r="C22" t="s">
        <v>8398</v>
      </c>
    </row>
    <row r="24" spans="1:3">
      <c r="B24" t="s">
        <v>8403</v>
      </c>
    </row>
    <row r="26" spans="1:3">
      <c r="B26" t="s">
        <v>8405</v>
      </c>
    </row>
    <row r="28" spans="1:3">
      <c r="B28" t="s">
        <v>8404</v>
      </c>
    </row>
    <row r="31" spans="1:3" s="456" customFormat="1">
      <c r="A31" s="455" t="s">
        <v>4394</v>
      </c>
    </row>
    <row r="32" spans="1:3">
      <c r="A32" s="452"/>
    </row>
    <row r="33" spans="2:4">
      <c r="B33" t="s">
        <v>4395</v>
      </c>
    </row>
    <row r="34" spans="2:4">
      <c r="B34" s="17" t="s">
        <v>4383</v>
      </c>
      <c r="C34" t="s">
        <v>4396</v>
      </c>
    </row>
    <row r="35" spans="2:4">
      <c r="B35" s="17"/>
    </row>
    <row r="36" spans="2:4">
      <c r="B36" t="s">
        <v>4411</v>
      </c>
    </row>
    <row r="37" spans="2:4">
      <c r="B37" s="17" t="s">
        <v>4383</v>
      </c>
      <c r="C37" t="s">
        <v>4397</v>
      </c>
    </row>
    <row r="38" spans="2:4">
      <c r="B38" s="17" t="s">
        <v>4383</v>
      </c>
      <c r="C38" t="s">
        <v>4409</v>
      </c>
    </row>
    <row r="39" spans="2:4">
      <c r="B39" s="17" t="s">
        <v>4383</v>
      </c>
      <c r="C39" t="s">
        <v>4410</v>
      </c>
    </row>
    <row r="40" spans="2:4">
      <c r="B40" s="17"/>
    </row>
    <row r="41" spans="2:4">
      <c r="B41" s="93" t="s">
        <v>4398</v>
      </c>
    </row>
    <row r="42" spans="2:4">
      <c r="B42" s="17" t="s">
        <v>4383</v>
      </c>
      <c r="C42" t="s">
        <v>4405</v>
      </c>
    </row>
    <row r="43" spans="2:4">
      <c r="C43" s="17" t="s">
        <v>4383</v>
      </c>
      <c r="D43" t="s">
        <v>4400</v>
      </c>
    </row>
    <row r="44" spans="2:4">
      <c r="C44" s="17" t="s">
        <v>4383</v>
      </c>
      <c r="D44" t="s">
        <v>4401</v>
      </c>
    </row>
    <row r="45" spans="2:4">
      <c r="C45" s="17" t="s">
        <v>4383</v>
      </c>
      <c r="D45" t="s">
        <v>4402</v>
      </c>
    </row>
    <row r="46" spans="2:4">
      <c r="C46" s="17" t="s">
        <v>4383</v>
      </c>
      <c r="D46" t="s">
        <v>4403</v>
      </c>
    </row>
    <row r="47" spans="2:4">
      <c r="C47" s="17" t="s">
        <v>4383</v>
      </c>
      <c r="D47" t="s">
        <v>4404</v>
      </c>
    </row>
    <row r="48" spans="2:4">
      <c r="B48" s="17" t="s">
        <v>4383</v>
      </c>
      <c r="C48" t="s">
        <v>4399</v>
      </c>
    </row>
    <row r="50" spans="1:3">
      <c r="B50" t="s">
        <v>4406</v>
      </c>
    </row>
    <row r="51" spans="1:3">
      <c r="B51" s="17" t="s">
        <v>4383</v>
      </c>
      <c r="C51" t="s">
        <v>4407</v>
      </c>
    </row>
    <row r="53" spans="1:3">
      <c r="B53" t="s">
        <v>4408</v>
      </c>
    </row>
    <row r="54" spans="1:3">
      <c r="B54" s="17" t="s">
        <v>4383</v>
      </c>
      <c r="C54" t="s">
        <v>4412</v>
      </c>
    </row>
    <row r="55" spans="1:3">
      <c r="B55" s="17"/>
    </row>
    <row r="57" spans="1:3" s="456" customFormat="1">
      <c r="A57" s="455" t="s">
        <v>4393</v>
      </c>
    </row>
    <row r="58" spans="1:3">
      <c r="A58" s="452"/>
    </row>
    <row r="59" spans="1:3">
      <c r="B59" t="s">
        <v>4414</v>
      </c>
    </row>
    <row r="60" spans="1:3">
      <c r="B60" t="s">
        <v>4413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workbookViewId="0"/>
  </sheetViews>
  <sheetFormatPr defaultColWidth="11.59765625" defaultRowHeight="12.75"/>
  <cols>
    <col min="1" max="1" width="11.265625" style="453" customWidth="1"/>
    <col min="2" max="2" width="19.3984375" style="453" customWidth="1"/>
    <col min="3" max="3" width="20.265625" style="453" customWidth="1"/>
    <col min="4" max="4" width="30.59765625" style="453" customWidth="1"/>
    <col min="5" max="5" width="28.3984375" style="453" customWidth="1"/>
    <col min="6" max="6" width="35.3984375" style="453" customWidth="1"/>
    <col min="7" max="7" width="17.73046875" style="453" customWidth="1"/>
    <col min="8" max="16384" width="11.59765625" style="453"/>
  </cols>
  <sheetData>
    <row r="1" spans="1:7">
      <c r="A1" s="453" t="s">
        <v>4415</v>
      </c>
      <c r="B1" s="453" t="s">
        <v>4416</v>
      </c>
      <c r="C1" s="453" t="s">
        <v>4417</v>
      </c>
      <c r="D1" s="453" t="s">
        <v>4418</v>
      </c>
      <c r="E1" s="453" t="s">
        <v>4419</v>
      </c>
      <c r="F1" s="453" t="s">
        <v>4420</v>
      </c>
      <c r="G1" s="453" t="s">
        <v>4421</v>
      </c>
    </row>
    <row r="2" spans="1:7">
      <c r="A2" s="453" t="s">
        <v>4422</v>
      </c>
      <c r="B2" s="453" t="s">
        <v>4423</v>
      </c>
      <c r="C2" s="453" t="s">
        <v>4424</v>
      </c>
    </row>
    <row r="3" spans="1:7">
      <c r="A3" s="453">
        <v>346118620</v>
      </c>
      <c r="B3" s="453">
        <v>537084701.42623997</v>
      </c>
      <c r="C3" s="454">
        <v>36526.5</v>
      </c>
      <c r="D3" s="453" t="s">
        <v>4425</v>
      </c>
      <c r="E3" s="453" t="s">
        <v>4426</v>
      </c>
      <c r="F3" s="453" t="str">
        <f ca="1">MET2UTC(A3)</f>
        <v>2017-007/18:11:41.426240</v>
      </c>
    </row>
    <row r="4" spans="1:7">
      <c r="A4" s="453">
        <v>346291416</v>
      </c>
      <c r="B4" s="453">
        <v>537257497.42819095</v>
      </c>
      <c r="C4" s="453">
        <v>86400</v>
      </c>
      <c r="D4" s="453" t="s">
        <v>4427</v>
      </c>
      <c r="E4" s="453" t="s">
        <v>4428</v>
      </c>
      <c r="F4" s="453" t="str" cm="1">
        <f t="array" aca="1" ref="F4" ca="1">MID(MET2UTC(A4),3,12)</f>
        <v>17-009/18:11</v>
      </c>
    </row>
    <row r="5" spans="1:7">
      <c r="A5" s="453">
        <v>346428190</v>
      </c>
      <c r="B5" s="453">
        <v>537394271.42971897</v>
      </c>
      <c r="D5" s="453" t="s">
        <v>4429</v>
      </c>
      <c r="E5" s="453" t="s">
        <v>4430</v>
      </c>
    </row>
    <row r="6" spans="1:7">
      <c r="A6" s="453">
        <v>346604594</v>
      </c>
      <c r="B6" s="453">
        <v>537570675.43171895</v>
      </c>
      <c r="D6" s="453" t="s">
        <v>4431</v>
      </c>
      <c r="E6" s="453" t="s">
        <v>4432</v>
      </c>
    </row>
    <row r="7" spans="1:7">
      <c r="A7" s="453">
        <v>346860176</v>
      </c>
      <c r="B7" s="453">
        <v>537826257.43458998</v>
      </c>
      <c r="D7" s="453" t="s">
        <v>4433</v>
      </c>
      <c r="E7" s="453" t="s">
        <v>4434</v>
      </c>
    </row>
    <row r="8" spans="1:7">
      <c r="A8" s="453">
        <v>347022168</v>
      </c>
      <c r="B8" s="453">
        <v>537988249.43640804</v>
      </c>
      <c r="D8" s="453" t="s">
        <v>4435</v>
      </c>
      <c r="E8" s="453" t="s">
        <v>4436</v>
      </c>
    </row>
    <row r="9" spans="1:7">
      <c r="A9" s="453">
        <v>347151788</v>
      </c>
      <c r="B9" s="453">
        <v>538117869.43789995</v>
      </c>
      <c r="D9" s="453" t="s">
        <v>4437</v>
      </c>
      <c r="E9" s="453" t="s">
        <v>4438</v>
      </c>
    </row>
    <row r="10" spans="1:7">
      <c r="A10" s="453">
        <v>347202166</v>
      </c>
      <c r="B10" s="453">
        <v>538168247.43844998</v>
      </c>
      <c r="D10" s="453" t="s">
        <v>4439</v>
      </c>
      <c r="E10" s="453" t="s">
        <v>4440</v>
      </c>
    </row>
    <row r="11" spans="1:7">
      <c r="A11" s="453">
        <v>347464967</v>
      </c>
      <c r="B11" s="453">
        <v>538431048.44142306</v>
      </c>
      <c r="D11" s="453" t="s">
        <v>4441</v>
      </c>
      <c r="E11" s="453" t="s">
        <v>4442</v>
      </c>
    </row>
    <row r="12" spans="1:7">
      <c r="A12" s="453">
        <v>347612597</v>
      </c>
      <c r="B12" s="453">
        <v>538578678.44311404</v>
      </c>
      <c r="D12" s="453" t="s">
        <v>4443</v>
      </c>
      <c r="E12" s="453" t="s">
        <v>4444</v>
      </c>
    </row>
    <row r="13" spans="1:7">
      <c r="A13" s="453">
        <v>347698989</v>
      </c>
      <c r="B13" s="453">
        <v>538665070.44409597</v>
      </c>
      <c r="D13" s="453" t="s">
        <v>4445</v>
      </c>
      <c r="E13" s="453" t="s">
        <v>4446</v>
      </c>
    </row>
    <row r="14" spans="1:7">
      <c r="A14" s="453">
        <v>347828574</v>
      </c>
      <c r="B14" s="453">
        <v>538794655.445521</v>
      </c>
      <c r="D14" s="453" t="s">
        <v>4447</v>
      </c>
      <c r="E14" s="453" t="s">
        <v>4448</v>
      </c>
    </row>
    <row r="15" spans="1:7">
      <c r="A15" s="453">
        <v>348019376</v>
      </c>
      <c r="B15" s="453">
        <v>538985457.44769204</v>
      </c>
      <c r="D15" s="453" t="s">
        <v>4449</v>
      </c>
      <c r="E15" s="453" t="s">
        <v>4450</v>
      </c>
    </row>
    <row r="16" spans="1:7">
      <c r="A16" s="453">
        <v>348091416</v>
      </c>
      <c r="B16" s="453">
        <v>539057497.448506</v>
      </c>
      <c r="D16" s="453" t="s">
        <v>4451</v>
      </c>
      <c r="E16" s="453" t="s">
        <v>4452</v>
      </c>
    </row>
    <row r="17" spans="1:5">
      <c r="A17" s="453">
        <v>348192174</v>
      </c>
      <c r="B17" s="453">
        <v>539158255.44964194</v>
      </c>
      <c r="D17" s="453" t="s">
        <v>4453</v>
      </c>
      <c r="E17" s="453" t="s">
        <v>4454</v>
      </c>
    </row>
    <row r="18" spans="1:5">
      <c r="A18" s="453">
        <v>348278575</v>
      </c>
      <c r="B18" s="453">
        <v>539244656.45060098</v>
      </c>
      <c r="D18" s="453" t="s">
        <v>4455</v>
      </c>
      <c r="E18" s="453" t="s">
        <v>4456</v>
      </c>
    </row>
    <row r="19" spans="1:5">
      <c r="A19" s="453">
        <v>348328957</v>
      </c>
      <c r="B19" s="453">
        <v>539295038.45118701</v>
      </c>
      <c r="D19" s="453" t="s">
        <v>4457</v>
      </c>
      <c r="E19" s="453" t="s">
        <v>4458</v>
      </c>
    </row>
    <row r="20" spans="1:5">
      <c r="A20" s="453">
        <v>348624221</v>
      </c>
      <c r="B20" s="453">
        <v>539590302.45451498</v>
      </c>
      <c r="D20" s="453" t="s">
        <v>4459</v>
      </c>
      <c r="E20" s="453" t="s">
        <v>4460</v>
      </c>
    </row>
    <row r="21" spans="1:5">
      <c r="A21" s="453">
        <v>348703375</v>
      </c>
      <c r="B21" s="453">
        <v>539669456.45543504</v>
      </c>
      <c r="D21" s="453" t="s">
        <v>4461</v>
      </c>
      <c r="E21" s="453" t="s">
        <v>4462</v>
      </c>
    </row>
    <row r="22" spans="1:5">
      <c r="A22" s="453">
        <v>348959883</v>
      </c>
      <c r="B22" s="453">
        <v>539925964.458318</v>
      </c>
      <c r="D22" s="453" t="s">
        <v>4463</v>
      </c>
      <c r="E22" s="453" t="s">
        <v>4464</v>
      </c>
    </row>
    <row r="23" spans="1:5">
      <c r="A23" s="453">
        <v>349056219</v>
      </c>
      <c r="B23" s="453">
        <v>540022300.45943296</v>
      </c>
      <c r="D23" s="453" t="s">
        <v>4465</v>
      </c>
      <c r="E23" s="453" t="s">
        <v>4466</v>
      </c>
    </row>
    <row r="24" spans="1:5">
      <c r="A24" s="453">
        <v>349142624</v>
      </c>
      <c r="B24" s="453">
        <v>540108705.46040595</v>
      </c>
      <c r="D24" s="453" t="s">
        <v>4467</v>
      </c>
      <c r="E24" s="453" t="s">
        <v>4468</v>
      </c>
    </row>
    <row r="25" spans="1:5">
      <c r="A25" s="453">
        <v>349228966</v>
      </c>
      <c r="B25" s="453">
        <v>540195047.46139205</v>
      </c>
      <c r="D25" s="453" t="s">
        <v>4469</v>
      </c>
      <c r="E25" s="453" t="s">
        <v>4470</v>
      </c>
    </row>
    <row r="26" spans="1:5">
      <c r="A26" s="453">
        <v>349275763</v>
      </c>
      <c r="B26" s="453">
        <v>540241844.46192002</v>
      </c>
      <c r="D26" s="453" t="s">
        <v>4471</v>
      </c>
      <c r="E26" s="453" t="s">
        <v>4472</v>
      </c>
    </row>
    <row r="27" spans="1:5">
      <c r="A27" s="453">
        <v>349488170</v>
      </c>
      <c r="B27" s="453">
        <v>540454251.46434104</v>
      </c>
      <c r="D27" s="453" t="s">
        <v>4473</v>
      </c>
      <c r="E27" s="453" t="s">
        <v>4474</v>
      </c>
    </row>
    <row r="28" spans="1:5">
      <c r="A28" s="453">
        <v>349506157</v>
      </c>
      <c r="B28" s="453">
        <v>540472238.46455395</v>
      </c>
      <c r="D28" s="453" t="s">
        <v>4475</v>
      </c>
      <c r="E28" s="453" t="s">
        <v>4476</v>
      </c>
    </row>
    <row r="29" spans="1:5">
      <c r="A29" s="453">
        <v>349610561</v>
      </c>
      <c r="B29" s="453">
        <v>540576642.46572006</v>
      </c>
      <c r="D29" s="453" t="s">
        <v>4477</v>
      </c>
      <c r="E29" s="453" t="s">
        <v>4478</v>
      </c>
    </row>
    <row r="30" spans="1:5">
      <c r="A30" s="453">
        <v>349707771</v>
      </c>
      <c r="B30" s="453">
        <v>540673852.46684396</v>
      </c>
      <c r="D30" s="453" t="s">
        <v>4479</v>
      </c>
      <c r="E30" s="453" t="s">
        <v>4480</v>
      </c>
    </row>
    <row r="31" spans="1:5">
      <c r="A31" s="453">
        <v>349909442</v>
      </c>
      <c r="B31" s="453">
        <v>540875523.46914601</v>
      </c>
      <c r="D31" s="453" t="s">
        <v>4481</v>
      </c>
      <c r="E31" s="453" t="s">
        <v>4482</v>
      </c>
    </row>
    <row r="32" spans="1:5">
      <c r="A32" s="453">
        <v>349995791</v>
      </c>
      <c r="B32" s="453">
        <v>540961872.47012401</v>
      </c>
      <c r="D32" s="453" t="s">
        <v>4483</v>
      </c>
      <c r="E32" s="453" t="s">
        <v>4484</v>
      </c>
    </row>
    <row r="33" spans="1:5">
      <c r="A33" s="453">
        <v>350021024</v>
      </c>
      <c r="B33" s="453">
        <v>540987105.47040701</v>
      </c>
      <c r="D33" s="453" t="s">
        <v>4485</v>
      </c>
      <c r="E33" s="453" t="s">
        <v>4486</v>
      </c>
    </row>
    <row r="34" spans="1:5">
      <c r="A34" s="453">
        <v>350312595</v>
      </c>
      <c r="B34" s="453">
        <v>541278676.47372794</v>
      </c>
      <c r="D34" s="453" t="s">
        <v>4487</v>
      </c>
      <c r="E34" s="453" t="s">
        <v>4488</v>
      </c>
    </row>
    <row r="35" spans="1:5">
      <c r="A35" s="453">
        <v>350384581</v>
      </c>
      <c r="B35" s="453">
        <v>541350662.47454</v>
      </c>
      <c r="D35" s="453" t="s">
        <v>4489</v>
      </c>
      <c r="E35" s="453" t="s">
        <v>4490</v>
      </c>
    </row>
    <row r="36" spans="1:5">
      <c r="A36" s="453">
        <v>350557387</v>
      </c>
      <c r="B36" s="453">
        <v>541523468.47650695</v>
      </c>
      <c r="D36" s="453" t="s">
        <v>4491</v>
      </c>
      <c r="E36" s="453" t="s">
        <v>4492</v>
      </c>
    </row>
    <row r="37" spans="1:5">
      <c r="A37" s="453">
        <v>350683460</v>
      </c>
      <c r="B37" s="453">
        <v>541649541.47796404</v>
      </c>
      <c r="D37" s="453" t="s">
        <v>4493</v>
      </c>
      <c r="E37" s="453" t="s">
        <v>4494</v>
      </c>
    </row>
    <row r="38" spans="1:5">
      <c r="A38" s="453">
        <v>350870608</v>
      </c>
      <c r="B38" s="453">
        <v>541836689.48008704</v>
      </c>
      <c r="D38" s="453" t="s">
        <v>4495</v>
      </c>
      <c r="E38" s="453" t="s">
        <v>4496</v>
      </c>
    </row>
    <row r="39" spans="1:5">
      <c r="A39" s="453">
        <v>350942618</v>
      </c>
      <c r="B39" s="453">
        <v>541908699.48093796</v>
      </c>
      <c r="D39" s="453" t="s">
        <v>4497</v>
      </c>
      <c r="E39" s="453" t="s">
        <v>4498</v>
      </c>
    </row>
    <row r="40" spans="1:5">
      <c r="A40" s="453">
        <v>351029023</v>
      </c>
      <c r="B40" s="453">
        <v>541995104.481884</v>
      </c>
      <c r="D40" s="453" t="s">
        <v>4499</v>
      </c>
      <c r="E40" s="453" t="s">
        <v>4500</v>
      </c>
    </row>
    <row r="41" spans="1:5">
      <c r="A41" s="453">
        <v>351115470</v>
      </c>
      <c r="B41" s="453">
        <v>542081551.48288703</v>
      </c>
      <c r="D41" s="453" t="s">
        <v>4501</v>
      </c>
      <c r="E41" s="453" t="s">
        <v>4502</v>
      </c>
    </row>
    <row r="42" spans="1:5">
      <c r="A42" s="453">
        <v>351338616</v>
      </c>
      <c r="B42" s="453">
        <v>542304697.48546302</v>
      </c>
      <c r="D42" s="453" t="s">
        <v>4503</v>
      </c>
      <c r="E42" s="453" t="s">
        <v>4504</v>
      </c>
    </row>
    <row r="43" spans="1:5">
      <c r="A43" s="453">
        <v>351475430</v>
      </c>
      <c r="B43" s="453">
        <v>542441511.48701894</v>
      </c>
      <c r="D43" s="453" t="s">
        <v>4505</v>
      </c>
      <c r="E43" s="453" t="s">
        <v>4506</v>
      </c>
    </row>
    <row r="44" spans="1:5">
      <c r="A44" s="453">
        <v>351518636</v>
      </c>
      <c r="B44" s="453">
        <v>542484717.48751795</v>
      </c>
      <c r="D44" s="453" t="s">
        <v>4507</v>
      </c>
      <c r="E44" s="453" t="s">
        <v>4508</v>
      </c>
    </row>
    <row r="45" spans="1:5">
      <c r="A45" s="453">
        <v>351601428</v>
      </c>
      <c r="B45" s="453">
        <v>542567509.488469</v>
      </c>
      <c r="D45" s="453" t="s">
        <v>4509</v>
      </c>
      <c r="E45" s="453" t="s">
        <v>4510</v>
      </c>
    </row>
    <row r="46" spans="1:5">
      <c r="A46" s="453">
        <v>351734699</v>
      </c>
      <c r="B46" s="453">
        <v>542700780.49001002</v>
      </c>
      <c r="D46" s="453" t="s">
        <v>4511</v>
      </c>
      <c r="E46" s="453" t="s">
        <v>4512</v>
      </c>
    </row>
    <row r="47" spans="1:5">
      <c r="A47" s="453">
        <v>351777849</v>
      </c>
      <c r="B47" s="453">
        <v>542743930.49049795</v>
      </c>
      <c r="D47" s="453" t="s">
        <v>4513</v>
      </c>
      <c r="E47" s="453" t="s">
        <v>4514</v>
      </c>
    </row>
    <row r="48" spans="1:5">
      <c r="A48" s="453">
        <v>351972272</v>
      </c>
      <c r="B48" s="453">
        <v>542938353.49273098</v>
      </c>
      <c r="D48" s="453" t="s">
        <v>4515</v>
      </c>
      <c r="E48" s="453" t="s">
        <v>4516</v>
      </c>
    </row>
    <row r="49" spans="1:5">
      <c r="A49" s="453">
        <v>352148701</v>
      </c>
      <c r="B49" s="453">
        <v>543114782.494766</v>
      </c>
      <c r="D49" s="453" t="s">
        <v>4517</v>
      </c>
      <c r="E49" s="453" t="s">
        <v>4518</v>
      </c>
    </row>
    <row r="50" spans="1:5">
      <c r="A50" s="453">
        <v>352242261</v>
      </c>
      <c r="B50" s="453">
        <v>543208342.49583304</v>
      </c>
      <c r="D50" s="453" t="s">
        <v>4519</v>
      </c>
      <c r="E50" s="453" t="s">
        <v>4520</v>
      </c>
    </row>
    <row r="51" spans="1:5">
      <c r="A51" s="453">
        <v>352339469</v>
      </c>
      <c r="B51" s="453">
        <v>543305550.49697304</v>
      </c>
      <c r="D51" s="453" t="s">
        <v>4521</v>
      </c>
      <c r="E51" s="453" t="s">
        <v>4522</v>
      </c>
    </row>
    <row r="52" spans="1:5">
      <c r="A52" s="453">
        <v>352379073</v>
      </c>
      <c r="B52" s="453">
        <v>543345154.49742401</v>
      </c>
      <c r="D52" s="453" t="s">
        <v>4523</v>
      </c>
      <c r="E52" s="453" t="s">
        <v>4524</v>
      </c>
    </row>
    <row r="53" spans="1:5">
      <c r="A53" s="453">
        <v>352566289</v>
      </c>
      <c r="B53" s="453">
        <v>543532370.49956298</v>
      </c>
      <c r="D53" s="453" t="s">
        <v>4525</v>
      </c>
      <c r="E53" s="453" t="s">
        <v>4526</v>
      </c>
    </row>
    <row r="54" spans="1:5">
      <c r="A54" s="453">
        <v>352638286</v>
      </c>
      <c r="B54" s="453">
        <v>543604367.50041902</v>
      </c>
      <c r="D54" s="453" t="s">
        <v>4527</v>
      </c>
      <c r="E54" s="453" t="s">
        <v>4528</v>
      </c>
    </row>
    <row r="55" spans="1:5">
      <c r="A55" s="453">
        <v>352854308</v>
      </c>
      <c r="B55" s="453">
        <v>543820389.50290406</v>
      </c>
      <c r="D55" s="453" t="s">
        <v>4529</v>
      </c>
      <c r="E55" s="453" t="s">
        <v>4530</v>
      </c>
    </row>
    <row r="56" spans="1:5">
      <c r="A56" s="453">
        <v>353009109</v>
      </c>
      <c r="B56" s="453">
        <v>543975190.50470996</v>
      </c>
      <c r="D56" s="453" t="s">
        <v>4531</v>
      </c>
      <c r="E56" s="453" t="s">
        <v>4532</v>
      </c>
    </row>
    <row r="57" spans="1:5">
      <c r="A57" s="453">
        <v>353174705</v>
      </c>
      <c r="B57" s="453">
        <v>544140786.50660396</v>
      </c>
      <c r="D57" s="453" t="s">
        <v>4533</v>
      </c>
      <c r="E57" s="453" t="s">
        <v>4534</v>
      </c>
    </row>
    <row r="58" spans="1:5">
      <c r="A58" s="453">
        <v>353318723</v>
      </c>
      <c r="B58" s="453">
        <v>544284804.50827098</v>
      </c>
      <c r="D58" s="453" t="s">
        <v>4535</v>
      </c>
      <c r="E58" s="453" t="s">
        <v>4536</v>
      </c>
    </row>
    <row r="59" spans="1:5">
      <c r="A59" s="453">
        <v>353441135</v>
      </c>
      <c r="B59" s="453">
        <v>544407216.50971401</v>
      </c>
      <c r="D59" s="453" t="s">
        <v>4537</v>
      </c>
      <c r="E59" s="453" t="s">
        <v>4538</v>
      </c>
    </row>
    <row r="60" spans="1:5">
      <c r="A60" s="453">
        <v>353545529</v>
      </c>
      <c r="B60" s="453">
        <v>544511610.51091099</v>
      </c>
      <c r="D60" s="453" t="s">
        <v>4539</v>
      </c>
      <c r="E60" s="453" t="s">
        <v>4540</v>
      </c>
    </row>
    <row r="61" spans="1:5">
      <c r="A61" s="453">
        <v>353592344</v>
      </c>
      <c r="B61" s="453">
        <v>544558425.51143098</v>
      </c>
      <c r="D61" s="453" t="s">
        <v>4541</v>
      </c>
      <c r="E61" s="453" t="s">
        <v>4542</v>
      </c>
    </row>
    <row r="62" spans="1:5">
      <c r="A62" s="453">
        <v>367449320</v>
      </c>
      <c r="B62" s="453">
        <v>558415401.67506397</v>
      </c>
      <c r="D62" s="453" t="s">
        <v>4543</v>
      </c>
      <c r="E62" s="453" t="s">
        <v>4544</v>
      </c>
    </row>
    <row r="63" spans="1:5">
      <c r="A63" s="453">
        <v>367485357</v>
      </c>
      <c r="B63" s="453">
        <v>558451438.67549503</v>
      </c>
      <c r="D63" s="453" t="s">
        <v>4545</v>
      </c>
      <c r="E63" s="453" t="s">
        <v>4546</v>
      </c>
    </row>
    <row r="64" spans="1:5">
      <c r="A64" s="453">
        <v>367617536</v>
      </c>
      <c r="B64" s="453">
        <v>558583617.67714906</v>
      </c>
      <c r="D64" s="453" t="s">
        <v>4547</v>
      </c>
      <c r="E64" s="453" t="s">
        <v>4548</v>
      </c>
    </row>
    <row r="65" spans="1:5">
      <c r="A65" s="453">
        <v>367685926</v>
      </c>
      <c r="B65" s="453">
        <v>558652007.67796099</v>
      </c>
      <c r="D65" s="453" t="s">
        <v>4549</v>
      </c>
      <c r="E65" s="453" t="s">
        <v>4550</v>
      </c>
    </row>
    <row r="66" spans="1:5">
      <c r="A66" s="453">
        <v>367801101</v>
      </c>
      <c r="B66" s="453">
        <v>558767182.67929399</v>
      </c>
      <c r="D66" s="453" t="s">
        <v>4551</v>
      </c>
      <c r="E66" s="453" t="s">
        <v>4552</v>
      </c>
    </row>
    <row r="67" spans="1:5">
      <c r="A67" s="453">
        <v>367887462</v>
      </c>
      <c r="B67" s="453">
        <v>558853543.68031204</v>
      </c>
      <c r="D67" s="453" t="s">
        <v>4553</v>
      </c>
      <c r="E67" s="453" t="s">
        <v>4554</v>
      </c>
    </row>
    <row r="68" spans="1:5">
      <c r="A68" s="453">
        <v>367941432</v>
      </c>
      <c r="B68" s="453">
        <v>558907513.68094802</v>
      </c>
      <c r="D68" s="453" t="s">
        <v>4555</v>
      </c>
      <c r="E68" s="453" t="s">
        <v>4556</v>
      </c>
    </row>
    <row r="69" spans="1:5">
      <c r="A69" s="453">
        <v>368031453</v>
      </c>
      <c r="B69" s="453">
        <v>558997534.68199301</v>
      </c>
      <c r="D69" s="453" t="s">
        <v>4557</v>
      </c>
      <c r="E69" s="453" t="s">
        <v>4558</v>
      </c>
    </row>
    <row r="70" spans="1:5">
      <c r="A70" s="453">
        <v>368204229</v>
      </c>
      <c r="B70" s="453">
        <v>559170310.684008</v>
      </c>
      <c r="D70" s="453" t="s">
        <v>4559</v>
      </c>
      <c r="E70" s="453" t="s">
        <v>4560</v>
      </c>
    </row>
    <row r="71" spans="1:5">
      <c r="A71" s="453">
        <v>368398602</v>
      </c>
      <c r="B71" s="453">
        <v>559364683.68624604</v>
      </c>
      <c r="D71" s="453" t="s">
        <v>4561</v>
      </c>
      <c r="E71" s="453" t="s">
        <v>4562</v>
      </c>
    </row>
    <row r="72" spans="1:5">
      <c r="A72" s="453">
        <v>368582157</v>
      </c>
      <c r="B72" s="453">
        <v>559548238.68836904</v>
      </c>
      <c r="D72" s="453" t="s">
        <v>4563</v>
      </c>
      <c r="E72" s="453" t="s">
        <v>4564</v>
      </c>
    </row>
    <row r="73" spans="1:5">
      <c r="A73" s="453">
        <v>368657795</v>
      </c>
      <c r="B73" s="453">
        <v>559623876.68929398</v>
      </c>
      <c r="D73" s="453" t="s">
        <v>4565</v>
      </c>
      <c r="E73" s="453" t="s">
        <v>4566</v>
      </c>
    </row>
    <row r="74" spans="1:5">
      <c r="A74" s="453">
        <v>368722539</v>
      </c>
      <c r="B74" s="453">
        <v>559688620.69004405</v>
      </c>
      <c r="D74" s="453" t="s">
        <v>4567</v>
      </c>
      <c r="E74" s="453" t="s">
        <v>4568</v>
      </c>
    </row>
    <row r="75" spans="1:5">
      <c r="A75" s="453">
        <v>369100480</v>
      </c>
      <c r="B75" s="453">
        <v>560066561.69440103</v>
      </c>
      <c r="D75" s="453" t="s">
        <v>4569</v>
      </c>
      <c r="E75" s="453" t="s">
        <v>4570</v>
      </c>
    </row>
    <row r="76" spans="1:5">
      <c r="A76" s="453">
        <v>369150863</v>
      </c>
      <c r="B76" s="453">
        <v>560116944.695014</v>
      </c>
      <c r="D76" s="453" t="s">
        <v>4571</v>
      </c>
      <c r="E76" s="453" t="s">
        <v>4572</v>
      </c>
    </row>
    <row r="77" spans="1:5">
      <c r="A77" s="453">
        <v>369266056</v>
      </c>
      <c r="B77" s="453">
        <v>560232137.69634199</v>
      </c>
      <c r="D77" s="453" t="s">
        <v>4573</v>
      </c>
      <c r="E77" s="453" t="s">
        <v>4574</v>
      </c>
    </row>
    <row r="78" spans="1:5">
      <c r="A78" s="453">
        <v>369359662</v>
      </c>
      <c r="B78" s="453">
        <v>560325743.69740403</v>
      </c>
      <c r="D78" s="453" t="s">
        <v>4575</v>
      </c>
      <c r="E78" s="453" t="s">
        <v>4576</v>
      </c>
    </row>
    <row r="79" spans="1:5">
      <c r="A79" s="453">
        <v>369431672</v>
      </c>
      <c r="B79" s="453">
        <v>560397753.69825006</v>
      </c>
      <c r="D79" s="453" t="s">
        <v>4577</v>
      </c>
      <c r="E79" s="453" t="s">
        <v>4578</v>
      </c>
    </row>
    <row r="80" spans="1:5">
      <c r="A80" s="453">
        <v>369518034</v>
      </c>
      <c r="B80" s="453">
        <v>560484115.69923902</v>
      </c>
      <c r="D80" s="453" t="s">
        <v>4579</v>
      </c>
      <c r="E80" s="453" t="s">
        <v>4580</v>
      </c>
    </row>
    <row r="81" spans="1:5">
      <c r="A81" s="453">
        <v>369611616</v>
      </c>
      <c r="B81" s="453">
        <v>560577697.70033801</v>
      </c>
      <c r="D81" s="453" t="s">
        <v>4581</v>
      </c>
      <c r="E81" s="453" t="s">
        <v>4582</v>
      </c>
    </row>
    <row r="82" spans="1:5">
      <c r="A82" s="453">
        <v>369698000</v>
      </c>
      <c r="B82" s="453">
        <v>560664081.70133698</v>
      </c>
      <c r="D82" s="453" t="s">
        <v>4583</v>
      </c>
      <c r="E82" s="453" t="s">
        <v>4584</v>
      </c>
    </row>
    <row r="83" spans="1:5">
      <c r="A83" s="453">
        <v>369784388</v>
      </c>
      <c r="B83" s="453">
        <v>560750469.70234704</v>
      </c>
      <c r="D83" s="453" t="s">
        <v>4585</v>
      </c>
      <c r="E83" s="453" t="s">
        <v>4586</v>
      </c>
    </row>
    <row r="84" spans="1:5">
      <c r="A84" s="453">
        <v>369870780</v>
      </c>
      <c r="B84" s="453">
        <v>560836861.70334303</v>
      </c>
      <c r="D84" s="453" t="s">
        <v>4587</v>
      </c>
      <c r="E84" s="453" t="s">
        <v>4588</v>
      </c>
    </row>
    <row r="85" spans="1:5">
      <c r="A85" s="453">
        <v>369957165</v>
      </c>
      <c r="B85" s="453">
        <v>560923246.70433295</v>
      </c>
      <c r="D85" s="453" t="s">
        <v>4589</v>
      </c>
      <c r="E85" s="453" t="s">
        <v>4590</v>
      </c>
    </row>
    <row r="86" spans="1:5">
      <c r="A86" s="453">
        <v>370043550</v>
      </c>
      <c r="B86" s="453">
        <v>561009631.70532894</v>
      </c>
      <c r="D86" s="453" t="s">
        <v>4591</v>
      </c>
      <c r="E86" s="453" t="s">
        <v>4592</v>
      </c>
    </row>
    <row r="87" spans="1:5">
      <c r="A87" s="453">
        <v>370129942</v>
      </c>
      <c r="B87" s="453">
        <v>561096023.70632899</v>
      </c>
      <c r="D87" s="453" t="s">
        <v>4593</v>
      </c>
      <c r="E87" s="453" t="s">
        <v>4594</v>
      </c>
    </row>
    <row r="88" spans="1:5">
      <c r="A88" s="453">
        <v>370212719</v>
      </c>
      <c r="B88" s="453">
        <v>561178800.70728302</v>
      </c>
      <c r="D88" s="453" t="s">
        <v>4595</v>
      </c>
      <c r="E88" s="453" t="s">
        <v>4596</v>
      </c>
    </row>
    <row r="89" spans="1:5">
      <c r="A89" s="453">
        <v>370311002</v>
      </c>
      <c r="B89" s="453">
        <v>561277083.70838404</v>
      </c>
      <c r="D89" s="453" t="s">
        <v>4597</v>
      </c>
      <c r="E89" s="453" t="s">
        <v>4598</v>
      </c>
    </row>
    <row r="90" spans="1:5">
      <c r="A90" s="453">
        <v>370385494</v>
      </c>
      <c r="B90" s="453">
        <v>561351575.70926094</v>
      </c>
      <c r="D90" s="453" t="s">
        <v>4599</v>
      </c>
      <c r="E90" s="453" t="s">
        <v>4600</v>
      </c>
    </row>
    <row r="91" spans="1:5">
      <c r="A91" s="453">
        <v>370471885</v>
      </c>
      <c r="B91" s="453">
        <v>561437966.71026504</v>
      </c>
      <c r="D91" s="453" t="s">
        <v>4601</v>
      </c>
      <c r="E91" s="453" t="s">
        <v>4602</v>
      </c>
    </row>
    <row r="92" spans="1:5">
      <c r="A92" s="453">
        <v>370558271</v>
      </c>
      <c r="B92" s="453">
        <v>561524352.71125901</v>
      </c>
      <c r="D92" s="453" t="s">
        <v>4603</v>
      </c>
      <c r="E92" s="453" t="s">
        <v>4604</v>
      </c>
    </row>
    <row r="93" spans="1:5">
      <c r="A93" s="453">
        <v>370657140</v>
      </c>
      <c r="B93" s="453">
        <v>561623221.71238196</v>
      </c>
      <c r="D93" s="453" t="s">
        <v>4605</v>
      </c>
      <c r="E93" s="453" t="s">
        <v>4606</v>
      </c>
    </row>
    <row r="94" spans="1:5">
      <c r="A94" s="453">
        <v>370731093</v>
      </c>
      <c r="B94" s="453">
        <v>561697174.71324503</v>
      </c>
      <c r="D94" s="453" t="s">
        <v>4607</v>
      </c>
      <c r="E94" s="453" t="s">
        <v>4608</v>
      </c>
    </row>
    <row r="95" spans="1:5">
      <c r="A95" s="453">
        <v>370829735</v>
      </c>
      <c r="B95" s="453">
        <v>561795816.71435106</v>
      </c>
      <c r="D95" s="453" t="s">
        <v>4609</v>
      </c>
      <c r="E95" s="453" t="s">
        <v>4610</v>
      </c>
    </row>
    <row r="96" spans="1:5">
      <c r="A96" s="453">
        <v>370903827</v>
      </c>
      <c r="B96" s="453">
        <v>561869908.71522295</v>
      </c>
      <c r="D96" s="453" t="s">
        <v>4611</v>
      </c>
      <c r="E96" s="453" t="s">
        <v>4612</v>
      </c>
    </row>
    <row r="97" spans="1:5">
      <c r="A97" s="453">
        <v>371001003</v>
      </c>
      <c r="B97" s="453">
        <v>561967084.71631205</v>
      </c>
      <c r="D97" s="453" t="s">
        <v>4613</v>
      </c>
      <c r="E97" s="453" t="s">
        <v>4614</v>
      </c>
    </row>
    <row r="98" spans="1:5">
      <c r="A98" s="453">
        <v>371076601</v>
      </c>
      <c r="B98" s="453">
        <v>562042682.71721005</v>
      </c>
      <c r="D98" s="453" t="s">
        <v>4615</v>
      </c>
      <c r="E98" s="453" t="s">
        <v>4616</v>
      </c>
    </row>
    <row r="99" spans="1:5">
      <c r="A99" s="453">
        <v>371162990</v>
      </c>
      <c r="B99" s="453">
        <v>562129071.718189</v>
      </c>
      <c r="D99" s="453" t="s">
        <v>4617</v>
      </c>
      <c r="E99" s="453" t="s">
        <v>4618</v>
      </c>
    </row>
    <row r="100" spans="1:5">
      <c r="A100" s="453">
        <v>371249376</v>
      </c>
      <c r="B100" s="453">
        <v>562215457.71918905</v>
      </c>
      <c r="D100" s="453" t="s">
        <v>4619</v>
      </c>
      <c r="E100" s="453" t="s">
        <v>4620</v>
      </c>
    </row>
    <row r="101" spans="1:5">
      <c r="A101" s="453">
        <v>371335766</v>
      </c>
      <c r="B101" s="453">
        <v>562301847.72016394</v>
      </c>
      <c r="D101" s="453" t="s">
        <v>4621</v>
      </c>
      <c r="E101" s="453" t="s">
        <v>4622</v>
      </c>
    </row>
    <row r="102" spans="1:5">
      <c r="A102" s="453">
        <v>371411340</v>
      </c>
      <c r="B102" s="453">
        <v>562377421.72102702</v>
      </c>
      <c r="D102" s="453" t="s">
        <v>4623</v>
      </c>
      <c r="E102" s="453" t="s">
        <v>4624</v>
      </c>
    </row>
    <row r="103" spans="1:5">
      <c r="A103" s="453">
        <v>371504933</v>
      </c>
      <c r="B103" s="453">
        <v>562471014.72211397</v>
      </c>
      <c r="D103" s="453" t="s">
        <v>4625</v>
      </c>
      <c r="E103" s="453" t="s">
        <v>4626</v>
      </c>
    </row>
    <row r="104" spans="1:5">
      <c r="A104" s="453">
        <v>371591326</v>
      </c>
      <c r="B104" s="453">
        <v>562557407.72309899</v>
      </c>
      <c r="D104" s="453" t="s">
        <v>4627</v>
      </c>
      <c r="E104" s="453" t="s">
        <v>4628</v>
      </c>
    </row>
    <row r="105" spans="1:5">
      <c r="A105" s="453">
        <v>371670568</v>
      </c>
      <c r="B105" s="453">
        <v>562636649.72399604</v>
      </c>
      <c r="D105" s="453" t="s">
        <v>4629</v>
      </c>
      <c r="E105" s="453" t="s">
        <v>4630</v>
      </c>
    </row>
    <row r="106" spans="1:5">
      <c r="A106" s="453">
        <v>371864895</v>
      </c>
      <c r="B106" s="453">
        <v>562830976.726192</v>
      </c>
      <c r="D106" s="453" t="s">
        <v>4631</v>
      </c>
      <c r="E106" s="453" t="s">
        <v>4632</v>
      </c>
    </row>
    <row r="107" spans="1:5">
      <c r="A107" s="453">
        <v>371879310</v>
      </c>
      <c r="B107" s="453">
        <v>562845391.72638702</v>
      </c>
      <c r="D107" s="453" t="s">
        <v>4633</v>
      </c>
      <c r="E107" s="453" t="s">
        <v>4634</v>
      </c>
    </row>
    <row r="108" spans="1:5">
      <c r="A108" s="453">
        <v>372109660</v>
      </c>
      <c r="B108" s="453">
        <v>563075741.72900498</v>
      </c>
      <c r="D108" s="453" t="s">
        <v>4635</v>
      </c>
      <c r="E108" s="453" t="s">
        <v>4636</v>
      </c>
    </row>
    <row r="109" spans="1:5">
      <c r="A109" s="453">
        <v>372138440</v>
      </c>
      <c r="B109" s="453">
        <v>563104521.72934401</v>
      </c>
      <c r="D109" s="453" t="s">
        <v>4637</v>
      </c>
      <c r="E109" s="453" t="s">
        <v>4638</v>
      </c>
    </row>
    <row r="110" spans="1:5">
      <c r="A110" s="453">
        <v>372282433</v>
      </c>
      <c r="B110" s="453">
        <v>563248514.73098803</v>
      </c>
      <c r="D110" s="453" t="s">
        <v>4639</v>
      </c>
      <c r="E110" s="453" t="s">
        <v>4640</v>
      </c>
    </row>
    <row r="111" spans="1:5">
      <c r="A111" s="453">
        <v>372368822</v>
      </c>
      <c r="B111" s="453">
        <v>563334903.731969</v>
      </c>
      <c r="D111" s="453" t="s">
        <v>4641</v>
      </c>
      <c r="E111" s="453" t="s">
        <v>4642</v>
      </c>
    </row>
    <row r="112" spans="1:5">
      <c r="A112" s="453">
        <v>372469598</v>
      </c>
      <c r="B112" s="453">
        <v>563435679.73310494</v>
      </c>
      <c r="D112" s="453" t="s">
        <v>4643</v>
      </c>
      <c r="E112" s="453" t="s">
        <v>4644</v>
      </c>
    </row>
    <row r="113" spans="1:5">
      <c r="A113" s="453">
        <v>372541600</v>
      </c>
      <c r="B113" s="453">
        <v>563507681.73394001</v>
      </c>
      <c r="D113" s="453" t="s">
        <v>4645</v>
      </c>
      <c r="E113" s="453" t="s">
        <v>4646</v>
      </c>
    </row>
    <row r="114" spans="1:5">
      <c r="A114" s="453">
        <v>372656770</v>
      </c>
      <c r="B114" s="453">
        <v>563622851.73524702</v>
      </c>
      <c r="D114" s="453" t="s">
        <v>4647</v>
      </c>
      <c r="E114" s="453" t="s">
        <v>4648</v>
      </c>
    </row>
    <row r="115" spans="1:5">
      <c r="A115" s="453">
        <v>372797164</v>
      </c>
      <c r="B115" s="453">
        <v>563763245.736835</v>
      </c>
      <c r="D115" s="453" t="s">
        <v>4649</v>
      </c>
      <c r="E115" s="453" t="s">
        <v>4650</v>
      </c>
    </row>
    <row r="116" spans="1:5">
      <c r="A116" s="453">
        <v>372883548</v>
      </c>
      <c r="B116" s="453">
        <v>563849629.73782396</v>
      </c>
      <c r="D116" s="453" t="s">
        <v>4651</v>
      </c>
      <c r="E116" s="453" t="s">
        <v>4652</v>
      </c>
    </row>
    <row r="117" spans="1:5">
      <c r="A117" s="453">
        <v>372987934</v>
      </c>
      <c r="B117" s="453">
        <v>563954015.73900402</v>
      </c>
      <c r="D117" s="453" t="s">
        <v>4653</v>
      </c>
      <c r="E117" s="453" t="s">
        <v>4654</v>
      </c>
    </row>
    <row r="118" spans="1:5">
      <c r="A118" s="453">
        <v>373056325</v>
      </c>
      <c r="B118" s="453">
        <v>564022406.739779</v>
      </c>
      <c r="D118" s="453" t="s">
        <v>4655</v>
      </c>
      <c r="E118" s="453" t="s">
        <v>4656</v>
      </c>
    </row>
    <row r="119" spans="1:5">
      <c r="A119" s="453">
        <v>373085108</v>
      </c>
      <c r="B119" s="453">
        <v>564051189.74010396</v>
      </c>
      <c r="D119" s="453" t="s">
        <v>4657</v>
      </c>
      <c r="E119" s="453" t="s">
        <v>4658</v>
      </c>
    </row>
    <row r="120" spans="1:5">
      <c r="A120" s="453">
        <v>373225501</v>
      </c>
      <c r="B120" s="453">
        <v>564191582.74170005</v>
      </c>
      <c r="D120" s="453" t="s">
        <v>4659</v>
      </c>
      <c r="E120" s="453" t="s">
        <v>4660</v>
      </c>
    </row>
    <row r="121" spans="1:5">
      <c r="A121" s="453">
        <v>373333490</v>
      </c>
      <c r="B121" s="453">
        <v>564299571.74291801</v>
      </c>
      <c r="D121" s="453" t="s">
        <v>4661</v>
      </c>
      <c r="E121" s="453" t="s">
        <v>4662</v>
      </c>
    </row>
    <row r="122" spans="1:5">
      <c r="A122" s="453">
        <v>373401889</v>
      </c>
      <c r="B122" s="453">
        <v>564367970.74369395</v>
      </c>
      <c r="D122" s="453" t="s">
        <v>4663</v>
      </c>
      <c r="E122" s="453" t="s">
        <v>4664</v>
      </c>
    </row>
    <row r="123" spans="1:5">
      <c r="A123" s="453">
        <v>373488282</v>
      </c>
      <c r="B123" s="453">
        <v>564454363.74468899</v>
      </c>
      <c r="D123" s="453" t="s">
        <v>4665</v>
      </c>
      <c r="E123" s="453" t="s">
        <v>4666</v>
      </c>
    </row>
    <row r="124" spans="1:5">
      <c r="A124" s="453">
        <v>373593639</v>
      </c>
      <c r="B124" s="453">
        <v>564559720.74586499</v>
      </c>
      <c r="D124" s="453" t="s">
        <v>4667</v>
      </c>
      <c r="E124" s="453" t="s">
        <v>4668</v>
      </c>
    </row>
    <row r="125" spans="1:5">
      <c r="A125" s="453">
        <v>373661061</v>
      </c>
      <c r="B125" s="453">
        <v>564627142.74662995</v>
      </c>
      <c r="D125" s="453" t="s">
        <v>4669</v>
      </c>
      <c r="E125" s="453" t="s">
        <v>4670</v>
      </c>
    </row>
    <row r="126" spans="1:5">
      <c r="A126" s="453">
        <v>373689841</v>
      </c>
      <c r="B126" s="453">
        <v>564655922.74695802</v>
      </c>
      <c r="D126" s="453" t="s">
        <v>4671</v>
      </c>
      <c r="E126" s="453" t="s">
        <v>4672</v>
      </c>
    </row>
    <row r="127" spans="1:5">
      <c r="A127" s="453">
        <v>373938221</v>
      </c>
      <c r="B127" s="453">
        <v>564904302.74976504</v>
      </c>
      <c r="D127" s="453" t="s">
        <v>4673</v>
      </c>
      <c r="E127" s="453" t="s">
        <v>4674</v>
      </c>
    </row>
    <row r="128" spans="1:5">
      <c r="A128" s="453">
        <v>374003023</v>
      </c>
      <c r="B128" s="453">
        <v>564969104.750494</v>
      </c>
      <c r="D128" s="453" t="s">
        <v>4675</v>
      </c>
      <c r="E128" s="453" t="s">
        <v>4676</v>
      </c>
    </row>
    <row r="129" spans="1:5">
      <c r="A129" s="453">
        <v>374168592</v>
      </c>
      <c r="B129" s="453">
        <v>565134673.75236797</v>
      </c>
      <c r="D129" s="453" t="s">
        <v>4677</v>
      </c>
      <c r="E129" s="453" t="s">
        <v>4678</v>
      </c>
    </row>
    <row r="130" spans="1:5">
      <c r="A130" s="453">
        <v>374284705</v>
      </c>
      <c r="B130" s="453">
        <v>565250786.753685</v>
      </c>
      <c r="D130" s="453" t="s">
        <v>4679</v>
      </c>
      <c r="E130" s="453" t="s">
        <v>4680</v>
      </c>
    </row>
    <row r="131" spans="1:5">
      <c r="A131" s="453">
        <v>374370172</v>
      </c>
      <c r="B131" s="453">
        <v>565336253.75464296</v>
      </c>
      <c r="D131" s="453" t="s">
        <v>4681</v>
      </c>
      <c r="E131" s="453" t="s">
        <v>4682</v>
      </c>
    </row>
    <row r="132" spans="1:5">
      <c r="A132" s="453">
        <v>374434978</v>
      </c>
      <c r="B132" s="453">
        <v>565401059.75538504</v>
      </c>
      <c r="D132" s="453" t="s">
        <v>4683</v>
      </c>
      <c r="E132" s="453" t="s">
        <v>4684</v>
      </c>
    </row>
    <row r="133" spans="1:5">
      <c r="A133" s="453">
        <v>374542954</v>
      </c>
      <c r="B133" s="453">
        <v>565509035.75659001</v>
      </c>
      <c r="D133" s="453" t="s">
        <v>4685</v>
      </c>
      <c r="E133" s="453" t="s">
        <v>4686</v>
      </c>
    </row>
    <row r="134" spans="1:5">
      <c r="A134" s="453">
        <v>374546538</v>
      </c>
      <c r="B134" s="453">
        <v>565512619.75664103</v>
      </c>
      <c r="D134" s="453" t="s">
        <v>4687</v>
      </c>
      <c r="E134" s="453" t="s">
        <v>4688</v>
      </c>
    </row>
    <row r="135" spans="1:5">
      <c r="A135" s="453">
        <v>374694149</v>
      </c>
      <c r="B135" s="453">
        <v>565660230.75830805</v>
      </c>
      <c r="D135" s="453" t="s">
        <v>4689</v>
      </c>
      <c r="E135" s="453" t="s">
        <v>4690</v>
      </c>
    </row>
    <row r="136" spans="1:5">
      <c r="A136" s="453">
        <v>374780572</v>
      </c>
      <c r="B136" s="453">
        <v>565746653.75928605</v>
      </c>
      <c r="D136" s="453" t="s">
        <v>4691</v>
      </c>
      <c r="E136" s="453" t="s">
        <v>4692</v>
      </c>
    </row>
    <row r="137" spans="1:5">
      <c r="A137" s="453">
        <v>374974931</v>
      </c>
      <c r="B137" s="453">
        <v>565941012.76160097</v>
      </c>
      <c r="D137" s="453" t="s">
        <v>4693</v>
      </c>
      <c r="E137" s="453" t="s">
        <v>4694</v>
      </c>
    </row>
    <row r="138" spans="1:5">
      <c r="A138" s="453">
        <v>375050524</v>
      </c>
      <c r="B138" s="453">
        <v>566016605.76243699</v>
      </c>
      <c r="D138" s="453" t="s">
        <v>4695</v>
      </c>
      <c r="E138" s="453" t="s">
        <v>4696</v>
      </c>
    </row>
    <row r="139" spans="1:5">
      <c r="A139" s="453">
        <v>375147744</v>
      </c>
      <c r="B139" s="453">
        <v>566113825.76355803</v>
      </c>
      <c r="D139" s="453" t="s">
        <v>4697</v>
      </c>
      <c r="E139" s="453" t="s">
        <v>4698</v>
      </c>
    </row>
    <row r="140" spans="1:5">
      <c r="A140" s="453">
        <v>375234093</v>
      </c>
      <c r="B140" s="453">
        <v>566200174.76452398</v>
      </c>
      <c r="D140" s="453" t="s">
        <v>4699</v>
      </c>
      <c r="E140" s="453" t="s">
        <v>4700</v>
      </c>
    </row>
    <row r="141" spans="1:5">
      <c r="A141" s="453">
        <v>375295292</v>
      </c>
      <c r="B141" s="453">
        <v>566261373.76520503</v>
      </c>
      <c r="D141" s="453" t="s">
        <v>4701</v>
      </c>
      <c r="E141" s="453" t="s">
        <v>4702</v>
      </c>
    </row>
    <row r="142" spans="1:5">
      <c r="A142" s="453">
        <v>375381683</v>
      </c>
      <c r="B142" s="453">
        <v>566347764.76618803</v>
      </c>
      <c r="D142" s="453" t="s">
        <v>4703</v>
      </c>
      <c r="E142" s="453" t="s">
        <v>4704</v>
      </c>
    </row>
    <row r="143" spans="1:5">
      <c r="A143" s="453">
        <v>375493442</v>
      </c>
      <c r="B143" s="453">
        <v>566459523.76745796</v>
      </c>
      <c r="D143" s="453" t="s">
        <v>4705</v>
      </c>
      <c r="E143" s="453" t="s">
        <v>4706</v>
      </c>
    </row>
    <row r="144" spans="1:5">
      <c r="A144" s="453">
        <v>375543654</v>
      </c>
      <c r="B144" s="453">
        <v>566509735.76800001</v>
      </c>
      <c r="D144" s="453" t="s">
        <v>4707</v>
      </c>
      <c r="E144" s="453" t="s">
        <v>4708</v>
      </c>
    </row>
    <row r="145" spans="1:5">
      <c r="A145" s="453">
        <v>375640860</v>
      </c>
      <c r="B145" s="453">
        <v>566606941.76909995</v>
      </c>
      <c r="D145" s="453" t="s">
        <v>4709</v>
      </c>
      <c r="E145" s="453" t="s">
        <v>4710</v>
      </c>
    </row>
    <row r="146" spans="1:5">
      <c r="A146" s="453">
        <v>375752454</v>
      </c>
      <c r="B146" s="453">
        <v>566718535.77035797</v>
      </c>
      <c r="D146" s="453" t="s">
        <v>4711</v>
      </c>
      <c r="E146" s="453" t="s">
        <v>4712</v>
      </c>
    </row>
    <row r="147" spans="1:5">
      <c r="A147" s="453">
        <v>375838841</v>
      </c>
      <c r="B147" s="453">
        <v>566804922.77132499</v>
      </c>
      <c r="D147" s="453" t="s">
        <v>4713</v>
      </c>
      <c r="E147" s="453" t="s">
        <v>4714</v>
      </c>
    </row>
    <row r="148" spans="1:5">
      <c r="A148" s="453">
        <v>375925235</v>
      </c>
      <c r="B148" s="453">
        <v>566891316.77229404</v>
      </c>
      <c r="D148" s="453" t="s">
        <v>4715</v>
      </c>
      <c r="E148" s="453" t="s">
        <v>4716</v>
      </c>
    </row>
    <row r="149" spans="1:5">
      <c r="A149" s="453">
        <v>375968458</v>
      </c>
      <c r="B149" s="453">
        <v>566934539.77275002</v>
      </c>
      <c r="D149" s="453" t="s">
        <v>4717</v>
      </c>
      <c r="E149" s="453" t="s">
        <v>4718</v>
      </c>
    </row>
    <row r="150" spans="1:5">
      <c r="A150" s="453">
        <v>390520899</v>
      </c>
      <c r="B150" s="453">
        <v>581486980.93885398</v>
      </c>
      <c r="D150" s="453" t="s">
        <v>4719</v>
      </c>
      <c r="E150" s="453" t="s">
        <v>4720</v>
      </c>
    </row>
    <row r="151" spans="1:5">
      <c r="A151" s="453">
        <v>390584687</v>
      </c>
      <c r="B151" s="453">
        <v>581550768.94009304</v>
      </c>
      <c r="D151" s="453" t="s">
        <v>4721</v>
      </c>
      <c r="E151" s="453" t="s">
        <v>4722</v>
      </c>
    </row>
    <row r="152" spans="1:5">
      <c r="A152" s="453">
        <v>390656682</v>
      </c>
      <c r="B152" s="453">
        <v>581622763.94094598</v>
      </c>
      <c r="D152" s="453" t="s">
        <v>4723</v>
      </c>
      <c r="E152" s="453" t="s">
        <v>4724</v>
      </c>
    </row>
    <row r="153" spans="1:5">
      <c r="A153" s="453">
        <v>390764660</v>
      </c>
      <c r="B153" s="453">
        <v>581730741.94220996</v>
      </c>
      <c r="D153" s="453" t="s">
        <v>4725</v>
      </c>
      <c r="E153" s="453" t="s">
        <v>4726</v>
      </c>
    </row>
    <row r="154" spans="1:5">
      <c r="A154" s="453">
        <v>390865466</v>
      </c>
      <c r="B154" s="453">
        <v>581831547.94341505</v>
      </c>
      <c r="D154" s="453" t="s">
        <v>4727</v>
      </c>
      <c r="E154" s="453" t="s">
        <v>4728</v>
      </c>
    </row>
    <row r="155" spans="1:5">
      <c r="A155" s="453">
        <v>390951865</v>
      </c>
      <c r="B155" s="453">
        <v>581917946.94443703</v>
      </c>
      <c r="D155" s="453" t="s">
        <v>4729</v>
      </c>
      <c r="E155" s="453" t="s">
        <v>4730</v>
      </c>
    </row>
    <row r="156" spans="1:5">
      <c r="A156" s="453">
        <v>391028004</v>
      </c>
      <c r="B156" s="453">
        <v>581994085.94534194</v>
      </c>
      <c r="D156" s="453" t="s">
        <v>4731</v>
      </c>
      <c r="E156" s="453" t="s">
        <v>4732</v>
      </c>
    </row>
    <row r="157" spans="1:5">
      <c r="A157" s="453">
        <v>391085035</v>
      </c>
      <c r="B157" s="453">
        <v>582051116.94599295</v>
      </c>
      <c r="D157" s="453" t="s">
        <v>4733</v>
      </c>
      <c r="E157" s="453" t="s">
        <v>4734</v>
      </c>
    </row>
    <row r="158" spans="1:5">
      <c r="A158" s="453">
        <v>391211066</v>
      </c>
      <c r="B158" s="453">
        <v>582177147.94750595</v>
      </c>
      <c r="D158" s="453" t="s">
        <v>4735</v>
      </c>
      <c r="E158" s="453" t="s">
        <v>4736</v>
      </c>
    </row>
    <row r="159" spans="1:5">
      <c r="A159" s="453">
        <v>391304780</v>
      </c>
      <c r="B159" s="453">
        <v>582270861.94856501</v>
      </c>
      <c r="D159" s="453" t="s">
        <v>4737</v>
      </c>
      <c r="E159" s="453" t="s">
        <v>4738</v>
      </c>
    </row>
    <row r="160" spans="1:5">
      <c r="A160" s="453">
        <v>391380245</v>
      </c>
      <c r="B160" s="453">
        <v>582346326.94949698</v>
      </c>
      <c r="D160" s="453" t="s">
        <v>4739</v>
      </c>
      <c r="E160" s="453" t="s">
        <v>4740</v>
      </c>
    </row>
    <row r="161" spans="1:5">
      <c r="A161" s="453">
        <v>391459435</v>
      </c>
      <c r="B161" s="453">
        <v>582425516.95043898</v>
      </c>
      <c r="D161" s="453" t="s">
        <v>4741</v>
      </c>
      <c r="E161" s="453" t="s">
        <v>4742</v>
      </c>
    </row>
    <row r="162" spans="1:5">
      <c r="A162" s="453">
        <v>391553047</v>
      </c>
      <c r="B162" s="453">
        <v>582519128.95153606</v>
      </c>
      <c r="D162" s="453" t="s">
        <v>4743</v>
      </c>
      <c r="E162" s="453" t="s">
        <v>4744</v>
      </c>
    </row>
    <row r="163" spans="1:5">
      <c r="A163" s="453">
        <v>391610648</v>
      </c>
      <c r="B163" s="453">
        <v>582576729.95221198</v>
      </c>
      <c r="D163" s="453" t="s">
        <v>4745</v>
      </c>
      <c r="E163" s="453" t="s">
        <v>4746</v>
      </c>
    </row>
    <row r="164" spans="1:5">
      <c r="A164" s="453">
        <v>391715033</v>
      </c>
      <c r="B164" s="453">
        <v>582681114.95345294</v>
      </c>
      <c r="D164" s="453" t="s">
        <v>4747</v>
      </c>
      <c r="E164" s="453" t="s">
        <v>4748</v>
      </c>
    </row>
    <row r="165" spans="1:5">
      <c r="A165" s="453">
        <v>391783448</v>
      </c>
      <c r="B165" s="453">
        <v>582749529.95424795</v>
      </c>
      <c r="D165" s="453" t="s">
        <v>4749</v>
      </c>
      <c r="E165" s="453" t="s">
        <v>4750</v>
      </c>
    </row>
    <row r="166" spans="1:5">
      <c r="A166" s="453">
        <v>391910236</v>
      </c>
      <c r="B166" s="453">
        <v>582876317.955778</v>
      </c>
      <c r="D166" s="453" t="s">
        <v>4751</v>
      </c>
      <c r="E166" s="453" t="s">
        <v>4752</v>
      </c>
    </row>
    <row r="167" spans="1:5">
      <c r="A167" s="453">
        <v>391985042</v>
      </c>
      <c r="B167" s="453">
        <v>582951123.95665205</v>
      </c>
      <c r="D167" s="453" t="s">
        <v>4753</v>
      </c>
      <c r="E167" s="453" t="s">
        <v>4754</v>
      </c>
    </row>
    <row r="168" spans="1:5">
      <c r="A168" s="453">
        <v>392082400</v>
      </c>
      <c r="B168" s="453">
        <v>583048481.95776999</v>
      </c>
      <c r="D168" s="453" t="s">
        <v>4755</v>
      </c>
      <c r="E168" s="453" t="s">
        <v>4756</v>
      </c>
    </row>
    <row r="169" spans="1:5">
      <c r="A169" s="453">
        <v>392154236</v>
      </c>
      <c r="B169" s="453">
        <v>583120317.95865905</v>
      </c>
      <c r="D169" s="453" t="s">
        <v>4757</v>
      </c>
      <c r="E169" s="453" t="s">
        <v>4758</v>
      </c>
    </row>
    <row r="170" spans="1:5">
      <c r="A170" s="453">
        <v>392208237</v>
      </c>
      <c r="B170" s="453">
        <v>583174318.95927703</v>
      </c>
      <c r="D170" s="453" t="s">
        <v>4759</v>
      </c>
      <c r="E170" s="453" t="s">
        <v>4760</v>
      </c>
    </row>
    <row r="171" spans="1:5">
      <c r="A171" s="453">
        <v>392330681</v>
      </c>
      <c r="B171" s="453">
        <v>583296762.96074498</v>
      </c>
      <c r="D171" s="453" t="s">
        <v>4761</v>
      </c>
      <c r="E171" s="453" t="s">
        <v>4762</v>
      </c>
    </row>
    <row r="172" spans="1:5">
      <c r="A172" s="453">
        <v>392417075</v>
      </c>
      <c r="B172" s="453">
        <v>583383156.96176505</v>
      </c>
      <c r="D172" s="453" t="s">
        <v>4763</v>
      </c>
      <c r="E172" s="453" t="s">
        <v>4764</v>
      </c>
    </row>
    <row r="173" spans="1:5">
      <c r="A173" s="453">
        <v>392503471</v>
      </c>
      <c r="B173" s="453">
        <v>583469552.96278906</v>
      </c>
      <c r="D173" s="453" t="s">
        <v>4765</v>
      </c>
      <c r="E173" s="453" t="s">
        <v>4766</v>
      </c>
    </row>
    <row r="174" spans="1:5">
      <c r="A174" s="453">
        <v>392589881</v>
      </c>
      <c r="B174" s="453">
        <v>583555962.96379697</v>
      </c>
      <c r="D174" s="453" t="s">
        <v>4767</v>
      </c>
      <c r="E174" s="453" t="s">
        <v>4768</v>
      </c>
    </row>
    <row r="175" spans="1:5">
      <c r="A175" s="453">
        <v>392669014</v>
      </c>
      <c r="B175" s="453">
        <v>583635095.96473598</v>
      </c>
      <c r="D175" s="453" t="s">
        <v>4769</v>
      </c>
      <c r="E175" s="453" t="s">
        <v>4770</v>
      </c>
    </row>
    <row r="176" spans="1:5">
      <c r="A176" s="453">
        <v>392759013</v>
      </c>
      <c r="B176" s="453">
        <v>583725094.96580803</v>
      </c>
      <c r="D176" s="453" t="s">
        <v>4771</v>
      </c>
      <c r="E176" s="453" t="s">
        <v>4772</v>
      </c>
    </row>
    <row r="177" spans="1:5">
      <c r="A177" s="453">
        <v>392838204</v>
      </c>
      <c r="B177" s="453">
        <v>583804285.96673405</v>
      </c>
      <c r="D177" s="453" t="s">
        <v>4773</v>
      </c>
      <c r="E177" s="453" t="s">
        <v>4774</v>
      </c>
    </row>
    <row r="178" spans="1:5">
      <c r="A178" s="453">
        <v>392917399</v>
      </c>
      <c r="B178" s="453">
        <v>583883480.96767104</v>
      </c>
      <c r="D178" s="453" t="s">
        <v>4775</v>
      </c>
      <c r="E178" s="453" t="s">
        <v>4776</v>
      </c>
    </row>
    <row r="179" spans="1:5">
      <c r="A179" s="453">
        <v>393000194</v>
      </c>
      <c r="B179" s="453">
        <v>583966275.96864998</v>
      </c>
      <c r="D179" s="453" t="s">
        <v>4777</v>
      </c>
      <c r="E179" s="453" t="s">
        <v>4778</v>
      </c>
    </row>
    <row r="180" spans="1:5">
      <c r="A180" s="453">
        <v>393119468</v>
      </c>
      <c r="B180" s="453">
        <v>584085549.97006404</v>
      </c>
      <c r="D180" s="453" t="s">
        <v>4779</v>
      </c>
      <c r="E180" s="453" t="s">
        <v>4780</v>
      </c>
    </row>
    <row r="181" spans="1:5">
      <c r="A181" s="453">
        <v>393180186</v>
      </c>
      <c r="B181" s="453">
        <v>584146267.97077</v>
      </c>
      <c r="D181" s="453" t="s">
        <v>4781</v>
      </c>
      <c r="E181" s="453" t="s">
        <v>4782</v>
      </c>
    </row>
    <row r="182" spans="1:5">
      <c r="A182" s="453">
        <v>393273793</v>
      </c>
      <c r="B182" s="453">
        <v>584239874.97189498</v>
      </c>
      <c r="D182" s="453" t="s">
        <v>4783</v>
      </c>
      <c r="E182" s="453" t="s">
        <v>4784</v>
      </c>
    </row>
    <row r="183" spans="1:5">
      <c r="A183" s="453">
        <v>393360185</v>
      </c>
      <c r="B183" s="453">
        <v>584326266.97291505</v>
      </c>
      <c r="D183" s="453" t="s">
        <v>4785</v>
      </c>
      <c r="E183" s="453" t="s">
        <v>4786</v>
      </c>
    </row>
    <row r="184" spans="1:5">
      <c r="A184" s="453">
        <v>393464750</v>
      </c>
      <c r="B184" s="453">
        <v>584430831.97412097</v>
      </c>
      <c r="D184" s="453" t="s">
        <v>4787</v>
      </c>
      <c r="E184" s="453" t="s">
        <v>4788</v>
      </c>
    </row>
    <row r="185" spans="1:5">
      <c r="A185" s="453">
        <v>393522169</v>
      </c>
      <c r="B185" s="453">
        <v>584488250.97481298</v>
      </c>
      <c r="D185" s="453" t="s">
        <v>4789</v>
      </c>
      <c r="E185" s="453" t="s">
        <v>4790</v>
      </c>
    </row>
    <row r="186" spans="1:5">
      <c r="A186" s="453">
        <v>393637540</v>
      </c>
      <c r="B186" s="453">
        <v>584603621.97616005</v>
      </c>
      <c r="D186" s="453" t="s">
        <v>4791</v>
      </c>
      <c r="E186" s="453" t="s">
        <v>4792</v>
      </c>
    </row>
    <row r="187" spans="1:5">
      <c r="A187" s="453">
        <v>393691360</v>
      </c>
      <c r="B187" s="453">
        <v>584657441.976807</v>
      </c>
      <c r="D187" s="453" t="s">
        <v>4793</v>
      </c>
      <c r="E187" s="453" t="s">
        <v>4794</v>
      </c>
    </row>
    <row r="188" spans="1:5">
      <c r="A188" s="453">
        <v>393792165</v>
      </c>
      <c r="B188" s="453">
        <v>584758246.97802997</v>
      </c>
      <c r="D188" s="453" t="s">
        <v>4795</v>
      </c>
      <c r="E188" s="453" t="s">
        <v>4796</v>
      </c>
    </row>
    <row r="189" spans="1:5">
      <c r="A189" s="453">
        <v>393878561</v>
      </c>
      <c r="B189" s="453">
        <v>584844642.97904003</v>
      </c>
      <c r="D189" s="453" t="s">
        <v>4797</v>
      </c>
      <c r="E189" s="453" t="s">
        <v>4798</v>
      </c>
    </row>
    <row r="190" spans="1:5">
      <c r="A190" s="453">
        <v>393957746</v>
      </c>
      <c r="B190" s="453">
        <v>584923827.97996902</v>
      </c>
      <c r="D190" s="453" t="s">
        <v>4799</v>
      </c>
      <c r="E190" s="453" t="s">
        <v>4800</v>
      </c>
    </row>
    <row r="191" spans="1:5">
      <c r="A191" s="453">
        <v>394062335</v>
      </c>
      <c r="B191" s="453">
        <v>585028416.98119295</v>
      </c>
      <c r="D191" s="453" t="s">
        <v>4801</v>
      </c>
      <c r="E191" s="453" t="s">
        <v>4802</v>
      </c>
    </row>
    <row r="192" spans="1:5">
      <c r="A192" s="453">
        <v>394108952</v>
      </c>
      <c r="B192" s="453">
        <v>585075033.98176301</v>
      </c>
      <c r="D192" s="453" t="s">
        <v>4803</v>
      </c>
      <c r="E192" s="453" t="s">
        <v>4804</v>
      </c>
    </row>
    <row r="193" spans="1:5">
      <c r="A193" s="453">
        <v>394328692</v>
      </c>
      <c r="B193" s="453">
        <v>585294773.98432398</v>
      </c>
      <c r="D193" s="453" t="s">
        <v>4805</v>
      </c>
      <c r="E193" s="453" t="s">
        <v>4806</v>
      </c>
    </row>
    <row r="194" spans="1:5">
      <c r="A194" s="453">
        <v>394382520</v>
      </c>
      <c r="B194" s="453">
        <v>585348601.98498905</v>
      </c>
      <c r="D194" s="453" t="s">
        <v>4807</v>
      </c>
      <c r="E194" s="453" t="s">
        <v>4808</v>
      </c>
    </row>
    <row r="195" spans="1:5">
      <c r="A195" s="453">
        <v>394476118</v>
      </c>
      <c r="B195" s="453">
        <v>585442199.98610103</v>
      </c>
      <c r="D195" s="453" t="s">
        <v>4809</v>
      </c>
      <c r="E195" s="453" t="s">
        <v>4810</v>
      </c>
    </row>
    <row r="196" spans="1:5">
      <c r="A196" s="453">
        <v>394540930</v>
      </c>
      <c r="B196" s="453">
        <v>585507011.98686504</v>
      </c>
      <c r="D196" s="453" t="s">
        <v>4811</v>
      </c>
      <c r="E196" s="453" t="s">
        <v>4812</v>
      </c>
    </row>
    <row r="197" spans="1:5">
      <c r="A197" s="453">
        <v>394648903</v>
      </c>
      <c r="B197" s="453">
        <v>585614984.98814094</v>
      </c>
      <c r="D197" s="453" t="s">
        <v>4813</v>
      </c>
      <c r="E197" s="453" t="s">
        <v>4814</v>
      </c>
    </row>
    <row r="198" spans="1:5">
      <c r="A198" s="453">
        <v>394800111</v>
      </c>
      <c r="B198" s="453">
        <v>585766192.98993397</v>
      </c>
      <c r="D198" s="453" t="s">
        <v>4815</v>
      </c>
      <c r="E198" s="453" t="s">
        <v>4816</v>
      </c>
    </row>
    <row r="199" spans="1:5">
      <c r="A199" s="453">
        <v>394933457</v>
      </c>
      <c r="B199" s="453">
        <v>585899538.99149203</v>
      </c>
      <c r="D199" s="453" t="s">
        <v>4817</v>
      </c>
      <c r="E199" s="453" t="s">
        <v>4818</v>
      </c>
    </row>
    <row r="200" spans="1:5">
      <c r="A200" s="453">
        <v>394987275</v>
      </c>
      <c r="B200" s="453">
        <v>585953356.99213696</v>
      </c>
      <c r="D200" s="453" t="s">
        <v>4819</v>
      </c>
      <c r="E200" s="453" t="s">
        <v>4820</v>
      </c>
    </row>
    <row r="201" spans="1:5">
      <c r="A201" s="453">
        <v>395048465</v>
      </c>
      <c r="B201" s="453">
        <v>586014546.99284601</v>
      </c>
      <c r="D201" s="453" t="s">
        <v>4821</v>
      </c>
      <c r="E201" s="453" t="s">
        <v>4822</v>
      </c>
    </row>
    <row r="202" spans="1:5">
      <c r="A202" s="453">
        <v>395189030</v>
      </c>
      <c r="B202" s="453">
        <v>586155111.99453604</v>
      </c>
      <c r="D202" s="453" t="s">
        <v>4823</v>
      </c>
      <c r="E202" s="453" t="s">
        <v>4824</v>
      </c>
    </row>
    <row r="203" spans="1:5">
      <c r="A203" s="453">
        <v>395275422</v>
      </c>
      <c r="B203" s="453">
        <v>586241503.99549496</v>
      </c>
      <c r="D203" s="453" t="s">
        <v>4825</v>
      </c>
      <c r="E203" s="453" t="s">
        <v>4826</v>
      </c>
    </row>
    <row r="204" spans="1:5">
      <c r="A204" s="453">
        <v>395336450</v>
      </c>
      <c r="B204" s="453">
        <v>586302531.99625802</v>
      </c>
      <c r="D204" s="453" t="s">
        <v>4827</v>
      </c>
      <c r="E204" s="453" t="s">
        <v>4828</v>
      </c>
    </row>
    <row r="205" spans="1:5">
      <c r="A205" s="453">
        <v>395426441</v>
      </c>
      <c r="B205" s="453">
        <v>586392522.99732697</v>
      </c>
      <c r="D205" s="453" t="s">
        <v>4829</v>
      </c>
      <c r="E205" s="453" t="s">
        <v>4830</v>
      </c>
    </row>
    <row r="206" spans="1:5">
      <c r="A206" s="453">
        <v>395512834</v>
      </c>
      <c r="B206" s="453">
        <v>586478915.99835205</v>
      </c>
      <c r="D206" s="453" t="s">
        <v>4831</v>
      </c>
      <c r="E206" s="453" t="s">
        <v>4832</v>
      </c>
    </row>
    <row r="207" spans="1:5">
      <c r="A207" s="453">
        <v>395584821</v>
      </c>
      <c r="B207" s="453">
        <v>586550902.99919903</v>
      </c>
      <c r="D207" s="453" t="s">
        <v>4833</v>
      </c>
      <c r="E207" s="453" t="s">
        <v>4834</v>
      </c>
    </row>
    <row r="208" spans="1:5">
      <c r="A208" s="453">
        <v>395682015</v>
      </c>
      <c r="B208" s="453">
        <v>586648097.00035501</v>
      </c>
      <c r="D208" s="453" t="s">
        <v>4835</v>
      </c>
      <c r="E208" s="453" t="s">
        <v>4836</v>
      </c>
    </row>
    <row r="209" spans="1:5">
      <c r="A209" s="453">
        <v>395826001</v>
      </c>
      <c r="B209" s="453">
        <v>586792083.00204301</v>
      </c>
      <c r="D209" s="453" t="s">
        <v>4837</v>
      </c>
      <c r="E209" s="453" t="s">
        <v>4838</v>
      </c>
    </row>
    <row r="210" spans="1:5">
      <c r="A210" s="453">
        <v>395919608</v>
      </c>
      <c r="B210" s="453">
        <v>586885690.00316</v>
      </c>
      <c r="D210" s="453" t="s">
        <v>4839</v>
      </c>
      <c r="E210" s="453" t="s">
        <v>4840</v>
      </c>
    </row>
    <row r="211" spans="1:5">
      <c r="A211" s="453">
        <v>396031194</v>
      </c>
      <c r="B211" s="453">
        <v>586997276.00447202</v>
      </c>
      <c r="D211" s="453" t="s">
        <v>4841</v>
      </c>
      <c r="E211" s="453" t="s">
        <v>4842</v>
      </c>
    </row>
    <row r="212" spans="1:5">
      <c r="A212" s="453">
        <v>396099572</v>
      </c>
      <c r="B212" s="453">
        <v>587065654.00526094</v>
      </c>
      <c r="D212" s="453" t="s">
        <v>4843</v>
      </c>
      <c r="E212" s="453" t="s">
        <v>4844</v>
      </c>
    </row>
    <row r="213" spans="1:5">
      <c r="A213" s="453">
        <v>396189568</v>
      </c>
      <c r="B213" s="453">
        <v>587155650.00632405</v>
      </c>
      <c r="D213" s="453" t="s">
        <v>4845</v>
      </c>
      <c r="E213" s="453" t="s">
        <v>4846</v>
      </c>
    </row>
    <row r="214" spans="1:5">
      <c r="A214" s="453">
        <v>396312309</v>
      </c>
      <c r="B214" s="453">
        <v>587278391.00779295</v>
      </c>
      <c r="D214" s="453" t="s">
        <v>4847</v>
      </c>
      <c r="E214" s="453" t="s">
        <v>4848</v>
      </c>
    </row>
    <row r="215" spans="1:5">
      <c r="A215" s="453">
        <v>396369550</v>
      </c>
      <c r="B215" s="453">
        <v>587335632.00847304</v>
      </c>
      <c r="D215" s="453" t="s">
        <v>4849</v>
      </c>
      <c r="E215" s="453" t="s">
        <v>4850</v>
      </c>
    </row>
    <row r="216" spans="1:5">
      <c r="A216" s="453">
        <v>396452359</v>
      </c>
      <c r="B216" s="453">
        <v>587418441.00943398</v>
      </c>
      <c r="D216" s="453" t="s">
        <v>4851</v>
      </c>
      <c r="E216" s="453" t="s">
        <v>4852</v>
      </c>
    </row>
    <row r="217" spans="1:5">
      <c r="A217" s="453">
        <v>396549577</v>
      </c>
      <c r="B217" s="453">
        <v>587515659.01058996</v>
      </c>
      <c r="D217" s="453" t="s">
        <v>4853</v>
      </c>
      <c r="E217" s="453" t="s">
        <v>4854</v>
      </c>
    </row>
    <row r="218" spans="1:5">
      <c r="A218" s="453">
        <v>396718733</v>
      </c>
      <c r="B218" s="453">
        <v>587684815.01257098</v>
      </c>
      <c r="D218" s="453" t="s">
        <v>4855</v>
      </c>
      <c r="E218" s="453" t="s">
        <v>4856</v>
      </c>
    </row>
    <row r="219" spans="1:5">
      <c r="A219" s="453">
        <v>396920480</v>
      </c>
      <c r="B219" s="453">
        <v>587886562.01493001</v>
      </c>
      <c r="D219" s="453" t="s">
        <v>4857</v>
      </c>
      <c r="E219" s="453" t="s">
        <v>4858</v>
      </c>
    </row>
    <row r="220" spans="1:5">
      <c r="A220" s="453">
        <v>396941900</v>
      </c>
      <c r="B220" s="453">
        <v>587907982.01518297</v>
      </c>
      <c r="D220" s="453" t="s">
        <v>4859</v>
      </c>
      <c r="E220" s="453" t="s">
        <v>4860</v>
      </c>
    </row>
    <row r="221" spans="1:5">
      <c r="A221" s="453">
        <v>397125525</v>
      </c>
      <c r="B221" s="453">
        <v>588091607.01736701</v>
      </c>
      <c r="D221" s="453" t="s">
        <v>4861</v>
      </c>
      <c r="E221" s="453" t="s">
        <v>4862</v>
      </c>
    </row>
    <row r="222" spans="1:5">
      <c r="A222" s="453">
        <v>397323479</v>
      </c>
      <c r="B222" s="453">
        <v>588289561.01968706</v>
      </c>
      <c r="D222" s="453" t="s">
        <v>4863</v>
      </c>
      <c r="E222" s="453" t="s">
        <v>4864</v>
      </c>
    </row>
    <row r="223" spans="1:5">
      <c r="A223" s="453">
        <v>397409870</v>
      </c>
      <c r="B223" s="453">
        <v>588375952.02071202</v>
      </c>
      <c r="D223" s="453" t="s">
        <v>4865</v>
      </c>
      <c r="E223" s="453" t="s">
        <v>4866</v>
      </c>
    </row>
    <row r="224" spans="1:5">
      <c r="A224" s="453">
        <v>397525191</v>
      </c>
      <c r="B224" s="453">
        <v>588491273.02206194</v>
      </c>
      <c r="D224" s="453" t="s">
        <v>4867</v>
      </c>
      <c r="E224" s="453" t="s">
        <v>4868</v>
      </c>
    </row>
    <row r="225" spans="1:5">
      <c r="A225" s="453">
        <v>397582641</v>
      </c>
      <c r="B225" s="453">
        <v>588548723.02274597</v>
      </c>
      <c r="D225" s="453" t="s">
        <v>4869</v>
      </c>
      <c r="E225" s="453" t="s">
        <v>4870</v>
      </c>
    </row>
    <row r="226" spans="1:5">
      <c r="A226" s="453">
        <v>397647423</v>
      </c>
      <c r="B226" s="453">
        <v>588613505.02348399</v>
      </c>
      <c r="D226" s="453" t="s">
        <v>4871</v>
      </c>
      <c r="E226" s="453" t="s">
        <v>4872</v>
      </c>
    </row>
    <row r="227" spans="1:5">
      <c r="A227" s="453">
        <v>398129934</v>
      </c>
      <c r="B227" s="453">
        <v>589096016.02919602</v>
      </c>
      <c r="D227" s="453" t="s">
        <v>4873</v>
      </c>
      <c r="E227" s="453" t="s">
        <v>4874</v>
      </c>
    </row>
    <row r="228" spans="1:5">
      <c r="A228" s="453">
        <v>398187388</v>
      </c>
      <c r="B228" s="453">
        <v>589153470.02983499</v>
      </c>
      <c r="D228" s="453" t="s">
        <v>4875</v>
      </c>
      <c r="E228" s="453" t="s">
        <v>4876</v>
      </c>
    </row>
    <row r="229" spans="1:5">
      <c r="A229" s="453">
        <v>398273780</v>
      </c>
      <c r="B229" s="453">
        <v>589239862.03086102</v>
      </c>
      <c r="D229" s="453" t="s">
        <v>4877</v>
      </c>
      <c r="E229" s="453" t="s">
        <v>4878</v>
      </c>
    </row>
    <row r="230" spans="1:5">
      <c r="A230" s="453">
        <v>398360170</v>
      </c>
      <c r="B230" s="453">
        <v>589326252.03185904</v>
      </c>
      <c r="D230" s="453" t="s">
        <v>4879</v>
      </c>
      <c r="E230" s="453" t="s">
        <v>4880</v>
      </c>
    </row>
    <row r="231" spans="1:5">
      <c r="A231" s="453">
        <v>398702104</v>
      </c>
      <c r="B231" s="453">
        <v>589668186.03585899</v>
      </c>
      <c r="D231" s="453" t="s">
        <v>4881</v>
      </c>
      <c r="E231" s="453" t="s">
        <v>4882</v>
      </c>
    </row>
    <row r="232" spans="1:5">
      <c r="A232" s="453">
        <v>398763323</v>
      </c>
      <c r="B232" s="453">
        <v>589729405.03657305</v>
      </c>
      <c r="D232" s="453" t="s">
        <v>4883</v>
      </c>
      <c r="E232" s="453" t="s">
        <v>4884</v>
      </c>
    </row>
    <row r="233" spans="1:5">
      <c r="A233" s="453">
        <v>398849711</v>
      </c>
      <c r="B233" s="453">
        <v>589815793.03758001</v>
      </c>
      <c r="D233" s="453" t="s">
        <v>4885</v>
      </c>
      <c r="E233" s="453" t="s">
        <v>4886</v>
      </c>
    </row>
    <row r="234" spans="1:5">
      <c r="A234" s="453">
        <v>398932500</v>
      </c>
      <c r="B234" s="453">
        <v>589898582.03854299</v>
      </c>
      <c r="D234" s="453" t="s">
        <v>4887</v>
      </c>
      <c r="E234" s="453" t="s">
        <v>4888</v>
      </c>
    </row>
    <row r="235" spans="1:5">
      <c r="A235" s="453">
        <v>399134053</v>
      </c>
      <c r="B235" s="453">
        <v>590100135.04092097</v>
      </c>
      <c r="D235" s="453" t="s">
        <v>4889</v>
      </c>
      <c r="E235" s="453" t="s">
        <v>4890</v>
      </c>
    </row>
    <row r="236" spans="1:5">
      <c r="A236" s="453">
        <v>399224060</v>
      </c>
      <c r="B236" s="453">
        <v>590190142.04196298</v>
      </c>
      <c r="D236" s="453" t="s">
        <v>4891</v>
      </c>
      <c r="E236" s="453" t="s">
        <v>4892</v>
      </c>
    </row>
    <row r="237" spans="1:5">
      <c r="A237" s="453">
        <v>399306822</v>
      </c>
      <c r="B237" s="453">
        <v>590272904.04294205</v>
      </c>
      <c r="D237" s="453" t="s">
        <v>4893</v>
      </c>
      <c r="E237" s="453" t="s">
        <v>4894</v>
      </c>
    </row>
    <row r="238" spans="1:5">
      <c r="A238" s="453">
        <v>399479602</v>
      </c>
      <c r="B238" s="453">
        <v>590445684.04495001</v>
      </c>
      <c r="D238" s="453" t="s">
        <v>4895</v>
      </c>
      <c r="E238" s="453" t="s">
        <v>4896</v>
      </c>
    </row>
    <row r="239" spans="1:5">
      <c r="A239" s="453">
        <v>399558777</v>
      </c>
      <c r="B239" s="453">
        <v>590524859.045874</v>
      </c>
      <c r="D239" s="453" t="s">
        <v>4897</v>
      </c>
      <c r="E239" s="453" t="s">
        <v>4898</v>
      </c>
    </row>
    <row r="240" spans="1:5">
      <c r="A240" s="453">
        <v>399652390</v>
      </c>
      <c r="B240" s="453">
        <v>590618472.046978</v>
      </c>
      <c r="D240" s="453" t="s">
        <v>4899</v>
      </c>
      <c r="E240" s="453" t="s">
        <v>4900</v>
      </c>
    </row>
    <row r="241" spans="1:5">
      <c r="A241" s="453">
        <v>399767605</v>
      </c>
      <c r="B241" s="453">
        <v>590733687.04830897</v>
      </c>
      <c r="D241" s="453" t="s">
        <v>4901</v>
      </c>
      <c r="E241" s="453" t="s">
        <v>4902</v>
      </c>
    </row>
    <row r="242" spans="1:5">
      <c r="A242" s="453">
        <v>399817938</v>
      </c>
      <c r="B242" s="453">
        <v>590784020.04890895</v>
      </c>
      <c r="D242" s="453" t="s">
        <v>4903</v>
      </c>
      <c r="E242" s="453" t="s">
        <v>4904</v>
      </c>
    </row>
    <row r="243" spans="1:5">
      <c r="A243" s="453">
        <v>399943973</v>
      </c>
      <c r="B243" s="453">
        <v>590910055.05033696</v>
      </c>
      <c r="D243" s="453" t="s">
        <v>4905</v>
      </c>
      <c r="E243" s="453" t="s">
        <v>4906</v>
      </c>
    </row>
    <row r="244" spans="1:5">
      <c r="A244" s="453">
        <v>399990709</v>
      </c>
      <c r="B244" s="453">
        <v>590956791.05091703</v>
      </c>
      <c r="D244" s="453" t="s">
        <v>4907</v>
      </c>
      <c r="E244" s="453" t="s">
        <v>4908</v>
      </c>
    </row>
    <row r="245" spans="1:5">
      <c r="A245" s="453">
        <v>400055541</v>
      </c>
      <c r="B245" s="453">
        <v>591021623.051669</v>
      </c>
      <c r="D245" s="453" t="s">
        <v>4909</v>
      </c>
      <c r="E245" s="453" t="s">
        <v>4910</v>
      </c>
    </row>
    <row r="246" spans="1:5">
      <c r="A246" s="453">
        <v>400149083</v>
      </c>
      <c r="B246" s="453">
        <v>591115165.05275702</v>
      </c>
      <c r="D246" s="453" t="s">
        <v>4911</v>
      </c>
      <c r="E246" s="453" t="s">
        <v>4912</v>
      </c>
    </row>
    <row r="247" spans="1:5">
      <c r="A247" s="453">
        <v>400224719</v>
      </c>
      <c r="B247" s="453">
        <v>591190801.05364799</v>
      </c>
      <c r="D247" s="453" t="s">
        <v>4913</v>
      </c>
      <c r="E247" s="453" t="s">
        <v>4914</v>
      </c>
    </row>
    <row r="248" spans="1:5">
      <c r="A248" s="453">
        <v>400336263</v>
      </c>
      <c r="B248" s="453">
        <v>591302345.05493701</v>
      </c>
      <c r="D248" s="453" t="s">
        <v>4915</v>
      </c>
      <c r="E248" s="453" t="s">
        <v>4916</v>
      </c>
    </row>
    <row r="249" spans="1:5">
      <c r="A249" s="453">
        <v>400422654</v>
      </c>
      <c r="B249" s="453">
        <v>591388736.05595303</v>
      </c>
      <c r="D249" s="453" t="s">
        <v>4917</v>
      </c>
      <c r="E249" s="453" t="s">
        <v>4918</v>
      </c>
    </row>
    <row r="250" spans="1:5">
      <c r="A250" s="453">
        <v>400541490</v>
      </c>
      <c r="B250" s="453">
        <v>591507572.05733204</v>
      </c>
      <c r="D250" s="453" t="s">
        <v>4919</v>
      </c>
      <c r="E250" s="453" t="s">
        <v>4920</v>
      </c>
    </row>
    <row r="251" spans="1:5">
      <c r="A251" s="453">
        <v>400627880</v>
      </c>
      <c r="B251" s="453">
        <v>591593962.05832696</v>
      </c>
      <c r="D251" s="453" t="s">
        <v>4921</v>
      </c>
      <c r="E251" s="453" t="s">
        <v>4922</v>
      </c>
    </row>
    <row r="252" spans="1:5">
      <c r="A252" s="453">
        <v>400721432</v>
      </c>
      <c r="B252" s="453">
        <v>591687514.05940402</v>
      </c>
      <c r="D252" s="453" t="s">
        <v>4923</v>
      </c>
      <c r="E252" s="453" t="s">
        <v>4924</v>
      </c>
    </row>
    <row r="253" spans="1:5">
      <c r="A253" s="453">
        <v>400789815</v>
      </c>
      <c r="B253" s="453">
        <v>591755897.06001604</v>
      </c>
      <c r="D253" s="453" t="s">
        <v>4925</v>
      </c>
      <c r="E253" s="453" t="s">
        <v>4926</v>
      </c>
    </row>
    <row r="254" spans="1:5">
      <c r="A254" s="453">
        <v>400836581</v>
      </c>
      <c r="B254" s="453">
        <v>591802663.06055999</v>
      </c>
      <c r="D254" s="453" t="s">
        <v>4927</v>
      </c>
      <c r="E254" s="453" t="s">
        <v>4928</v>
      </c>
    </row>
    <row r="255" spans="1:5">
      <c r="A255" s="453">
        <v>400962592</v>
      </c>
      <c r="B255" s="453">
        <v>591928674.062011</v>
      </c>
      <c r="D255" s="453" t="s">
        <v>4929</v>
      </c>
      <c r="E255" s="453" t="s">
        <v>4930</v>
      </c>
    </row>
    <row r="256" spans="1:5">
      <c r="A256" s="453">
        <v>401012960</v>
      </c>
      <c r="B256" s="453">
        <v>591979042.06259799</v>
      </c>
      <c r="D256" s="453" t="s">
        <v>4931</v>
      </c>
      <c r="E256" s="453" t="s">
        <v>4932</v>
      </c>
    </row>
    <row r="257" spans="1:5">
      <c r="A257" s="453">
        <v>401146205</v>
      </c>
      <c r="B257" s="453">
        <v>592112287.06414902</v>
      </c>
      <c r="D257" s="453" t="s">
        <v>4933</v>
      </c>
      <c r="E257" s="453" t="s">
        <v>4934</v>
      </c>
    </row>
    <row r="258" spans="1:5">
      <c r="A258" s="453">
        <v>401239766</v>
      </c>
      <c r="B258" s="453">
        <v>592205848.065207</v>
      </c>
      <c r="D258" s="453" t="s">
        <v>4935</v>
      </c>
      <c r="E258" s="453" t="s">
        <v>4936</v>
      </c>
    </row>
    <row r="259" spans="1:5">
      <c r="A259" s="453">
        <v>401315347</v>
      </c>
      <c r="B259" s="453">
        <v>592281429.06610203</v>
      </c>
      <c r="D259" s="453" t="s">
        <v>4937</v>
      </c>
      <c r="E259" s="453" t="s">
        <v>4938</v>
      </c>
    </row>
    <row r="260" spans="1:5">
      <c r="A260" s="453">
        <v>401434134</v>
      </c>
      <c r="B260" s="453">
        <v>592400216.06747103</v>
      </c>
      <c r="D260" s="453" t="s">
        <v>4939</v>
      </c>
      <c r="E260" s="453" t="s">
        <v>4940</v>
      </c>
    </row>
    <row r="261" spans="1:5">
      <c r="A261" s="453">
        <v>401570899</v>
      </c>
      <c r="B261" s="453">
        <v>592536981.06904995</v>
      </c>
      <c r="D261" s="453" t="s">
        <v>4941</v>
      </c>
      <c r="E261" s="453" t="s">
        <v>4942</v>
      </c>
    </row>
    <row r="262" spans="1:5">
      <c r="A262" s="453">
        <v>401668099</v>
      </c>
      <c r="B262" s="453">
        <v>592634181.07015097</v>
      </c>
      <c r="D262" s="453" t="s">
        <v>4943</v>
      </c>
      <c r="E262" s="453" t="s">
        <v>4944</v>
      </c>
    </row>
    <row r="263" spans="1:5">
      <c r="A263" s="453">
        <v>401758075</v>
      </c>
      <c r="B263" s="453">
        <v>592724157.07118905</v>
      </c>
      <c r="D263" s="453" t="s">
        <v>4945</v>
      </c>
      <c r="E263" s="453" t="s">
        <v>4946</v>
      </c>
    </row>
    <row r="264" spans="1:5">
      <c r="A264" s="453">
        <v>401844464</v>
      </c>
      <c r="B264" s="453">
        <v>592810546.07218695</v>
      </c>
      <c r="D264" s="453" t="s">
        <v>4947</v>
      </c>
      <c r="E264" s="453" t="s">
        <v>4948</v>
      </c>
    </row>
    <row r="265" spans="1:5">
      <c r="A265" s="453">
        <v>401869632</v>
      </c>
      <c r="B265" s="453">
        <v>592835714.07248497</v>
      </c>
      <c r="D265" s="453" t="s">
        <v>4949</v>
      </c>
      <c r="E265" s="453" t="s">
        <v>4950</v>
      </c>
    </row>
    <row r="266" spans="1:5">
      <c r="A266" s="453">
        <v>401999244</v>
      </c>
      <c r="B266" s="453">
        <v>592965326.07397699</v>
      </c>
      <c r="D266" s="453" t="s">
        <v>4951</v>
      </c>
      <c r="E266" s="453" t="s">
        <v>4952</v>
      </c>
    </row>
    <row r="267" spans="1:5">
      <c r="A267" s="453">
        <v>402089250</v>
      </c>
      <c r="B267" s="453">
        <v>593055332.07503104</v>
      </c>
      <c r="D267" s="453" t="s">
        <v>4953</v>
      </c>
      <c r="E267" s="453" t="s">
        <v>4954</v>
      </c>
    </row>
    <row r="268" spans="1:5">
      <c r="A268" s="453">
        <v>402146805</v>
      </c>
      <c r="B268" s="453">
        <v>593112887.07570004</v>
      </c>
      <c r="D268" s="453" t="s">
        <v>4955</v>
      </c>
      <c r="E268" s="453" t="s">
        <v>4956</v>
      </c>
    </row>
    <row r="269" spans="1:5">
      <c r="A269" s="453">
        <v>402236801</v>
      </c>
      <c r="B269" s="453">
        <v>593202883.07674205</v>
      </c>
      <c r="D269" s="453" t="s">
        <v>4957</v>
      </c>
      <c r="E269" s="453" t="s">
        <v>4958</v>
      </c>
    </row>
    <row r="270" spans="1:5">
      <c r="A270" s="453">
        <v>402362784</v>
      </c>
      <c r="B270" s="453">
        <v>593328866.07815802</v>
      </c>
      <c r="D270" s="453" t="s">
        <v>4959</v>
      </c>
      <c r="E270" s="453" t="s">
        <v>4960</v>
      </c>
    </row>
    <row r="271" spans="1:5">
      <c r="A271" s="453">
        <v>402449174</v>
      </c>
      <c r="B271" s="453">
        <v>593415256.07915795</v>
      </c>
      <c r="D271" s="453" t="s">
        <v>4961</v>
      </c>
      <c r="E271" s="453" t="s">
        <v>4962</v>
      </c>
    </row>
    <row r="272" spans="1:5">
      <c r="A272" s="453">
        <v>402513967</v>
      </c>
      <c r="B272" s="453">
        <v>593480049.07990396</v>
      </c>
      <c r="D272" s="453" t="s">
        <v>4963</v>
      </c>
      <c r="E272" s="453" t="s">
        <v>4964</v>
      </c>
    </row>
    <row r="273" spans="1:5">
      <c r="A273" s="453">
        <v>402557133</v>
      </c>
      <c r="B273" s="453">
        <v>593523215.08039904</v>
      </c>
      <c r="D273" s="453" t="s">
        <v>4965</v>
      </c>
      <c r="E273" s="453" t="s">
        <v>4966</v>
      </c>
    </row>
    <row r="274" spans="1:5">
      <c r="A274" s="453">
        <v>402668780</v>
      </c>
      <c r="B274" s="453">
        <v>593634862.08170903</v>
      </c>
      <c r="D274" s="453" t="s">
        <v>4967</v>
      </c>
      <c r="E274" s="453" t="s">
        <v>4968</v>
      </c>
    </row>
    <row r="275" spans="1:5">
      <c r="A275" s="453">
        <v>402755154</v>
      </c>
      <c r="B275" s="453">
        <v>593721236.08268201</v>
      </c>
      <c r="D275" s="453" t="s">
        <v>4969</v>
      </c>
      <c r="E275" s="453" t="s">
        <v>4970</v>
      </c>
    </row>
    <row r="276" spans="1:5">
      <c r="A276" s="453">
        <v>402881109</v>
      </c>
      <c r="B276" s="453">
        <v>593847191.08409595</v>
      </c>
      <c r="D276" s="453" t="s">
        <v>4971</v>
      </c>
      <c r="E276" s="453" t="s">
        <v>4972</v>
      </c>
    </row>
    <row r="277" spans="1:5">
      <c r="A277" s="453">
        <v>402953117</v>
      </c>
      <c r="B277" s="453">
        <v>593919199.08494306</v>
      </c>
      <c r="D277" s="453" t="s">
        <v>4973</v>
      </c>
      <c r="E277" s="453" t="s">
        <v>4974</v>
      </c>
    </row>
    <row r="278" spans="1:5">
      <c r="A278" s="453">
        <v>403115073</v>
      </c>
      <c r="B278" s="453">
        <v>594081155.08678901</v>
      </c>
      <c r="D278" s="453" t="s">
        <v>4975</v>
      </c>
      <c r="E278" s="453" t="s">
        <v>4976</v>
      </c>
    </row>
    <row r="279" spans="1:5">
      <c r="A279" s="453">
        <v>403183469</v>
      </c>
      <c r="B279" s="453">
        <v>594149551.08759403</v>
      </c>
      <c r="D279" s="453" t="s">
        <v>4977</v>
      </c>
      <c r="E279" s="453" t="s">
        <v>4978</v>
      </c>
    </row>
    <row r="280" spans="1:5">
      <c r="A280" s="453">
        <v>403269869</v>
      </c>
      <c r="B280" s="453">
        <v>594235951.08858705</v>
      </c>
      <c r="D280" s="453" t="s">
        <v>4979</v>
      </c>
      <c r="E280" s="453" t="s">
        <v>4980</v>
      </c>
    </row>
    <row r="281" spans="1:5">
      <c r="A281" s="453">
        <v>403374240</v>
      </c>
      <c r="B281" s="453">
        <v>594340322.08974302</v>
      </c>
      <c r="D281" s="453" t="s">
        <v>4981</v>
      </c>
      <c r="E281" s="453" t="s">
        <v>4982</v>
      </c>
    </row>
    <row r="282" spans="1:5">
      <c r="A282" s="453">
        <v>403442633</v>
      </c>
      <c r="B282" s="453">
        <v>594408715.09054697</v>
      </c>
      <c r="D282" s="453" t="s">
        <v>4983</v>
      </c>
      <c r="E282" s="453" t="s">
        <v>4984</v>
      </c>
    </row>
    <row r="283" spans="1:5">
      <c r="A283" s="453">
        <v>403557838</v>
      </c>
      <c r="B283" s="453">
        <v>594523920.09186804</v>
      </c>
      <c r="D283" s="453" t="s">
        <v>4985</v>
      </c>
      <c r="E283" s="453" t="s">
        <v>4986</v>
      </c>
    </row>
    <row r="284" spans="1:5">
      <c r="A284" s="453">
        <v>403644237</v>
      </c>
      <c r="B284" s="453">
        <v>594610319.09285104</v>
      </c>
      <c r="D284" s="453" t="s">
        <v>4987</v>
      </c>
      <c r="E284" s="453" t="s">
        <v>4988</v>
      </c>
    </row>
    <row r="285" spans="1:5">
      <c r="A285" s="453">
        <v>403723397</v>
      </c>
      <c r="B285" s="453">
        <v>594689479.09374499</v>
      </c>
      <c r="D285" s="453" t="s">
        <v>4989</v>
      </c>
      <c r="E285" s="453" t="s">
        <v>4990</v>
      </c>
    </row>
    <row r="286" spans="1:5">
      <c r="A286" s="453">
        <v>403817021</v>
      </c>
      <c r="B286" s="453">
        <v>594783103.09481001</v>
      </c>
      <c r="D286" s="453" t="s">
        <v>4991</v>
      </c>
      <c r="E286" s="453" t="s">
        <v>4992</v>
      </c>
    </row>
    <row r="287" spans="1:5">
      <c r="A287" s="453">
        <v>403917775</v>
      </c>
      <c r="B287" s="453">
        <v>594883857.09595501</v>
      </c>
      <c r="D287" s="453" t="s">
        <v>4993</v>
      </c>
      <c r="E287" s="453" t="s">
        <v>4994</v>
      </c>
    </row>
    <row r="288" spans="1:5">
      <c r="A288" s="453">
        <v>403989804</v>
      </c>
      <c r="B288" s="453">
        <v>594955886.09678102</v>
      </c>
      <c r="D288" s="453" t="s">
        <v>4995</v>
      </c>
      <c r="E288" s="453" t="s">
        <v>4996</v>
      </c>
    </row>
    <row r="289" spans="1:5">
      <c r="A289" s="453">
        <v>404076183</v>
      </c>
      <c r="B289" s="453">
        <v>595042265.09775603</v>
      </c>
      <c r="D289" s="453" t="s">
        <v>4997</v>
      </c>
      <c r="E289" s="453" t="s">
        <v>4998</v>
      </c>
    </row>
    <row r="290" spans="1:5">
      <c r="A290" s="453">
        <v>404162574</v>
      </c>
      <c r="B290" s="453">
        <v>595128656.09873998</v>
      </c>
      <c r="D290" s="453" t="s">
        <v>4999</v>
      </c>
      <c r="E290" s="453" t="s">
        <v>5000</v>
      </c>
    </row>
    <row r="291" spans="1:5">
      <c r="A291" s="453">
        <v>404263322</v>
      </c>
      <c r="B291" s="453">
        <v>595229404.09986699</v>
      </c>
      <c r="D291" s="453" t="s">
        <v>5001</v>
      </c>
      <c r="E291" s="453" t="s">
        <v>5002</v>
      </c>
    </row>
    <row r="292" spans="1:5">
      <c r="A292" s="453">
        <v>404324514</v>
      </c>
      <c r="B292" s="453">
        <v>595290596.10057294</v>
      </c>
      <c r="D292" s="453" t="s">
        <v>5003</v>
      </c>
      <c r="E292" s="453" t="s">
        <v>5004</v>
      </c>
    </row>
    <row r="293" spans="1:5">
      <c r="A293" s="453">
        <v>404522490</v>
      </c>
      <c r="B293" s="453">
        <v>595488572.10281098</v>
      </c>
      <c r="D293" s="453" t="s">
        <v>5005</v>
      </c>
      <c r="E293" s="453" t="s">
        <v>5006</v>
      </c>
    </row>
    <row r="294" spans="1:5">
      <c r="A294" s="453">
        <v>404533292</v>
      </c>
      <c r="B294" s="453">
        <v>595499374.10294294</v>
      </c>
      <c r="D294" s="453" t="s">
        <v>5007</v>
      </c>
      <c r="E294" s="453" t="s">
        <v>5008</v>
      </c>
    </row>
    <row r="295" spans="1:5">
      <c r="A295" s="453">
        <v>404663104</v>
      </c>
      <c r="B295" s="453">
        <v>595629186.10441101</v>
      </c>
      <c r="D295" s="453" t="s">
        <v>5009</v>
      </c>
      <c r="E295" s="453" t="s">
        <v>5010</v>
      </c>
    </row>
    <row r="296" spans="1:5">
      <c r="A296" s="453">
        <v>404781656</v>
      </c>
      <c r="B296" s="453">
        <v>595747738.10576296</v>
      </c>
      <c r="D296" s="453" t="s">
        <v>5011</v>
      </c>
      <c r="E296" s="453" t="s">
        <v>5012</v>
      </c>
    </row>
    <row r="297" spans="1:5">
      <c r="A297" s="453">
        <v>404868088</v>
      </c>
      <c r="B297" s="453">
        <v>595834170.10670698</v>
      </c>
      <c r="D297" s="453" t="s">
        <v>5013</v>
      </c>
      <c r="E297" s="453" t="s">
        <v>5014</v>
      </c>
    </row>
    <row r="298" spans="1:5">
      <c r="A298" s="453">
        <v>404925639</v>
      </c>
      <c r="B298" s="453">
        <v>595891721.10739303</v>
      </c>
      <c r="D298" s="453" t="s">
        <v>5015</v>
      </c>
      <c r="E298" s="453" t="s">
        <v>5016</v>
      </c>
    </row>
    <row r="299" spans="1:5">
      <c r="A299" s="453">
        <v>405040875</v>
      </c>
      <c r="B299" s="453">
        <v>596006957.10867798</v>
      </c>
      <c r="D299" s="453" t="s">
        <v>5017</v>
      </c>
      <c r="E299" s="453" t="s">
        <v>5018</v>
      </c>
    </row>
    <row r="300" spans="1:5">
      <c r="A300" s="453">
        <v>405109251</v>
      </c>
      <c r="B300" s="453">
        <v>596075333.10947502</v>
      </c>
      <c r="D300" s="453" t="s">
        <v>5019</v>
      </c>
      <c r="E300" s="453" t="s">
        <v>5020</v>
      </c>
    </row>
    <row r="301" spans="1:5">
      <c r="A301" s="453">
        <v>405300018</v>
      </c>
      <c r="B301" s="453">
        <v>596266100.11159801</v>
      </c>
      <c r="D301" s="453" t="s">
        <v>5021</v>
      </c>
      <c r="E301" s="453" t="s">
        <v>5022</v>
      </c>
    </row>
    <row r="302" spans="1:5">
      <c r="A302" s="453">
        <v>405386405</v>
      </c>
      <c r="B302" s="453">
        <v>596352487.11258399</v>
      </c>
      <c r="D302" s="453" t="s">
        <v>5023</v>
      </c>
      <c r="E302" s="453" t="s">
        <v>5024</v>
      </c>
    </row>
    <row r="303" spans="1:5">
      <c r="A303" s="453">
        <v>405472805</v>
      </c>
      <c r="B303" s="453">
        <v>596438887.113554</v>
      </c>
      <c r="D303" s="453" t="s">
        <v>5025</v>
      </c>
      <c r="E303" s="453" t="s">
        <v>5026</v>
      </c>
    </row>
    <row r="304" spans="1:5">
      <c r="A304" s="453">
        <v>405559168</v>
      </c>
      <c r="B304" s="453">
        <v>596525250.11455703</v>
      </c>
      <c r="D304" s="453" t="s">
        <v>5027</v>
      </c>
      <c r="E304" s="453" t="s">
        <v>5028</v>
      </c>
    </row>
    <row r="305" spans="1:5">
      <c r="A305" s="453">
        <v>405616766</v>
      </c>
      <c r="B305" s="453">
        <v>596582848.11519694</v>
      </c>
      <c r="D305" s="453" t="s">
        <v>5029</v>
      </c>
      <c r="E305" s="453" t="s">
        <v>5030</v>
      </c>
    </row>
    <row r="306" spans="1:5">
      <c r="A306" s="453">
        <v>405731950</v>
      </c>
      <c r="B306" s="453">
        <v>596698032.11649597</v>
      </c>
      <c r="D306" s="453" t="s">
        <v>5031</v>
      </c>
      <c r="E306" s="453" t="s">
        <v>5032</v>
      </c>
    </row>
    <row r="307" spans="1:5">
      <c r="A307" s="453">
        <v>405818345</v>
      </c>
      <c r="B307" s="453">
        <v>596784427.11746395</v>
      </c>
      <c r="D307" s="453" t="s">
        <v>5033</v>
      </c>
      <c r="E307" s="453" t="s">
        <v>5034</v>
      </c>
    </row>
    <row r="308" spans="1:5">
      <c r="A308" s="453">
        <v>405904731</v>
      </c>
      <c r="B308" s="453">
        <v>596870813.11842406</v>
      </c>
      <c r="D308" s="453" t="s">
        <v>5035</v>
      </c>
      <c r="E308" s="453" t="s">
        <v>5036</v>
      </c>
    </row>
    <row r="309" spans="1:5">
      <c r="A309" s="453">
        <v>405991138</v>
      </c>
      <c r="B309" s="453">
        <v>596957220.11937404</v>
      </c>
      <c r="D309" s="453" t="s">
        <v>5037</v>
      </c>
      <c r="E309" s="453" t="s">
        <v>5038</v>
      </c>
    </row>
    <row r="310" spans="1:5">
      <c r="A310" s="453">
        <v>406077533</v>
      </c>
      <c r="B310" s="453">
        <v>597043615.11990094</v>
      </c>
      <c r="D310" s="453" t="s">
        <v>5039</v>
      </c>
      <c r="E310" s="453" t="s">
        <v>5040</v>
      </c>
    </row>
    <row r="311" spans="1:5">
      <c r="A311" s="453">
        <v>406142346</v>
      </c>
      <c r="B311" s="453">
        <v>597108428.12063503</v>
      </c>
      <c r="D311" s="453" t="s">
        <v>5041</v>
      </c>
      <c r="E311" s="453" t="s">
        <v>5042</v>
      </c>
    </row>
    <row r="312" spans="1:5">
      <c r="A312" s="453">
        <v>406250307</v>
      </c>
      <c r="B312" s="453">
        <v>597216389.12184203</v>
      </c>
      <c r="D312" s="453" t="s">
        <v>5043</v>
      </c>
      <c r="E312" s="453" t="s">
        <v>5044</v>
      </c>
    </row>
    <row r="313" spans="1:5">
      <c r="A313" s="453">
        <v>406336696</v>
      </c>
      <c r="B313" s="453">
        <v>597302778.12280905</v>
      </c>
      <c r="D313" s="453" t="s">
        <v>5045</v>
      </c>
      <c r="E313" s="453" t="s">
        <v>5046</v>
      </c>
    </row>
    <row r="314" spans="1:5">
      <c r="A314" s="453">
        <v>406423090</v>
      </c>
      <c r="B314" s="453">
        <v>597389172.12375605</v>
      </c>
      <c r="D314" s="453" t="s">
        <v>5047</v>
      </c>
      <c r="E314" s="453" t="s">
        <v>5048</v>
      </c>
    </row>
    <row r="315" spans="1:5">
      <c r="A315" s="453">
        <v>406480673</v>
      </c>
      <c r="B315" s="453">
        <v>597446755.12441194</v>
      </c>
      <c r="D315" s="453" t="s">
        <v>5049</v>
      </c>
      <c r="E315" s="453" t="s">
        <v>5050</v>
      </c>
    </row>
    <row r="316" spans="1:5">
      <c r="A316" s="453">
        <v>406592261</v>
      </c>
      <c r="B316" s="453">
        <v>597558343.12565899</v>
      </c>
      <c r="D316" s="453" t="s">
        <v>5051</v>
      </c>
      <c r="E316" s="453" t="s">
        <v>5052</v>
      </c>
    </row>
    <row r="317" spans="1:5">
      <c r="A317" s="453">
        <v>406682260</v>
      </c>
      <c r="B317" s="453">
        <v>597648342.12668097</v>
      </c>
      <c r="D317" s="453" t="s">
        <v>5053</v>
      </c>
      <c r="E317" s="453" t="s">
        <v>5054</v>
      </c>
    </row>
    <row r="318" spans="1:5">
      <c r="A318" s="453">
        <v>406761445</v>
      </c>
      <c r="B318" s="453">
        <v>597727527.12756002</v>
      </c>
      <c r="D318" s="453" t="s">
        <v>5055</v>
      </c>
      <c r="E318" s="453" t="s">
        <v>5056</v>
      </c>
    </row>
    <row r="319" spans="1:5">
      <c r="A319" s="453">
        <v>406855042</v>
      </c>
      <c r="B319" s="453">
        <v>597821124.12858105</v>
      </c>
      <c r="D319" s="453" t="s">
        <v>5057</v>
      </c>
      <c r="E319" s="453" t="s">
        <v>5058</v>
      </c>
    </row>
    <row r="320" spans="1:5">
      <c r="A320" s="453">
        <v>406941441</v>
      </c>
      <c r="B320" s="453">
        <v>597907523.12954199</v>
      </c>
      <c r="D320" s="453" t="s">
        <v>5059</v>
      </c>
      <c r="E320" s="453" t="s">
        <v>5060</v>
      </c>
    </row>
    <row r="321" spans="1:5">
      <c r="A321" s="453">
        <v>407006261</v>
      </c>
      <c r="B321" s="453">
        <v>597972343.13030696</v>
      </c>
      <c r="D321" s="453" t="s">
        <v>5061</v>
      </c>
      <c r="E321" s="453" t="s">
        <v>5062</v>
      </c>
    </row>
    <row r="322" spans="1:5">
      <c r="A322" s="453">
        <v>407114215</v>
      </c>
      <c r="B322" s="453">
        <v>598080297.13149297</v>
      </c>
      <c r="D322" s="453" t="s">
        <v>5063</v>
      </c>
      <c r="E322" s="453" t="s">
        <v>5064</v>
      </c>
    </row>
    <row r="323" spans="1:5">
      <c r="A323" s="453">
        <v>407193404</v>
      </c>
      <c r="B323" s="453">
        <v>598159486.13239002</v>
      </c>
      <c r="D323" s="453" t="s">
        <v>5065</v>
      </c>
      <c r="E323" s="453" t="s">
        <v>5066</v>
      </c>
    </row>
    <row r="324" spans="1:5">
      <c r="A324" s="453">
        <v>407279802</v>
      </c>
      <c r="B324" s="453">
        <v>598245884.13334596</v>
      </c>
      <c r="D324" s="453" t="s">
        <v>5067</v>
      </c>
      <c r="E324" s="453" t="s">
        <v>5068</v>
      </c>
    </row>
    <row r="325" spans="1:5">
      <c r="A325" s="453">
        <v>407366190</v>
      </c>
      <c r="B325" s="453">
        <v>598332272.13432395</v>
      </c>
      <c r="D325" s="453" t="s">
        <v>5069</v>
      </c>
      <c r="E325" s="453" t="s">
        <v>5070</v>
      </c>
    </row>
    <row r="326" spans="1:5">
      <c r="A326" s="453">
        <v>407459800</v>
      </c>
      <c r="B326" s="453">
        <v>598425882.13536406</v>
      </c>
      <c r="D326" s="453" t="s">
        <v>5071</v>
      </c>
      <c r="E326" s="453" t="s">
        <v>5072</v>
      </c>
    </row>
    <row r="327" spans="1:5">
      <c r="A327" s="453">
        <v>407521028</v>
      </c>
      <c r="B327" s="453">
        <v>598487110.13606703</v>
      </c>
      <c r="D327" s="453" t="s">
        <v>5073</v>
      </c>
      <c r="E327" s="453" t="s">
        <v>5074</v>
      </c>
    </row>
    <row r="328" spans="1:5">
      <c r="A328" s="453">
        <v>407632592</v>
      </c>
      <c r="B328" s="453">
        <v>598598674.13730705</v>
      </c>
      <c r="D328" s="453" t="s">
        <v>5075</v>
      </c>
      <c r="E328" s="453" t="s">
        <v>5076</v>
      </c>
    </row>
    <row r="329" spans="1:5">
      <c r="A329" s="453">
        <v>407715378</v>
      </c>
      <c r="B329" s="453">
        <v>598681460.13821697</v>
      </c>
      <c r="D329" s="453" t="s">
        <v>5077</v>
      </c>
      <c r="E329" s="453" t="s">
        <v>5078</v>
      </c>
    </row>
    <row r="330" spans="1:5">
      <c r="A330" s="453">
        <v>407805378</v>
      </c>
      <c r="B330" s="453">
        <v>598771460.13921797</v>
      </c>
      <c r="D330" s="453" t="s">
        <v>5079</v>
      </c>
      <c r="E330" s="453" t="s">
        <v>5080</v>
      </c>
    </row>
    <row r="331" spans="1:5">
      <c r="A331" s="453">
        <v>407873755</v>
      </c>
      <c r="B331" s="453">
        <v>598839837.139979</v>
      </c>
      <c r="D331" s="453" t="s">
        <v>5081</v>
      </c>
      <c r="E331" s="453" t="s">
        <v>5082</v>
      </c>
    </row>
    <row r="332" spans="1:5">
      <c r="A332" s="453">
        <v>407967351</v>
      </c>
      <c r="B332" s="453">
        <v>598933433.14104295</v>
      </c>
      <c r="D332" s="453" t="s">
        <v>5083</v>
      </c>
      <c r="E332" s="453" t="s">
        <v>5084</v>
      </c>
    </row>
    <row r="333" spans="1:5">
      <c r="A333" s="453">
        <v>408064552</v>
      </c>
      <c r="B333" s="453">
        <v>599030634.14214599</v>
      </c>
      <c r="D333" s="453" t="s">
        <v>5085</v>
      </c>
      <c r="E333" s="453" t="s">
        <v>5086</v>
      </c>
    </row>
    <row r="334" spans="1:5">
      <c r="A334" s="453">
        <v>408150941</v>
      </c>
      <c r="B334" s="453">
        <v>599117023.14307499</v>
      </c>
      <c r="D334" s="453" t="s">
        <v>5087</v>
      </c>
      <c r="E334" s="453" t="s">
        <v>5088</v>
      </c>
    </row>
    <row r="335" spans="1:5">
      <c r="A335" s="453">
        <v>408237339</v>
      </c>
      <c r="B335" s="453">
        <v>599203421.14403796</v>
      </c>
      <c r="D335" s="453" t="s">
        <v>5089</v>
      </c>
      <c r="E335" s="453" t="s">
        <v>5090</v>
      </c>
    </row>
    <row r="336" spans="1:5">
      <c r="A336" s="453">
        <v>408323778</v>
      </c>
      <c r="B336" s="453">
        <v>599289860.14501297</v>
      </c>
      <c r="D336" s="453" t="s">
        <v>5091</v>
      </c>
      <c r="E336" s="453" t="s">
        <v>5092</v>
      </c>
    </row>
    <row r="337" spans="1:5">
      <c r="A337" s="453">
        <v>408410160</v>
      </c>
      <c r="B337" s="453">
        <v>599376242.14601302</v>
      </c>
      <c r="D337" s="453" t="s">
        <v>5093</v>
      </c>
      <c r="E337" s="453" t="s">
        <v>5094</v>
      </c>
    </row>
    <row r="338" spans="1:5">
      <c r="A338" s="453">
        <v>408471361</v>
      </c>
      <c r="B338" s="453">
        <v>599437443.14668798</v>
      </c>
      <c r="D338" s="453" t="s">
        <v>5095</v>
      </c>
      <c r="E338" s="453" t="s">
        <v>5096</v>
      </c>
    </row>
    <row r="339" spans="1:5">
      <c r="A339" s="453">
        <v>408572114</v>
      </c>
      <c r="B339" s="453">
        <v>599538196.14780605</v>
      </c>
      <c r="D339" s="453" t="s">
        <v>5097</v>
      </c>
      <c r="E339" s="453" t="s">
        <v>5098</v>
      </c>
    </row>
    <row r="340" spans="1:5">
      <c r="A340" s="453">
        <v>408665757</v>
      </c>
      <c r="B340" s="453">
        <v>599631839.148862</v>
      </c>
      <c r="D340" s="453" t="s">
        <v>5099</v>
      </c>
      <c r="E340" s="453" t="s">
        <v>5100</v>
      </c>
    </row>
    <row r="341" spans="1:5">
      <c r="A341" s="453">
        <v>408755695</v>
      </c>
      <c r="B341" s="453">
        <v>599721777.14984405</v>
      </c>
      <c r="D341" s="453" t="s">
        <v>5101</v>
      </c>
      <c r="E341" s="453" t="s">
        <v>5102</v>
      </c>
    </row>
    <row r="342" spans="1:5">
      <c r="A342" s="453">
        <v>408842090</v>
      </c>
      <c r="B342" s="453">
        <v>599808172.15085006</v>
      </c>
      <c r="D342" s="453" t="s">
        <v>5103</v>
      </c>
      <c r="E342" s="453" t="s">
        <v>5104</v>
      </c>
    </row>
    <row r="343" spans="1:5">
      <c r="A343" s="453">
        <v>408899706</v>
      </c>
      <c r="B343" s="453">
        <v>599865788.15147603</v>
      </c>
      <c r="D343" s="453" t="s">
        <v>5105</v>
      </c>
      <c r="E343" s="453" t="s">
        <v>5106</v>
      </c>
    </row>
    <row r="344" spans="1:5">
      <c r="A344" s="453">
        <v>409266881</v>
      </c>
      <c r="B344" s="453">
        <v>600232963.15556896</v>
      </c>
      <c r="D344" s="453" t="s">
        <v>5107</v>
      </c>
      <c r="E344" s="453" t="s">
        <v>5108</v>
      </c>
    </row>
    <row r="345" spans="1:5">
      <c r="A345" s="453">
        <v>409360445</v>
      </c>
      <c r="B345" s="453">
        <v>600326527.15659499</v>
      </c>
      <c r="D345" s="453" t="s">
        <v>5109</v>
      </c>
      <c r="E345" s="453" t="s">
        <v>5110</v>
      </c>
    </row>
    <row r="346" spans="1:5">
      <c r="A346" s="453">
        <v>409446873</v>
      </c>
      <c r="B346" s="453">
        <v>600412955.15757406</v>
      </c>
      <c r="D346" s="453" t="s">
        <v>5111</v>
      </c>
      <c r="E346" s="453" t="s">
        <v>5112</v>
      </c>
    </row>
    <row r="347" spans="1:5">
      <c r="A347" s="453">
        <v>409533236</v>
      </c>
      <c r="B347" s="453">
        <v>600499318.15849197</v>
      </c>
      <c r="D347" s="453" t="s">
        <v>5113</v>
      </c>
      <c r="E347" s="453" t="s">
        <v>5114</v>
      </c>
    </row>
    <row r="348" spans="1:5">
      <c r="A348" s="453">
        <v>409619634</v>
      </c>
      <c r="B348" s="453">
        <v>600585716.15945995</v>
      </c>
      <c r="D348" s="453" t="s">
        <v>5115</v>
      </c>
      <c r="E348" s="453" t="s">
        <v>5116</v>
      </c>
    </row>
    <row r="349" spans="1:5">
      <c r="A349" s="453">
        <v>409706030</v>
      </c>
      <c r="B349" s="453">
        <v>600672112.16039705</v>
      </c>
      <c r="D349" s="453" t="s">
        <v>5117</v>
      </c>
      <c r="E349" s="453" t="s">
        <v>5118</v>
      </c>
    </row>
    <row r="350" spans="1:5">
      <c r="A350" s="453">
        <v>409785231</v>
      </c>
      <c r="B350" s="453">
        <v>600751313.16130805</v>
      </c>
      <c r="D350" s="453" t="s">
        <v>5119</v>
      </c>
      <c r="E350" s="453" t="s">
        <v>5120</v>
      </c>
    </row>
    <row r="351" spans="1:5">
      <c r="A351" s="453">
        <v>409846438</v>
      </c>
      <c r="B351" s="453">
        <v>600812520.16199303</v>
      </c>
      <c r="D351" s="453" t="s">
        <v>5121</v>
      </c>
      <c r="E351" s="453" t="s">
        <v>5122</v>
      </c>
    </row>
    <row r="352" spans="1:5">
      <c r="A352" s="453">
        <v>409943625</v>
      </c>
      <c r="B352" s="453">
        <v>600909707.16304803</v>
      </c>
      <c r="D352" s="453" t="s">
        <v>5123</v>
      </c>
      <c r="E352" s="453" t="s">
        <v>5124</v>
      </c>
    </row>
    <row r="353" spans="1:5">
      <c r="A353" s="453">
        <v>410138018</v>
      </c>
      <c r="B353" s="453">
        <v>601104100.16520298</v>
      </c>
      <c r="D353" s="453" t="s">
        <v>5125</v>
      </c>
      <c r="E353" s="453" t="s">
        <v>5126</v>
      </c>
    </row>
    <row r="354" spans="1:5">
      <c r="A354" s="453">
        <v>410224417</v>
      </c>
      <c r="B354" s="453">
        <v>601190499.16614497</v>
      </c>
      <c r="D354" s="453" t="s">
        <v>5127</v>
      </c>
      <c r="E354" s="453" t="s">
        <v>5128</v>
      </c>
    </row>
    <row r="355" spans="1:5">
      <c r="A355" s="453">
        <v>410310814</v>
      </c>
      <c r="B355" s="453">
        <v>601276896.16711295</v>
      </c>
      <c r="D355" s="453" t="s">
        <v>5129</v>
      </c>
      <c r="E355" s="453" t="s">
        <v>5130</v>
      </c>
    </row>
    <row r="356" spans="1:5">
      <c r="A356" s="453">
        <v>410386417</v>
      </c>
      <c r="B356" s="453">
        <v>601352499.167974</v>
      </c>
      <c r="D356" s="453" t="s">
        <v>5131</v>
      </c>
      <c r="E356" s="453" t="s">
        <v>5132</v>
      </c>
    </row>
    <row r="357" spans="1:5">
      <c r="A357" s="453">
        <v>410483609</v>
      </c>
      <c r="B357" s="453">
        <v>601449691.16903996</v>
      </c>
      <c r="D357" s="453" t="s">
        <v>5133</v>
      </c>
      <c r="E357" s="453" t="s">
        <v>5134</v>
      </c>
    </row>
    <row r="358" spans="1:5">
      <c r="A358" s="453">
        <v>410570007</v>
      </c>
      <c r="B358" s="453">
        <v>601536089.169994</v>
      </c>
      <c r="D358" s="453" t="s">
        <v>5135</v>
      </c>
      <c r="E358" s="453" t="s">
        <v>5136</v>
      </c>
    </row>
    <row r="359" spans="1:5">
      <c r="A359" s="453">
        <v>410656407</v>
      </c>
      <c r="B359" s="453">
        <v>601622489.17095602</v>
      </c>
      <c r="D359" s="453" t="s">
        <v>5137</v>
      </c>
      <c r="E359" s="453" t="s">
        <v>5138</v>
      </c>
    </row>
    <row r="360" spans="1:5">
      <c r="A360" s="453">
        <v>410742807</v>
      </c>
      <c r="B360" s="453">
        <v>601708889.17190897</v>
      </c>
      <c r="D360" s="453" t="s">
        <v>5139</v>
      </c>
      <c r="E360" s="453" t="s">
        <v>5140</v>
      </c>
    </row>
    <row r="361" spans="1:5">
      <c r="A361" s="453">
        <v>410829206</v>
      </c>
      <c r="B361" s="453">
        <v>601795288.172876</v>
      </c>
      <c r="D361" s="453" t="s">
        <v>5141</v>
      </c>
      <c r="E361" s="453" t="s">
        <v>5142</v>
      </c>
    </row>
    <row r="362" spans="1:5">
      <c r="A362" s="453">
        <v>410915604</v>
      </c>
      <c r="B362" s="453">
        <v>601881686.173841</v>
      </c>
      <c r="D362" s="453" t="s">
        <v>5143</v>
      </c>
      <c r="E362" s="453" t="s">
        <v>5144</v>
      </c>
    </row>
    <row r="363" spans="1:5">
      <c r="A363" s="453">
        <v>410994818</v>
      </c>
      <c r="B363" s="453">
        <v>601960900.17473698</v>
      </c>
      <c r="D363" s="453" t="s">
        <v>5145</v>
      </c>
      <c r="E363" s="453" t="s">
        <v>5146</v>
      </c>
    </row>
    <row r="364" spans="1:5">
      <c r="A364" s="453">
        <v>411077606</v>
      </c>
      <c r="B364" s="453">
        <v>602043688.17565501</v>
      </c>
      <c r="D364" s="453" t="s">
        <v>5147</v>
      </c>
      <c r="E364" s="453" t="s">
        <v>5148</v>
      </c>
    </row>
    <row r="365" spans="1:5">
      <c r="A365" s="453">
        <v>411138817</v>
      </c>
      <c r="B365" s="453">
        <v>602104899.17633402</v>
      </c>
      <c r="D365" s="453" t="s">
        <v>5149</v>
      </c>
      <c r="E365" s="453" t="s">
        <v>5150</v>
      </c>
    </row>
    <row r="366" spans="1:5">
      <c r="A366" s="453">
        <v>411347600</v>
      </c>
      <c r="B366" s="453">
        <v>602313682.17864394</v>
      </c>
      <c r="D366" s="453" t="s">
        <v>5151</v>
      </c>
      <c r="E366" s="453" t="s">
        <v>5152</v>
      </c>
    </row>
    <row r="367" spans="1:5">
      <c r="A367" s="453">
        <v>411434002</v>
      </c>
      <c r="B367" s="453">
        <v>602400084.1796</v>
      </c>
      <c r="D367" s="453" t="s">
        <v>5153</v>
      </c>
      <c r="E367" s="453" t="s">
        <v>5154</v>
      </c>
    </row>
    <row r="368" spans="1:5">
      <c r="A368" s="453">
        <v>411520401</v>
      </c>
      <c r="B368" s="453">
        <v>602486483.18056095</v>
      </c>
      <c r="D368" s="453" t="s">
        <v>5155</v>
      </c>
      <c r="E368" s="453" t="s">
        <v>5156</v>
      </c>
    </row>
    <row r="369" spans="1:5">
      <c r="A369" s="453">
        <v>411567205</v>
      </c>
      <c r="B369" s="453">
        <v>602533287.18109596</v>
      </c>
      <c r="D369" s="453" t="s">
        <v>5157</v>
      </c>
      <c r="E369" s="453" t="s">
        <v>5158</v>
      </c>
    </row>
    <row r="370" spans="1:5">
      <c r="A370" s="453">
        <v>411686023</v>
      </c>
      <c r="B370" s="453">
        <v>602652105.18243206</v>
      </c>
      <c r="D370" s="453" t="s">
        <v>5159</v>
      </c>
      <c r="E370" s="453" t="s">
        <v>5160</v>
      </c>
    </row>
    <row r="371" spans="1:5">
      <c r="A371" s="453">
        <v>411768806</v>
      </c>
      <c r="B371" s="453">
        <v>602734888.18334103</v>
      </c>
      <c r="D371" s="453" t="s">
        <v>5161</v>
      </c>
      <c r="E371" s="453" t="s">
        <v>5162</v>
      </c>
    </row>
    <row r="372" spans="1:5">
      <c r="A372" s="453">
        <v>411866002</v>
      </c>
      <c r="B372" s="453">
        <v>602832084.18441606</v>
      </c>
      <c r="D372" s="453" t="s">
        <v>5163</v>
      </c>
      <c r="E372" s="453" t="s">
        <v>5164</v>
      </c>
    </row>
    <row r="373" spans="1:5">
      <c r="A373" s="453">
        <v>411952402</v>
      </c>
      <c r="B373" s="453">
        <v>602918484.18544996</v>
      </c>
      <c r="D373" s="453" t="s">
        <v>5165</v>
      </c>
      <c r="E373" s="453" t="s">
        <v>5166</v>
      </c>
    </row>
    <row r="374" spans="1:5">
      <c r="A374" s="453">
        <v>412038801</v>
      </c>
      <c r="B374" s="453">
        <v>603004883.18641603</v>
      </c>
      <c r="D374" s="453" t="s">
        <v>5167</v>
      </c>
      <c r="E374" s="453" t="s">
        <v>5168</v>
      </c>
    </row>
    <row r="375" spans="1:5">
      <c r="A375" s="453">
        <v>412125203</v>
      </c>
      <c r="B375" s="453">
        <v>603091285.18737996</v>
      </c>
      <c r="D375" s="453" t="s">
        <v>5169</v>
      </c>
      <c r="E375" s="453" t="s">
        <v>5170</v>
      </c>
    </row>
    <row r="376" spans="1:5">
      <c r="A376" s="453">
        <v>412208000</v>
      </c>
      <c r="B376" s="453">
        <v>603174082.18830299</v>
      </c>
      <c r="D376" s="453" t="s">
        <v>5171</v>
      </c>
      <c r="E376" s="453" t="s">
        <v>5172</v>
      </c>
    </row>
    <row r="377" spans="1:5">
      <c r="A377" s="453">
        <v>412258412</v>
      </c>
      <c r="B377" s="453">
        <v>603224494.18888402</v>
      </c>
      <c r="D377" s="453" t="s">
        <v>5173</v>
      </c>
      <c r="E377" s="453" t="s">
        <v>5174</v>
      </c>
    </row>
    <row r="378" spans="1:5">
      <c r="A378" s="453">
        <v>412359202</v>
      </c>
      <c r="B378" s="453">
        <v>603325284.19000399</v>
      </c>
      <c r="D378" s="453" t="s">
        <v>5175</v>
      </c>
      <c r="E378" s="453" t="s">
        <v>5176</v>
      </c>
    </row>
    <row r="379" spans="1:5">
      <c r="A379" s="453">
        <v>412470808</v>
      </c>
      <c r="B379" s="453">
        <v>603436890.19124997</v>
      </c>
      <c r="D379" s="453" t="s">
        <v>5177</v>
      </c>
      <c r="E379" s="453" t="s">
        <v>5178</v>
      </c>
    </row>
    <row r="380" spans="1:5">
      <c r="A380" s="453">
        <v>412553608</v>
      </c>
      <c r="B380" s="453">
        <v>603519690.19217503</v>
      </c>
      <c r="D380" s="453" t="s">
        <v>5179</v>
      </c>
      <c r="E380" s="453" t="s">
        <v>5180</v>
      </c>
    </row>
    <row r="381" spans="1:5">
      <c r="A381" s="453">
        <v>412643612</v>
      </c>
      <c r="B381" s="453">
        <v>603609694.19319201</v>
      </c>
      <c r="D381" s="453" t="s">
        <v>5181</v>
      </c>
      <c r="E381" s="453" t="s">
        <v>5182</v>
      </c>
    </row>
    <row r="382" spans="1:5">
      <c r="A382" s="453">
        <v>412730950</v>
      </c>
      <c r="B382" s="453">
        <v>603697032.19417095</v>
      </c>
      <c r="D382" s="453" t="s">
        <v>5183</v>
      </c>
      <c r="E382" s="453" t="s">
        <v>5184</v>
      </c>
    </row>
    <row r="383" spans="1:5">
      <c r="A383" s="453">
        <v>412791212</v>
      </c>
      <c r="B383" s="453">
        <v>603757294.19484901</v>
      </c>
      <c r="D383" s="453" t="s">
        <v>5185</v>
      </c>
      <c r="E383" s="453" t="s">
        <v>5186</v>
      </c>
    </row>
    <row r="384" spans="1:5">
      <c r="A384" s="453">
        <v>412877615</v>
      </c>
      <c r="B384" s="453">
        <v>603843697.19581497</v>
      </c>
      <c r="D384" s="453" t="s">
        <v>5187</v>
      </c>
      <c r="E384" s="453" t="s">
        <v>5188</v>
      </c>
    </row>
    <row r="385" spans="1:5">
      <c r="A385" s="453">
        <v>412964013</v>
      </c>
      <c r="B385" s="453">
        <v>603930095.19679201</v>
      </c>
      <c r="D385" s="453" t="s">
        <v>5189</v>
      </c>
      <c r="E385" s="453" t="s">
        <v>5190</v>
      </c>
    </row>
    <row r="386" spans="1:5">
      <c r="A386" s="453">
        <v>413075618</v>
      </c>
      <c r="B386" s="453">
        <v>604041700.198053</v>
      </c>
      <c r="D386" s="453" t="s">
        <v>5191</v>
      </c>
      <c r="E386" s="453" t="s">
        <v>5192</v>
      </c>
    </row>
    <row r="387" spans="1:5">
      <c r="A387" s="453">
        <v>413162020</v>
      </c>
      <c r="B387" s="453">
        <v>604128102.19902396</v>
      </c>
      <c r="D387" s="453" t="s">
        <v>5193</v>
      </c>
      <c r="E387" s="453" t="s">
        <v>5194</v>
      </c>
    </row>
    <row r="388" spans="1:5">
      <c r="A388" s="453">
        <v>413248423</v>
      </c>
      <c r="B388" s="453">
        <v>604214505.19999099</v>
      </c>
      <c r="D388" s="453" t="s">
        <v>5195</v>
      </c>
      <c r="E388" s="453" t="s">
        <v>5196</v>
      </c>
    </row>
    <row r="389" spans="1:5">
      <c r="A389" s="453">
        <v>413334828</v>
      </c>
      <c r="B389" s="453">
        <v>604300910.20095801</v>
      </c>
      <c r="D389" s="453" t="s">
        <v>5197</v>
      </c>
      <c r="E389" s="453" t="s">
        <v>5198</v>
      </c>
    </row>
    <row r="390" spans="1:5">
      <c r="A390" s="453">
        <v>413421229</v>
      </c>
      <c r="B390" s="453">
        <v>604387311.20192599</v>
      </c>
      <c r="D390" s="453" t="s">
        <v>5199</v>
      </c>
      <c r="E390" s="453" t="s">
        <v>5200</v>
      </c>
    </row>
    <row r="391" spans="1:5">
      <c r="A391" s="453">
        <v>413453619</v>
      </c>
      <c r="B391" s="453">
        <v>604419701.20229197</v>
      </c>
      <c r="D391" s="453" t="s">
        <v>5201</v>
      </c>
      <c r="E391" s="453" t="s">
        <v>5202</v>
      </c>
    </row>
    <row r="392" spans="1:5">
      <c r="A392" s="453">
        <v>413594033</v>
      </c>
      <c r="B392" s="453">
        <v>604560115.20387495</v>
      </c>
      <c r="D392" s="453" t="s">
        <v>5203</v>
      </c>
      <c r="E392" s="453" t="s">
        <v>5204</v>
      </c>
    </row>
    <row r="393" spans="1:5">
      <c r="A393" s="453">
        <v>413673234</v>
      </c>
      <c r="B393" s="453">
        <v>604639316.20475399</v>
      </c>
      <c r="D393" s="453" t="s">
        <v>5205</v>
      </c>
      <c r="E393" s="453" t="s">
        <v>5206</v>
      </c>
    </row>
    <row r="394" spans="1:5">
      <c r="A394" s="453">
        <v>413766861</v>
      </c>
      <c r="B394" s="453">
        <v>604732943.20583296</v>
      </c>
      <c r="D394" s="453" t="s">
        <v>5207</v>
      </c>
      <c r="E394" s="453" t="s">
        <v>5208</v>
      </c>
    </row>
    <row r="395" spans="1:5">
      <c r="A395" s="453">
        <v>413824465</v>
      </c>
      <c r="B395" s="453">
        <v>604790547.20646095</v>
      </c>
      <c r="D395" s="453" t="s">
        <v>5209</v>
      </c>
      <c r="E395" s="453" t="s">
        <v>5210</v>
      </c>
    </row>
    <row r="396" spans="1:5">
      <c r="A396" s="453">
        <v>414113118</v>
      </c>
      <c r="B396" s="453">
        <v>605079200.20974004</v>
      </c>
      <c r="D396" s="453" t="s">
        <v>5211</v>
      </c>
      <c r="E396" s="453" t="s">
        <v>5212</v>
      </c>
    </row>
    <row r="397" spans="1:5">
      <c r="A397" s="453">
        <v>414170077</v>
      </c>
      <c r="B397" s="453">
        <v>605136159.21035504</v>
      </c>
      <c r="D397" s="453" t="s">
        <v>5213</v>
      </c>
      <c r="E397" s="453" t="s">
        <v>5214</v>
      </c>
    </row>
    <row r="398" spans="1:5">
      <c r="A398" s="453">
        <v>414447343</v>
      </c>
      <c r="B398" s="453">
        <v>605413425.21349001</v>
      </c>
      <c r="D398" s="453" t="s">
        <v>5215</v>
      </c>
      <c r="E398" s="453" t="s">
        <v>5216</v>
      </c>
    </row>
    <row r="399" spans="1:5">
      <c r="A399" s="453">
        <v>414497693</v>
      </c>
      <c r="B399" s="453">
        <v>605463775.21406305</v>
      </c>
      <c r="D399" s="453" t="s">
        <v>5217</v>
      </c>
      <c r="E399" s="453" t="s">
        <v>5218</v>
      </c>
    </row>
    <row r="400" spans="1:5">
      <c r="A400" s="453">
        <v>414630949</v>
      </c>
      <c r="B400" s="453">
        <v>605597031.21555603</v>
      </c>
      <c r="D400" s="453" t="s">
        <v>5219</v>
      </c>
      <c r="E400" s="453" t="s">
        <v>5220</v>
      </c>
    </row>
    <row r="401" spans="1:5">
      <c r="A401" s="453">
        <v>414695706</v>
      </c>
      <c r="B401" s="453">
        <v>605661788.21628797</v>
      </c>
      <c r="D401" s="453" t="s">
        <v>5221</v>
      </c>
      <c r="E401" s="453" t="s">
        <v>5222</v>
      </c>
    </row>
    <row r="402" spans="1:5">
      <c r="A402" s="453">
        <v>414976504</v>
      </c>
      <c r="B402" s="453">
        <v>605942586.219455</v>
      </c>
      <c r="D402" s="453" t="s">
        <v>5223</v>
      </c>
      <c r="E402" s="453" t="s">
        <v>5224</v>
      </c>
    </row>
    <row r="403" spans="1:5">
      <c r="A403" s="453">
        <v>415221366</v>
      </c>
      <c r="B403" s="453">
        <v>606187448.22219896</v>
      </c>
      <c r="D403" s="453" t="s">
        <v>5225</v>
      </c>
      <c r="E403" s="453" t="s">
        <v>5226</v>
      </c>
    </row>
    <row r="404" spans="1:5">
      <c r="A404" s="453">
        <v>415264522</v>
      </c>
      <c r="B404" s="453">
        <v>606230604.22271299</v>
      </c>
      <c r="D404" s="453" t="s">
        <v>5227</v>
      </c>
      <c r="E404" s="453" t="s">
        <v>5228</v>
      </c>
    </row>
    <row r="405" spans="1:5">
      <c r="A405" s="453">
        <v>415476906</v>
      </c>
      <c r="B405" s="453">
        <v>606442988.22509694</v>
      </c>
      <c r="D405" s="453" t="s">
        <v>5229</v>
      </c>
      <c r="E405" s="453" t="s">
        <v>5230</v>
      </c>
    </row>
    <row r="406" spans="1:5">
      <c r="A406" s="453">
        <v>415581313</v>
      </c>
      <c r="B406" s="453">
        <v>606547395.22629702</v>
      </c>
      <c r="D406" s="453" t="s">
        <v>5231</v>
      </c>
      <c r="E406" s="453" t="s">
        <v>5232</v>
      </c>
    </row>
    <row r="407" spans="1:5">
      <c r="A407" s="453">
        <v>415664117</v>
      </c>
      <c r="B407" s="453">
        <v>606630199.22721899</v>
      </c>
      <c r="D407" s="453" t="s">
        <v>5233</v>
      </c>
      <c r="E407" s="453" t="s">
        <v>5234</v>
      </c>
    </row>
    <row r="408" spans="1:5">
      <c r="A408" s="453">
        <v>415754125</v>
      </c>
      <c r="B408" s="453">
        <v>606720207.22824204</v>
      </c>
      <c r="D408" s="453" t="s">
        <v>5235</v>
      </c>
      <c r="E408" s="453" t="s">
        <v>5236</v>
      </c>
    </row>
    <row r="409" spans="1:5">
      <c r="A409" s="453">
        <v>415829726</v>
      </c>
      <c r="B409" s="453">
        <v>606795808.22907901</v>
      </c>
      <c r="D409" s="453" t="s">
        <v>5237</v>
      </c>
      <c r="E409" s="453" t="s">
        <v>5238</v>
      </c>
    </row>
    <row r="410" spans="1:5">
      <c r="A410" s="453">
        <v>415894527</v>
      </c>
      <c r="B410" s="453">
        <v>606860609.229828</v>
      </c>
      <c r="D410" s="453" t="s">
        <v>5239</v>
      </c>
      <c r="E410" s="453" t="s">
        <v>5240</v>
      </c>
    </row>
    <row r="411" spans="1:5">
      <c r="A411" s="453">
        <v>415952125</v>
      </c>
      <c r="B411" s="453">
        <v>606918207.23045897</v>
      </c>
      <c r="D411" s="453" t="s">
        <v>5241</v>
      </c>
      <c r="E411" s="453" t="s">
        <v>5242</v>
      </c>
    </row>
    <row r="412" spans="1:5">
      <c r="A412" s="453">
        <v>416038525</v>
      </c>
      <c r="B412" s="453">
        <v>607004607.23145103</v>
      </c>
      <c r="D412" s="453" t="s">
        <v>5243</v>
      </c>
      <c r="E412" s="453" t="s">
        <v>5244</v>
      </c>
    </row>
    <row r="413" spans="1:5">
      <c r="A413" s="453">
        <v>416186144</v>
      </c>
      <c r="B413" s="453">
        <v>607152226.23312902</v>
      </c>
      <c r="D413" s="453" t="s">
        <v>5245</v>
      </c>
      <c r="E413" s="453" t="s">
        <v>5246</v>
      </c>
    </row>
    <row r="414" spans="1:5">
      <c r="A414" s="453">
        <v>416272549</v>
      </c>
      <c r="B414" s="453">
        <v>607238631.23410904</v>
      </c>
      <c r="D414" s="453" t="s">
        <v>5247</v>
      </c>
      <c r="E414" s="453" t="s">
        <v>5248</v>
      </c>
    </row>
    <row r="415" spans="1:5">
      <c r="A415" s="453">
        <v>416358953</v>
      </c>
      <c r="B415" s="453">
        <v>607325035.23508704</v>
      </c>
      <c r="D415" s="453" t="s">
        <v>5249</v>
      </c>
      <c r="E415" s="453" t="s">
        <v>5250</v>
      </c>
    </row>
    <row r="416" spans="1:5">
      <c r="A416" s="453">
        <v>416416553</v>
      </c>
      <c r="B416" s="453">
        <v>607382635.23572898</v>
      </c>
      <c r="D416" s="453" t="s">
        <v>5251</v>
      </c>
      <c r="E416" s="453" t="s">
        <v>5252</v>
      </c>
    </row>
    <row r="417" spans="1:5">
      <c r="A417" s="453">
        <v>416513755</v>
      </c>
      <c r="B417" s="453">
        <v>607479837.23681605</v>
      </c>
      <c r="D417" s="453" t="s">
        <v>5253</v>
      </c>
      <c r="E417" s="453" t="s">
        <v>5254</v>
      </c>
    </row>
    <row r="418" spans="1:5">
      <c r="A418" s="453">
        <v>416600163</v>
      </c>
      <c r="B418" s="453">
        <v>607566245.23779094</v>
      </c>
      <c r="D418" s="453" t="s">
        <v>5255</v>
      </c>
      <c r="E418" s="453" t="s">
        <v>5256</v>
      </c>
    </row>
    <row r="419" spans="1:5">
      <c r="A419" s="453">
        <v>416790976</v>
      </c>
      <c r="B419" s="453">
        <v>607757058.23999405</v>
      </c>
      <c r="D419" s="453" t="s">
        <v>5257</v>
      </c>
      <c r="E419" s="453" t="s">
        <v>5258</v>
      </c>
    </row>
    <row r="420" spans="1:5">
      <c r="A420" s="453">
        <v>416798165</v>
      </c>
      <c r="B420" s="453">
        <v>607764247.24007404</v>
      </c>
      <c r="D420" s="453" t="s">
        <v>5259</v>
      </c>
      <c r="E420" s="453" t="s">
        <v>5260</v>
      </c>
    </row>
    <row r="421" spans="1:5">
      <c r="A421" s="453">
        <v>416960183</v>
      </c>
      <c r="B421" s="453">
        <v>607926265.24190605</v>
      </c>
      <c r="D421" s="453" t="s">
        <v>5261</v>
      </c>
      <c r="E421" s="453" t="s">
        <v>5262</v>
      </c>
    </row>
    <row r="422" spans="1:5">
      <c r="A422" s="453">
        <v>417042988</v>
      </c>
      <c r="B422" s="453">
        <v>608009070.24284196</v>
      </c>
      <c r="D422" s="453" t="s">
        <v>5263</v>
      </c>
      <c r="E422" s="453" t="s">
        <v>5264</v>
      </c>
    </row>
    <row r="423" spans="1:5">
      <c r="A423" s="453">
        <v>417132992</v>
      </c>
      <c r="B423" s="453">
        <v>608099074.24388099</v>
      </c>
      <c r="D423" s="453" t="s">
        <v>5265</v>
      </c>
      <c r="E423" s="453" t="s">
        <v>5266</v>
      </c>
    </row>
    <row r="424" spans="1:5">
      <c r="A424" s="453">
        <v>417208595</v>
      </c>
      <c r="B424" s="453">
        <v>608174677.24472499</v>
      </c>
      <c r="D424" s="453" t="s">
        <v>5267</v>
      </c>
      <c r="E424" s="453" t="s">
        <v>5268</v>
      </c>
    </row>
    <row r="425" spans="1:5">
      <c r="A425" s="453">
        <v>417298601</v>
      </c>
      <c r="B425" s="453">
        <v>608264683.245749</v>
      </c>
      <c r="D425" s="453" t="s">
        <v>5269</v>
      </c>
      <c r="E425" s="453" t="s">
        <v>5270</v>
      </c>
    </row>
    <row r="426" spans="1:5">
      <c r="A426" s="453">
        <v>417395808</v>
      </c>
      <c r="B426" s="453">
        <v>608361890.24687397</v>
      </c>
      <c r="D426" s="453" t="s">
        <v>5271</v>
      </c>
      <c r="E426" s="453" t="s">
        <v>5272</v>
      </c>
    </row>
    <row r="427" spans="1:5">
      <c r="A427" s="453">
        <v>417475012</v>
      </c>
      <c r="B427" s="453">
        <v>608441094.24776006</v>
      </c>
      <c r="D427" s="453" t="s">
        <v>5273</v>
      </c>
      <c r="E427" s="453" t="s">
        <v>5274</v>
      </c>
    </row>
    <row r="428" spans="1:5">
      <c r="A428" s="453">
        <v>417554212</v>
      </c>
      <c r="B428" s="453">
        <v>608520294.24865699</v>
      </c>
      <c r="D428" s="453" t="s">
        <v>5275</v>
      </c>
      <c r="E428" s="453" t="s">
        <v>5276</v>
      </c>
    </row>
    <row r="429" spans="1:5">
      <c r="A429" s="453">
        <v>417622612</v>
      </c>
      <c r="B429" s="453">
        <v>608588694.24945199</v>
      </c>
      <c r="D429" s="453" t="s">
        <v>5277</v>
      </c>
      <c r="E429" s="453" t="s">
        <v>5278</v>
      </c>
    </row>
    <row r="430" spans="1:5">
      <c r="A430" s="453">
        <v>417734225</v>
      </c>
      <c r="B430" s="453">
        <v>608700307.25073302</v>
      </c>
      <c r="D430" s="453" t="s">
        <v>5279</v>
      </c>
      <c r="E430" s="453" t="s">
        <v>5280</v>
      </c>
    </row>
    <row r="431" spans="1:5">
      <c r="A431" s="453">
        <v>417813428</v>
      </c>
      <c r="B431" s="453">
        <v>608779510.25162697</v>
      </c>
      <c r="D431" s="453" t="s">
        <v>5281</v>
      </c>
      <c r="E431" s="453" t="s">
        <v>5282</v>
      </c>
    </row>
    <row r="432" spans="1:5">
      <c r="A432" s="453">
        <v>417910631</v>
      </c>
      <c r="B432" s="453">
        <v>608876713.25274801</v>
      </c>
      <c r="D432" s="453" t="s">
        <v>5283</v>
      </c>
      <c r="E432" s="453" t="s">
        <v>5284</v>
      </c>
    </row>
    <row r="433" spans="1:5">
      <c r="A433" s="453">
        <v>417989834</v>
      </c>
      <c r="B433" s="453">
        <v>608955916.25364995</v>
      </c>
      <c r="D433" s="453" t="s">
        <v>5285</v>
      </c>
      <c r="E433" s="453" t="s">
        <v>5286</v>
      </c>
    </row>
    <row r="434" spans="1:5">
      <c r="A434" s="453">
        <v>418083444</v>
      </c>
      <c r="B434" s="453">
        <v>609049526.25472796</v>
      </c>
      <c r="D434" s="453" t="s">
        <v>5287</v>
      </c>
      <c r="E434" s="453" t="s">
        <v>5288</v>
      </c>
    </row>
    <row r="435" spans="1:5">
      <c r="A435" s="453">
        <v>418173451</v>
      </c>
      <c r="B435" s="453">
        <v>609139533.255759</v>
      </c>
      <c r="D435" s="453" t="s">
        <v>5289</v>
      </c>
      <c r="E435" s="453" t="s">
        <v>5290</v>
      </c>
    </row>
    <row r="436" spans="1:5">
      <c r="A436" s="453">
        <v>418252649</v>
      </c>
      <c r="B436" s="453">
        <v>609218731.25667298</v>
      </c>
      <c r="D436" s="453" t="s">
        <v>5291</v>
      </c>
      <c r="E436" s="453" t="s">
        <v>5292</v>
      </c>
    </row>
    <row r="437" spans="1:5">
      <c r="A437" s="453">
        <v>418335454</v>
      </c>
      <c r="B437" s="453">
        <v>609301536.25760698</v>
      </c>
      <c r="D437" s="453" t="s">
        <v>5293</v>
      </c>
      <c r="E437" s="453" t="s">
        <v>5294</v>
      </c>
    </row>
    <row r="438" spans="1:5">
      <c r="A438" s="453">
        <v>418429061</v>
      </c>
      <c r="B438" s="453">
        <v>609395143.25869298</v>
      </c>
      <c r="D438" s="453" t="s">
        <v>5295</v>
      </c>
      <c r="E438" s="453" t="s">
        <v>5296</v>
      </c>
    </row>
    <row r="439" spans="1:5">
      <c r="A439" s="453">
        <v>418508262</v>
      </c>
      <c r="B439" s="453">
        <v>609474344.25959396</v>
      </c>
      <c r="D439" s="453" t="s">
        <v>5297</v>
      </c>
      <c r="E439" s="453" t="s">
        <v>5298</v>
      </c>
    </row>
    <row r="440" spans="1:5">
      <c r="A440" s="453">
        <v>418601867</v>
      </c>
      <c r="B440" s="453">
        <v>609567949.26066804</v>
      </c>
      <c r="D440" s="453" t="s">
        <v>5299</v>
      </c>
      <c r="E440" s="453" t="s">
        <v>5300</v>
      </c>
    </row>
    <row r="441" spans="1:5">
      <c r="A441" s="453">
        <v>418673868</v>
      </c>
      <c r="B441" s="453">
        <v>609639950.26148105</v>
      </c>
      <c r="D441" s="453" t="s">
        <v>5301</v>
      </c>
      <c r="E441" s="453" t="s">
        <v>5302</v>
      </c>
    </row>
    <row r="442" spans="1:5">
      <c r="A442" s="453">
        <v>418771076</v>
      </c>
      <c r="B442" s="453">
        <v>609737158.26260495</v>
      </c>
      <c r="D442" s="453" t="s">
        <v>5303</v>
      </c>
      <c r="E442" s="453" t="s">
        <v>5304</v>
      </c>
    </row>
    <row r="443" spans="1:5">
      <c r="A443" s="453">
        <v>418857479</v>
      </c>
      <c r="B443" s="453">
        <v>609823561.26360404</v>
      </c>
      <c r="D443" s="453" t="s">
        <v>5305</v>
      </c>
      <c r="E443" s="453" t="s">
        <v>5306</v>
      </c>
    </row>
    <row r="444" spans="1:5">
      <c r="A444" s="453">
        <v>418918687</v>
      </c>
      <c r="B444" s="453">
        <v>609884769.26429498</v>
      </c>
      <c r="D444" s="453" t="s">
        <v>5307</v>
      </c>
      <c r="E444" s="453" t="s">
        <v>5308</v>
      </c>
    </row>
    <row r="445" spans="1:5">
      <c r="A445" s="453">
        <v>419001482</v>
      </c>
      <c r="B445" s="453">
        <v>609967564.26524198</v>
      </c>
      <c r="D445" s="453" t="s">
        <v>5309</v>
      </c>
      <c r="E445" s="453" t="s">
        <v>5310</v>
      </c>
    </row>
    <row r="446" spans="1:5">
      <c r="A446" s="453">
        <v>419116692</v>
      </c>
      <c r="B446" s="453">
        <v>610082774.26658297</v>
      </c>
      <c r="D446" s="453" t="s">
        <v>5311</v>
      </c>
      <c r="E446" s="453" t="s">
        <v>5312</v>
      </c>
    </row>
    <row r="447" spans="1:5">
      <c r="A447" s="453">
        <v>419296709</v>
      </c>
      <c r="B447" s="453">
        <v>610262791.26865196</v>
      </c>
      <c r="D447" s="453" t="s">
        <v>5313</v>
      </c>
      <c r="E447" s="453" t="s">
        <v>5314</v>
      </c>
    </row>
    <row r="448" spans="1:5">
      <c r="A448" s="453">
        <v>419361497</v>
      </c>
      <c r="B448" s="453">
        <v>610327579.26938701</v>
      </c>
      <c r="D448" s="453" t="s">
        <v>5315</v>
      </c>
      <c r="E448" s="453" t="s">
        <v>5316</v>
      </c>
    </row>
    <row r="449" spans="1:5">
      <c r="A449" s="453">
        <v>419462305</v>
      </c>
      <c r="B449" s="453">
        <v>610428387.27057004</v>
      </c>
      <c r="D449" s="453" t="s">
        <v>5317</v>
      </c>
      <c r="E449" s="453" t="s">
        <v>5318</v>
      </c>
    </row>
    <row r="450" spans="1:5">
      <c r="A450" s="453">
        <v>419537905</v>
      </c>
      <c r="B450" s="453">
        <v>610503987.27142596</v>
      </c>
      <c r="D450" s="453" t="s">
        <v>5319</v>
      </c>
      <c r="E450" s="453" t="s">
        <v>5320</v>
      </c>
    </row>
    <row r="451" spans="1:5">
      <c r="A451" s="453">
        <v>419728739</v>
      </c>
      <c r="B451" s="453">
        <v>610694821.27363598</v>
      </c>
      <c r="D451" s="453" t="s">
        <v>5321</v>
      </c>
      <c r="E451" s="453" t="s">
        <v>5322</v>
      </c>
    </row>
    <row r="452" spans="1:5">
      <c r="A452" s="453">
        <v>419815146</v>
      </c>
      <c r="B452" s="453">
        <v>610781228.274634</v>
      </c>
      <c r="D452" s="453" t="s">
        <v>5323</v>
      </c>
      <c r="E452" s="453" t="s">
        <v>5324</v>
      </c>
    </row>
    <row r="453" spans="1:5">
      <c r="A453" s="453">
        <v>419872736</v>
      </c>
      <c r="B453" s="453">
        <v>610838818.275298</v>
      </c>
      <c r="D453" s="453" t="s">
        <v>5325</v>
      </c>
      <c r="E453" s="453" t="s">
        <v>5326</v>
      </c>
    </row>
    <row r="454" spans="1:5">
      <c r="A454" s="453">
        <v>419987951</v>
      </c>
      <c r="B454" s="453">
        <v>610954033.27662396</v>
      </c>
      <c r="D454" s="453" t="s">
        <v>5327</v>
      </c>
      <c r="E454" s="453" t="s">
        <v>5328</v>
      </c>
    </row>
    <row r="455" spans="1:5">
      <c r="A455" s="453">
        <v>420074357</v>
      </c>
      <c r="B455" s="453">
        <v>611040439.277632</v>
      </c>
      <c r="D455" s="453" t="s">
        <v>5329</v>
      </c>
      <c r="E455" s="453" t="s">
        <v>5330</v>
      </c>
    </row>
    <row r="456" spans="1:5">
      <c r="A456" s="453">
        <v>420146328</v>
      </c>
      <c r="B456" s="453">
        <v>611112410.27844405</v>
      </c>
      <c r="D456" s="453" t="s">
        <v>5331</v>
      </c>
      <c r="E456" s="453" t="s">
        <v>5332</v>
      </c>
    </row>
    <row r="457" spans="1:5">
      <c r="A457" s="453">
        <v>420239933</v>
      </c>
      <c r="B457" s="453">
        <v>611206015.27952802</v>
      </c>
      <c r="D457" s="453" t="s">
        <v>5333</v>
      </c>
      <c r="E457" s="453" t="s">
        <v>5334</v>
      </c>
    </row>
    <row r="458" spans="1:5">
      <c r="A458" s="453">
        <v>420333566</v>
      </c>
      <c r="B458" s="453">
        <v>611299648.28062797</v>
      </c>
      <c r="D458" s="453" t="s">
        <v>5335</v>
      </c>
      <c r="E458" s="453" t="s">
        <v>5336</v>
      </c>
    </row>
    <row r="459" spans="1:5">
      <c r="A459" s="453">
        <v>420416352</v>
      </c>
      <c r="B459" s="453">
        <v>611382434.28157604</v>
      </c>
      <c r="D459" s="453" t="s">
        <v>5337</v>
      </c>
      <c r="E459" s="453" t="s">
        <v>5338</v>
      </c>
    </row>
    <row r="460" spans="1:5">
      <c r="A460" s="453">
        <v>420488336</v>
      </c>
      <c r="B460" s="453">
        <v>611454418.28239298</v>
      </c>
      <c r="D460" s="453" t="s">
        <v>5339</v>
      </c>
      <c r="E460" s="453" t="s">
        <v>5340</v>
      </c>
    </row>
    <row r="461" spans="1:5">
      <c r="A461" s="453">
        <v>420581942</v>
      </c>
      <c r="B461" s="453">
        <v>611548024.28350306</v>
      </c>
      <c r="D461" s="453" t="s">
        <v>5341</v>
      </c>
      <c r="E461" s="453" t="s">
        <v>5342</v>
      </c>
    </row>
    <row r="462" spans="1:5">
      <c r="A462" s="453">
        <v>420671949</v>
      </c>
      <c r="B462" s="453">
        <v>611638031.28454006</v>
      </c>
      <c r="D462" s="453" t="s">
        <v>5343</v>
      </c>
      <c r="E462" s="453" t="s">
        <v>5344</v>
      </c>
    </row>
    <row r="463" spans="1:5">
      <c r="A463" s="453">
        <v>420743945</v>
      </c>
      <c r="B463" s="453">
        <v>611710027.28535497</v>
      </c>
      <c r="D463" s="453" t="s">
        <v>5345</v>
      </c>
      <c r="E463" s="453" t="s">
        <v>5346</v>
      </c>
    </row>
    <row r="464" spans="1:5">
      <c r="A464" s="453">
        <v>420833949</v>
      </c>
      <c r="B464" s="453">
        <v>611800031.28640199</v>
      </c>
      <c r="D464" s="453" t="s">
        <v>5347</v>
      </c>
      <c r="E464" s="453" t="s">
        <v>5348</v>
      </c>
    </row>
    <row r="465" spans="1:5">
      <c r="A465" s="453">
        <v>420934782</v>
      </c>
      <c r="B465" s="453">
        <v>611900864.28758204</v>
      </c>
      <c r="D465" s="453" t="s">
        <v>5349</v>
      </c>
      <c r="E465" s="453" t="s">
        <v>5350</v>
      </c>
    </row>
    <row r="466" spans="1:5">
      <c r="A466" s="453">
        <v>421021176</v>
      </c>
      <c r="B466" s="453">
        <v>611987258.28858805</v>
      </c>
      <c r="D466" s="453" t="s">
        <v>5351</v>
      </c>
      <c r="E466" s="453" t="s">
        <v>5352</v>
      </c>
    </row>
    <row r="467" spans="1:5">
      <c r="A467" s="453">
        <v>421078771</v>
      </c>
      <c r="B467" s="453">
        <v>612044853.28925002</v>
      </c>
      <c r="D467" s="453" t="s">
        <v>5353</v>
      </c>
      <c r="E467" s="453" t="s">
        <v>5354</v>
      </c>
    </row>
    <row r="468" spans="1:5">
      <c r="A468" s="453">
        <v>421193985</v>
      </c>
      <c r="B468" s="453">
        <v>612160067.29060102</v>
      </c>
      <c r="D468" s="453" t="s">
        <v>5355</v>
      </c>
      <c r="E468" s="453" t="s">
        <v>5356</v>
      </c>
    </row>
    <row r="469" spans="1:5">
      <c r="A469" s="453">
        <v>421276768</v>
      </c>
      <c r="B469" s="453">
        <v>612242850.29155397</v>
      </c>
      <c r="D469" s="453" t="s">
        <v>5357</v>
      </c>
      <c r="E469" s="453" t="s">
        <v>5358</v>
      </c>
    </row>
    <row r="470" spans="1:5">
      <c r="A470" s="453">
        <v>421366784</v>
      </c>
      <c r="B470" s="453">
        <v>612332866.292593</v>
      </c>
      <c r="D470" s="453" t="s">
        <v>5359</v>
      </c>
      <c r="E470" s="453" t="s">
        <v>5360</v>
      </c>
    </row>
    <row r="471" spans="1:5">
      <c r="A471" s="453">
        <v>421539587</v>
      </c>
      <c r="B471" s="453">
        <v>612505669.294613</v>
      </c>
      <c r="D471" s="453" t="s">
        <v>5361</v>
      </c>
      <c r="E471" s="453" t="s">
        <v>5362</v>
      </c>
    </row>
    <row r="472" spans="1:5">
      <c r="A472" s="453">
        <v>421625995</v>
      </c>
      <c r="B472" s="453">
        <v>612592077.29561305</v>
      </c>
      <c r="D472" s="453" t="s">
        <v>5363</v>
      </c>
      <c r="E472" s="453" t="s">
        <v>5364</v>
      </c>
    </row>
    <row r="473" spans="1:5">
      <c r="A473" s="453">
        <v>421701565</v>
      </c>
      <c r="B473" s="453">
        <v>612667647.29648399</v>
      </c>
      <c r="D473" s="453" t="s">
        <v>5365</v>
      </c>
      <c r="E473" s="453" t="s">
        <v>5366</v>
      </c>
    </row>
    <row r="474" spans="1:5">
      <c r="A474" s="453">
        <v>421798792</v>
      </c>
      <c r="B474" s="453">
        <v>612764874.297611</v>
      </c>
      <c r="D474" s="453" t="s">
        <v>5367</v>
      </c>
      <c r="E474" s="453" t="s">
        <v>5368</v>
      </c>
    </row>
    <row r="475" spans="1:5">
      <c r="A475" s="453">
        <v>421881576</v>
      </c>
      <c r="B475" s="453">
        <v>612847658.29858601</v>
      </c>
      <c r="D475" s="453" t="s">
        <v>5369</v>
      </c>
      <c r="E475" s="453" t="s">
        <v>5370</v>
      </c>
    </row>
    <row r="476" spans="1:5">
      <c r="A476" s="453">
        <v>421967976</v>
      </c>
      <c r="B476" s="453">
        <v>612934058.29958403</v>
      </c>
      <c r="D476" s="453" t="s">
        <v>5371</v>
      </c>
      <c r="E476" s="453" t="s">
        <v>5372</v>
      </c>
    </row>
    <row r="477" spans="1:5">
      <c r="A477" s="453">
        <v>422025588</v>
      </c>
      <c r="B477" s="453">
        <v>612991670.30024803</v>
      </c>
      <c r="D477" s="453" t="s">
        <v>5373</v>
      </c>
      <c r="E477" s="453" t="s">
        <v>5374</v>
      </c>
    </row>
    <row r="478" spans="1:5">
      <c r="A478" s="453">
        <v>422140781</v>
      </c>
      <c r="B478" s="453">
        <v>613106863.30160105</v>
      </c>
      <c r="D478" s="453" t="s">
        <v>5375</v>
      </c>
      <c r="E478" s="453" t="s">
        <v>5376</v>
      </c>
    </row>
    <row r="479" spans="1:5">
      <c r="A479" s="453">
        <v>422198391</v>
      </c>
      <c r="B479" s="453">
        <v>613164473.30226004</v>
      </c>
      <c r="D479" s="453" t="s">
        <v>5377</v>
      </c>
      <c r="E479" s="453" t="s">
        <v>5378</v>
      </c>
    </row>
    <row r="480" spans="1:5">
      <c r="A480" s="453">
        <v>422320857</v>
      </c>
      <c r="B480" s="453">
        <v>613286939.30367303</v>
      </c>
      <c r="D480" s="453" t="s">
        <v>5379</v>
      </c>
      <c r="E480" s="453" t="s">
        <v>5380</v>
      </c>
    </row>
    <row r="481" spans="1:5">
      <c r="A481" s="453">
        <v>422385566</v>
      </c>
      <c r="B481" s="453">
        <v>613351648.30444098</v>
      </c>
      <c r="D481" s="453" t="s">
        <v>5381</v>
      </c>
      <c r="E481" s="453" t="s">
        <v>5382</v>
      </c>
    </row>
    <row r="482" spans="1:5">
      <c r="A482" s="453">
        <v>422468367</v>
      </c>
      <c r="B482" s="453">
        <v>613434449.30538797</v>
      </c>
      <c r="D482" s="453" t="s">
        <v>5383</v>
      </c>
      <c r="E482" s="453" t="s">
        <v>5384</v>
      </c>
    </row>
    <row r="483" spans="1:5">
      <c r="A483" s="453">
        <v>422572792</v>
      </c>
      <c r="B483" s="453">
        <v>613538874.30663097</v>
      </c>
      <c r="D483" s="453" t="s">
        <v>5385</v>
      </c>
      <c r="E483" s="453" t="s">
        <v>5386</v>
      </c>
    </row>
    <row r="484" spans="1:5">
      <c r="A484" s="453">
        <v>422641166</v>
      </c>
      <c r="B484" s="453">
        <v>613607248.30741501</v>
      </c>
      <c r="D484" s="453" t="s">
        <v>5387</v>
      </c>
      <c r="E484" s="453" t="s">
        <v>5388</v>
      </c>
    </row>
    <row r="485" spans="1:5">
      <c r="A485" s="453">
        <v>422745594</v>
      </c>
      <c r="B485" s="453">
        <v>613711676.30864704</v>
      </c>
      <c r="D485" s="453" t="s">
        <v>5389</v>
      </c>
      <c r="E485" s="453" t="s">
        <v>5390</v>
      </c>
    </row>
    <row r="486" spans="1:5">
      <c r="A486" s="453">
        <v>422792364</v>
      </c>
      <c r="B486" s="453">
        <v>613758446.30916595</v>
      </c>
      <c r="D486" s="453" t="s">
        <v>5391</v>
      </c>
      <c r="E486" s="453" t="s">
        <v>5392</v>
      </c>
    </row>
    <row r="487" spans="1:5">
      <c r="A487" s="453">
        <v>422918397</v>
      </c>
      <c r="B487" s="453">
        <v>613884479.31065404</v>
      </c>
      <c r="D487" s="453" t="s">
        <v>5393</v>
      </c>
      <c r="E487" s="453" t="s">
        <v>5394</v>
      </c>
    </row>
    <row r="488" spans="1:5">
      <c r="A488" s="453">
        <v>422972384</v>
      </c>
      <c r="B488" s="453">
        <v>613938466.311288</v>
      </c>
      <c r="D488" s="453" t="s">
        <v>5395</v>
      </c>
      <c r="E488" s="453" t="s">
        <v>5396</v>
      </c>
    </row>
    <row r="489" spans="1:5">
      <c r="A489" s="453">
        <v>423058783</v>
      </c>
      <c r="B489" s="453">
        <v>614024865.31228495</v>
      </c>
      <c r="D489" s="453" t="s">
        <v>5397</v>
      </c>
      <c r="E489" s="453" t="s">
        <v>5398</v>
      </c>
    </row>
    <row r="490" spans="1:5">
      <c r="A490" s="453">
        <v>423177589</v>
      </c>
      <c r="B490" s="453">
        <v>614143671.31367302</v>
      </c>
      <c r="D490" s="453" t="s">
        <v>5399</v>
      </c>
      <c r="E490" s="453" t="s">
        <v>5400</v>
      </c>
    </row>
    <row r="491" spans="1:5">
      <c r="A491" s="453">
        <v>423231582</v>
      </c>
      <c r="B491" s="453">
        <v>614197664.31430101</v>
      </c>
      <c r="D491" s="453" t="s">
        <v>5401</v>
      </c>
      <c r="E491" s="453" t="s">
        <v>5402</v>
      </c>
    </row>
    <row r="492" spans="1:5">
      <c r="A492" s="453">
        <v>423317978</v>
      </c>
      <c r="B492" s="453">
        <v>614284060.31531203</v>
      </c>
      <c r="D492" s="453" t="s">
        <v>5403</v>
      </c>
      <c r="E492" s="453" t="s">
        <v>5404</v>
      </c>
    </row>
    <row r="493" spans="1:5">
      <c r="A493" s="453">
        <v>423422358</v>
      </c>
      <c r="B493" s="453">
        <v>614388440.31653094</v>
      </c>
      <c r="D493" s="453" t="s">
        <v>5405</v>
      </c>
      <c r="E493" s="453" t="s">
        <v>5406</v>
      </c>
    </row>
    <row r="494" spans="1:5">
      <c r="A494" s="453">
        <v>423508756</v>
      </c>
      <c r="B494" s="453">
        <v>614474838.31752706</v>
      </c>
      <c r="D494" s="453" t="s">
        <v>5407</v>
      </c>
      <c r="E494" s="453" t="s">
        <v>5408</v>
      </c>
    </row>
    <row r="495" spans="1:5">
      <c r="A495" s="453">
        <v>423606027</v>
      </c>
      <c r="B495" s="453">
        <v>614572109.31868196</v>
      </c>
      <c r="D495" s="453" t="s">
        <v>5409</v>
      </c>
      <c r="E495" s="453" t="s">
        <v>5410</v>
      </c>
    </row>
    <row r="496" spans="1:5">
      <c r="A496" s="453">
        <v>423692376</v>
      </c>
      <c r="B496" s="453">
        <v>614658458.31967402</v>
      </c>
      <c r="D496" s="453" t="s">
        <v>5411</v>
      </c>
      <c r="E496" s="453" t="s">
        <v>5412</v>
      </c>
    </row>
    <row r="497" spans="1:5">
      <c r="A497" s="453">
        <v>423749974</v>
      </c>
      <c r="B497" s="453">
        <v>614716056.32036102</v>
      </c>
      <c r="D497" s="453" t="s">
        <v>5413</v>
      </c>
      <c r="E497" s="453" t="s">
        <v>5414</v>
      </c>
    </row>
    <row r="498" spans="1:5">
      <c r="A498" s="453">
        <v>423865175</v>
      </c>
      <c r="B498" s="453">
        <v>614831257.32170904</v>
      </c>
      <c r="D498" s="453" t="s">
        <v>5415</v>
      </c>
      <c r="E498" s="453" t="s">
        <v>5416</v>
      </c>
    </row>
    <row r="499" spans="1:5">
      <c r="A499" s="453">
        <v>424037973</v>
      </c>
      <c r="B499" s="453">
        <v>615004055.32371402</v>
      </c>
      <c r="D499" s="453" t="s">
        <v>5417</v>
      </c>
      <c r="E499" s="453" t="s">
        <v>5418</v>
      </c>
    </row>
    <row r="500" spans="1:5">
      <c r="A500" s="453">
        <v>424091962</v>
      </c>
      <c r="B500" s="453">
        <v>615058044.32434702</v>
      </c>
      <c r="D500" s="453" t="s">
        <v>5419</v>
      </c>
      <c r="E500" s="453" t="s">
        <v>5420</v>
      </c>
    </row>
    <row r="501" spans="1:5">
      <c r="A501" s="453">
        <v>424210769</v>
      </c>
      <c r="B501" s="453">
        <v>615176851.32572997</v>
      </c>
      <c r="D501" s="453" t="s">
        <v>5421</v>
      </c>
      <c r="E501" s="453" t="s">
        <v>5422</v>
      </c>
    </row>
    <row r="502" spans="1:5">
      <c r="A502" s="453">
        <v>424289941</v>
      </c>
      <c r="B502" s="453">
        <v>615256023.326653</v>
      </c>
      <c r="D502" s="453" t="s">
        <v>5423</v>
      </c>
      <c r="E502" s="453" t="s">
        <v>5424</v>
      </c>
    </row>
    <row r="503" spans="1:5">
      <c r="A503" s="453">
        <v>424379943</v>
      </c>
      <c r="B503" s="453">
        <v>615346025.32771504</v>
      </c>
      <c r="D503" s="453" t="s">
        <v>5425</v>
      </c>
      <c r="E503" s="453" t="s">
        <v>5426</v>
      </c>
    </row>
    <row r="504" spans="1:5">
      <c r="A504" s="453">
        <v>424459130</v>
      </c>
      <c r="B504" s="453">
        <v>615425212.32863498</v>
      </c>
      <c r="D504" s="453" t="s">
        <v>5427</v>
      </c>
      <c r="E504" s="453" t="s">
        <v>5428</v>
      </c>
    </row>
    <row r="505" spans="1:5">
      <c r="A505" s="453">
        <v>424523947</v>
      </c>
      <c r="B505" s="453">
        <v>615490029.32937503</v>
      </c>
      <c r="D505" s="453" t="s">
        <v>5429</v>
      </c>
      <c r="E505" s="453" t="s">
        <v>5430</v>
      </c>
    </row>
    <row r="506" spans="1:5">
      <c r="A506" s="453">
        <v>424653602</v>
      </c>
      <c r="B506" s="453">
        <v>615619684.33089602</v>
      </c>
      <c r="D506" s="453" t="s">
        <v>5431</v>
      </c>
      <c r="E506" s="453" t="s">
        <v>5432</v>
      </c>
    </row>
    <row r="507" spans="1:5">
      <c r="A507" s="453">
        <v>424718318</v>
      </c>
      <c r="B507" s="453">
        <v>615684400.33165205</v>
      </c>
      <c r="D507" s="453" t="s">
        <v>5433</v>
      </c>
      <c r="E507" s="453" t="s">
        <v>5434</v>
      </c>
    </row>
    <row r="508" spans="1:5">
      <c r="A508" s="453">
        <v>424811942</v>
      </c>
      <c r="B508" s="453">
        <v>615778024.33275604</v>
      </c>
      <c r="D508" s="453" t="s">
        <v>5435</v>
      </c>
      <c r="E508" s="453" t="s">
        <v>5436</v>
      </c>
    </row>
    <row r="509" spans="1:5">
      <c r="A509" s="453">
        <v>424912784</v>
      </c>
      <c r="B509" s="453">
        <v>615878866.333884</v>
      </c>
      <c r="D509" s="453" t="s">
        <v>5437</v>
      </c>
      <c r="E509" s="453" t="s">
        <v>5438</v>
      </c>
    </row>
    <row r="510" spans="1:5">
      <c r="A510" s="453">
        <v>424955929</v>
      </c>
      <c r="B510" s="453">
        <v>615922011.33443105</v>
      </c>
      <c r="D510" s="453" t="s">
        <v>5439</v>
      </c>
      <c r="E510" s="453" t="s">
        <v>5440</v>
      </c>
    </row>
    <row r="511" spans="1:5">
      <c r="A511" s="453">
        <v>425067514</v>
      </c>
      <c r="B511" s="453">
        <v>616033596.33572495</v>
      </c>
      <c r="D511" s="453" t="s">
        <v>5441</v>
      </c>
      <c r="E511" s="453" t="s">
        <v>5442</v>
      </c>
    </row>
    <row r="512" spans="1:5">
      <c r="A512" s="453">
        <v>425171978</v>
      </c>
      <c r="B512" s="453">
        <v>616138060.336941</v>
      </c>
      <c r="D512" s="453" t="s">
        <v>5443</v>
      </c>
      <c r="E512" s="453" t="s">
        <v>5444</v>
      </c>
    </row>
    <row r="513" spans="1:5">
      <c r="A513" s="453">
        <v>425243910</v>
      </c>
      <c r="B513" s="453">
        <v>616209992.33779204</v>
      </c>
      <c r="D513" s="453" t="s">
        <v>5445</v>
      </c>
      <c r="E513" s="453" t="s">
        <v>5446</v>
      </c>
    </row>
    <row r="514" spans="1:5">
      <c r="A514" s="453">
        <v>425315890</v>
      </c>
      <c r="B514" s="453">
        <v>616281972.33863199</v>
      </c>
      <c r="D514" s="453" t="s">
        <v>5447</v>
      </c>
      <c r="E514" s="453" t="s">
        <v>5448</v>
      </c>
    </row>
    <row r="515" spans="1:5">
      <c r="A515" s="453">
        <v>425384295</v>
      </c>
      <c r="B515" s="453">
        <v>616350377.33942294</v>
      </c>
      <c r="D515" s="453" t="s">
        <v>5449</v>
      </c>
      <c r="E515" s="453" t="s">
        <v>5450</v>
      </c>
    </row>
    <row r="516" spans="1:5">
      <c r="A516" s="453">
        <v>425517563</v>
      </c>
      <c r="B516" s="453">
        <v>616483645.34098399</v>
      </c>
      <c r="D516" s="453" t="s">
        <v>5451</v>
      </c>
      <c r="E516" s="453" t="s">
        <v>5452</v>
      </c>
    </row>
    <row r="517" spans="1:5">
      <c r="A517" s="453">
        <v>425582277</v>
      </c>
      <c r="B517" s="453">
        <v>616548359.34174204</v>
      </c>
      <c r="D517" s="453" t="s">
        <v>5453</v>
      </c>
      <c r="E517" s="453" t="s">
        <v>5454</v>
      </c>
    </row>
    <row r="518" spans="1:5">
      <c r="A518" s="453">
        <v>425661467</v>
      </c>
      <c r="B518" s="453">
        <v>616627549.34265494</v>
      </c>
      <c r="D518" s="453" t="s">
        <v>5455</v>
      </c>
      <c r="E518" s="453" t="s">
        <v>5456</v>
      </c>
    </row>
    <row r="519" spans="1:5">
      <c r="A519" s="453">
        <v>425751465</v>
      </c>
      <c r="B519" s="453">
        <v>616717547.34370995</v>
      </c>
      <c r="D519" s="453" t="s">
        <v>5457</v>
      </c>
      <c r="E519" s="453" t="s">
        <v>5458</v>
      </c>
    </row>
    <row r="520" spans="1:5">
      <c r="A520" s="453">
        <v>425845076</v>
      </c>
      <c r="B520" s="453">
        <v>616811158.34481502</v>
      </c>
      <c r="D520" s="453" t="s">
        <v>5459</v>
      </c>
      <c r="E520" s="453" t="s">
        <v>5460</v>
      </c>
    </row>
    <row r="521" spans="1:5">
      <c r="A521" s="453">
        <v>425924255</v>
      </c>
      <c r="B521" s="453">
        <v>616890337.34573805</v>
      </c>
      <c r="D521" s="453" t="s">
        <v>5461</v>
      </c>
      <c r="E521" s="453" t="s">
        <v>5462</v>
      </c>
    </row>
    <row r="522" spans="1:5">
      <c r="A522" s="453">
        <v>426104256</v>
      </c>
      <c r="B522" s="453">
        <v>617070338.34783399</v>
      </c>
      <c r="D522" s="453" t="s">
        <v>5463</v>
      </c>
      <c r="E522" s="453" t="s">
        <v>5464</v>
      </c>
    </row>
    <row r="523" spans="1:5">
      <c r="A523" s="453">
        <v>426161856</v>
      </c>
      <c r="B523" s="453">
        <v>617127938.34851003</v>
      </c>
      <c r="D523" s="453" t="s">
        <v>5465</v>
      </c>
      <c r="E523" s="453" t="s">
        <v>5466</v>
      </c>
    </row>
    <row r="524" spans="1:5">
      <c r="A524" s="453">
        <v>426295103</v>
      </c>
      <c r="B524" s="453">
        <v>617261185.35003996</v>
      </c>
      <c r="D524" s="453" t="s">
        <v>5467</v>
      </c>
      <c r="E524" s="453" t="s">
        <v>5468</v>
      </c>
    </row>
    <row r="525" spans="1:5">
      <c r="A525" s="453">
        <v>426356226</v>
      </c>
      <c r="B525" s="453">
        <v>617322308.35076499</v>
      </c>
      <c r="D525" s="453" t="s">
        <v>5469</v>
      </c>
      <c r="E525" s="453" t="s">
        <v>5470</v>
      </c>
    </row>
    <row r="526" spans="1:5">
      <c r="A526" s="453">
        <v>426446227</v>
      </c>
      <c r="B526" s="453">
        <v>617412309.35182905</v>
      </c>
      <c r="D526" s="453" t="s">
        <v>5471</v>
      </c>
      <c r="E526" s="453" t="s">
        <v>5472</v>
      </c>
    </row>
    <row r="527" spans="1:5">
      <c r="A527" s="453">
        <v>426507428</v>
      </c>
      <c r="B527" s="453">
        <v>617473510.352525</v>
      </c>
      <c r="D527" s="453" t="s">
        <v>5473</v>
      </c>
      <c r="E527" s="453" t="s">
        <v>5474</v>
      </c>
    </row>
    <row r="528" spans="1:5">
      <c r="A528" s="453">
        <v>426611802</v>
      </c>
      <c r="B528" s="453">
        <v>617577884.35374999</v>
      </c>
      <c r="D528" s="453" t="s">
        <v>5475</v>
      </c>
      <c r="E528" s="453" t="s">
        <v>5476</v>
      </c>
    </row>
    <row r="529" spans="1:5">
      <c r="A529" s="453">
        <v>426709018</v>
      </c>
      <c r="B529" s="453">
        <v>617675100.35488296</v>
      </c>
      <c r="D529" s="453" t="s">
        <v>5477</v>
      </c>
      <c r="E529" s="453" t="s">
        <v>5478</v>
      </c>
    </row>
    <row r="530" spans="1:5">
      <c r="A530" s="453">
        <v>426780985</v>
      </c>
      <c r="B530" s="453">
        <v>617747067.35570705</v>
      </c>
      <c r="D530" s="453" t="s">
        <v>5479</v>
      </c>
      <c r="E530" s="453" t="s">
        <v>5480</v>
      </c>
    </row>
    <row r="531" spans="1:5">
      <c r="A531" s="453">
        <v>426874583</v>
      </c>
      <c r="B531" s="453">
        <v>617840665.35680997</v>
      </c>
      <c r="D531" s="453" t="s">
        <v>5481</v>
      </c>
      <c r="E531" s="453" t="s">
        <v>5482</v>
      </c>
    </row>
    <row r="532" spans="1:5">
      <c r="A532" s="453">
        <v>426935794</v>
      </c>
      <c r="B532" s="453">
        <v>617901876.35750699</v>
      </c>
      <c r="D532" s="453" t="s">
        <v>5483</v>
      </c>
      <c r="E532" s="453" t="s">
        <v>5484</v>
      </c>
    </row>
    <row r="533" spans="1:5">
      <c r="A533" s="453">
        <v>427040164</v>
      </c>
      <c r="B533" s="453">
        <v>618006246.35871994</v>
      </c>
      <c r="D533" s="453" t="s">
        <v>5485</v>
      </c>
      <c r="E533" s="453" t="s">
        <v>5486</v>
      </c>
    </row>
    <row r="534" spans="1:5">
      <c r="A534" s="453">
        <v>427159041</v>
      </c>
      <c r="B534" s="453">
        <v>618125123.36009002</v>
      </c>
      <c r="D534" s="453" t="s">
        <v>5487</v>
      </c>
      <c r="E534" s="453" t="s">
        <v>5488</v>
      </c>
    </row>
    <row r="535" spans="1:5">
      <c r="A535" s="453">
        <v>427245436</v>
      </c>
      <c r="B535" s="453">
        <v>618211518.361094</v>
      </c>
      <c r="D535" s="453" t="s">
        <v>5489</v>
      </c>
      <c r="E535" s="453" t="s">
        <v>5490</v>
      </c>
    </row>
    <row r="536" spans="1:5">
      <c r="A536" s="453">
        <v>427310163</v>
      </c>
      <c r="B536" s="453">
        <v>618276245.36188102</v>
      </c>
      <c r="D536" s="453" t="s">
        <v>5491</v>
      </c>
      <c r="E536" s="453" t="s">
        <v>5492</v>
      </c>
    </row>
    <row r="537" spans="1:5">
      <c r="A537" s="453">
        <v>427367760</v>
      </c>
      <c r="B537" s="453">
        <v>618333842.36255002</v>
      </c>
      <c r="D537" s="453" t="s">
        <v>5493</v>
      </c>
      <c r="E537" s="453" t="s">
        <v>5494</v>
      </c>
    </row>
    <row r="538" spans="1:5">
      <c r="A538" s="453">
        <v>427504604</v>
      </c>
      <c r="B538" s="453">
        <v>618470686.36414397</v>
      </c>
      <c r="D538" s="453" t="s">
        <v>5495</v>
      </c>
      <c r="E538" s="453" t="s">
        <v>5496</v>
      </c>
    </row>
    <row r="539" spans="1:5">
      <c r="A539" s="453">
        <v>427562120</v>
      </c>
      <c r="B539" s="453">
        <v>618528202.36480606</v>
      </c>
      <c r="D539" s="453" t="s">
        <v>5497</v>
      </c>
      <c r="E539" s="453" t="s">
        <v>5498</v>
      </c>
    </row>
    <row r="540" spans="1:5">
      <c r="A540" s="453">
        <v>427652119</v>
      </c>
      <c r="B540" s="453">
        <v>618618201.36584997</v>
      </c>
      <c r="D540" s="453" t="s">
        <v>5499</v>
      </c>
      <c r="E540" s="453" t="s">
        <v>5500</v>
      </c>
    </row>
    <row r="541" spans="1:5">
      <c r="A541" s="453">
        <v>427734906</v>
      </c>
      <c r="B541" s="453">
        <v>618700988.36681104</v>
      </c>
      <c r="D541" s="453" t="s">
        <v>5501</v>
      </c>
      <c r="E541" s="453" t="s">
        <v>5502</v>
      </c>
    </row>
    <row r="542" spans="1:5">
      <c r="A542" s="453">
        <v>427850167</v>
      </c>
      <c r="B542" s="453">
        <v>618816249.36815405</v>
      </c>
      <c r="D542" s="453" t="s">
        <v>5503</v>
      </c>
      <c r="E542" s="453" t="s">
        <v>5504</v>
      </c>
    </row>
    <row r="543" spans="1:5">
      <c r="A543" s="453">
        <v>427936558</v>
      </c>
      <c r="B543" s="453">
        <v>618902640.36913705</v>
      </c>
      <c r="D543" s="453" t="s">
        <v>5505</v>
      </c>
      <c r="E543" s="453" t="s">
        <v>5506</v>
      </c>
    </row>
    <row r="544" spans="1:5">
      <c r="A544" s="453">
        <v>427997681</v>
      </c>
      <c r="B544" s="453">
        <v>618963763.36987197</v>
      </c>
      <c r="D544" s="453" t="s">
        <v>5507</v>
      </c>
      <c r="E544" s="453" t="s">
        <v>5508</v>
      </c>
    </row>
    <row r="545" spans="1:5">
      <c r="A545" s="453">
        <v>428076868</v>
      </c>
      <c r="B545" s="453">
        <v>619042950.37077796</v>
      </c>
      <c r="D545" s="453" t="s">
        <v>5509</v>
      </c>
      <c r="E545" s="453" t="s">
        <v>5510</v>
      </c>
    </row>
    <row r="546" spans="1:5">
      <c r="A546" s="453">
        <v>428170468</v>
      </c>
      <c r="B546" s="453">
        <v>619136550.37186599</v>
      </c>
      <c r="D546" s="453" t="s">
        <v>5511</v>
      </c>
      <c r="E546" s="453" t="s">
        <v>5512</v>
      </c>
    </row>
    <row r="547" spans="1:5">
      <c r="A547" s="453">
        <v>428256860</v>
      </c>
      <c r="B547" s="453">
        <v>619222942.37288105</v>
      </c>
      <c r="D547" s="453" t="s">
        <v>5513</v>
      </c>
      <c r="E547" s="453" t="s">
        <v>5514</v>
      </c>
    </row>
    <row r="548" spans="1:5">
      <c r="A548" s="453">
        <v>428343253</v>
      </c>
      <c r="B548" s="453">
        <v>619309335.373873</v>
      </c>
      <c r="D548" s="453" t="s">
        <v>5515</v>
      </c>
      <c r="E548" s="453" t="s">
        <v>5516</v>
      </c>
    </row>
    <row r="549" spans="1:5">
      <c r="A549" s="453">
        <v>428426034</v>
      </c>
      <c r="B549" s="453">
        <v>619392116.37482703</v>
      </c>
      <c r="D549" s="453" t="s">
        <v>5517</v>
      </c>
      <c r="E549" s="453" t="s">
        <v>5518</v>
      </c>
    </row>
    <row r="550" spans="1:5">
      <c r="A550" s="453">
        <v>428487242</v>
      </c>
      <c r="B550" s="453">
        <v>619453324.37555206</v>
      </c>
      <c r="D550" s="453" t="s">
        <v>5519</v>
      </c>
      <c r="E550" s="453" t="s">
        <v>5520</v>
      </c>
    </row>
    <row r="551" spans="1:5">
      <c r="A551" s="453">
        <v>428602427</v>
      </c>
      <c r="B551" s="453">
        <v>619568509.37688899</v>
      </c>
      <c r="D551" s="453" t="s">
        <v>5521</v>
      </c>
      <c r="E551" s="453" t="s">
        <v>5522</v>
      </c>
    </row>
    <row r="552" spans="1:5">
      <c r="A552" s="453">
        <v>428714072</v>
      </c>
      <c r="B552" s="453">
        <v>619680154.37819195</v>
      </c>
      <c r="D552" s="453" t="s">
        <v>5523</v>
      </c>
      <c r="E552" s="453" t="s">
        <v>5524</v>
      </c>
    </row>
    <row r="553" spans="1:5">
      <c r="A553" s="453">
        <v>428800404</v>
      </c>
      <c r="B553" s="453">
        <v>619766486.37917101</v>
      </c>
      <c r="D553" s="453" t="s">
        <v>5525</v>
      </c>
      <c r="E553" s="453" t="s">
        <v>5526</v>
      </c>
    </row>
    <row r="554" spans="1:5">
      <c r="A554" s="453">
        <v>428861597</v>
      </c>
      <c r="B554" s="453">
        <v>619827679.37987196</v>
      </c>
      <c r="D554" s="453" t="s">
        <v>5527</v>
      </c>
      <c r="E554" s="453" t="s">
        <v>5528</v>
      </c>
    </row>
    <row r="555" spans="1:5">
      <c r="A555" s="453">
        <v>428973249</v>
      </c>
      <c r="B555" s="453">
        <v>619939331.38112998</v>
      </c>
      <c r="D555" s="453" t="s">
        <v>5529</v>
      </c>
      <c r="E555" s="453" t="s">
        <v>5530</v>
      </c>
    </row>
    <row r="556" spans="1:5">
      <c r="A556" s="453">
        <v>429030775</v>
      </c>
      <c r="B556" s="453">
        <v>619996857.38182998</v>
      </c>
      <c r="D556" s="453" t="s">
        <v>5531</v>
      </c>
      <c r="E556" s="453" t="s">
        <v>5532</v>
      </c>
    </row>
    <row r="557" spans="1:5">
      <c r="A557" s="453">
        <v>429117164</v>
      </c>
      <c r="B557" s="453">
        <v>620083246.38282597</v>
      </c>
      <c r="D557" s="453" t="s">
        <v>5533</v>
      </c>
      <c r="E557" s="453" t="s">
        <v>5534</v>
      </c>
    </row>
    <row r="558" spans="1:5">
      <c r="A558" s="453">
        <v>429192742</v>
      </c>
      <c r="B558" s="453">
        <v>620158824.38370395</v>
      </c>
      <c r="D558" s="453" t="s">
        <v>5535</v>
      </c>
      <c r="E558" s="453" t="s">
        <v>5536</v>
      </c>
    </row>
    <row r="559" spans="1:5">
      <c r="A559" s="453">
        <v>429286333</v>
      </c>
      <c r="B559" s="453">
        <v>620252415.38478303</v>
      </c>
      <c r="D559" s="453" t="s">
        <v>5537</v>
      </c>
      <c r="E559" s="453" t="s">
        <v>5538</v>
      </c>
    </row>
    <row r="560" spans="1:5">
      <c r="A560" s="453">
        <v>429361917</v>
      </c>
      <c r="B560" s="453">
        <v>620327999.38565302</v>
      </c>
      <c r="D560" s="453" t="s">
        <v>5539</v>
      </c>
      <c r="E560" s="453" t="s">
        <v>5540</v>
      </c>
    </row>
    <row r="561" spans="1:5">
      <c r="A561" s="453">
        <v>429459137</v>
      </c>
      <c r="B561" s="453">
        <v>620425219.38677597</v>
      </c>
      <c r="D561" s="453" t="s">
        <v>5541</v>
      </c>
      <c r="E561" s="453" t="s">
        <v>5542</v>
      </c>
    </row>
    <row r="562" spans="1:5">
      <c r="A562" s="453">
        <v>429750728</v>
      </c>
      <c r="B562" s="453">
        <v>620716810.39013696</v>
      </c>
      <c r="D562" s="453" t="s">
        <v>5543</v>
      </c>
      <c r="E562" s="453" t="s">
        <v>5544</v>
      </c>
    </row>
    <row r="563" spans="1:5">
      <c r="A563" s="453">
        <v>429865923</v>
      </c>
      <c r="B563" s="453">
        <v>620832005.39145303</v>
      </c>
      <c r="D563" s="453" t="s">
        <v>5545</v>
      </c>
      <c r="E563" s="453" t="s">
        <v>5546</v>
      </c>
    </row>
    <row r="564" spans="1:5">
      <c r="A564" s="453">
        <v>430009943</v>
      </c>
      <c r="B564" s="453">
        <v>620976025.39310706</v>
      </c>
      <c r="D564" s="453" t="s">
        <v>5547</v>
      </c>
      <c r="E564" s="453" t="s">
        <v>5548</v>
      </c>
    </row>
    <row r="565" spans="1:5">
      <c r="A565" s="453">
        <v>430067462</v>
      </c>
      <c r="B565" s="453">
        <v>621033544.39377797</v>
      </c>
      <c r="D565" s="453" t="s">
        <v>5549</v>
      </c>
      <c r="E565" s="453" t="s">
        <v>5550</v>
      </c>
    </row>
    <row r="566" spans="1:5">
      <c r="A566" s="453">
        <v>430182650</v>
      </c>
      <c r="B566" s="453">
        <v>621148732.39509404</v>
      </c>
      <c r="D566" s="453" t="s">
        <v>5551</v>
      </c>
      <c r="E566" s="453" t="s">
        <v>5552</v>
      </c>
    </row>
    <row r="567" spans="1:5">
      <c r="A567" s="453">
        <v>430269036</v>
      </c>
      <c r="B567" s="453">
        <v>621235118.39607704</v>
      </c>
      <c r="D567" s="453" t="s">
        <v>5553</v>
      </c>
      <c r="E567" s="453" t="s">
        <v>5554</v>
      </c>
    </row>
    <row r="568" spans="1:5">
      <c r="A568" s="453">
        <v>430319400</v>
      </c>
      <c r="B568" s="453">
        <v>621285482.39666295</v>
      </c>
      <c r="D568" s="453" t="s">
        <v>5555</v>
      </c>
      <c r="E568" s="453" t="s">
        <v>5556</v>
      </c>
    </row>
    <row r="569" spans="1:5">
      <c r="A569" s="453">
        <v>430441816</v>
      </c>
      <c r="B569" s="453">
        <v>621407898.39804804</v>
      </c>
      <c r="D569" s="453" t="s">
        <v>5557</v>
      </c>
      <c r="E569" s="453" t="s">
        <v>5558</v>
      </c>
    </row>
    <row r="570" spans="1:5">
      <c r="A570" s="453">
        <v>430495783</v>
      </c>
      <c r="B570" s="453">
        <v>621461865.39866698</v>
      </c>
      <c r="D570" s="453" t="s">
        <v>5559</v>
      </c>
      <c r="E570" s="453" t="s">
        <v>5560</v>
      </c>
    </row>
    <row r="571" spans="1:5">
      <c r="A571" s="453">
        <v>430614590</v>
      </c>
      <c r="B571" s="453">
        <v>621580672.40001798</v>
      </c>
      <c r="D571" s="453" t="s">
        <v>5561</v>
      </c>
      <c r="E571" s="453" t="s">
        <v>5562</v>
      </c>
    </row>
    <row r="572" spans="1:5">
      <c r="A572" s="453">
        <v>430700988</v>
      </c>
      <c r="B572" s="453">
        <v>621667070.40100896</v>
      </c>
      <c r="D572" s="453" t="s">
        <v>5563</v>
      </c>
      <c r="E572" s="453" t="s">
        <v>5564</v>
      </c>
    </row>
    <row r="573" spans="1:5">
      <c r="A573" s="453">
        <v>430783814</v>
      </c>
      <c r="B573" s="453">
        <v>621749896.40193498</v>
      </c>
      <c r="D573" s="453" t="s">
        <v>5565</v>
      </c>
      <c r="E573" s="453" t="s">
        <v>5566</v>
      </c>
    </row>
    <row r="574" spans="1:5">
      <c r="A574" s="453">
        <v>430830528</v>
      </c>
      <c r="B574" s="453">
        <v>621796610.40248895</v>
      </c>
      <c r="D574" s="453" t="s">
        <v>5567</v>
      </c>
      <c r="E574" s="453" t="s">
        <v>5568</v>
      </c>
    </row>
    <row r="575" spans="1:5">
      <c r="A575" s="453">
        <v>430956551</v>
      </c>
      <c r="B575" s="453">
        <v>621922633.40393305</v>
      </c>
      <c r="D575" s="453" t="s">
        <v>5569</v>
      </c>
      <c r="E575" s="453" t="s">
        <v>5570</v>
      </c>
    </row>
    <row r="576" spans="1:5">
      <c r="A576" s="453">
        <v>431003304</v>
      </c>
      <c r="B576" s="453">
        <v>621969386.40446603</v>
      </c>
      <c r="D576" s="453" t="s">
        <v>5571</v>
      </c>
      <c r="E576" s="453" t="s">
        <v>5572</v>
      </c>
    </row>
    <row r="577" spans="1:5">
      <c r="A577" s="453">
        <v>431096897</v>
      </c>
      <c r="B577" s="453">
        <v>622062979.40552199</v>
      </c>
      <c r="D577" s="453" t="s">
        <v>5573</v>
      </c>
      <c r="E577" s="453" t="s">
        <v>5574</v>
      </c>
    </row>
    <row r="578" spans="1:5">
      <c r="A578" s="453">
        <v>431186896</v>
      </c>
      <c r="B578" s="453">
        <v>622152978.40655303</v>
      </c>
      <c r="D578" s="453" t="s">
        <v>5575</v>
      </c>
      <c r="E578" s="453" t="s">
        <v>5576</v>
      </c>
    </row>
    <row r="579" spans="1:5">
      <c r="A579" s="453">
        <v>431302106</v>
      </c>
      <c r="B579" s="453">
        <v>622268188.40785503</v>
      </c>
      <c r="D579" s="453" t="s">
        <v>5577</v>
      </c>
      <c r="E579" s="453" t="s">
        <v>5578</v>
      </c>
    </row>
    <row r="580" spans="1:5">
      <c r="A580" s="453">
        <v>431330877</v>
      </c>
      <c r="B580" s="453">
        <v>622296959.40819395</v>
      </c>
      <c r="D580" s="453" t="s">
        <v>5579</v>
      </c>
      <c r="E580" s="453" t="s">
        <v>5580</v>
      </c>
    </row>
    <row r="581" spans="1:5">
      <c r="A581" s="453">
        <v>431474878</v>
      </c>
      <c r="B581" s="453">
        <v>622440960.40982902</v>
      </c>
      <c r="D581" s="453" t="s">
        <v>5581</v>
      </c>
      <c r="E581" s="453" t="s">
        <v>5582</v>
      </c>
    </row>
    <row r="582" spans="1:5">
      <c r="A582" s="453">
        <v>431561262</v>
      </c>
      <c r="B582" s="453">
        <v>622527344.41080499</v>
      </c>
      <c r="D582" s="453" t="s">
        <v>5583</v>
      </c>
      <c r="E582" s="453" t="s">
        <v>5584</v>
      </c>
    </row>
    <row r="583" spans="1:5">
      <c r="A583" s="453">
        <v>431651236</v>
      </c>
      <c r="B583" s="453">
        <v>622617318.41179895</v>
      </c>
      <c r="D583" s="453" t="s">
        <v>5585</v>
      </c>
      <c r="E583" s="453" t="s">
        <v>5586</v>
      </c>
    </row>
    <row r="584" spans="1:5">
      <c r="A584" s="453">
        <v>431665606</v>
      </c>
      <c r="B584" s="453">
        <v>622631688.41198802</v>
      </c>
      <c r="D584" s="453" t="s">
        <v>5587</v>
      </c>
      <c r="E584" s="453" t="s">
        <v>5588</v>
      </c>
    </row>
    <row r="585" spans="1:5">
      <c r="A585" s="453">
        <v>431780794</v>
      </c>
      <c r="B585" s="453">
        <v>622746876.41329801</v>
      </c>
      <c r="D585" s="453" t="s">
        <v>5589</v>
      </c>
      <c r="E585" s="453" t="s">
        <v>5590</v>
      </c>
    </row>
    <row r="586" spans="1:5">
      <c r="A586" s="453">
        <v>431964400</v>
      </c>
      <c r="B586" s="453">
        <v>622930482.41537404</v>
      </c>
      <c r="D586" s="453" t="s">
        <v>5591</v>
      </c>
      <c r="E586" s="453" t="s">
        <v>5592</v>
      </c>
    </row>
    <row r="587" spans="1:5">
      <c r="A587" s="453">
        <v>432075992</v>
      </c>
      <c r="B587" s="453">
        <v>623042074.41663504</v>
      </c>
      <c r="D587" s="453" t="s">
        <v>5593</v>
      </c>
      <c r="E587" s="453" t="s">
        <v>5594</v>
      </c>
    </row>
    <row r="588" spans="1:5">
      <c r="A588" s="453">
        <v>432133557</v>
      </c>
      <c r="B588" s="453">
        <v>623099639.41729903</v>
      </c>
      <c r="D588" s="453" t="s">
        <v>5595</v>
      </c>
      <c r="E588" s="453" t="s">
        <v>5596</v>
      </c>
    </row>
    <row r="589" spans="1:5">
      <c r="A589" s="453">
        <v>432421530</v>
      </c>
      <c r="B589" s="453">
        <v>623387612.42054498</v>
      </c>
      <c r="D589" s="453" t="s">
        <v>5597</v>
      </c>
      <c r="E589" s="453" t="s">
        <v>5598</v>
      </c>
    </row>
    <row r="590" spans="1:5">
      <c r="A590" s="453">
        <v>432515108</v>
      </c>
      <c r="B590" s="453">
        <v>623481190.42156994</v>
      </c>
      <c r="D590" s="453" t="s">
        <v>5599</v>
      </c>
      <c r="E590" s="453" t="s">
        <v>5600</v>
      </c>
    </row>
    <row r="591" spans="1:5">
      <c r="A591" s="453">
        <v>432601494</v>
      </c>
      <c r="B591" s="453">
        <v>623567576.42254305</v>
      </c>
      <c r="D591" s="453" t="s">
        <v>5601</v>
      </c>
      <c r="E591" s="453" t="s">
        <v>5602</v>
      </c>
    </row>
    <row r="592" spans="1:5">
      <c r="A592" s="453">
        <v>432651882</v>
      </c>
      <c r="B592" s="453">
        <v>623617964.42315698</v>
      </c>
      <c r="D592" s="453" t="s">
        <v>5603</v>
      </c>
      <c r="E592" s="453" t="s">
        <v>5604</v>
      </c>
    </row>
    <row r="593" spans="1:5">
      <c r="A593" s="453">
        <v>432767092</v>
      </c>
      <c r="B593" s="453">
        <v>623733174.42443895</v>
      </c>
      <c r="D593" s="453" t="s">
        <v>5605</v>
      </c>
      <c r="E593" s="453" t="s">
        <v>5606</v>
      </c>
    </row>
    <row r="594" spans="1:5">
      <c r="A594" s="453">
        <v>432993822</v>
      </c>
      <c r="B594" s="453">
        <v>623959904.42700005</v>
      </c>
      <c r="D594" s="453" t="s">
        <v>5607</v>
      </c>
      <c r="E594" s="453" t="s">
        <v>5608</v>
      </c>
    </row>
    <row r="595" spans="1:5">
      <c r="A595" s="453">
        <v>433119822</v>
      </c>
      <c r="B595" s="453">
        <v>624085904.42838705</v>
      </c>
      <c r="D595" s="453" t="s">
        <v>5609</v>
      </c>
      <c r="E595" s="453" t="s">
        <v>5610</v>
      </c>
    </row>
    <row r="596" spans="1:5">
      <c r="A596" s="453">
        <v>433137818</v>
      </c>
      <c r="B596" s="453">
        <v>624103900.42863095</v>
      </c>
      <c r="D596" s="453" t="s">
        <v>5611</v>
      </c>
      <c r="E596" s="453" t="s">
        <v>5612</v>
      </c>
    </row>
    <row r="597" spans="1:5">
      <c r="A597" s="453">
        <v>433285412</v>
      </c>
      <c r="B597" s="453">
        <v>624251494.43028605</v>
      </c>
      <c r="D597" s="453" t="s">
        <v>5613</v>
      </c>
      <c r="E597" s="453" t="s">
        <v>5614</v>
      </c>
    </row>
    <row r="598" spans="1:5">
      <c r="A598" s="453">
        <v>433368205</v>
      </c>
      <c r="B598" s="453">
        <v>624334287.43120301</v>
      </c>
      <c r="D598" s="453" t="s">
        <v>5615</v>
      </c>
      <c r="E598" s="453" t="s">
        <v>5616</v>
      </c>
    </row>
    <row r="599" spans="1:5">
      <c r="A599" s="453">
        <v>433483372</v>
      </c>
      <c r="B599" s="453">
        <v>624449454.43249595</v>
      </c>
      <c r="D599" s="453" t="s">
        <v>5617</v>
      </c>
      <c r="E599" s="453" t="s">
        <v>5618</v>
      </c>
    </row>
    <row r="600" spans="1:5">
      <c r="A600" s="453">
        <v>433629047</v>
      </c>
      <c r="B600" s="453">
        <v>624595129.43414795</v>
      </c>
      <c r="D600" s="453" t="s">
        <v>5619</v>
      </c>
      <c r="E600" s="453" t="s">
        <v>5620</v>
      </c>
    </row>
    <row r="601" spans="1:5">
      <c r="A601" s="453">
        <v>433724529</v>
      </c>
      <c r="B601" s="453">
        <v>624690611.43518198</v>
      </c>
      <c r="D601" s="453" t="s">
        <v>5621</v>
      </c>
      <c r="E601" s="453" t="s">
        <v>5622</v>
      </c>
    </row>
    <row r="602" spans="1:5">
      <c r="A602" s="453">
        <v>433771388</v>
      </c>
      <c r="B602" s="453">
        <v>624737470.43573904</v>
      </c>
      <c r="D602" s="453" t="s">
        <v>5623</v>
      </c>
      <c r="E602" s="453" t="s">
        <v>5624</v>
      </c>
    </row>
    <row r="603" spans="1:5">
      <c r="A603" s="453">
        <v>433857707</v>
      </c>
      <c r="B603" s="453">
        <v>624823789.43670797</v>
      </c>
      <c r="D603" s="453" t="s">
        <v>5625</v>
      </c>
      <c r="E603" s="453" t="s">
        <v>5626</v>
      </c>
    </row>
    <row r="604" spans="1:5">
      <c r="A604" s="453">
        <v>433972915</v>
      </c>
      <c r="B604" s="453">
        <v>624938997.43799698</v>
      </c>
      <c r="D604" s="453" t="s">
        <v>5627</v>
      </c>
      <c r="E604" s="453" t="s">
        <v>5628</v>
      </c>
    </row>
    <row r="605" spans="1:5">
      <c r="A605" s="453">
        <v>434026874</v>
      </c>
      <c r="B605" s="453">
        <v>624992956.43859994</v>
      </c>
      <c r="D605" s="453" t="s">
        <v>5629</v>
      </c>
      <c r="E605" s="453" t="s">
        <v>5630</v>
      </c>
    </row>
    <row r="606" spans="1:5">
      <c r="A606" s="453">
        <v>434300443</v>
      </c>
      <c r="B606" s="453">
        <v>625266525.44162595</v>
      </c>
      <c r="D606" s="453" t="s">
        <v>5631</v>
      </c>
      <c r="E606" s="453" t="s">
        <v>5632</v>
      </c>
    </row>
    <row r="607" spans="1:5">
      <c r="A607" s="453">
        <v>434376044</v>
      </c>
      <c r="B607" s="453">
        <v>625342126.44250202</v>
      </c>
      <c r="D607" s="453" t="s">
        <v>5633</v>
      </c>
      <c r="E607" s="453" t="s">
        <v>5634</v>
      </c>
    </row>
    <row r="608" spans="1:5">
      <c r="A608" s="453">
        <v>434448008</v>
      </c>
      <c r="B608" s="453">
        <v>625414090.44328904</v>
      </c>
      <c r="D608" s="453" t="s">
        <v>5635</v>
      </c>
      <c r="E608" s="453" t="s">
        <v>5636</v>
      </c>
    </row>
    <row r="609" spans="1:5">
      <c r="A609" s="453">
        <v>434545207</v>
      </c>
      <c r="B609" s="453">
        <v>625511289.44439006</v>
      </c>
      <c r="D609" s="453" t="s">
        <v>5637</v>
      </c>
      <c r="E609" s="453" t="s">
        <v>5638</v>
      </c>
    </row>
    <row r="610" spans="1:5">
      <c r="A610" s="453">
        <v>434645989</v>
      </c>
      <c r="B610" s="453">
        <v>625612071.44548702</v>
      </c>
      <c r="D610" s="453" t="s">
        <v>5639</v>
      </c>
      <c r="E610" s="453" t="s">
        <v>5640</v>
      </c>
    </row>
    <row r="611" spans="1:5">
      <c r="A611" s="453">
        <v>434717979</v>
      </c>
      <c r="B611" s="453">
        <v>625684061.44630897</v>
      </c>
      <c r="D611" s="453" t="s">
        <v>5641</v>
      </c>
      <c r="E611" s="453" t="s">
        <v>5642</v>
      </c>
    </row>
    <row r="612" spans="1:5">
      <c r="A612" s="453">
        <v>434847657</v>
      </c>
      <c r="B612" s="453">
        <v>625813739.44775605</v>
      </c>
      <c r="D612" s="453" t="s">
        <v>5643</v>
      </c>
      <c r="E612" s="453" t="s">
        <v>5644</v>
      </c>
    </row>
    <row r="613" spans="1:5">
      <c r="A613" s="453">
        <v>434854835</v>
      </c>
      <c r="B613" s="453">
        <v>625820917.44781494</v>
      </c>
      <c r="D613" s="453" t="s">
        <v>5645</v>
      </c>
      <c r="E613" s="453" t="s">
        <v>5646</v>
      </c>
    </row>
    <row r="614" spans="1:5">
      <c r="A614" s="453">
        <v>434973537</v>
      </c>
      <c r="B614" s="453">
        <v>625939619.44916701</v>
      </c>
      <c r="D614" s="453" t="s">
        <v>5647</v>
      </c>
      <c r="E614" s="453" t="s">
        <v>5648</v>
      </c>
    </row>
    <row r="615" spans="1:5">
      <c r="A615" s="453">
        <v>435063529</v>
      </c>
      <c r="B615" s="453">
        <v>626029611.45015895</v>
      </c>
      <c r="D615" s="453" t="s">
        <v>5649</v>
      </c>
      <c r="E615" s="453" t="s">
        <v>5650</v>
      </c>
    </row>
    <row r="616" spans="1:5">
      <c r="A616" s="453">
        <v>435178736</v>
      </c>
      <c r="B616" s="453">
        <v>626144818.45142996</v>
      </c>
      <c r="D616" s="453" t="s">
        <v>5651</v>
      </c>
      <c r="E616" s="453" t="s">
        <v>5652</v>
      </c>
    </row>
    <row r="617" spans="1:5">
      <c r="A617" s="453">
        <v>435207520</v>
      </c>
      <c r="B617" s="453">
        <v>626173602.45175803</v>
      </c>
      <c r="D617" s="453" t="s">
        <v>5653</v>
      </c>
      <c r="E617" s="453" t="s">
        <v>5654</v>
      </c>
    </row>
    <row r="618" spans="1:5">
      <c r="A618" s="453">
        <v>435362298</v>
      </c>
      <c r="B618" s="453">
        <v>626328380.45346403</v>
      </c>
      <c r="D618" s="453" t="s">
        <v>5655</v>
      </c>
      <c r="E618" s="453" t="s">
        <v>5656</v>
      </c>
    </row>
    <row r="619" spans="1:5">
      <c r="A619" s="453">
        <v>435524293</v>
      </c>
      <c r="B619" s="453">
        <v>626490375.45527506</v>
      </c>
      <c r="D619" s="453" t="s">
        <v>5657</v>
      </c>
      <c r="E619" s="453" t="s">
        <v>5658</v>
      </c>
    </row>
    <row r="620" spans="1:5">
      <c r="A620" s="453">
        <v>435603466</v>
      </c>
      <c r="B620" s="453">
        <v>626569548.45614195</v>
      </c>
      <c r="D620" s="453" t="s">
        <v>5659</v>
      </c>
      <c r="E620" s="453" t="s">
        <v>5660</v>
      </c>
    </row>
    <row r="621" spans="1:5">
      <c r="A621" s="453">
        <v>435697079</v>
      </c>
      <c r="B621" s="453">
        <v>626663161.45719194</v>
      </c>
      <c r="D621" s="453" t="s">
        <v>5661</v>
      </c>
      <c r="E621" s="453" t="s">
        <v>5662</v>
      </c>
    </row>
    <row r="622" spans="1:5">
      <c r="A622" s="453">
        <v>435751037</v>
      </c>
      <c r="B622" s="453">
        <v>626717119.45780396</v>
      </c>
      <c r="D622" s="453" t="s">
        <v>5663</v>
      </c>
      <c r="E622" s="453" t="s">
        <v>5664</v>
      </c>
    </row>
    <row r="623" spans="1:5">
      <c r="A623" s="453">
        <v>435830221</v>
      </c>
      <c r="B623" s="453">
        <v>626796303.45867503</v>
      </c>
      <c r="D623" s="453" t="s">
        <v>5665</v>
      </c>
      <c r="E623" s="453" t="s">
        <v>5666</v>
      </c>
    </row>
    <row r="624" spans="1:5">
      <c r="A624" s="453">
        <v>435970621</v>
      </c>
      <c r="B624" s="453">
        <v>626936703.46020699</v>
      </c>
      <c r="D624" s="453" t="s">
        <v>5667</v>
      </c>
      <c r="E624" s="453" t="s">
        <v>5668</v>
      </c>
    </row>
    <row r="625" spans="1:5">
      <c r="A625" s="453">
        <v>435981410</v>
      </c>
      <c r="B625" s="453">
        <v>626947492.46033394</v>
      </c>
      <c r="D625" s="453" t="s">
        <v>5669</v>
      </c>
      <c r="E625" s="453" t="s">
        <v>5670</v>
      </c>
    </row>
    <row r="626" spans="1:5">
      <c r="A626" s="453">
        <v>436136201</v>
      </c>
      <c r="B626" s="453">
        <v>627102283.46202397</v>
      </c>
      <c r="D626" s="453" t="s">
        <v>5671</v>
      </c>
      <c r="E626" s="453" t="s">
        <v>5672</v>
      </c>
    </row>
    <row r="627" spans="1:5">
      <c r="A627" s="453">
        <v>436222592</v>
      </c>
      <c r="B627" s="453">
        <v>627188674.46298003</v>
      </c>
      <c r="D627" s="453" t="s">
        <v>5673</v>
      </c>
      <c r="E627" s="453" t="s">
        <v>5674</v>
      </c>
    </row>
    <row r="628" spans="1:5">
      <c r="A628" s="453">
        <v>436262166</v>
      </c>
      <c r="B628" s="453">
        <v>627228248.46344304</v>
      </c>
      <c r="D628" s="453" t="s">
        <v>5675</v>
      </c>
      <c r="E628" s="453" t="s">
        <v>5676</v>
      </c>
    </row>
    <row r="629" spans="1:5">
      <c r="A629" s="453">
        <v>436352157</v>
      </c>
      <c r="B629" s="453">
        <v>627318239.46445501</v>
      </c>
      <c r="D629" s="453" t="s">
        <v>5677</v>
      </c>
      <c r="E629" s="453" t="s">
        <v>5678</v>
      </c>
    </row>
    <row r="630" spans="1:5">
      <c r="A630" s="453">
        <v>436470969</v>
      </c>
      <c r="B630" s="453">
        <v>627437051.46574903</v>
      </c>
      <c r="D630" s="453" t="s">
        <v>5679</v>
      </c>
      <c r="E630" s="453" t="s">
        <v>5680</v>
      </c>
    </row>
    <row r="631" spans="1:5">
      <c r="A631" s="453">
        <v>436575347</v>
      </c>
      <c r="B631" s="453">
        <v>627541429.46690094</v>
      </c>
      <c r="D631" s="453" t="s">
        <v>5681</v>
      </c>
      <c r="E631" s="453" t="s">
        <v>5682</v>
      </c>
    </row>
    <row r="632" spans="1:5">
      <c r="A632" s="453">
        <v>436586147</v>
      </c>
      <c r="B632" s="453">
        <v>627552229.46701896</v>
      </c>
      <c r="D632" s="453" t="s">
        <v>5683</v>
      </c>
      <c r="E632" s="453" t="s">
        <v>5684</v>
      </c>
    </row>
    <row r="633" spans="1:5">
      <c r="A633" s="453">
        <v>436748123</v>
      </c>
      <c r="B633" s="453">
        <v>627714205.46880496</v>
      </c>
      <c r="D633" s="453" t="s">
        <v>5685</v>
      </c>
      <c r="E633" s="453" t="s">
        <v>5686</v>
      </c>
    </row>
    <row r="634" spans="1:5">
      <c r="A634" s="453">
        <v>436816535</v>
      </c>
      <c r="B634" s="453">
        <v>627782617.46955895</v>
      </c>
      <c r="D634" s="453" t="s">
        <v>5687</v>
      </c>
      <c r="E634" s="453" t="s">
        <v>5688</v>
      </c>
    </row>
    <row r="635" spans="1:5">
      <c r="A635" s="453">
        <v>436920906</v>
      </c>
      <c r="B635" s="453">
        <v>627886988.47070098</v>
      </c>
      <c r="D635" s="453" t="s">
        <v>5689</v>
      </c>
      <c r="E635" s="453" t="s">
        <v>5690</v>
      </c>
    </row>
    <row r="636" spans="1:5">
      <c r="A636" s="453">
        <v>436989322</v>
      </c>
      <c r="B636" s="453">
        <v>627955404.47145998</v>
      </c>
      <c r="D636" s="453" t="s">
        <v>5691</v>
      </c>
      <c r="E636" s="453" t="s">
        <v>5692</v>
      </c>
    </row>
    <row r="637" spans="1:5">
      <c r="A637" s="453">
        <v>437043282</v>
      </c>
      <c r="B637" s="453">
        <v>628009364.472067</v>
      </c>
      <c r="D637" s="453" t="s">
        <v>5693</v>
      </c>
      <c r="E637" s="453" t="s">
        <v>5694</v>
      </c>
    </row>
    <row r="638" spans="1:5">
      <c r="A638" s="453">
        <v>437388843</v>
      </c>
      <c r="B638" s="453">
        <v>628354925.47586</v>
      </c>
      <c r="D638" s="453" t="s">
        <v>5695</v>
      </c>
      <c r="E638" s="453" t="s">
        <v>5696</v>
      </c>
    </row>
    <row r="639" spans="1:5">
      <c r="A639" s="453">
        <v>437525635</v>
      </c>
      <c r="B639" s="453">
        <v>628491717.47736597</v>
      </c>
      <c r="D639" s="453" t="s">
        <v>5697</v>
      </c>
      <c r="E639" s="453" t="s">
        <v>5698</v>
      </c>
    </row>
    <row r="640" spans="1:5">
      <c r="A640" s="453">
        <v>437590454</v>
      </c>
      <c r="B640" s="453">
        <v>628556536.478073</v>
      </c>
      <c r="D640" s="453" t="s">
        <v>5699</v>
      </c>
      <c r="E640" s="453" t="s">
        <v>5700</v>
      </c>
    </row>
    <row r="641" spans="1:5">
      <c r="A641" s="453">
        <v>437648017</v>
      </c>
      <c r="B641" s="453">
        <v>628614099.47871196</v>
      </c>
      <c r="D641" s="453" t="s">
        <v>5701</v>
      </c>
      <c r="E641" s="453" t="s">
        <v>5702</v>
      </c>
    </row>
    <row r="642" spans="1:5">
      <c r="A642" s="453">
        <v>437777682</v>
      </c>
      <c r="B642" s="453">
        <v>628743764.48015106</v>
      </c>
      <c r="D642" s="453" t="s">
        <v>5703</v>
      </c>
      <c r="E642" s="453" t="s">
        <v>5704</v>
      </c>
    </row>
    <row r="643" spans="1:5">
      <c r="A643" s="453">
        <v>437820800</v>
      </c>
      <c r="B643" s="453">
        <v>628786882.48061001</v>
      </c>
      <c r="D643" s="453" t="s">
        <v>5705</v>
      </c>
      <c r="E643" s="453" t="s">
        <v>5706</v>
      </c>
    </row>
    <row r="644" spans="1:5">
      <c r="A644" s="453">
        <v>438191575</v>
      </c>
      <c r="B644" s="453">
        <v>629157657.48466694</v>
      </c>
      <c r="D644" s="453" t="s">
        <v>5707</v>
      </c>
      <c r="E644" s="453" t="s">
        <v>5708</v>
      </c>
    </row>
    <row r="645" spans="1:5">
      <c r="A645" s="453">
        <v>438303171</v>
      </c>
      <c r="B645" s="453">
        <v>629269253.48589003</v>
      </c>
      <c r="D645" s="453" t="s">
        <v>5709</v>
      </c>
      <c r="E645" s="453" t="s">
        <v>5710</v>
      </c>
    </row>
    <row r="646" spans="1:5">
      <c r="A646" s="453">
        <v>438335545</v>
      </c>
      <c r="B646" s="453">
        <v>629301627.486251</v>
      </c>
      <c r="D646" s="453" t="s">
        <v>5711</v>
      </c>
      <c r="E646" s="453" t="s">
        <v>5712</v>
      </c>
    </row>
    <row r="647" spans="1:5">
      <c r="A647" s="453">
        <v>438562343</v>
      </c>
      <c r="B647" s="453">
        <v>629528425.48873699</v>
      </c>
      <c r="D647" s="453" t="s">
        <v>5713</v>
      </c>
      <c r="E647" s="453" t="s">
        <v>5714</v>
      </c>
    </row>
    <row r="648" spans="1:5">
      <c r="A648" s="453">
        <v>438623539</v>
      </c>
      <c r="B648" s="453">
        <v>629589621.489393</v>
      </c>
      <c r="D648" s="453" t="s">
        <v>5715</v>
      </c>
      <c r="E648" s="453" t="s">
        <v>5716</v>
      </c>
    </row>
    <row r="649" spans="1:5">
      <c r="A649" s="453">
        <v>438702716</v>
      </c>
      <c r="B649" s="453">
        <v>629668798.49025297</v>
      </c>
      <c r="D649" s="453" t="s">
        <v>5717</v>
      </c>
      <c r="E649" s="453" t="s">
        <v>5718</v>
      </c>
    </row>
    <row r="650" spans="1:5">
      <c r="A650" s="453">
        <v>438796324</v>
      </c>
      <c r="B650" s="453">
        <v>629762406.49128199</v>
      </c>
      <c r="D650" s="453" t="s">
        <v>5719</v>
      </c>
      <c r="E650" s="453" t="s">
        <v>5720</v>
      </c>
    </row>
    <row r="651" spans="1:5">
      <c r="A651" s="453">
        <v>438907914</v>
      </c>
      <c r="B651" s="453">
        <v>629873996.49251902</v>
      </c>
      <c r="D651" s="453" t="s">
        <v>5721</v>
      </c>
      <c r="E651" s="453" t="s">
        <v>5722</v>
      </c>
    </row>
    <row r="652" spans="1:5">
      <c r="A652" s="453">
        <v>438994306</v>
      </c>
      <c r="B652" s="453">
        <v>629960388.49346304</v>
      </c>
      <c r="D652" s="453" t="s">
        <v>5723</v>
      </c>
      <c r="E652" s="453" t="s">
        <v>5724</v>
      </c>
    </row>
    <row r="653" spans="1:5">
      <c r="A653" s="453">
        <v>438997904</v>
      </c>
      <c r="B653" s="453">
        <v>629963986.49351001</v>
      </c>
      <c r="D653" s="453" t="s">
        <v>5725</v>
      </c>
      <c r="E653" s="453" t="s">
        <v>5726</v>
      </c>
    </row>
    <row r="654" spans="1:5">
      <c r="A654" s="453">
        <v>439167085</v>
      </c>
      <c r="B654" s="453">
        <v>630133167.49531603</v>
      </c>
      <c r="D654" s="453" t="s">
        <v>5727</v>
      </c>
      <c r="E654" s="453" t="s">
        <v>5728</v>
      </c>
    </row>
    <row r="655" spans="1:5">
      <c r="A655" s="453">
        <v>439177859</v>
      </c>
      <c r="B655" s="453">
        <v>630143941.495453</v>
      </c>
      <c r="D655" s="453" t="s">
        <v>5729</v>
      </c>
      <c r="E655" s="453" t="s">
        <v>5730</v>
      </c>
    </row>
    <row r="656" spans="1:5">
      <c r="A656" s="453">
        <v>439314729</v>
      </c>
      <c r="B656" s="453">
        <v>630280811.49696505</v>
      </c>
      <c r="D656" s="453" t="s">
        <v>5731</v>
      </c>
      <c r="E656" s="453" t="s">
        <v>5732</v>
      </c>
    </row>
    <row r="657" spans="1:5">
      <c r="A657" s="453">
        <v>439476656</v>
      </c>
      <c r="B657" s="453">
        <v>630442738.49871898</v>
      </c>
      <c r="D657" s="453" t="s">
        <v>5733</v>
      </c>
      <c r="E657" s="453" t="s">
        <v>5734</v>
      </c>
    </row>
    <row r="658" spans="1:5">
      <c r="A658" s="453">
        <v>439771881</v>
      </c>
      <c r="B658" s="453">
        <v>630737963.50195396</v>
      </c>
      <c r="D658" s="453" t="s">
        <v>5735</v>
      </c>
      <c r="E658" s="453" t="s">
        <v>5736</v>
      </c>
    </row>
    <row r="659" spans="1:5">
      <c r="A659" s="453">
        <v>439858235</v>
      </c>
      <c r="B659" s="453">
        <v>630824317.50285399</v>
      </c>
      <c r="D659" s="453" t="s">
        <v>5737</v>
      </c>
      <c r="E659" s="453" t="s">
        <v>5738</v>
      </c>
    </row>
    <row r="660" spans="1:5">
      <c r="A660" s="453">
        <v>439944629</v>
      </c>
      <c r="B660" s="453">
        <v>630910711.50381196</v>
      </c>
      <c r="D660" s="453" t="s">
        <v>5739</v>
      </c>
      <c r="E660" s="453" t="s">
        <v>5740</v>
      </c>
    </row>
    <row r="661" spans="1:5">
      <c r="A661" s="453">
        <v>440023827</v>
      </c>
      <c r="B661" s="453">
        <v>630989909.50469697</v>
      </c>
      <c r="D661" s="453" t="s">
        <v>5741</v>
      </c>
      <c r="E661" s="453" t="s">
        <v>5742</v>
      </c>
    </row>
    <row r="662" spans="1:5">
      <c r="A662" s="453">
        <v>440376607</v>
      </c>
      <c r="B662" s="453">
        <v>631342689.50853598</v>
      </c>
      <c r="D662" s="453" t="s">
        <v>5743</v>
      </c>
      <c r="E662" s="453" t="s">
        <v>5744</v>
      </c>
    </row>
    <row r="663" spans="1:5">
      <c r="A663" s="453">
        <v>440434226</v>
      </c>
      <c r="B663" s="453">
        <v>631400308.50917399</v>
      </c>
      <c r="D663" s="453" t="s">
        <v>5745</v>
      </c>
      <c r="E663" s="453" t="s">
        <v>5746</v>
      </c>
    </row>
    <row r="664" spans="1:5">
      <c r="A664" s="453">
        <v>440549395</v>
      </c>
      <c r="B664" s="453">
        <v>631515477.510414</v>
      </c>
      <c r="D664" s="453" t="s">
        <v>5747</v>
      </c>
      <c r="E664" s="453" t="s">
        <v>5748</v>
      </c>
    </row>
    <row r="665" spans="1:5">
      <c r="A665" s="453">
        <v>440607017</v>
      </c>
      <c r="B665" s="453">
        <v>631573099.51108205</v>
      </c>
      <c r="D665" s="453" t="s">
        <v>5749</v>
      </c>
      <c r="E665" s="453" t="s">
        <v>5750</v>
      </c>
    </row>
    <row r="666" spans="1:5">
      <c r="A666" s="453">
        <v>440682586</v>
      </c>
      <c r="B666" s="453">
        <v>631648668.51188195</v>
      </c>
      <c r="D666" s="453" t="s">
        <v>5751</v>
      </c>
      <c r="E666" s="453" t="s">
        <v>5752</v>
      </c>
    </row>
    <row r="667" spans="1:5">
      <c r="A667" s="453">
        <v>440808587</v>
      </c>
      <c r="B667" s="453">
        <v>631774669.51323998</v>
      </c>
      <c r="D667" s="453" t="s">
        <v>5753</v>
      </c>
      <c r="E667" s="453" t="s">
        <v>5754</v>
      </c>
    </row>
    <row r="668" spans="1:5">
      <c r="A668" s="453">
        <v>440981379</v>
      </c>
      <c r="B668" s="453">
        <v>631947461.51511502</v>
      </c>
      <c r="D668" s="453" t="s">
        <v>5755</v>
      </c>
      <c r="E668" s="453" t="s">
        <v>5756</v>
      </c>
    </row>
    <row r="669" spans="1:5">
      <c r="A669" s="453">
        <v>441064176</v>
      </c>
      <c r="B669" s="453">
        <v>632030258.51602197</v>
      </c>
      <c r="D669" s="453" t="s">
        <v>5757</v>
      </c>
      <c r="E669" s="453" t="s">
        <v>5758</v>
      </c>
    </row>
    <row r="670" spans="1:5">
      <c r="A670" s="453">
        <v>441154172</v>
      </c>
      <c r="B670" s="453">
        <v>632120254.51699996</v>
      </c>
      <c r="D670" s="453" t="s">
        <v>5759</v>
      </c>
      <c r="E670" s="453" t="s">
        <v>5760</v>
      </c>
    </row>
    <row r="671" spans="1:5">
      <c r="A671" s="453">
        <v>441161347</v>
      </c>
      <c r="B671" s="453">
        <v>632127429.517084</v>
      </c>
      <c r="D671" s="453" t="s">
        <v>5761</v>
      </c>
      <c r="E671" s="453" t="s">
        <v>5762</v>
      </c>
    </row>
    <row r="672" spans="1:5">
      <c r="A672" s="453">
        <v>441287360</v>
      </c>
      <c r="B672" s="453">
        <v>632253442.518448</v>
      </c>
      <c r="D672" s="453" t="s">
        <v>5763</v>
      </c>
      <c r="E672" s="453" t="s">
        <v>5764</v>
      </c>
    </row>
    <row r="673" spans="1:5">
      <c r="A673" s="453">
        <v>441370159</v>
      </c>
      <c r="B673" s="453">
        <v>632336241.51935101</v>
      </c>
      <c r="D673" s="453" t="s">
        <v>5765</v>
      </c>
      <c r="E673" s="453" t="s">
        <v>5766</v>
      </c>
    </row>
    <row r="674" spans="1:5">
      <c r="A674" s="453">
        <v>441499761</v>
      </c>
      <c r="B674" s="453">
        <v>632465843.52076101</v>
      </c>
      <c r="D674" s="453" t="s">
        <v>5767</v>
      </c>
      <c r="E674" s="453" t="s">
        <v>5768</v>
      </c>
    </row>
    <row r="675" spans="1:5">
      <c r="A675" s="453">
        <v>441553776</v>
      </c>
      <c r="B675" s="453">
        <v>632519858.52135301</v>
      </c>
      <c r="D675" s="453" t="s">
        <v>5769</v>
      </c>
      <c r="E675" s="453" t="s">
        <v>5770</v>
      </c>
    </row>
    <row r="676" spans="1:5">
      <c r="A676" s="453">
        <v>441611347</v>
      </c>
      <c r="B676" s="453">
        <v>632577429.52199399</v>
      </c>
      <c r="D676" s="453" t="s">
        <v>5771</v>
      </c>
      <c r="E676" s="453" t="s">
        <v>5772</v>
      </c>
    </row>
    <row r="677" spans="1:5">
      <c r="A677" s="453">
        <v>441726571</v>
      </c>
      <c r="B677" s="453">
        <v>632692653.52324104</v>
      </c>
      <c r="D677" s="453" t="s">
        <v>5773</v>
      </c>
      <c r="E677" s="453" t="s">
        <v>5774</v>
      </c>
    </row>
    <row r="678" spans="1:5">
      <c r="A678" s="453">
        <v>441830951</v>
      </c>
      <c r="B678" s="453">
        <v>632797033.524369</v>
      </c>
      <c r="D678" s="453" t="s">
        <v>5775</v>
      </c>
      <c r="E678" s="453" t="s">
        <v>5776</v>
      </c>
    </row>
    <row r="679" spans="1:5">
      <c r="A679" s="453">
        <v>442190941</v>
      </c>
      <c r="B679" s="453">
        <v>633157023.52827096</v>
      </c>
      <c r="D679" s="453" t="s">
        <v>5777</v>
      </c>
      <c r="E679" s="453" t="s">
        <v>5778</v>
      </c>
    </row>
    <row r="680" spans="1:5">
      <c r="A680" s="453">
        <v>442273770</v>
      </c>
      <c r="B680" s="453">
        <v>633239852.529199</v>
      </c>
      <c r="D680" s="453" t="s">
        <v>5779</v>
      </c>
      <c r="E680" s="453" t="s">
        <v>5780</v>
      </c>
    </row>
    <row r="681" spans="1:5">
      <c r="A681" s="453">
        <v>442316932</v>
      </c>
      <c r="B681" s="453">
        <v>633283014.52966297</v>
      </c>
      <c r="D681" s="453" t="s">
        <v>5781</v>
      </c>
      <c r="E681" s="453" t="s">
        <v>5782</v>
      </c>
    </row>
    <row r="682" spans="1:5">
      <c r="A682" s="453">
        <v>442622935</v>
      </c>
      <c r="B682" s="453">
        <v>633589017.53299105</v>
      </c>
      <c r="D682" s="453" t="s">
        <v>5783</v>
      </c>
      <c r="E682" s="453" t="s">
        <v>5784</v>
      </c>
    </row>
    <row r="683" spans="1:5">
      <c r="A683" s="453">
        <v>442691334</v>
      </c>
      <c r="B683" s="453">
        <v>633657416.53374398</v>
      </c>
      <c r="D683" s="453" t="s">
        <v>5785</v>
      </c>
      <c r="E683" s="453" t="s">
        <v>5786</v>
      </c>
    </row>
    <row r="684" spans="1:5">
      <c r="A684" s="453">
        <v>442871342</v>
      </c>
      <c r="B684" s="453">
        <v>633837424.53568006</v>
      </c>
      <c r="D684" s="453" t="s">
        <v>5787</v>
      </c>
      <c r="E684" s="453" t="s">
        <v>5788</v>
      </c>
    </row>
    <row r="685" spans="1:5">
      <c r="A685" s="453">
        <v>442903726</v>
      </c>
      <c r="B685" s="453">
        <v>633869808.53608894</v>
      </c>
      <c r="D685" s="453" t="s">
        <v>5789</v>
      </c>
      <c r="E685" s="453" t="s">
        <v>5790</v>
      </c>
    </row>
    <row r="686" spans="1:5">
      <c r="A686" s="453">
        <v>443018941</v>
      </c>
      <c r="B686" s="453">
        <v>633985023.53733504</v>
      </c>
      <c r="D686" s="453" t="s">
        <v>5791</v>
      </c>
      <c r="E686" s="453" t="s">
        <v>5792</v>
      </c>
    </row>
    <row r="687" spans="1:5">
      <c r="A687" s="453">
        <v>443220562</v>
      </c>
      <c r="B687" s="453">
        <v>634186644.53954899</v>
      </c>
      <c r="D687" s="453" t="s">
        <v>5793</v>
      </c>
      <c r="E687" s="453" t="s">
        <v>5794</v>
      </c>
    </row>
    <row r="688" spans="1:5">
      <c r="A688" s="453">
        <v>443393360</v>
      </c>
      <c r="B688" s="453">
        <v>634359442.54143596</v>
      </c>
      <c r="D688" s="453" t="s">
        <v>5795</v>
      </c>
      <c r="E688" s="453" t="s">
        <v>5796</v>
      </c>
    </row>
    <row r="689" spans="1:5">
      <c r="A689" s="453">
        <v>443487023</v>
      </c>
      <c r="B689" s="453">
        <v>634453105.542431</v>
      </c>
      <c r="D689" s="453" t="s">
        <v>5797</v>
      </c>
      <c r="E689" s="453" t="s">
        <v>5798</v>
      </c>
    </row>
    <row r="690" spans="1:5">
      <c r="A690" s="453">
        <v>443555337</v>
      </c>
      <c r="B690" s="453">
        <v>634521419.54319406</v>
      </c>
      <c r="D690" s="453" t="s">
        <v>5799</v>
      </c>
      <c r="E690" s="453" t="s">
        <v>5800</v>
      </c>
    </row>
    <row r="691" spans="1:5">
      <c r="A691" s="453">
        <v>443623754</v>
      </c>
      <c r="B691" s="453">
        <v>634589836.54395294</v>
      </c>
      <c r="D691" s="453" t="s">
        <v>5801</v>
      </c>
      <c r="E691" s="453" t="s">
        <v>5802</v>
      </c>
    </row>
    <row r="692" spans="1:5">
      <c r="A692" s="453">
        <v>443738968</v>
      </c>
      <c r="B692" s="453">
        <v>634705050.54517496</v>
      </c>
      <c r="D692" s="453" t="s">
        <v>5803</v>
      </c>
      <c r="E692" s="453" t="s">
        <v>5804</v>
      </c>
    </row>
    <row r="693" spans="1:5">
      <c r="A693" s="453">
        <v>443803739</v>
      </c>
      <c r="B693" s="453">
        <v>634769821.54589903</v>
      </c>
      <c r="D693" s="453" t="s">
        <v>5805</v>
      </c>
      <c r="E693" s="453" t="s">
        <v>5806</v>
      </c>
    </row>
    <row r="694" spans="1:5">
      <c r="A694" s="453">
        <v>444005428</v>
      </c>
      <c r="B694" s="453">
        <v>634971510.54812896</v>
      </c>
      <c r="D694" s="453" t="s">
        <v>5807</v>
      </c>
      <c r="E694" s="453" t="s">
        <v>5808</v>
      </c>
    </row>
    <row r="695" spans="1:5">
      <c r="A695" s="453">
        <v>444091829</v>
      </c>
      <c r="B695" s="453">
        <v>635057911.54902899</v>
      </c>
      <c r="D695" s="453" t="s">
        <v>5809</v>
      </c>
      <c r="E695" s="453" t="s">
        <v>5810</v>
      </c>
    </row>
    <row r="696" spans="1:5">
      <c r="A696" s="453">
        <v>444167373</v>
      </c>
      <c r="B696" s="453">
        <v>635133455.54989898</v>
      </c>
      <c r="D696" s="453" t="s">
        <v>5811</v>
      </c>
      <c r="E696" s="453" t="s">
        <v>5812</v>
      </c>
    </row>
    <row r="697" spans="1:5">
      <c r="A697" s="453">
        <v>444224952</v>
      </c>
      <c r="B697" s="453">
        <v>635191034.55497003</v>
      </c>
      <c r="D697" s="453" t="s">
        <v>5813</v>
      </c>
      <c r="E697" s="453" t="s">
        <v>5814</v>
      </c>
    </row>
    <row r="698" spans="1:5">
      <c r="A698" s="453">
        <v>444426578</v>
      </c>
      <c r="B698" s="453">
        <v>635392660.55723798</v>
      </c>
      <c r="D698" s="453" t="s">
        <v>5815</v>
      </c>
      <c r="E698" s="453" t="s">
        <v>5816</v>
      </c>
    </row>
    <row r="699" spans="1:5">
      <c r="A699" s="453">
        <v>444599378</v>
      </c>
      <c r="B699" s="453">
        <v>635565460.55915201</v>
      </c>
      <c r="D699" s="453" t="s">
        <v>5817</v>
      </c>
      <c r="E699" s="453" t="s">
        <v>5818</v>
      </c>
    </row>
    <row r="700" spans="1:5">
      <c r="A700" s="453">
        <v>444693042</v>
      </c>
      <c r="B700" s="453">
        <v>635659124.56018305</v>
      </c>
      <c r="D700" s="453" t="s">
        <v>5819</v>
      </c>
      <c r="E700" s="453" t="s">
        <v>5820</v>
      </c>
    </row>
    <row r="701" spans="1:5">
      <c r="A701" s="453">
        <v>444743370</v>
      </c>
      <c r="B701" s="453">
        <v>635709452.56075394</v>
      </c>
      <c r="D701" s="453" t="s">
        <v>5821</v>
      </c>
      <c r="E701" s="453" t="s">
        <v>5822</v>
      </c>
    </row>
    <row r="702" spans="1:5">
      <c r="A702" s="453">
        <v>444829775</v>
      </c>
      <c r="B702" s="453">
        <v>635795857.56173098</v>
      </c>
      <c r="D702" s="453" t="s">
        <v>5823</v>
      </c>
      <c r="E702" s="453" t="s">
        <v>5824</v>
      </c>
    </row>
    <row r="703" spans="1:5">
      <c r="A703" s="453">
        <v>444916181</v>
      </c>
      <c r="B703" s="453">
        <v>635882263.56269395</v>
      </c>
      <c r="D703" s="453" t="s">
        <v>5825</v>
      </c>
      <c r="E703" s="453" t="s">
        <v>5826</v>
      </c>
    </row>
    <row r="704" spans="1:5">
      <c r="A704" s="453">
        <v>444980965</v>
      </c>
      <c r="B704" s="453">
        <v>635947047.56338096</v>
      </c>
      <c r="D704" s="453" t="s">
        <v>5827</v>
      </c>
      <c r="E704" s="453" t="s">
        <v>5828</v>
      </c>
    </row>
    <row r="705" spans="1:5">
      <c r="A705" s="453">
        <v>445067362</v>
      </c>
      <c r="B705" s="453">
        <v>636033444.56436598</v>
      </c>
      <c r="D705" s="453" t="s">
        <v>5829</v>
      </c>
      <c r="E705" s="453" t="s">
        <v>5830</v>
      </c>
    </row>
    <row r="706" spans="1:5">
      <c r="A706" s="453">
        <v>445211461</v>
      </c>
      <c r="B706" s="453">
        <v>636177543.56599295</v>
      </c>
      <c r="D706" s="453" t="s">
        <v>5831</v>
      </c>
      <c r="E706" s="453" t="s">
        <v>5832</v>
      </c>
    </row>
    <row r="707" spans="1:5">
      <c r="A707" s="453">
        <v>445279769</v>
      </c>
      <c r="B707" s="453">
        <v>636245851.56675196</v>
      </c>
      <c r="D707" s="453" t="s">
        <v>5833</v>
      </c>
      <c r="E707" s="453" t="s">
        <v>5834</v>
      </c>
    </row>
    <row r="708" spans="1:5">
      <c r="A708" s="453">
        <v>445373396</v>
      </c>
      <c r="B708" s="453">
        <v>636339478.56780696</v>
      </c>
      <c r="D708" s="453" t="s">
        <v>5835</v>
      </c>
      <c r="E708" s="453" t="s">
        <v>5836</v>
      </c>
    </row>
    <row r="709" spans="1:5">
      <c r="A709" s="453">
        <v>445546207</v>
      </c>
      <c r="B709" s="453">
        <v>636512289.56975198</v>
      </c>
      <c r="D709" s="453" t="s">
        <v>5837</v>
      </c>
      <c r="E709" s="453" t="s">
        <v>5838</v>
      </c>
    </row>
    <row r="710" spans="1:5">
      <c r="A710" s="453">
        <v>445647074</v>
      </c>
      <c r="B710" s="453">
        <v>636613156.57083905</v>
      </c>
      <c r="D710" s="453" t="s">
        <v>5839</v>
      </c>
      <c r="E710" s="453" t="s">
        <v>5840</v>
      </c>
    </row>
    <row r="711" spans="1:5">
      <c r="A711" s="453">
        <v>445719017</v>
      </c>
      <c r="B711" s="453">
        <v>636685099.57168901</v>
      </c>
      <c r="D711" s="453" t="s">
        <v>5841</v>
      </c>
      <c r="E711" s="453" t="s">
        <v>5842</v>
      </c>
    </row>
    <row r="712" spans="1:5">
      <c r="A712" s="453">
        <v>445819881</v>
      </c>
      <c r="B712" s="453">
        <v>636785963.57280195</v>
      </c>
      <c r="D712" s="453" t="s">
        <v>5843</v>
      </c>
      <c r="E712" s="453" t="s">
        <v>5844</v>
      </c>
    </row>
    <row r="713" spans="1:5">
      <c r="A713" s="453">
        <v>445891817</v>
      </c>
      <c r="B713" s="453">
        <v>636857899.57364094</v>
      </c>
      <c r="D713" s="453" t="s">
        <v>5845</v>
      </c>
      <c r="E713" s="453" t="s">
        <v>5846</v>
      </c>
    </row>
    <row r="714" spans="1:5">
      <c r="A714" s="453">
        <v>445960192</v>
      </c>
      <c r="B714" s="453">
        <v>636926274.57437003</v>
      </c>
      <c r="D714" s="453" t="s">
        <v>5847</v>
      </c>
      <c r="E714" s="453" t="s">
        <v>5848</v>
      </c>
    </row>
    <row r="715" spans="1:5">
      <c r="A715" s="453">
        <v>446061011</v>
      </c>
      <c r="B715" s="453">
        <v>637027093.57552004</v>
      </c>
      <c r="D715" s="453" t="s">
        <v>5849</v>
      </c>
      <c r="E715" s="453" t="s">
        <v>5850</v>
      </c>
    </row>
    <row r="716" spans="1:5">
      <c r="A716" s="453">
        <v>446132997</v>
      </c>
      <c r="B716" s="453">
        <v>637099079.57632899</v>
      </c>
      <c r="D716" s="453" t="s">
        <v>5851</v>
      </c>
      <c r="E716" s="453" t="s">
        <v>5852</v>
      </c>
    </row>
    <row r="717" spans="1:5">
      <c r="A717" s="453">
        <v>446280598</v>
      </c>
      <c r="B717" s="453">
        <v>637246680.577986</v>
      </c>
      <c r="D717" s="453" t="s">
        <v>5853</v>
      </c>
      <c r="E717" s="453" t="s">
        <v>5854</v>
      </c>
    </row>
    <row r="718" spans="1:5">
      <c r="A718" s="453">
        <v>446424692</v>
      </c>
      <c r="B718" s="453">
        <v>637390774.579597</v>
      </c>
      <c r="D718" s="453" t="s">
        <v>5855</v>
      </c>
      <c r="E718" s="453" t="s">
        <v>5856</v>
      </c>
    </row>
    <row r="719" spans="1:5">
      <c r="A719" s="453">
        <v>446489425</v>
      </c>
      <c r="B719" s="453">
        <v>637455507.580351</v>
      </c>
      <c r="D719" s="453" t="s">
        <v>5857</v>
      </c>
      <c r="E719" s="453" t="s">
        <v>5858</v>
      </c>
    </row>
    <row r="720" spans="1:5">
      <c r="A720" s="453">
        <v>446565015</v>
      </c>
      <c r="B720" s="453">
        <v>637531097.58118403</v>
      </c>
      <c r="D720" s="453" t="s">
        <v>5859</v>
      </c>
      <c r="E720" s="453" t="s">
        <v>5860</v>
      </c>
    </row>
    <row r="721" spans="1:5">
      <c r="A721" s="453">
        <v>446665846</v>
      </c>
      <c r="B721" s="453">
        <v>637631928.58234</v>
      </c>
      <c r="D721" s="453" t="s">
        <v>5861</v>
      </c>
      <c r="E721" s="453" t="s">
        <v>5862</v>
      </c>
    </row>
    <row r="722" spans="1:5">
      <c r="A722" s="453">
        <v>446709021</v>
      </c>
      <c r="B722" s="453">
        <v>637675103.58280694</v>
      </c>
      <c r="D722" s="453" t="s">
        <v>5863</v>
      </c>
      <c r="E722" s="453" t="s">
        <v>5864</v>
      </c>
    </row>
    <row r="723" spans="1:5">
      <c r="A723" s="453">
        <v>446802621</v>
      </c>
      <c r="B723" s="453">
        <v>637768703.58388305</v>
      </c>
      <c r="D723" s="453" t="s">
        <v>5865</v>
      </c>
      <c r="E723" s="453" t="s">
        <v>5866</v>
      </c>
    </row>
    <row r="724" spans="1:5">
      <c r="A724" s="453">
        <v>446878230</v>
      </c>
      <c r="B724" s="453">
        <v>637844312.58471</v>
      </c>
      <c r="D724" s="453" t="s">
        <v>5867</v>
      </c>
      <c r="E724" s="453" t="s">
        <v>5868</v>
      </c>
    </row>
    <row r="725" spans="1:5">
      <c r="A725" s="453">
        <v>447018714</v>
      </c>
      <c r="B725" s="453">
        <v>637984796.58629596</v>
      </c>
      <c r="D725" s="453" t="s">
        <v>5869</v>
      </c>
      <c r="E725" s="453" t="s">
        <v>5870</v>
      </c>
    </row>
    <row r="726" spans="1:5">
      <c r="A726" s="453">
        <v>447069053</v>
      </c>
      <c r="B726" s="453">
        <v>638035135.58689499</v>
      </c>
      <c r="D726" s="453" t="s">
        <v>5871</v>
      </c>
      <c r="E726" s="453" t="s">
        <v>5872</v>
      </c>
    </row>
    <row r="727" spans="1:5">
      <c r="A727" s="453">
        <v>447241871</v>
      </c>
      <c r="B727" s="453">
        <v>638207953.58884799</v>
      </c>
      <c r="D727" s="453" t="s">
        <v>5873</v>
      </c>
      <c r="E727" s="453" t="s">
        <v>5874</v>
      </c>
    </row>
    <row r="728" spans="1:5">
      <c r="A728" s="453">
        <v>447357084</v>
      </c>
      <c r="B728" s="453">
        <v>638323166.59015405</v>
      </c>
      <c r="D728" s="453" t="s">
        <v>5875</v>
      </c>
      <c r="E728" s="453" t="s">
        <v>5876</v>
      </c>
    </row>
    <row r="729" spans="1:5">
      <c r="A729" s="453">
        <v>447411057</v>
      </c>
      <c r="B729" s="453">
        <v>638377139.59075606</v>
      </c>
      <c r="D729" s="453" t="s">
        <v>5877</v>
      </c>
      <c r="E729" s="453" t="s">
        <v>5878</v>
      </c>
    </row>
    <row r="730" spans="1:5">
      <c r="A730" s="453">
        <v>447486652</v>
      </c>
      <c r="B730" s="453">
        <v>638452734.59160995</v>
      </c>
      <c r="D730" s="453" t="s">
        <v>5879</v>
      </c>
      <c r="E730" s="453" t="s">
        <v>5880</v>
      </c>
    </row>
    <row r="731" spans="1:5">
      <c r="A731" s="453">
        <v>447587489</v>
      </c>
      <c r="B731" s="453">
        <v>638553571.59275603</v>
      </c>
      <c r="D731" s="453" t="s">
        <v>5881</v>
      </c>
      <c r="E731" s="453" t="s">
        <v>5882</v>
      </c>
    </row>
    <row r="732" spans="1:5">
      <c r="A732" s="453">
        <v>447720754</v>
      </c>
      <c r="B732" s="453">
        <v>638686836.59428596</v>
      </c>
      <c r="D732" s="453" t="s">
        <v>5883</v>
      </c>
      <c r="E732" s="453" t="s">
        <v>5884</v>
      </c>
    </row>
    <row r="733" spans="1:5">
      <c r="A733" s="453">
        <v>447789102</v>
      </c>
      <c r="B733" s="453">
        <v>638755184.59505796</v>
      </c>
      <c r="D733" s="453" t="s">
        <v>5885</v>
      </c>
      <c r="E733" s="453" t="s">
        <v>5886</v>
      </c>
    </row>
    <row r="734" spans="1:5">
      <c r="A734" s="453">
        <v>447951086</v>
      </c>
      <c r="B734" s="453">
        <v>638917168.59687805</v>
      </c>
      <c r="D734" s="453" t="s">
        <v>5887</v>
      </c>
      <c r="E734" s="453" t="s">
        <v>5888</v>
      </c>
    </row>
    <row r="735" spans="1:5">
      <c r="A735" s="453">
        <v>448120292</v>
      </c>
      <c r="B735" s="453">
        <v>639086374.59880602</v>
      </c>
      <c r="D735" s="453" t="s">
        <v>5889</v>
      </c>
      <c r="E735" s="453" t="s">
        <v>5890</v>
      </c>
    </row>
    <row r="736" spans="1:5">
      <c r="A736" s="453">
        <v>448239189</v>
      </c>
      <c r="B736" s="453">
        <v>639205271.60016</v>
      </c>
      <c r="D736" s="453" t="s">
        <v>5891</v>
      </c>
      <c r="E736" s="453" t="s">
        <v>5892</v>
      </c>
    </row>
    <row r="737" spans="1:5">
      <c r="A737" s="453">
        <v>448303916</v>
      </c>
      <c r="B737" s="453">
        <v>639269998.60090399</v>
      </c>
      <c r="D737" s="453" t="s">
        <v>5893</v>
      </c>
      <c r="E737" s="453" t="s">
        <v>5894</v>
      </c>
    </row>
    <row r="738" spans="1:5">
      <c r="A738" s="453">
        <v>448465910</v>
      </c>
      <c r="B738" s="453">
        <v>639431992.60273397</v>
      </c>
      <c r="D738" s="453" t="s">
        <v>5895</v>
      </c>
      <c r="E738" s="453" t="s">
        <v>5896</v>
      </c>
    </row>
    <row r="739" spans="1:5">
      <c r="A739" s="453">
        <v>448563171</v>
      </c>
      <c r="B739" s="453">
        <v>639529253.60386801</v>
      </c>
      <c r="D739" s="453" t="s">
        <v>5897</v>
      </c>
      <c r="E739" s="453" t="s">
        <v>5898</v>
      </c>
    </row>
    <row r="740" spans="1:5">
      <c r="A740" s="453">
        <v>448649546</v>
      </c>
      <c r="B740" s="453">
        <v>639615628.60483694</v>
      </c>
      <c r="D740" s="453" t="s">
        <v>5899</v>
      </c>
      <c r="E740" s="453" t="s">
        <v>5900</v>
      </c>
    </row>
    <row r="741" spans="1:5">
      <c r="A741" s="453">
        <v>448743220</v>
      </c>
      <c r="B741" s="453">
        <v>639709302.60590303</v>
      </c>
      <c r="D741" s="453" t="s">
        <v>5901</v>
      </c>
      <c r="E741" s="453" t="s">
        <v>5902</v>
      </c>
    </row>
    <row r="742" spans="1:5">
      <c r="A742" s="453">
        <v>448793549</v>
      </c>
      <c r="B742" s="453">
        <v>639759631.60649395</v>
      </c>
      <c r="D742" s="453" t="s">
        <v>5903</v>
      </c>
      <c r="E742" s="453" t="s">
        <v>5904</v>
      </c>
    </row>
    <row r="743" spans="1:5">
      <c r="A743" s="453">
        <v>448908766</v>
      </c>
      <c r="B743" s="453">
        <v>639874848.60780001</v>
      </c>
      <c r="D743" s="453" t="s">
        <v>5905</v>
      </c>
      <c r="E743" s="453" t="s">
        <v>5906</v>
      </c>
    </row>
    <row r="744" spans="1:5">
      <c r="A744" s="453">
        <v>449103227</v>
      </c>
      <c r="B744" s="453">
        <v>640069309.61004198</v>
      </c>
      <c r="D744" s="453" t="s">
        <v>5907</v>
      </c>
      <c r="E744" s="453" t="s">
        <v>5908</v>
      </c>
    </row>
    <row r="745" spans="1:5">
      <c r="A745" s="453">
        <v>449164377</v>
      </c>
      <c r="B745" s="453">
        <v>640130459.61071897</v>
      </c>
      <c r="D745" s="453" t="s">
        <v>5909</v>
      </c>
      <c r="E745" s="453" t="s">
        <v>5910</v>
      </c>
    </row>
    <row r="746" spans="1:5">
      <c r="A746" s="453">
        <v>449243551</v>
      </c>
      <c r="B746" s="453">
        <v>640209633.61162305</v>
      </c>
      <c r="D746" s="453" t="s">
        <v>5911</v>
      </c>
      <c r="E746" s="453" t="s">
        <v>5912</v>
      </c>
    </row>
    <row r="747" spans="1:5">
      <c r="A747" s="453">
        <v>449391176</v>
      </c>
      <c r="B747" s="453">
        <v>640357258.61332202</v>
      </c>
      <c r="D747" s="453" t="s">
        <v>5913</v>
      </c>
      <c r="E747" s="453" t="s">
        <v>5914</v>
      </c>
    </row>
    <row r="748" spans="1:5">
      <c r="A748" s="453">
        <v>449509997</v>
      </c>
      <c r="B748" s="453">
        <v>640476079.61467505</v>
      </c>
      <c r="D748" s="453" t="s">
        <v>5915</v>
      </c>
      <c r="E748" s="453" t="s">
        <v>5916</v>
      </c>
    </row>
    <row r="749" spans="1:5">
      <c r="A749" s="453">
        <v>449592776</v>
      </c>
      <c r="B749" s="453">
        <v>640558858.61563599</v>
      </c>
      <c r="D749" s="453" t="s">
        <v>5917</v>
      </c>
      <c r="E749" s="453" t="s">
        <v>5918</v>
      </c>
    </row>
    <row r="750" spans="1:5">
      <c r="A750" s="453">
        <v>449690067</v>
      </c>
      <c r="B750" s="453">
        <v>640656149.61672795</v>
      </c>
      <c r="D750" s="453" t="s">
        <v>5919</v>
      </c>
      <c r="E750" s="453" t="s">
        <v>5920</v>
      </c>
    </row>
    <row r="751" spans="1:5">
      <c r="A751" s="453">
        <v>449740448</v>
      </c>
      <c r="B751" s="453">
        <v>640706530.61732197</v>
      </c>
      <c r="D751" s="453" t="s">
        <v>5921</v>
      </c>
      <c r="E751" s="453" t="s">
        <v>5922</v>
      </c>
    </row>
    <row r="752" spans="1:5">
      <c r="A752" s="453">
        <v>450028467</v>
      </c>
      <c r="B752" s="453">
        <v>640994549.62064004</v>
      </c>
      <c r="D752" s="453" t="s">
        <v>5923</v>
      </c>
      <c r="E752" s="453" t="s">
        <v>5924</v>
      </c>
    </row>
    <row r="753" spans="1:5">
      <c r="A753" s="453">
        <v>450428058</v>
      </c>
      <c r="B753" s="453">
        <v>641394140.62520397</v>
      </c>
      <c r="D753" s="453" t="s">
        <v>5925</v>
      </c>
      <c r="E753" s="453" t="s">
        <v>5926</v>
      </c>
    </row>
    <row r="754" spans="1:5">
      <c r="A754" s="453">
        <v>450644114</v>
      </c>
      <c r="B754" s="453">
        <v>641610196.62767804</v>
      </c>
      <c r="D754" s="453" t="s">
        <v>5927</v>
      </c>
      <c r="E754" s="453" t="s">
        <v>5928</v>
      </c>
    </row>
    <row r="755" spans="1:5">
      <c r="A755" s="453">
        <v>450906928</v>
      </c>
      <c r="B755" s="453">
        <v>641873010.63070798</v>
      </c>
      <c r="D755" s="453" t="s">
        <v>5929</v>
      </c>
      <c r="E755" s="453" t="s">
        <v>5930</v>
      </c>
    </row>
    <row r="756" spans="1:5">
      <c r="A756" s="453">
        <v>451234531</v>
      </c>
      <c r="B756" s="453">
        <v>642200613.63448906</v>
      </c>
      <c r="D756" s="453" t="s">
        <v>5931</v>
      </c>
      <c r="E756" s="453" t="s">
        <v>5932</v>
      </c>
    </row>
    <row r="757" spans="1:5">
      <c r="A757" s="453">
        <v>451551334</v>
      </c>
      <c r="B757" s="453">
        <v>642517416.63813698</v>
      </c>
      <c r="D757" s="453" t="s">
        <v>5933</v>
      </c>
      <c r="E757" s="453" t="s">
        <v>5934</v>
      </c>
    </row>
    <row r="758" spans="1:5">
      <c r="A758" s="453">
        <v>451846540</v>
      </c>
      <c r="B758" s="453">
        <v>642812622.64153397</v>
      </c>
      <c r="D758" s="453" t="s">
        <v>5935</v>
      </c>
      <c r="E758" s="453" t="s">
        <v>5936</v>
      </c>
    </row>
    <row r="759" spans="1:5">
      <c r="A759" s="453">
        <v>452181363</v>
      </c>
      <c r="B759" s="453">
        <v>643147445.64541495</v>
      </c>
      <c r="D759" s="453" t="s">
        <v>5937</v>
      </c>
      <c r="E759" s="453" t="s">
        <v>5938</v>
      </c>
    </row>
    <row r="760" spans="1:5">
      <c r="A760" s="453">
        <v>452473881</v>
      </c>
      <c r="B760" s="453">
        <v>643439963.64875996</v>
      </c>
      <c r="D760" s="453" t="s">
        <v>5939</v>
      </c>
      <c r="E760" s="453" t="s">
        <v>5940</v>
      </c>
    </row>
    <row r="761" spans="1:5">
      <c r="A761" s="453">
        <v>452498127</v>
      </c>
      <c r="B761" s="453">
        <v>643464209.649055</v>
      </c>
      <c r="D761" s="453" t="s">
        <v>5941</v>
      </c>
      <c r="E761" s="453" t="s">
        <v>5942</v>
      </c>
    </row>
    <row r="762" spans="1:5">
      <c r="A762" s="453">
        <v>452818581</v>
      </c>
      <c r="B762" s="453">
        <v>643784663.65274203</v>
      </c>
      <c r="D762" s="453" t="s">
        <v>5943</v>
      </c>
      <c r="E762" s="453" t="s">
        <v>5944</v>
      </c>
    </row>
    <row r="763" spans="1:5">
      <c r="A763" s="453">
        <v>452840135</v>
      </c>
      <c r="B763" s="453">
        <v>643806217.65300298</v>
      </c>
      <c r="D763" s="453" t="s">
        <v>5945</v>
      </c>
      <c r="E763" s="453" t="s">
        <v>5946</v>
      </c>
    </row>
    <row r="764" spans="1:5">
      <c r="A764" s="453">
        <v>453077782</v>
      </c>
      <c r="B764" s="453">
        <v>644043864.65573394</v>
      </c>
      <c r="D764" s="453" t="s">
        <v>5947</v>
      </c>
      <c r="E764" s="453" t="s">
        <v>5948</v>
      </c>
    </row>
    <row r="765" spans="1:5">
      <c r="A765" s="453">
        <v>453138987</v>
      </c>
      <c r="B765" s="453">
        <v>644105069.65645397</v>
      </c>
      <c r="D765" s="453" t="s">
        <v>5949</v>
      </c>
      <c r="E765" s="453" t="s">
        <v>5950</v>
      </c>
    </row>
    <row r="766" spans="1:5">
      <c r="A766" s="453">
        <v>453336996</v>
      </c>
      <c r="B766" s="453">
        <v>644303078.65872896</v>
      </c>
      <c r="D766" s="453" t="s">
        <v>5951</v>
      </c>
      <c r="E766" s="453" t="s">
        <v>5952</v>
      </c>
    </row>
    <row r="767" spans="1:5">
      <c r="A767" s="453">
        <v>453358577</v>
      </c>
      <c r="B767" s="453">
        <v>644324659.65901005</v>
      </c>
      <c r="D767" s="453" t="s">
        <v>5953</v>
      </c>
      <c r="E767" s="453" t="s">
        <v>5954</v>
      </c>
    </row>
    <row r="768" spans="1:5">
      <c r="A768" s="453">
        <v>453646577</v>
      </c>
      <c r="B768" s="453">
        <v>644612659.66234696</v>
      </c>
      <c r="D768" s="453" t="s">
        <v>5955</v>
      </c>
      <c r="E768" s="453" t="s">
        <v>5956</v>
      </c>
    </row>
    <row r="769" spans="1:5">
      <c r="A769" s="453">
        <v>453992179</v>
      </c>
      <c r="B769" s="453">
        <v>644958261.66634595</v>
      </c>
      <c r="D769" s="453" t="s">
        <v>5957</v>
      </c>
      <c r="E769" s="453" t="s">
        <v>5958</v>
      </c>
    </row>
    <row r="770" spans="1:5">
      <c r="A770" s="453">
        <v>454064127</v>
      </c>
      <c r="B770" s="453">
        <v>645030209.66715503</v>
      </c>
      <c r="D770" s="453" t="s">
        <v>5959</v>
      </c>
      <c r="E770" s="453" t="s">
        <v>5960</v>
      </c>
    </row>
    <row r="771" spans="1:5">
      <c r="A771" s="453">
        <v>454287367</v>
      </c>
      <c r="B771" s="453">
        <v>645253449.66973305</v>
      </c>
      <c r="D771" s="453" t="s">
        <v>5961</v>
      </c>
      <c r="E771" s="453" t="s">
        <v>5962</v>
      </c>
    </row>
    <row r="772" spans="1:5">
      <c r="A772" s="453">
        <v>454308967</v>
      </c>
      <c r="B772" s="453">
        <v>645275049.67000198</v>
      </c>
      <c r="D772" s="453" t="s">
        <v>5963</v>
      </c>
      <c r="E772" s="453" t="s">
        <v>5964</v>
      </c>
    </row>
    <row r="773" spans="1:5">
      <c r="A773" s="453">
        <v>454593371</v>
      </c>
      <c r="B773" s="453">
        <v>645559453.67330599</v>
      </c>
      <c r="D773" s="453" t="s">
        <v>5965</v>
      </c>
      <c r="E773" s="453" t="s">
        <v>5966</v>
      </c>
    </row>
    <row r="774" spans="1:5">
      <c r="A774" s="453">
        <v>454719360</v>
      </c>
      <c r="B774" s="453">
        <v>645685442.67473495</v>
      </c>
      <c r="D774" s="453" t="s">
        <v>5967</v>
      </c>
      <c r="E774" s="453" t="s">
        <v>5968</v>
      </c>
    </row>
    <row r="775" spans="1:5">
      <c r="A775" s="453">
        <v>454726519</v>
      </c>
      <c r="B775" s="453">
        <v>645692601.67482197</v>
      </c>
      <c r="D775" s="453" t="s">
        <v>5969</v>
      </c>
      <c r="E775" s="453" t="s">
        <v>5970</v>
      </c>
    </row>
    <row r="776" spans="1:5">
      <c r="A776" s="453">
        <v>454892156</v>
      </c>
      <c r="B776" s="453">
        <v>645858238.67672396</v>
      </c>
      <c r="D776" s="453" t="s">
        <v>5971</v>
      </c>
      <c r="E776" s="453" t="s">
        <v>5972</v>
      </c>
    </row>
    <row r="777" spans="1:5">
      <c r="A777" s="453">
        <v>454910175</v>
      </c>
      <c r="B777" s="453">
        <v>645876257.67695606</v>
      </c>
      <c r="D777" s="453" t="s">
        <v>5973</v>
      </c>
      <c r="E777" s="453" t="s">
        <v>5974</v>
      </c>
    </row>
    <row r="778" spans="1:5">
      <c r="A778" s="453">
        <v>455237761</v>
      </c>
      <c r="B778" s="453">
        <v>646203843.68072701</v>
      </c>
      <c r="D778" s="453" t="s">
        <v>5975</v>
      </c>
      <c r="E778" s="453" t="s">
        <v>5976</v>
      </c>
    </row>
    <row r="779" spans="1:5">
      <c r="A779" s="453">
        <v>455255765</v>
      </c>
      <c r="B779" s="453">
        <v>646221847.68094397</v>
      </c>
      <c r="D779" s="453" t="s">
        <v>5977</v>
      </c>
      <c r="E779" s="453" t="s">
        <v>5978</v>
      </c>
    </row>
    <row r="780" spans="1:5">
      <c r="A780" s="453">
        <v>455457361</v>
      </c>
      <c r="B780" s="453">
        <v>646423443.68329406</v>
      </c>
      <c r="D780" s="453" t="s">
        <v>5979</v>
      </c>
      <c r="E780" s="453" t="s">
        <v>5980</v>
      </c>
    </row>
    <row r="781" spans="1:5">
      <c r="A781" s="453">
        <v>455622910</v>
      </c>
      <c r="B781" s="453">
        <v>646588992.685197</v>
      </c>
      <c r="D781" s="453" t="s">
        <v>5981</v>
      </c>
      <c r="E781" s="453" t="s">
        <v>5982</v>
      </c>
    </row>
    <row r="782" spans="1:5">
      <c r="A782" s="453">
        <v>455842520</v>
      </c>
      <c r="B782" s="453">
        <v>646808602.68771505</v>
      </c>
      <c r="D782" s="453" t="s">
        <v>5983</v>
      </c>
      <c r="E782" s="453" t="s">
        <v>5984</v>
      </c>
    </row>
    <row r="783" spans="1:5">
      <c r="A783" s="453">
        <v>455860543</v>
      </c>
      <c r="B783" s="453">
        <v>646826625.68794405</v>
      </c>
      <c r="D783" s="453" t="s">
        <v>5985</v>
      </c>
      <c r="E783" s="453" t="s">
        <v>5986</v>
      </c>
    </row>
    <row r="784" spans="1:5">
      <c r="A784" s="453">
        <v>456015313</v>
      </c>
      <c r="B784" s="453">
        <v>646981395.68971705</v>
      </c>
      <c r="D784" s="453" t="s">
        <v>5987</v>
      </c>
      <c r="E784" s="453" t="s">
        <v>5988</v>
      </c>
    </row>
    <row r="785" spans="1:5">
      <c r="A785" s="453">
        <v>456065748</v>
      </c>
      <c r="B785" s="453">
        <v>647031830.69029796</v>
      </c>
      <c r="D785" s="453" t="s">
        <v>5989</v>
      </c>
      <c r="E785" s="453" t="s">
        <v>5990</v>
      </c>
    </row>
    <row r="786" spans="1:5">
      <c r="A786" s="453">
        <v>456188106</v>
      </c>
      <c r="B786" s="453">
        <v>647154188.69171202</v>
      </c>
      <c r="D786" s="453" t="s">
        <v>5991</v>
      </c>
      <c r="E786" s="453" t="s">
        <v>5992</v>
      </c>
    </row>
    <row r="787" spans="1:5">
      <c r="A787" s="453">
        <v>456216883</v>
      </c>
      <c r="B787" s="453">
        <v>647182965.69204104</v>
      </c>
      <c r="D787" s="453" t="s">
        <v>5993</v>
      </c>
      <c r="E787" s="453" t="s">
        <v>5994</v>
      </c>
    </row>
    <row r="788" spans="1:5">
      <c r="A788" s="453">
        <v>456404128</v>
      </c>
      <c r="B788" s="453">
        <v>647370210.69420695</v>
      </c>
      <c r="D788" s="453" t="s">
        <v>5995</v>
      </c>
      <c r="E788" s="453" t="s">
        <v>5996</v>
      </c>
    </row>
    <row r="789" spans="1:5">
      <c r="A789" s="453">
        <v>456706482</v>
      </c>
      <c r="B789" s="453">
        <v>647672564.69769895</v>
      </c>
      <c r="D789" s="453" t="s">
        <v>5997</v>
      </c>
      <c r="E789" s="453" t="s">
        <v>5998</v>
      </c>
    </row>
    <row r="790" spans="1:5">
      <c r="A790" s="453">
        <v>456735256</v>
      </c>
      <c r="B790" s="453">
        <v>647701338.69801497</v>
      </c>
      <c r="D790" s="453" t="s">
        <v>5999</v>
      </c>
      <c r="E790" s="453" t="s">
        <v>6000</v>
      </c>
    </row>
    <row r="791" spans="1:5">
      <c r="A791" s="453">
        <v>456908054</v>
      </c>
      <c r="B791" s="453">
        <v>647874136.700014</v>
      </c>
      <c r="D791" s="453" t="s">
        <v>6001</v>
      </c>
      <c r="E791" s="453" t="s">
        <v>6002</v>
      </c>
    </row>
    <row r="792" spans="1:5">
      <c r="A792" s="453">
        <v>457005301</v>
      </c>
      <c r="B792" s="453">
        <v>647971383.70115805</v>
      </c>
      <c r="D792" s="453" t="s">
        <v>6003</v>
      </c>
      <c r="E792" s="453" t="s">
        <v>6004</v>
      </c>
    </row>
    <row r="793" spans="1:5">
      <c r="A793" s="453">
        <v>457311247</v>
      </c>
      <c r="B793" s="453">
        <v>648277329.70465195</v>
      </c>
      <c r="D793" s="453" t="s">
        <v>6005</v>
      </c>
      <c r="E793" s="453" t="s">
        <v>6006</v>
      </c>
    </row>
    <row r="794" spans="1:5">
      <c r="A794" s="453">
        <v>457322068</v>
      </c>
      <c r="B794" s="453">
        <v>648288150.70478904</v>
      </c>
      <c r="D794" s="453" t="s">
        <v>6007</v>
      </c>
      <c r="E794" s="453" t="s">
        <v>6008</v>
      </c>
    </row>
    <row r="795" spans="1:5">
      <c r="A795" s="453">
        <v>457566799</v>
      </c>
      <c r="B795" s="453">
        <v>648532881.70759499</v>
      </c>
      <c r="D795" s="453" t="s">
        <v>6009</v>
      </c>
      <c r="E795" s="453" t="s">
        <v>6010</v>
      </c>
    </row>
    <row r="796" spans="1:5">
      <c r="A796" s="453">
        <v>457656792</v>
      </c>
      <c r="B796" s="453">
        <v>648622874.708637</v>
      </c>
      <c r="D796" s="453" t="s">
        <v>6011</v>
      </c>
      <c r="E796" s="453" t="s">
        <v>6012</v>
      </c>
    </row>
    <row r="797" spans="1:5">
      <c r="A797" s="453">
        <v>457743188</v>
      </c>
      <c r="B797" s="453">
        <v>648709270.70961201</v>
      </c>
      <c r="D797" s="453" t="s">
        <v>6013</v>
      </c>
      <c r="E797" s="453" t="s">
        <v>6014</v>
      </c>
    </row>
    <row r="798" spans="1:5">
      <c r="A798" s="453">
        <v>457754067</v>
      </c>
      <c r="B798" s="453">
        <v>648720149.70974696</v>
      </c>
      <c r="D798" s="453" t="s">
        <v>6015</v>
      </c>
      <c r="E798" s="453" t="s">
        <v>6016</v>
      </c>
    </row>
    <row r="799" spans="1:5">
      <c r="A799" s="453">
        <v>457915978</v>
      </c>
      <c r="B799" s="453">
        <v>648882060.71159601</v>
      </c>
      <c r="D799" s="453" t="s">
        <v>6017</v>
      </c>
      <c r="E799" s="453" t="s">
        <v>6018</v>
      </c>
    </row>
    <row r="800" spans="1:5">
      <c r="A800" s="453">
        <v>457919555</v>
      </c>
      <c r="B800" s="453">
        <v>648885637.71165299</v>
      </c>
      <c r="D800" s="453" t="s">
        <v>6019</v>
      </c>
      <c r="E800" s="453" t="s">
        <v>6020</v>
      </c>
    </row>
    <row r="801" spans="1:5">
      <c r="A801" s="453">
        <v>458175154</v>
      </c>
      <c r="B801" s="453">
        <v>649141236.71457398</v>
      </c>
      <c r="D801" s="453" t="s">
        <v>6021</v>
      </c>
      <c r="E801" s="453" t="s">
        <v>6022</v>
      </c>
    </row>
    <row r="802" spans="1:5">
      <c r="A802" s="453">
        <v>458240014</v>
      </c>
      <c r="B802" s="453">
        <v>649206096.71532595</v>
      </c>
      <c r="D802" s="453" t="s">
        <v>6023</v>
      </c>
      <c r="E802" s="453" t="s">
        <v>6024</v>
      </c>
    </row>
    <row r="803" spans="1:5">
      <c r="A803" s="453">
        <v>458297557</v>
      </c>
      <c r="B803" s="453">
        <v>649263639.71597898</v>
      </c>
      <c r="D803" s="453" t="s">
        <v>6025</v>
      </c>
      <c r="E803" s="453" t="s">
        <v>6026</v>
      </c>
    </row>
    <row r="804" spans="1:5">
      <c r="A804" s="453">
        <v>458434336</v>
      </c>
      <c r="B804" s="453">
        <v>649400418.71754098</v>
      </c>
      <c r="D804" s="453" t="s">
        <v>6027</v>
      </c>
      <c r="E804" s="453" t="s">
        <v>6028</v>
      </c>
    </row>
    <row r="805" spans="1:5">
      <c r="A805" s="453">
        <v>458520727</v>
      </c>
      <c r="B805" s="453">
        <v>649486809.71851695</v>
      </c>
      <c r="D805" s="453" t="s">
        <v>6029</v>
      </c>
      <c r="E805" s="453" t="s">
        <v>6030</v>
      </c>
    </row>
    <row r="806" spans="1:5">
      <c r="A806" s="453">
        <v>458556737</v>
      </c>
      <c r="B806" s="453">
        <v>649522819.71895194</v>
      </c>
      <c r="D806" s="453" t="s">
        <v>6031</v>
      </c>
      <c r="E806" s="453" t="s">
        <v>6032</v>
      </c>
    </row>
    <row r="807" spans="1:5">
      <c r="A807" s="453">
        <v>458689914</v>
      </c>
      <c r="B807" s="453">
        <v>649655996.72046399</v>
      </c>
      <c r="D807" s="453" t="s">
        <v>6033</v>
      </c>
      <c r="E807" s="453" t="s">
        <v>6034</v>
      </c>
    </row>
    <row r="808" spans="1:5">
      <c r="A808" s="453">
        <v>458815903</v>
      </c>
      <c r="B808" s="453">
        <v>649781985.72191894</v>
      </c>
      <c r="D808" s="453" t="s">
        <v>6035</v>
      </c>
      <c r="E808" s="453" t="s">
        <v>6036</v>
      </c>
    </row>
    <row r="809" spans="1:5">
      <c r="A809" s="453">
        <v>458952694</v>
      </c>
      <c r="B809" s="453">
        <v>649918776.72345996</v>
      </c>
      <c r="D809" s="453" t="s">
        <v>6037</v>
      </c>
      <c r="E809" s="453" t="s">
        <v>6038</v>
      </c>
    </row>
    <row r="810" spans="1:5">
      <c r="A810" s="453">
        <v>458959886</v>
      </c>
      <c r="B810" s="453">
        <v>649925968.72356606</v>
      </c>
      <c r="D810" s="453" t="s">
        <v>6039</v>
      </c>
      <c r="E810" s="453" t="s">
        <v>6040</v>
      </c>
    </row>
    <row r="811" spans="1:5">
      <c r="A811" s="453">
        <v>459125476</v>
      </c>
      <c r="B811" s="453">
        <v>650091558.72543705</v>
      </c>
      <c r="D811" s="453" t="s">
        <v>6041</v>
      </c>
      <c r="E811" s="453" t="s">
        <v>6042</v>
      </c>
    </row>
    <row r="812" spans="1:5">
      <c r="A812" s="453">
        <v>459183145</v>
      </c>
      <c r="B812" s="453">
        <v>650149227.72610903</v>
      </c>
      <c r="D812" s="453" t="s">
        <v>6043</v>
      </c>
      <c r="E812" s="453" t="s">
        <v>6044</v>
      </c>
    </row>
    <row r="813" spans="1:5">
      <c r="A813" s="453">
        <v>459237042</v>
      </c>
      <c r="B813" s="453">
        <v>650203124.726717</v>
      </c>
      <c r="D813" s="453" t="s">
        <v>6045</v>
      </c>
      <c r="E813" s="453" t="s">
        <v>6046</v>
      </c>
    </row>
    <row r="814" spans="1:5">
      <c r="A814" s="453">
        <v>459384654</v>
      </c>
      <c r="B814" s="453">
        <v>650350736.72840095</v>
      </c>
      <c r="D814" s="453" t="s">
        <v>6047</v>
      </c>
      <c r="E814" s="453" t="s">
        <v>6048</v>
      </c>
    </row>
    <row r="815" spans="1:5">
      <c r="A815" s="453">
        <v>459471041</v>
      </c>
      <c r="B815" s="453">
        <v>650437123.72939003</v>
      </c>
      <c r="D815" s="453" t="s">
        <v>6049</v>
      </c>
      <c r="E815" s="453" t="s">
        <v>6050</v>
      </c>
    </row>
    <row r="816" spans="1:5">
      <c r="A816" s="453">
        <v>459553834</v>
      </c>
      <c r="B816" s="453">
        <v>650519916.73031604</v>
      </c>
      <c r="D816" s="453" t="s">
        <v>6051</v>
      </c>
      <c r="E816" s="453" t="s">
        <v>6052</v>
      </c>
    </row>
    <row r="817" spans="1:5">
      <c r="A817" s="453">
        <v>459636622</v>
      </c>
      <c r="B817" s="453">
        <v>650602704.73125505</v>
      </c>
      <c r="D817" s="453" t="s">
        <v>6053</v>
      </c>
      <c r="E817" s="453" t="s">
        <v>6054</v>
      </c>
    </row>
    <row r="818" spans="1:5">
      <c r="A818" s="453">
        <v>459676218</v>
      </c>
      <c r="B818" s="453">
        <v>650642300.73172796</v>
      </c>
      <c r="D818" s="453" t="s">
        <v>6055</v>
      </c>
      <c r="E818" s="453" t="s">
        <v>6056</v>
      </c>
    </row>
    <row r="819" spans="1:5">
      <c r="A819" s="453">
        <v>459816656</v>
      </c>
      <c r="B819" s="453">
        <v>650782738.73331702</v>
      </c>
      <c r="D819" s="453" t="s">
        <v>6057</v>
      </c>
      <c r="E819" s="453" t="s">
        <v>6058</v>
      </c>
    </row>
    <row r="820" spans="1:5">
      <c r="A820" s="453">
        <v>459902998</v>
      </c>
      <c r="B820" s="453">
        <v>650869080.734303</v>
      </c>
      <c r="D820" s="453" t="s">
        <v>6059</v>
      </c>
      <c r="E820" s="453" t="s">
        <v>6060</v>
      </c>
    </row>
    <row r="821" spans="1:5">
      <c r="A821" s="453">
        <v>460050648</v>
      </c>
      <c r="B821" s="453">
        <v>651016730.73600197</v>
      </c>
      <c r="D821" s="453" t="s">
        <v>6061</v>
      </c>
      <c r="E821" s="453" t="s">
        <v>6062</v>
      </c>
    </row>
    <row r="822" spans="1:5">
      <c r="A822" s="453">
        <v>460108185</v>
      </c>
      <c r="B822" s="453">
        <v>651074267.73664105</v>
      </c>
      <c r="D822" s="453" t="s">
        <v>6063</v>
      </c>
      <c r="E822" s="453" t="s">
        <v>6064</v>
      </c>
    </row>
    <row r="823" spans="1:5">
      <c r="A823" s="453">
        <v>460248570</v>
      </c>
      <c r="B823" s="453">
        <v>651214652.73823297</v>
      </c>
      <c r="D823" s="453" t="s">
        <v>6065</v>
      </c>
      <c r="E823" s="453" t="s">
        <v>6066</v>
      </c>
    </row>
    <row r="824" spans="1:5">
      <c r="A824" s="453">
        <v>460334954</v>
      </c>
      <c r="B824" s="453">
        <v>651301036.73921895</v>
      </c>
      <c r="D824" s="453" t="s">
        <v>6067</v>
      </c>
      <c r="E824" s="453" t="s">
        <v>6068</v>
      </c>
    </row>
    <row r="825" spans="1:5">
      <c r="A825" s="453">
        <v>460417741</v>
      </c>
      <c r="B825" s="453">
        <v>651383823.74015296</v>
      </c>
      <c r="D825" s="453" t="s">
        <v>6069</v>
      </c>
      <c r="E825" s="453" t="s">
        <v>6070</v>
      </c>
    </row>
    <row r="826" spans="1:5">
      <c r="A826" s="453">
        <v>460518511</v>
      </c>
      <c r="B826" s="453">
        <v>651484593.74128604</v>
      </c>
      <c r="D826" s="453" t="s">
        <v>6071</v>
      </c>
      <c r="E826" s="453" t="s">
        <v>6072</v>
      </c>
    </row>
    <row r="827" spans="1:5">
      <c r="A827" s="453">
        <v>460680516</v>
      </c>
      <c r="B827" s="453">
        <v>651646598.74314594</v>
      </c>
      <c r="D827" s="453" t="s">
        <v>6073</v>
      </c>
      <c r="E827" s="453" t="s">
        <v>6074</v>
      </c>
    </row>
    <row r="828" spans="1:5">
      <c r="A828" s="453">
        <v>460766956</v>
      </c>
      <c r="B828" s="453">
        <v>651733038.744115</v>
      </c>
      <c r="D828" s="453" t="s">
        <v>6075</v>
      </c>
      <c r="E828" s="453" t="s">
        <v>6076</v>
      </c>
    </row>
    <row r="829" spans="1:5">
      <c r="A829" s="453">
        <v>460849688</v>
      </c>
      <c r="B829" s="453">
        <v>651815770.74504697</v>
      </c>
      <c r="D829" s="453" t="s">
        <v>6077</v>
      </c>
      <c r="E829" s="453" t="s">
        <v>6078</v>
      </c>
    </row>
    <row r="830" spans="1:5">
      <c r="A830" s="453">
        <v>460939701</v>
      </c>
      <c r="B830" s="453">
        <v>651905783.74608195</v>
      </c>
      <c r="D830" s="453" t="s">
        <v>6079</v>
      </c>
      <c r="E830" s="453" t="s">
        <v>6080</v>
      </c>
    </row>
    <row r="831" spans="1:5">
      <c r="A831" s="453">
        <v>461022469</v>
      </c>
      <c r="B831" s="453">
        <v>651988551.74700499</v>
      </c>
      <c r="D831" s="453" t="s">
        <v>6081</v>
      </c>
      <c r="E831" s="453" t="s">
        <v>6082</v>
      </c>
    </row>
    <row r="832" spans="1:5">
      <c r="A832" s="453">
        <v>461112478</v>
      </c>
      <c r="B832" s="453">
        <v>652078560.74804497</v>
      </c>
      <c r="D832" s="453" t="s">
        <v>6083</v>
      </c>
      <c r="E832" s="453" t="s">
        <v>6084</v>
      </c>
    </row>
    <row r="833" spans="1:5">
      <c r="A833" s="453">
        <v>461141263</v>
      </c>
      <c r="B833" s="453">
        <v>652107345.74836195</v>
      </c>
      <c r="D833" s="453" t="s">
        <v>6085</v>
      </c>
      <c r="E833" s="453" t="s">
        <v>6086</v>
      </c>
    </row>
    <row r="834" spans="1:5">
      <c r="A834" s="453">
        <v>461285242</v>
      </c>
      <c r="B834" s="453">
        <v>652251324.74999106</v>
      </c>
      <c r="D834" s="453" t="s">
        <v>6087</v>
      </c>
      <c r="E834" s="453" t="s">
        <v>6088</v>
      </c>
    </row>
    <row r="835" spans="1:5">
      <c r="A835" s="453">
        <v>461314043</v>
      </c>
      <c r="B835" s="453">
        <v>652280125.75033295</v>
      </c>
      <c r="D835" s="453" t="s">
        <v>6089</v>
      </c>
      <c r="E835" s="453" t="s">
        <v>6090</v>
      </c>
    </row>
    <row r="836" spans="1:5">
      <c r="A836" s="453">
        <v>461440019</v>
      </c>
      <c r="B836" s="453">
        <v>652406101.75172305</v>
      </c>
      <c r="D836" s="453" t="s">
        <v>6091</v>
      </c>
      <c r="E836" s="453" t="s">
        <v>6092</v>
      </c>
    </row>
    <row r="837" spans="1:5">
      <c r="A837" s="453">
        <v>461486874</v>
      </c>
      <c r="B837" s="453">
        <v>652452956.75227594</v>
      </c>
      <c r="D837" s="453" t="s">
        <v>6093</v>
      </c>
      <c r="E837" s="453" t="s">
        <v>6094</v>
      </c>
    </row>
    <row r="838" spans="1:5">
      <c r="A838" s="453">
        <v>461630861</v>
      </c>
      <c r="B838" s="453">
        <v>652596943.75390601</v>
      </c>
      <c r="D838" s="453" t="s">
        <v>6095</v>
      </c>
      <c r="E838" s="453" t="s">
        <v>6096</v>
      </c>
    </row>
    <row r="839" spans="1:5">
      <c r="A839" s="453">
        <v>461718406</v>
      </c>
      <c r="B839" s="453">
        <v>652684488.75486398</v>
      </c>
      <c r="D839" s="453" t="s">
        <v>6097</v>
      </c>
      <c r="E839" s="453" t="s">
        <v>6098</v>
      </c>
    </row>
    <row r="840" spans="1:5">
      <c r="A840" s="453">
        <v>461803591</v>
      </c>
      <c r="B840" s="453">
        <v>652769673.75585604</v>
      </c>
      <c r="D840" s="453" t="s">
        <v>6099</v>
      </c>
      <c r="E840" s="453" t="s">
        <v>6100</v>
      </c>
    </row>
    <row r="841" spans="1:5">
      <c r="A841" s="453">
        <v>461889977</v>
      </c>
      <c r="B841" s="453">
        <v>652856059.75682795</v>
      </c>
      <c r="D841" s="453" t="s">
        <v>6101</v>
      </c>
      <c r="E841" s="453" t="s">
        <v>6102</v>
      </c>
    </row>
    <row r="842" spans="1:5">
      <c r="A842" s="453">
        <v>461976375</v>
      </c>
      <c r="B842" s="453">
        <v>652942457.75780797</v>
      </c>
      <c r="D842" s="453" t="s">
        <v>6103</v>
      </c>
      <c r="E842" s="453" t="s">
        <v>6104</v>
      </c>
    </row>
    <row r="843" spans="1:5">
      <c r="A843" s="453">
        <v>462001538</v>
      </c>
      <c r="B843" s="453">
        <v>652967620.75808096</v>
      </c>
      <c r="D843" s="453" t="s">
        <v>6105</v>
      </c>
      <c r="E843" s="453" t="s">
        <v>6106</v>
      </c>
    </row>
    <row r="844" spans="1:5">
      <c r="A844" s="453">
        <v>462145545</v>
      </c>
      <c r="B844" s="453">
        <v>653111627.759709</v>
      </c>
      <c r="D844" s="453" t="s">
        <v>6107</v>
      </c>
      <c r="E844" s="453" t="s">
        <v>6108</v>
      </c>
    </row>
    <row r="845" spans="1:5">
      <c r="A845" s="453">
        <v>462235536</v>
      </c>
      <c r="B845" s="453">
        <v>653201618.76071703</v>
      </c>
      <c r="D845" s="453" t="s">
        <v>6109</v>
      </c>
      <c r="E845" s="453" t="s">
        <v>6110</v>
      </c>
    </row>
    <row r="846" spans="1:5">
      <c r="A846" s="453">
        <v>462321928</v>
      </c>
      <c r="B846" s="453">
        <v>653288010.76166499</v>
      </c>
      <c r="D846" s="453" t="s">
        <v>6111</v>
      </c>
      <c r="E846" s="453" t="s">
        <v>6112</v>
      </c>
    </row>
    <row r="847" spans="1:5">
      <c r="A847" s="453">
        <v>462347087</v>
      </c>
      <c r="B847" s="453">
        <v>653313169.76196504</v>
      </c>
      <c r="D847" s="453" t="s">
        <v>6113</v>
      </c>
      <c r="E847" s="453" t="s">
        <v>6114</v>
      </c>
    </row>
    <row r="848" spans="1:5">
      <c r="A848" s="453">
        <v>462433496</v>
      </c>
      <c r="B848" s="453">
        <v>653399578.762936</v>
      </c>
      <c r="D848" s="453" t="s">
        <v>6115</v>
      </c>
      <c r="E848" s="453" t="s">
        <v>6116</v>
      </c>
    </row>
    <row r="849" spans="1:5">
      <c r="A849" s="453">
        <v>462606270</v>
      </c>
      <c r="B849" s="453">
        <v>653572352.76721597</v>
      </c>
      <c r="D849" s="453" t="s">
        <v>6117</v>
      </c>
      <c r="E849" s="453" t="s">
        <v>6118</v>
      </c>
    </row>
    <row r="850" spans="1:5">
      <c r="A850" s="453">
        <v>462750255</v>
      </c>
      <c r="B850" s="453">
        <v>653716337.76888204</v>
      </c>
      <c r="D850" s="453" t="s">
        <v>6119</v>
      </c>
      <c r="E850" s="453" t="s">
        <v>6120</v>
      </c>
    </row>
    <row r="851" spans="1:5">
      <c r="A851" s="453">
        <v>462836638</v>
      </c>
      <c r="B851" s="453">
        <v>653802720.769871</v>
      </c>
      <c r="D851" s="453" t="s">
        <v>6121</v>
      </c>
      <c r="E851" s="453" t="s">
        <v>6122</v>
      </c>
    </row>
    <row r="852" spans="1:5">
      <c r="A852" s="453">
        <v>463013019</v>
      </c>
      <c r="B852" s="453">
        <v>653979101.77185297</v>
      </c>
      <c r="D852" s="453" t="s">
        <v>6123</v>
      </c>
      <c r="E852" s="453" t="s">
        <v>6124</v>
      </c>
    </row>
    <row r="853" spans="1:5">
      <c r="A853" s="453">
        <v>463095814</v>
      </c>
      <c r="B853" s="453">
        <v>654061896.77282298</v>
      </c>
      <c r="D853" s="453" t="s">
        <v>6125</v>
      </c>
      <c r="E853" s="453" t="s">
        <v>6126</v>
      </c>
    </row>
    <row r="854" spans="1:5">
      <c r="A854" s="453">
        <v>463354981</v>
      </c>
      <c r="B854" s="453">
        <v>654321063.77578294</v>
      </c>
      <c r="D854" s="453" t="s">
        <v>6127</v>
      </c>
      <c r="E854" s="453" t="s">
        <v>6128</v>
      </c>
    </row>
    <row r="855" spans="1:5">
      <c r="A855" s="453">
        <v>463437753</v>
      </c>
      <c r="B855" s="453">
        <v>654403835.77673197</v>
      </c>
      <c r="D855" s="453" t="s">
        <v>6129</v>
      </c>
      <c r="E855" s="453" t="s">
        <v>6130</v>
      </c>
    </row>
    <row r="856" spans="1:5">
      <c r="A856" s="453">
        <v>463527758</v>
      </c>
      <c r="B856" s="453">
        <v>654493840.777758</v>
      </c>
      <c r="D856" s="453" t="s">
        <v>6131</v>
      </c>
      <c r="E856" s="453" t="s">
        <v>6132</v>
      </c>
    </row>
    <row r="857" spans="1:5">
      <c r="A857" s="453">
        <v>463552931</v>
      </c>
      <c r="B857" s="453">
        <v>654519013.77803302</v>
      </c>
      <c r="D857" s="453" t="s">
        <v>6133</v>
      </c>
      <c r="E857" s="453" t="s">
        <v>6134</v>
      </c>
    </row>
    <row r="858" spans="1:5">
      <c r="A858" s="453">
        <v>463704108</v>
      </c>
      <c r="B858" s="453">
        <v>654670190.77974105</v>
      </c>
      <c r="D858" s="453" t="s">
        <v>6135</v>
      </c>
      <c r="E858" s="453" t="s">
        <v>6136</v>
      </c>
    </row>
    <row r="859" spans="1:5">
      <c r="A859" s="453">
        <v>463718478</v>
      </c>
      <c r="B859" s="453">
        <v>654684560.77992594</v>
      </c>
      <c r="D859" s="453" t="s">
        <v>6137</v>
      </c>
      <c r="E859" s="453" t="s">
        <v>6138</v>
      </c>
    </row>
    <row r="860" spans="1:5">
      <c r="A860" s="453">
        <v>463878372</v>
      </c>
      <c r="B860" s="453">
        <v>654844454.781726</v>
      </c>
      <c r="D860" s="453" t="s">
        <v>6139</v>
      </c>
      <c r="E860" s="453" t="s">
        <v>6140</v>
      </c>
    </row>
    <row r="861" spans="1:5">
      <c r="A861" s="453">
        <v>463964163</v>
      </c>
      <c r="B861" s="453">
        <v>654930245.782686</v>
      </c>
      <c r="D861" s="453" t="s">
        <v>6141</v>
      </c>
      <c r="E861" s="453" t="s">
        <v>6142</v>
      </c>
    </row>
    <row r="862" spans="1:5">
      <c r="A862" s="453">
        <v>464049656</v>
      </c>
      <c r="B862" s="453">
        <v>655015738.783656</v>
      </c>
      <c r="D862" s="453" t="s">
        <v>6143</v>
      </c>
      <c r="E862" s="453" t="s">
        <v>6144</v>
      </c>
    </row>
    <row r="863" spans="1:5">
      <c r="A863" s="453">
        <v>464136660</v>
      </c>
      <c r="B863" s="453">
        <v>655102742.78464901</v>
      </c>
      <c r="D863" s="453" t="s">
        <v>6145</v>
      </c>
      <c r="E863" s="453" t="s">
        <v>6146</v>
      </c>
    </row>
    <row r="864" spans="1:5">
      <c r="A864" s="453">
        <v>464222632</v>
      </c>
      <c r="B864" s="453">
        <v>655188714.78563797</v>
      </c>
      <c r="D864" s="453" t="s">
        <v>6147</v>
      </c>
      <c r="E864" s="453" t="s">
        <v>6148</v>
      </c>
    </row>
    <row r="865" spans="1:5">
      <c r="A865" s="453">
        <v>464301639</v>
      </c>
      <c r="B865" s="453">
        <v>655267721.78655505</v>
      </c>
      <c r="D865" s="453" t="s">
        <v>6149</v>
      </c>
      <c r="E865" s="453" t="s">
        <v>6150</v>
      </c>
    </row>
    <row r="866" spans="1:5">
      <c r="A866" s="453">
        <v>464395208</v>
      </c>
      <c r="B866" s="453">
        <v>655361290.78757906</v>
      </c>
      <c r="D866" s="453" t="s">
        <v>6151</v>
      </c>
      <c r="E866" s="453" t="s">
        <v>6152</v>
      </c>
    </row>
    <row r="867" spans="1:5">
      <c r="A867" s="453">
        <v>464483170</v>
      </c>
      <c r="B867" s="453">
        <v>655449252.78858399</v>
      </c>
      <c r="D867" s="453" t="s">
        <v>6153</v>
      </c>
      <c r="E867" s="453" t="s">
        <v>6154</v>
      </c>
    </row>
    <row r="868" spans="1:5">
      <c r="A868" s="453">
        <v>464560806</v>
      </c>
      <c r="B868" s="453">
        <v>655526888.78949499</v>
      </c>
      <c r="D868" s="453" t="s">
        <v>6155</v>
      </c>
      <c r="E868" s="453" t="s">
        <v>6156</v>
      </c>
    </row>
    <row r="869" spans="1:5">
      <c r="A869" s="453">
        <v>464654364</v>
      </c>
      <c r="B869" s="453">
        <v>655620446.79052103</v>
      </c>
      <c r="D869" s="453" t="s">
        <v>6157</v>
      </c>
      <c r="E869" s="453" t="s">
        <v>6158</v>
      </c>
    </row>
    <row r="870" spans="1:5">
      <c r="A870" s="453">
        <v>464733572</v>
      </c>
      <c r="B870" s="453">
        <v>655699654.79144704</v>
      </c>
      <c r="D870" s="453" t="s">
        <v>6159</v>
      </c>
      <c r="E870" s="453" t="s">
        <v>6160</v>
      </c>
    </row>
    <row r="871" spans="1:5">
      <c r="A871" s="453">
        <v>464819961</v>
      </c>
      <c r="B871" s="453">
        <v>655786043.79242802</v>
      </c>
      <c r="D871" s="453" t="s">
        <v>6161</v>
      </c>
      <c r="E871" s="453" t="s">
        <v>6162</v>
      </c>
    </row>
    <row r="872" spans="1:5">
      <c r="A872" s="453">
        <v>464906351</v>
      </c>
      <c r="B872" s="453">
        <v>655872433.79338896</v>
      </c>
      <c r="D872" s="453" t="s">
        <v>6163</v>
      </c>
      <c r="E872" s="453" t="s">
        <v>6164</v>
      </c>
    </row>
    <row r="873" spans="1:5">
      <c r="A873" s="453">
        <v>465001434</v>
      </c>
      <c r="B873" s="453">
        <v>655967516.79444003</v>
      </c>
      <c r="D873" s="453" t="s">
        <v>6165</v>
      </c>
      <c r="E873" s="453" t="s">
        <v>6166</v>
      </c>
    </row>
    <row r="874" spans="1:5">
      <c r="A874" s="453">
        <v>465010691</v>
      </c>
      <c r="B874" s="453">
        <v>655976773.79455805</v>
      </c>
      <c r="D874" s="453" t="s">
        <v>6167</v>
      </c>
      <c r="E874" s="453" t="s">
        <v>6168</v>
      </c>
    </row>
    <row r="875" spans="1:5">
      <c r="A875" s="453">
        <v>465248288</v>
      </c>
      <c r="B875" s="453">
        <v>656214370.79724205</v>
      </c>
      <c r="D875" s="453" t="s">
        <v>6169</v>
      </c>
      <c r="E875" s="453" t="s">
        <v>6170</v>
      </c>
    </row>
    <row r="876" spans="1:5">
      <c r="A876" s="453">
        <v>465335604</v>
      </c>
      <c r="B876" s="453">
        <v>656301686.79820096</v>
      </c>
      <c r="D876" s="453" t="s">
        <v>6171</v>
      </c>
      <c r="E876" s="453" t="s">
        <v>6172</v>
      </c>
    </row>
    <row r="877" spans="1:5">
      <c r="A877" s="453">
        <v>465429152</v>
      </c>
      <c r="B877" s="453">
        <v>656395234.79922605</v>
      </c>
      <c r="D877" s="453" t="s">
        <v>6173</v>
      </c>
      <c r="E877" s="453" t="s">
        <v>6174</v>
      </c>
    </row>
    <row r="878" spans="1:5">
      <c r="A878" s="453">
        <v>465503916</v>
      </c>
      <c r="B878" s="453">
        <v>656469998.80012405</v>
      </c>
      <c r="D878" s="453" t="s">
        <v>6175</v>
      </c>
      <c r="E878" s="453" t="s">
        <v>6176</v>
      </c>
    </row>
    <row r="879" spans="1:5">
      <c r="A879" s="453">
        <v>465593912</v>
      </c>
      <c r="B879" s="453">
        <v>656559994.80114198</v>
      </c>
      <c r="D879" s="453" t="s">
        <v>6177</v>
      </c>
      <c r="E879" s="453" t="s">
        <v>6178</v>
      </c>
    </row>
    <row r="880" spans="1:5">
      <c r="A880" s="453">
        <v>465691096</v>
      </c>
      <c r="B880" s="453">
        <v>656657178.80220497</v>
      </c>
      <c r="D880" s="453" t="s">
        <v>6179</v>
      </c>
      <c r="E880" s="453" t="s">
        <v>6180</v>
      </c>
    </row>
    <row r="881" spans="1:5">
      <c r="A881" s="453">
        <v>465777483</v>
      </c>
      <c r="B881" s="453">
        <v>656743565.80317903</v>
      </c>
      <c r="D881" s="453" t="s">
        <v>6181</v>
      </c>
      <c r="E881" s="453" t="s">
        <v>6182</v>
      </c>
    </row>
    <row r="882" spans="1:5">
      <c r="A882" s="453">
        <v>465849475</v>
      </c>
      <c r="B882" s="453">
        <v>656815557.80401099</v>
      </c>
      <c r="D882" s="453" t="s">
        <v>6183</v>
      </c>
      <c r="E882" s="453" t="s">
        <v>6184</v>
      </c>
    </row>
    <row r="883" spans="1:5">
      <c r="A883" s="453">
        <v>465950178</v>
      </c>
      <c r="B883" s="453">
        <v>656916260.80512404</v>
      </c>
      <c r="D883" s="453" t="s">
        <v>6185</v>
      </c>
      <c r="E883" s="453" t="s">
        <v>6186</v>
      </c>
    </row>
    <row r="884" spans="1:5">
      <c r="A884" s="453">
        <v>466036566</v>
      </c>
      <c r="B884" s="453">
        <v>657002648.80608499</v>
      </c>
      <c r="D884" s="453" t="s">
        <v>6187</v>
      </c>
      <c r="E884" s="453" t="s">
        <v>6188</v>
      </c>
    </row>
    <row r="885" spans="1:5">
      <c r="A885" s="453">
        <v>466122955</v>
      </c>
      <c r="B885" s="453">
        <v>657089037.80707204</v>
      </c>
      <c r="D885" s="453" t="s">
        <v>6189</v>
      </c>
      <c r="E885" s="453" t="s">
        <v>6190</v>
      </c>
    </row>
    <row r="886" spans="1:5">
      <c r="A886" s="453">
        <v>466137367</v>
      </c>
      <c r="B886" s="453">
        <v>657103449.80724001</v>
      </c>
      <c r="D886" s="453" t="s">
        <v>6191</v>
      </c>
      <c r="E886" s="453" t="s">
        <v>6192</v>
      </c>
    </row>
    <row r="887" spans="1:5">
      <c r="A887" s="453">
        <v>466382118</v>
      </c>
      <c r="B887" s="453">
        <v>657348200.80996001</v>
      </c>
      <c r="D887" s="453" t="s">
        <v>6193</v>
      </c>
      <c r="E887" s="453" t="s">
        <v>6194</v>
      </c>
    </row>
    <row r="888" spans="1:5">
      <c r="A888" s="453">
        <v>466468503</v>
      </c>
      <c r="B888" s="453">
        <v>657434585.81094098</v>
      </c>
      <c r="D888" s="453" t="s">
        <v>6195</v>
      </c>
      <c r="E888" s="453" t="s">
        <v>6196</v>
      </c>
    </row>
    <row r="889" spans="1:5">
      <c r="A889" s="453">
        <v>466556338</v>
      </c>
      <c r="B889" s="453">
        <v>657522420.81191599</v>
      </c>
      <c r="D889" s="453" t="s">
        <v>6197</v>
      </c>
      <c r="E889" s="453" t="s">
        <v>6198</v>
      </c>
    </row>
    <row r="890" spans="1:5">
      <c r="A890" s="453">
        <v>466626907</v>
      </c>
      <c r="B890" s="453">
        <v>657592989.81272197</v>
      </c>
      <c r="D890" s="453" t="s">
        <v>6199</v>
      </c>
      <c r="E890" s="453" t="s">
        <v>6200</v>
      </c>
    </row>
    <row r="891" spans="1:5">
      <c r="A891" s="453">
        <v>466828470</v>
      </c>
      <c r="B891" s="453">
        <v>657794552.81497598</v>
      </c>
      <c r="D891" s="453" t="s">
        <v>6201</v>
      </c>
      <c r="E891" s="453" t="s">
        <v>6202</v>
      </c>
    </row>
    <row r="892" spans="1:5">
      <c r="A892" s="453">
        <v>466986833</v>
      </c>
      <c r="B892" s="453">
        <v>657952915.81672704</v>
      </c>
      <c r="D892" s="453" t="s">
        <v>6203</v>
      </c>
      <c r="E892" s="453" t="s">
        <v>6204</v>
      </c>
    </row>
    <row r="893" spans="1:5">
      <c r="A893" s="453">
        <v>466994021</v>
      </c>
      <c r="B893" s="453">
        <v>657960103.81681895</v>
      </c>
      <c r="D893" s="453" t="s">
        <v>6205</v>
      </c>
      <c r="E893" s="453" t="s">
        <v>6206</v>
      </c>
    </row>
    <row r="894" spans="1:5">
      <c r="A894" s="453">
        <v>467246000</v>
      </c>
      <c r="B894" s="453">
        <v>658212082.81961095</v>
      </c>
      <c r="D894" s="453" t="s">
        <v>6207</v>
      </c>
      <c r="E894" s="453" t="s">
        <v>6208</v>
      </c>
    </row>
    <row r="895" spans="1:5">
      <c r="A895" s="453">
        <v>467318017</v>
      </c>
      <c r="B895" s="453">
        <v>658284099.82044196</v>
      </c>
      <c r="D895" s="453" t="s">
        <v>6209</v>
      </c>
      <c r="E895" s="453" t="s">
        <v>6210</v>
      </c>
    </row>
    <row r="896" spans="1:5">
      <c r="A896" s="453">
        <v>467346803</v>
      </c>
      <c r="B896" s="453">
        <v>658312885.82076502</v>
      </c>
      <c r="D896" s="453" t="s">
        <v>6211</v>
      </c>
      <c r="E896" s="453" t="s">
        <v>6212</v>
      </c>
    </row>
    <row r="897" spans="1:5">
      <c r="A897" s="453">
        <v>467577181</v>
      </c>
      <c r="B897" s="453">
        <v>658543263.82332695</v>
      </c>
      <c r="D897" s="453" t="s">
        <v>6213</v>
      </c>
      <c r="E897" s="453" t="s">
        <v>6214</v>
      </c>
    </row>
    <row r="898" spans="1:5">
      <c r="A898" s="453">
        <v>467677947</v>
      </c>
      <c r="B898" s="453">
        <v>658644029.82442701</v>
      </c>
      <c r="D898" s="453" t="s">
        <v>6215</v>
      </c>
      <c r="E898" s="453" t="s">
        <v>6216</v>
      </c>
    </row>
    <row r="899" spans="1:5">
      <c r="A899" s="453">
        <v>467764338</v>
      </c>
      <c r="B899" s="453">
        <v>658730420.82539201</v>
      </c>
      <c r="D899" s="453" t="s">
        <v>6217</v>
      </c>
      <c r="E899" s="453" t="s">
        <v>6218</v>
      </c>
    </row>
    <row r="900" spans="1:5">
      <c r="A900" s="453">
        <v>467843529</v>
      </c>
      <c r="B900" s="453">
        <v>658809611.82625306</v>
      </c>
      <c r="D900" s="453" t="s">
        <v>6219</v>
      </c>
      <c r="E900" s="453" t="s">
        <v>6220</v>
      </c>
    </row>
    <row r="901" spans="1:5">
      <c r="A901" s="453">
        <v>467937114</v>
      </c>
      <c r="B901" s="453">
        <v>658903196.82731104</v>
      </c>
      <c r="D901" s="453" t="s">
        <v>6221</v>
      </c>
      <c r="E901" s="453" t="s">
        <v>6222</v>
      </c>
    </row>
    <row r="902" spans="1:5">
      <c r="A902" s="453">
        <v>467947918</v>
      </c>
      <c r="B902" s="453">
        <v>658914000.82744706</v>
      </c>
      <c r="D902" s="453" t="s">
        <v>6223</v>
      </c>
      <c r="E902" s="453" t="s">
        <v>6224</v>
      </c>
    </row>
    <row r="903" spans="1:5">
      <c r="A903" s="453">
        <v>468196280</v>
      </c>
      <c r="B903" s="453">
        <v>659162362.83018196</v>
      </c>
      <c r="D903" s="453" t="s">
        <v>6225</v>
      </c>
      <c r="E903" s="453" t="s">
        <v>6226</v>
      </c>
    </row>
    <row r="904" spans="1:5">
      <c r="A904" s="453">
        <v>468282673</v>
      </c>
      <c r="B904" s="453">
        <v>659248755.83113599</v>
      </c>
      <c r="D904" s="453" t="s">
        <v>6227</v>
      </c>
      <c r="E904" s="453" t="s">
        <v>6228</v>
      </c>
    </row>
    <row r="905" spans="1:5">
      <c r="A905" s="453">
        <v>468369065</v>
      </c>
      <c r="B905" s="453">
        <v>659335147.83210301</v>
      </c>
      <c r="D905" s="453" t="s">
        <v>6229</v>
      </c>
      <c r="E905" s="453" t="s">
        <v>6230</v>
      </c>
    </row>
    <row r="906" spans="1:5">
      <c r="A906" s="453">
        <v>468455456</v>
      </c>
      <c r="B906" s="453">
        <v>659421538.83305705</v>
      </c>
      <c r="D906" s="453" t="s">
        <v>6231</v>
      </c>
      <c r="E906" s="453" t="s">
        <v>6232</v>
      </c>
    </row>
    <row r="907" spans="1:5">
      <c r="A907" s="453">
        <v>468523865</v>
      </c>
      <c r="B907" s="453">
        <v>659489947.83381605</v>
      </c>
      <c r="D907" s="453" t="s">
        <v>6233</v>
      </c>
      <c r="E907" s="453" t="s">
        <v>6234</v>
      </c>
    </row>
    <row r="908" spans="1:5">
      <c r="A908" s="453">
        <v>468714625</v>
      </c>
      <c r="B908" s="453">
        <v>659680707.83591998</v>
      </c>
      <c r="D908" s="453" t="s">
        <v>6235</v>
      </c>
      <c r="E908" s="453" t="s">
        <v>6236</v>
      </c>
    </row>
    <row r="909" spans="1:5">
      <c r="A909" s="453">
        <v>468801012</v>
      </c>
      <c r="B909" s="453">
        <v>659767094.83688903</v>
      </c>
      <c r="D909" s="453" t="s">
        <v>6237</v>
      </c>
      <c r="E909" s="453" t="s">
        <v>6238</v>
      </c>
    </row>
    <row r="910" spans="1:5">
      <c r="A910" s="453">
        <v>468808224</v>
      </c>
      <c r="B910" s="453">
        <v>659774306.83697605</v>
      </c>
      <c r="D910" s="453" t="s">
        <v>6239</v>
      </c>
      <c r="E910" s="453" t="s">
        <v>6240</v>
      </c>
    </row>
    <row r="911" spans="1:5">
      <c r="A911" s="453">
        <v>468973796</v>
      </c>
      <c r="B911" s="453">
        <v>659939878.83879304</v>
      </c>
      <c r="D911" s="453" t="s">
        <v>6241</v>
      </c>
      <c r="E911" s="453" t="s">
        <v>6242</v>
      </c>
    </row>
    <row r="912" spans="1:5">
      <c r="A912" s="453">
        <v>469139373</v>
      </c>
      <c r="B912" s="453">
        <v>660105455.84060097</v>
      </c>
      <c r="D912" s="453" t="s">
        <v>6243</v>
      </c>
      <c r="E912" s="453" t="s">
        <v>6244</v>
      </c>
    </row>
    <row r="913" spans="1:5">
      <c r="A913" s="453">
        <v>469232968</v>
      </c>
      <c r="B913" s="453">
        <v>660199050.84166205</v>
      </c>
      <c r="D913" s="453" t="s">
        <v>6245</v>
      </c>
      <c r="E913" s="453" t="s">
        <v>6246</v>
      </c>
    </row>
    <row r="914" spans="1:5">
      <c r="A914" s="453">
        <v>469286954</v>
      </c>
      <c r="B914" s="453">
        <v>660253036.84223604</v>
      </c>
      <c r="D914" s="453" t="s">
        <v>6247</v>
      </c>
      <c r="E914" s="453" t="s">
        <v>6248</v>
      </c>
    </row>
    <row r="915" spans="1:5">
      <c r="A915" s="453">
        <v>469376947</v>
      </c>
      <c r="B915" s="453">
        <v>660343029.84323597</v>
      </c>
      <c r="D915" s="453" t="s">
        <v>6249</v>
      </c>
      <c r="E915" s="453" t="s">
        <v>6250</v>
      </c>
    </row>
    <row r="916" spans="1:5">
      <c r="A916" s="453">
        <v>469470552</v>
      </c>
      <c r="B916" s="453">
        <v>660436634.84428501</v>
      </c>
      <c r="D916" s="453" t="s">
        <v>6251</v>
      </c>
      <c r="E916" s="453" t="s">
        <v>6252</v>
      </c>
    </row>
    <row r="917" spans="1:5">
      <c r="A917" s="453">
        <v>469578534</v>
      </c>
      <c r="B917" s="453">
        <v>660544616.84547698</v>
      </c>
      <c r="D917" s="453" t="s">
        <v>6253</v>
      </c>
      <c r="E917" s="453" t="s">
        <v>6254</v>
      </c>
    </row>
    <row r="918" spans="1:5">
      <c r="A918" s="453">
        <v>469636121</v>
      </c>
      <c r="B918" s="453">
        <v>660602203.84609401</v>
      </c>
      <c r="D918" s="453" t="s">
        <v>6255</v>
      </c>
      <c r="E918" s="453" t="s">
        <v>6256</v>
      </c>
    </row>
    <row r="919" spans="1:5">
      <c r="A919" s="453">
        <v>469744114</v>
      </c>
      <c r="B919" s="453">
        <v>660710196.84729099</v>
      </c>
      <c r="D919" s="453" t="s">
        <v>6257</v>
      </c>
      <c r="E919" s="453" t="s">
        <v>6258</v>
      </c>
    </row>
    <row r="920" spans="1:5">
      <c r="A920" s="453">
        <v>469898900</v>
      </c>
      <c r="B920" s="453">
        <v>660864982.84899998</v>
      </c>
      <c r="D920" s="453" t="s">
        <v>6259</v>
      </c>
      <c r="E920" s="453" t="s">
        <v>6260</v>
      </c>
    </row>
    <row r="921" spans="1:5">
      <c r="A921" s="453">
        <v>470010501</v>
      </c>
      <c r="B921" s="453">
        <v>660976583.85023904</v>
      </c>
      <c r="D921" s="453" t="s">
        <v>6261</v>
      </c>
      <c r="E921" s="453" t="s">
        <v>6262</v>
      </c>
    </row>
    <row r="922" spans="1:5">
      <c r="A922" s="453">
        <v>470075309</v>
      </c>
      <c r="B922" s="453">
        <v>661041391.85094702</v>
      </c>
      <c r="D922" s="453" t="s">
        <v>6263</v>
      </c>
      <c r="E922" s="453" t="s">
        <v>6264</v>
      </c>
    </row>
    <row r="923" spans="1:5">
      <c r="A923" s="453">
        <v>470183277</v>
      </c>
      <c r="B923" s="453">
        <v>661149359.852139</v>
      </c>
      <c r="D923" s="453" t="s">
        <v>6265</v>
      </c>
      <c r="E923" s="453" t="s">
        <v>6266</v>
      </c>
    </row>
    <row r="924" spans="1:5">
      <c r="A924" s="453">
        <v>470186872</v>
      </c>
      <c r="B924" s="453">
        <v>661152954.85217202</v>
      </c>
      <c r="D924" s="453" t="s">
        <v>6267</v>
      </c>
      <c r="E924" s="453" t="s">
        <v>6268</v>
      </c>
    </row>
    <row r="925" spans="1:5">
      <c r="A925" s="453">
        <v>470356065</v>
      </c>
      <c r="B925" s="453">
        <v>661322147.85402501</v>
      </c>
      <c r="D925" s="453" t="s">
        <v>6269</v>
      </c>
      <c r="E925" s="453" t="s">
        <v>6270</v>
      </c>
    </row>
    <row r="926" spans="1:5">
      <c r="A926" s="453">
        <v>470359655</v>
      </c>
      <c r="B926" s="453">
        <v>661325737.85408401</v>
      </c>
      <c r="D926" s="453" t="s">
        <v>6271</v>
      </c>
      <c r="E926" s="453" t="s">
        <v>6272</v>
      </c>
    </row>
    <row r="927" spans="1:5">
      <c r="A927" s="453">
        <v>470582835</v>
      </c>
      <c r="B927" s="453">
        <v>661548917.85651195</v>
      </c>
      <c r="D927" s="453" t="s">
        <v>6273</v>
      </c>
      <c r="E927" s="453" t="s">
        <v>6274</v>
      </c>
    </row>
    <row r="928" spans="1:5">
      <c r="A928" s="453">
        <v>470701651</v>
      </c>
      <c r="B928" s="453">
        <v>661667733.85782397</v>
      </c>
      <c r="D928" s="453" t="s">
        <v>6275</v>
      </c>
      <c r="E928" s="453" t="s">
        <v>6276</v>
      </c>
    </row>
    <row r="929" spans="1:5">
      <c r="A929" s="453">
        <v>470777226</v>
      </c>
      <c r="B929" s="453">
        <v>661743308.85864997</v>
      </c>
      <c r="D929" s="453" t="s">
        <v>6277</v>
      </c>
      <c r="E929" s="453" t="s">
        <v>6278</v>
      </c>
    </row>
    <row r="930" spans="1:5">
      <c r="A930" s="453">
        <v>470960862</v>
      </c>
      <c r="B930" s="453">
        <v>661926944.86068106</v>
      </c>
      <c r="D930" s="453" t="s">
        <v>6279</v>
      </c>
      <c r="E930" s="453" t="s">
        <v>6280</v>
      </c>
    </row>
    <row r="931" spans="1:5">
      <c r="A931" s="453">
        <v>471011244</v>
      </c>
      <c r="B931" s="453">
        <v>661977326.86121595</v>
      </c>
      <c r="D931" s="453" t="s">
        <v>6281</v>
      </c>
      <c r="E931" s="453" t="s">
        <v>6282</v>
      </c>
    </row>
    <row r="932" spans="1:5">
      <c r="A932" s="453">
        <v>471392880</v>
      </c>
      <c r="B932" s="453">
        <v>662358962.86541796</v>
      </c>
      <c r="D932" s="453" t="s">
        <v>6283</v>
      </c>
      <c r="E932" s="453" t="s">
        <v>6284</v>
      </c>
    </row>
    <row r="933" spans="1:5">
      <c r="A933" s="453">
        <v>471824793</v>
      </c>
      <c r="B933" s="453">
        <v>662790875.87015104</v>
      </c>
      <c r="D933" s="453" t="s">
        <v>6285</v>
      </c>
      <c r="E933" s="453" t="s">
        <v>6286</v>
      </c>
    </row>
    <row r="934" spans="1:5">
      <c r="A934" s="453">
        <v>471882365</v>
      </c>
      <c r="B934" s="453">
        <v>662848447.87078094</v>
      </c>
      <c r="D934" s="453" t="s">
        <v>6287</v>
      </c>
      <c r="E934" s="453" t="s">
        <v>6288</v>
      </c>
    </row>
    <row r="935" spans="1:5">
      <c r="A935" s="453">
        <v>471975959</v>
      </c>
      <c r="B935" s="453">
        <v>662942041.87176704</v>
      </c>
      <c r="D935" s="453" t="s">
        <v>6289</v>
      </c>
      <c r="E935" s="453" t="s">
        <v>6290</v>
      </c>
    </row>
    <row r="936" spans="1:5">
      <c r="A936" s="453">
        <v>472022826</v>
      </c>
      <c r="B936" s="453">
        <v>662988908.87231195</v>
      </c>
      <c r="D936" s="453" t="s">
        <v>6291</v>
      </c>
      <c r="E936" s="453" t="s">
        <v>6292</v>
      </c>
    </row>
    <row r="937" spans="1:5">
      <c r="A937" s="453">
        <v>472141564</v>
      </c>
      <c r="B937" s="453">
        <v>663107646.87361395</v>
      </c>
      <c r="D937" s="453" t="s">
        <v>6293</v>
      </c>
      <c r="E937" s="453" t="s">
        <v>6294</v>
      </c>
    </row>
    <row r="938" spans="1:5">
      <c r="A938" s="453">
        <v>472206359</v>
      </c>
      <c r="B938" s="453">
        <v>663172441.87429404</v>
      </c>
      <c r="D938" s="453" t="s">
        <v>6295</v>
      </c>
      <c r="E938" s="453" t="s">
        <v>6296</v>
      </c>
    </row>
    <row r="939" spans="1:5">
      <c r="A939" s="453">
        <v>472343227</v>
      </c>
      <c r="B939" s="453">
        <v>663309309.87576103</v>
      </c>
      <c r="D939" s="453" t="s">
        <v>6297</v>
      </c>
      <c r="E939" s="453" t="s">
        <v>6298</v>
      </c>
    </row>
    <row r="940" spans="1:5">
      <c r="A940" s="453">
        <v>472400754</v>
      </c>
      <c r="B940" s="453">
        <v>663366836.87641597</v>
      </c>
      <c r="D940" s="453" t="s">
        <v>6299</v>
      </c>
      <c r="E940" s="453" t="s">
        <v>6300</v>
      </c>
    </row>
    <row r="941" spans="1:5">
      <c r="A941" s="453">
        <v>472706801</v>
      </c>
      <c r="B941" s="453">
        <v>663672883.87971699</v>
      </c>
      <c r="D941" s="453" t="s">
        <v>6301</v>
      </c>
      <c r="E941" s="453" t="s">
        <v>6302</v>
      </c>
    </row>
    <row r="942" spans="1:5">
      <c r="A942" s="453">
        <v>472890328</v>
      </c>
      <c r="B942" s="453">
        <v>663856410.881724</v>
      </c>
      <c r="D942" s="453" t="s">
        <v>6303</v>
      </c>
      <c r="E942" s="453" t="s">
        <v>6304</v>
      </c>
    </row>
    <row r="943" spans="1:5">
      <c r="A943" s="453">
        <v>473117137</v>
      </c>
      <c r="B943" s="453">
        <v>664083219.88417196</v>
      </c>
      <c r="D943" s="453" t="s">
        <v>6305</v>
      </c>
      <c r="E943" s="453" t="s">
        <v>6306</v>
      </c>
    </row>
    <row r="944" spans="1:5">
      <c r="A944" s="453">
        <v>473289918</v>
      </c>
      <c r="B944" s="453">
        <v>664256000.88605905</v>
      </c>
      <c r="D944" s="453" t="s">
        <v>6307</v>
      </c>
      <c r="E944" s="453" t="s">
        <v>6308</v>
      </c>
    </row>
    <row r="945" spans="1:5">
      <c r="A945" s="453">
        <v>473376592</v>
      </c>
      <c r="B945" s="453">
        <v>664342674.88699806</v>
      </c>
      <c r="D945" s="453" t="s">
        <v>6309</v>
      </c>
      <c r="E945" s="453" t="s">
        <v>6310</v>
      </c>
    </row>
    <row r="946" spans="1:5">
      <c r="A946" s="453">
        <v>473426788</v>
      </c>
      <c r="B946" s="453">
        <v>664392870.88753998</v>
      </c>
      <c r="D946" s="453" t="s">
        <v>6311</v>
      </c>
      <c r="E946" s="453" t="s">
        <v>6312</v>
      </c>
    </row>
    <row r="947" spans="1:5">
      <c r="A947" s="453">
        <v>473624686</v>
      </c>
      <c r="B947" s="453">
        <v>664590768.88967001</v>
      </c>
      <c r="D947" s="453" t="s">
        <v>6313</v>
      </c>
      <c r="E947" s="453" t="s">
        <v>6314</v>
      </c>
    </row>
    <row r="948" spans="1:5">
      <c r="A948" s="453">
        <v>473714694</v>
      </c>
      <c r="B948" s="453">
        <v>664680776.89066505</v>
      </c>
      <c r="D948" s="453" t="s">
        <v>6315</v>
      </c>
      <c r="E948" s="453" t="s">
        <v>6316</v>
      </c>
    </row>
    <row r="949" spans="1:5">
      <c r="A949" s="453">
        <v>473797486</v>
      </c>
      <c r="B949" s="453">
        <v>664763568.89155996</v>
      </c>
      <c r="D949" s="453" t="s">
        <v>6317</v>
      </c>
      <c r="E949" s="453" t="s">
        <v>6318</v>
      </c>
    </row>
    <row r="950" spans="1:5">
      <c r="A950" s="453">
        <v>473876679</v>
      </c>
      <c r="B950" s="453">
        <v>664842761.89239395</v>
      </c>
      <c r="D950" s="453" t="s">
        <v>6319</v>
      </c>
      <c r="E950" s="453" t="s">
        <v>6320</v>
      </c>
    </row>
    <row r="951" spans="1:5">
      <c r="A951" s="453">
        <v>473977516</v>
      </c>
      <c r="B951" s="453">
        <v>664943598.89352596</v>
      </c>
      <c r="D951" s="453" t="s">
        <v>6321</v>
      </c>
      <c r="E951" s="453" t="s">
        <v>6322</v>
      </c>
    </row>
    <row r="952" spans="1:5">
      <c r="A952" s="453">
        <v>474236706</v>
      </c>
      <c r="B952" s="453">
        <v>665202788.89632905</v>
      </c>
      <c r="D952" s="453" t="s">
        <v>6323</v>
      </c>
      <c r="E952" s="453" t="s">
        <v>6324</v>
      </c>
    </row>
    <row r="953" spans="1:5">
      <c r="A953" s="453">
        <v>474312278</v>
      </c>
      <c r="B953" s="453">
        <v>665278360.89713395</v>
      </c>
      <c r="D953" s="453" t="s">
        <v>6325</v>
      </c>
      <c r="E953" s="453" t="s">
        <v>6326</v>
      </c>
    </row>
    <row r="954" spans="1:5">
      <c r="A954" s="453">
        <v>474380685</v>
      </c>
      <c r="B954" s="453">
        <v>665346767.89790404</v>
      </c>
      <c r="D954" s="453" t="s">
        <v>6327</v>
      </c>
      <c r="E954" s="453" t="s">
        <v>6328</v>
      </c>
    </row>
    <row r="955" spans="1:5">
      <c r="A955" s="453">
        <v>474477887</v>
      </c>
      <c r="B955" s="453">
        <v>665443969.89893699</v>
      </c>
      <c r="D955" s="453" t="s">
        <v>6329</v>
      </c>
      <c r="E955" s="453" t="s">
        <v>6330</v>
      </c>
    </row>
    <row r="956" spans="1:5">
      <c r="A956" s="453">
        <v>474539072</v>
      </c>
      <c r="B956" s="453">
        <v>665505154.89960504</v>
      </c>
      <c r="D956" s="453" t="s">
        <v>6331</v>
      </c>
      <c r="E956" s="453" t="s">
        <v>6332</v>
      </c>
    </row>
    <row r="957" spans="1:5">
      <c r="A957" s="453">
        <v>474849364</v>
      </c>
      <c r="B957" s="453">
        <v>665815446.90299702</v>
      </c>
      <c r="D957" s="453" t="s">
        <v>6333</v>
      </c>
      <c r="E957" s="453" t="s">
        <v>6334</v>
      </c>
    </row>
    <row r="958" spans="1:5">
      <c r="A958" s="453">
        <v>474927907</v>
      </c>
      <c r="B958" s="453">
        <v>665893989.90387201</v>
      </c>
      <c r="D958" s="453" t="s">
        <v>6335</v>
      </c>
      <c r="E958" s="453" t="s">
        <v>6336</v>
      </c>
    </row>
    <row r="959" spans="1:5">
      <c r="A959" s="453">
        <v>475014305</v>
      </c>
      <c r="B959" s="453">
        <v>665980387.90480602</v>
      </c>
      <c r="D959" s="453" t="s">
        <v>6337</v>
      </c>
      <c r="E959" s="453" t="s">
        <v>6338</v>
      </c>
    </row>
    <row r="960" spans="1:5">
      <c r="A960" s="453">
        <v>475082678</v>
      </c>
      <c r="B960" s="453">
        <v>666048760.90552795</v>
      </c>
      <c r="D960" s="453" t="s">
        <v>6339</v>
      </c>
      <c r="E960" s="453" t="s">
        <v>6340</v>
      </c>
    </row>
    <row r="961" spans="1:5">
      <c r="A961" s="453">
        <v>475176276</v>
      </c>
      <c r="B961" s="453">
        <v>666142358.906564</v>
      </c>
      <c r="D961" s="453" t="s">
        <v>6341</v>
      </c>
      <c r="E961" s="453" t="s">
        <v>6342</v>
      </c>
    </row>
    <row r="962" spans="1:5">
      <c r="A962" s="453">
        <v>475453481</v>
      </c>
      <c r="B962" s="453">
        <v>666419563.90956604</v>
      </c>
      <c r="D962" s="453" t="s">
        <v>6343</v>
      </c>
      <c r="E962" s="453" t="s">
        <v>6344</v>
      </c>
    </row>
    <row r="963" spans="1:5">
      <c r="A963" s="453">
        <v>475529101</v>
      </c>
      <c r="B963" s="453">
        <v>666495183.91042602</v>
      </c>
      <c r="D963" s="453" t="s">
        <v>6345</v>
      </c>
      <c r="E963" s="453" t="s">
        <v>6346</v>
      </c>
    </row>
    <row r="964" spans="1:5">
      <c r="A964" s="453">
        <v>475626288</v>
      </c>
      <c r="B964" s="453">
        <v>666592370.91147101</v>
      </c>
      <c r="D964" s="453" t="s">
        <v>6347</v>
      </c>
      <c r="E964" s="453" t="s">
        <v>6348</v>
      </c>
    </row>
    <row r="965" spans="1:5">
      <c r="A965" s="453">
        <v>475662280</v>
      </c>
      <c r="B965" s="453">
        <v>666628362.91185904</v>
      </c>
      <c r="D965" s="453" t="s">
        <v>6349</v>
      </c>
      <c r="E965" s="453" t="s">
        <v>6350</v>
      </c>
    </row>
    <row r="966" spans="1:5">
      <c r="A966" s="453">
        <v>475799089</v>
      </c>
      <c r="B966" s="453">
        <v>666765171.91335404</v>
      </c>
      <c r="D966" s="453" t="s">
        <v>6351</v>
      </c>
      <c r="E966" s="453" t="s">
        <v>6352</v>
      </c>
    </row>
    <row r="967" spans="1:5">
      <c r="A967" s="453">
        <v>475885488</v>
      </c>
      <c r="B967" s="453">
        <v>666851570.91430295</v>
      </c>
      <c r="D967" s="453" t="s">
        <v>6353</v>
      </c>
      <c r="E967" s="453" t="s">
        <v>6354</v>
      </c>
    </row>
    <row r="968" spans="1:5">
      <c r="A968" s="453">
        <v>475971889</v>
      </c>
      <c r="B968" s="453">
        <v>666937971.91523898</v>
      </c>
      <c r="D968" s="453" t="s">
        <v>6355</v>
      </c>
      <c r="E968" s="453" t="s">
        <v>6356</v>
      </c>
    </row>
    <row r="969" spans="1:5">
      <c r="A969" s="453">
        <v>476007889</v>
      </c>
      <c r="B969" s="453">
        <v>666973971.91564095</v>
      </c>
      <c r="D969" s="453" t="s">
        <v>6357</v>
      </c>
      <c r="E969" s="453" t="s">
        <v>6358</v>
      </c>
    </row>
    <row r="970" spans="1:5">
      <c r="A970" s="453">
        <v>476094291</v>
      </c>
      <c r="B970" s="453">
        <v>667060373.91658604</v>
      </c>
      <c r="D970" s="453" t="s">
        <v>6359</v>
      </c>
      <c r="E970" s="453" t="s">
        <v>6360</v>
      </c>
    </row>
    <row r="971" spans="1:5">
      <c r="A971" s="453">
        <v>476180693</v>
      </c>
      <c r="B971" s="453">
        <v>667146775.91752803</v>
      </c>
      <c r="D971" s="453" t="s">
        <v>6361</v>
      </c>
      <c r="E971" s="453" t="s">
        <v>6362</v>
      </c>
    </row>
    <row r="972" spans="1:5">
      <c r="A972" s="453">
        <v>476267094</v>
      </c>
      <c r="B972" s="453">
        <v>667233176.91847503</v>
      </c>
      <c r="D972" s="453" t="s">
        <v>6363</v>
      </c>
      <c r="E972" s="453" t="s">
        <v>6364</v>
      </c>
    </row>
    <row r="973" spans="1:5">
      <c r="A973" s="453">
        <v>476393097</v>
      </c>
      <c r="B973" s="453">
        <v>667359179.91984403</v>
      </c>
      <c r="D973" s="453" t="s">
        <v>6365</v>
      </c>
      <c r="E973" s="453" t="s">
        <v>6366</v>
      </c>
    </row>
    <row r="974" spans="1:5">
      <c r="A974" s="453">
        <v>476439899</v>
      </c>
      <c r="B974" s="453">
        <v>667405981.92037201</v>
      </c>
      <c r="D974" s="453" t="s">
        <v>6367</v>
      </c>
      <c r="E974" s="453" t="s">
        <v>6368</v>
      </c>
    </row>
    <row r="975" spans="1:5">
      <c r="A975" s="453">
        <v>476547899</v>
      </c>
      <c r="B975" s="453">
        <v>667513981.92154396</v>
      </c>
      <c r="D975" s="453" t="s">
        <v>6369</v>
      </c>
      <c r="E975" s="453" t="s">
        <v>6370</v>
      </c>
    </row>
    <row r="976" spans="1:5">
      <c r="A976" s="453">
        <v>476663106</v>
      </c>
      <c r="B976" s="453">
        <v>667629188.92281306</v>
      </c>
      <c r="D976" s="453" t="s">
        <v>6371</v>
      </c>
      <c r="E976" s="453" t="s">
        <v>6372</v>
      </c>
    </row>
    <row r="977" spans="1:5">
      <c r="A977" s="453">
        <v>476727907</v>
      </c>
      <c r="B977" s="453">
        <v>667693989.92354298</v>
      </c>
      <c r="D977" s="453" t="s">
        <v>6373</v>
      </c>
      <c r="E977" s="453" t="s">
        <v>6374</v>
      </c>
    </row>
    <row r="978" spans="1:5">
      <c r="A978" s="453">
        <v>476785509</v>
      </c>
      <c r="B978" s="453">
        <v>667751591.92416894</v>
      </c>
      <c r="D978" s="453" t="s">
        <v>6375</v>
      </c>
      <c r="E978" s="453" t="s">
        <v>6376</v>
      </c>
    </row>
    <row r="979" spans="1:5">
      <c r="A979" s="453">
        <v>476879119</v>
      </c>
      <c r="B979" s="453">
        <v>667845201.92520702</v>
      </c>
      <c r="D979" s="453" t="s">
        <v>6377</v>
      </c>
      <c r="E979" s="453" t="s">
        <v>6378</v>
      </c>
    </row>
    <row r="980" spans="1:5">
      <c r="A980" s="453">
        <v>476990726</v>
      </c>
      <c r="B980" s="453">
        <v>667956808.92643094</v>
      </c>
      <c r="D980" s="453" t="s">
        <v>6379</v>
      </c>
      <c r="E980" s="453" t="s">
        <v>6380</v>
      </c>
    </row>
    <row r="981" spans="1:5">
      <c r="A981" s="453">
        <v>477077124</v>
      </c>
      <c r="B981" s="453">
        <v>668043206.92737699</v>
      </c>
      <c r="D981" s="453" t="s">
        <v>6381</v>
      </c>
      <c r="E981" s="453" t="s">
        <v>6382</v>
      </c>
    </row>
    <row r="982" spans="1:5">
      <c r="A982" s="453">
        <v>477249938</v>
      </c>
      <c r="B982" s="453">
        <v>668216020.92929101</v>
      </c>
      <c r="D982" s="453" t="s">
        <v>6383</v>
      </c>
      <c r="E982" s="453" t="s">
        <v>6384</v>
      </c>
    </row>
    <row r="983" spans="1:5">
      <c r="A983" s="453">
        <v>477311134</v>
      </c>
      <c r="B983" s="453">
        <v>668277216.92996097</v>
      </c>
      <c r="D983" s="453" t="s">
        <v>6385</v>
      </c>
      <c r="E983" s="453" t="s">
        <v>6386</v>
      </c>
    </row>
    <row r="984" spans="1:5">
      <c r="A984" s="453">
        <v>477397542</v>
      </c>
      <c r="B984" s="453">
        <v>668363624.93091905</v>
      </c>
      <c r="D984" s="453" t="s">
        <v>6387</v>
      </c>
      <c r="E984" s="453" t="s">
        <v>6388</v>
      </c>
    </row>
    <row r="985" spans="1:5">
      <c r="A985" s="453">
        <v>477498336</v>
      </c>
      <c r="B985" s="453">
        <v>668464418.93200195</v>
      </c>
      <c r="D985" s="453" t="s">
        <v>6389</v>
      </c>
      <c r="E985" s="453" t="s">
        <v>6390</v>
      </c>
    </row>
    <row r="986" spans="1:5">
      <c r="A986" s="453">
        <v>477570351</v>
      </c>
      <c r="B986" s="453">
        <v>668536433.93281901</v>
      </c>
      <c r="D986" s="453" t="s">
        <v>6391</v>
      </c>
      <c r="E986" s="453" t="s">
        <v>6392</v>
      </c>
    </row>
    <row r="987" spans="1:5">
      <c r="A987" s="453">
        <v>477663949</v>
      </c>
      <c r="B987" s="453">
        <v>668630031.93382704</v>
      </c>
      <c r="D987" s="453" t="s">
        <v>6393</v>
      </c>
      <c r="E987" s="453" t="s">
        <v>6394</v>
      </c>
    </row>
    <row r="988" spans="1:5">
      <c r="A988" s="453">
        <v>477872751</v>
      </c>
      <c r="B988" s="453">
        <v>668838833.93615901</v>
      </c>
      <c r="D988" s="453" t="s">
        <v>6395</v>
      </c>
      <c r="E988" s="453" t="s">
        <v>6396</v>
      </c>
    </row>
    <row r="989" spans="1:5">
      <c r="A989" s="453">
        <v>477944755</v>
      </c>
      <c r="B989" s="453">
        <v>668910837.93691599</v>
      </c>
      <c r="D989" s="453" t="s">
        <v>6397</v>
      </c>
      <c r="E989" s="453" t="s">
        <v>6398</v>
      </c>
    </row>
    <row r="990" spans="1:5">
      <c r="A990" s="453">
        <v>478020354</v>
      </c>
      <c r="B990" s="453">
        <v>668986436.93777394</v>
      </c>
      <c r="D990" s="453" t="s">
        <v>6399</v>
      </c>
      <c r="E990" s="453" t="s">
        <v>6400</v>
      </c>
    </row>
    <row r="991" spans="1:5">
      <c r="A991" s="453">
        <v>478099555</v>
      </c>
      <c r="B991" s="453">
        <v>669065637.93865299</v>
      </c>
      <c r="D991" s="453" t="s">
        <v>6401</v>
      </c>
      <c r="E991" s="453" t="s">
        <v>6402</v>
      </c>
    </row>
    <row r="992" spans="1:5">
      <c r="A992" s="453">
        <v>478211270</v>
      </c>
      <c r="B992" s="453">
        <v>669177352.93989098</v>
      </c>
      <c r="D992" s="453" t="s">
        <v>6403</v>
      </c>
      <c r="E992" s="453" t="s">
        <v>6404</v>
      </c>
    </row>
    <row r="993" spans="1:5">
      <c r="A993" s="453">
        <v>478257978</v>
      </c>
      <c r="B993" s="453">
        <v>669224060.940418</v>
      </c>
      <c r="D993" s="453" t="s">
        <v>6405</v>
      </c>
      <c r="E993" s="453" t="s">
        <v>6406</v>
      </c>
    </row>
    <row r="994" spans="1:5">
      <c r="A994" s="453">
        <v>478380375</v>
      </c>
      <c r="B994" s="453">
        <v>669346457.94175005</v>
      </c>
      <c r="D994" s="453" t="s">
        <v>6407</v>
      </c>
      <c r="E994" s="453" t="s">
        <v>6408</v>
      </c>
    </row>
    <row r="995" spans="1:5">
      <c r="A995" s="453">
        <v>478477581</v>
      </c>
      <c r="B995" s="453">
        <v>669443663.94283903</v>
      </c>
      <c r="D995" s="453" t="s">
        <v>6409</v>
      </c>
      <c r="E995" s="453" t="s">
        <v>6410</v>
      </c>
    </row>
    <row r="996" spans="1:5">
      <c r="A996" s="453">
        <v>478535294</v>
      </c>
      <c r="B996" s="453">
        <v>669501376.94346905</v>
      </c>
      <c r="D996" s="453" t="s">
        <v>6411</v>
      </c>
      <c r="E996" s="453" t="s">
        <v>6412</v>
      </c>
    </row>
    <row r="997" spans="1:5">
      <c r="A997" s="453">
        <v>478636105</v>
      </c>
      <c r="B997" s="453">
        <v>669602187.94455302</v>
      </c>
      <c r="D997" s="453" t="s">
        <v>6413</v>
      </c>
      <c r="E997" s="453" t="s">
        <v>6414</v>
      </c>
    </row>
    <row r="998" spans="1:5">
      <c r="A998" s="453">
        <v>478689999</v>
      </c>
      <c r="B998" s="453">
        <v>669656081.94520795</v>
      </c>
      <c r="D998" s="453" t="s">
        <v>6415</v>
      </c>
      <c r="E998" s="453" t="s">
        <v>6416</v>
      </c>
    </row>
    <row r="999" spans="1:5">
      <c r="A999" s="453">
        <v>478812393</v>
      </c>
      <c r="B999" s="453">
        <v>669778475.94654298</v>
      </c>
      <c r="D999" s="453" t="s">
        <v>6417</v>
      </c>
      <c r="E999" s="453" t="s">
        <v>6418</v>
      </c>
    </row>
    <row r="1000" spans="1:5">
      <c r="A1000" s="453">
        <v>478905999</v>
      </c>
      <c r="B1000" s="453">
        <v>669872081.94758499</v>
      </c>
      <c r="D1000" s="453" t="s">
        <v>6419</v>
      </c>
      <c r="E1000" s="453" t="s">
        <v>6420</v>
      </c>
    </row>
    <row r="1001" spans="1:5">
      <c r="A1001" s="453">
        <v>478992408</v>
      </c>
      <c r="B1001" s="453">
        <v>669958490.94855905</v>
      </c>
      <c r="D1001" s="453" t="s">
        <v>6421</v>
      </c>
      <c r="E1001" s="453" t="s">
        <v>6422</v>
      </c>
    </row>
    <row r="1002" spans="1:5">
      <c r="A1002" s="453">
        <v>479032010</v>
      </c>
      <c r="B1002" s="453">
        <v>669998092.94900703</v>
      </c>
      <c r="D1002" s="453" t="s">
        <v>6423</v>
      </c>
      <c r="E1002" s="453" t="s">
        <v>6424</v>
      </c>
    </row>
    <row r="1003" spans="1:5">
      <c r="A1003" s="453">
        <v>479168813</v>
      </c>
      <c r="B1003" s="453">
        <v>670134895.95052397</v>
      </c>
      <c r="D1003" s="453" t="s">
        <v>6425</v>
      </c>
      <c r="E1003" s="453" t="s">
        <v>6426</v>
      </c>
    </row>
    <row r="1004" spans="1:5">
      <c r="A1004" s="453">
        <v>479330823</v>
      </c>
      <c r="B1004" s="453">
        <v>670296905.95230603</v>
      </c>
      <c r="D1004" s="453" t="s">
        <v>6427</v>
      </c>
      <c r="E1004" s="453" t="s">
        <v>6428</v>
      </c>
    </row>
    <row r="1005" spans="1:5">
      <c r="A1005" s="453">
        <v>479428028</v>
      </c>
      <c r="B1005" s="453">
        <v>670394110.95340502</v>
      </c>
      <c r="D1005" s="453" t="s">
        <v>6429</v>
      </c>
      <c r="E1005" s="453" t="s">
        <v>6430</v>
      </c>
    </row>
    <row r="1006" spans="1:5">
      <c r="A1006" s="453">
        <v>479514430</v>
      </c>
      <c r="B1006" s="453">
        <v>670480512.95437598</v>
      </c>
      <c r="D1006" s="453" t="s">
        <v>6431</v>
      </c>
      <c r="E1006" s="453" t="s">
        <v>6432</v>
      </c>
    </row>
    <row r="1007" spans="1:5">
      <c r="A1007" s="453">
        <v>479550436</v>
      </c>
      <c r="B1007" s="453">
        <v>670516518.95477295</v>
      </c>
      <c r="D1007" s="453" t="s">
        <v>6433</v>
      </c>
      <c r="E1007" s="453" t="s">
        <v>6434</v>
      </c>
    </row>
    <row r="1008" spans="1:5">
      <c r="A1008" s="453">
        <v>479687244</v>
      </c>
      <c r="B1008" s="453">
        <v>670653326.95630205</v>
      </c>
      <c r="D1008" s="453" t="s">
        <v>6435</v>
      </c>
      <c r="E1008" s="453" t="s">
        <v>6436</v>
      </c>
    </row>
    <row r="1009" spans="1:5">
      <c r="A1009" s="453">
        <v>479737709</v>
      </c>
      <c r="B1009" s="453">
        <v>670703791.95685005</v>
      </c>
      <c r="D1009" s="453" t="s">
        <v>6437</v>
      </c>
      <c r="E1009" s="453" t="s">
        <v>6438</v>
      </c>
    </row>
    <row r="1010" spans="1:5">
      <c r="A1010" s="453">
        <v>479860054</v>
      </c>
      <c r="B1010" s="453">
        <v>670826136.95824099</v>
      </c>
      <c r="D1010" s="453" t="s">
        <v>6439</v>
      </c>
      <c r="E1010" s="453" t="s">
        <v>6440</v>
      </c>
    </row>
    <row r="1011" spans="1:5">
      <c r="A1011" s="453">
        <v>479932049</v>
      </c>
      <c r="B1011" s="453">
        <v>670898131.95902598</v>
      </c>
      <c r="D1011" s="453" t="s">
        <v>6441</v>
      </c>
      <c r="E1011" s="453" t="s">
        <v>6442</v>
      </c>
    </row>
    <row r="1012" spans="1:5">
      <c r="A1012" s="453">
        <v>480014854</v>
      </c>
      <c r="B1012" s="453">
        <v>670980936.95994794</v>
      </c>
      <c r="D1012" s="453" t="s">
        <v>6443</v>
      </c>
      <c r="E1012" s="453" t="s">
        <v>6444</v>
      </c>
    </row>
    <row r="1013" spans="1:5">
      <c r="A1013" s="453">
        <v>480119267</v>
      </c>
      <c r="B1013" s="453">
        <v>671085349.96113801</v>
      </c>
      <c r="D1013" s="453" t="s">
        <v>6445</v>
      </c>
      <c r="E1013" s="453" t="s">
        <v>6446</v>
      </c>
    </row>
    <row r="1014" spans="1:5">
      <c r="A1014" s="453">
        <v>480140857</v>
      </c>
      <c r="B1014" s="453">
        <v>671106939.96134996</v>
      </c>
      <c r="D1014" s="453" t="s">
        <v>6447</v>
      </c>
      <c r="E1014" s="453" t="s">
        <v>6448</v>
      </c>
    </row>
    <row r="1015" spans="1:5">
      <c r="A1015" s="453">
        <v>480292075</v>
      </c>
      <c r="B1015" s="453">
        <v>671258157.96305501</v>
      </c>
      <c r="D1015" s="453" t="s">
        <v>6449</v>
      </c>
      <c r="E1015" s="453" t="s">
        <v>6450</v>
      </c>
    </row>
    <row r="1016" spans="1:5">
      <c r="A1016" s="453">
        <v>480349734</v>
      </c>
      <c r="B1016" s="453">
        <v>671315816.963709</v>
      </c>
      <c r="D1016" s="453" t="s">
        <v>6451</v>
      </c>
      <c r="E1016" s="453" t="s">
        <v>6452</v>
      </c>
    </row>
    <row r="1017" spans="1:5">
      <c r="A1017" s="453">
        <v>480464886</v>
      </c>
      <c r="B1017" s="453">
        <v>671430968.96499002</v>
      </c>
      <c r="D1017" s="453" t="s">
        <v>6453</v>
      </c>
      <c r="E1017" s="453" t="s">
        <v>6454</v>
      </c>
    </row>
    <row r="1018" spans="1:5">
      <c r="A1018" s="453">
        <v>480544086</v>
      </c>
      <c r="B1018" s="453">
        <v>671510168.965873</v>
      </c>
      <c r="D1018" s="453" t="s">
        <v>6455</v>
      </c>
      <c r="E1018" s="453" t="s">
        <v>6456</v>
      </c>
    </row>
    <row r="1019" spans="1:5">
      <c r="A1019" s="453">
        <v>480637705</v>
      </c>
      <c r="B1019" s="453">
        <v>671603787.96692705</v>
      </c>
      <c r="D1019" s="453" t="s">
        <v>6457</v>
      </c>
      <c r="E1019" s="453" t="s">
        <v>6458</v>
      </c>
    </row>
    <row r="1020" spans="1:5">
      <c r="A1020" s="453">
        <v>480720499</v>
      </c>
      <c r="B1020" s="453">
        <v>671686581.96786702</v>
      </c>
      <c r="D1020" s="453" t="s">
        <v>6459</v>
      </c>
      <c r="E1020" s="453" t="s">
        <v>6460</v>
      </c>
    </row>
    <row r="1021" spans="1:5">
      <c r="A1021" s="453">
        <v>480968906</v>
      </c>
      <c r="B1021" s="453">
        <v>671934988.97063303</v>
      </c>
      <c r="D1021" s="453" t="s">
        <v>6461</v>
      </c>
      <c r="E1021" s="453" t="s">
        <v>6462</v>
      </c>
    </row>
    <row r="1022" spans="1:5">
      <c r="A1022" s="453">
        <v>481040971</v>
      </c>
      <c r="B1022" s="453">
        <v>672007053.97148001</v>
      </c>
      <c r="D1022" s="453" t="s">
        <v>6463</v>
      </c>
      <c r="E1022" s="453" t="s">
        <v>6464</v>
      </c>
    </row>
    <row r="1023" spans="1:5">
      <c r="A1023" s="453">
        <v>481148919</v>
      </c>
      <c r="B1023" s="453">
        <v>672115001.97268105</v>
      </c>
      <c r="D1023" s="453" t="s">
        <v>6465</v>
      </c>
      <c r="E1023" s="453" t="s">
        <v>6466</v>
      </c>
    </row>
    <row r="1024" spans="1:5">
      <c r="A1024" s="453">
        <v>481238924</v>
      </c>
      <c r="B1024" s="453">
        <v>672205006.97369301</v>
      </c>
      <c r="D1024" s="453" t="s">
        <v>6467</v>
      </c>
      <c r="E1024" s="453" t="s">
        <v>6468</v>
      </c>
    </row>
    <row r="1025" spans="1:5">
      <c r="A1025" s="453">
        <v>481415335</v>
      </c>
      <c r="B1025" s="453">
        <v>672381417.97568595</v>
      </c>
      <c r="D1025" s="453" t="s">
        <v>6469</v>
      </c>
      <c r="E1025" s="453" t="s">
        <v>6470</v>
      </c>
    </row>
    <row r="1026" spans="1:5">
      <c r="A1026" s="453">
        <v>481469398</v>
      </c>
      <c r="B1026" s="453">
        <v>672435480.97630095</v>
      </c>
      <c r="D1026" s="453" t="s">
        <v>6471</v>
      </c>
      <c r="E1026" s="453" t="s">
        <v>6472</v>
      </c>
    </row>
    <row r="1027" spans="1:5">
      <c r="A1027" s="453">
        <v>481555738</v>
      </c>
      <c r="B1027" s="453">
        <v>672521820.97723103</v>
      </c>
      <c r="D1027" s="453" t="s">
        <v>6473</v>
      </c>
      <c r="E1027" s="453" t="s">
        <v>6474</v>
      </c>
    </row>
    <row r="1028" spans="1:5">
      <c r="A1028" s="453">
        <v>481667342</v>
      </c>
      <c r="B1028" s="453">
        <v>672633424.97851396</v>
      </c>
      <c r="D1028" s="453" t="s">
        <v>6475</v>
      </c>
      <c r="E1028" s="453" t="s">
        <v>6476</v>
      </c>
    </row>
    <row r="1029" spans="1:5">
      <c r="A1029" s="453">
        <v>481753746</v>
      </c>
      <c r="B1029" s="453">
        <v>672719828.97948897</v>
      </c>
      <c r="D1029" s="453" t="s">
        <v>6477</v>
      </c>
      <c r="E1029" s="453" t="s">
        <v>6478</v>
      </c>
    </row>
    <row r="1030" spans="1:5">
      <c r="A1030" s="453">
        <v>481847358</v>
      </c>
      <c r="B1030" s="453">
        <v>672813440.98055506</v>
      </c>
      <c r="D1030" s="453" t="s">
        <v>6479</v>
      </c>
      <c r="E1030" s="453" t="s">
        <v>6480</v>
      </c>
    </row>
    <row r="1031" spans="1:5">
      <c r="A1031" s="453">
        <v>481933765</v>
      </c>
      <c r="B1031" s="453">
        <v>672899847.98153102</v>
      </c>
      <c r="D1031" s="453" t="s">
        <v>6481</v>
      </c>
      <c r="E1031" s="453" t="s">
        <v>6482</v>
      </c>
    </row>
    <row r="1032" spans="1:5">
      <c r="A1032" s="453">
        <v>482005759</v>
      </c>
      <c r="B1032" s="453">
        <v>672971841.98232901</v>
      </c>
      <c r="D1032" s="453" t="s">
        <v>6483</v>
      </c>
      <c r="E1032" s="453" t="s">
        <v>6484</v>
      </c>
    </row>
    <row r="1033" spans="1:5">
      <c r="A1033" s="453">
        <v>482095764</v>
      </c>
      <c r="B1033" s="453">
        <v>673061846.98335099</v>
      </c>
      <c r="D1033" s="453" t="s">
        <v>6485</v>
      </c>
      <c r="E1033" s="453" t="s">
        <v>6486</v>
      </c>
    </row>
    <row r="1034" spans="1:5">
      <c r="A1034" s="453">
        <v>482192982</v>
      </c>
      <c r="B1034" s="453">
        <v>673159064.98445904</v>
      </c>
      <c r="D1034" s="453" t="s">
        <v>6487</v>
      </c>
      <c r="E1034" s="453" t="s">
        <v>6488</v>
      </c>
    </row>
    <row r="1035" spans="1:5">
      <c r="A1035" s="453">
        <v>482250582</v>
      </c>
      <c r="B1035" s="453">
        <v>673216664.98512101</v>
      </c>
      <c r="D1035" s="453" t="s">
        <v>6489</v>
      </c>
      <c r="E1035" s="453" t="s">
        <v>6490</v>
      </c>
    </row>
    <row r="1036" spans="1:5">
      <c r="A1036" s="453">
        <v>482358572</v>
      </c>
      <c r="B1036" s="453">
        <v>673324654.98633599</v>
      </c>
      <c r="D1036" s="453" t="s">
        <v>6491</v>
      </c>
      <c r="E1036" s="453" t="s">
        <v>6492</v>
      </c>
    </row>
    <row r="1037" spans="1:5">
      <c r="A1037" s="453">
        <v>482617815</v>
      </c>
      <c r="B1037" s="453">
        <v>673583897.98927402</v>
      </c>
      <c r="D1037" s="453" t="s">
        <v>6493</v>
      </c>
      <c r="E1037" s="453" t="s">
        <v>6494</v>
      </c>
    </row>
    <row r="1038" spans="1:5">
      <c r="A1038" s="453">
        <v>483046233</v>
      </c>
      <c r="B1038" s="453">
        <v>674012315.99412203</v>
      </c>
      <c r="D1038" s="453" t="s">
        <v>6495</v>
      </c>
      <c r="E1038" s="453" t="s">
        <v>6496</v>
      </c>
    </row>
    <row r="1039" spans="1:5">
      <c r="A1039" s="453">
        <v>483078594</v>
      </c>
      <c r="B1039" s="453">
        <v>674044676.99448502</v>
      </c>
      <c r="D1039" s="453" t="s">
        <v>6497</v>
      </c>
      <c r="E1039" s="453" t="s">
        <v>6498</v>
      </c>
    </row>
    <row r="1040" spans="1:5">
      <c r="A1040" s="453">
        <v>483258633</v>
      </c>
      <c r="B1040" s="453">
        <v>674224715.99653399</v>
      </c>
      <c r="D1040" s="453" t="s">
        <v>6499</v>
      </c>
      <c r="E1040" s="453" t="s">
        <v>6500</v>
      </c>
    </row>
    <row r="1041" spans="1:5">
      <c r="A1041" s="453">
        <v>483402648</v>
      </c>
      <c r="B1041" s="453">
        <v>674368730.99815702</v>
      </c>
      <c r="D1041" s="453" t="s">
        <v>6501</v>
      </c>
      <c r="E1041" s="453" t="s">
        <v>6502</v>
      </c>
    </row>
    <row r="1042" spans="1:5">
      <c r="A1042" s="453">
        <v>483489052</v>
      </c>
      <c r="B1042" s="453">
        <v>674455134.999143</v>
      </c>
      <c r="D1042" s="453" t="s">
        <v>6503</v>
      </c>
      <c r="E1042" s="453" t="s">
        <v>6504</v>
      </c>
    </row>
    <row r="1043" spans="1:5">
      <c r="A1043" s="453">
        <v>483568221</v>
      </c>
      <c r="B1043" s="453">
        <v>674534304.00004399</v>
      </c>
      <c r="D1043" s="453" t="s">
        <v>6505</v>
      </c>
      <c r="E1043" s="453" t="s">
        <v>6506</v>
      </c>
    </row>
    <row r="1044" spans="1:5">
      <c r="A1044" s="453">
        <v>483647420</v>
      </c>
      <c r="B1044" s="453">
        <v>674613503.00093305</v>
      </c>
      <c r="D1044" s="453" t="s">
        <v>6507</v>
      </c>
      <c r="E1044" s="453" t="s">
        <v>6508</v>
      </c>
    </row>
    <row r="1045" spans="1:5">
      <c r="A1045" s="453">
        <v>483748261</v>
      </c>
      <c r="B1045" s="453">
        <v>674714344.00207102</v>
      </c>
      <c r="D1045" s="453" t="s">
        <v>6509</v>
      </c>
      <c r="E1045" s="453" t="s">
        <v>6510</v>
      </c>
    </row>
    <row r="1046" spans="1:5">
      <c r="A1046" s="453">
        <v>483802249</v>
      </c>
      <c r="B1046" s="453">
        <v>674768332.00268805</v>
      </c>
      <c r="D1046" s="453" t="s">
        <v>6511</v>
      </c>
      <c r="E1046" s="453" t="s">
        <v>6512</v>
      </c>
    </row>
    <row r="1047" spans="1:5">
      <c r="A1047" s="453">
        <v>483913833</v>
      </c>
      <c r="B1047" s="453">
        <v>674879916.00396299</v>
      </c>
      <c r="D1047" s="453" t="s">
        <v>6513</v>
      </c>
      <c r="E1047" s="453" t="s">
        <v>6514</v>
      </c>
    </row>
    <row r="1048" spans="1:5">
      <c r="A1048" s="453">
        <v>484003848</v>
      </c>
      <c r="B1048" s="453">
        <v>674969931.00498903</v>
      </c>
      <c r="D1048" s="453" t="s">
        <v>6515</v>
      </c>
      <c r="E1048" s="453" t="s">
        <v>6516</v>
      </c>
    </row>
    <row r="1049" spans="1:5">
      <c r="A1049" s="453">
        <v>484090285</v>
      </c>
      <c r="B1049" s="453">
        <v>675056368.00596499</v>
      </c>
      <c r="D1049" s="453" t="s">
        <v>6517</v>
      </c>
      <c r="E1049" s="453" t="s">
        <v>6518</v>
      </c>
    </row>
    <row r="1050" spans="1:5">
      <c r="A1050" s="453">
        <v>484147857</v>
      </c>
      <c r="B1050" s="453">
        <v>675113940.00661695</v>
      </c>
      <c r="D1050" s="453" t="s">
        <v>6519</v>
      </c>
      <c r="E1050" s="453" t="s">
        <v>6520</v>
      </c>
    </row>
    <row r="1051" spans="1:5">
      <c r="A1051" s="453">
        <v>484267331</v>
      </c>
      <c r="B1051" s="453">
        <v>675233414.00795197</v>
      </c>
      <c r="D1051" s="453" t="s">
        <v>6521</v>
      </c>
      <c r="E1051" s="453" t="s">
        <v>6522</v>
      </c>
    </row>
    <row r="1052" spans="1:5">
      <c r="A1052" s="453">
        <v>484345846</v>
      </c>
      <c r="B1052" s="453">
        <v>675311929.00887001</v>
      </c>
      <c r="D1052" s="453" t="s">
        <v>6523</v>
      </c>
      <c r="E1052" s="453" t="s">
        <v>6524</v>
      </c>
    </row>
    <row r="1053" spans="1:5">
      <c r="A1053" s="453">
        <v>484407073</v>
      </c>
      <c r="B1053" s="453">
        <v>675373156.00956798</v>
      </c>
      <c r="D1053" s="453" t="s">
        <v>6525</v>
      </c>
      <c r="E1053" s="453" t="s">
        <v>6526</v>
      </c>
    </row>
    <row r="1054" spans="1:5">
      <c r="A1054" s="453">
        <v>484515045</v>
      </c>
      <c r="B1054" s="453">
        <v>675481128.01079905</v>
      </c>
      <c r="D1054" s="453" t="s">
        <v>6527</v>
      </c>
      <c r="E1054" s="453" t="s">
        <v>6528</v>
      </c>
    </row>
    <row r="1055" spans="1:5">
      <c r="A1055" s="453">
        <v>484612312</v>
      </c>
      <c r="B1055" s="453">
        <v>675578395.01188302</v>
      </c>
      <c r="D1055" s="453" t="s">
        <v>6529</v>
      </c>
      <c r="E1055" s="453" t="s">
        <v>6530</v>
      </c>
    </row>
    <row r="1056" spans="1:5">
      <c r="A1056" s="453">
        <v>484695075</v>
      </c>
      <c r="B1056" s="453">
        <v>675661158.01284599</v>
      </c>
      <c r="D1056" s="453" t="s">
        <v>6531</v>
      </c>
      <c r="E1056" s="453" t="s">
        <v>6532</v>
      </c>
    </row>
    <row r="1057" spans="1:5">
      <c r="A1057" s="453">
        <v>484767044</v>
      </c>
      <c r="B1057" s="453">
        <v>675733127.013641</v>
      </c>
      <c r="D1057" s="453" t="s">
        <v>6533</v>
      </c>
      <c r="E1057" s="453" t="s">
        <v>6534</v>
      </c>
    </row>
    <row r="1058" spans="1:5">
      <c r="A1058" s="453">
        <v>484831848</v>
      </c>
      <c r="B1058" s="453">
        <v>675797931.01439297</v>
      </c>
      <c r="D1058" s="453" t="s">
        <v>6535</v>
      </c>
      <c r="E1058" s="453" t="s">
        <v>6536</v>
      </c>
    </row>
    <row r="1059" spans="1:5">
      <c r="A1059" s="453">
        <v>484918252</v>
      </c>
      <c r="B1059" s="453">
        <v>675884335.01537704</v>
      </c>
      <c r="D1059" s="453" t="s">
        <v>6537</v>
      </c>
      <c r="E1059" s="453" t="s">
        <v>6538</v>
      </c>
    </row>
    <row r="1060" spans="1:5">
      <c r="A1060" s="453">
        <v>485033455</v>
      </c>
      <c r="B1060" s="453">
        <v>675999538.01669002</v>
      </c>
      <c r="D1060" s="453" t="s">
        <v>6539</v>
      </c>
      <c r="E1060" s="453" t="s">
        <v>6540</v>
      </c>
    </row>
    <row r="1061" spans="1:5">
      <c r="A1061" s="453">
        <v>485130720</v>
      </c>
      <c r="B1061" s="453">
        <v>676096803.01775396</v>
      </c>
      <c r="D1061" s="453" t="s">
        <v>6541</v>
      </c>
      <c r="E1061" s="453" t="s">
        <v>6542</v>
      </c>
    </row>
    <row r="1062" spans="1:5">
      <c r="A1062" s="453">
        <v>485209863</v>
      </c>
      <c r="B1062" s="453">
        <v>676175946.01870799</v>
      </c>
      <c r="D1062" s="453" t="s">
        <v>6543</v>
      </c>
      <c r="E1062" s="453" t="s">
        <v>6544</v>
      </c>
    </row>
    <row r="1063" spans="1:5">
      <c r="A1063" s="453">
        <v>485289053</v>
      </c>
      <c r="B1063" s="453">
        <v>676255136.019593</v>
      </c>
      <c r="D1063" s="453" t="s">
        <v>6545</v>
      </c>
      <c r="E1063" s="453" t="s">
        <v>6546</v>
      </c>
    </row>
    <row r="1064" spans="1:5">
      <c r="A1064" s="453">
        <v>485555471</v>
      </c>
      <c r="B1064" s="453">
        <v>676521554.02264595</v>
      </c>
      <c r="D1064" s="453" t="s">
        <v>6547</v>
      </c>
      <c r="E1064" s="453" t="s">
        <v>6548</v>
      </c>
    </row>
    <row r="1065" spans="1:5">
      <c r="A1065" s="453">
        <v>485641873</v>
      </c>
      <c r="B1065" s="453">
        <v>676607956.02364004</v>
      </c>
      <c r="D1065" s="453" t="s">
        <v>6549</v>
      </c>
      <c r="E1065" s="453" t="s">
        <v>6550</v>
      </c>
    </row>
    <row r="1066" spans="1:5">
      <c r="A1066" s="453">
        <v>485724662</v>
      </c>
      <c r="B1066" s="453">
        <v>676690745.02457297</v>
      </c>
      <c r="D1066" s="453" t="s">
        <v>6551</v>
      </c>
      <c r="E1066" s="453" t="s">
        <v>6552</v>
      </c>
    </row>
    <row r="1067" spans="1:5">
      <c r="A1067" s="453">
        <v>485814687</v>
      </c>
      <c r="B1067" s="453">
        <v>676780770.02560902</v>
      </c>
      <c r="D1067" s="453" t="s">
        <v>6553</v>
      </c>
      <c r="E1067" s="453" t="s">
        <v>6554</v>
      </c>
    </row>
    <row r="1068" spans="1:5">
      <c r="A1068" s="453">
        <v>485890251</v>
      </c>
      <c r="B1068" s="453">
        <v>676856334.02646601</v>
      </c>
      <c r="D1068" s="453" t="s">
        <v>6555</v>
      </c>
      <c r="E1068" s="453" t="s">
        <v>6556</v>
      </c>
    </row>
    <row r="1069" spans="1:5">
      <c r="A1069" s="453">
        <v>485987485</v>
      </c>
      <c r="B1069" s="453">
        <v>676953568.02758002</v>
      </c>
      <c r="D1069" s="453" t="s">
        <v>6557</v>
      </c>
      <c r="E1069" s="453" t="s">
        <v>6558</v>
      </c>
    </row>
    <row r="1070" spans="1:5">
      <c r="A1070" s="453">
        <v>486034246</v>
      </c>
      <c r="B1070" s="453">
        <v>677000329.02808404</v>
      </c>
      <c r="D1070" s="453" t="s">
        <v>6559</v>
      </c>
      <c r="E1070" s="453" t="s">
        <v>6560</v>
      </c>
    </row>
    <row r="1071" spans="1:5">
      <c r="A1071" s="453">
        <v>486135046</v>
      </c>
      <c r="B1071" s="453">
        <v>677101129.02923095</v>
      </c>
      <c r="D1071" s="453" t="s">
        <v>6561</v>
      </c>
      <c r="E1071" s="453" t="s">
        <v>6562</v>
      </c>
    </row>
    <row r="1072" spans="1:5">
      <c r="A1072" s="453">
        <v>486221445</v>
      </c>
      <c r="B1072" s="453">
        <v>677187528.03022003</v>
      </c>
      <c r="D1072" s="453" t="s">
        <v>6563</v>
      </c>
      <c r="E1072" s="453" t="s">
        <v>6564</v>
      </c>
    </row>
    <row r="1073" spans="1:5">
      <c r="A1073" s="453">
        <v>486340919</v>
      </c>
      <c r="B1073" s="453">
        <v>677307002.03159499</v>
      </c>
      <c r="D1073" s="453" t="s">
        <v>6565</v>
      </c>
      <c r="E1073" s="453" t="s">
        <v>6566</v>
      </c>
    </row>
    <row r="1074" spans="1:5">
      <c r="A1074" s="453">
        <v>486415861</v>
      </c>
      <c r="B1074" s="453">
        <v>677381944.03246605</v>
      </c>
      <c r="D1074" s="453" t="s">
        <v>6567</v>
      </c>
      <c r="E1074" s="453" t="s">
        <v>6568</v>
      </c>
    </row>
    <row r="1075" spans="1:5">
      <c r="A1075" s="453">
        <v>486491443</v>
      </c>
      <c r="B1075" s="453">
        <v>677457526.03332698</v>
      </c>
      <c r="D1075" s="453" t="s">
        <v>6569</v>
      </c>
      <c r="E1075" s="453" t="s">
        <v>6570</v>
      </c>
    </row>
    <row r="1076" spans="1:5">
      <c r="A1076" s="453">
        <v>486574242</v>
      </c>
      <c r="B1076" s="453">
        <v>677540325.034271</v>
      </c>
      <c r="D1076" s="453" t="s">
        <v>6571</v>
      </c>
      <c r="E1076" s="453" t="s">
        <v>6572</v>
      </c>
    </row>
    <row r="1077" spans="1:5">
      <c r="A1077" s="453">
        <v>486671444</v>
      </c>
      <c r="B1077" s="453">
        <v>677637527.03538299</v>
      </c>
      <c r="D1077" s="453" t="s">
        <v>6573</v>
      </c>
      <c r="E1077" s="453" t="s">
        <v>6574</v>
      </c>
    </row>
    <row r="1078" spans="1:5">
      <c r="A1078" s="453">
        <v>486732665</v>
      </c>
      <c r="B1078" s="453">
        <v>677698748.03607297</v>
      </c>
      <c r="D1078" s="453" t="s">
        <v>6575</v>
      </c>
      <c r="E1078" s="453" t="s">
        <v>6576</v>
      </c>
    </row>
    <row r="1079" spans="1:5">
      <c r="A1079" s="453">
        <v>486847878</v>
      </c>
      <c r="B1079" s="453">
        <v>677813961.03740001</v>
      </c>
      <c r="D1079" s="453" t="s">
        <v>6577</v>
      </c>
      <c r="E1079" s="453" t="s">
        <v>6578</v>
      </c>
    </row>
    <row r="1080" spans="1:5">
      <c r="A1080" s="453">
        <v>486945111</v>
      </c>
      <c r="B1080" s="453">
        <v>677911194.03848004</v>
      </c>
      <c r="D1080" s="453" t="s">
        <v>6579</v>
      </c>
      <c r="E1080" s="453" t="s">
        <v>6580</v>
      </c>
    </row>
    <row r="1081" spans="1:5">
      <c r="A1081" s="453">
        <v>487032695</v>
      </c>
      <c r="B1081" s="453">
        <v>677998778.03949106</v>
      </c>
      <c r="D1081" s="453" t="s">
        <v>6581</v>
      </c>
      <c r="E1081" s="453" t="s">
        <v>6582</v>
      </c>
    </row>
    <row r="1082" spans="1:5">
      <c r="A1082" s="453">
        <v>487103445</v>
      </c>
      <c r="B1082" s="453">
        <v>678069528.04033005</v>
      </c>
      <c r="D1082" s="453" t="s">
        <v>6583</v>
      </c>
      <c r="E1082" s="453" t="s">
        <v>6584</v>
      </c>
    </row>
    <row r="1083" spans="1:5">
      <c r="A1083" s="453">
        <v>487164655</v>
      </c>
      <c r="B1083" s="453">
        <v>678130738.04102898</v>
      </c>
      <c r="D1083" s="453" t="s">
        <v>6585</v>
      </c>
      <c r="E1083" s="453" t="s">
        <v>6586</v>
      </c>
    </row>
    <row r="1084" spans="1:5">
      <c r="A1084" s="453">
        <v>487247452</v>
      </c>
      <c r="B1084" s="453">
        <v>678213535.04196596</v>
      </c>
      <c r="D1084" s="453" t="s">
        <v>6587</v>
      </c>
      <c r="E1084" s="453" t="s">
        <v>6588</v>
      </c>
    </row>
    <row r="1085" spans="1:5">
      <c r="A1085" s="453">
        <v>487333848</v>
      </c>
      <c r="B1085" s="453">
        <v>678299931.04295897</v>
      </c>
      <c r="D1085" s="453" t="s">
        <v>6589</v>
      </c>
      <c r="E1085" s="453" t="s">
        <v>6590</v>
      </c>
    </row>
    <row r="1086" spans="1:5">
      <c r="A1086" s="453">
        <v>487463511</v>
      </c>
      <c r="B1086" s="453">
        <v>678429594.04441702</v>
      </c>
      <c r="D1086" s="453" t="s">
        <v>6591</v>
      </c>
      <c r="E1086" s="453" t="s">
        <v>6592</v>
      </c>
    </row>
    <row r="1087" spans="1:5">
      <c r="A1087" s="453">
        <v>487531825</v>
      </c>
      <c r="B1087" s="453">
        <v>678497908.04521298</v>
      </c>
      <c r="D1087" s="453" t="s">
        <v>6593</v>
      </c>
      <c r="E1087" s="453" t="s">
        <v>6594</v>
      </c>
    </row>
    <row r="1088" spans="1:5">
      <c r="A1088" s="453">
        <v>487596612</v>
      </c>
      <c r="B1088" s="453">
        <v>678562695.04592705</v>
      </c>
      <c r="D1088" s="453" t="s">
        <v>6595</v>
      </c>
      <c r="E1088" s="453" t="s">
        <v>6596</v>
      </c>
    </row>
    <row r="1089" spans="1:5">
      <c r="A1089" s="453">
        <v>487704617</v>
      </c>
      <c r="B1089" s="453">
        <v>678670700.04718804</v>
      </c>
      <c r="D1089" s="453" t="s">
        <v>6597</v>
      </c>
      <c r="E1089" s="453" t="s">
        <v>6598</v>
      </c>
    </row>
    <row r="1090" spans="1:5">
      <c r="A1090" s="453">
        <v>487809112</v>
      </c>
      <c r="B1090" s="453">
        <v>678775195.04836297</v>
      </c>
      <c r="D1090" s="453" t="s">
        <v>6599</v>
      </c>
      <c r="E1090" s="453" t="s">
        <v>6600</v>
      </c>
    </row>
    <row r="1091" spans="1:5">
      <c r="A1091" s="453">
        <v>487881018</v>
      </c>
      <c r="B1091" s="453">
        <v>678847101.04920995</v>
      </c>
      <c r="D1091" s="453" t="s">
        <v>6601</v>
      </c>
      <c r="E1091" s="453" t="s">
        <v>6602</v>
      </c>
    </row>
    <row r="1092" spans="1:5">
      <c r="A1092" s="453">
        <v>487938632</v>
      </c>
      <c r="B1092" s="453">
        <v>678904715.04986095</v>
      </c>
      <c r="D1092" s="453" t="s">
        <v>6603</v>
      </c>
      <c r="E1092" s="453" t="s">
        <v>6604</v>
      </c>
    </row>
    <row r="1093" spans="1:5">
      <c r="A1093" s="453">
        <v>488042994</v>
      </c>
      <c r="B1093" s="453">
        <v>679009077.05104601</v>
      </c>
      <c r="D1093" s="453" t="s">
        <v>6605</v>
      </c>
      <c r="E1093" s="453" t="s">
        <v>6606</v>
      </c>
    </row>
    <row r="1094" spans="1:5">
      <c r="A1094" s="453">
        <v>488140230</v>
      </c>
      <c r="B1094" s="453">
        <v>679106313.05217803</v>
      </c>
      <c r="D1094" s="453" t="s">
        <v>6607</v>
      </c>
      <c r="E1094" s="453" t="s">
        <v>6608</v>
      </c>
    </row>
    <row r="1095" spans="1:5">
      <c r="A1095" s="453">
        <v>488241082</v>
      </c>
      <c r="B1095" s="453">
        <v>679207165.05330598</v>
      </c>
      <c r="D1095" s="453" t="s">
        <v>6609</v>
      </c>
      <c r="E1095" s="453" t="s">
        <v>6610</v>
      </c>
    </row>
    <row r="1096" spans="1:5">
      <c r="A1096" s="453">
        <v>488309391</v>
      </c>
      <c r="B1096" s="453">
        <v>679275474.05410004</v>
      </c>
      <c r="D1096" s="453" t="s">
        <v>6611</v>
      </c>
      <c r="E1096" s="453" t="s">
        <v>6612</v>
      </c>
    </row>
    <row r="1097" spans="1:5">
      <c r="A1097" s="453">
        <v>488399414</v>
      </c>
      <c r="B1097" s="453">
        <v>679365497.05513597</v>
      </c>
      <c r="D1097" s="453" t="s">
        <v>6613</v>
      </c>
      <c r="E1097" s="453" t="s">
        <v>6614</v>
      </c>
    </row>
    <row r="1098" spans="1:5">
      <c r="A1098" s="453">
        <v>488471373</v>
      </c>
      <c r="B1098" s="453">
        <v>679437456.05594504</v>
      </c>
      <c r="D1098" s="453" t="s">
        <v>6615</v>
      </c>
      <c r="E1098" s="453" t="s">
        <v>6616</v>
      </c>
    </row>
    <row r="1099" spans="1:5">
      <c r="A1099" s="453">
        <v>488572203</v>
      </c>
      <c r="B1099" s="453">
        <v>679538286.05711401</v>
      </c>
      <c r="D1099" s="453" t="s">
        <v>6617</v>
      </c>
      <c r="E1099" s="453" t="s">
        <v>6618</v>
      </c>
    </row>
    <row r="1100" spans="1:5">
      <c r="A1100" s="453">
        <v>488636963</v>
      </c>
      <c r="B1100" s="453">
        <v>679603046.05782998</v>
      </c>
      <c r="D1100" s="453" t="s">
        <v>6619</v>
      </c>
      <c r="E1100" s="453" t="s">
        <v>6620</v>
      </c>
    </row>
    <row r="1101" spans="1:5">
      <c r="A1101" s="453">
        <v>488759376</v>
      </c>
      <c r="B1101" s="453">
        <v>679725459.05923104</v>
      </c>
      <c r="D1101" s="453" t="s">
        <v>6621</v>
      </c>
      <c r="E1101" s="453" t="s">
        <v>6622</v>
      </c>
    </row>
    <row r="1102" spans="1:5">
      <c r="A1102" s="453">
        <v>488831396</v>
      </c>
      <c r="B1102" s="453">
        <v>679797479.06006396</v>
      </c>
      <c r="D1102" s="453" t="s">
        <v>6623</v>
      </c>
      <c r="E1102" s="453" t="s">
        <v>6624</v>
      </c>
    </row>
    <row r="1103" spans="1:5">
      <c r="A1103" s="453">
        <v>488910558</v>
      </c>
      <c r="B1103" s="453">
        <v>679876641.06096399</v>
      </c>
      <c r="D1103" s="453" t="s">
        <v>6625</v>
      </c>
      <c r="E1103" s="453" t="s">
        <v>6626</v>
      </c>
    </row>
    <row r="1104" spans="1:5">
      <c r="A1104" s="453">
        <v>489000557</v>
      </c>
      <c r="B1104" s="453">
        <v>679966640.06200302</v>
      </c>
      <c r="D1104" s="453" t="s">
        <v>6627</v>
      </c>
      <c r="E1104" s="453" t="s">
        <v>6628</v>
      </c>
    </row>
    <row r="1105" spans="1:5">
      <c r="A1105" s="453">
        <v>489104949</v>
      </c>
      <c r="B1105" s="453">
        <v>680071032.06317306</v>
      </c>
      <c r="D1105" s="453" t="s">
        <v>6629</v>
      </c>
      <c r="E1105" s="453" t="s">
        <v>6630</v>
      </c>
    </row>
    <row r="1106" spans="1:5">
      <c r="A1106" s="453">
        <v>489191342</v>
      </c>
      <c r="B1106" s="453">
        <v>680157425.064165</v>
      </c>
      <c r="D1106" s="453" t="s">
        <v>6631</v>
      </c>
      <c r="E1106" s="453" t="s">
        <v>6632</v>
      </c>
    </row>
    <row r="1107" spans="1:5">
      <c r="A1107" s="453">
        <v>489277740</v>
      </c>
      <c r="B1107" s="453">
        <v>680243823.06515002</v>
      </c>
      <c r="D1107" s="453" t="s">
        <v>6633</v>
      </c>
      <c r="E1107" s="453" t="s">
        <v>6634</v>
      </c>
    </row>
    <row r="1108" spans="1:5">
      <c r="A1108" s="453">
        <v>489338922</v>
      </c>
      <c r="B1108" s="453">
        <v>680305005.06586802</v>
      </c>
      <c r="D1108" s="453" t="s">
        <v>6635</v>
      </c>
      <c r="E1108" s="453" t="s">
        <v>6636</v>
      </c>
    </row>
    <row r="1109" spans="1:5">
      <c r="A1109" s="453">
        <v>489450530</v>
      </c>
      <c r="B1109" s="453">
        <v>680416613.067114</v>
      </c>
      <c r="D1109" s="453" t="s">
        <v>6637</v>
      </c>
      <c r="E1109" s="453" t="s">
        <v>6638</v>
      </c>
    </row>
    <row r="1110" spans="1:5">
      <c r="A1110" s="453">
        <v>489536920</v>
      </c>
      <c r="B1110" s="453">
        <v>680503003.06809902</v>
      </c>
      <c r="D1110" s="453" t="s">
        <v>6639</v>
      </c>
      <c r="E1110" s="453" t="s">
        <v>6640</v>
      </c>
    </row>
    <row r="1111" spans="1:5">
      <c r="A1111" s="453">
        <v>489605337</v>
      </c>
      <c r="B1111" s="453">
        <v>680571420.06889498</v>
      </c>
      <c r="D1111" s="453" t="s">
        <v>6641</v>
      </c>
      <c r="E1111" s="453" t="s">
        <v>6642</v>
      </c>
    </row>
    <row r="1112" spans="1:5">
      <c r="A1112" s="453">
        <v>489691735</v>
      </c>
      <c r="B1112" s="453">
        <v>680657818.06988704</v>
      </c>
      <c r="D1112" s="453" t="s">
        <v>6643</v>
      </c>
      <c r="E1112" s="453" t="s">
        <v>6644</v>
      </c>
    </row>
    <row r="1113" spans="1:5">
      <c r="A1113" s="453">
        <v>489778177</v>
      </c>
      <c r="B1113" s="453">
        <v>680744260.07086301</v>
      </c>
      <c r="D1113" s="453" t="s">
        <v>6645</v>
      </c>
      <c r="E1113" s="453" t="s">
        <v>6646</v>
      </c>
    </row>
    <row r="1114" spans="1:5">
      <c r="A1114" s="453">
        <v>489853744</v>
      </c>
      <c r="B1114" s="453">
        <v>680819827.07172894</v>
      </c>
      <c r="D1114" s="453" t="s">
        <v>6647</v>
      </c>
      <c r="E1114" s="453" t="s">
        <v>6648</v>
      </c>
    </row>
    <row r="1115" spans="1:5">
      <c r="A1115" s="453">
        <v>489940146</v>
      </c>
      <c r="B1115" s="453">
        <v>680906229.07271194</v>
      </c>
      <c r="D1115" s="453" t="s">
        <v>6649</v>
      </c>
      <c r="E1115" s="453" t="s">
        <v>6650</v>
      </c>
    </row>
    <row r="1116" spans="1:5">
      <c r="A1116" s="453">
        <v>490037300</v>
      </c>
      <c r="B1116" s="453">
        <v>681003383.07382095</v>
      </c>
      <c r="D1116" s="453" t="s">
        <v>6651</v>
      </c>
      <c r="E1116" s="453" t="s">
        <v>6652</v>
      </c>
    </row>
    <row r="1117" spans="1:5">
      <c r="A1117" s="453">
        <v>490141672</v>
      </c>
      <c r="B1117" s="453">
        <v>681107755.07499301</v>
      </c>
      <c r="D1117" s="453" t="s">
        <v>6653</v>
      </c>
      <c r="E1117" s="453" t="s">
        <v>6654</v>
      </c>
    </row>
    <row r="1118" spans="1:5">
      <c r="A1118" s="453">
        <v>490228068</v>
      </c>
      <c r="B1118" s="453">
        <v>681194151.07599199</v>
      </c>
      <c r="D1118" s="453" t="s">
        <v>6655</v>
      </c>
      <c r="E1118" s="453" t="s">
        <v>6656</v>
      </c>
    </row>
    <row r="1119" spans="1:5">
      <c r="A1119" s="453">
        <v>490314463</v>
      </c>
      <c r="B1119" s="453">
        <v>681280546.07696795</v>
      </c>
      <c r="D1119" s="453" t="s">
        <v>6657</v>
      </c>
      <c r="E1119" s="453" t="s">
        <v>6658</v>
      </c>
    </row>
    <row r="1120" spans="1:5">
      <c r="A1120" s="453">
        <v>490400851</v>
      </c>
      <c r="B1120" s="453">
        <v>681366934.07795501</v>
      </c>
      <c r="D1120" s="453" t="s">
        <v>6659</v>
      </c>
      <c r="E1120" s="453" t="s">
        <v>6660</v>
      </c>
    </row>
    <row r="1121" spans="1:5">
      <c r="A1121" s="453">
        <v>490487248</v>
      </c>
      <c r="B1121" s="453">
        <v>681453331.07894003</v>
      </c>
      <c r="D1121" s="453" t="s">
        <v>6661</v>
      </c>
      <c r="E1121" s="453" t="s">
        <v>6662</v>
      </c>
    </row>
    <row r="1122" spans="1:5">
      <c r="A1122" s="453">
        <v>490552088</v>
      </c>
      <c r="B1122" s="453">
        <v>681518171.07968295</v>
      </c>
      <c r="D1122" s="453" t="s">
        <v>6663</v>
      </c>
      <c r="E1122" s="453" t="s">
        <v>6664</v>
      </c>
    </row>
    <row r="1123" spans="1:5">
      <c r="A1123" s="453">
        <v>490660033</v>
      </c>
      <c r="B1123" s="453">
        <v>681626116.08089197</v>
      </c>
      <c r="D1123" s="453" t="s">
        <v>6665</v>
      </c>
      <c r="E1123" s="453" t="s">
        <v>6666</v>
      </c>
    </row>
    <row r="1124" spans="1:5">
      <c r="A1124" s="453">
        <v>490696039</v>
      </c>
      <c r="B1124" s="453">
        <v>681662122.08131003</v>
      </c>
      <c r="D1124" s="453" t="s">
        <v>6667</v>
      </c>
      <c r="E1124" s="453" t="s">
        <v>6668</v>
      </c>
    </row>
    <row r="1125" spans="1:5">
      <c r="A1125" s="453">
        <v>490832816</v>
      </c>
      <c r="B1125" s="453">
        <v>681798899.08286405</v>
      </c>
      <c r="D1125" s="453" t="s">
        <v>6669</v>
      </c>
      <c r="E1125" s="453" t="s">
        <v>6670</v>
      </c>
    </row>
    <row r="1126" spans="1:5">
      <c r="A1126" s="453">
        <v>490919322</v>
      </c>
      <c r="B1126" s="453">
        <v>681885405.08384097</v>
      </c>
      <c r="D1126" s="453" t="s">
        <v>6671</v>
      </c>
      <c r="E1126" s="453" t="s">
        <v>6672</v>
      </c>
    </row>
    <row r="1127" spans="1:5">
      <c r="A1127" s="453">
        <v>491005598</v>
      </c>
      <c r="B1127" s="453">
        <v>681971681.08483195</v>
      </c>
      <c r="D1127" s="453" t="s">
        <v>6673</v>
      </c>
      <c r="E1127" s="453" t="s">
        <v>6674</v>
      </c>
    </row>
    <row r="1128" spans="1:5">
      <c r="A1128" s="453">
        <v>491091990</v>
      </c>
      <c r="B1128" s="453">
        <v>682058073.08580399</v>
      </c>
      <c r="D1128" s="453" t="s">
        <v>6675</v>
      </c>
      <c r="E1128" s="453" t="s">
        <v>6676</v>
      </c>
    </row>
    <row r="1129" spans="1:5">
      <c r="A1129" s="453">
        <v>491153174</v>
      </c>
      <c r="B1129" s="453">
        <v>682119257.08651197</v>
      </c>
      <c r="D1129" s="453" t="s">
        <v>6677</v>
      </c>
      <c r="E1129" s="453" t="s">
        <v>6678</v>
      </c>
    </row>
    <row r="1130" spans="1:5">
      <c r="A1130" s="453">
        <v>491264857</v>
      </c>
      <c r="B1130" s="453">
        <v>682230940.08777797</v>
      </c>
      <c r="D1130" s="453" t="s">
        <v>6679</v>
      </c>
      <c r="E1130" s="453" t="s">
        <v>6680</v>
      </c>
    </row>
    <row r="1131" spans="1:5">
      <c r="A1131" s="453">
        <v>491351169</v>
      </c>
      <c r="B1131" s="453">
        <v>682317252.08875597</v>
      </c>
      <c r="D1131" s="453" t="s">
        <v>6681</v>
      </c>
      <c r="E1131" s="453" t="s">
        <v>6682</v>
      </c>
    </row>
    <row r="1132" spans="1:5">
      <c r="A1132" s="453">
        <v>491383576</v>
      </c>
      <c r="B1132" s="453">
        <v>682349659.08912599</v>
      </c>
      <c r="D1132" s="453" t="s">
        <v>6683</v>
      </c>
      <c r="E1132" s="453" t="s">
        <v>6684</v>
      </c>
    </row>
    <row r="1133" spans="1:5">
      <c r="A1133" s="453">
        <v>491469967</v>
      </c>
      <c r="B1133" s="453">
        <v>682436050.09010303</v>
      </c>
      <c r="D1133" s="453" t="s">
        <v>6685</v>
      </c>
      <c r="E1133" s="453" t="s">
        <v>6686</v>
      </c>
    </row>
    <row r="1134" spans="1:5">
      <c r="A1134" s="453">
        <v>491610339</v>
      </c>
      <c r="B1134" s="453">
        <v>682576422.091681</v>
      </c>
      <c r="D1134" s="453" t="s">
        <v>6687</v>
      </c>
      <c r="E1134" s="453" t="s">
        <v>6688</v>
      </c>
    </row>
    <row r="1135" spans="1:5">
      <c r="A1135" s="453">
        <v>491696735</v>
      </c>
      <c r="B1135" s="453">
        <v>682662818.09267199</v>
      </c>
      <c r="D1135" s="453" t="s">
        <v>6689</v>
      </c>
      <c r="E1135" s="453" t="s">
        <v>6690</v>
      </c>
    </row>
    <row r="1136" spans="1:5">
      <c r="A1136" s="453">
        <v>491772315</v>
      </c>
      <c r="B1136" s="453">
        <v>682738398.09350395</v>
      </c>
      <c r="D1136" s="453" t="s">
        <v>6691</v>
      </c>
      <c r="E1136" s="453" t="s">
        <v>6692</v>
      </c>
    </row>
    <row r="1137" spans="1:5">
      <c r="A1137" s="453">
        <v>491840696</v>
      </c>
      <c r="B1137" s="453">
        <v>682806779.09431303</v>
      </c>
      <c r="D1137" s="453" t="s">
        <v>6693</v>
      </c>
      <c r="E1137" s="453" t="s">
        <v>6694</v>
      </c>
    </row>
    <row r="1138" spans="1:5">
      <c r="A1138" s="453">
        <v>491955905</v>
      </c>
      <c r="B1138" s="453">
        <v>682921988.09560299</v>
      </c>
      <c r="D1138" s="453" t="s">
        <v>6695</v>
      </c>
      <c r="E1138" s="453" t="s">
        <v>6696</v>
      </c>
    </row>
    <row r="1139" spans="1:5">
      <c r="A1139" s="453">
        <v>491988300</v>
      </c>
      <c r="B1139" s="453">
        <v>682954383.09596598</v>
      </c>
      <c r="D1139" s="453" t="s">
        <v>6697</v>
      </c>
      <c r="E1139" s="453" t="s">
        <v>6698</v>
      </c>
    </row>
    <row r="1140" spans="1:5">
      <c r="A1140" s="453">
        <v>492128687</v>
      </c>
      <c r="B1140" s="453">
        <v>683094770.09756005</v>
      </c>
      <c r="D1140" s="453" t="s">
        <v>6699</v>
      </c>
      <c r="E1140" s="453" t="s">
        <v>6700</v>
      </c>
    </row>
    <row r="1141" spans="1:5">
      <c r="A1141" s="453">
        <v>492175452</v>
      </c>
      <c r="B1141" s="453">
        <v>683141535.09808099</v>
      </c>
      <c r="D1141" s="453" t="s">
        <v>6701</v>
      </c>
      <c r="E1141" s="453" t="s">
        <v>6702</v>
      </c>
    </row>
    <row r="1142" spans="1:5">
      <c r="A1142" s="453">
        <v>492387857</v>
      </c>
      <c r="B1142" s="453">
        <v>683353940.10048497</v>
      </c>
      <c r="D1142" s="453" t="s">
        <v>6703</v>
      </c>
      <c r="E1142" s="453" t="s">
        <v>6704</v>
      </c>
    </row>
    <row r="1143" spans="1:5">
      <c r="A1143" s="453">
        <v>492474243</v>
      </c>
      <c r="B1143" s="453">
        <v>683440326.10415697</v>
      </c>
      <c r="D1143" s="453" t="s">
        <v>6705</v>
      </c>
      <c r="E1143" s="453" t="s">
        <v>6706</v>
      </c>
    </row>
    <row r="1144" spans="1:5">
      <c r="A1144" s="453">
        <v>492524607</v>
      </c>
      <c r="B1144" s="453">
        <v>683490690.10474396</v>
      </c>
      <c r="D1144" s="453" t="s">
        <v>6707</v>
      </c>
      <c r="E1144" s="453" t="s">
        <v>6708</v>
      </c>
    </row>
    <row r="1145" spans="1:5">
      <c r="A1145" s="453">
        <v>492618212</v>
      </c>
      <c r="B1145" s="453">
        <v>683584295.10582101</v>
      </c>
      <c r="D1145" s="453" t="s">
        <v>6709</v>
      </c>
      <c r="E1145" s="453" t="s">
        <v>6710</v>
      </c>
    </row>
    <row r="1146" spans="1:5">
      <c r="A1146" s="453">
        <v>492675818</v>
      </c>
      <c r="B1146" s="453">
        <v>683641901.10646701</v>
      </c>
      <c r="D1146" s="453" t="s">
        <v>6711</v>
      </c>
      <c r="E1146" s="453" t="s">
        <v>6712</v>
      </c>
    </row>
    <row r="1147" spans="1:5">
      <c r="A1147" s="453">
        <v>492819800</v>
      </c>
      <c r="B1147" s="453">
        <v>683785883.10809803</v>
      </c>
      <c r="D1147" s="453" t="s">
        <v>6713</v>
      </c>
      <c r="E1147" s="453" t="s">
        <v>6714</v>
      </c>
    </row>
    <row r="1148" spans="1:5">
      <c r="A1148" s="453">
        <v>492877390</v>
      </c>
      <c r="B1148" s="453">
        <v>683843473.10878098</v>
      </c>
      <c r="D1148" s="453" t="s">
        <v>6715</v>
      </c>
      <c r="E1148" s="453" t="s">
        <v>6716</v>
      </c>
    </row>
    <row r="1149" spans="1:5">
      <c r="A1149" s="453">
        <v>492992591</v>
      </c>
      <c r="B1149" s="453">
        <v>683958674.11006904</v>
      </c>
      <c r="D1149" s="453" t="s">
        <v>6717</v>
      </c>
      <c r="E1149" s="453" t="s">
        <v>6718</v>
      </c>
    </row>
    <row r="1150" spans="1:5">
      <c r="A1150" s="453">
        <v>493078973</v>
      </c>
      <c r="B1150" s="453">
        <v>684045056.111063</v>
      </c>
      <c r="D1150" s="453" t="s">
        <v>6719</v>
      </c>
      <c r="E1150" s="453" t="s">
        <v>6720</v>
      </c>
    </row>
    <row r="1151" spans="1:5">
      <c r="A1151" s="453">
        <v>493100601</v>
      </c>
      <c r="B1151" s="453">
        <v>684066684.11129797</v>
      </c>
      <c r="D1151" s="453" t="s">
        <v>6721</v>
      </c>
      <c r="E1151" s="453" t="s">
        <v>6722</v>
      </c>
    </row>
    <row r="1152" spans="1:5">
      <c r="A1152" s="453">
        <v>493251760</v>
      </c>
      <c r="B1152" s="453">
        <v>684217843.11303997</v>
      </c>
      <c r="D1152" s="453" t="s">
        <v>6723</v>
      </c>
      <c r="E1152" s="453" t="s">
        <v>6724</v>
      </c>
    </row>
    <row r="1153" spans="1:5">
      <c r="A1153" s="453">
        <v>493269709</v>
      </c>
      <c r="B1153" s="453">
        <v>684235792.11323404</v>
      </c>
      <c r="D1153" s="453" t="s">
        <v>6725</v>
      </c>
      <c r="E1153" s="453" t="s">
        <v>6726</v>
      </c>
    </row>
    <row r="1154" spans="1:5">
      <c r="A1154" s="453">
        <v>493420925</v>
      </c>
      <c r="B1154" s="453">
        <v>684387008.11495697</v>
      </c>
      <c r="D1154" s="453" t="s">
        <v>6727</v>
      </c>
      <c r="E1154" s="453" t="s">
        <v>6728</v>
      </c>
    </row>
    <row r="1155" spans="1:5">
      <c r="A1155" s="453">
        <v>493474892</v>
      </c>
      <c r="B1155" s="453">
        <v>684440975.11556697</v>
      </c>
      <c r="D1155" s="453" t="s">
        <v>6729</v>
      </c>
      <c r="E1155" s="453" t="s">
        <v>6730</v>
      </c>
    </row>
    <row r="1156" spans="1:5">
      <c r="A1156" s="453">
        <v>493593695</v>
      </c>
      <c r="B1156" s="453">
        <v>684559778.11692297</v>
      </c>
      <c r="D1156" s="453" t="s">
        <v>6731</v>
      </c>
      <c r="E1156" s="453" t="s">
        <v>6732</v>
      </c>
    </row>
    <row r="1157" spans="1:5">
      <c r="A1157" s="453">
        <v>493683700</v>
      </c>
      <c r="B1157" s="453">
        <v>684649783.11795199</v>
      </c>
      <c r="D1157" s="453" t="s">
        <v>6733</v>
      </c>
      <c r="E1157" s="453" t="s">
        <v>6734</v>
      </c>
    </row>
    <row r="1158" spans="1:5">
      <c r="A1158" s="453">
        <v>493771733</v>
      </c>
      <c r="B1158" s="453">
        <v>684737816.11890304</v>
      </c>
      <c r="D1158" s="453" t="s">
        <v>6735</v>
      </c>
      <c r="E1158" s="453" t="s">
        <v>6736</v>
      </c>
    </row>
    <row r="1159" spans="1:5">
      <c r="A1159" s="453">
        <v>493856482</v>
      </c>
      <c r="B1159" s="453">
        <v>684822565.11990201</v>
      </c>
      <c r="D1159" s="453" t="s">
        <v>6737</v>
      </c>
      <c r="E1159" s="453" t="s">
        <v>6738</v>
      </c>
    </row>
    <row r="1160" spans="1:5">
      <c r="A1160" s="453">
        <v>493939252</v>
      </c>
      <c r="B1160" s="453">
        <v>684905335.12084305</v>
      </c>
      <c r="D1160" s="453" t="s">
        <v>6739</v>
      </c>
      <c r="E1160" s="453" t="s">
        <v>6740</v>
      </c>
    </row>
    <row r="1161" spans="1:5">
      <c r="A1161" s="453">
        <v>494025656</v>
      </c>
      <c r="B1161" s="453">
        <v>684991739.121822</v>
      </c>
      <c r="D1161" s="453" t="s">
        <v>6741</v>
      </c>
      <c r="E1161" s="453" t="s">
        <v>6742</v>
      </c>
    </row>
    <row r="1162" spans="1:5">
      <c r="A1162" s="453">
        <v>494083231</v>
      </c>
      <c r="B1162" s="453">
        <v>685049314.122473</v>
      </c>
      <c r="D1162" s="453" t="s">
        <v>6743</v>
      </c>
      <c r="E1162" s="453" t="s">
        <v>6744</v>
      </c>
    </row>
    <row r="1163" spans="1:5">
      <c r="A1163" s="453">
        <v>494137199</v>
      </c>
      <c r="B1163" s="453">
        <v>685103282.12307596</v>
      </c>
      <c r="D1163" s="453" t="s">
        <v>6745</v>
      </c>
      <c r="E1163" s="453" t="s">
        <v>6746</v>
      </c>
    </row>
    <row r="1164" spans="1:5">
      <c r="A1164" s="453">
        <v>494281204</v>
      </c>
      <c r="B1164" s="453">
        <v>685247287.12471604</v>
      </c>
      <c r="D1164" s="453" t="s">
        <v>6747</v>
      </c>
      <c r="E1164" s="453" t="s">
        <v>6748</v>
      </c>
    </row>
    <row r="1165" spans="1:5">
      <c r="A1165" s="453">
        <v>494371197</v>
      </c>
      <c r="B1165" s="453">
        <v>685337280.12573504</v>
      </c>
      <c r="D1165" s="453" t="s">
        <v>6749</v>
      </c>
      <c r="E1165" s="453" t="s">
        <v>6750</v>
      </c>
    </row>
    <row r="1166" spans="1:5">
      <c r="A1166" s="453">
        <v>494457589</v>
      </c>
      <c r="B1166" s="453">
        <v>685423672.12671399</v>
      </c>
      <c r="D1166" s="453" t="s">
        <v>6751</v>
      </c>
      <c r="E1166" s="453" t="s">
        <v>6752</v>
      </c>
    </row>
    <row r="1167" spans="1:5">
      <c r="A1167" s="453">
        <v>494504347</v>
      </c>
      <c r="B1167" s="453">
        <v>685470430.127249</v>
      </c>
      <c r="D1167" s="453" t="s">
        <v>6753</v>
      </c>
      <c r="E1167" s="453" t="s">
        <v>6754</v>
      </c>
    </row>
    <row r="1168" spans="1:5">
      <c r="A1168" s="453">
        <v>494893173</v>
      </c>
      <c r="B1168" s="453">
        <v>685859256.13159895</v>
      </c>
      <c r="D1168" s="453" t="s">
        <v>6755</v>
      </c>
      <c r="E1168" s="453" t="s">
        <v>6756</v>
      </c>
    </row>
    <row r="1169" spans="1:5">
      <c r="A1169" s="453">
        <v>494914981</v>
      </c>
      <c r="B1169" s="453">
        <v>685881064.13187099</v>
      </c>
      <c r="D1169" s="453" t="s">
        <v>6757</v>
      </c>
      <c r="E1169" s="453" t="s">
        <v>6758</v>
      </c>
    </row>
    <row r="1170" spans="1:5">
      <c r="A1170" s="453">
        <v>495375433</v>
      </c>
      <c r="B1170" s="453">
        <v>686341516.13706303</v>
      </c>
      <c r="D1170" s="453" t="s">
        <v>6759</v>
      </c>
      <c r="E1170" s="453" t="s">
        <v>6760</v>
      </c>
    </row>
    <row r="1171" spans="1:5">
      <c r="A1171" s="453">
        <v>495490639</v>
      </c>
      <c r="B1171" s="453">
        <v>686456722.138345</v>
      </c>
      <c r="D1171" s="453" t="s">
        <v>6761</v>
      </c>
      <c r="E1171" s="453" t="s">
        <v>6762</v>
      </c>
    </row>
    <row r="1172" spans="1:5">
      <c r="A1172" s="453">
        <v>495584219</v>
      </c>
      <c r="B1172" s="453">
        <v>686550302.139377</v>
      </c>
      <c r="D1172" s="453" t="s">
        <v>6763</v>
      </c>
      <c r="E1172" s="453" t="s">
        <v>6764</v>
      </c>
    </row>
    <row r="1173" spans="1:5">
      <c r="A1173" s="453">
        <v>495605818</v>
      </c>
      <c r="B1173" s="453">
        <v>686571901.13962996</v>
      </c>
      <c r="D1173" s="453" t="s">
        <v>6765</v>
      </c>
      <c r="E1173" s="453" t="s">
        <v>6766</v>
      </c>
    </row>
    <row r="1174" spans="1:5">
      <c r="A1174" s="453">
        <v>495756994</v>
      </c>
      <c r="B1174" s="453">
        <v>686723077.14129806</v>
      </c>
      <c r="D1174" s="453" t="s">
        <v>6767</v>
      </c>
      <c r="E1174" s="453" t="s">
        <v>6768</v>
      </c>
    </row>
    <row r="1175" spans="1:5">
      <c r="A1175" s="453">
        <v>495836252</v>
      </c>
      <c r="B1175" s="453">
        <v>686802335.14221096</v>
      </c>
      <c r="D1175" s="453" t="s">
        <v>6769</v>
      </c>
      <c r="E1175" s="453" t="s">
        <v>6770</v>
      </c>
    </row>
    <row r="1176" spans="1:5">
      <c r="A1176" s="453">
        <v>495886547</v>
      </c>
      <c r="B1176" s="453">
        <v>686852630.14277899</v>
      </c>
      <c r="D1176" s="453" t="s">
        <v>6771</v>
      </c>
      <c r="E1176" s="453" t="s">
        <v>6772</v>
      </c>
    </row>
    <row r="1177" spans="1:5">
      <c r="A1177" s="453">
        <v>495976548</v>
      </c>
      <c r="B1177" s="453">
        <v>686942631.14378202</v>
      </c>
      <c r="D1177" s="453" t="s">
        <v>6773</v>
      </c>
      <c r="E1177" s="453" t="s">
        <v>6774</v>
      </c>
    </row>
    <row r="1178" spans="1:5">
      <c r="A1178" s="453">
        <v>496095364</v>
      </c>
      <c r="B1178" s="453">
        <v>687061447.145105</v>
      </c>
      <c r="D1178" s="453" t="s">
        <v>6775</v>
      </c>
      <c r="E1178" s="453" t="s">
        <v>6776</v>
      </c>
    </row>
    <row r="1179" spans="1:5">
      <c r="A1179" s="453">
        <v>496275313</v>
      </c>
      <c r="B1179" s="453">
        <v>687241396.14708805</v>
      </c>
      <c r="D1179" s="453" t="s">
        <v>6777</v>
      </c>
      <c r="E1179" s="453" t="s">
        <v>6778</v>
      </c>
    </row>
    <row r="1180" spans="1:5">
      <c r="A1180" s="453">
        <v>496350906</v>
      </c>
      <c r="B1180" s="453">
        <v>687316989.14795494</v>
      </c>
      <c r="D1180" s="453" t="s">
        <v>6779</v>
      </c>
      <c r="E1180" s="453" t="s">
        <v>6780</v>
      </c>
    </row>
    <row r="1181" spans="1:5">
      <c r="A1181" s="453">
        <v>496440909</v>
      </c>
      <c r="B1181" s="453">
        <v>687406992.14895904</v>
      </c>
      <c r="D1181" s="453" t="s">
        <v>6781</v>
      </c>
      <c r="E1181" s="453" t="s">
        <v>6782</v>
      </c>
    </row>
    <row r="1182" spans="1:5">
      <c r="A1182" s="453">
        <v>496498501</v>
      </c>
      <c r="B1182" s="453">
        <v>687464584.14960802</v>
      </c>
      <c r="D1182" s="453" t="s">
        <v>6783</v>
      </c>
      <c r="E1182" s="453" t="s">
        <v>6784</v>
      </c>
    </row>
    <row r="1183" spans="1:5">
      <c r="A1183" s="453">
        <v>496620865</v>
      </c>
      <c r="B1183" s="453">
        <v>687586948.15093303</v>
      </c>
      <c r="D1183" s="453" t="s">
        <v>6785</v>
      </c>
      <c r="E1183" s="453" t="s">
        <v>6786</v>
      </c>
    </row>
    <row r="1184" spans="1:5">
      <c r="A1184" s="453">
        <v>496635248</v>
      </c>
      <c r="B1184" s="453">
        <v>687601331.15110898</v>
      </c>
      <c r="D1184" s="453" t="s">
        <v>6787</v>
      </c>
      <c r="E1184" s="453" t="s">
        <v>6788</v>
      </c>
    </row>
    <row r="1185" spans="1:5">
      <c r="A1185" s="453">
        <v>496793635</v>
      </c>
      <c r="B1185" s="453">
        <v>687759718.15285099</v>
      </c>
      <c r="D1185" s="453" t="s">
        <v>6789</v>
      </c>
      <c r="E1185" s="453" t="s">
        <v>6790</v>
      </c>
    </row>
    <row r="1186" spans="1:5">
      <c r="A1186" s="453">
        <v>496811641</v>
      </c>
      <c r="B1186" s="453">
        <v>687777724.15307403</v>
      </c>
      <c r="D1186" s="453" t="s">
        <v>6791</v>
      </c>
      <c r="E1186" s="453" t="s">
        <v>6792</v>
      </c>
    </row>
    <row r="1187" spans="1:5">
      <c r="A1187" s="453">
        <v>496952014</v>
      </c>
      <c r="B1187" s="453">
        <v>687918097.15463102</v>
      </c>
      <c r="D1187" s="453" t="s">
        <v>6793</v>
      </c>
      <c r="E1187" s="453" t="s">
        <v>6794</v>
      </c>
    </row>
    <row r="1188" spans="1:5">
      <c r="A1188" s="453">
        <v>497013203</v>
      </c>
      <c r="B1188" s="453">
        <v>687979286.15531397</v>
      </c>
      <c r="D1188" s="453" t="s">
        <v>6795</v>
      </c>
      <c r="E1188" s="453" t="s">
        <v>6796</v>
      </c>
    </row>
    <row r="1189" spans="1:5">
      <c r="A1189" s="453">
        <v>497099598</v>
      </c>
      <c r="B1189" s="453">
        <v>688065681.15628004</v>
      </c>
      <c r="D1189" s="453" t="s">
        <v>6797</v>
      </c>
      <c r="E1189" s="453" t="s">
        <v>6798</v>
      </c>
    </row>
    <row r="1190" spans="1:5">
      <c r="A1190" s="453">
        <v>497225572</v>
      </c>
      <c r="B1190" s="453">
        <v>688191655.15763998</v>
      </c>
      <c r="D1190" s="453" t="s">
        <v>6799</v>
      </c>
      <c r="E1190" s="453" t="s">
        <v>6800</v>
      </c>
    </row>
    <row r="1191" spans="1:5">
      <c r="A1191" s="453">
        <v>497301183</v>
      </c>
      <c r="B1191" s="453">
        <v>688267266.15850401</v>
      </c>
      <c r="D1191" s="453" t="s">
        <v>6801</v>
      </c>
      <c r="E1191" s="453" t="s">
        <v>6802</v>
      </c>
    </row>
    <row r="1192" spans="1:5">
      <c r="A1192" s="453">
        <v>497398347</v>
      </c>
      <c r="B1192" s="453">
        <v>688364430.159567</v>
      </c>
      <c r="D1192" s="453" t="s">
        <v>6803</v>
      </c>
      <c r="E1192" s="453" t="s">
        <v>6804</v>
      </c>
    </row>
    <row r="1193" spans="1:5">
      <c r="A1193" s="453">
        <v>497484735</v>
      </c>
      <c r="B1193" s="453">
        <v>688450818.16052902</v>
      </c>
      <c r="D1193" s="453" t="s">
        <v>6805</v>
      </c>
      <c r="E1193" s="453" t="s">
        <v>6806</v>
      </c>
    </row>
    <row r="1194" spans="1:5">
      <c r="A1194" s="453">
        <v>497560350</v>
      </c>
      <c r="B1194" s="453">
        <v>688526433.16138196</v>
      </c>
      <c r="D1194" s="453" t="s">
        <v>6807</v>
      </c>
      <c r="E1194" s="453" t="s">
        <v>6808</v>
      </c>
    </row>
    <row r="1195" spans="1:5">
      <c r="A1195" s="453">
        <v>497657512</v>
      </c>
      <c r="B1195" s="453">
        <v>688623595.16243398</v>
      </c>
      <c r="D1195" s="453" t="s">
        <v>6809</v>
      </c>
      <c r="E1195" s="453" t="s">
        <v>6810</v>
      </c>
    </row>
    <row r="1196" spans="1:5">
      <c r="A1196" s="453">
        <v>497725994</v>
      </c>
      <c r="B1196" s="453">
        <v>688692077.16323102</v>
      </c>
      <c r="D1196" s="453" t="s">
        <v>6811</v>
      </c>
      <c r="E1196" s="453" t="s">
        <v>6812</v>
      </c>
    </row>
    <row r="1197" spans="1:5">
      <c r="A1197" s="453">
        <v>497787083</v>
      </c>
      <c r="B1197" s="453">
        <v>688753166.16389501</v>
      </c>
      <c r="D1197" s="453" t="s">
        <v>6813</v>
      </c>
      <c r="E1197" s="453" t="s">
        <v>6814</v>
      </c>
    </row>
    <row r="1198" spans="1:5">
      <c r="A1198" s="453">
        <v>497916677</v>
      </c>
      <c r="B1198" s="453">
        <v>688882760.16530299</v>
      </c>
      <c r="D1198" s="453" t="s">
        <v>6815</v>
      </c>
      <c r="E1198" s="453" t="s">
        <v>6816</v>
      </c>
    </row>
    <row r="1199" spans="1:5">
      <c r="A1199" s="453">
        <v>497931080</v>
      </c>
      <c r="B1199" s="453">
        <v>688897163.165465</v>
      </c>
      <c r="D1199" s="453" t="s">
        <v>6817</v>
      </c>
      <c r="E1199" s="453" t="s">
        <v>6818</v>
      </c>
    </row>
    <row r="1200" spans="1:5">
      <c r="A1200" s="453">
        <v>498075065</v>
      </c>
      <c r="B1200" s="453">
        <v>689041148.16705501</v>
      </c>
      <c r="D1200" s="453" t="s">
        <v>6819</v>
      </c>
      <c r="E1200" s="453" t="s">
        <v>6820</v>
      </c>
    </row>
    <row r="1201" spans="1:5">
      <c r="A1201" s="453">
        <v>498175840</v>
      </c>
      <c r="B1201" s="453">
        <v>689141923.16814697</v>
      </c>
      <c r="D1201" s="453" t="s">
        <v>6821</v>
      </c>
      <c r="E1201" s="453" t="s">
        <v>6822</v>
      </c>
    </row>
    <row r="1202" spans="1:5">
      <c r="A1202" s="453">
        <v>498190253</v>
      </c>
      <c r="B1202" s="453">
        <v>689156336.16833699</v>
      </c>
      <c r="D1202" s="453" t="s">
        <v>6823</v>
      </c>
      <c r="E1202" s="453" t="s">
        <v>6824</v>
      </c>
    </row>
    <row r="1203" spans="1:5">
      <c r="A1203" s="453">
        <v>498280198</v>
      </c>
      <c r="B1203" s="453">
        <v>689246281.169294</v>
      </c>
      <c r="D1203" s="453" t="s">
        <v>6825</v>
      </c>
      <c r="E1203" s="453" t="s">
        <v>6826</v>
      </c>
    </row>
    <row r="1204" spans="1:5">
      <c r="A1204" s="453">
        <v>498420621</v>
      </c>
      <c r="B1204" s="453">
        <v>689386704.17085302</v>
      </c>
      <c r="D1204" s="453" t="s">
        <v>6827</v>
      </c>
      <c r="E1204" s="453" t="s">
        <v>6828</v>
      </c>
    </row>
    <row r="1205" spans="1:5">
      <c r="A1205" s="453">
        <v>498607782</v>
      </c>
      <c r="B1205" s="453">
        <v>689573865.172894</v>
      </c>
      <c r="D1205" s="453" t="s">
        <v>6829</v>
      </c>
      <c r="E1205" s="453" t="s">
        <v>6830</v>
      </c>
    </row>
    <row r="1206" spans="1:5">
      <c r="A1206" s="453">
        <v>498694171</v>
      </c>
      <c r="B1206" s="453">
        <v>689660254.17385805</v>
      </c>
      <c r="D1206" s="453" t="s">
        <v>6831</v>
      </c>
      <c r="E1206" s="453" t="s">
        <v>6832</v>
      </c>
    </row>
    <row r="1207" spans="1:5">
      <c r="A1207" s="453">
        <v>498762574</v>
      </c>
      <c r="B1207" s="453">
        <v>689728657.17461801</v>
      </c>
      <c r="D1207" s="453" t="s">
        <v>6833</v>
      </c>
      <c r="E1207" s="453" t="s">
        <v>6834</v>
      </c>
    </row>
    <row r="1208" spans="1:5">
      <c r="A1208" s="453">
        <v>498820142</v>
      </c>
      <c r="B1208" s="453">
        <v>689786225.17525303</v>
      </c>
      <c r="D1208" s="453" t="s">
        <v>6835</v>
      </c>
      <c r="E1208" s="453" t="s">
        <v>6836</v>
      </c>
    </row>
    <row r="1209" spans="1:5">
      <c r="A1209" s="453">
        <v>498895724</v>
      </c>
      <c r="B1209" s="453">
        <v>689861807.17608094</v>
      </c>
      <c r="D1209" s="453" t="s">
        <v>6837</v>
      </c>
      <c r="E1209" s="453" t="s">
        <v>6838</v>
      </c>
    </row>
    <row r="1210" spans="1:5">
      <c r="A1210" s="453">
        <v>499126748</v>
      </c>
      <c r="B1210" s="453">
        <v>690092831.17856801</v>
      </c>
      <c r="D1210" s="453" t="s">
        <v>6839</v>
      </c>
      <c r="E1210" s="453" t="s">
        <v>6840</v>
      </c>
    </row>
    <row r="1211" spans="1:5">
      <c r="A1211" s="453">
        <v>499212505</v>
      </c>
      <c r="B1211" s="453">
        <v>690178588.17954195</v>
      </c>
      <c r="D1211" s="453" t="s">
        <v>6841</v>
      </c>
      <c r="E1211" s="453" t="s">
        <v>6842</v>
      </c>
    </row>
    <row r="1212" spans="1:5">
      <c r="A1212" s="453">
        <v>499223319</v>
      </c>
      <c r="B1212" s="453">
        <v>690189402.17967296</v>
      </c>
      <c r="D1212" s="453" t="s">
        <v>6843</v>
      </c>
      <c r="E1212" s="453" t="s">
        <v>6844</v>
      </c>
    </row>
    <row r="1213" spans="1:5">
      <c r="A1213" s="453">
        <v>499367315</v>
      </c>
      <c r="B1213" s="453">
        <v>690333398.18124604</v>
      </c>
      <c r="D1213" s="453" t="s">
        <v>6845</v>
      </c>
      <c r="E1213" s="453" t="s">
        <v>6846</v>
      </c>
    </row>
    <row r="1214" spans="1:5">
      <c r="A1214" s="453">
        <v>499471669</v>
      </c>
      <c r="B1214" s="453">
        <v>690437752.18236601</v>
      </c>
      <c r="D1214" s="453" t="s">
        <v>6847</v>
      </c>
      <c r="E1214" s="453" t="s">
        <v>6848</v>
      </c>
    </row>
    <row r="1215" spans="1:5">
      <c r="A1215" s="453">
        <v>499496849</v>
      </c>
      <c r="B1215" s="453">
        <v>690462932.18265295</v>
      </c>
      <c r="D1215" s="453" t="s">
        <v>6849</v>
      </c>
      <c r="E1215" s="453" t="s">
        <v>6850</v>
      </c>
    </row>
    <row r="1216" spans="1:5">
      <c r="A1216" s="453">
        <v>499730840</v>
      </c>
      <c r="B1216" s="453">
        <v>690696923.18520701</v>
      </c>
      <c r="D1216" s="453" t="s">
        <v>6851</v>
      </c>
      <c r="E1216" s="453" t="s">
        <v>6852</v>
      </c>
    </row>
    <row r="1217" spans="1:5">
      <c r="A1217" s="453">
        <v>499795641</v>
      </c>
      <c r="B1217" s="453">
        <v>690761724.18591702</v>
      </c>
      <c r="D1217" s="453" t="s">
        <v>6853</v>
      </c>
      <c r="E1217" s="453" t="s">
        <v>6854</v>
      </c>
    </row>
    <row r="1218" spans="1:5">
      <c r="A1218" s="453">
        <v>499903619</v>
      </c>
      <c r="B1218" s="453">
        <v>690869702.18710101</v>
      </c>
      <c r="D1218" s="453" t="s">
        <v>6855</v>
      </c>
      <c r="E1218" s="453" t="s">
        <v>6856</v>
      </c>
    </row>
    <row r="1219" spans="1:5">
      <c r="A1219" s="453">
        <v>499964804</v>
      </c>
      <c r="B1219" s="453">
        <v>690930887.18777394</v>
      </c>
      <c r="D1219" s="453" t="s">
        <v>6857</v>
      </c>
      <c r="E1219" s="453" t="s">
        <v>6858</v>
      </c>
    </row>
    <row r="1220" spans="1:5">
      <c r="A1220" s="453">
        <v>500026007</v>
      </c>
      <c r="B1220" s="453">
        <v>690992090.18845105</v>
      </c>
      <c r="D1220" s="453" t="s">
        <v>6859</v>
      </c>
      <c r="E1220" s="453" t="s">
        <v>6860</v>
      </c>
    </row>
    <row r="1221" spans="1:5">
      <c r="A1221" s="453">
        <v>500162787</v>
      </c>
      <c r="B1221" s="453">
        <v>691128870.18991899</v>
      </c>
      <c r="D1221" s="453" t="s">
        <v>6861</v>
      </c>
      <c r="E1221" s="453" t="s">
        <v>6862</v>
      </c>
    </row>
    <row r="1222" spans="1:5">
      <c r="A1222" s="453">
        <v>500173597</v>
      </c>
      <c r="B1222" s="453">
        <v>691139680.19004798</v>
      </c>
      <c r="D1222" s="453" t="s">
        <v>6863</v>
      </c>
      <c r="E1222" s="453" t="s">
        <v>6864</v>
      </c>
    </row>
    <row r="1223" spans="1:5">
      <c r="A1223" s="453">
        <v>500403986</v>
      </c>
      <c r="B1223" s="453">
        <v>691370069.19256699</v>
      </c>
      <c r="D1223" s="453" t="s">
        <v>6865</v>
      </c>
      <c r="E1223" s="453" t="s">
        <v>6866</v>
      </c>
    </row>
    <row r="1224" spans="1:5">
      <c r="A1224" s="453">
        <v>500573158</v>
      </c>
      <c r="B1224" s="453">
        <v>691539241.19440198</v>
      </c>
      <c r="D1224" s="453" t="s">
        <v>6867</v>
      </c>
      <c r="E1224" s="453" t="s">
        <v>6868</v>
      </c>
    </row>
    <row r="1225" spans="1:5">
      <c r="A1225" s="453">
        <v>500767527</v>
      </c>
      <c r="B1225" s="453">
        <v>691733610.19651794</v>
      </c>
      <c r="D1225" s="453" t="s">
        <v>6869</v>
      </c>
      <c r="E1225" s="453" t="s">
        <v>6870</v>
      </c>
    </row>
    <row r="1226" spans="1:5">
      <c r="A1226" s="453">
        <v>500853916</v>
      </c>
      <c r="B1226" s="453">
        <v>691819999.19745505</v>
      </c>
      <c r="D1226" s="453" t="s">
        <v>6871</v>
      </c>
      <c r="E1226" s="453" t="s">
        <v>6872</v>
      </c>
    </row>
    <row r="1227" spans="1:5">
      <c r="A1227" s="453">
        <v>500915119</v>
      </c>
      <c r="B1227" s="453">
        <v>691881202.19811296</v>
      </c>
      <c r="D1227" s="453" t="s">
        <v>6873</v>
      </c>
      <c r="E1227" s="453" t="s">
        <v>6874</v>
      </c>
    </row>
    <row r="1228" spans="1:5">
      <c r="A1228" s="453">
        <v>501005110</v>
      </c>
      <c r="B1228" s="453">
        <v>691971193.19910598</v>
      </c>
      <c r="D1228" s="453" t="s">
        <v>6875</v>
      </c>
      <c r="E1228" s="453" t="s">
        <v>6876</v>
      </c>
    </row>
    <row r="1229" spans="1:5">
      <c r="A1229" s="453">
        <v>501087897</v>
      </c>
      <c r="B1229" s="453">
        <v>692053980.20000196</v>
      </c>
      <c r="D1229" s="453" t="s">
        <v>6877</v>
      </c>
      <c r="E1229" s="453" t="s">
        <v>6878</v>
      </c>
    </row>
    <row r="1230" spans="1:5">
      <c r="A1230" s="453">
        <v>501285879</v>
      </c>
      <c r="B1230" s="453">
        <v>692251962.20215094</v>
      </c>
      <c r="D1230" s="453" t="s">
        <v>6879</v>
      </c>
      <c r="E1230" s="453" t="s">
        <v>6880</v>
      </c>
    </row>
    <row r="1231" spans="1:5">
      <c r="A1231" s="453">
        <v>501293086</v>
      </c>
      <c r="B1231" s="453">
        <v>692259169.20223796</v>
      </c>
      <c r="D1231" s="453" t="s">
        <v>6881</v>
      </c>
      <c r="E1231" s="453" t="s">
        <v>6882</v>
      </c>
    </row>
    <row r="1232" spans="1:5">
      <c r="A1232" s="453">
        <v>501437079</v>
      </c>
      <c r="B1232" s="453">
        <v>692403162.20378494</v>
      </c>
      <c r="D1232" s="453" t="s">
        <v>6883</v>
      </c>
      <c r="E1232" s="453" t="s">
        <v>6884</v>
      </c>
    </row>
    <row r="1233" spans="1:5">
      <c r="A1233" s="453">
        <v>501545054</v>
      </c>
      <c r="B1233" s="453">
        <v>692511137.20495296</v>
      </c>
      <c r="D1233" s="453" t="s">
        <v>6885</v>
      </c>
      <c r="E1233" s="453" t="s">
        <v>6886</v>
      </c>
    </row>
    <row r="1234" spans="1:5">
      <c r="A1234" s="453">
        <v>501631450</v>
      </c>
      <c r="B1234" s="453">
        <v>692597533.20589697</v>
      </c>
      <c r="D1234" s="453" t="s">
        <v>6887</v>
      </c>
      <c r="E1234" s="453" t="s">
        <v>6888</v>
      </c>
    </row>
    <row r="1235" spans="1:5">
      <c r="A1235" s="453">
        <v>501635052</v>
      </c>
      <c r="B1235" s="453">
        <v>692601135.20594203</v>
      </c>
      <c r="D1235" s="453" t="s">
        <v>6889</v>
      </c>
      <c r="E1235" s="453" t="s">
        <v>6890</v>
      </c>
    </row>
    <row r="1236" spans="1:5">
      <c r="A1236" s="453">
        <v>501782652</v>
      </c>
      <c r="B1236" s="453">
        <v>692748735.20753801</v>
      </c>
      <c r="D1236" s="453" t="s">
        <v>6891</v>
      </c>
      <c r="E1236" s="453" t="s">
        <v>6892</v>
      </c>
    </row>
    <row r="1237" spans="1:5">
      <c r="A1237" s="453">
        <v>502038233</v>
      </c>
      <c r="B1237" s="453">
        <v>693004316.21031106</v>
      </c>
      <c r="D1237" s="453" t="s">
        <v>6893</v>
      </c>
      <c r="E1237" s="453" t="s">
        <v>6894</v>
      </c>
    </row>
    <row r="1238" spans="1:5">
      <c r="A1238" s="453">
        <v>502095806</v>
      </c>
      <c r="B1238" s="453">
        <v>693061889.210953</v>
      </c>
      <c r="D1238" s="453" t="s">
        <v>6895</v>
      </c>
      <c r="E1238" s="453" t="s">
        <v>6896</v>
      </c>
    </row>
    <row r="1239" spans="1:5">
      <c r="A1239" s="453">
        <v>502211013</v>
      </c>
      <c r="B1239" s="453">
        <v>693177096.21217895</v>
      </c>
      <c r="D1239" s="453" t="s">
        <v>6897</v>
      </c>
      <c r="E1239" s="453" t="s">
        <v>6898</v>
      </c>
    </row>
    <row r="1240" spans="1:5">
      <c r="A1240" s="453">
        <v>502383809</v>
      </c>
      <c r="B1240" s="453">
        <v>693349892.21406996</v>
      </c>
      <c r="D1240" s="453" t="s">
        <v>6899</v>
      </c>
      <c r="E1240" s="453" t="s">
        <v>6900</v>
      </c>
    </row>
    <row r="1241" spans="1:5">
      <c r="A1241" s="453">
        <v>502495376</v>
      </c>
      <c r="B1241" s="453">
        <v>693461459.21527398</v>
      </c>
      <c r="D1241" s="453" t="s">
        <v>6901</v>
      </c>
      <c r="E1241" s="453" t="s">
        <v>6902</v>
      </c>
    </row>
    <row r="1242" spans="1:5">
      <c r="A1242" s="453">
        <v>502498981</v>
      </c>
      <c r="B1242" s="453">
        <v>693465064.215307</v>
      </c>
      <c r="D1242" s="453" t="s">
        <v>6903</v>
      </c>
      <c r="E1242" s="453" t="s">
        <v>6904</v>
      </c>
    </row>
    <row r="1243" spans="1:5">
      <c r="A1243" s="453">
        <v>502754553</v>
      </c>
      <c r="B1243" s="453">
        <v>693720636.21804297</v>
      </c>
      <c r="D1243" s="453" t="s">
        <v>6905</v>
      </c>
      <c r="E1243" s="453" t="s">
        <v>6906</v>
      </c>
    </row>
    <row r="1244" spans="1:5">
      <c r="A1244" s="453">
        <v>502776125</v>
      </c>
      <c r="B1244" s="453">
        <v>693742208.21830499</v>
      </c>
      <c r="D1244" s="453" t="s">
        <v>6907</v>
      </c>
      <c r="E1244" s="453" t="s">
        <v>6908</v>
      </c>
    </row>
    <row r="1245" spans="1:5">
      <c r="A1245" s="453">
        <v>502927482</v>
      </c>
      <c r="B1245" s="453">
        <v>693893565.21995294</v>
      </c>
      <c r="D1245" s="453" t="s">
        <v>6909</v>
      </c>
      <c r="E1245" s="453" t="s">
        <v>6910</v>
      </c>
    </row>
    <row r="1246" spans="1:5">
      <c r="A1246" s="453">
        <v>502988564</v>
      </c>
      <c r="B1246" s="453">
        <v>693954647.22062099</v>
      </c>
      <c r="D1246" s="453" t="s">
        <v>6911</v>
      </c>
      <c r="E1246" s="453" t="s">
        <v>6912</v>
      </c>
    </row>
    <row r="1247" spans="1:5">
      <c r="A1247" s="453">
        <v>503074957</v>
      </c>
      <c r="B1247" s="453">
        <v>694041040.22155905</v>
      </c>
      <c r="D1247" s="453" t="s">
        <v>6913</v>
      </c>
      <c r="E1247" s="453" t="s">
        <v>6914</v>
      </c>
    </row>
    <row r="1248" spans="1:5">
      <c r="A1248" s="453">
        <v>503330522</v>
      </c>
      <c r="B1248" s="453">
        <v>694296605.22431302</v>
      </c>
      <c r="D1248" s="453" t="s">
        <v>6915</v>
      </c>
      <c r="E1248" s="453" t="s">
        <v>6916</v>
      </c>
    </row>
    <row r="1249" spans="1:5">
      <c r="A1249" s="453">
        <v>503445701</v>
      </c>
      <c r="B1249" s="453">
        <v>694411784.22553396</v>
      </c>
      <c r="D1249" s="453" t="s">
        <v>6917</v>
      </c>
      <c r="E1249" s="453" t="s">
        <v>6918</v>
      </c>
    </row>
    <row r="1250" spans="1:5">
      <c r="A1250" s="453">
        <v>503503312</v>
      </c>
      <c r="B1250" s="453">
        <v>694469395.22618997</v>
      </c>
      <c r="D1250" s="453" t="s">
        <v>6919</v>
      </c>
      <c r="E1250" s="453" t="s">
        <v>6920</v>
      </c>
    </row>
    <row r="1251" spans="1:5">
      <c r="A1251" s="453">
        <v>503647303</v>
      </c>
      <c r="B1251" s="453">
        <v>694613386.22776198</v>
      </c>
      <c r="D1251" s="453" t="s">
        <v>6921</v>
      </c>
      <c r="E1251" s="453" t="s">
        <v>6922</v>
      </c>
    </row>
    <row r="1252" spans="1:5">
      <c r="A1252" s="453">
        <v>503791288</v>
      </c>
      <c r="B1252" s="453">
        <v>694757371.22928703</v>
      </c>
      <c r="D1252" s="453" t="s">
        <v>6923</v>
      </c>
      <c r="E1252" s="453" t="s">
        <v>6924</v>
      </c>
    </row>
    <row r="1253" spans="1:5">
      <c r="A1253" s="453">
        <v>503935313</v>
      </c>
      <c r="B1253" s="453">
        <v>694901396.23088002</v>
      </c>
      <c r="D1253" s="453" t="s">
        <v>6925</v>
      </c>
      <c r="E1253" s="453" t="s">
        <v>6926</v>
      </c>
    </row>
    <row r="1254" spans="1:5">
      <c r="A1254" s="453">
        <v>504021706</v>
      </c>
      <c r="B1254" s="453">
        <v>694987789.23179901</v>
      </c>
      <c r="D1254" s="453" t="s">
        <v>6927</v>
      </c>
      <c r="E1254" s="453" t="s">
        <v>6928</v>
      </c>
    </row>
    <row r="1255" spans="1:5">
      <c r="A1255" s="453">
        <v>504072062</v>
      </c>
      <c r="B1255" s="453">
        <v>695038145.23233402</v>
      </c>
      <c r="D1255" s="453" t="s">
        <v>6929</v>
      </c>
      <c r="E1255" s="453" t="s">
        <v>6930</v>
      </c>
    </row>
    <row r="1256" spans="1:5">
      <c r="A1256" s="453">
        <v>504306067</v>
      </c>
      <c r="B1256" s="453">
        <v>695272150.234815</v>
      </c>
      <c r="D1256" s="453" t="s">
        <v>6931</v>
      </c>
      <c r="E1256" s="453" t="s">
        <v>6932</v>
      </c>
    </row>
    <row r="1257" spans="1:5">
      <c r="A1257" s="453">
        <v>504482458</v>
      </c>
      <c r="B1257" s="453">
        <v>695448541.23672605</v>
      </c>
      <c r="D1257" s="453" t="s">
        <v>6933</v>
      </c>
      <c r="E1257" s="453" t="s">
        <v>6934</v>
      </c>
    </row>
    <row r="1258" spans="1:5">
      <c r="A1258" s="453">
        <v>504568854</v>
      </c>
      <c r="B1258" s="453">
        <v>695534937.23765194</v>
      </c>
      <c r="D1258" s="453" t="s">
        <v>6935</v>
      </c>
      <c r="E1258" s="453" t="s">
        <v>6936</v>
      </c>
    </row>
    <row r="1259" spans="1:5">
      <c r="A1259" s="453">
        <v>504655251</v>
      </c>
      <c r="B1259" s="453">
        <v>695621334.238585</v>
      </c>
      <c r="D1259" s="453" t="s">
        <v>6937</v>
      </c>
      <c r="E1259" s="453" t="s">
        <v>6938</v>
      </c>
    </row>
    <row r="1260" spans="1:5">
      <c r="A1260" s="453">
        <v>504676852</v>
      </c>
      <c r="B1260" s="453">
        <v>695642935.23886597</v>
      </c>
      <c r="D1260" s="453" t="s">
        <v>6939</v>
      </c>
      <c r="E1260" s="453" t="s">
        <v>6940</v>
      </c>
    </row>
    <row r="1261" spans="1:5">
      <c r="A1261" s="453">
        <v>505083643</v>
      </c>
      <c r="B1261" s="453">
        <v>696049726.24320996</v>
      </c>
      <c r="D1261" s="453" t="s">
        <v>6941</v>
      </c>
      <c r="E1261" s="453" t="s">
        <v>6942</v>
      </c>
    </row>
    <row r="1262" spans="1:5">
      <c r="A1262" s="453">
        <v>505173638</v>
      </c>
      <c r="B1262" s="453">
        <v>696139721.24417806</v>
      </c>
      <c r="D1262" s="453" t="s">
        <v>6943</v>
      </c>
      <c r="E1262" s="453" t="s">
        <v>6944</v>
      </c>
    </row>
    <row r="1263" spans="1:5">
      <c r="A1263" s="453">
        <v>505198861</v>
      </c>
      <c r="B1263" s="453">
        <v>696164944.24448705</v>
      </c>
      <c r="D1263" s="453" t="s">
        <v>6945</v>
      </c>
      <c r="E1263" s="453" t="s">
        <v>6946</v>
      </c>
    </row>
    <row r="1264" spans="1:5">
      <c r="A1264" s="453">
        <v>505281626</v>
      </c>
      <c r="B1264" s="453">
        <v>696247709.24538398</v>
      </c>
      <c r="D1264" s="453" t="s">
        <v>6947</v>
      </c>
      <c r="E1264" s="453" t="s">
        <v>6948</v>
      </c>
    </row>
    <row r="1265" spans="1:5">
      <c r="A1265" s="453">
        <v>505396837</v>
      </c>
      <c r="B1265" s="453">
        <v>696362920.24662304</v>
      </c>
      <c r="D1265" s="453" t="s">
        <v>6949</v>
      </c>
      <c r="E1265" s="453" t="s">
        <v>6950</v>
      </c>
    </row>
    <row r="1266" spans="1:5">
      <c r="A1266" s="453">
        <v>505476028</v>
      </c>
      <c r="B1266" s="453">
        <v>696442111.24745905</v>
      </c>
      <c r="D1266" s="453" t="s">
        <v>6951</v>
      </c>
      <c r="E1266" s="453" t="s">
        <v>6952</v>
      </c>
    </row>
    <row r="1267" spans="1:5">
      <c r="A1267" s="453">
        <v>505627231</v>
      </c>
      <c r="B1267" s="453">
        <v>696593314.24911201</v>
      </c>
      <c r="D1267" s="453" t="s">
        <v>6953</v>
      </c>
      <c r="E1267" s="453" t="s">
        <v>6954</v>
      </c>
    </row>
    <row r="1268" spans="1:5">
      <c r="A1268" s="453">
        <v>505746066</v>
      </c>
      <c r="B1268" s="453">
        <v>696712149.25040305</v>
      </c>
      <c r="D1268" s="453" t="s">
        <v>6955</v>
      </c>
      <c r="E1268" s="453" t="s">
        <v>6956</v>
      </c>
    </row>
    <row r="1269" spans="1:5">
      <c r="A1269" s="453">
        <v>505828847</v>
      </c>
      <c r="B1269" s="453">
        <v>696794930.251284</v>
      </c>
      <c r="D1269" s="453" t="s">
        <v>6957</v>
      </c>
      <c r="E1269" s="453" t="s">
        <v>6958</v>
      </c>
    </row>
    <row r="1270" spans="1:5">
      <c r="A1270" s="453">
        <v>505915261</v>
      </c>
      <c r="B1270" s="453">
        <v>696881344.25221598</v>
      </c>
      <c r="D1270" s="453" t="s">
        <v>6959</v>
      </c>
      <c r="E1270" s="453" t="s">
        <v>6960</v>
      </c>
    </row>
    <row r="1271" spans="1:5">
      <c r="A1271" s="453">
        <v>506037627</v>
      </c>
      <c r="B1271" s="453">
        <v>697003710.25352502</v>
      </c>
      <c r="D1271" s="453" t="s">
        <v>6961</v>
      </c>
      <c r="E1271" s="453" t="s">
        <v>6962</v>
      </c>
    </row>
    <row r="1272" spans="1:5">
      <c r="A1272" s="453">
        <v>506048411</v>
      </c>
      <c r="B1272" s="453">
        <v>697014494.25366199</v>
      </c>
      <c r="D1272" s="453" t="s">
        <v>6963</v>
      </c>
      <c r="E1272" s="453" t="s">
        <v>6964</v>
      </c>
    </row>
    <row r="1273" spans="1:5">
      <c r="A1273" s="453">
        <v>506296832</v>
      </c>
      <c r="B1273" s="453">
        <v>697262915.25633502</v>
      </c>
      <c r="D1273" s="453" t="s">
        <v>6965</v>
      </c>
      <c r="E1273" s="453" t="s">
        <v>6966</v>
      </c>
    </row>
    <row r="1274" spans="1:5">
      <c r="A1274" s="453">
        <v>506376050</v>
      </c>
      <c r="B1274" s="453">
        <v>697342133.257218</v>
      </c>
      <c r="D1274" s="453" t="s">
        <v>6967</v>
      </c>
      <c r="E1274" s="453" t="s">
        <v>6968</v>
      </c>
    </row>
    <row r="1275" spans="1:5">
      <c r="A1275" s="453">
        <v>506469631</v>
      </c>
      <c r="B1275" s="453">
        <v>697435714.25819898</v>
      </c>
      <c r="D1275" s="453" t="s">
        <v>6969</v>
      </c>
      <c r="E1275" s="453" t="s">
        <v>6970</v>
      </c>
    </row>
    <row r="1276" spans="1:5">
      <c r="A1276" s="453">
        <v>506545236</v>
      </c>
      <c r="B1276" s="453">
        <v>697511319.25901198</v>
      </c>
      <c r="D1276" s="453" t="s">
        <v>6971</v>
      </c>
      <c r="E1276" s="453" t="s">
        <v>6972</v>
      </c>
    </row>
    <row r="1277" spans="1:5">
      <c r="A1277" s="453">
        <v>506635263</v>
      </c>
      <c r="B1277" s="453">
        <v>697601346.26002002</v>
      </c>
      <c r="D1277" s="453" t="s">
        <v>6973</v>
      </c>
      <c r="E1277" s="453" t="s">
        <v>6974</v>
      </c>
    </row>
    <row r="1278" spans="1:5">
      <c r="A1278" s="453">
        <v>506730029</v>
      </c>
      <c r="B1278" s="453">
        <v>697696112.26103306</v>
      </c>
      <c r="D1278" s="453" t="s">
        <v>6975</v>
      </c>
      <c r="E1278" s="453" t="s">
        <v>6976</v>
      </c>
    </row>
    <row r="1279" spans="1:5">
      <c r="A1279" s="453">
        <v>506739612</v>
      </c>
      <c r="B1279" s="453">
        <v>697705695.26114297</v>
      </c>
      <c r="D1279" s="453" t="s">
        <v>6977</v>
      </c>
      <c r="E1279" s="453" t="s">
        <v>6978</v>
      </c>
    </row>
    <row r="1280" spans="1:5">
      <c r="A1280" s="453">
        <v>506826048</v>
      </c>
      <c r="B1280" s="453">
        <v>697792131.26207995</v>
      </c>
      <c r="D1280" s="453" t="s">
        <v>6979</v>
      </c>
      <c r="E1280" s="453" t="s">
        <v>6980</v>
      </c>
    </row>
    <row r="1281" spans="1:5">
      <c r="A1281" s="453">
        <v>506988064</v>
      </c>
      <c r="B1281" s="453">
        <v>697954147.26383305</v>
      </c>
      <c r="D1281" s="453" t="s">
        <v>6981</v>
      </c>
      <c r="E1281" s="453" t="s">
        <v>6982</v>
      </c>
    </row>
    <row r="1282" spans="1:5">
      <c r="A1282" s="453">
        <v>507074433</v>
      </c>
      <c r="B1282" s="453">
        <v>698040516.26476097</v>
      </c>
      <c r="D1282" s="453" t="s">
        <v>6983</v>
      </c>
      <c r="E1282" s="453" t="s">
        <v>6984</v>
      </c>
    </row>
    <row r="1283" spans="1:5">
      <c r="A1283" s="453">
        <v>507135635</v>
      </c>
      <c r="B1283" s="453">
        <v>698101718.26542795</v>
      </c>
      <c r="D1283" s="453" t="s">
        <v>6985</v>
      </c>
      <c r="E1283" s="453" t="s">
        <v>6986</v>
      </c>
    </row>
    <row r="1284" spans="1:5">
      <c r="A1284" s="453">
        <v>507283234</v>
      </c>
      <c r="B1284" s="453">
        <v>698249317.26753998</v>
      </c>
      <c r="D1284" s="453" t="s">
        <v>6987</v>
      </c>
      <c r="E1284" s="453" t="s">
        <v>6988</v>
      </c>
    </row>
    <row r="1285" spans="1:5">
      <c r="A1285" s="453">
        <v>507420039</v>
      </c>
      <c r="B1285" s="453">
        <v>698386122.26902997</v>
      </c>
      <c r="D1285" s="453" t="s">
        <v>6989</v>
      </c>
      <c r="E1285" s="453" t="s">
        <v>6990</v>
      </c>
    </row>
    <row r="1286" spans="1:5">
      <c r="A1286" s="453">
        <v>507502842</v>
      </c>
      <c r="B1286" s="453">
        <v>698468925.26992202</v>
      </c>
      <c r="D1286" s="453" t="s">
        <v>6991</v>
      </c>
      <c r="E1286" s="453" t="s">
        <v>6992</v>
      </c>
    </row>
    <row r="1287" spans="1:5">
      <c r="A1287" s="453">
        <v>507592841</v>
      </c>
      <c r="B1287" s="453">
        <v>698558924.27091396</v>
      </c>
      <c r="D1287" s="453" t="s">
        <v>6993</v>
      </c>
      <c r="E1287" s="453" t="s">
        <v>6994</v>
      </c>
    </row>
    <row r="1288" spans="1:5">
      <c r="A1288" s="453">
        <v>507679246</v>
      </c>
      <c r="B1288" s="453">
        <v>698645329.27186704</v>
      </c>
      <c r="D1288" s="453" t="s">
        <v>6995</v>
      </c>
      <c r="E1288" s="453" t="s">
        <v>6996</v>
      </c>
    </row>
    <row r="1289" spans="1:5">
      <c r="A1289" s="453">
        <v>507722457</v>
      </c>
      <c r="B1289" s="453">
        <v>698688540.27233803</v>
      </c>
      <c r="D1289" s="453" t="s">
        <v>6997</v>
      </c>
      <c r="E1289" s="453" t="s">
        <v>6998</v>
      </c>
    </row>
    <row r="1290" spans="1:5">
      <c r="A1290" s="453">
        <v>507826843</v>
      </c>
      <c r="B1290" s="453">
        <v>698792926.27346694</v>
      </c>
      <c r="D1290" s="453" t="s">
        <v>6999</v>
      </c>
      <c r="E1290" s="453" t="s">
        <v>7000</v>
      </c>
    </row>
    <row r="1291" spans="1:5">
      <c r="A1291" s="453">
        <v>507895251</v>
      </c>
      <c r="B1291" s="453">
        <v>698861334.27423</v>
      </c>
      <c r="D1291" s="453" t="s">
        <v>7001</v>
      </c>
      <c r="E1291" s="453" t="s">
        <v>7002</v>
      </c>
    </row>
    <row r="1292" spans="1:5">
      <c r="A1292" s="453">
        <v>507956478</v>
      </c>
      <c r="B1292" s="453">
        <v>698922561.27491605</v>
      </c>
      <c r="D1292" s="453" t="s">
        <v>7003</v>
      </c>
      <c r="E1292" s="453" t="s">
        <v>7004</v>
      </c>
    </row>
    <row r="1293" spans="1:5">
      <c r="A1293" s="453">
        <v>508197656</v>
      </c>
      <c r="B1293" s="453">
        <v>699163739.27752995</v>
      </c>
      <c r="D1293" s="453" t="s">
        <v>7005</v>
      </c>
      <c r="E1293" s="453" t="s">
        <v>7006</v>
      </c>
    </row>
    <row r="1294" spans="1:5">
      <c r="A1294" s="453">
        <v>508266074</v>
      </c>
      <c r="B1294" s="453">
        <v>699232157.27829504</v>
      </c>
      <c r="D1294" s="453" t="s">
        <v>7007</v>
      </c>
      <c r="E1294" s="453" t="s">
        <v>7008</v>
      </c>
    </row>
    <row r="1295" spans="1:5">
      <c r="A1295" s="453">
        <v>508320056</v>
      </c>
      <c r="B1295" s="453">
        <v>699286139.27887106</v>
      </c>
      <c r="D1295" s="453" t="s">
        <v>7009</v>
      </c>
      <c r="E1295" s="453" t="s">
        <v>7010</v>
      </c>
    </row>
    <row r="1296" spans="1:5">
      <c r="A1296" s="453">
        <v>508413679</v>
      </c>
      <c r="B1296" s="453">
        <v>699379762.27991104</v>
      </c>
      <c r="D1296" s="453" t="s">
        <v>7011</v>
      </c>
      <c r="E1296" s="453" t="s">
        <v>7012</v>
      </c>
    </row>
    <row r="1297" spans="1:5">
      <c r="A1297" s="453">
        <v>508503694</v>
      </c>
      <c r="B1297" s="453">
        <v>699469777.2809</v>
      </c>
      <c r="D1297" s="453" t="s">
        <v>7013</v>
      </c>
      <c r="E1297" s="453" t="s">
        <v>7014</v>
      </c>
    </row>
    <row r="1298" spans="1:5">
      <c r="A1298" s="453">
        <v>508701694</v>
      </c>
      <c r="B1298" s="453">
        <v>699667777.28307498</v>
      </c>
      <c r="D1298" s="453" t="s">
        <v>7015</v>
      </c>
      <c r="E1298" s="453" t="s">
        <v>7016</v>
      </c>
    </row>
    <row r="1299" spans="1:5">
      <c r="A1299" s="453">
        <v>508802480</v>
      </c>
      <c r="B1299" s="453">
        <v>699768563.28417397</v>
      </c>
      <c r="D1299" s="453" t="s">
        <v>7017</v>
      </c>
      <c r="E1299" s="453" t="s">
        <v>7018</v>
      </c>
    </row>
    <row r="1300" spans="1:5">
      <c r="A1300" s="453">
        <v>508863680</v>
      </c>
      <c r="B1300" s="453">
        <v>699829763.284832</v>
      </c>
      <c r="D1300" s="453" t="s">
        <v>7019</v>
      </c>
      <c r="E1300" s="453" t="s">
        <v>7020</v>
      </c>
    </row>
    <row r="1301" spans="1:5">
      <c r="A1301" s="453">
        <v>508960899</v>
      </c>
      <c r="B1301" s="453">
        <v>699926982.28591597</v>
      </c>
      <c r="D1301" s="453" t="s">
        <v>7021</v>
      </c>
      <c r="E1301" s="453" t="s">
        <v>7022</v>
      </c>
    </row>
    <row r="1302" spans="1:5">
      <c r="A1302" s="453">
        <v>509047438</v>
      </c>
      <c r="B1302" s="453">
        <v>700013521.28687704</v>
      </c>
      <c r="D1302" s="453" t="s">
        <v>7023</v>
      </c>
      <c r="E1302" s="453" t="s">
        <v>7024</v>
      </c>
    </row>
    <row r="1303" spans="1:5">
      <c r="A1303" s="453">
        <v>509101291</v>
      </c>
      <c r="B1303" s="453">
        <v>700067374.28746402</v>
      </c>
      <c r="D1303" s="453" t="s">
        <v>7025</v>
      </c>
      <c r="E1303" s="453" t="s">
        <v>7026</v>
      </c>
    </row>
    <row r="1304" spans="1:5">
      <c r="A1304" s="453">
        <v>509320900</v>
      </c>
      <c r="B1304" s="453">
        <v>700286983.28986394</v>
      </c>
      <c r="D1304" s="453" t="s">
        <v>7027</v>
      </c>
      <c r="E1304" s="453" t="s">
        <v>7028</v>
      </c>
    </row>
    <row r="1305" spans="1:5">
      <c r="A1305" s="453">
        <v>509331690</v>
      </c>
      <c r="B1305" s="453">
        <v>700297773.290012</v>
      </c>
      <c r="D1305" s="453" t="s">
        <v>7029</v>
      </c>
      <c r="E1305" s="453" t="s">
        <v>7030</v>
      </c>
    </row>
    <row r="1306" spans="1:5">
      <c r="A1306" s="453">
        <v>509565704</v>
      </c>
      <c r="B1306" s="453">
        <v>700531787.29254794</v>
      </c>
      <c r="D1306" s="453" t="s">
        <v>7031</v>
      </c>
      <c r="E1306" s="453" t="s">
        <v>7032</v>
      </c>
    </row>
    <row r="1307" spans="1:5">
      <c r="A1307" s="453">
        <v>509641313</v>
      </c>
      <c r="B1307" s="453">
        <v>700607396.29339802</v>
      </c>
      <c r="D1307" s="453" t="s">
        <v>7033</v>
      </c>
      <c r="E1307" s="453" t="s">
        <v>7034</v>
      </c>
    </row>
    <row r="1308" spans="1:5">
      <c r="A1308" s="453">
        <v>509706122</v>
      </c>
      <c r="B1308" s="453">
        <v>700672205.29413402</v>
      </c>
      <c r="D1308" s="453" t="s">
        <v>7035</v>
      </c>
      <c r="E1308" s="453" t="s">
        <v>7036</v>
      </c>
    </row>
    <row r="1309" spans="1:5">
      <c r="A1309" s="453">
        <v>509806914</v>
      </c>
      <c r="B1309" s="453">
        <v>700772997.29523098</v>
      </c>
      <c r="D1309" s="453" t="s">
        <v>7037</v>
      </c>
      <c r="E1309" s="453" t="s">
        <v>7038</v>
      </c>
    </row>
    <row r="1310" spans="1:5">
      <c r="A1310" s="453">
        <v>509911325</v>
      </c>
      <c r="B1310" s="453">
        <v>700877408.29637802</v>
      </c>
      <c r="D1310" s="453" t="s">
        <v>7039</v>
      </c>
      <c r="E1310" s="453" t="s">
        <v>7040</v>
      </c>
    </row>
    <row r="1311" spans="1:5">
      <c r="A1311" s="453">
        <v>510012131</v>
      </c>
      <c r="B1311" s="453">
        <v>700978214.29751301</v>
      </c>
      <c r="D1311" s="453" t="s">
        <v>7041</v>
      </c>
      <c r="E1311" s="453" t="s">
        <v>7042</v>
      </c>
    </row>
    <row r="1312" spans="1:5">
      <c r="A1312" s="453">
        <v>510080563</v>
      </c>
      <c r="B1312" s="453">
        <v>701046646.29826796</v>
      </c>
      <c r="D1312" s="453" t="s">
        <v>7043</v>
      </c>
      <c r="E1312" s="453" t="s">
        <v>7044</v>
      </c>
    </row>
    <row r="1313" spans="1:5">
      <c r="A1313" s="453">
        <v>510134541</v>
      </c>
      <c r="B1313" s="453">
        <v>701100624.29885697</v>
      </c>
      <c r="D1313" s="453" t="s">
        <v>7045</v>
      </c>
      <c r="E1313" s="453" t="s">
        <v>7046</v>
      </c>
    </row>
    <row r="1314" spans="1:5">
      <c r="A1314" s="453">
        <v>510264143</v>
      </c>
      <c r="B1314" s="453">
        <v>701230226.30028701</v>
      </c>
      <c r="D1314" s="453" t="s">
        <v>7047</v>
      </c>
      <c r="E1314" s="453" t="s">
        <v>7048</v>
      </c>
    </row>
    <row r="1315" spans="1:5">
      <c r="A1315" s="453">
        <v>510307346</v>
      </c>
      <c r="B1315" s="453">
        <v>701273429.30076396</v>
      </c>
      <c r="D1315" s="453" t="s">
        <v>7049</v>
      </c>
      <c r="E1315" s="453" t="s">
        <v>7050</v>
      </c>
    </row>
    <row r="1316" spans="1:5">
      <c r="A1316" s="453">
        <v>510382939</v>
      </c>
      <c r="B1316" s="453">
        <v>701349022.30158305</v>
      </c>
      <c r="D1316" s="453" t="s">
        <v>7051</v>
      </c>
      <c r="E1316" s="453" t="s">
        <v>7052</v>
      </c>
    </row>
    <row r="1317" spans="1:5">
      <c r="A1317" s="453">
        <v>510595378</v>
      </c>
      <c r="B1317" s="453">
        <v>701561461.30397797</v>
      </c>
      <c r="D1317" s="453" t="s">
        <v>7053</v>
      </c>
      <c r="E1317" s="453" t="s">
        <v>7054</v>
      </c>
    </row>
    <row r="1318" spans="1:5">
      <c r="A1318" s="453">
        <v>510703365</v>
      </c>
      <c r="B1318" s="453">
        <v>701669448.30517304</v>
      </c>
      <c r="D1318" s="453" t="s">
        <v>7055</v>
      </c>
      <c r="E1318" s="453" t="s">
        <v>7056</v>
      </c>
    </row>
    <row r="1319" spans="1:5">
      <c r="A1319" s="453">
        <v>510764573</v>
      </c>
      <c r="B1319" s="453">
        <v>701730656.30583704</v>
      </c>
      <c r="D1319" s="453" t="s">
        <v>7057</v>
      </c>
      <c r="E1319" s="453" t="s">
        <v>7058</v>
      </c>
    </row>
    <row r="1320" spans="1:5">
      <c r="A1320" s="453">
        <v>510814966</v>
      </c>
      <c r="B1320" s="453">
        <v>701781049.30638504</v>
      </c>
      <c r="D1320" s="453" t="s">
        <v>7059</v>
      </c>
      <c r="E1320" s="453" t="s">
        <v>7060</v>
      </c>
    </row>
    <row r="1321" spans="1:5">
      <c r="A1321" s="453">
        <v>510955377</v>
      </c>
      <c r="B1321" s="453">
        <v>701921460.30795705</v>
      </c>
      <c r="D1321" s="453" t="s">
        <v>7061</v>
      </c>
      <c r="E1321" s="453" t="s">
        <v>7062</v>
      </c>
    </row>
    <row r="1322" spans="1:5">
      <c r="A1322" s="453">
        <v>510984170</v>
      </c>
      <c r="B1322" s="453">
        <v>701950253.30825603</v>
      </c>
      <c r="D1322" s="453" t="s">
        <v>7063</v>
      </c>
      <c r="E1322" s="453" t="s">
        <v>7064</v>
      </c>
    </row>
    <row r="1323" spans="1:5">
      <c r="A1323" s="453">
        <v>511117383</v>
      </c>
      <c r="B1323" s="453">
        <v>702083466.309726</v>
      </c>
      <c r="D1323" s="453" t="s">
        <v>7065</v>
      </c>
      <c r="E1323" s="453" t="s">
        <v>7066</v>
      </c>
    </row>
    <row r="1324" spans="1:5">
      <c r="A1324" s="453">
        <v>511221795</v>
      </c>
      <c r="B1324" s="453">
        <v>702187878.31092095</v>
      </c>
      <c r="D1324" s="453" t="s">
        <v>7067</v>
      </c>
      <c r="E1324" s="453" t="s">
        <v>7068</v>
      </c>
    </row>
    <row r="1325" spans="1:5">
      <c r="A1325" s="453">
        <v>511286608</v>
      </c>
      <c r="B1325" s="453">
        <v>702252691.31164098</v>
      </c>
      <c r="D1325" s="453" t="s">
        <v>7069</v>
      </c>
      <c r="E1325" s="453" t="s">
        <v>7070</v>
      </c>
    </row>
    <row r="1326" spans="1:5">
      <c r="A1326" s="453">
        <v>511387400</v>
      </c>
      <c r="B1326" s="453">
        <v>702353483.312765</v>
      </c>
      <c r="D1326" s="453" t="s">
        <v>7071</v>
      </c>
      <c r="E1326" s="453" t="s">
        <v>7072</v>
      </c>
    </row>
    <row r="1327" spans="1:5">
      <c r="A1327" s="453">
        <v>511423401</v>
      </c>
      <c r="B1327" s="453">
        <v>702389484.31315303</v>
      </c>
      <c r="D1327" s="453" t="s">
        <v>7073</v>
      </c>
      <c r="E1327" s="453" t="s">
        <v>7074</v>
      </c>
    </row>
    <row r="1328" spans="1:5">
      <c r="A1328" s="453">
        <v>511621415</v>
      </c>
      <c r="B1328" s="453">
        <v>702587498.31536305</v>
      </c>
      <c r="D1328" s="453" t="s">
        <v>7075</v>
      </c>
      <c r="E1328" s="453" t="s">
        <v>7076</v>
      </c>
    </row>
    <row r="1329" spans="1:5">
      <c r="A1329" s="453">
        <v>511707820</v>
      </c>
      <c r="B1329" s="453">
        <v>702673903.31631804</v>
      </c>
      <c r="D1329" s="453" t="s">
        <v>7077</v>
      </c>
      <c r="E1329" s="453" t="s">
        <v>7078</v>
      </c>
    </row>
    <row r="1330" spans="1:5">
      <c r="A1330" s="453">
        <v>511819422</v>
      </c>
      <c r="B1330" s="453">
        <v>702785505.31758106</v>
      </c>
      <c r="D1330" s="453" t="s">
        <v>7079</v>
      </c>
      <c r="E1330" s="453" t="s">
        <v>7080</v>
      </c>
    </row>
    <row r="1331" spans="1:5">
      <c r="A1331" s="453">
        <v>511877022</v>
      </c>
      <c r="B1331" s="453">
        <v>702843105.31821799</v>
      </c>
      <c r="D1331" s="453" t="s">
        <v>7081</v>
      </c>
      <c r="E1331" s="453" t="s">
        <v>7082</v>
      </c>
    </row>
    <row r="1332" spans="1:5">
      <c r="A1332" s="453">
        <v>511992232</v>
      </c>
      <c r="B1332" s="453">
        <v>702958315.31950402</v>
      </c>
      <c r="D1332" s="453" t="s">
        <v>7083</v>
      </c>
      <c r="E1332" s="453" t="s">
        <v>7084</v>
      </c>
    </row>
    <row r="1333" spans="1:5">
      <c r="A1333" s="453">
        <v>512085846</v>
      </c>
      <c r="B1333" s="453">
        <v>703051929.32057095</v>
      </c>
      <c r="D1333" s="453" t="s">
        <v>7085</v>
      </c>
      <c r="E1333" s="453" t="s">
        <v>7086</v>
      </c>
    </row>
    <row r="1334" spans="1:5">
      <c r="A1334" s="453">
        <v>512165042</v>
      </c>
      <c r="B1334" s="453">
        <v>703131125.32145095</v>
      </c>
      <c r="D1334" s="453" t="s">
        <v>7087</v>
      </c>
      <c r="E1334" s="453" t="s">
        <v>7088</v>
      </c>
    </row>
    <row r="1335" spans="1:5">
      <c r="A1335" s="453">
        <v>512193835</v>
      </c>
      <c r="B1335" s="453">
        <v>703159918.32176101</v>
      </c>
      <c r="D1335" s="453" t="s">
        <v>7089</v>
      </c>
      <c r="E1335" s="453" t="s">
        <v>7090</v>
      </c>
    </row>
    <row r="1336" spans="1:5">
      <c r="A1336" s="453">
        <v>512345061</v>
      </c>
      <c r="B1336" s="453">
        <v>703311144.32346499</v>
      </c>
      <c r="D1336" s="453" t="s">
        <v>7091</v>
      </c>
      <c r="E1336" s="453" t="s">
        <v>7092</v>
      </c>
    </row>
    <row r="1337" spans="1:5">
      <c r="A1337" s="453">
        <v>512406276</v>
      </c>
      <c r="B1337" s="453">
        <v>703372359.32414603</v>
      </c>
      <c r="D1337" s="453" t="s">
        <v>7093</v>
      </c>
      <c r="E1337" s="453" t="s">
        <v>7094</v>
      </c>
    </row>
    <row r="1338" spans="1:5">
      <c r="A1338" s="453">
        <v>512489062</v>
      </c>
      <c r="B1338" s="453">
        <v>703455145.32506895</v>
      </c>
      <c r="D1338" s="453" t="s">
        <v>7095</v>
      </c>
      <c r="E1338" s="453" t="s">
        <v>7096</v>
      </c>
    </row>
    <row r="1339" spans="1:5">
      <c r="A1339" s="453">
        <v>512597064</v>
      </c>
      <c r="B1339" s="453">
        <v>703563147.32629204</v>
      </c>
      <c r="D1339" s="453" t="s">
        <v>7097</v>
      </c>
      <c r="E1339" s="453" t="s">
        <v>7098</v>
      </c>
    </row>
    <row r="1340" spans="1:5">
      <c r="A1340" s="453">
        <v>512683468</v>
      </c>
      <c r="B1340" s="453">
        <v>703649551.32724798</v>
      </c>
      <c r="D1340" s="453" t="s">
        <v>7099</v>
      </c>
      <c r="E1340" s="453" t="s">
        <v>7100</v>
      </c>
    </row>
    <row r="1341" spans="1:5">
      <c r="A1341" s="453">
        <v>512715870</v>
      </c>
      <c r="B1341" s="453">
        <v>703681953.32761896</v>
      </c>
      <c r="D1341" s="453" t="s">
        <v>7101</v>
      </c>
      <c r="E1341" s="453" t="s">
        <v>7102</v>
      </c>
    </row>
    <row r="1342" spans="1:5">
      <c r="A1342" s="453">
        <v>512888672</v>
      </c>
      <c r="B1342" s="453">
        <v>703854755.32954895</v>
      </c>
      <c r="D1342" s="453" t="s">
        <v>7103</v>
      </c>
      <c r="E1342" s="453" t="s">
        <v>7104</v>
      </c>
    </row>
    <row r="1343" spans="1:5">
      <c r="A1343" s="453">
        <v>512982299</v>
      </c>
      <c r="B1343" s="453">
        <v>703948382.33061099</v>
      </c>
      <c r="D1343" s="453" t="s">
        <v>7105</v>
      </c>
      <c r="E1343" s="453" t="s">
        <v>7106</v>
      </c>
    </row>
    <row r="1344" spans="1:5">
      <c r="A1344" s="453">
        <v>513111890</v>
      </c>
      <c r="B1344" s="453">
        <v>704077973.33205795</v>
      </c>
      <c r="D1344" s="453" t="s">
        <v>7107</v>
      </c>
      <c r="E1344" s="453" t="s">
        <v>7108</v>
      </c>
    </row>
    <row r="1345" spans="1:5">
      <c r="A1345" s="453">
        <v>513180301</v>
      </c>
      <c r="B1345" s="453">
        <v>704146384.33283401</v>
      </c>
      <c r="D1345" s="453" t="s">
        <v>7109</v>
      </c>
      <c r="E1345" s="453" t="s">
        <v>7110</v>
      </c>
    </row>
    <row r="1346" spans="1:5">
      <c r="A1346" s="453">
        <v>513255893</v>
      </c>
      <c r="B1346" s="453">
        <v>704221976.33366597</v>
      </c>
      <c r="D1346" s="453" t="s">
        <v>7111</v>
      </c>
      <c r="E1346" s="453" t="s">
        <v>7112</v>
      </c>
    </row>
    <row r="1347" spans="1:5">
      <c r="A1347" s="453">
        <v>513374703</v>
      </c>
      <c r="B1347" s="453">
        <v>704340786.33501804</v>
      </c>
      <c r="D1347" s="453" t="s">
        <v>7113</v>
      </c>
      <c r="E1347" s="453" t="s">
        <v>7114</v>
      </c>
    </row>
    <row r="1348" spans="1:5">
      <c r="A1348" s="453">
        <v>513464710</v>
      </c>
      <c r="B1348" s="453">
        <v>704430793.33603299</v>
      </c>
      <c r="D1348" s="453" t="s">
        <v>7115</v>
      </c>
      <c r="E1348" s="453" t="s">
        <v>7116</v>
      </c>
    </row>
    <row r="1349" spans="1:5">
      <c r="A1349" s="453">
        <v>513554723</v>
      </c>
      <c r="B1349" s="453">
        <v>704520806.33706796</v>
      </c>
      <c r="D1349" s="453" t="s">
        <v>7117</v>
      </c>
      <c r="E1349" s="453" t="s">
        <v>7118</v>
      </c>
    </row>
    <row r="1350" spans="1:5">
      <c r="A1350" s="453">
        <v>513641135</v>
      </c>
      <c r="B1350" s="453">
        <v>704607218.33802903</v>
      </c>
      <c r="D1350" s="453" t="s">
        <v>7119</v>
      </c>
      <c r="E1350" s="453" t="s">
        <v>7120</v>
      </c>
    </row>
    <row r="1351" spans="1:5">
      <c r="A1351" s="453">
        <v>513716719</v>
      </c>
      <c r="B1351" s="453">
        <v>704682802.33886802</v>
      </c>
      <c r="D1351" s="453" t="s">
        <v>7121</v>
      </c>
      <c r="E1351" s="453" t="s">
        <v>7122</v>
      </c>
    </row>
    <row r="1352" spans="1:5">
      <c r="A1352" s="453">
        <v>513806745</v>
      </c>
      <c r="B1352" s="453">
        <v>704772828.33988905</v>
      </c>
      <c r="D1352" s="453" t="s">
        <v>7123</v>
      </c>
      <c r="E1352" s="453" t="s">
        <v>7124</v>
      </c>
    </row>
    <row r="1353" spans="1:5">
      <c r="A1353" s="453">
        <v>513835556</v>
      </c>
      <c r="B1353" s="453">
        <v>704801639.34021103</v>
      </c>
      <c r="D1353" s="453" t="s">
        <v>7125</v>
      </c>
      <c r="E1353" s="453" t="s">
        <v>7126</v>
      </c>
    </row>
    <row r="1354" spans="1:5">
      <c r="A1354" s="453">
        <v>513925573</v>
      </c>
      <c r="B1354" s="453">
        <v>704891656.341223</v>
      </c>
      <c r="D1354" s="453" t="s">
        <v>7127</v>
      </c>
      <c r="E1354" s="453" t="s">
        <v>7128</v>
      </c>
    </row>
    <row r="1355" spans="1:5">
      <c r="A1355" s="453">
        <v>514101996</v>
      </c>
      <c r="B1355" s="453">
        <v>705068079.34322798</v>
      </c>
      <c r="D1355" s="453" t="s">
        <v>7129</v>
      </c>
      <c r="E1355" s="453" t="s">
        <v>7130</v>
      </c>
    </row>
    <row r="1356" spans="1:5">
      <c r="A1356" s="453">
        <v>514246007</v>
      </c>
      <c r="B1356" s="453">
        <v>705212090.34486496</v>
      </c>
      <c r="D1356" s="453" t="s">
        <v>7131</v>
      </c>
      <c r="E1356" s="453" t="s">
        <v>7132</v>
      </c>
    </row>
    <row r="1357" spans="1:5">
      <c r="A1357" s="453">
        <v>514325174</v>
      </c>
      <c r="B1357" s="453">
        <v>705291257.34574795</v>
      </c>
      <c r="D1357" s="453" t="s">
        <v>7133</v>
      </c>
      <c r="E1357" s="453" t="s">
        <v>7134</v>
      </c>
    </row>
    <row r="1358" spans="1:5">
      <c r="A1358" s="453">
        <v>514357605</v>
      </c>
      <c r="B1358" s="453">
        <v>705323688.34611499</v>
      </c>
      <c r="D1358" s="453" t="s">
        <v>7135</v>
      </c>
      <c r="E1358" s="453" t="s">
        <v>7136</v>
      </c>
    </row>
    <row r="1359" spans="1:5">
      <c r="A1359" s="453">
        <v>514447635</v>
      </c>
      <c r="B1359" s="453">
        <v>705413718.34713697</v>
      </c>
      <c r="D1359" s="453" t="s">
        <v>7137</v>
      </c>
      <c r="E1359" s="453" t="s">
        <v>7138</v>
      </c>
    </row>
    <row r="1360" spans="1:5">
      <c r="A1360" s="453">
        <v>514555595</v>
      </c>
      <c r="B1360" s="453">
        <v>705521678.34834599</v>
      </c>
      <c r="D1360" s="453" t="s">
        <v>7139</v>
      </c>
      <c r="E1360" s="453" t="s">
        <v>7140</v>
      </c>
    </row>
    <row r="1361" spans="1:5">
      <c r="A1361" s="453">
        <v>514613183</v>
      </c>
      <c r="B1361" s="453">
        <v>705579266.34898996</v>
      </c>
      <c r="D1361" s="453" t="s">
        <v>7141</v>
      </c>
      <c r="E1361" s="453" t="s">
        <v>7142</v>
      </c>
    </row>
    <row r="1362" spans="1:5">
      <c r="A1362" s="453">
        <v>514735647</v>
      </c>
      <c r="B1362" s="453">
        <v>705701730.35040605</v>
      </c>
      <c r="D1362" s="453" t="s">
        <v>7143</v>
      </c>
      <c r="E1362" s="453" t="s">
        <v>7144</v>
      </c>
    </row>
    <row r="1363" spans="1:5">
      <c r="A1363" s="453">
        <v>514814804</v>
      </c>
      <c r="B1363" s="453">
        <v>705780887.35129094</v>
      </c>
      <c r="D1363" s="453" t="s">
        <v>7145</v>
      </c>
      <c r="E1363" s="453" t="s">
        <v>7146</v>
      </c>
    </row>
    <row r="1364" spans="1:5">
      <c r="A1364" s="453">
        <v>514904973</v>
      </c>
      <c r="B1364" s="453">
        <v>705871056.35231996</v>
      </c>
      <c r="D1364" s="453" t="s">
        <v>7147</v>
      </c>
      <c r="E1364" s="453" t="s">
        <v>7148</v>
      </c>
    </row>
    <row r="1365" spans="1:5">
      <c r="A1365" s="453">
        <v>514984007</v>
      </c>
      <c r="B1365" s="453">
        <v>705950090.35319602</v>
      </c>
      <c r="D1365" s="453" t="s">
        <v>7149</v>
      </c>
      <c r="E1365" s="453" t="s">
        <v>7150</v>
      </c>
    </row>
    <row r="1366" spans="1:5">
      <c r="A1366" s="453">
        <v>515041592</v>
      </c>
      <c r="B1366" s="453">
        <v>706007675.35384297</v>
      </c>
      <c r="D1366" s="453" t="s">
        <v>7151</v>
      </c>
      <c r="E1366" s="453" t="s">
        <v>7152</v>
      </c>
    </row>
    <row r="1367" spans="1:5">
      <c r="A1367" s="453">
        <v>515164041</v>
      </c>
      <c r="B1367" s="453">
        <v>706130124.35526204</v>
      </c>
      <c r="D1367" s="453" t="s">
        <v>7153</v>
      </c>
      <c r="E1367" s="453" t="s">
        <v>7154</v>
      </c>
    </row>
    <row r="1368" spans="1:5">
      <c r="A1368" s="453">
        <v>515214399</v>
      </c>
      <c r="B1368" s="453">
        <v>706180482.35581398</v>
      </c>
      <c r="D1368" s="453" t="s">
        <v>7155</v>
      </c>
      <c r="E1368" s="453" t="s">
        <v>7156</v>
      </c>
    </row>
    <row r="1369" spans="1:5">
      <c r="A1369" s="453">
        <v>515326015</v>
      </c>
      <c r="B1369" s="453">
        <v>706292098.35707796</v>
      </c>
      <c r="D1369" s="453" t="s">
        <v>7157</v>
      </c>
      <c r="E1369" s="453" t="s">
        <v>7158</v>
      </c>
    </row>
    <row r="1370" spans="1:5">
      <c r="A1370" s="453">
        <v>515445699</v>
      </c>
      <c r="B1370" s="453">
        <v>706411782.35779297</v>
      </c>
      <c r="D1370" s="453" t="s">
        <v>7159</v>
      </c>
      <c r="E1370" s="453" t="s">
        <v>7160</v>
      </c>
    </row>
    <row r="1371" spans="1:5">
      <c r="A1371" s="453">
        <v>515509684</v>
      </c>
      <c r="B1371" s="453">
        <v>706475767.35918903</v>
      </c>
      <c r="D1371" s="453" t="s">
        <v>7161</v>
      </c>
      <c r="E1371" s="453" t="s">
        <v>7162</v>
      </c>
    </row>
    <row r="1372" spans="1:5">
      <c r="A1372" s="453">
        <v>515585217</v>
      </c>
      <c r="B1372" s="453">
        <v>706551300.36002696</v>
      </c>
      <c r="D1372" s="453" t="s">
        <v>7163</v>
      </c>
      <c r="E1372" s="453" t="s">
        <v>7164</v>
      </c>
    </row>
    <row r="1373" spans="1:5">
      <c r="A1373" s="453">
        <v>515650023</v>
      </c>
      <c r="B1373" s="453">
        <v>706616106.36077404</v>
      </c>
      <c r="D1373" s="453" t="s">
        <v>7165</v>
      </c>
      <c r="E1373" s="453" t="s">
        <v>7166</v>
      </c>
    </row>
    <row r="1374" spans="1:5">
      <c r="A1374" s="453">
        <v>515736500</v>
      </c>
      <c r="B1374" s="453">
        <v>706702583.36176205</v>
      </c>
      <c r="D1374" s="453" t="s">
        <v>7167</v>
      </c>
      <c r="E1374" s="453" t="s">
        <v>7168</v>
      </c>
    </row>
    <row r="1375" spans="1:5">
      <c r="A1375" s="453">
        <v>515851707</v>
      </c>
      <c r="B1375" s="453">
        <v>706817790.36307502</v>
      </c>
      <c r="D1375" s="453" t="s">
        <v>7169</v>
      </c>
      <c r="E1375" s="453" t="s">
        <v>7170</v>
      </c>
    </row>
    <row r="1376" spans="1:5">
      <c r="A1376" s="453">
        <v>515960510</v>
      </c>
      <c r="B1376" s="453">
        <v>706926593.36372697</v>
      </c>
      <c r="D1376" s="453" t="s">
        <v>7171</v>
      </c>
      <c r="E1376" s="453" t="s">
        <v>7172</v>
      </c>
    </row>
    <row r="1377" spans="1:5">
      <c r="A1377" s="453">
        <v>516049736</v>
      </c>
      <c r="B1377" s="453">
        <v>707015819.36533201</v>
      </c>
      <c r="D1377" s="453" t="s">
        <v>7173</v>
      </c>
      <c r="E1377" s="453" t="s">
        <v>7174</v>
      </c>
    </row>
    <row r="1378" spans="1:5">
      <c r="A1378" s="453">
        <v>516110911</v>
      </c>
      <c r="B1378" s="453">
        <v>707076994.36602497</v>
      </c>
      <c r="D1378" s="453" t="s">
        <v>7175</v>
      </c>
      <c r="E1378" s="453" t="s">
        <v>7176</v>
      </c>
    </row>
    <row r="1379" spans="1:5">
      <c r="A1379" s="453">
        <v>516218929</v>
      </c>
      <c r="B1379" s="453">
        <v>707185012.36724102</v>
      </c>
      <c r="D1379" s="453" t="s">
        <v>7177</v>
      </c>
      <c r="E1379" s="453" t="s">
        <v>7178</v>
      </c>
    </row>
    <row r="1380" spans="1:5">
      <c r="A1380" s="453">
        <v>516287328</v>
      </c>
      <c r="B1380" s="453">
        <v>707253411.36800098</v>
      </c>
      <c r="D1380" s="453" t="s">
        <v>7179</v>
      </c>
      <c r="E1380" s="453" t="s">
        <v>7180</v>
      </c>
    </row>
    <row r="1381" spans="1:5">
      <c r="A1381" s="453">
        <v>516395247</v>
      </c>
      <c r="B1381" s="453">
        <v>707361330.36925697</v>
      </c>
      <c r="D1381" s="453" t="s">
        <v>7181</v>
      </c>
      <c r="E1381" s="453" t="s">
        <v>7182</v>
      </c>
    </row>
    <row r="1382" spans="1:5">
      <c r="A1382" s="453">
        <v>539991576</v>
      </c>
      <c r="B1382" s="453">
        <v>730957659.62999701</v>
      </c>
      <c r="D1382" s="453" t="s">
        <v>7183</v>
      </c>
      <c r="E1382" s="453" t="s">
        <v>7184</v>
      </c>
    </row>
    <row r="1383" spans="1:5">
      <c r="A1383" s="453">
        <v>540057121</v>
      </c>
      <c r="B1383" s="453">
        <v>731023204.63011599</v>
      </c>
      <c r="D1383" s="453" t="s">
        <v>7185</v>
      </c>
      <c r="E1383" s="453" t="s">
        <v>7186</v>
      </c>
    </row>
    <row r="1384" spans="1:5">
      <c r="A1384" s="453">
        <v>540164401</v>
      </c>
      <c r="B1384" s="453">
        <v>731130484.63191402</v>
      </c>
      <c r="D1384" s="453" t="s">
        <v>7187</v>
      </c>
      <c r="E1384" s="453" t="s">
        <v>7188</v>
      </c>
    </row>
    <row r="1385" spans="1:5">
      <c r="A1385" s="453">
        <v>540236397</v>
      </c>
      <c r="B1385" s="453">
        <v>731202480.63269103</v>
      </c>
      <c r="D1385" s="453" t="s">
        <v>7189</v>
      </c>
      <c r="E1385" s="453" t="s">
        <v>7190</v>
      </c>
    </row>
    <row r="1386" spans="1:5">
      <c r="A1386" s="453">
        <v>540322807</v>
      </c>
      <c r="B1386" s="453">
        <v>731288890.63358498</v>
      </c>
      <c r="D1386" s="453" t="s">
        <v>7191</v>
      </c>
      <c r="E1386" s="453" t="s">
        <v>7192</v>
      </c>
    </row>
    <row r="1387" spans="1:5">
      <c r="A1387" s="453">
        <v>540495478</v>
      </c>
      <c r="B1387" s="453">
        <v>731461561.63551605</v>
      </c>
      <c r="D1387" s="453" t="s">
        <v>7193</v>
      </c>
      <c r="E1387" s="453" t="s">
        <v>7194</v>
      </c>
    </row>
    <row r="1388" spans="1:5">
      <c r="A1388" s="453">
        <v>540545956</v>
      </c>
      <c r="B1388" s="453">
        <v>731512039.63606095</v>
      </c>
      <c r="D1388" s="453" t="s">
        <v>7195</v>
      </c>
      <c r="E1388" s="453" t="s">
        <v>7196</v>
      </c>
    </row>
    <row r="1389" spans="1:5">
      <c r="A1389" s="453">
        <v>540653846</v>
      </c>
      <c r="B1389" s="453">
        <v>731619929.63720405</v>
      </c>
      <c r="D1389" s="453" t="s">
        <v>7197</v>
      </c>
      <c r="E1389" s="453" t="s">
        <v>7198</v>
      </c>
    </row>
    <row r="1390" spans="1:5">
      <c r="A1390" s="453">
        <v>540754690</v>
      </c>
      <c r="B1390" s="453">
        <v>731720773.63832498</v>
      </c>
      <c r="D1390" s="453" t="s">
        <v>7199</v>
      </c>
      <c r="E1390" s="453" t="s">
        <v>7200</v>
      </c>
    </row>
    <row r="1391" spans="1:5">
      <c r="A1391" s="453">
        <v>540833862</v>
      </c>
      <c r="B1391" s="453">
        <v>731799945.63918698</v>
      </c>
      <c r="D1391" s="453" t="s">
        <v>7201</v>
      </c>
      <c r="E1391" s="453" t="s">
        <v>7202</v>
      </c>
    </row>
    <row r="1392" spans="1:5">
      <c r="A1392" s="453">
        <v>540941999</v>
      </c>
      <c r="B1392" s="453">
        <v>731908082.64033902</v>
      </c>
      <c r="D1392" s="453" t="s">
        <v>7203</v>
      </c>
      <c r="E1392" s="453" t="s">
        <v>7204</v>
      </c>
    </row>
    <row r="1393" spans="1:5">
      <c r="A1393" s="453">
        <v>541013901</v>
      </c>
      <c r="B1393" s="453">
        <v>731979984.64114106</v>
      </c>
      <c r="D1393" s="453" t="s">
        <v>7205</v>
      </c>
      <c r="E1393" s="453" t="s">
        <v>7206</v>
      </c>
    </row>
    <row r="1394" spans="1:5">
      <c r="A1394" s="453">
        <v>541089463</v>
      </c>
      <c r="B1394" s="453">
        <v>732055546.64196002</v>
      </c>
      <c r="D1394" s="453" t="s">
        <v>7207</v>
      </c>
      <c r="E1394" s="453" t="s">
        <v>7208</v>
      </c>
    </row>
    <row r="1395" spans="1:5">
      <c r="A1395" s="453">
        <v>541186707</v>
      </c>
      <c r="B1395" s="453">
        <v>732152790.64303005</v>
      </c>
      <c r="D1395" s="453" t="s">
        <v>7209</v>
      </c>
      <c r="E1395" s="453" t="s">
        <v>7210</v>
      </c>
    </row>
    <row r="1396" spans="1:5">
      <c r="A1396" s="453">
        <v>541287599</v>
      </c>
      <c r="B1396" s="453">
        <v>732253682.64411795</v>
      </c>
      <c r="D1396" s="453" t="s">
        <v>7211</v>
      </c>
      <c r="E1396" s="453" t="s">
        <v>7212</v>
      </c>
    </row>
    <row r="1397" spans="1:5">
      <c r="A1397" s="453">
        <v>541355926</v>
      </c>
      <c r="B1397" s="453">
        <v>732322009.64487505</v>
      </c>
      <c r="D1397" s="453" t="s">
        <v>7213</v>
      </c>
      <c r="E1397" s="453" t="s">
        <v>7214</v>
      </c>
    </row>
    <row r="1398" spans="1:5">
      <c r="A1398" s="453">
        <v>541402806</v>
      </c>
      <c r="B1398" s="453">
        <v>732368889.64534795</v>
      </c>
      <c r="D1398" s="453" t="s">
        <v>7215</v>
      </c>
      <c r="E1398" s="453" t="s">
        <v>7216</v>
      </c>
    </row>
    <row r="1399" spans="1:5">
      <c r="A1399" s="453">
        <v>541514286</v>
      </c>
      <c r="B1399" s="453">
        <v>732480369.64657903</v>
      </c>
      <c r="D1399" s="453" t="s">
        <v>7217</v>
      </c>
      <c r="E1399" s="453" t="s">
        <v>7218</v>
      </c>
    </row>
    <row r="1400" spans="1:5">
      <c r="A1400" s="453">
        <v>541607888</v>
      </c>
      <c r="B1400" s="453">
        <v>732573971.64760602</v>
      </c>
      <c r="D1400" s="453" t="s">
        <v>7219</v>
      </c>
      <c r="E1400" s="453" t="s">
        <v>7220</v>
      </c>
    </row>
    <row r="1401" spans="1:5">
      <c r="A1401" s="453">
        <v>541806026</v>
      </c>
      <c r="B1401" s="453">
        <v>732772109.64976799</v>
      </c>
      <c r="D1401" s="453" t="s">
        <v>7221</v>
      </c>
      <c r="E1401" s="453" t="s">
        <v>7222</v>
      </c>
    </row>
    <row r="1402" spans="1:5">
      <c r="A1402" s="453">
        <v>541874350</v>
      </c>
      <c r="B1402" s="453">
        <v>732840433.65052402</v>
      </c>
      <c r="D1402" s="453" t="s">
        <v>7223</v>
      </c>
      <c r="E1402" s="453" t="s">
        <v>7224</v>
      </c>
    </row>
    <row r="1403" spans="1:5">
      <c r="A1403" s="453">
        <v>541960744</v>
      </c>
      <c r="B1403" s="453">
        <v>732926827.651474</v>
      </c>
      <c r="D1403" s="453" t="s">
        <v>7225</v>
      </c>
      <c r="E1403" s="453" t="s">
        <v>7226</v>
      </c>
    </row>
    <row r="1404" spans="1:5">
      <c r="A1404" s="453">
        <v>542011108</v>
      </c>
      <c r="B1404" s="453">
        <v>732977191.65201294</v>
      </c>
      <c r="D1404" s="453" t="s">
        <v>7227</v>
      </c>
      <c r="E1404" s="453" t="s">
        <v>7228</v>
      </c>
    </row>
    <row r="1405" spans="1:5">
      <c r="A1405" s="453">
        <v>542122714</v>
      </c>
      <c r="B1405" s="453">
        <v>733088797.65323901</v>
      </c>
      <c r="D1405" s="453" t="s">
        <v>7229</v>
      </c>
      <c r="E1405" s="453" t="s">
        <v>7230</v>
      </c>
    </row>
    <row r="1406" spans="1:5">
      <c r="A1406" s="453">
        <v>542306368</v>
      </c>
      <c r="B1406" s="453">
        <v>733272451.65526402</v>
      </c>
      <c r="D1406" s="453" t="s">
        <v>7231</v>
      </c>
      <c r="E1406" s="453" t="s">
        <v>7232</v>
      </c>
    </row>
    <row r="1407" spans="1:5">
      <c r="A1407" s="453">
        <v>542360343</v>
      </c>
      <c r="B1407" s="453">
        <v>733326426.65584397</v>
      </c>
      <c r="D1407" s="453" t="s">
        <v>7233</v>
      </c>
      <c r="E1407" s="453" t="s">
        <v>7234</v>
      </c>
    </row>
    <row r="1408" spans="1:5">
      <c r="A1408" s="453">
        <v>542464729</v>
      </c>
      <c r="B1408" s="453">
        <v>733430812.65698195</v>
      </c>
      <c r="D1408" s="453" t="s">
        <v>7235</v>
      </c>
      <c r="E1408" s="453" t="s">
        <v>7236</v>
      </c>
    </row>
    <row r="1409" spans="1:5">
      <c r="A1409" s="453">
        <v>542583664</v>
      </c>
      <c r="B1409" s="453">
        <v>733549747.65826797</v>
      </c>
      <c r="D1409" s="453" t="s">
        <v>7237</v>
      </c>
      <c r="E1409" s="453" t="s">
        <v>7238</v>
      </c>
    </row>
    <row r="1410" spans="1:5">
      <c r="A1410" s="453">
        <v>542648385</v>
      </c>
      <c r="B1410" s="453">
        <v>733614468.65901399</v>
      </c>
      <c r="D1410" s="453" t="s">
        <v>7239</v>
      </c>
      <c r="E1410" s="453" t="s">
        <v>7240</v>
      </c>
    </row>
    <row r="1411" spans="1:5">
      <c r="A1411" s="453">
        <v>542723944</v>
      </c>
      <c r="B1411" s="453">
        <v>733690027.65981305</v>
      </c>
      <c r="D1411" s="453" t="s">
        <v>7241</v>
      </c>
      <c r="E1411" s="453" t="s">
        <v>7242</v>
      </c>
    </row>
    <row r="1412" spans="1:5">
      <c r="A1412" s="453">
        <v>542821191</v>
      </c>
      <c r="B1412" s="453">
        <v>733787274.66090798</v>
      </c>
      <c r="D1412" s="453" t="s">
        <v>7243</v>
      </c>
      <c r="E1412" s="453" t="s">
        <v>7244</v>
      </c>
    </row>
    <row r="1413" spans="1:5">
      <c r="A1413" s="453">
        <v>542893148</v>
      </c>
      <c r="B1413" s="453">
        <v>733859231.66167295</v>
      </c>
      <c r="D1413" s="453" t="s">
        <v>7245</v>
      </c>
      <c r="E1413" s="453" t="s">
        <v>7246</v>
      </c>
    </row>
    <row r="1414" spans="1:5">
      <c r="A1414" s="453">
        <v>542983160</v>
      </c>
      <c r="B1414" s="453">
        <v>733949243.66266596</v>
      </c>
      <c r="D1414" s="453" t="s">
        <v>7247</v>
      </c>
      <c r="E1414" s="453" t="s">
        <v>7248</v>
      </c>
    </row>
    <row r="1415" spans="1:5">
      <c r="A1415" s="453">
        <v>543069564</v>
      </c>
      <c r="B1415" s="453">
        <v>734035647.66363204</v>
      </c>
      <c r="D1415" s="453" t="s">
        <v>7249</v>
      </c>
      <c r="E1415" s="453" t="s">
        <v>7250</v>
      </c>
    </row>
    <row r="1416" spans="1:5">
      <c r="A1416" s="453">
        <v>543249583</v>
      </c>
      <c r="B1416" s="453">
        <v>734215666.66561496</v>
      </c>
      <c r="D1416" s="453" t="s">
        <v>7251</v>
      </c>
      <c r="E1416" s="453" t="s">
        <v>7252</v>
      </c>
    </row>
    <row r="1417" spans="1:5">
      <c r="A1417" s="453">
        <v>543357728</v>
      </c>
      <c r="B1417" s="453">
        <v>734323811.66676605</v>
      </c>
      <c r="D1417" s="453" t="s">
        <v>7253</v>
      </c>
      <c r="E1417" s="453" t="s">
        <v>7254</v>
      </c>
    </row>
    <row r="1418" spans="1:5">
      <c r="A1418" s="453">
        <v>543415184</v>
      </c>
      <c r="B1418" s="453">
        <v>734381267.66744101</v>
      </c>
      <c r="D1418" s="453" t="s">
        <v>7255</v>
      </c>
      <c r="E1418" s="453" t="s">
        <v>7256</v>
      </c>
    </row>
    <row r="1419" spans="1:5">
      <c r="A1419" s="453">
        <v>543512427</v>
      </c>
      <c r="B1419" s="453">
        <v>734478510.66851997</v>
      </c>
      <c r="D1419" s="453" t="s">
        <v>7257</v>
      </c>
      <c r="E1419" s="453" t="s">
        <v>7258</v>
      </c>
    </row>
    <row r="1420" spans="1:5">
      <c r="A1420" s="453">
        <v>543566397</v>
      </c>
      <c r="B1420" s="453">
        <v>734532480.669101</v>
      </c>
      <c r="D1420" s="453" t="s">
        <v>7259</v>
      </c>
      <c r="E1420" s="453" t="s">
        <v>7260</v>
      </c>
    </row>
    <row r="1421" spans="1:5">
      <c r="A1421" s="453">
        <v>543685230</v>
      </c>
      <c r="B1421" s="453">
        <v>734651313.67042696</v>
      </c>
      <c r="D1421" s="453" t="s">
        <v>7261</v>
      </c>
      <c r="E1421" s="453" t="s">
        <v>7262</v>
      </c>
    </row>
    <row r="1422" spans="1:5">
      <c r="A1422" s="453">
        <v>543764409</v>
      </c>
      <c r="B1422" s="453">
        <v>734730492.67130399</v>
      </c>
      <c r="D1422" s="453" t="s">
        <v>7263</v>
      </c>
      <c r="E1422" s="453" t="s">
        <v>7264</v>
      </c>
    </row>
    <row r="1423" spans="1:5">
      <c r="A1423" s="453">
        <v>543879739</v>
      </c>
      <c r="B1423" s="453">
        <v>734845822.67254698</v>
      </c>
      <c r="D1423" s="453" t="s">
        <v>7265</v>
      </c>
      <c r="E1423" s="453" t="s">
        <v>7266</v>
      </c>
    </row>
    <row r="1424" spans="1:5">
      <c r="A1424" s="453">
        <v>543937221</v>
      </c>
      <c r="B1424" s="453">
        <v>734903304.67319906</v>
      </c>
      <c r="D1424" s="453" t="s">
        <v>7267</v>
      </c>
      <c r="E1424" s="453" t="s">
        <v>7268</v>
      </c>
    </row>
    <row r="1425" spans="1:5">
      <c r="A1425" s="453">
        <v>544027256</v>
      </c>
      <c r="B1425" s="453">
        <v>734993339.67421401</v>
      </c>
      <c r="D1425" s="453" t="s">
        <v>7269</v>
      </c>
      <c r="E1425" s="453" t="s">
        <v>7270</v>
      </c>
    </row>
    <row r="1426" spans="1:5">
      <c r="A1426" s="453">
        <v>544106414</v>
      </c>
      <c r="B1426" s="453">
        <v>735072497.67506695</v>
      </c>
      <c r="D1426" s="453" t="s">
        <v>7271</v>
      </c>
      <c r="E1426" s="453" t="s">
        <v>7272</v>
      </c>
    </row>
    <row r="1427" spans="1:5">
      <c r="A1427" s="453">
        <v>544552963</v>
      </c>
      <c r="B1427" s="453">
        <v>735519046.68003297</v>
      </c>
      <c r="D1427" s="453" t="s">
        <v>7273</v>
      </c>
      <c r="E1427" s="453" t="s">
        <v>7274</v>
      </c>
    </row>
    <row r="1428" spans="1:5">
      <c r="A1428" s="453">
        <v>544646595</v>
      </c>
      <c r="B1428" s="453">
        <v>735612678.68110704</v>
      </c>
      <c r="D1428" s="453" t="s">
        <v>7275</v>
      </c>
      <c r="E1428" s="453" t="s">
        <v>7276</v>
      </c>
    </row>
    <row r="1429" spans="1:5">
      <c r="A1429" s="453">
        <v>545168616</v>
      </c>
      <c r="B1429" s="453">
        <v>736134699.68688202</v>
      </c>
      <c r="D1429" s="453" t="s">
        <v>7277</v>
      </c>
      <c r="E1429" s="453" t="s">
        <v>7278</v>
      </c>
    </row>
    <row r="1430" spans="1:5">
      <c r="A1430" s="453">
        <v>545251400</v>
      </c>
      <c r="B1430" s="453">
        <v>736217483.68776095</v>
      </c>
      <c r="D1430" s="453" t="s">
        <v>7279</v>
      </c>
      <c r="E1430" s="453" t="s">
        <v>7280</v>
      </c>
    </row>
    <row r="1431" spans="1:5">
      <c r="A1431" s="453">
        <v>545755418</v>
      </c>
      <c r="B1431" s="453">
        <v>736721501.69337702</v>
      </c>
      <c r="D1431" s="453" t="s">
        <v>7281</v>
      </c>
      <c r="E1431" s="453" t="s">
        <v>7282</v>
      </c>
    </row>
    <row r="1432" spans="1:5">
      <c r="A1432" s="453">
        <v>545856242</v>
      </c>
      <c r="B1432" s="453">
        <v>736822325.69456005</v>
      </c>
      <c r="D1432" s="453" t="s">
        <v>7283</v>
      </c>
      <c r="E1432" s="453" t="s">
        <v>7284</v>
      </c>
    </row>
    <row r="1433" spans="1:5">
      <c r="A1433" s="453">
        <v>546381862</v>
      </c>
      <c r="B1433" s="453">
        <v>737347945.70043004</v>
      </c>
      <c r="D1433" s="453" t="s">
        <v>7285</v>
      </c>
      <c r="E1433" s="453" t="s">
        <v>7286</v>
      </c>
    </row>
    <row r="1434" spans="1:5">
      <c r="A1434" s="453">
        <v>546464646</v>
      </c>
      <c r="B1434" s="453">
        <v>737430729.70135605</v>
      </c>
      <c r="D1434" s="453" t="s">
        <v>7287</v>
      </c>
      <c r="E1434" s="453" t="s">
        <v>7288</v>
      </c>
    </row>
    <row r="1435" spans="1:5">
      <c r="A1435" s="453">
        <v>546991438</v>
      </c>
      <c r="B1435" s="453">
        <v>737957521.70721495</v>
      </c>
      <c r="D1435" s="453" t="s">
        <v>7289</v>
      </c>
      <c r="E1435" s="453" t="s">
        <v>7290</v>
      </c>
    </row>
    <row r="1436" spans="1:5">
      <c r="A1436" s="453">
        <v>547069493</v>
      </c>
      <c r="B1436" s="453">
        <v>738035576.70808697</v>
      </c>
      <c r="D1436" s="453" t="s">
        <v>7291</v>
      </c>
      <c r="E1436" s="453" t="s">
        <v>7292</v>
      </c>
    </row>
    <row r="1437" spans="1:5">
      <c r="A1437" s="453">
        <v>547681405</v>
      </c>
      <c r="B1437" s="453">
        <v>738647488.71496499</v>
      </c>
      <c r="D1437" s="453" t="s">
        <v>7293</v>
      </c>
      <c r="E1437" s="453" t="s">
        <v>7294</v>
      </c>
    </row>
    <row r="1438" spans="1:5">
      <c r="A1438" s="453">
        <v>547724550</v>
      </c>
      <c r="B1438" s="453">
        <v>738690633.71547699</v>
      </c>
      <c r="D1438" s="453" t="s">
        <v>7295</v>
      </c>
      <c r="E1438" s="453" t="s">
        <v>7296</v>
      </c>
    </row>
    <row r="1439" spans="1:5">
      <c r="A1439" s="453">
        <v>547814562</v>
      </c>
      <c r="B1439" s="453">
        <v>738780645.71650505</v>
      </c>
      <c r="D1439" s="453" t="s">
        <v>7297</v>
      </c>
      <c r="E1439" s="453" t="s">
        <v>7298</v>
      </c>
    </row>
    <row r="1440" spans="1:5">
      <c r="A1440" s="453">
        <v>547875772</v>
      </c>
      <c r="B1440" s="453">
        <v>738841855.71718097</v>
      </c>
      <c r="D1440" s="453" t="s">
        <v>7299</v>
      </c>
      <c r="E1440" s="453" t="s">
        <v>7300</v>
      </c>
    </row>
    <row r="1441" spans="1:5">
      <c r="A1441" s="453">
        <v>548019779</v>
      </c>
      <c r="B1441" s="453">
        <v>738985862.71880805</v>
      </c>
      <c r="D1441" s="453" t="s">
        <v>7301</v>
      </c>
      <c r="E1441" s="453" t="s">
        <v>7302</v>
      </c>
    </row>
    <row r="1442" spans="1:5">
      <c r="A1442" s="453">
        <v>548098965</v>
      </c>
      <c r="B1442" s="453">
        <v>739065048.71970701</v>
      </c>
      <c r="D1442" s="453" t="s">
        <v>7303</v>
      </c>
      <c r="E1442" s="453" t="s">
        <v>7304</v>
      </c>
    </row>
    <row r="1443" spans="1:5">
      <c r="A1443" s="453">
        <v>548196214</v>
      </c>
      <c r="B1443" s="453">
        <v>739162297.72081101</v>
      </c>
      <c r="D1443" s="453" t="s">
        <v>7305</v>
      </c>
      <c r="E1443" s="453" t="s">
        <v>7306</v>
      </c>
    </row>
    <row r="1444" spans="1:5">
      <c r="A1444" s="453">
        <v>548271764</v>
      </c>
      <c r="B1444" s="453">
        <v>739237847.72163999</v>
      </c>
      <c r="D1444" s="453" t="s">
        <v>7307</v>
      </c>
      <c r="E1444" s="453" t="s">
        <v>7308</v>
      </c>
    </row>
    <row r="1445" spans="1:5">
      <c r="A1445" s="453">
        <v>548372596</v>
      </c>
      <c r="B1445" s="453">
        <v>739338679.72276103</v>
      </c>
      <c r="D1445" s="453" t="s">
        <v>7309</v>
      </c>
      <c r="E1445" s="453" t="s">
        <v>7310</v>
      </c>
    </row>
    <row r="1446" spans="1:5">
      <c r="A1446" s="453">
        <v>548433759</v>
      </c>
      <c r="B1446" s="453">
        <v>739399842.72346795</v>
      </c>
      <c r="D1446" s="453" t="s">
        <v>7311</v>
      </c>
      <c r="E1446" s="453" t="s">
        <v>7312</v>
      </c>
    </row>
    <row r="1447" spans="1:5">
      <c r="A1447" s="453">
        <v>548480581</v>
      </c>
      <c r="B1447" s="453">
        <v>739446664.72400498</v>
      </c>
      <c r="D1447" s="453" t="s">
        <v>7313</v>
      </c>
      <c r="E1447" s="453" t="s">
        <v>7314</v>
      </c>
    </row>
    <row r="1448" spans="1:5">
      <c r="A1448" s="453">
        <v>548632993</v>
      </c>
      <c r="B1448" s="453">
        <v>739599076.725685</v>
      </c>
      <c r="D1448" s="453" t="s">
        <v>7315</v>
      </c>
      <c r="E1448" s="453" t="s">
        <v>7316</v>
      </c>
    </row>
    <row r="1449" spans="1:5">
      <c r="A1449" s="453">
        <v>548671366</v>
      </c>
      <c r="B1449" s="453">
        <v>739637449.72615194</v>
      </c>
      <c r="D1449" s="453" t="s">
        <v>7317</v>
      </c>
      <c r="E1449" s="453" t="s">
        <v>7318</v>
      </c>
    </row>
    <row r="1450" spans="1:5">
      <c r="A1450" s="453">
        <v>548797402</v>
      </c>
      <c r="B1450" s="453">
        <v>739763485.72757995</v>
      </c>
      <c r="D1450" s="453" t="s">
        <v>7319</v>
      </c>
      <c r="E1450" s="453" t="s">
        <v>7320</v>
      </c>
    </row>
    <row r="1451" spans="1:5">
      <c r="A1451" s="453">
        <v>548891598</v>
      </c>
      <c r="B1451" s="453">
        <v>739857681.72860003</v>
      </c>
      <c r="D1451" s="453" t="s">
        <v>7321</v>
      </c>
      <c r="E1451" s="453" t="s">
        <v>7322</v>
      </c>
    </row>
    <row r="1452" spans="1:5">
      <c r="A1452" s="453">
        <v>548937774</v>
      </c>
      <c r="B1452" s="453">
        <v>739903857.72916305</v>
      </c>
      <c r="D1452" s="453" t="s">
        <v>7323</v>
      </c>
      <c r="E1452" s="453" t="s">
        <v>7324</v>
      </c>
    </row>
    <row r="1453" spans="1:5">
      <c r="A1453" s="453">
        <v>549042162</v>
      </c>
      <c r="B1453" s="453">
        <v>740008245.73033202</v>
      </c>
      <c r="D1453" s="453" t="s">
        <v>7325</v>
      </c>
      <c r="E1453" s="453" t="s">
        <v>7326</v>
      </c>
    </row>
    <row r="1454" spans="1:5">
      <c r="A1454" s="453">
        <v>549103364</v>
      </c>
      <c r="B1454" s="453">
        <v>740069447.73101199</v>
      </c>
      <c r="D1454" s="453" t="s">
        <v>7327</v>
      </c>
      <c r="E1454" s="453" t="s">
        <v>7328</v>
      </c>
    </row>
    <row r="1455" spans="1:5">
      <c r="A1455" s="453">
        <v>549236600</v>
      </c>
      <c r="B1455" s="453">
        <v>740202683.73249197</v>
      </c>
      <c r="D1455" s="453" t="s">
        <v>7329</v>
      </c>
      <c r="E1455" s="453" t="s">
        <v>7330</v>
      </c>
    </row>
    <row r="1456" spans="1:5">
      <c r="A1456" s="453">
        <v>549312183</v>
      </c>
      <c r="B1456" s="453">
        <v>740278266.733392</v>
      </c>
      <c r="D1456" s="453" t="s">
        <v>7331</v>
      </c>
      <c r="E1456" s="453" t="s">
        <v>7332</v>
      </c>
    </row>
    <row r="1457" spans="1:5">
      <c r="A1457" s="453">
        <v>549384159</v>
      </c>
      <c r="B1457" s="453">
        <v>740350242.73418105</v>
      </c>
      <c r="D1457" s="453" t="s">
        <v>7333</v>
      </c>
      <c r="E1457" s="453" t="s">
        <v>7334</v>
      </c>
    </row>
    <row r="1458" spans="1:5">
      <c r="A1458" s="453">
        <v>549488607</v>
      </c>
      <c r="B1458" s="453">
        <v>740454690.73538303</v>
      </c>
      <c r="D1458" s="453" t="s">
        <v>7335</v>
      </c>
      <c r="E1458" s="453" t="s">
        <v>7336</v>
      </c>
    </row>
    <row r="1459" spans="1:5">
      <c r="A1459" s="453">
        <v>549582180</v>
      </c>
      <c r="B1459" s="453">
        <v>740548263.73640394</v>
      </c>
      <c r="D1459" s="453" t="s">
        <v>7337</v>
      </c>
      <c r="E1459" s="453" t="s">
        <v>7338</v>
      </c>
    </row>
    <row r="1460" spans="1:5">
      <c r="A1460" s="453">
        <v>549657775</v>
      </c>
      <c r="B1460" s="453">
        <v>740623858.73727906</v>
      </c>
      <c r="D1460" s="453" t="s">
        <v>7339</v>
      </c>
      <c r="E1460" s="453" t="s">
        <v>7340</v>
      </c>
    </row>
    <row r="1461" spans="1:5">
      <c r="A1461" s="453">
        <v>549697475</v>
      </c>
      <c r="B1461" s="453">
        <v>740663558.73786402</v>
      </c>
      <c r="D1461" s="453" t="s">
        <v>7341</v>
      </c>
      <c r="E1461" s="453" t="s">
        <v>7342</v>
      </c>
    </row>
    <row r="1462" spans="1:5">
      <c r="A1462" s="453">
        <v>549830648</v>
      </c>
      <c r="B1462" s="453">
        <v>740796731.739411</v>
      </c>
      <c r="D1462" s="453" t="s">
        <v>7343</v>
      </c>
      <c r="E1462" s="453" t="s">
        <v>7344</v>
      </c>
    </row>
    <row r="1463" spans="1:5">
      <c r="A1463" s="453">
        <v>549929023</v>
      </c>
      <c r="B1463" s="453">
        <v>740895106.74049604</v>
      </c>
      <c r="D1463" s="453" t="s">
        <v>7345</v>
      </c>
      <c r="E1463" s="453" t="s">
        <v>7346</v>
      </c>
    </row>
    <row r="1464" spans="1:5">
      <c r="A1464" s="453">
        <v>549996153</v>
      </c>
      <c r="B1464" s="453">
        <v>740962236.74126303</v>
      </c>
      <c r="D1464" s="453" t="s">
        <v>7347</v>
      </c>
      <c r="E1464" s="453" t="s">
        <v>7348</v>
      </c>
    </row>
    <row r="1465" spans="1:5">
      <c r="A1465" s="453">
        <v>550082550</v>
      </c>
      <c r="B1465" s="453">
        <v>741048633.742239</v>
      </c>
      <c r="D1465" s="453" t="s">
        <v>7349</v>
      </c>
      <c r="E1465" s="453" t="s">
        <v>7350</v>
      </c>
    </row>
    <row r="1466" spans="1:5">
      <c r="A1466" s="453">
        <v>550143764</v>
      </c>
      <c r="B1466" s="453">
        <v>741109847.74294603</v>
      </c>
      <c r="D1466" s="453" t="s">
        <v>7351</v>
      </c>
      <c r="E1466" s="453" t="s">
        <v>7352</v>
      </c>
    </row>
    <row r="1467" spans="1:5">
      <c r="A1467" s="453">
        <v>550251748</v>
      </c>
      <c r="B1467" s="453">
        <v>741217831.74416399</v>
      </c>
      <c r="D1467" s="453" t="s">
        <v>7353</v>
      </c>
      <c r="E1467" s="453" t="s">
        <v>7354</v>
      </c>
    </row>
    <row r="1468" spans="1:5">
      <c r="A1468" s="453">
        <v>550359758</v>
      </c>
      <c r="B1468" s="453">
        <v>741325841.74536097</v>
      </c>
      <c r="D1468" s="453" t="s">
        <v>7355</v>
      </c>
      <c r="E1468" s="453" t="s">
        <v>7356</v>
      </c>
    </row>
    <row r="1469" spans="1:5">
      <c r="A1469" s="453">
        <v>550435382</v>
      </c>
      <c r="B1469" s="453">
        <v>741401465.74624705</v>
      </c>
      <c r="D1469" s="453" t="s">
        <v>7357</v>
      </c>
      <c r="E1469" s="453" t="s">
        <v>7358</v>
      </c>
    </row>
    <row r="1470" spans="1:5">
      <c r="A1470" s="453">
        <v>550510937</v>
      </c>
      <c r="B1470" s="453">
        <v>741477020.74709201</v>
      </c>
      <c r="D1470" s="453" t="s">
        <v>7359</v>
      </c>
      <c r="E1470" s="453" t="s">
        <v>7360</v>
      </c>
    </row>
    <row r="1471" spans="1:5">
      <c r="A1471" s="453">
        <v>550597338</v>
      </c>
      <c r="B1471" s="453">
        <v>741563421.74806094</v>
      </c>
      <c r="D1471" s="453" t="s">
        <v>7361</v>
      </c>
      <c r="E1471" s="453" t="s">
        <v>7362</v>
      </c>
    </row>
    <row r="1472" spans="1:5">
      <c r="A1472" s="453">
        <v>550705348</v>
      </c>
      <c r="B1472" s="453">
        <v>741671431.74927104</v>
      </c>
      <c r="D1472" s="453" t="s">
        <v>7363</v>
      </c>
      <c r="E1472" s="453" t="s">
        <v>7364</v>
      </c>
    </row>
    <row r="1473" spans="1:5">
      <c r="A1473" s="453">
        <v>550780967</v>
      </c>
      <c r="B1473" s="453">
        <v>741747050.75014901</v>
      </c>
      <c r="D1473" s="453" t="s">
        <v>7365</v>
      </c>
      <c r="E1473" s="453" t="s">
        <v>7366</v>
      </c>
    </row>
    <row r="1474" spans="1:5">
      <c r="A1474" s="453">
        <v>550856527</v>
      </c>
      <c r="B1474" s="453">
        <v>741822610.75098705</v>
      </c>
      <c r="D1474" s="453" t="s">
        <v>7367</v>
      </c>
      <c r="E1474" s="453" t="s">
        <v>7368</v>
      </c>
    </row>
    <row r="1475" spans="1:5">
      <c r="A1475" s="453">
        <v>551050932</v>
      </c>
      <c r="B1475" s="453">
        <v>742017015.75317204</v>
      </c>
      <c r="D1475" s="453" t="s">
        <v>7369</v>
      </c>
      <c r="E1475" s="453" t="s">
        <v>7370</v>
      </c>
    </row>
    <row r="1476" spans="1:5">
      <c r="A1476" s="453">
        <v>551137328</v>
      </c>
      <c r="B1476" s="453">
        <v>742103411.75414205</v>
      </c>
      <c r="D1476" s="453" t="s">
        <v>7371</v>
      </c>
      <c r="E1476" s="453" t="s">
        <v>7372</v>
      </c>
    </row>
    <row r="1477" spans="1:5">
      <c r="A1477" s="453">
        <v>551209342</v>
      </c>
      <c r="B1477" s="453">
        <v>742175425.75498903</v>
      </c>
      <c r="D1477" s="453" t="s">
        <v>7373</v>
      </c>
      <c r="E1477" s="453" t="s">
        <v>7374</v>
      </c>
    </row>
    <row r="1478" spans="1:5">
      <c r="A1478" s="453">
        <v>551310120</v>
      </c>
      <c r="B1478" s="453">
        <v>742276203.75609398</v>
      </c>
      <c r="D1478" s="453" t="s">
        <v>7375</v>
      </c>
      <c r="E1478" s="453" t="s">
        <v>7376</v>
      </c>
    </row>
    <row r="1479" spans="1:5">
      <c r="A1479" s="453">
        <v>551396519</v>
      </c>
      <c r="B1479" s="453">
        <v>742362602.75707603</v>
      </c>
      <c r="D1479" s="453" t="s">
        <v>7377</v>
      </c>
      <c r="E1479" s="453" t="s">
        <v>7378</v>
      </c>
    </row>
    <row r="1480" spans="1:5">
      <c r="A1480" s="453">
        <v>551482921</v>
      </c>
      <c r="B1480" s="453">
        <v>742449004.75805795</v>
      </c>
      <c r="D1480" s="453" t="s">
        <v>7379</v>
      </c>
      <c r="E1480" s="453" t="s">
        <v>7380</v>
      </c>
    </row>
    <row r="1481" spans="1:5">
      <c r="A1481" s="453">
        <v>551569314</v>
      </c>
      <c r="B1481" s="453">
        <v>742535397.75903296</v>
      </c>
      <c r="D1481" s="453" t="s">
        <v>7381</v>
      </c>
      <c r="E1481" s="453" t="s">
        <v>7382</v>
      </c>
    </row>
    <row r="1482" spans="1:5">
      <c r="A1482" s="453">
        <v>551655708</v>
      </c>
      <c r="B1482" s="453">
        <v>742621791.759992</v>
      </c>
      <c r="D1482" s="453" t="s">
        <v>7383</v>
      </c>
      <c r="E1482" s="453" t="s">
        <v>7384</v>
      </c>
    </row>
    <row r="1483" spans="1:5">
      <c r="A1483" s="453">
        <v>551742102</v>
      </c>
      <c r="B1483" s="453">
        <v>742708185.76097202</v>
      </c>
      <c r="D1483" s="453" t="s">
        <v>7385</v>
      </c>
      <c r="E1483" s="453" t="s">
        <v>7386</v>
      </c>
    </row>
    <row r="1484" spans="1:5">
      <c r="A1484" s="453">
        <v>551828502</v>
      </c>
      <c r="B1484" s="453">
        <v>742794585.76195502</v>
      </c>
      <c r="D1484" s="453" t="s">
        <v>7387</v>
      </c>
      <c r="E1484" s="453" t="s">
        <v>7388</v>
      </c>
    </row>
    <row r="1485" spans="1:5">
      <c r="A1485" s="453">
        <v>551914896</v>
      </c>
      <c r="B1485" s="453">
        <v>742880979.762923</v>
      </c>
      <c r="D1485" s="453" t="s">
        <v>7389</v>
      </c>
      <c r="E1485" s="453" t="s">
        <v>7390</v>
      </c>
    </row>
    <row r="1486" spans="1:5">
      <c r="A1486" s="453">
        <v>552001295</v>
      </c>
      <c r="B1486" s="453">
        <v>742967378.76389599</v>
      </c>
      <c r="D1486" s="453" t="s">
        <v>7391</v>
      </c>
      <c r="E1486" s="453" t="s">
        <v>7392</v>
      </c>
    </row>
    <row r="1487" spans="1:5">
      <c r="A1487" s="453">
        <v>552069695</v>
      </c>
      <c r="B1487" s="453">
        <v>743035778.76469004</v>
      </c>
      <c r="D1487" s="453" t="s">
        <v>7393</v>
      </c>
      <c r="E1487" s="453" t="s">
        <v>7394</v>
      </c>
    </row>
    <row r="1488" spans="1:5">
      <c r="A1488" s="453">
        <v>552174083</v>
      </c>
      <c r="B1488" s="453">
        <v>743140166.76584995</v>
      </c>
      <c r="D1488" s="453" t="s">
        <v>7395</v>
      </c>
      <c r="E1488" s="453" t="s">
        <v>7396</v>
      </c>
    </row>
    <row r="1489" spans="1:5">
      <c r="A1489" s="453">
        <v>552242483</v>
      </c>
      <c r="B1489" s="453">
        <v>743208566.76664305</v>
      </c>
      <c r="D1489" s="453" t="s">
        <v>7397</v>
      </c>
      <c r="E1489" s="453" t="s">
        <v>7398</v>
      </c>
    </row>
    <row r="1490" spans="1:5">
      <c r="A1490" s="453">
        <v>552346868</v>
      </c>
      <c r="B1490" s="453">
        <v>743312951.76779306</v>
      </c>
      <c r="D1490" s="453" t="s">
        <v>7399</v>
      </c>
      <c r="E1490" s="453" t="s">
        <v>7400</v>
      </c>
    </row>
    <row r="1491" spans="1:5">
      <c r="A1491" s="453">
        <v>552433263</v>
      </c>
      <c r="B1491" s="453">
        <v>743399346.76877797</v>
      </c>
      <c r="D1491" s="453" t="s">
        <v>7401</v>
      </c>
      <c r="E1491" s="453" t="s">
        <v>7402</v>
      </c>
    </row>
    <row r="1492" spans="1:5">
      <c r="A1492" s="453">
        <v>552519659</v>
      </c>
      <c r="B1492" s="453">
        <v>743485742.76973903</v>
      </c>
      <c r="D1492" s="453" t="s">
        <v>7403</v>
      </c>
      <c r="E1492" s="453" t="s">
        <v>7404</v>
      </c>
    </row>
    <row r="1493" spans="1:5">
      <c r="A1493" s="453">
        <v>552562827</v>
      </c>
      <c r="B1493" s="453">
        <v>743528910.77021694</v>
      </c>
      <c r="D1493" s="453" t="s">
        <v>7405</v>
      </c>
      <c r="E1493" s="453" t="s">
        <v>7406</v>
      </c>
    </row>
    <row r="1494" spans="1:5">
      <c r="A1494" s="453">
        <v>552692443</v>
      </c>
      <c r="B1494" s="453">
        <v>743658526.77170503</v>
      </c>
      <c r="D1494" s="453" t="s">
        <v>7407</v>
      </c>
      <c r="E1494" s="453" t="s">
        <v>7408</v>
      </c>
    </row>
    <row r="1495" spans="1:5">
      <c r="A1495" s="453">
        <v>552757243</v>
      </c>
      <c r="B1495" s="453">
        <v>743723326.77244794</v>
      </c>
      <c r="D1495" s="453" t="s">
        <v>7409</v>
      </c>
      <c r="E1495" s="453" t="s">
        <v>7410</v>
      </c>
    </row>
    <row r="1496" spans="1:5">
      <c r="A1496" s="453">
        <v>552865233</v>
      </c>
      <c r="B1496" s="453">
        <v>743831316.77363801</v>
      </c>
      <c r="D1496" s="453" t="s">
        <v>7411</v>
      </c>
      <c r="E1496" s="453" t="s">
        <v>7412</v>
      </c>
    </row>
    <row r="1497" spans="1:5">
      <c r="A1497" s="453">
        <v>552948027</v>
      </c>
      <c r="B1497" s="453">
        <v>743914110.77458</v>
      </c>
      <c r="D1497" s="453" t="s">
        <v>7413</v>
      </c>
      <c r="E1497" s="453" t="s">
        <v>7414</v>
      </c>
    </row>
    <row r="1498" spans="1:5">
      <c r="A1498" s="453">
        <v>553016407</v>
      </c>
      <c r="B1498" s="453">
        <v>743982490.77535498</v>
      </c>
      <c r="D1498" s="453" t="s">
        <v>7415</v>
      </c>
      <c r="E1498" s="453" t="s">
        <v>7416</v>
      </c>
    </row>
    <row r="1499" spans="1:5">
      <c r="A1499" s="453">
        <v>553124414</v>
      </c>
      <c r="B1499" s="453">
        <v>744090497.77657402</v>
      </c>
      <c r="D1499" s="453" t="s">
        <v>7417</v>
      </c>
      <c r="E1499" s="453" t="s">
        <v>7418</v>
      </c>
    </row>
    <row r="1500" spans="1:5">
      <c r="A1500" s="453">
        <v>553160409</v>
      </c>
      <c r="B1500" s="453">
        <v>744126492.77697694</v>
      </c>
      <c r="D1500" s="453" t="s">
        <v>7419</v>
      </c>
      <c r="E1500" s="453" t="s">
        <v>7420</v>
      </c>
    </row>
    <row r="1501" spans="1:5">
      <c r="A1501" s="453">
        <v>553221620</v>
      </c>
      <c r="B1501" s="453">
        <v>744187703.77766895</v>
      </c>
      <c r="D1501" s="453" t="s">
        <v>7421</v>
      </c>
      <c r="E1501" s="453" t="s">
        <v>7422</v>
      </c>
    </row>
    <row r="1502" spans="1:5">
      <c r="A1502" s="453">
        <v>553333197</v>
      </c>
      <c r="B1502" s="453">
        <v>744299280.778934</v>
      </c>
      <c r="D1502" s="453" t="s">
        <v>7423</v>
      </c>
      <c r="E1502" s="453" t="s">
        <v>7424</v>
      </c>
    </row>
    <row r="1503" spans="1:5">
      <c r="A1503" s="453">
        <v>553448387</v>
      </c>
      <c r="B1503" s="453">
        <v>744414470.78022397</v>
      </c>
      <c r="D1503" s="453" t="s">
        <v>7425</v>
      </c>
      <c r="E1503" s="453" t="s">
        <v>7426</v>
      </c>
    </row>
    <row r="1504" spans="1:5">
      <c r="A1504" s="453">
        <v>554074770</v>
      </c>
      <c r="B1504" s="453">
        <v>745040853.78725898</v>
      </c>
      <c r="D1504" s="453" t="s">
        <v>7427</v>
      </c>
      <c r="E1504" s="453" t="s">
        <v>7428</v>
      </c>
    </row>
    <row r="1505" spans="1:5">
      <c r="A1505" s="453">
        <v>554082001</v>
      </c>
      <c r="B1505" s="453">
        <v>745048084.78735602</v>
      </c>
      <c r="D1505" s="453" t="s">
        <v>7429</v>
      </c>
      <c r="E1505" s="453" t="s">
        <v>7430</v>
      </c>
    </row>
    <row r="1506" spans="1:5">
      <c r="A1506" s="453">
        <v>554679546</v>
      </c>
      <c r="B1506" s="453">
        <v>745645629.79404199</v>
      </c>
      <c r="D1506" s="453" t="s">
        <v>7431</v>
      </c>
      <c r="E1506" s="453" t="s">
        <v>7432</v>
      </c>
    </row>
    <row r="1507" spans="1:5">
      <c r="A1507" s="453">
        <v>554711963</v>
      </c>
      <c r="B1507" s="453">
        <v>745678046.79441905</v>
      </c>
      <c r="D1507" s="453" t="s">
        <v>7433</v>
      </c>
      <c r="E1507" s="453" t="s">
        <v>7434</v>
      </c>
    </row>
    <row r="1508" spans="1:5">
      <c r="A1508" s="453">
        <v>555197878</v>
      </c>
      <c r="B1508" s="453">
        <v>746163961.79986298</v>
      </c>
      <c r="D1508" s="453" t="s">
        <v>7435</v>
      </c>
      <c r="E1508" s="453" t="s">
        <v>7436</v>
      </c>
    </row>
    <row r="1509" spans="1:5">
      <c r="A1509" s="453">
        <v>555284257</v>
      </c>
      <c r="B1509" s="453">
        <v>746250340.80083096</v>
      </c>
      <c r="D1509" s="453" t="s">
        <v>7437</v>
      </c>
      <c r="E1509" s="453" t="s">
        <v>7438</v>
      </c>
    </row>
    <row r="1510" spans="1:5">
      <c r="A1510" s="453">
        <v>555287885</v>
      </c>
      <c r="B1510" s="453">
        <v>746253968.80088305</v>
      </c>
      <c r="D1510" s="453" t="s">
        <v>7439</v>
      </c>
      <c r="E1510" s="453" t="s">
        <v>7440</v>
      </c>
    </row>
    <row r="1511" spans="1:5">
      <c r="A1511" s="453">
        <v>555889053</v>
      </c>
      <c r="B1511" s="453">
        <v>746855136.80764902</v>
      </c>
      <c r="D1511" s="453" t="s">
        <v>7441</v>
      </c>
      <c r="E1511" s="453" t="s">
        <v>7442</v>
      </c>
    </row>
    <row r="1512" spans="1:5">
      <c r="A1512" s="453">
        <v>555917881</v>
      </c>
      <c r="B1512" s="453">
        <v>746883964.80793595</v>
      </c>
      <c r="D1512" s="453" t="s">
        <v>7443</v>
      </c>
      <c r="E1512" s="453" t="s">
        <v>7444</v>
      </c>
    </row>
    <row r="1513" spans="1:5">
      <c r="A1513" s="453">
        <v>556493758</v>
      </c>
      <c r="B1513" s="453">
        <v>747459841.81432295</v>
      </c>
      <c r="D1513" s="453" t="s">
        <v>7445</v>
      </c>
      <c r="E1513" s="453" t="s">
        <v>7446</v>
      </c>
    </row>
    <row r="1514" spans="1:5">
      <c r="A1514" s="453">
        <v>557094878</v>
      </c>
      <c r="B1514" s="453">
        <v>748060961.82103503</v>
      </c>
      <c r="D1514" s="453" t="s">
        <v>7447</v>
      </c>
      <c r="E1514" s="453" t="s">
        <v>7448</v>
      </c>
    </row>
    <row r="1515" spans="1:5">
      <c r="A1515" s="453">
        <v>557123665</v>
      </c>
      <c r="B1515" s="453">
        <v>748089748.82137299</v>
      </c>
      <c r="D1515" s="453" t="s">
        <v>7449</v>
      </c>
      <c r="E1515" s="453" t="s">
        <v>7450</v>
      </c>
    </row>
    <row r="1516" spans="1:5">
      <c r="A1516" s="453">
        <v>557357510</v>
      </c>
      <c r="B1516" s="453">
        <v>748323593.82394397</v>
      </c>
      <c r="D1516" s="453" t="s">
        <v>7451</v>
      </c>
      <c r="E1516" s="453" t="s">
        <v>7452</v>
      </c>
    </row>
    <row r="1517" spans="1:5">
      <c r="A1517" s="453">
        <v>557440431</v>
      </c>
      <c r="B1517" s="453">
        <v>748406514.82490003</v>
      </c>
      <c r="D1517" s="453" t="s">
        <v>7453</v>
      </c>
      <c r="E1517" s="453" t="s">
        <v>7454</v>
      </c>
    </row>
    <row r="1518" spans="1:5">
      <c r="A1518" s="453">
        <v>558102633</v>
      </c>
      <c r="B1518" s="453">
        <v>749068716.83224106</v>
      </c>
      <c r="D1518" s="453" t="s">
        <v>7455</v>
      </c>
      <c r="E1518" s="453" t="s">
        <v>7456</v>
      </c>
    </row>
    <row r="1519" spans="1:5">
      <c r="A1519" s="453">
        <v>558189047</v>
      </c>
      <c r="B1519" s="453">
        <v>749155130.83320999</v>
      </c>
      <c r="D1519" s="453" t="s">
        <v>7457</v>
      </c>
      <c r="E1519" s="453" t="s">
        <v>7458</v>
      </c>
    </row>
    <row r="1520" spans="1:5">
      <c r="A1520" s="453">
        <v>558307808</v>
      </c>
      <c r="B1520" s="453">
        <v>749273891.83446896</v>
      </c>
      <c r="D1520" s="453" t="s">
        <v>7459</v>
      </c>
      <c r="E1520" s="453" t="s">
        <v>7460</v>
      </c>
    </row>
    <row r="1521" spans="1:5">
      <c r="A1521" s="453">
        <v>558394194</v>
      </c>
      <c r="B1521" s="453">
        <v>749360277.83544195</v>
      </c>
      <c r="D1521" s="453" t="s">
        <v>7461</v>
      </c>
      <c r="E1521" s="453" t="s">
        <v>7462</v>
      </c>
    </row>
    <row r="1522" spans="1:5">
      <c r="A1522" s="453">
        <v>558477012</v>
      </c>
      <c r="B1522" s="453">
        <v>749443095.83637297</v>
      </c>
      <c r="D1522" s="453" t="s">
        <v>7463</v>
      </c>
      <c r="E1522" s="453" t="s">
        <v>7464</v>
      </c>
    </row>
    <row r="1523" spans="1:5">
      <c r="A1523" s="453">
        <v>558559773</v>
      </c>
      <c r="B1523" s="453">
        <v>749525856.83730304</v>
      </c>
      <c r="D1523" s="453" t="s">
        <v>7465</v>
      </c>
      <c r="E1523" s="453" t="s">
        <v>7466</v>
      </c>
    </row>
    <row r="1524" spans="1:5">
      <c r="A1524" s="453">
        <v>558646444</v>
      </c>
      <c r="B1524" s="453">
        <v>749612527.83825397</v>
      </c>
      <c r="D1524" s="453" t="s">
        <v>7467</v>
      </c>
      <c r="E1524" s="453" t="s">
        <v>7468</v>
      </c>
    </row>
    <row r="1525" spans="1:5">
      <c r="A1525" s="453">
        <v>558739744</v>
      </c>
      <c r="B1525" s="453">
        <v>749705827.839252</v>
      </c>
      <c r="D1525" s="453" t="s">
        <v>7469</v>
      </c>
      <c r="E1525" s="453" t="s">
        <v>7470</v>
      </c>
    </row>
    <row r="1526" spans="1:5">
      <c r="A1526" s="453">
        <v>558782910</v>
      </c>
      <c r="B1526" s="453">
        <v>749748993.83975804</v>
      </c>
      <c r="D1526" s="453" t="s">
        <v>7471</v>
      </c>
      <c r="E1526" s="453" t="s">
        <v>7472</v>
      </c>
    </row>
    <row r="1527" spans="1:5">
      <c r="A1527" s="453">
        <v>558905327</v>
      </c>
      <c r="B1527" s="453">
        <v>749871410.841097</v>
      </c>
      <c r="D1527" s="453" t="s">
        <v>7473</v>
      </c>
      <c r="E1527" s="453" t="s">
        <v>7474</v>
      </c>
    </row>
    <row r="1528" spans="1:5">
      <c r="A1528" s="453">
        <v>558991886</v>
      </c>
      <c r="B1528" s="453">
        <v>749957969.84205699</v>
      </c>
      <c r="D1528" s="453" t="s">
        <v>7475</v>
      </c>
      <c r="E1528" s="453" t="s">
        <v>7476</v>
      </c>
    </row>
    <row r="1529" spans="1:5">
      <c r="A1529" s="453">
        <v>559078122</v>
      </c>
      <c r="B1529" s="453">
        <v>750044205.84301102</v>
      </c>
      <c r="D1529" s="453" t="s">
        <v>7477</v>
      </c>
      <c r="E1529" s="453" t="s">
        <v>7478</v>
      </c>
    </row>
    <row r="1530" spans="1:5">
      <c r="A1530" s="453">
        <v>559171673</v>
      </c>
      <c r="B1530" s="453">
        <v>750137756.84400797</v>
      </c>
      <c r="D1530" s="453" t="s">
        <v>7479</v>
      </c>
      <c r="E1530" s="453" t="s">
        <v>7480</v>
      </c>
    </row>
    <row r="1531" spans="1:5">
      <c r="A1531" s="453">
        <v>559250898</v>
      </c>
      <c r="B1531" s="453">
        <v>750216981.84489405</v>
      </c>
      <c r="D1531" s="453" t="s">
        <v>7481</v>
      </c>
      <c r="E1531" s="453" t="s">
        <v>7482</v>
      </c>
    </row>
    <row r="1532" spans="1:5">
      <c r="A1532" s="453">
        <v>559308476</v>
      </c>
      <c r="B1532" s="453">
        <v>750274559.84554505</v>
      </c>
      <c r="D1532" s="453" t="s">
        <v>7483</v>
      </c>
      <c r="E1532" s="453" t="s">
        <v>7484</v>
      </c>
    </row>
    <row r="1533" spans="1:5">
      <c r="A1533" s="453">
        <v>559420047</v>
      </c>
      <c r="B1533" s="453">
        <v>750386130.84675598</v>
      </c>
      <c r="D1533" s="453" t="s">
        <v>7485</v>
      </c>
      <c r="E1533" s="453" t="s">
        <v>7486</v>
      </c>
    </row>
    <row r="1534" spans="1:5">
      <c r="A1534" s="453">
        <v>559510061</v>
      </c>
      <c r="B1534" s="453">
        <v>750476144.84774196</v>
      </c>
      <c r="D1534" s="453" t="s">
        <v>7487</v>
      </c>
      <c r="E1534" s="453" t="s">
        <v>7488</v>
      </c>
    </row>
    <row r="1535" spans="1:5">
      <c r="A1535" s="453">
        <v>559592852</v>
      </c>
      <c r="B1535" s="453">
        <v>750558935.84864497</v>
      </c>
      <c r="D1535" s="453" t="s">
        <v>7489</v>
      </c>
      <c r="E1535" s="453" t="s">
        <v>7490</v>
      </c>
    </row>
    <row r="1536" spans="1:5">
      <c r="A1536" s="453">
        <v>559668398</v>
      </c>
      <c r="B1536" s="453">
        <v>750634481.84945095</v>
      </c>
      <c r="D1536" s="453" t="s">
        <v>7491</v>
      </c>
      <c r="E1536" s="453" t="s">
        <v>7492</v>
      </c>
    </row>
    <row r="1537" spans="1:5">
      <c r="A1537" s="453">
        <v>559736795</v>
      </c>
      <c r="B1537" s="453">
        <v>750702878.85022795</v>
      </c>
      <c r="D1537" s="453" t="s">
        <v>7493</v>
      </c>
      <c r="E1537" s="453" t="s">
        <v>7494</v>
      </c>
    </row>
    <row r="1538" spans="1:5">
      <c r="A1538" s="453">
        <v>559823187</v>
      </c>
      <c r="B1538" s="453">
        <v>750789270.85117698</v>
      </c>
      <c r="D1538" s="453" t="s">
        <v>7495</v>
      </c>
      <c r="E1538" s="453" t="s">
        <v>7496</v>
      </c>
    </row>
    <row r="1539" spans="1:5">
      <c r="A1539" s="453">
        <v>559913194</v>
      </c>
      <c r="B1539" s="453">
        <v>750879277.85216796</v>
      </c>
      <c r="D1539" s="453" t="s">
        <v>7497</v>
      </c>
      <c r="E1539" s="453" t="s">
        <v>7498</v>
      </c>
    </row>
    <row r="1540" spans="1:5">
      <c r="A1540" s="453">
        <v>559995952</v>
      </c>
      <c r="B1540" s="453">
        <v>750962035.85305905</v>
      </c>
      <c r="D1540" s="453" t="s">
        <v>7499</v>
      </c>
      <c r="E1540" s="453" t="s">
        <v>7500</v>
      </c>
    </row>
    <row r="1541" spans="1:5">
      <c r="A1541" s="453">
        <v>560111150</v>
      </c>
      <c r="B1541" s="453">
        <v>751077233.85430706</v>
      </c>
      <c r="D1541" s="453" t="s">
        <v>7501</v>
      </c>
      <c r="E1541" s="453" t="s">
        <v>7502</v>
      </c>
    </row>
    <row r="1542" spans="1:5">
      <c r="A1542" s="453">
        <v>560197531</v>
      </c>
      <c r="B1542" s="453">
        <v>751163614.85526097</v>
      </c>
      <c r="D1542" s="453" t="s">
        <v>7503</v>
      </c>
      <c r="E1542" s="453" t="s">
        <v>7504</v>
      </c>
    </row>
    <row r="1543" spans="1:5">
      <c r="A1543" s="453">
        <v>560280329</v>
      </c>
      <c r="B1543" s="453">
        <v>751246412.856161</v>
      </c>
      <c r="D1543" s="453" t="s">
        <v>7505</v>
      </c>
      <c r="E1543" s="453" t="s">
        <v>7506</v>
      </c>
    </row>
    <row r="1544" spans="1:5">
      <c r="A1544" s="453">
        <v>560370334</v>
      </c>
      <c r="B1544" s="453">
        <v>751336417.85714197</v>
      </c>
      <c r="D1544" s="453" t="s">
        <v>7507</v>
      </c>
      <c r="E1544" s="453" t="s">
        <v>7508</v>
      </c>
    </row>
    <row r="1545" spans="1:5">
      <c r="A1545" s="453">
        <v>560420672</v>
      </c>
      <c r="B1545" s="453">
        <v>751386755.85770202</v>
      </c>
      <c r="D1545" s="453" t="s">
        <v>7509</v>
      </c>
      <c r="E1545" s="453" t="s">
        <v>7510</v>
      </c>
    </row>
    <row r="1546" spans="1:5">
      <c r="A1546" s="453">
        <v>560553871</v>
      </c>
      <c r="B1546" s="453">
        <v>751519954.85911703</v>
      </c>
      <c r="D1546" s="453" t="s">
        <v>7511</v>
      </c>
      <c r="E1546" s="453" t="s">
        <v>7512</v>
      </c>
    </row>
    <row r="1547" spans="1:5">
      <c r="A1547" s="453">
        <v>560589843</v>
      </c>
      <c r="B1547" s="453">
        <v>751555926.85954201</v>
      </c>
      <c r="D1547" s="453" t="s">
        <v>7513</v>
      </c>
      <c r="E1547" s="453" t="s">
        <v>7514</v>
      </c>
    </row>
    <row r="1548" spans="1:5">
      <c r="A1548" s="453">
        <v>560676231</v>
      </c>
      <c r="B1548" s="453">
        <v>751642314.86048305</v>
      </c>
      <c r="D1548" s="453" t="s">
        <v>7515</v>
      </c>
      <c r="E1548" s="453" t="s">
        <v>7516</v>
      </c>
    </row>
    <row r="1549" spans="1:5">
      <c r="A1549" s="453">
        <v>560802282</v>
      </c>
      <c r="B1549" s="453">
        <v>751768365.86184001</v>
      </c>
      <c r="D1549" s="453" t="s">
        <v>7517</v>
      </c>
      <c r="E1549" s="453" t="s">
        <v>7518</v>
      </c>
    </row>
    <row r="1550" spans="1:5">
      <c r="A1550" s="453">
        <v>560888655</v>
      </c>
      <c r="B1550" s="453">
        <v>751854738.862795</v>
      </c>
      <c r="D1550" s="453" t="s">
        <v>7519</v>
      </c>
      <c r="E1550" s="453" t="s">
        <v>7520</v>
      </c>
    </row>
    <row r="1551" spans="1:5">
      <c r="A1551" s="453">
        <v>560946239</v>
      </c>
      <c r="B1551" s="453">
        <v>751912322.86342597</v>
      </c>
      <c r="D1551" s="453" t="s">
        <v>7521</v>
      </c>
      <c r="E1551" s="453" t="s">
        <v>7522</v>
      </c>
    </row>
    <row r="1552" spans="1:5">
      <c r="A1552" s="453">
        <v>561072196</v>
      </c>
      <c r="B1552" s="453">
        <v>752038279.86476696</v>
      </c>
      <c r="D1552" s="453" t="s">
        <v>7523</v>
      </c>
      <c r="E1552" s="453" t="s">
        <v>7524</v>
      </c>
    </row>
    <row r="1553" spans="1:5">
      <c r="A1553" s="453">
        <v>561144211</v>
      </c>
      <c r="B1553" s="453">
        <v>752110294.86555898</v>
      </c>
      <c r="D1553" s="453" t="s">
        <v>7525</v>
      </c>
      <c r="E1553" s="453" t="s">
        <v>7526</v>
      </c>
    </row>
    <row r="1554" spans="1:5">
      <c r="A1554" s="453">
        <v>561230606</v>
      </c>
      <c r="B1554" s="453">
        <v>752196689.86650395</v>
      </c>
      <c r="D1554" s="453" t="s">
        <v>7527</v>
      </c>
      <c r="E1554" s="453" t="s">
        <v>7528</v>
      </c>
    </row>
    <row r="1555" spans="1:5">
      <c r="A1555" s="453">
        <v>561316997</v>
      </c>
      <c r="B1555" s="453">
        <v>752283080.86742997</v>
      </c>
      <c r="D1555" s="453" t="s">
        <v>7529</v>
      </c>
      <c r="E1555" s="453" t="s">
        <v>7530</v>
      </c>
    </row>
    <row r="1556" spans="1:5">
      <c r="A1556" s="453">
        <v>561403388</v>
      </c>
      <c r="B1556" s="453">
        <v>752369471.86837602</v>
      </c>
      <c r="D1556" s="453" t="s">
        <v>7531</v>
      </c>
      <c r="E1556" s="453" t="s">
        <v>7532</v>
      </c>
    </row>
    <row r="1557" spans="1:5">
      <c r="A1557" s="453">
        <v>561489779</v>
      </c>
      <c r="B1557" s="453">
        <v>752455862.86930597</v>
      </c>
      <c r="D1557" s="453" t="s">
        <v>7533</v>
      </c>
      <c r="E1557" s="453" t="s">
        <v>7534</v>
      </c>
    </row>
    <row r="1558" spans="1:5">
      <c r="A1558" s="453">
        <v>561591438</v>
      </c>
      <c r="B1558" s="453">
        <v>752557521.87039304</v>
      </c>
      <c r="D1558" s="453" t="s">
        <v>7535</v>
      </c>
      <c r="E1558" s="453" t="s">
        <v>7536</v>
      </c>
    </row>
    <row r="1559" spans="1:5">
      <c r="A1559" s="453">
        <v>561676917</v>
      </c>
      <c r="B1559" s="453">
        <v>752643000.87132096</v>
      </c>
      <c r="D1559" s="453" t="s">
        <v>7537</v>
      </c>
      <c r="E1559" s="453" t="s">
        <v>7538</v>
      </c>
    </row>
    <row r="1560" spans="1:5">
      <c r="A1560" s="453">
        <v>561720126</v>
      </c>
      <c r="B1560" s="453">
        <v>752686209.87179995</v>
      </c>
      <c r="D1560" s="453" t="s">
        <v>7539</v>
      </c>
      <c r="E1560" s="453" t="s">
        <v>7540</v>
      </c>
    </row>
    <row r="1561" spans="1:5">
      <c r="A1561" s="453">
        <v>561806510</v>
      </c>
      <c r="B1561" s="453">
        <v>752772593.87273896</v>
      </c>
      <c r="D1561" s="453" t="s">
        <v>7541</v>
      </c>
      <c r="E1561" s="453" t="s">
        <v>7542</v>
      </c>
    </row>
    <row r="1562" spans="1:5">
      <c r="A1562" s="453">
        <v>561936706</v>
      </c>
      <c r="B1562" s="453">
        <v>752902789.87413394</v>
      </c>
      <c r="D1562" s="453" t="s">
        <v>7543</v>
      </c>
      <c r="E1562" s="453" t="s">
        <v>7544</v>
      </c>
    </row>
    <row r="1563" spans="1:5">
      <c r="A1563" s="453">
        <v>562008115</v>
      </c>
      <c r="B1563" s="453">
        <v>752974198.87492299</v>
      </c>
      <c r="D1563" s="453" t="s">
        <v>7545</v>
      </c>
      <c r="E1563" s="453" t="s">
        <v>7546</v>
      </c>
    </row>
    <row r="1564" spans="1:5">
      <c r="A1564" s="453">
        <v>562108864</v>
      </c>
      <c r="B1564" s="453">
        <v>753074947.87598598</v>
      </c>
      <c r="D1564" s="453" t="s">
        <v>7547</v>
      </c>
      <c r="E1564" s="453" t="s">
        <v>7548</v>
      </c>
    </row>
    <row r="1565" spans="1:5">
      <c r="A1565" s="453">
        <v>562180883</v>
      </c>
      <c r="B1565" s="453">
        <v>753146966.876773</v>
      </c>
      <c r="D1565" s="453" t="s">
        <v>7549</v>
      </c>
      <c r="E1565" s="453" t="s">
        <v>7550</v>
      </c>
    </row>
    <row r="1566" spans="1:5">
      <c r="A1566" s="453">
        <v>562267270</v>
      </c>
      <c r="B1566" s="453">
        <v>753233353.87770796</v>
      </c>
      <c r="D1566" s="453" t="s">
        <v>7551</v>
      </c>
      <c r="E1566" s="453" t="s">
        <v>7552</v>
      </c>
    </row>
    <row r="1567" spans="1:5">
      <c r="A1567" s="453">
        <v>562350040</v>
      </c>
      <c r="B1567" s="453">
        <v>753316123.87860298</v>
      </c>
      <c r="D1567" s="453" t="s">
        <v>7553</v>
      </c>
      <c r="E1567" s="453" t="s">
        <v>7554</v>
      </c>
    </row>
    <row r="1568" spans="1:5">
      <c r="A1568" s="453">
        <v>562386004</v>
      </c>
      <c r="B1568" s="453">
        <v>753352087.87895894</v>
      </c>
      <c r="D1568" s="453" t="s">
        <v>7555</v>
      </c>
      <c r="E1568" s="453" t="s">
        <v>7556</v>
      </c>
    </row>
    <row r="1569" spans="1:5">
      <c r="A1569" s="453">
        <v>562540808</v>
      </c>
      <c r="B1569" s="453">
        <v>753506891.88063097</v>
      </c>
      <c r="D1569" s="453" t="s">
        <v>7557</v>
      </c>
      <c r="E1569" s="453" t="s">
        <v>7558</v>
      </c>
    </row>
    <row r="1570" spans="1:5">
      <c r="A1570" s="453">
        <v>562627199</v>
      </c>
      <c r="B1570" s="453">
        <v>753593282.88156199</v>
      </c>
      <c r="D1570" s="453" t="s">
        <v>7559</v>
      </c>
      <c r="E1570" s="453" t="s">
        <v>7560</v>
      </c>
    </row>
    <row r="1571" spans="1:5">
      <c r="A1571" s="453">
        <v>562695606</v>
      </c>
      <c r="B1571" s="453">
        <v>753661689.88232601</v>
      </c>
      <c r="D1571" s="453" t="s">
        <v>7561</v>
      </c>
      <c r="E1571" s="453" t="s">
        <v>7562</v>
      </c>
    </row>
    <row r="1572" spans="1:5">
      <c r="A1572" s="453">
        <v>562799976</v>
      </c>
      <c r="B1572" s="453">
        <v>753766059.88344097</v>
      </c>
      <c r="D1572" s="453" t="s">
        <v>7563</v>
      </c>
      <c r="E1572" s="453" t="s">
        <v>7564</v>
      </c>
    </row>
    <row r="1573" spans="1:5">
      <c r="A1573" s="453">
        <v>562886368</v>
      </c>
      <c r="B1573" s="453">
        <v>753852451.88436997</v>
      </c>
      <c r="D1573" s="453" t="s">
        <v>7565</v>
      </c>
      <c r="E1573" s="453" t="s">
        <v>7566</v>
      </c>
    </row>
    <row r="1574" spans="1:5">
      <c r="A1574" s="453">
        <v>562943954</v>
      </c>
      <c r="B1574" s="453">
        <v>753910037.884969</v>
      </c>
      <c r="D1574" s="453" t="s">
        <v>7567</v>
      </c>
      <c r="E1574" s="453" t="s">
        <v>7568</v>
      </c>
    </row>
    <row r="1575" spans="1:5">
      <c r="A1575" s="453">
        <v>563041185</v>
      </c>
      <c r="B1575" s="453">
        <v>754007268.88602996</v>
      </c>
      <c r="D1575" s="453" t="s">
        <v>7569</v>
      </c>
      <c r="E1575" s="453" t="s">
        <v>7570</v>
      </c>
    </row>
    <row r="1576" spans="1:5">
      <c r="A1576" s="453">
        <v>563145531</v>
      </c>
      <c r="B1576" s="453">
        <v>754111614.88714802</v>
      </c>
      <c r="D1576" s="453" t="s">
        <v>7571</v>
      </c>
      <c r="E1576" s="453" t="s">
        <v>7572</v>
      </c>
    </row>
    <row r="1577" spans="1:5">
      <c r="A1577" s="453">
        <v>563224721</v>
      </c>
      <c r="B1577" s="453">
        <v>754190804.88798797</v>
      </c>
      <c r="D1577" s="453" t="s">
        <v>7573</v>
      </c>
      <c r="E1577" s="453" t="s">
        <v>7574</v>
      </c>
    </row>
    <row r="1578" spans="1:5">
      <c r="A1578" s="453">
        <v>563318315</v>
      </c>
      <c r="B1578" s="453">
        <v>754284398.88899505</v>
      </c>
      <c r="D1578" s="453" t="s">
        <v>7575</v>
      </c>
      <c r="E1578" s="453" t="s">
        <v>7576</v>
      </c>
    </row>
    <row r="1579" spans="1:5">
      <c r="A1579" s="453">
        <v>563404699</v>
      </c>
      <c r="B1579" s="453">
        <v>754370782.88993299</v>
      </c>
      <c r="D1579" s="453" t="s">
        <v>7577</v>
      </c>
      <c r="E1579" s="453" t="s">
        <v>7578</v>
      </c>
    </row>
    <row r="1580" spans="1:5">
      <c r="A1580" s="453">
        <v>563433482</v>
      </c>
      <c r="B1580" s="453">
        <v>754399565.89024794</v>
      </c>
      <c r="D1580" s="453" t="s">
        <v>7579</v>
      </c>
      <c r="E1580" s="453" t="s">
        <v>7580</v>
      </c>
    </row>
    <row r="1581" spans="1:5">
      <c r="A1581" s="453">
        <v>563577481</v>
      </c>
      <c r="B1581" s="453">
        <v>754543564.89178896</v>
      </c>
      <c r="D1581" s="453" t="s">
        <v>7581</v>
      </c>
      <c r="E1581" s="453" t="s">
        <v>7582</v>
      </c>
    </row>
    <row r="1582" spans="1:5">
      <c r="A1582" s="453">
        <v>563645913</v>
      </c>
      <c r="B1582" s="453">
        <v>754611996.89252698</v>
      </c>
      <c r="D1582" s="453" t="s">
        <v>7583</v>
      </c>
      <c r="E1582" s="453" t="s">
        <v>7584</v>
      </c>
    </row>
    <row r="1583" spans="1:5">
      <c r="A1583" s="453">
        <v>563750268</v>
      </c>
      <c r="B1583" s="453">
        <v>754716351.89364505</v>
      </c>
      <c r="D1583" s="453" t="s">
        <v>7585</v>
      </c>
      <c r="E1583" s="453" t="s">
        <v>7586</v>
      </c>
    </row>
    <row r="1584" spans="1:5">
      <c r="A1584" s="453">
        <v>563836654</v>
      </c>
      <c r="B1584" s="453">
        <v>754802737.89457297</v>
      </c>
      <c r="D1584" s="453" t="s">
        <v>7587</v>
      </c>
      <c r="E1584" s="453" t="s">
        <v>7588</v>
      </c>
    </row>
    <row r="1585" spans="1:5">
      <c r="A1585" s="453">
        <v>563923043</v>
      </c>
      <c r="B1585" s="453">
        <v>754889126.89549994</v>
      </c>
      <c r="D1585" s="453" t="s">
        <v>7589</v>
      </c>
      <c r="E1585" s="453" t="s">
        <v>7590</v>
      </c>
    </row>
    <row r="1586" spans="1:5">
      <c r="A1586" s="453">
        <v>563987871</v>
      </c>
      <c r="B1586" s="453">
        <v>754953954.89619505</v>
      </c>
      <c r="D1586" s="453" t="s">
        <v>7591</v>
      </c>
      <c r="E1586" s="453" t="s">
        <v>7592</v>
      </c>
    </row>
    <row r="1587" spans="1:5">
      <c r="A1587" s="453">
        <v>564095833</v>
      </c>
      <c r="B1587" s="453">
        <v>755061916.89734101</v>
      </c>
      <c r="D1587" s="453" t="s">
        <v>7593</v>
      </c>
      <c r="E1587" s="453" t="s">
        <v>7594</v>
      </c>
    </row>
    <row r="1588" spans="1:5">
      <c r="A1588" s="453">
        <v>564182225</v>
      </c>
      <c r="B1588" s="453">
        <v>755148308.89826298</v>
      </c>
      <c r="D1588" s="453" t="s">
        <v>7595</v>
      </c>
      <c r="E1588" s="453" t="s">
        <v>7596</v>
      </c>
    </row>
    <row r="1589" spans="1:5">
      <c r="A1589" s="453">
        <v>564218357</v>
      </c>
      <c r="B1589" s="453">
        <v>755184440.898664</v>
      </c>
      <c r="D1589" s="453" t="s">
        <v>7597</v>
      </c>
      <c r="E1589" s="453" t="s">
        <v>7598</v>
      </c>
    </row>
    <row r="1590" spans="1:5">
      <c r="A1590" s="453">
        <v>564355008</v>
      </c>
      <c r="B1590" s="453">
        <v>755321091.90011799</v>
      </c>
      <c r="D1590" s="453" t="s">
        <v>7599</v>
      </c>
      <c r="E1590" s="453" t="s">
        <v>7600</v>
      </c>
    </row>
    <row r="1591" spans="1:5">
      <c r="A1591" s="453">
        <v>564441405</v>
      </c>
      <c r="B1591" s="453">
        <v>755407488.90103996</v>
      </c>
      <c r="D1591" s="453" t="s">
        <v>7601</v>
      </c>
      <c r="E1591" s="453" t="s">
        <v>7602</v>
      </c>
    </row>
    <row r="1592" spans="1:5">
      <c r="A1592" s="453">
        <v>564506227</v>
      </c>
      <c r="B1592" s="453">
        <v>755472310.90174103</v>
      </c>
      <c r="D1592" s="453" t="s">
        <v>7603</v>
      </c>
      <c r="E1592" s="453" t="s">
        <v>7604</v>
      </c>
    </row>
    <row r="1593" spans="1:5">
      <c r="A1593" s="453">
        <v>564606979</v>
      </c>
      <c r="B1593" s="453">
        <v>755573062.90279996</v>
      </c>
      <c r="D1593" s="453" t="s">
        <v>7605</v>
      </c>
      <c r="E1593" s="453" t="s">
        <v>7606</v>
      </c>
    </row>
    <row r="1594" spans="1:5">
      <c r="A1594" s="453">
        <v>564700576</v>
      </c>
      <c r="B1594" s="453">
        <v>755666659.90382302</v>
      </c>
      <c r="D1594" s="453" t="s">
        <v>7607</v>
      </c>
      <c r="E1594" s="453" t="s">
        <v>7608</v>
      </c>
    </row>
    <row r="1595" spans="1:5">
      <c r="A1595" s="453">
        <v>564707793</v>
      </c>
      <c r="B1595" s="453">
        <v>755673876.90390003</v>
      </c>
      <c r="D1595" s="453" t="s">
        <v>7609</v>
      </c>
      <c r="E1595" s="453" t="s">
        <v>7610</v>
      </c>
    </row>
    <row r="1596" spans="1:5">
      <c r="A1596" s="453">
        <v>564840958</v>
      </c>
      <c r="B1596" s="453">
        <v>755807041.90530598</v>
      </c>
      <c r="D1596" s="453" t="s">
        <v>7611</v>
      </c>
      <c r="E1596" s="453" t="s">
        <v>7612</v>
      </c>
    </row>
    <row r="1597" spans="1:5">
      <c r="A1597" s="453">
        <v>564938179</v>
      </c>
      <c r="B1597" s="453">
        <v>755904262.90635097</v>
      </c>
      <c r="D1597" s="453" t="s">
        <v>7613</v>
      </c>
      <c r="E1597" s="453" t="s">
        <v>7614</v>
      </c>
    </row>
    <row r="1598" spans="1:5">
      <c r="A1598" s="453">
        <v>565020984</v>
      </c>
      <c r="B1598" s="453">
        <v>755987067.90724194</v>
      </c>
      <c r="D1598" s="453" t="s">
        <v>7615</v>
      </c>
      <c r="E1598" s="453" t="s">
        <v>7616</v>
      </c>
    </row>
    <row r="1599" spans="1:5">
      <c r="A1599" s="453">
        <v>565107365</v>
      </c>
      <c r="B1599" s="453">
        <v>756073448.90815401</v>
      </c>
      <c r="D1599" s="453" t="s">
        <v>7617</v>
      </c>
      <c r="E1599" s="453" t="s">
        <v>7618</v>
      </c>
    </row>
    <row r="1600" spans="1:5">
      <c r="A1600" s="453">
        <v>565211728</v>
      </c>
      <c r="B1600" s="453">
        <v>756177811.909271</v>
      </c>
      <c r="D1600" s="453" t="s">
        <v>7619</v>
      </c>
      <c r="E1600" s="453" t="s">
        <v>7620</v>
      </c>
    </row>
    <row r="1601" spans="1:5">
      <c r="A1601" s="453">
        <v>565298115</v>
      </c>
      <c r="B1601" s="453">
        <v>756264198.91018701</v>
      </c>
      <c r="D1601" s="453" t="s">
        <v>7621</v>
      </c>
      <c r="E1601" s="453" t="s">
        <v>7622</v>
      </c>
    </row>
    <row r="1602" spans="1:5">
      <c r="A1602" s="453">
        <v>565424118</v>
      </c>
      <c r="B1602" s="453">
        <v>756390201.91154802</v>
      </c>
      <c r="D1602" s="453" t="s">
        <v>7623</v>
      </c>
      <c r="E1602" s="453" t="s">
        <v>7624</v>
      </c>
    </row>
    <row r="1603" spans="1:5">
      <c r="A1603" s="453">
        <v>565557298</v>
      </c>
      <c r="B1603" s="453">
        <v>756523381.91296399</v>
      </c>
      <c r="D1603" s="453" t="s">
        <v>7625</v>
      </c>
      <c r="E1603" s="453" t="s">
        <v>7626</v>
      </c>
    </row>
    <row r="1604" spans="1:5">
      <c r="A1604" s="453">
        <v>565625714</v>
      </c>
      <c r="B1604" s="453">
        <v>756591797.91368997</v>
      </c>
      <c r="D1604" s="453" t="s">
        <v>7627</v>
      </c>
      <c r="E1604" s="453" t="s">
        <v>7628</v>
      </c>
    </row>
    <row r="1605" spans="1:5">
      <c r="A1605" s="453">
        <v>565737292</v>
      </c>
      <c r="B1605" s="453">
        <v>756703375.91488802</v>
      </c>
      <c r="D1605" s="453" t="s">
        <v>7629</v>
      </c>
      <c r="E1605" s="453" t="s">
        <v>7630</v>
      </c>
    </row>
    <row r="1606" spans="1:5">
      <c r="A1606" s="453">
        <v>565823693</v>
      </c>
      <c r="B1606" s="453">
        <v>756789776.91581202</v>
      </c>
      <c r="D1606" s="453" t="s">
        <v>7631</v>
      </c>
      <c r="E1606" s="453" t="s">
        <v>7632</v>
      </c>
    </row>
    <row r="1607" spans="1:5">
      <c r="A1607" s="453">
        <v>565852485</v>
      </c>
      <c r="B1607" s="453">
        <v>756818568.91612601</v>
      </c>
      <c r="D1607" s="453" t="s">
        <v>7633</v>
      </c>
      <c r="E1607" s="453" t="s">
        <v>7634</v>
      </c>
    </row>
    <row r="1608" spans="1:5">
      <c r="A1608" s="453">
        <v>565971304</v>
      </c>
      <c r="B1608" s="453">
        <v>756937387.91738904</v>
      </c>
      <c r="D1608" s="453" t="s">
        <v>7635</v>
      </c>
      <c r="E1608" s="453" t="s">
        <v>7636</v>
      </c>
    </row>
    <row r="1609" spans="1:5">
      <c r="A1609" s="453">
        <v>566082873</v>
      </c>
      <c r="B1609" s="453">
        <v>757048956.918576</v>
      </c>
      <c r="D1609" s="453" t="s">
        <v>7637</v>
      </c>
      <c r="E1609" s="453" t="s">
        <v>7638</v>
      </c>
    </row>
    <row r="1610" spans="1:5">
      <c r="A1610" s="453">
        <v>566169296</v>
      </c>
      <c r="B1610" s="453">
        <v>757135379.919505</v>
      </c>
      <c r="D1610" s="453" t="s">
        <v>7639</v>
      </c>
      <c r="E1610" s="453" t="s">
        <v>7640</v>
      </c>
    </row>
    <row r="1611" spans="1:5">
      <c r="A1611" s="453">
        <v>566216046</v>
      </c>
      <c r="B1611" s="453">
        <v>757182129.91997194</v>
      </c>
      <c r="D1611" s="453" t="s">
        <v>7641</v>
      </c>
      <c r="E1611" s="453" t="s">
        <v>7642</v>
      </c>
    </row>
    <row r="1612" spans="1:5">
      <c r="A1612" s="453">
        <v>566342075</v>
      </c>
      <c r="B1612" s="453">
        <v>757308158.92135298</v>
      </c>
      <c r="D1612" s="453" t="s">
        <v>7643</v>
      </c>
      <c r="E1612" s="453" t="s">
        <v>7644</v>
      </c>
    </row>
    <row r="1613" spans="1:5">
      <c r="A1613" s="453">
        <v>566428494</v>
      </c>
      <c r="B1613" s="453">
        <v>757394577.92227602</v>
      </c>
      <c r="D1613" s="453" t="s">
        <v>7645</v>
      </c>
      <c r="E1613" s="453" t="s">
        <v>7646</v>
      </c>
    </row>
    <row r="1614" spans="1:5">
      <c r="A1614" s="453">
        <v>566514890</v>
      </c>
      <c r="B1614" s="453">
        <v>757480973.92318904</v>
      </c>
      <c r="D1614" s="453" t="s">
        <v>7647</v>
      </c>
      <c r="E1614" s="453" t="s">
        <v>7648</v>
      </c>
    </row>
    <row r="1615" spans="1:5">
      <c r="A1615" s="453">
        <v>566601226</v>
      </c>
      <c r="B1615" s="453">
        <v>757567309.92408395</v>
      </c>
      <c r="D1615" s="453" t="s">
        <v>7649</v>
      </c>
      <c r="E1615" s="453" t="s">
        <v>7650</v>
      </c>
    </row>
    <row r="1616" spans="1:5">
      <c r="A1616" s="453">
        <v>566622809</v>
      </c>
      <c r="B1616" s="453">
        <v>757588892.92434502</v>
      </c>
      <c r="D1616" s="453" t="s">
        <v>7651</v>
      </c>
      <c r="E1616" s="453" t="s">
        <v>7652</v>
      </c>
    </row>
    <row r="1617" spans="1:5">
      <c r="A1617" s="453">
        <v>566774015</v>
      </c>
      <c r="B1617" s="453">
        <v>757740098.92592502</v>
      </c>
      <c r="D1617" s="453" t="s">
        <v>7653</v>
      </c>
      <c r="E1617" s="453" t="s">
        <v>7654</v>
      </c>
    </row>
    <row r="1618" spans="1:5">
      <c r="A1618" s="453">
        <v>566817213</v>
      </c>
      <c r="B1618" s="453">
        <v>757783296.92639899</v>
      </c>
      <c r="D1618" s="453" t="s">
        <v>7655</v>
      </c>
      <c r="E1618" s="453" t="s">
        <v>7656</v>
      </c>
    </row>
    <row r="1619" spans="1:5">
      <c r="A1619" s="453">
        <v>566946858</v>
      </c>
      <c r="B1619" s="453">
        <v>757912941.92780805</v>
      </c>
      <c r="D1619" s="453" t="s">
        <v>7657</v>
      </c>
      <c r="E1619" s="453" t="s">
        <v>7658</v>
      </c>
    </row>
    <row r="1620" spans="1:5">
      <c r="A1620" s="453">
        <v>567033260</v>
      </c>
      <c r="B1620" s="453">
        <v>757999343.92873597</v>
      </c>
      <c r="D1620" s="453" t="s">
        <v>7659</v>
      </c>
      <c r="E1620" s="453" t="s">
        <v>7660</v>
      </c>
    </row>
    <row r="1621" spans="1:5">
      <c r="A1621" s="453">
        <v>567148408</v>
      </c>
      <c r="B1621" s="453">
        <v>758114491.92996299</v>
      </c>
      <c r="D1621" s="453" t="s">
        <v>7661</v>
      </c>
      <c r="E1621" s="453" t="s">
        <v>7662</v>
      </c>
    </row>
    <row r="1622" spans="1:5">
      <c r="A1622" s="453">
        <v>567350040</v>
      </c>
      <c r="B1622" s="453">
        <v>758316123.93210101</v>
      </c>
      <c r="D1622" s="453" t="s">
        <v>7663</v>
      </c>
      <c r="E1622" s="453" t="s">
        <v>7664</v>
      </c>
    </row>
    <row r="1623" spans="1:5">
      <c r="A1623" s="453">
        <v>567436439</v>
      </c>
      <c r="B1623" s="453">
        <v>758402522.93301201</v>
      </c>
      <c r="D1623" s="453" t="s">
        <v>7665</v>
      </c>
      <c r="E1623" s="453" t="s">
        <v>7666</v>
      </c>
    </row>
    <row r="1624" spans="1:5">
      <c r="A1624" s="453">
        <v>567522837</v>
      </c>
      <c r="B1624" s="453">
        <v>758488920.93391597</v>
      </c>
      <c r="D1624" s="453" t="s">
        <v>7667</v>
      </c>
      <c r="E1624" s="453" t="s">
        <v>7668</v>
      </c>
    </row>
    <row r="1625" spans="1:5">
      <c r="A1625" s="453">
        <v>567594779</v>
      </c>
      <c r="B1625" s="453">
        <v>758560862.93466794</v>
      </c>
      <c r="D1625" s="453" t="s">
        <v>7669</v>
      </c>
      <c r="E1625" s="453" t="s">
        <v>7670</v>
      </c>
    </row>
    <row r="1626" spans="1:5">
      <c r="A1626" s="453">
        <v>567717186</v>
      </c>
      <c r="B1626" s="453">
        <v>758683269.93598497</v>
      </c>
      <c r="D1626" s="453" t="s">
        <v>7671</v>
      </c>
      <c r="E1626" s="453" t="s">
        <v>7672</v>
      </c>
    </row>
    <row r="1627" spans="1:5">
      <c r="A1627" s="453">
        <v>567778406</v>
      </c>
      <c r="B1627" s="453">
        <v>758744489.93662596</v>
      </c>
      <c r="D1627" s="453" t="s">
        <v>7673</v>
      </c>
      <c r="E1627" s="453" t="s">
        <v>7674</v>
      </c>
    </row>
    <row r="1628" spans="1:5">
      <c r="A1628" s="453">
        <v>567835984</v>
      </c>
      <c r="B1628" s="453">
        <v>758802067.93725598</v>
      </c>
      <c r="D1628" s="453" t="s">
        <v>7675</v>
      </c>
      <c r="E1628" s="453" t="s">
        <v>7676</v>
      </c>
    </row>
    <row r="1629" spans="1:5">
      <c r="A1629" s="453">
        <v>567951194</v>
      </c>
      <c r="B1629" s="453">
        <v>758917277.93847597</v>
      </c>
      <c r="D1629" s="453" t="s">
        <v>7677</v>
      </c>
      <c r="E1629" s="453" t="s">
        <v>7678</v>
      </c>
    </row>
    <row r="1630" spans="1:5">
      <c r="A1630" s="453">
        <v>568033979</v>
      </c>
      <c r="B1630" s="453">
        <v>759000062.93935704</v>
      </c>
      <c r="D1630" s="453" t="s">
        <v>7679</v>
      </c>
      <c r="E1630" s="453" t="s">
        <v>7680</v>
      </c>
    </row>
    <row r="1631" spans="1:5">
      <c r="A1631" s="453">
        <v>568134845</v>
      </c>
      <c r="B1631" s="453">
        <v>759100928.94039404</v>
      </c>
      <c r="D1631" s="453" t="s">
        <v>7681</v>
      </c>
      <c r="E1631" s="453" t="s">
        <v>7682</v>
      </c>
    </row>
    <row r="1632" spans="1:5">
      <c r="A1632" s="453">
        <v>568239210</v>
      </c>
      <c r="B1632" s="453">
        <v>759205293.94154596</v>
      </c>
      <c r="D1632" s="453" t="s">
        <v>7683</v>
      </c>
      <c r="E1632" s="453" t="s">
        <v>7684</v>
      </c>
    </row>
    <row r="1633" spans="1:5">
      <c r="A1633" s="453">
        <v>568325560</v>
      </c>
      <c r="B1633" s="453">
        <v>759291643.94242799</v>
      </c>
      <c r="D1633" s="453" t="s">
        <v>7685</v>
      </c>
      <c r="E1633" s="453" t="s">
        <v>7686</v>
      </c>
    </row>
    <row r="1634" spans="1:5">
      <c r="A1634" s="453">
        <v>568415558</v>
      </c>
      <c r="B1634" s="453">
        <v>759381641.94339097</v>
      </c>
      <c r="D1634" s="453" t="s">
        <v>7687</v>
      </c>
      <c r="E1634" s="453" t="s">
        <v>7688</v>
      </c>
    </row>
    <row r="1635" spans="1:5">
      <c r="A1635" s="453">
        <v>568426337</v>
      </c>
      <c r="B1635" s="453">
        <v>759392420.94352305</v>
      </c>
      <c r="D1635" s="453" t="s">
        <v>7689</v>
      </c>
      <c r="E1635" s="453" t="s">
        <v>7690</v>
      </c>
    </row>
    <row r="1636" spans="1:5">
      <c r="A1636" s="453">
        <v>568588355</v>
      </c>
      <c r="B1636" s="453">
        <v>759554438.94522703</v>
      </c>
      <c r="D1636" s="453" t="s">
        <v>7691</v>
      </c>
      <c r="E1636" s="453" t="s">
        <v>7692</v>
      </c>
    </row>
    <row r="1637" spans="1:5">
      <c r="A1637" s="453">
        <v>568671212</v>
      </c>
      <c r="B1637" s="453">
        <v>759637295.94615102</v>
      </c>
      <c r="D1637" s="453" t="s">
        <v>7693</v>
      </c>
      <c r="E1637" s="453" t="s">
        <v>7694</v>
      </c>
    </row>
    <row r="1638" spans="1:5">
      <c r="A1638" s="453">
        <v>568728804</v>
      </c>
      <c r="B1638" s="453">
        <v>759694887.94675505</v>
      </c>
      <c r="D1638" s="453" t="s">
        <v>7695</v>
      </c>
      <c r="E1638" s="453" t="s">
        <v>7696</v>
      </c>
    </row>
    <row r="1639" spans="1:5">
      <c r="A1639" s="453">
        <v>568840389</v>
      </c>
      <c r="B1639" s="453">
        <v>759806472.94795096</v>
      </c>
      <c r="D1639" s="453" t="s">
        <v>7697</v>
      </c>
      <c r="E1639" s="453" t="s">
        <v>7698</v>
      </c>
    </row>
    <row r="1640" spans="1:5">
      <c r="A1640" s="453">
        <v>568926785</v>
      </c>
      <c r="B1640" s="453">
        <v>759892868.94887304</v>
      </c>
      <c r="D1640" s="453" t="s">
        <v>7699</v>
      </c>
      <c r="E1640" s="453" t="s">
        <v>7700</v>
      </c>
    </row>
    <row r="1641" spans="1:5">
      <c r="A1641" s="453">
        <v>568955546</v>
      </c>
      <c r="B1641" s="453">
        <v>759921629.94916999</v>
      </c>
      <c r="D1641" s="453" t="s">
        <v>7701</v>
      </c>
      <c r="E1641" s="453" t="s">
        <v>7702</v>
      </c>
    </row>
    <row r="1642" spans="1:5">
      <c r="A1642" s="453">
        <v>569034731</v>
      </c>
      <c r="B1642" s="453">
        <v>760000814.950019</v>
      </c>
      <c r="D1642" s="453" t="s">
        <v>7703</v>
      </c>
      <c r="E1642" s="453" t="s">
        <v>7704</v>
      </c>
    </row>
    <row r="1643" spans="1:5">
      <c r="A1643" s="453">
        <v>569232747</v>
      </c>
      <c r="B1643" s="453">
        <v>760198830.95211196</v>
      </c>
      <c r="D1643" s="453" t="s">
        <v>7705</v>
      </c>
      <c r="E1643" s="453" t="s">
        <v>7706</v>
      </c>
    </row>
    <row r="1644" spans="1:5">
      <c r="A1644" s="453">
        <v>569365953</v>
      </c>
      <c r="B1644" s="453">
        <v>760332036.95353496</v>
      </c>
      <c r="D1644" s="453" t="s">
        <v>7707</v>
      </c>
      <c r="E1644" s="453" t="s">
        <v>7708</v>
      </c>
    </row>
    <row r="1645" spans="1:5">
      <c r="A1645" s="453">
        <v>569416399</v>
      </c>
      <c r="B1645" s="453">
        <v>760382482.95409501</v>
      </c>
      <c r="D1645" s="453" t="s">
        <v>7709</v>
      </c>
      <c r="E1645" s="453" t="s">
        <v>7710</v>
      </c>
    </row>
    <row r="1646" spans="1:5">
      <c r="A1646" s="453">
        <v>569531608</v>
      </c>
      <c r="B1646" s="453">
        <v>760497691.95531595</v>
      </c>
      <c r="D1646" s="453" t="s">
        <v>7711</v>
      </c>
      <c r="E1646" s="453" t="s">
        <v>7712</v>
      </c>
    </row>
    <row r="1647" spans="1:5">
      <c r="A1647" s="453">
        <v>569560369</v>
      </c>
      <c r="B1647" s="453">
        <v>760526452.95562601</v>
      </c>
      <c r="D1647" s="453" t="s">
        <v>7713</v>
      </c>
      <c r="E1647" s="453" t="s">
        <v>7714</v>
      </c>
    </row>
    <row r="1648" spans="1:5">
      <c r="A1648" s="453">
        <v>569797956</v>
      </c>
      <c r="B1648" s="453">
        <v>760764039.95813704</v>
      </c>
      <c r="D1648" s="453" t="s">
        <v>7715</v>
      </c>
      <c r="E1648" s="453" t="s">
        <v>7716</v>
      </c>
    </row>
    <row r="1649" spans="1:5">
      <c r="A1649" s="453">
        <v>569884358</v>
      </c>
      <c r="B1649" s="453">
        <v>760850441.95907295</v>
      </c>
      <c r="D1649" s="453" t="s">
        <v>7717</v>
      </c>
      <c r="E1649" s="453" t="s">
        <v>7718</v>
      </c>
    </row>
    <row r="1650" spans="1:5">
      <c r="A1650" s="453">
        <v>569963598</v>
      </c>
      <c r="B1650" s="453">
        <v>760929681.95993805</v>
      </c>
      <c r="D1650" s="453" t="s">
        <v>7719</v>
      </c>
      <c r="E1650" s="453" t="s">
        <v>7720</v>
      </c>
    </row>
    <row r="1651" spans="1:5">
      <c r="A1651" s="453">
        <v>569988749</v>
      </c>
      <c r="B1651" s="453">
        <v>760954832.96021795</v>
      </c>
      <c r="D1651" s="453" t="s">
        <v>7721</v>
      </c>
      <c r="E1651" s="453" t="s">
        <v>7722</v>
      </c>
    </row>
    <row r="1652" spans="1:5">
      <c r="A1652" s="453">
        <v>570107605</v>
      </c>
      <c r="B1652" s="453">
        <v>761073688.96148098</v>
      </c>
      <c r="D1652" s="453" t="s">
        <v>7723</v>
      </c>
      <c r="E1652" s="453" t="s">
        <v>7724</v>
      </c>
    </row>
    <row r="1653" spans="1:5">
      <c r="A1653" s="453">
        <v>570194006</v>
      </c>
      <c r="B1653" s="453">
        <v>761160089.96240199</v>
      </c>
      <c r="D1653" s="453" t="s">
        <v>7725</v>
      </c>
      <c r="E1653" s="453" t="s">
        <v>7726</v>
      </c>
    </row>
    <row r="1654" spans="1:5">
      <c r="A1654" s="453">
        <v>570247960</v>
      </c>
      <c r="B1654" s="453">
        <v>761214043.96298695</v>
      </c>
      <c r="D1654" s="453" t="s">
        <v>7727</v>
      </c>
      <c r="E1654" s="453" t="s">
        <v>7728</v>
      </c>
    </row>
    <row r="1655" spans="1:5">
      <c r="A1655" s="453">
        <v>570359644</v>
      </c>
      <c r="B1655" s="453">
        <v>761325727.96417606</v>
      </c>
      <c r="D1655" s="453" t="s">
        <v>7729</v>
      </c>
      <c r="E1655" s="453" t="s">
        <v>7730</v>
      </c>
    </row>
    <row r="1656" spans="1:5">
      <c r="A1656" s="453">
        <v>570489162</v>
      </c>
      <c r="B1656" s="453">
        <v>761455245.965554</v>
      </c>
      <c r="D1656" s="453" t="s">
        <v>7731</v>
      </c>
      <c r="E1656" s="453" t="s">
        <v>7732</v>
      </c>
    </row>
    <row r="1657" spans="1:5">
      <c r="A1657" s="453">
        <v>570575561</v>
      </c>
      <c r="B1657" s="453">
        <v>761541644.966465</v>
      </c>
      <c r="D1657" s="453" t="s">
        <v>7733</v>
      </c>
      <c r="E1657" s="453" t="s">
        <v>7734</v>
      </c>
    </row>
    <row r="1658" spans="1:5">
      <c r="A1658" s="453">
        <v>570651163</v>
      </c>
      <c r="B1658" s="453">
        <v>761617246.96725798</v>
      </c>
      <c r="D1658" s="453" t="s">
        <v>7735</v>
      </c>
      <c r="E1658" s="453" t="s">
        <v>7736</v>
      </c>
    </row>
    <row r="1659" spans="1:5">
      <c r="A1659" s="453">
        <v>570823968</v>
      </c>
      <c r="B1659" s="453">
        <v>761790051.96912003</v>
      </c>
      <c r="D1659" s="453" t="s">
        <v>7737</v>
      </c>
      <c r="E1659" s="453" t="s">
        <v>7738</v>
      </c>
    </row>
    <row r="1660" spans="1:5">
      <c r="A1660" s="453">
        <v>570921181</v>
      </c>
      <c r="B1660" s="453">
        <v>761887264.97018099</v>
      </c>
      <c r="D1660" s="453" t="s">
        <v>7739</v>
      </c>
      <c r="E1660" s="453" t="s">
        <v>7740</v>
      </c>
    </row>
    <row r="1661" spans="1:5">
      <c r="A1661" s="453">
        <v>571007576</v>
      </c>
      <c r="B1661" s="453">
        <v>761973659.97111595</v>
      </c>
      <c r="D1661" s="453" t="s">
        <v>7741</v>
      </c>
      <c r="E1661" s="453" t="s">
        <v>7742</v>
      </c>
    </row>
    <row r="1662" spans="1:5">
      <c r="A1662" s="453">
        <v>571079708</v>
      </c>
      <c r="B1662" s="453">
        <v>762045791.97184396</v>
      </c>
      <c r="D1662" s="453" t="s">
        <v>7743</v>
      </c>
      <c r="E1662" s="453" t="s">
        <v>7744</v>
      </c>
    </row>
    <row r="1663" spans="1:5">
      <c r="A1663" s="453">
        <v>571140824</v>
      </c>
      <c r="B1663" s="453">
        <v>762106907.97255898</v>
      </c>
      <c r="D1663" s="453" t="s">
        <v>7745</v>
      </c>
      <c r="E1663" s="453" t="s">
        <v>7746</v>
      </c>
    </row>
    <row r="1664" spans="1:5">
      <c r="A1664" s="453">
        <v>571266777</v>
      </c>
      <c r="B1664" s="453">
        <v>762232860.97388697</v>
      </c>
      <c r="D1664" s="453" t="s">
        <v>7747</v>
      </c>
      <c r="E1664" s="453" t="s">
        <v>7748</v>
      </c>
    </row>
    <row r="1665" spans="1:5">
      <c r="A1665" s="453">
        <v>571309995</v>
      </c>
      <c r="B1665" s="453">
        <v>762276078.974383</v>
      </c>
      <c r="D1665" s="453" t="s">
        <v>7749</v>
      </c>
      <c r="E1665" s="453" t="s">
        <v>7750</v>
      </c>
    </row>
    <row r="1666" spans="1:5">
      <c r="A1666" s="453">
        <v>571439584</v>
      </c>
      <c r="B1666" s="453">
        <v>762405667.97576201</v>
      </c>
      <c r="D1666" s="453" t="s">
        <v>7751</v>
      </c>
      <c r="E1666" s="453" t="s">
        <v>7752</v>
      </c>
    </row>
    <row r="1667" spans="1:5">
      <c r="A1667" s="453">
        <v>571522387</v>
      </c>
      <c r="B1667" s="453">
        <v>762488470.97663403</v>
      </c>
      <c r="D1667" s="453" t="s">
        <v>7753</v>
      </c>
      <c r="E1667" s="453" t="s">
        <v>7754</v>
      </c>
    </row>
    <row r="1668" spans="1:5">
      <c r="A1668" s="453">
        <v>571572827</v>
      </c>
      <c r="B1668" s="453">
        <v>762538910.97721195</v>
      </c>
      <c r="D1668" s="453" t="s">
        <v>7755</v>
      </c>
      <c r="E1668" s="453" t="s">
        <v>7756</v>
      </c>
    </row>
    <row r="1669" spans="1:5">
      <c r="A1669" s="453">
        <v>571698793</v>
      </c>
      <c r="B1669" s="453">
        <v>762664876.97855306</v>
      </c>
      <c r="D1669" s="453" t="s">
        <v>7757</v>
      </c>
      <c r="E1669" s="453" t="s">
        <v>7758</v>
      </c>
    </row>
    <row r="1670" spans="1:5">
      <c r="A1670" s="453">
        <v>571785197</v>
      </c>
      <c r="B1670" s="453">
        <v>762751280.97947395</v>
      </c>
      <c r="D1670" s="453" t="s">
        <v>7759</v>
      </c>
      <c r="E1670" s="453" t="s">
        <v>7760</v>
      </c>
    </row>
    <row r="1671" spans="1:5">
      <c r="A1671" s="453">
        <v>571860801</v>
      </c>
      <c r="B1671" s="453">
        <v>762826884.98028696</v>
      </c>
      <c r="D1671" s="453" t="s">
        <v>7761</v>
      </c>
      <c r="E1671" s="453" t="s">
        <v>7762</v>
      </c>
    </row>
    <row r="1672" spans="1:5">
      <c r="A1672" s="453">
        <v>571943601</v>
      </c>
      <c r="B1672" s="453">
        <v>762909684.98116803</v>
      </c>
      <c r="D1672" s="453" t="s">
        <v>7763</v>
      </c>
      <c r="E1672" s="453" t="s">
        <v>7764</v>
      </c>
    </row>
    <row r="1673" spans="1:5">
      <c r="A1673" s="453">
        <v>572044410</v>
      </c>
      <c r="B1673" s="453">
        <v>763010493.98228705</v>
      </c>
      <c r="D1673" s="453" t="s">
        <v>7765</v>
      </c>
      <c r="E1673" s="453" t="s">
        <v>7766</v>
      </c>
    </row>
    <row r="1674" spans="1:5">
      <c r="A1674" s="453">
        <v>572130811</v>
      </c>
      <c r="B1674" s="453">
        <v>763096894.98321497</v>
      </c>
      <c r="D1674" s="453" t="s">
        <v>7767</v>
      </c>
      <c r="E1674" s="453" t="s">
        <v>7768</v>
      </c>
    </row>
    <row r="1675" spans="1:5">
      <c r="A1675" s="453">
        <v>572217824</v>
      </c>
      <c r="B1675" s="453">
        <v>763183907.98414397</v>
      </c>
      <c r="D1675" s="453" t="s">
        <v>7769</v>
      </c>
      <c r="E1675" s="453" t="s">
        <v>7770</v>
      </c>
    </row>
    <row r="1676" spans="1:5">
      <c r="A1676" s="453">
        <v>572303613</v>
      </c>
      <c r="B1676" s="453">
        <v>763269696.98506999</v>
      </c>
      <c r="D1676" s="453" t="s">
        <v>7771</v>
      </c>
      <c r="E1676" s="453" t="s">
        <v>7772</v>
      </c>
    </row>
    <row r="1677" spans="1:5">
      <c r="A1677" s="453">
        <v>572391249</v>
      </c>
      <c r="B1677" s="453">
        <v>763357332.98603296</v>
      </c>
      <c r="D1677" s="453" t="s">
        <v>7773</v>
      </c>
      <c r="E1677" s="453" t="s">
        <v>7774</v>
      </c>
    </row>
    <row r="1678" spans="1:5">
      <c r="A1678" s="453">
        <v>572447617</v>
      </c>
      <c r="B1678" s="453">
        <v>763413700.986619</v>
      </c>
      <c r="D1678" s="453" t="s">
        <v>7775</v>
      </c>
      <c r="E1678" s="453" t="s">
        <v>7776</v>
      </c>
    </row>
    <row r="1679" spans="1:5">
      <c r="A1679" s="453">
        <v>572508825</v>
      </c>
      <c r="B1679" s="453">
        <v>763474908.98729503</v>
      </c>
      <c r="D1679" s="453" t="s">
        <v>7777</v>
      </c>
      <c r="E1679" s="453" t="s">
        <v>7778</v>
      </c>
    </row>
    <row r="1680" spans="1:5">
      <c r="A1680" s="453">
        <v>572616827</v>
      </c>
      <c r="B1680" s="453">
        <v>763582910.98845506</v>
      </c>
      <c r="D1680" s="453" t="s">
        <v>7779</v>
      </c>
      <c r="E1680" s="453" t="s">
        <v>7780</v>
      </c>
    </row>
    <row r="1681" spans="1:5">
      <c r="A1681" s="453">
        <v>572674427</v>
      </c>
      <c r="B1681" s="453">
        <v>763640510.98908401</v>
      </c>
      <c r="D1681" s="453" t="s">
        <v>7781</v>
      </c>
      <c r="E1681" s="453" t="s">
        <v>7782</v>
      </c>
    </row>
    <row r="1682" spans="1:5">
      <c r="A1682" s="453">
        <v>572908443</v>
      </c>
      <c r="B1682" s="453">
        <v>763874526.99162602</v>
      </c>
      <c r="D1682" s="453" t="s">
        <v>7783</v>
      </c>
      <c r="E1682" s="453" t="s">
        <v>7784</v>
      </c>
    </row>
    <row r="1683" spans="1:5">
      <c r="A1683" s="453">
        <v>572987649</v>
      </c>
      <c r="B1683" s="453">
        <v>763953732.99248695</v>
      </c>
      <c r="D1683" s="453" t="s">
        <v>7785</v>
      </c>
      <c r="E1683" s="453" t="s">
        <v>7786</v>
      </c>
    </row>
    <row r="1684" spans="1:5">
      <c r="A1684" s="453">
        <v>573045254</v>
      </c>
      <c r="B1684" s="453">
        <v>764011337.99309301</v>
      </c>
      <c r="D1684" s="453" t="s">
        <v>7787</v>
      </c>
      <c r="E1684" s="453" t="s">
        <v>7788</v>
      </c>
    </row>
    <row r="1685" spans="1:5">
      <c r="A1685" s="453">
        <v>573160457</v>
      </c>
      <c r="B1685" s="453">
        <v>764126540.99436104</v>
      </c>
      <c r="D1685" s="453" t="s">
        <v>7789</v>
      </c>
      <c r="E1685" s="453" t="s">
        <v>7790</v>
      </c>
    </row>
    <row r="1686" spans="1:5">
      <c r="A1686" s="453">
        <v>573250457</v>
      </c>
      <c r="B1686" s="453">
        <v>764216540.99533498</v>
      </c>
      <c r="D1686" s="453" t="s">
        <v>7791</v>
      </c>
      <c r="E1686" s="453" t="s">
        <v>7792</v>
      </c>
    </row>
    <row r="1687" spans="1:5">
      <c r="A1687" s="453">
        <v>573426869</v>
      </c>
      <c r="B1687" s="453">
        <v>764392952.99726403</v>
      </c>
      <c r="D1687" s="453" t="s">
        <v>7793</v>
      </c>
      <c r="E1687" s="453" t="s">
        <v>7794</v>
      </c>
    </row>
    <row r="1688" spans="1:5">
      <c r="A1688" s="453">
        <v>573513273</v>
      </c>
      <c r="B1688" s="453">
        <v>764479356.99819803</v>
      </c>
      <c r="D1688" s="453" t="s">
        <v>7795</v>
      </c>
      <c r="E1688" s="453" t="s">
        <v>7796</v>
      </c>
    </row>
    <row r="1689" spans="1:5">
      <c r="A1689" s="453">
        <v>573599676</v>
      </c>
      <c r="B1689" s="453">
        <v>764565759.99915504</v>
      </c>
      <c r="D1689" s="453" t="s">
        <v>7797</v>
      </c>
      <c r="E1689" s="453" t="s">
        <v>7798</v>
      </c>
    </row>
    <row r="1690" spans="1:5">
      <c r="A1690" s="453">
        <v>573650077</v>
      </c>
      <c r="B1690" s="453">
        <v>764616160.99967897</v>
      </c>
      <c r="D1690" s="453" t="s">
        <v>7799</v>
      </c>
      <c r="E1690" s="453" t="s">
        <v>7800</v>
      </c>
    </row>
    <row r="1691" spans="1:5">
      <c r="A1691" s="453">
        <v>573772487</v>
      </c>
      <c r="B1691" s="453">
        <v>764738571.00103498</v>
      </c>
      <c r="D1691" s="453" t="s">
        <v>7801</v>
      </c>
      <c r="E1691" s="453" t="s">
        <v>7802</v>
      </c>
    </row>
    <row r="1692" spans="1:5">
      <c r="A1692" s="453">
        <v>573858889</v>
      </c>
      <c r="B1692" s="453">
        <v>764824973.00197995</v>
      </c>
      <c r="D1692" s="453" t="s">
        <v>7803</v>
      </c>
      <c r="E1692" s="453" t="s">
        <v>7804</v>
      </c>
    </row>
    <row r="1693" spans="1:5">
      <c r="A1693" s="453">
        <v>573912887</v>
      </c>
      <c r="B1693" s="453">
        <v>764878971.00254202</v>
      </c>
      <c r="D1693" s="453" t="s">
        <v>7805</v>
      </c>
      <c r="E1693" s="453" t="s">
        <v>7806</v>
      </c>
    </row>
    <row r="1694" spans="1:5">
      <c r="A1694" s="453">
        <v>574031703</v>
      </c>
      <c r="B1694" s="453">
        <v>764997787.00386596</v>
      </c>
      <c r="D1694" s="453" t="s">
        <v>7807</v>
      </c>
      <c r="E1694" s="453" t="s">
        <v>7808</v>
      </c>
    </row>
    <row r="1695" spans="1:5">
      <c r="A1695" s="453">
        <v>574118108</v>
      </c>
      <c r="B1695" s="453">
        <v>765084192.004807</v>
      </c>
      <c r="D1695" s="453" t="s">
        <v>7809</v>
      </c>
      <c r="E1695" s="453" t="s">
        <v>7810</v>
      </c>
    </row>
    <row r="1696" spans="1:5">
      <c r="A1696" s="453">
        <v>574182901</v>
      </c>
      <c r="B1696" s="453">
        <v>765148985.00547099</v>
      </c>
      <c r="D1696" s="453" t="s">
        <v>7811</v>
      </c>
      <c r="E1696" s="453" t="s">
        <v>7812</v>
      </c>
    </row>
    <row r="1697" spans="1:5">
      <c r="A1697" s="453">
        <v>574280107</v>
      </c>
      <c r="B1697" s="453">
        <v>765246191.00655997</v>
      </c>
      <c r="D1697" s="453" t="s">
        <v>7813</v>
      </c>
      <c r="E1697" s="453" t="s">
        <v>7814</v>
      </c>
    </row>
    <row r="1698" spans="1:5">
      <c r="A1698" s="453">
        <v>574344916</v>
      </c>
      <c r="B1698" s="453">
        <v>765311000.00726104</v>
      </c>
      <c r="D1698" s="453" t="s">
        <v>7815</v>
      </c>
      <c r="E1698" s="453" t="s">
        <v>7816</v>
      </c>
    </row>
    <row r="1699" spans="1:5">
      <c r="A1699" s="453">
        <v>574431321</v>
      </c>
      <c r="B1699" s="453">
        <v>765397405.00822496</v>
      </c>
      <c r="D1699" s="453" t="s">
        <v>7817</v>
      </c>
      <c r="E1699" s="453" t="s">
        <v>7818</v>
      </c>
    </row>
    <row r="1700" spans="1:5">
      <c r="A1700" s="453">
        <v>574535719</v>
      </c>
      <c r="B1700" s="453">
        <v>765501803.00935602</v>
      </c>
      <c r="D1700" s="453" t="s">
        <v>7819</v>
      </c>
      <c r="E1700" s="453" t="s">
        <v>7820</v>
      </c>
    </row>
    <row r="1701" spans="1:5">
      <c r="A1701" s="453">
        <v>574596940</v>
      </c>
      <c r="B1701" s="453">
        <v>765563024.01002097</v>
      </c>
      <c r="D1701" s="453" t="s">
        <v>7821</v>
      </c>
      <c r="E1701" s="453" t="s">
        <v>7822</v>
      </c>
    </row>
    <row r="1702" spans="1:5">
      <c r="A1702" s="453">
        <v>574701381</v>
      </c>
      <c r="B1702" s="453">
        <v>765667465.011199</v>
      </c>
      <c r="D1702" s="453" t="s">
        <v>7823</v>
      </c>
      <c r="E1702" s="453" t="s">
        <v>7824</v>
      </c>
    </row>
    <row r="1703" spans="1:5">
      <c r="A1703" s="453">
        <v>574794933</v>
      </c>
      <c r="B1703" s="453">
        <v>765761017.0122</v>
      </c>
      <c r="D1703" s="453" t="s">
        <v>7825</v>
      </c>
      <c r="E1703" s="453" t="s">
        <v>7826</v>
      </c>
    </row>
    <row r="1704" spans="1:5">
      <c r="A1704" s="453">
        <v>574892140</v>
      </c>
      <c r="B1704" s="453">
        <v>765858224.01327705</v>
      </c>
      <c r="D1704" s="453" t="s">
        <v>7827</v>
      </c>
      <c r="E1704" s="453" t="s">
        <v>7828</v>
      </c>
    </row>
    <row r="1705" spans="1:5">
      <c r="A1705" s="453">
        <v>574953356</v>
      </c>
      <c r="B1705" s="453">
        <v>765919440.013937</v>
      </c>
      <c r="D1705" s="453" t="s">
        <v>7829</v>
      </c>
      <c r="E1705" s="453" t="s">
        <v>7830</v>
      </c>
    </row>
    <row r="1706" spans="1:5">
      <c r="A1706" s="453">
        <v>575003740</v>
      </c>
      <c r="B1706" s="453">
        <v>765969824.01448703</v>
      </c>
      <c r="D1706" s="453" t="s">
        <v>7831</v>
      </c>
      <c r="E1706" s="453" t="s">
        <v>7832</v>
      </c>
    </row>
    <row r="1707" spans="1:5">
      <c r="A1707" s="453">
        <v>575090154</v>
      </c>
      <c r="B1707" s="453">
        <v>766056238.01543999</v>
      </c>
      <c r="D1707" s="453" t="s">
        <v>7833</v>
      </c>
      <c r="E1707" s="453" t="s">
        <v>7834</v>
      </c>
    </row>
    <row r="1708" spans="1:5">
      <c r="A1708" s="453">
        <v>575230564</v>
      </c>
      <c r="B1708" s="453">
        <v>766196648.01698303</v>
      </c>
      <c r="D1708" s="453" t="s">
        <v>7835</v>
      </c>
      <c r="E1708" s="453" t="s">
        <v>7836</v>
      </c>
    </row>
    <row r="1709" spans="1:5">
      <c r="A1709" s="453">
        <v>575273767</v>
      </c>
      <c r="B1709" s="453">
        <v>766239851.01745498</v>
      </c>
      <c r="D1709" s="453" t="s">
        <v>7837</v>
      </c>
      <c r="E1709" s="453" t="s">
        <v>7838</v>
      </c>
    </row>
    <row r="1710" spans="1:5">
      <c r="A1710" s="453">
        <v>575414178</v>
      </c>
      <c r="B1710" s="453">
        <v>766380262.01902103</v>
      </c>
      <c r="D1710" s="453" t="s">
        <v>7839</v>
      </c>
      <c r="E1710" s="453" t="s">
        <v>7840</v>
      </c>
    </row>
    <row r="1711" spans="1:5">
      <c r="A1711" s="453">
        <v>575493376</v>
      </c>
      <c r="B1711" s="453">
        <v>766459460.01987505</v>
      </c>
      <c r="D1711" s="453" t="s">
        <v>7841</v>
      </c>
      <c r="E1711" s="453" t="s">
        <v>7842</v>
      </c>
    </row>
    <row r="1712" spans="1:5">
      <c r="A1712" s="453">
        <v>575576182</v>
      </c>
      <c r="B1712" s="453">
        <v>766542266.02078295</v>
      </c>
      <c r="D1712" s="453" t="s">
        <v>7843</v>
      </c>
      <c r="E1712" s="453" t="s">
        <v>7844</v>
      </c>
    </row>
    <row r="1713" spans="1:5">
      <c r="A1713" s="453">
        <v>575655385</v>
      </c>
      <c r="B1713" s="453">
        <v>766621469.02165103</v>
      </c>
      <c r="D1713" s="453" t="s">
        <v>7845</v>
      </c>
      <c r="E1713" s="453" t="s">
        <v>7846</v>
      </c>
    </row>
    <row r="1714" spans="1:5">
      <c r="A1714" s="453">
        <v>575727382</v>
      </c>
      <c r="B1714" s="453">
        <v>766693466.02245498</v>
      </c>
      <c r="D1714" s="453" t="s">
        <v>7847</v>
      </c>
      <c r="E1714" s="453" t="s">
        <v>7848</v>
      </c>
    </row>
    <row r="1715" spans="1:5">
      <c r="A1715" s="453">
        <v>575846197</v>
      </c>
      <c r="B1715" s="453">
        <v>766812281.02376795</v>
      </c>
      <c r="D1715" s="453" t="s">
        <v>7849</v>
      </c>
      <c r="E1715" s="453" t="s">
        <v>7850</v>
      </c>
    </row>
    <row r="1716" spans="1:5">
      <c r="A1716" s="453">
        <v>575907439</v>
      </c>
      <c r="B1716" s="453">
        <v>766873523.02444994</v>
      </c>
      <c r="D1716" s="453" t="s">
        <v>7851</v>
      </c>
      <c r="E1716" s="453" t="s">
        <v>7852</v>
      </c>
    </row>
    <row r="1717" spans="1:5">
      <c r="A1717" s="453">
        <v>575961402</v>
      </c>
      <c r="B1717" s="453">
        <v>766927486.02504301</v>
      </c>
      <c r="D1717" s="453" t="s">
        <v>7853</v>
      </c>
      <c r="E1717" s="453" t="s">
        <v>7854</v>
      </c>
    </row>
    <row r="1718" spans="1:5">
      <c r="A1718" s="453">
        <v>576098205</v>
      </c>
      <c r="B1718" s="453">
        <v>767064289.02655399</v>
      </c>
      <c r="D1718" s="453" t="s">
        <v>7855</v>
      </c>
      <c r="E1718" s="453" t="s">
        <v>7856</v>
      </c>
    </row>
    <row r="1719" spans="1:5">
      <c r="A1719" s="453">
        <v>576177408</v>
      </c>
      <c r="B1719" s="453">
        <v>767143492.02741206</v>
      </c>
      <c r="D1719" s="453" t="s">
        <v>7857</v>
      </c>
      <c r="E1719" s="453" t="s">
        <v>7858</v>
      </c>
    </row>
    <row r="1720" spans="1:5">
      <c r="A1720" s="453">
        <v>576332225</v>
      </c>
      <c r="B1720" s="453">
        <v>767298309.02913404</v>
      </c>
      <c r="D1720" s="453" t="s">
        <v>7859</v>
      </c>
      <c r="E1720" s="453" t="s">
        <v>7860</v>
      </c>
    </row>
    <row r="1721" spans="1:5">
      <c r="A1721" s="453">
        <v>576451041</v>
      </c>
      <c r="B1721" s="453">
        <v>767417125.03046095</v>
      </c>
      <c r="D1721" s="453" t="s">
        <v>7861</v>
      </c>
      <c r="E1721" s="453" t="s">
        <v>7862</v>
      </c>
    </row>
    <row r="1722" spans="1:5">
      <c r="A1722" s="453">
        <v>576501421</v>
      </c>
      <c r="B1722" s="453">
        <v>767467505.031003</v>
      </c>
      <c r="D1722" s="453" t="s">
        <v>7863</v>
      </c>
      <c r="E1722" s="453" t="s">
        <v>7864</v>
      </c>
    </row>
    <row r="1723" spans="1:5">
      <c r="A1723" s="453">
        <v>576616630</v>
      </c>
      <c r="B1723" s="453">
        <v>767582714.03227901</v>
      </c>
      <c r="D1723" s="453" t="s">
        <v>7865</v>
      </c>
      <c r="E1723" s="453" t="s">
        <v>7866</v>
      </c>
    </row>
    <row r="1724" spans="1:5">
      <c r="A1724" s="453">
        <v>576670627</v>
      </c>
      <c r="B1724" s="453">
        <v>767636711.03285599</v>
      </c>
      <c r="D1724" s="453" t="s">
        <v>7867</v>
      </c>
      <c r="E1724" s="453" t="s">
        <v>7868</v>
      </c>
    </row>
    <row r="1725" spans="1:5">
      <c r="A1725" s="453">
        <v>576731828</v>
      </c>
      <c r="B1725" s="453">
        <v>767697912.03353906</v>
      </c>
      <c r="D1725" s="453" t="s">
        <v>7869</v>
      </c>
      <c r="E1725" s="453" t="s">
        <v>7870</v>
      </c>
    </row>
    <row r="1726" spans="1:5">
      <c r="A1726" s="453">
        <v>576836249</v>
      </c>
      <c r="B1726" s="453">
        <v>767802333.034688</v>
      </c>
      <c r="D1726" s="453" t="s">
        <v>7871</v>
      </c>
      <c r="E1726" s="453" t="s">
        <v>7872</v>
      </c>
    </row>
    <row r="1727" spans="1:5">
      <c r="A1727" s="453">
        <v>576937052</v>
      </c>
      <c r="B1727" s="453">
        <v>767903136.03583097</v>
      </c>
      <c r="D1727" s="453" t="s">
        <v>7873</v>
      </c>
      <c r="E1727" s="453" t="s">
        <v>7874</v>
      </c>
    </row>
    <row r="1728" spans="1:5">
      <c r="A1728" s="453">
        <v>577001887</v>
      </c>
      <c r="B1728" s="453">
        <v>767967971.03655398</v>
      </c>
      <c r="D1728" s="453" t="s">
        <v>7875</v>
      </c>
      <c r="E1728" s="453" t="s">
        <v>7876</v>
      </c>
    </row>
    <row r="1729" spans="1:5">
      <c r="A1729" s="453">
        <v>577138659</v>
      </c>
      <c r="B1729" s="453">
        <v>768104743.03806496</v>
      </c>
      <c r="D1729" s="453" t="s">
        <v>7877</v>
      </c>
      <c r="E1729" s="453" t="s">
        <v>7878</v>
      </c>
    </row>
    <row r="1730" spans="1:5">
      <c r="A1730" s="453">
        <v>577210657</v>
      </c>
      <c r="B1730" s="453">
        <v>768176741.038854</v>
      </c>
      <c r="D1730" s="453" t="s">
        <v>7879</v>
      </c>
      <c r="E1730" s="453" t="s">
        <v>7880</v>
      </c>
    </row>
    <row r="1731" spans="1:5">
      <c r="A1731" s="453">
        <v>577246656</v>
      </c>
      <c r="B1731" s="453">
        <v>768212740.03926003</v>
      </c>
      <c r="D1731" s="453" t="s">
        <v>7881</v>
      </c>
      <c r="E1731" s="453" t="s">
        <v>7882</v>
      </c>
    </row>
    <row r="1732" spans="1:5">
      <c r="A1732" s="453">
        <v>577394269</v>
      </c>
      <c r="B1732" s="453">
        <v>768360353.04090297</v>
      </c>
      <c r="D1732" s="453" t="s">
        <v>7883</v>
      </c>
      <c r="E1732" s="453" t="s">
        <v>7884</v>
      </c>
    </row>
    <row r="1733" spans="1:5">
      <c r="A1733" s="453">
        <v>577480675</v>
      </c>
      <c r="B1733" s="453">
        <v>768446759.04186106</v>
      </c>
      <c r="D1733" s="453" t="s">
        <v>7885</v>
      </c>
      <c r="E1733" s="453" t="s">
        <v>7886</v>
      </c>
    </row>
    <row r="1734" spans="1:5">
      <c r="A1734" s="453">
        <v>577617472</v>
      </c>
      <c r="B1734" s="453">
        <v>768583556.04336905</v>
      </c>
      <c r="D1734" s="453" t="s">
        <v>7887</v>
      </c>
      <c r="E1734" s="453" t="s">
        <v>7888</v>
      </c>
    </row>
    <row r="1735" spans="1:5">
      <c r="A1735" s="453">
        <v>577736277</v>
      </c>
      <c r="B1735" s="453">
        <v>768702361.04470897</v>
      </c>
      <c r="D1735" s="453" t="s">
        <v>7889</v>
      </c>
      <c r="E1735" s="453" t="s">
        <v>7890</v>
      </c>
    </row>
    <row r="1736" spans="1:5">
      <c r="A1736" s="453">
        <v>577804722</v>
      </c>
      <c r="B1736" s="453">
        <v>768770806.04547405</v>
      </c>
      <c r="D1736" s="453" t="s">
        <v>7891</v>
      </c>
      <c r="E1736" s="453" t="s">
        <v>7892</v>
      </c>
    </row>
    <row r="1737" spans="1:5">
      <c r="A1737" s="453">
        <v>577901886</v>
      </c>
      <c r="B1737" s="453">
        <v>768867970.04654503</v>
      </c>
      <c r="D1737" s="453" t="s">
        <v>7893</v>
      </c>
      <c r="E1737" s="453" t="s">
        <v>7894</v>
      </c>
    </row>
    <row r="1738" spans="1:5">
      <c r="A1738" s="453">
        <v>577995487</v>
      </c>
      <c r="B1738" s="453">
        <v>768961571.047598</v>
      </c>
      <c r="D1738" s="453" t="s">
        <v>7895</v>
      </c>
      <c r="E1738" s="453" t="s">
        <v>7896</v>
      </c>
    </row>
    <row r="1739" spans="1:5">
      <c r="A1739" s="453">
        <v>578085495</v>
      </c>
      <c r="B1739" s="453">
        <v>769051579.04858994</v>
      </c>
      <c r="D1739" s="453" t="s">
        <v>7897</v>
      </c>
      <c r="E1739" s="453" t="s">
        <v>7898</v>
      </c>
    </row>
    <row r="1740" spans="1:5">
      <c r="A1740" s="453">
        <v>578132285</v>
      </c>
      <c r="B1740" s="453">
        <v>769098369.04910004</v>
      </c>
      <c r="D1740" s="453" t="s">
        <v>7899</v>
      </c>
      <c r="E1740" s="453" t="s">
        <v>7900</v>
      </c>
    </row>
    <row r="1741" spans="1:5">
      <c r="A1741" s="453">
        <v>578254699</v>
      </c>
      <c r="B1741" s="453">
        <v>769220783.05048096</v>
      </c>
      <c r="D1741" s="453" t="s">
        <v>7901</v>
      </c>
      <c r="E1741" s="453" t="s">
        <v>7902</v>
      </c>
    </row>
    <row r="1742" spans="1:5">
      <c r="A1742" s="453">
        <v>578341103</v>
      </c>
      <c r="B1742" s="453">
        <v>769307187.05145204</v>
      </c>
      <c r="D1742" s="453" t="s">
        <v>7903</v>
      </c>
      <c r="E1742" s="453" t="s">
        <v>7904</v>
      </c>
    </row>
    <row r="1743" spans="1:5">
      <c r="A1743" s="453">
        <v>578431103</v>
      </c>
      <c r="B1743" s="453">
        <v>769397187.052441</v>
      </c>
      <c r="D1743" s="453" t="s">
        <v>7905</v>
      </c>
      <c r="E1743" s="453" t="s">
        <v>7906</v>
      </c>
    </row>
    <row r="1744" spans="1:5">
      <c r="A1744" s="453">
        <v>578517515</v>
      </c>
      <c r="B1744" s="453">
        <v>769483599.053424</v>
      </c>
      <c r="D1744" s="453" t="s">
        <v>7907</v>
      </c>
      <c r="E1744" s="453" t="s">
        <v>7908</v>
      </c>
    </row>
    <row r="1745" spans="1:5">
      <c r="A1745" s="453">
        <v>578575182</v>
      </c>
      <c r="B1745" s="453">
        <v>769541266.054057</v>
      </c>
      <c r="D1745" s="453" t="s">
        <v>7909</v>
      </c>
      <c r="E1745" s="453" t="s">
        <v>7910</v>
      </c>
    </row>
    <row r="1746" spans="1:5">
      <c r="A1746" s="453">
        <v>578690313</v>
      </c>
      <c r="B1746" s="453">
        <v>769656397.05535197</v>
      </c>
      <c r="D1746" s="453" t="s">
        <v>7911</v>
      </c>
      <c r="E1746" s="453" t="s">
        <v>7912</v>
      </c>
    </row>
    <row r="1747" spans="1:5">
      <c r="A1747" s="453">
        <v>578765909</v>
      </c>
      <c r="B1747" s="453">
        <v>769731993.05616498</v>
      </c>
      <c r="D1747" s="453" t="s">
        <v>7913</v>
      </c>
      <c r="E1747" s="453" t="s">
        <v>7914</v>
      </c>
    </row>
    <row r="1748" spans="1:5">
      <c r="A1748" s="453">
        <v>578863124</v>
      </c>
      <c r="B1748" s="453">
        <v>769829208.05727303</v>
      </c>
      <c r="D1748" s="453" t="s">
        <v>7915</v>
      </c>
      <c r="E1748" s="453" t="s">
        <v>7916</v>
      </c>
    </row>
    <row r="1749" spans="1:5">
      <c r="A1749" s="453">
        <v>578949525</v>
      </c>
      <c r="B1749" s="453">
        <v>769915609.05824494</v>
      </c>
      <c r="D1749" s="453" t="s">
        <v>7917</v>
      </c>
      <c r="E1749" s="453" t="s">
        <v>7918</v>
      </c>
    </row>
    <row r="1750" spans="1:5">
      <c r="A1750" s="453">
        <v>579039544</v>
      </c>
      <c r="B1750" s="453">
        <v>770005628.05925</v>
      </c>
      <c r="D1750" s="453" t="s">
        <v>7919</v>
      </c>
      <c r="E1750" s="453" t="s">
        <v>7920</v>
      </c>
    </row>
    <row r="1751" spans="1:5">
      <c r="A1751" s="453">
        <v>579104320</v>
      </c>
      <c r="B1751" s="453">
        <v>770070404.05993903</v>
      </c>
      <c r="D1751" s="453" t="s">
        <v>7921</v>
      </c>
      <c r="E1751" s="453" t="s">
        <v>7922</v>
      </c>
    </row>
    <row r="1752" spans="1:5">
      <c r="A1752" s="453">
        <v>579183513</v>
      </c>
      <c r="B1752" s="453">
        <v>770149597.06081605</v>
      </c>
      <c r="D1752" s="453" t="s">
        <v>7923</v>
      </c>
      <c r="E1752" s="453" t="s">
        <v>7924</v>
      </c>
    </row>
    <row r="1753" spans="1:5">
      <c r="A1753" s="453">
        <v>579277122</v>
      </c>
      <c r="B1753" s="453">
        <v>770243206.06189096</v>
      </c>
      <c r="D1753" s="453" t="s">
        <v>7925</v>
      </c>
      <c r="E1753" s="453" t="s">
        <v>7926</v>
      </c>
    </row>
    <row r="1754" spans="1:5">
      <c r="A1754" s="453">
        <v>579349129</v>
      </c>
      <c r="B1754" s="453">
        <v>770315213.06270301</v>
      </c>
      <c r="D1754" s="453" t="s">
        <v>7927</v>
      </c>
      <c r="E1754" s="453" t="s">
        <v>7928</v>
      </c>
    </row>
    <row r="1755" spans="1:5">
      <c r="A1755" s="453">
        <v>579413959</v>
      </c>
      <c r="B1755" s="453">
        <v>770380043.06343699</v>
      </c>
      <c r="D1755" s="453" t="s">
        <v>7929</v>
      </c>
      <c r="E1755" s="453" t="s">
        <v>7930</v>
      </c>
    </row>
    <row r="1756" spans="1:5">
      <c r="A1756" s="453">
        <v>579550732</v>
      </c>
      <c r="B1756" s="453">
        <v>770516816.06496096</v>
      </c>
      <c r="D1756" s="453" t="s">
        <v>7931</v>
      </c>
      <c r="E1756" s="453" t="s">
        <v>7932</v>
      </c>
    </row>
    <row r="1757" spans="1:5">
      <c r="A1757" s="453">
        <v>579633527</v>
      </c>
      <c r="B1757" s="453">
        <v>770599611.06588602</v>
      </c>
      <c r="D1757" s="453" t="s">
        <v>7933</v>
      </c>
      <c r="E1757" s="453" t="s">
        <v>7934</v>
      </c>
    </row>
    <row r="1758" spans="1:5">
      <c r="A1758" s="453">
        <v>579709129</v>
      </c>
      <c r="B1758" s="453">
        <v>770675213.066728</v>
      </c>
      <c r="D1758" s="453" t="s">
        <v>7935</v>
      </c>
      <c r="E1758" s="453" t="s">
        <v>7936</v>
      </c>
    </row>
    <row r="1759" spans="1:5">
      <c r="A1759" s="453">
        <v>579795524</v>
      </c>
      <c r="B1759" s="453">
        <v>770761608.06768596</v>
      </c>
      <c r="D1759" s="453" t="s">
        <v>7937</v>
      </c>
      <c r="E1759" s="453" t="s">
        <v>7938</v>
      </c>
    </row>
    <row r="1760" spans="1:5">
      <c r="A1760" s="453">
        <v>579881928</v>
      </c>
      <c r="B1760" s="453">
        <v>770848012.06865096</v>
      </c>
      <c r="D1760" s="453" t="s">
        <v>7939</v>
      </c>
      <c r="E1760" s="453" t="s">
        <v>7940</v>
      </c>
    </row>
    <row r="1761" spans="1:5">
      <c r="A1761" s="453">
        <v>580036731</v>
      </c>
      <c r="B1761" s="453">
        <v>771002815.07038701</v>
      </c>
      <c r="D1761" s="453" t="s">
        <v>7941</v>
      </c>
      <c r="E1761" s="453" t="s">
        <v>7942</v>
      </c>
    </row>
    <row r="1762" spans="1:5">
      <c r="A1762" s="453">
        <v>580151933</v>
      </c>
      <c r="B1762" s="453">
        <v>771118017.07170403</v>
      </c>
      <c r="D1762" s="453" t="s">
        <v>7943</v>
      </c>
      <c r="E1762" s="453" t="s">
        <v>7944</v>
      </c>
    </row>
    <row r="1763" spans="1:5">
      <c r="A1763" s="453">
        <v>580253674</v>
      </c>
      <c r="B1763" s="453">
        <v>771219758.07281196</v>
      </c>
      <c r="D1763" s="453" t="s">
        <v>7945</v>
      </c>
      <c r="E1763" s="453" t="s">
        <v>7946</v>
      </c>
    </row>
    <row r="1764" spans="1:5">
      <c r="A1764" s="453">
        <v>580339781</v>
      </c>
      <c r="B1764" s="453">
        <v>771305865.07377601</v>
      </c>
      <c r="D1764" s="453" t="s">
        <v>7947</v>
      </c>
      <c r="E1764" s="453" t="s">
        <v>7948</v>
      </c>
    </row>
    <row r="1765" spans="1:5">
      <c r="A1765" s="453">
        <v>580425560</v>
      </c>
      <c r="B1765" s="453">
        <v>771391644.07473397</v>
      </c>
      <c r="D1765" s="453" t="s">
        <v>7949</v>
      </c>
      <c r="E1765" s="453" t="s">
        <v>7950</v>
      </c>
    </row>
    <row r="1766" spans="1:5">
      <c r="A1766" s="453">
        <v>580486735</v>
      </c>
      <c r="B1766" s="453">
        <v>771452819.075441</v>
      </c>
      <c r="D1766" s="453" t="s">
        <v>7951</v>
      </c>
      <c r="E1766" s="453" t="s">
        <v>7952</v>
      </c>
    </row>
    <row r="1767" spans="1:5">
      <c r="A1767" s="453">
        <v>580598368</v>
      </c>
      <c r="B1767" s="453">
        <v>771564452.07668102</v>
      </c>
      <c r="D1767" s="453" t="s">
        <v>7953</v>
      </c>
      <c r="E1767" s="453" t="s">
        <v>7954</v>
      </c>
    </row>
    <row r="1768" spans="1:5">
      <c r="A1768" s="453">
        <v>580684752</v>
      </c>
      <c r="B1768" s="453">
        <v>771650836.07764995</v>
      </c>
      <c r="D1768" s="453" t="s">
        <v>7955</v>
      </c>
      <c r="E1768" s="453" t="s">
        <v>7956</v>
      </c>
    </row>
    <row r="1769" spans="1:5">
      <c r="A1769" s="453">
        <v>580771152</v>
      </c>
      <c r="B1769" s="453">
        <v>771737236.07861304</v>
      </c>
      <c r="D1769" s="453" t="s">
        <v>7957</v>
      </c>
      <c r="E1769" s="453" t="s">
        <v>7958</v>
      </c>
    </row>
    <row r="1770" spans="1:5">
      <c r="A1770" s="453">
        <v>580846871</v>
      </c>
      <c r="B1770" s="453">
        <v>771812955.079494</v>
      </c>
      <c r="D1770" s="453" t="s">
        <v>7959</v>
      </c>
      <c r="E1770" s="453" t="s">
        <v>7960</v>
      </c>
    </row>
    <row r="1771" spans="1:5">
      <c r="A1771" s="453">
        <v>580936788</v>
      </c>
      <c r="B1771" s="453">
        <v>771902872.08050203</v>
      </c>
      <c r="D1771" s="453" t="s">
        <v>7961</v>
      </c>
      <c r="E1771" s="453" t="s">
        <v>7962</v>
      </c>
    </row>
    <row r="1772" spans="1:5">
      <c r="A1772" s="453">
        <v>580979928</v>
      </c>
      <c r="B1772" s="453">
        <v>771946012.08097398</v>
      </c>
      <c r="D1772" s="453" t="s">
        <v>7963</v>
      </c>
      <c r="E1772" s="453" t="s">
        <v>7964</v>
      </c>
    </row>
    <row r="1773" spans="1:5">
      <c r="A1773" s="453">
        <v>581098727</v>
      </c>
      <c r="B1773" s="453">
        <v>772064811.08232498</v>
      </c>
      <c r="D1773" s="453" t="s">
        <v>7965</v>
      </c>
      <c r="E1773" s="453" t="s">
        <v>7966</v>
      </c>
    </row>
    <row r="1774" spans="1:5">
      <c r="A1774" s="453">
        <v>581156326</v>
      </c>
      <c r="B1774" s="453">
        <v>772122410.08294797</v>
      </c>
      <c r="D1774" s="453" t="s">
        <v>7967</v>
      </c>
      <c r="E1774" s="453" t="s">
        <v>7968</v>
      </c>
    </row>
    <row r="1775" spans="1:5">
      <c r="A1775" s="453">
        <v>581289542</v>
      </c>
      <c r="B1775" s="453">
        <v>772255626.08443201</v>
      </c>
      <c r="D1775" s="453" t="s">
        <v>7969</v>
      </c>
      <c r="E1775" s="453" t="s">
        <v>7970</v>
      </c>
    </row>
    <row r="1776" spans="1:5">
      <c r="A1776" s="453">
        <v>581350724</v>
      </c>
      <c r="B1776" s="453">
        <v>772316808.08513904</v>
      </c>
      <c r="D1776" s="453" t="s">
        <v>7971</v>
      </c>
      <c r="E1776" s="453" t="s">
        <v>7972</v>
      </c>
    </row>
    <row r="1777" spans="1:5">
      <c r="A1777" s="453">
        <v>581437123</v>
      </c>
      <c r="B1777" s="453">
        <v>772403207.08610404</v>
      </c>
      <c r="D1777" s="453" t="s">
        <v>7973</v>
      </c>
      <c r="E1777" s="453" t="s">
        <v>7974</v>
      </c>
    </row>
    <row r="1778" spans="1:5">
      <c r="A1778" s="453">
        <v>581548737</v>
      </c>
      <c r="B1778" s="453">
        <v>772514821.08569396</v>
      </c>
      <c r="D1778" s="453" t="s">
        <v>7975</v>
      </c>
      <c r="E1778" s="453" t="s">
        <v>7976</v>
      </c>
    </row>
    <row r="1779" spans="1:5">
      <c r="A1779" s="453">
        <v>581635139</v>
      </c>
      <c r="B1779" s="453">
        <v>772601223.08665001</v>
      </c>
      <c r="D1779" s="453" t="s">
        <v>7977</v>
      </c>
      <c r="E1779" s="453" t="s">
        <v>7978</v>
      </c>
    </row>
    <row r="1780" spans="1:5">
      <c r="A1780" s="453">
        <v>581721538</v>
      </c>
      <c r="B1780" s="453">
        <v>772687622.08762705</v>
      </c>
      <c r="D1780" s="453" t="s">
        <v>7979</v>
      </c>
      <c r="E1780" s="453" t="s">
        <v>7980</v>
      </c>
    </row>
    <row r="1781" spans="1:5">
      <c r="A1781" s="453">
        <v>581735931</v>
      </c>
      <c r="B1781" s="453">
        <v>772702015.08781195</v>
      </c>
      <c r="D1781" s="453" t="s">
        <v>7981</v>
      </c>
      <c r="E1781" s="453" t="s">
        <v>7982</v>
      </c>
    </row>
    <row r="1782" spans="1:5">
      <c r="A1782" s="453">
        <v>581895231</v>
      </c>
      <c r="B1782" s="453">
        <v>772861315.08956504</v>
      </c>
      <c r="D1782" s="453" t="s">
        <v>7983</v>
      </c>
      <c r="E1782" s="453" t="s">
        <v>7984</v>
      </c>
    </row>
    <row r="1783" spans="1:5">
      <c r="A1783" s="453">
        <v>581980723</v>
      </c>
      <c r="B1783" s="453">
        <v>772946807.090518</v>
      </c>
      <c r="D1783" s="453" t="s">
        <v>7985</v>
      </c>
      <c r="E1783" s="453" t="s">
        <v>7986</v>
      </c>
    </row>
    <row r="1784" spans="1:5">
      <c r="A1784" s="453">
        <v>582045504</v>
      </c>
      <c r="B1784" s="453">
        <v>773011588.09127402</v>
      </c>
      <c r="D1784" s="453" t="s">
        <v>7987</v>
      </c>
      <c r="E1784" s="453" t="s">
        <v>7988</v>
      </c>
    </row>
    <row r="1785" spans="1:5">
      <c r="A1785" s="453">
        <v>582153519</v>
      </c>
      <c r="B1785" s="453">
        <v>773119603.092466</v>
      </c>
      <c r="D1785" s="453" t="s">
        <v>7989</v>
      </c>
      <c r="E1785" s="453" t="s">
        <v>7990</v>
      </c>
    </row>
    <row r="1786" spans="1:5">
      <c r="A1786" s="453">
        <v>582239944</v>
      </c>
      <c r="B1786" s="453">
        <v>773206028.09342504</v>
      </c>
      <c r="D1786" s="453" t="s">
        <v>7991</v>
      </c>
      <c r="E1786" s="453" t="s">
        <v>7992</v>
      </c>
    </row>
    <row r="1787" spans="1:5">
      <c r="A1787" s="453">
        <v>582326317</v>
      </c>
      <c r="B1787" s="453">
        <v>773292401.09438097</v>
      </c>
      <c r="D1787" s="453" t="s">
        <v>7993</v>
      </c>
      <c r="E1787" s="453" t="s">
        <v>7994</v>
      </c>
    </row>
    <row r="1788" spans="1:5">
      <c r="A1788" s="453">
        <v>582455926</v>
      </c>
      <c r="B1788" s="453">
        <v>773422010.09586799</v>
      </c>
      <c r="D1788" s="453" t="s">
        <v>7995</v>
      </c>
      <c r="E1788" s="453" t="s">
        <v>7996</v>
      </c>
    </row>
    <row r="1789" spans="1:5">
      <c r="A1789" s="453">
        <v>582538697</v>
      </c>
      <c r="B1789" s="453">
        <v>773504781.09677505</v>
      </c>
      <c r="D1789" s="453" t="s">
        <v>7997</v>
      </c>
      <c r="E1789" s="453" t="s">
        <v>7998</v>
      </c>
    </row>
    <row r="1790" spans="1:5">
      <c r="A1790" s="453">
        <v>582628727</v>
      </c>
      <c r="B1790" s="453">
        <v>773594811.09778404</v>
      </c>
      <c r="D1790" s="453" t="s">
        <v>7999</v>
      </c>
      <c r="E1790" s="453" t="s">
        <v>8000</v>
      </c>
    </row>
    <row r="1791" spans="1:5">
      <c r="A1791" s="453">
        <v>582711493</v>
      </c>
      <c r="B1791" s="453">
        <v>773677577.09871197</v>
      </c>
      <c r="D1791" s="453" t="s">
        <v>8001</v>
      </c>
      <c r="E1791" s="453" t="s">
        <v>8002</v>
      </c>
    </row>
    <row r="1792" spans="1:5">
      <c r="A1792" s="453">
        <v>582844698</v>
      </c>
      <c r="B1792" s="453">
        <v>773810782.10017705</v>
      </c>
      <c r="D1792" s="453" t="s">
        <v>8003</v>
      </c>
      <c r="E1792" s="453" t="s">
        <v>8004</v>
      </c>
    </row>
    <row r="1793" spans="1:5">
      <c r="A1793" s="453">
        <v>582931089</v>
      </c>
      <c r="B1793" s="453">
        <v>773897173.10114896</v>
      </c>
      <c r="D1793" s="453" t="s">
        <v>8005</v>
      </c>
      <c r="E1793" s="453" t="s">
        <v>8006</v>
      </c>
    </row>
    <row r="1794" spans="1:5">
      <c r="A1794" s="453">
        <v>583018084</v>
      </c>
      <c r="B1794" s="453">
        <v>773984168.10212398</v>
      </c>
      <c r="D1794" s="453" t="s">
        <v>8007</v>
      </c>
      <c r="E1794" s="453" t="s">
        <v>8008</v>
      </c>
    </row>
    <row r="1795" spans="1:5">
      <c r="A1795" s="453">
        <v>583103883</v>
      </c>
      <c r="B1795" s="453">
        <v>774069967.10307705</v>
      </c>
      <c r="D1795" s="453" t="s">
        <v>8009</v>
      </c>
      <c r="E1795" s="453" t="s">
        <v>8010</v>
      </c>
    </row>
    <row r="1796" spans="1:5">
      <c r="A1796" s="453">
        <v>583190278</v>
      </c>
      <c r="B1796" s="453">
        <v>774156362.10405099</v>
      </c>
      <c r="D1796" s="453" t="s">
        <v>8011</v>
      </c>
      <c r="E1796" s="453" t="s">
        <v>8012</v>
      </c>
    </row>
    <row r="1797" spans="1:5">
      <c r="A1797" s="453">
        <v>583276678</v>
      </c>
      <c r="B1797" s="453">
        <v>774242762.10500896</v>
      </c>
      <c r="D1797" s="453" t="s">
        <v>8013</v>
      </c>
      <c r="E1797" s="453" t="s">
        <v>8014</v>
      </c>
    </row>
    <row r="1798" spans="1:5">
      <c r="A1798" s="453">
        <v>583363065</v>
      </c>
      <c r="B1798" s="453">
        <v>774329149.10598099</v>
      </c>
      <c r="D1798" s="453" t="s">
        <v>8015</v>
      </c>
      <c r="E1798" s="453" t="s">
        <v>8016</v>
      </c>
    </row>
    <row r="1799" spans="1:5">
      <c r="A1799" s="453">
        <v>583449463</v>
      </c>
      <c r="B1799" s="453">
        <v>774415547.10694695</v>
      </c>
      <c r="D1799" s="453" t="s">
        <v>8017</v>
      </c>
      <c r="E1799" s="453" t="s">
        <v>8018</v>
      </c>
    </row>
    <row r="1800" spans="1:5">
      <c r="A1800" s="453">
        <v>583535858</v>
      </c>
      <c r="B1800" s="453">
        <v>774501942.107903</v>
      </c>
      <c r="D1800" s="453" t="s">
        <v>8019</v>
      </c>
      <c r="E1800" s="453" t="s">
        <v>8020</v>
      </c>
    </row>
    <row r="1801" spans="1:5">
      <c r="A1801" s="453">
        <v>583622250</v>
      </c>
      <c r="B1801" s="453">
        <v>774588334.10887599</v>
      </c>
      <c r="D1801" s="453" t="s">
        <v>8021</v>
      </c>
      <c r="E1801" s="453" t="s">
        <v>8022</v>
      </c>
    </row>
    <row r="1802" spans="1:5">
      <c r="A1802" s="453">
        <v>583708649</v>
      </c>
      <c r="B1802" s="453">
        <v>774674733.10983503</v>
      </c>
      <c r="D1802" s="453" t="s">
        <v>8023</v>
      </c>
      <c r="E1802" s="453" t="s">
        <v>8024</v>
      </c>
    </row>
    <row r="1803" spans="1:5">
      <c r="A1803" s="453">
        <v>583795041</v>
      </c>
      <c r="B1803" s="453">
        <v>774761125.11081195</v>
      </c>
      <c r="D1803" s="453" t="s">
        <v>8025</v>
      </c>
      <c r="E1803" s="453" t="s">
        <v>8026</v>
      </c>
    </row>
    <row r="1804" spans="1:5">
      <c r="A1804" s="453">
        <v>583856218</v>
      </c>
      <c r="B1804" s="453">
        <v>774822302.11149597</v>
      </c>
      <c r="D1804" s="453" t="s">
        <v>8027</v>
      </c>
      <c r="E1804" s="453" t="s">
        <v>8028</v>
      </c>
    </row>
    <row r="1805" spans="1:5">
      <c r="A1805" s="453">
        <v>583967829</v>
      </c>
      <c r="B1805" s="453">
        <v>774933913.11274397</v>
      </c>
      <c r="D1805" s="453" t="s">
        <v>8029</v>
      </c>
      <c r="E1805" s="453" t="s">
        <v>8030</v>
      </c>
    </row>
    <row r="1806" spans="1:5">
      <c r="A1806" s="453">
        <v>584003809</v>
      </c>
      <c r="B1806" s="453">
        <v>774969893.11310899</v>
      </c>
      <c r="D1806" s="453" t="s">
        <v>8031</v>
      </c>
      <c r="E1806" s="453" t="s">
        <v>8032</v>
      </c>
    </row>
    <row r="1807" spans="1:5">
      <c r="A1807" s="453">
        <v>584115407</v>
      </c>
      <c r="B1807" s="453">
        <v>775081491.11439705</v>
      </c>
      <c r="D1807" s="453" t="s">
        <v>8033</v>
      </c>
      <c r="E1807" s="453" t="s">
        <v>8034</v>
      </c>
    </row>
    <row r="1808" spans="1:5">
      <c r="A1808" s="453">
        <v>584227012</v>
      </c>
      <c r="B1808" s="453">
        <v>775193096.11563694</v>
      </c>
      <c r="D1808" s="453" t="s">
        <v>8035</v>
      </c>
      <c r="E1808" s="453" t="s">
        <v>8036</v>
      </c>
    </row>
    <row r="1809" spans="1:5">
      <c r="A1809" s="453">
        <v>584313412</v>
      </c>
      <c r="B1809" s="453">
        <v>775279496.11659098</v>
      </c>
      <c r="D1809" s="453" t="s">
        <v>8037</v>
      </c>
      <c r="E1809" s="453" t="s">
        <v>8038</v>
      </c>
    </row>
    <row r="1810" spans="1:5">
      <c r="A1810" s="453">
        <v>584399804</v>
      </c>
      <c r="B1810" s="453">
        <v>775365888.11755097</v>
      </c>
      <c r="D1810" s="453" t="s">
        <v>8039</v>
      </c>
      <c r="E1810" s="453" t="s">
        <v>8040</v>
      </c>
    </row>
    <row r="1811" spans="1:5">
      <c r="A1811" s="453">
        <v>584486197</v>
      </c>
      <c r="B1811" s="453">
        <v>775452281.11852002</v>
      </c>
      <c r="D1811" s="453" t="s">
        <v>8041</v>
      </c>
      <c r="E1811" s="453" t="s">
        <v>8042</v>
      </c>
    </row>
    <row r="1812" spans="1:5">
      <c r="A1812" s="453">
        <v>584543769</v>
      </c>
      <c r="B1812" s="453">
        <v>775509853.11917996</v>
      </c>
      <c r="D1812" s="453" t="s">
        <v>8043</v>
      </c>
      <c r="E1812" s="453" t="s">
        <v>8044</v>
      </c>
    </row>
    <row r="1813" spans="1:5">
      <c r="A1813" s="453">
        <v>584619407</v>
      </c>
      <c r="B1813" s="453">
        <v>775585491.12000096</v>
      </c>
      <c r="D1813" s="453" t="s">
        <v>8045</v>
      </c>
      <c r="E1813" s="453" t="s">
        <v>8046</v>
      </c>
    </row>
    <row r="1814" spans="1:5">
      <c r="A1814" s="453">
        <v>584712995</v>
      </c>
      <c r="B1814" s="453">
        <v>775679079.12105203</v>
      </c>
      <c r="D1814" s="453" t="s">
        <v>8047</v>
      </c>
      <c r="E1814" s="453" t="s">
        <v>8048</v>
      </c>
    </row>
    <row r="1815" spans="1:5">
      <c r="A1815" s="453">
        <v>584831771</v>
      </c>
      <c r="B1815" s="453">
        <v>775797855.12237501</v>
      </c>
      <c r="D1815" s="453" t="s">
        <v>8049</v>
      </c>
      <c r="E1815" s="453" t="s">
        <v>8050</v>
      </c>
    </row>
    <row r="1816" spans="1:5">
      <c r="A1816" s="453">
        <v>584918165</v>
      </c>
      <c r="B1816" s="453">
        <v>775884249.12334204</v>
      </c>
      <c r="D1816" s="453" t="s">
        <v>8051</v>
      </c>
      <c r="E1816" s="453" t="s">
        <v>8052</v>
      </c>
    </row>
    <row r="1817" spans="1:5">
      <c r="A1817" s="453">
        <v>585004555</v>
      </c>
      <c r="B1817" s="453">
        <v>775970639.12429702</v>
      </c>
      <c r="D1817" s="453" t="s">
        <v>8053</v>
      </c>
      <c r="E1817" s="453" t="s">
        <v>8054</v>
      </c>
    </row>
    <row r="1818" spans="1:5">
      <c r="A1818" s="453">
        <v>585090944</v>
      </c>
      <c r="B1818" s="453">
        <v>776057028.12525105</v>
      </c>
      <c r="D1818" s="453" t="s">
        <v>8055</v>
      </c>
      <c r="E1818" s="453" t="s">
        <v>8056</v>
      </c>
    </row>
    <row r="1819" spans="1:5">
      <c r="A1819" s="453">
        <v>585177343</v>
      </c>
      <c r="B1819" s="453">
        <v>776143427.12622905</v>
      </c>
      <c r="D1819" s="453" t="s">
        <v>8057</v>
      </c>
      <c r="E1819" s="453" t="s">
        <v>8058</v>
      </c>
    </row>
    <row r="1820" spans="1:5">
      <c r="A1820" s="453">
        <v>585263731</v>
      </c>
      <c r="B1820" s="453">
        <v>776229815.12717295</v>
      </c>
      <c r="D1820" s="453" t="s">
        <v>8059</v>
      </c>
      <c r="E1820" s="453" t="s">
        <v>8060</v>
      </c>
    </row>
    <row r="1821" spans="1:5">
      <c r="A1821" s="453">
        <v>585328536</v>
      </c>
      <c r="B1821" s="453">
        <v>776294620.127918</v>
      </c>
      <c r="D1821" s="453" t="s">
        <v>8061</v>
      </c>
      <c r="E1821" s="453" t="s">
        <v>8062</v>
      </c>
    </row>
    <row r="1822" spans="1:5">
      <c r="A1822" s="453">
        <v>585436514</v>
      </c>
      <c r="B1822" s="453">
        <v>776402598.12909603</v>
      </c>
      <c r="D1822" s="453" t="s">
        <v>8063</v>
      </c>
      <c r="E1822" s="453" t="s">
        <v>8064</v>
      </c>
    </row>
    <row r="1823" spans="1:5">
      <c r="A1823" s="453">
        <v>585522906</v>
      </c>
      <c r="B1823" s="453">
        <v>776488990.13005698</v>
      </c>
      <c r="D1823" s="453" t="s">
        <v>8065</v>
      </c>
      <c r="E1823" s="453" t="s">
        <v>8066</v>
      </c>
    </row>
    <row r="1824" spans="1:5">
      <c r="A1824" s="453">
        <v>585587704</v>
      </c>
      <c r="B1824" s="453">
        <v>776553788.13079202</v>
      </c>
      <c r="D1824" s="453" t="s">
        <v>8067</v>
      </c>
      <c r="E1824" s="453" t="s">
        <v>8068</v>
      </c>
    </row>
    <row r="1825" spans="1:5">
      <c r="A1825" s="453">
        <v>585663269</v>
      </c>
      <c r="B1825" s="453">
        <v>776629353.13163304</v>
      </c>
      <c r="D1825" s="453" t="s">
        <v>8069</v>
      </c>
      <c r="E1825" s="453" t="s">
        <v>8070</v>
      </c>
    </row>
    <row r="1826" spans="1:5">
      <c r="A1826" s="453">
        <v>585756880</v>
      </c>
      <c r="B1826" s="453">
        <v>776722964.13267899</v>
      </c>
      <c r="D1826" s="453" t="s">
        <v>8071</v>
      </c>
      <c r="E1826" s="453" t="s">
        <v>8072</v>
      </c>
    </row>
    <row r="1827" spans="1:5">
      <c r="A1827" s="453">
        <v>585868475</v>
      </c>
      <c r="B1827" s="453">
        <v>776834559.13390601</v>
      </c>
      <c r="D1827" s="453" t="s">
        <v>8073</v>
      </c>
      <c r="E1827" s="453" t="s">
        <v>8074</v>
      </c>
    </row>
    <row r="1828" spans="1:5">
      <c r="A1828" s="453">
        <v>585954865</v>
      </c>
      <c r="B1828" s="453">
        <v>776920949.13485503</v>
      </c>
      <c r="D1828" s="453" t="s">
        <v>8075</v>
      </c>
      <c r="E1828" s="453" t="s">
        <v>8076</v>
      </c>
    </row>
    <row r="1829" spans="1:5">
      <c r="A1829" s="453">
        <v>586041394</v>
      </c>
      <c r="B1829" s="453">
        <v>777007478.13583004</v>
      </c>
      <c r="D1829" s="453" t="s">
        <v>8077</v>
      </c>
      <c r="E1829" s="453" t="s">
        <v>8078</v>
      </c>
    </row>
    <row r="1830" spans="1:5">
      <c r="A1830" s="453">
        <v>586127650</v>
      </c>
      <c r="B1830" s="453">
        <v>777093734.13677394</v>
      </c>
      <c r="D1830" s="453" t="s">
        <v>8079</v>
      </c>
      <c r="E1830" s="453" t="s">
        <v>8080</v>
      </c>
    </row>
    <row r="1831" spans="1:5">
      <c r="A1831" s="453">
        <v>586178018</v>
      </c>
      <c r="B1831" s="453">
        <v>777144102.13733602</v>
      </c>
      <c r="D1831" s="453" t="s">
        <v>8081</v>
      </c>
      <c r="E1831" s="453" t="s">
        <v>8082</v>
      </c>
    </row>
    <row r="1832" spans="1:5">
      <c r="A1832" s="453">
        <v>586300442</v>
      </c>
      <c r="B1832" s="453">
        <v>777266526.13869703</v>
      </c>
      <c r="D1832" s="453" t="s">
        <v>8083</v>
      </c>
      <c r="E1832" s="453" t="s">
        <v>8084</v>
      </c>
    </row>
    <row r="1833" spans="1:5">
      <c r="A1833" s="453">
        <v>586361621</v>
      </c>
      <c r="B1833" s="453">
        <v>777327705.13937998</v>
      </c>
      <c r="D1833" s="453" t="s">
        <v>8085</v>
      </c>
      <c r="E1833" s="453" t="s">
        <v>8086</v>
      </c>
    </row>
    <row r="1834" spans="1:5">
      <c r="A1834" s="453">
        <v>586473220</v>
      </c>
      <c r="B1834" s="453">
        <v>777439304.14061606</v>
      </c>
      <c r="D1834" s="453" t="s">
        <v>8087</v>
      </c>
      <c r="E1834" s="453" t="s">
        <v>8088</v>
      </c>
    </row>
    <row r="1835" spans="1:5">
      <c r="A1835" s="453">
        <v>586559609</v>
      </c>
      <c r="B1835" s="453">
        <v>777525693.14157295</v>
      </c>
      <c r="D1835" s="453" t="s">
        <v>8089</v>
      </c>
      <c r="E1835" s="453" t="s">
        <v>8090</v>
      </c>
    </row>
    <row r="1836" spans="1:5">
      <c r="A1836" s="453">
        <v>586732388</v>
      </c>
      <c r="B1836" s="453">
        <v>777698472.143489</v>
      </c>
      <c r="D1836" s="453" t="s">
        <v>8091</v>
      </c>
      <c r="E1836" s="453" t="s">
        <v>8092</v>
      </c>
    </row>
    <row r="1837" spans="1:5">
      <c r="A1837" s="453">
        <v>586818777</v>
      </c>
      <c r="B1837" s="453">
        <v>777784861.14443398</v>
      </c>
      <c r="D1837" s="453" t="s">
        <v>8093</v>
      </c>
      <c r="E1837" s="453" t="s">
        <v>8094</v>
      </c>
    </row>
    <row r="1838" spans="1:5">
      <c r="A1838" s="453">
        <v>586905167</v>
      </c>
      <c r="B1838" s="453">
        <v>777871251.14539397</v>
      </c>
      <c r="D1838" s="453" t="s">
        <v>8095</v>
      </c>
      <c r="E1838" s="453" t="s">
        <v>8096</v>
      </c>
    </row>
    <row r="1839" spans="1:5">
      <c r="A1839" s="453">
        <v>586991556</v>
      </c>
      <c r="B1839" s="453">
        <v>777957640.14635599</v>
      </c>
      <c r="D1839" s="453" t="s">
        <v>8097</v>
      </c>
      <c r="E1839" s="453" t="s">
        <v>8098</v>
      </c>
    </row>
    <row r="1840" spans="1:5">
      <c r="A1840" s="453">
        <v>587077945</v>
      </c>
      <c r="B1840" s="453">
        <v>778044029.14730203</v>
      </c>
      <c r="D1840" s="453" t="s">
        <v>8099</v>
      </c>
      <c r="E1840" s="453" t="s">
        <v>8100</v>
      </c>
    </row>
    <row r="1841" spans="1:5">
      <c r="A1841" s="453">
        <v>587131912</v>
      </c>
      <c r="B1841" s="453">
        <v>778097996.14790201</v>
      </c>
      <c r="D1841" s="453" t="s">
        <v>8101</v>
      </c>
      <c r="E1841" s="453" t="s">
        <v>8102</v>
      </c>
    </row>
    <row r="1842" spans="1:5">
      <c r="A1842" s="453">
        <v>587239913</v>
      </c>
      <c r="B1842" s="453">
        <v>778205997.14908004</v>
      </c>
      <c r="D1842" s="453" t="s">
        <v>8103</v>
      </c>
      <c r="E1842" s="453" t="s">
        <v>8104</v>
      </c>
    </row>
    <row r="1843" spans="1:5">
      <c r="A1843" s="453">
        <v>587337123</v>
      </c>
      <c r="B1843" s="453">
        <v>778303207.15016997</v>
      </c>
      <c r="D1843" s="453" t="s">
        <v>8105</v>
      </c>
      <c r="E1843" s="453" t="s">
        <v>8106</v>
      </c>
    </row>
    <row r="1844" spans="1:5">
      <c r="A1844" s="453">
        <v>587423545</v>
      </c>
      <c r="B1844" s="453">
        <v>778389629.15111494</v>
      </c>
      <c r="D1844" s="453" t="s">
        <v>8107</v>
      </c>
      <c r="E1844" s="453" t="s">
        <v>8108</v>
      </c>
    </row>
    <row r="1845" spans="1:5">
      <c r="A1845" s="453">
        <v>587509906</v>
      </c>
      <c r="B1845" s="453">
        <v>778475990.15207601</v>
      </c>
      <c r="D1845" s="453" t="s">
        <v>8109</v>
      </c>
      <c r="E1845" s="453" t="s">
        <v>8110</v>
      </c>
    </row>
    <row r="1846" spans="1:5">
      <c r="A1846" s="453">
        <v>587567493</v>
      </c>
      <c r="B1846" s="453">
        <v>778533577.15271699</v>
      </c>
      <c r="D1846" s="453" t="s">
        <v>8111</v>
      </c>
      <c r="E1846" s="453" t="s">
        <v>8112</v>
      </c>
    </row>
    <row r="1847" spans="1:5">
      <c r="A1847" s="453">
        <v>587682688</v>
      </c>
      <c r="B1847" s="453">
        <v>778648772.15397704</v>
      </c>
      <c r="D1847" s="453" t="s">
        <v>8113</v>
      </c>
      <c r="E1847" s="453" t="s">
        <v>8114</v>
      </c>
    </row>
    <row r="1848" spans="1:5">
      <c r="A1848" s="453">
        <v>587765460</v>
      </c>
      <c r="B1848" s="453">
        <v>778731544.15487099</v>
      </c>
      <c r="D1848" s="453" t="s">
        <v>8115</v>
      </c>
      <c r="E1848" s="453" t="s">
        <v>8116</v>
      </c>
    </row>
    <row r="1849" spans="1:5">
      <c r="A1849" s="453">
        <v>587819429</v>
      </c>
      <c r="B1849" s="453">
        <v>778785513.15546894</v>
      </c>
      <c r="D1849" s="453" t="s">
        <v>8117</v>
      </c>
      <c r="E1849" s="453" t="s">
        <v>8118</v>
      </c>
    </row>
    <row r="1850" spans="1:5">
      <c r="A1850" s="453">
        <v>587941876</v>
      </c>
      <c r="B1850" s="453">
        <v>778907960.15681696</v>
      </c>
      <c r="D1850" s="453" t="s">
        <v>8119</v>
      </c>
      <c r="E1850" s="453" t="s">
        <v>8120</v>
      </c>
    </row>
    <row r="1851" spans="1:5">
      <c r="A1851" s="453">
        <v>587995812</v>
      </c>
      <c r="B1851" s="453">
        <v>778961896.157426</v>
      </c>
      <c r="D1851" s="453" t="s">
        <v>8121</v>
      </c>
      <c r="E1851" s="453" t="s">
        <v>8122</v>
      </c>
    </row>
    <row r="1852" spans="1:5">
      <c r="A1852" s="453">
        <v>588114642</v>
      </c>
      <c r="B1852" s="453">
        <v>779080726.15873003</v>
      </c>
      <c r="D1852" s="453" t="s">
        <v>8123</v>
      </c>
      <c r="E1852" s="453" t="s">
        <v>8124</v>
      </c>
    </row>
    <row r="1853" spans="1:5">
      <c r="A1853" s="453">
        <v>588172239</v>
      </c>
      <c r="B1853" s="453">
        <v>779138323.159361</v>
      </c>
      <c r="D1853" s="453" t="s">
        <v>8125</v>
      </c>
      <c r="E1853" s="453" t="s">
        <v>8126</v>
      </c>
    </row>
    <row r="1854" spans="1:5">
      <c r="A1854" s="453">
        <v>588218974</v>
      </c>
      <c r="B1854" s="453">
        <v>779185058.15985596</v>
      </c>
      <c r="D1854" s="453" t="s">
        <v>8127</v>
      </c>
      <c r="E1854" s="453" t="s">
        <v>8128</v>
      </c>
    </row>
    <row r="1855" spans="1:5">
      <c r="A1855" s="453">
        <v>588316162</v>
      </c>
      <c r="B1855" s="453">
        <v>779282246.16090798</v>
      </c>
      <c r="D1855" s="453" t="s">
        <v>8129</v>
      </c>
      <c r="E1855" s="453" t="s">
        <v>8130</v>
      </c>
    </row>
    <row r="1856" spans="1:5">
      <c r="A1856" s="453">
        <v>588398973</v>
      </c>
      <c r="B1856" s="453">
        <v>779365057.16183698</v>
      </c>
      <c r="D1856" s="453" t="s">
        <v>8131</v>
      </c>
      <c r="E1856" s="453" t="s">
        <v>8132</v>
      </c>
    </row>
    <row r="1857" spans="1:5">
      <c r="A1857" s="453">
        <v>588547526</v>
      </c>
      <c r="B1857" s="453">
        <v>779513610.16344404</v>
      </c>
      <c r="D1857" s="453" t="s">
        <v>8133</v>
      </c>
      <c r="E1857" s="453" t="s">
        <v>8134</v>
      </c>
    </row>
    <row r="1858" spans="1:5">
      <c r="A1858" s="453">
        <v>588632987</v>
      </c>
      <c r="B1858" s="453">
        <v>779599071.16436505</v>
      </c>
      <c r="D1858" s="453" t="s">
        <v>8135</v>
      </c>
      <c r="E1858" s="453" t="s">
        <v>8136</v>
      </c>
    </row>
    <row r="1859" spans="1:5">
      <c r="A1859" s="453">
        <v>588686932</v>
      </c>
      <c r="B1859" s="453">
        <v>779653016.165007</v>
      </c>
      <c r="D1859" s="453" t="s">
        <v>8137</v>
      </c>
      <c r="E1859" s="453" t="s">
        <v>8138</v>
      </c>
    </row>
    <row r="1860" spans="1:5">
      <c r="A1860" s="453">
        <v>588758900</v>
      </c>
      <c r="B1860" s="453">
        <v>779724984.16576898</v>
      </c>
      <c r="D1860" s="453" t="s">
        <v>8139</v>
      </c>
      <c r="E1860" s="453" t="s">
        <v>8140</v>
      </c>
    </row>
    <row r="1861" spans="1:5">
      <c r="A1861" s="453">
        <v>588845285</v>
      </c>
      <c r="B1861" s="453">
        <v>779811369.16671705</v>
      </c>
      <c r="D1861" s="453" t="s">
        <v>8141</v>
      </c>
      <c r="E1861" s="453" t="s">
        <v>8142</v>
      </c>
    </row>
    <row r="1862" spans="1:5">
      <c r="A1862" s="453">
        <v>588946090</v>
      </c>
      <c r="B1862" s="453">
        <v>779912174.16784501</v>
      </c>
      <c r="D1862" s="453" t="s">
        <v>8143</v>
      </c>
      <c r="E1862" s="453" t="s">
        <v>8144</v>
      </c>
    </row>
    <row r="1863" spans="1:5">
      <c r="A1863" s="453">
        <v>589003718</v>
      </c>
      <c r="B1863" s="453">
        <v>779969802.168468</v>
      </c>
      <c r="D1863" s="453" t="s">
        <v>8145</v>
      </c>
      <c r="E1863" s="453" t="s">
        <v>8146</v>
      </c>
    </row>
    <row r="1864" spans="1:5">
      <c r="A1864" s="453">
        <v>589144206</v>
      </c>
      <c r="B1864" s="453">
        <v>780110290.17003</v>
      </c>
      <c r="D1864" s="453" t="s">
        <v>8147</v>
      </c>
      <c r="E1864" s="453" t="s">
        <v>8148</v>
      </c>
    </row>
    <row r="1865" spans="1:5">
      <c r="A1865" s="453">
        <v>589237706</v>
      </c>
      <c r="B1865" s="453">
        <v>780203790.17098403</v>
      </c>
      <c r="D1865" s="453" t="s">
        <v>8149</v>
      </c>
      <c r="E1865" s="453" t="s">
        <v>8150</v>
      </c>
    </row>
    <row r="1866" spans="1:5">
      <c r="A1866" s="453">
        <v>589288037</v>
      </c>
      <c r="B1866" s="453">
        <v>780254121.17156398</v>
      </c>
      <c r="D1866" s="453" t="s">
        <v>8151</v>
      </c>
      <c r="E1866" s="453" t="s">
        <v>8152</v>
      </c>
    </row>
    <row r="1867" spans="1:5">
      <c r="A1867" s="453">
        <v>589410481</v>
      </c>
      <c r="B1867" s="453">
        <v>780376565.172876</v>
      </c>
      <c r="D1867" s="453" t="s">
        <v>8153</v>
      </c>
      <c r="E1867" s="453" t="s">
        <v>8154</v>
      </c>
    </row>
    <row r="1868" spans="1:5">
      <c r="A1868" s="453">
        <v>589464454</v>
      </c>
      <c r="B1868" s="453">
        <v>780430538.17349398</v>
      </c>
      <c r="D1868" s="453" t="s">
        <v>8155</v>
      </c>
      <c r="E1868" s="453" t="s">
        <v>8156</v>
      </c>
    </row>
    <row r="1869" spans="1:5">
      <c r="A1869" s="453">
        <v>589584137</v>
      </c>
      <c r="B1869" s="453">
        <v>780550221.17476499</v>
      </c>
      <c r="D1869" s="453" t="s">
        <v>8157</v>
      </c>
      <c r="E1869" s="453" t="s">
        <v>8158</v>
      </c>
    </row>
    <row r="1870" spans="1:5">
      <c r="A1870" s="453">
        <v>589622782</v>
      </c>
      <c r="B1870" s="453">
        <v>780588866.17521</v>
      </c>
      <c r="D1870" s="453" t="s">
        <v>8159</v>
      </c>
      <c r="E1870" s="453" t="s">
        <v>8160</v>
      </c>
    </row>
    <row r="1871" spans="1:5">
      <c r="A1871" s="453">
        <v>589691184</v>
      </c>
      <c r="B1871" s="453">
        <v>780657268.17595303</v>
      </c>
      <c r="D1871" s="453" t="s">
        <v>8161</v>
      </c>
      <c r="E1871" s="453" t="s">
        <v>8162</v>
      </c>
    </row>
    <row r="1872" spans="1:5">
      <c r="A1872" s="453">
        <v>589838924</v>
      </c>
      <c r="B1872" s="453">
        <v>780805008.17754304</v>
      </c>
      <c r="D1872" s="453" t="s">
        <v>8163</v>
      </c>
      <c r="E1872" s="453" t="s">
        <v>8164</v>
      </c>
    </row>
    <row r="1873" spans="1:5">
      <c r="A1873" s="453">
        <v>589896389</v>
      </c>
      <c r="B1873" s="453">
        <v>780862473.17819405</v>
      </c>
      <c r="D1873" s="453" t="s">
        <v>8165</v>
      </c>
      <c r="E1873" s="453" t="s">
        <v>8166</v>
      </c>
    </row>
    <row r="1874" spans="1:5">
      <c r="A1874" s="453">
        <v>590008091</v>
      </c>
      <c r="B1874" s="453">
        <v>780974175.17941701</v>
      </c>
      <c r="D1874" s="453" t="s">
        <v>8167</v>
      </c>
      <c r="E1874" s="453" t="s">
        <v>8168</v>
      </c>
    </row>
    <row r="1875" spans="1:5">
      <c r="A1875" s="453">
        <v>590069175</v>
      </c>
      <c r="B1875" s="453">
        <v>781035259.18006396</v>
      </c>
      <c r="D1875" s="453" t="s">
        <v>8169</v>
      </c>
      <c r="E1875" s="453" t="s">
        <v>8170</v>
      </c>
    </row>
    <row r="1876" spans="1:5">
      <c r="A1876" s="453">
        <v>590155558</v>
      </c>
      <c r="B1876" s="453">
        <v>781121642.18100095</v>
      </c>
      <c r="D1876" s="453" t="s">
        <v>8171</v>
      </c>
      <c r="E1876" s="453" t="s">
        <v>8172</v>
      </c>
    </row>
    <row r="1877" spans="1:5">
      <c r="A1877" s="453">
        <v>590227534</v>
      </c>
      <c r="B1877" s="453">
        <v>781193618.18178797</v>
      </c>
      <c r="D1877" s="453" t="s">
        <v>8173</v>
      </c>
      <c r="E1877" s="453" t="s">
        <v>8174</v>
      </c>
    </row>
    <row r="1878" spans="1:5">
      <c r="A1878" s="453">
        <v>605912033</v>
      </c>
      <c r="B1878" s="453">
        <v>796878117.34774399</v>
      </c>
      <c r="D1878" s="453" t="s">
        <v>8175</v>
      </c>
      <c r="E1878" s="453" t="s">
        <v>8176</v>
      </c>
    </row>
    <row r="1879" spans="1:5">
      <c r="A1879" s="453">
        <v>605998451</v>
      </c>
      <c r="B1879" s="453">
        <v>796964535.34869504</v>
      </c>
      <c r="D1879" s="453" t="s">
        <v>8177</v>
      </c>
      <c r="E1879" s="453" t="s">
        <v>8178</v>
      </c>
    </row>
    <row r="1880" spans="1:5">
      <c r="A1880" s="453">
        <v>606063240</v>
      </c>
      <c r="B1880" s="453">
        <v>797029324.34939694</v>
      </c>
      <c r="D1880" s="453" t="s">
        <v>8179</v>
      </c>
      <c r="E1880" s="453" t="s">
        <v>8180</v>
      </c>
    </row>
    <row r="1881" spans="1:5">
      <c r="A1881" s="453">
        <v>606142443</v>
      </c>
      <c r="B1881" s="453">
        <v>797108527.35021901</v>
      </c>
      <c r="D1881" s="453" t="s">
        <v>8181</v>
      </c>
      <c r="E1881" s="453" t="s">
        <v>8182</v>
      </c>
    </row>
    <row r="1882" spans="1:5">
      <c r="A1882" s="453">
        <v>606254041</v>
      </c>
      <c r="B1882" s="453">
        <v>797220125.35143602</v>
      </c>
      <c r="D1882" s="453" t="s">
        <v>8183</v>
      </c>
      <c r="E1882" s="453" t="s">
        <v>8184</v>
      </c>
    </row>
    <row r="1883" spans="1:5">
      <c r="A1883" s="453">
        <v>606333102</v>
      </c>
      <c r="B1883" s="453">
        <v>797299186.352283</v>
      </c>
      <c r="D1883" s="453" t="s">
        <v>8185</v>
      </c>
      <c r="E1883" s="453" t="s">
        <v>8186</v>
      </c>
    </row>
    <row r="1884" spans="1:5">
      <c r="A1884" s="453">
        <v>606423113</v>
      </c>
      <c r="B1884" s="453">
        <v>797389197.35325205</v>
      </c>
      <c r="D1884" s="453" t="s">
        <v>8187</v>
      </c>
      <c r="E1884" s="453" t="s">
        <v>8188</v>
      </c>
    </row>
    <row r="1885" spans="1:5">
      <c r="A1885" s="453">
        <v>606466350</v>
      </c>
      <c r="B1885" s="453">
        <v>797432434.35372305</v>
      </c>
      <c r="D1885" s="453" t="s">
        <v>8189</v>
      </c>
      <c r="E1885" s="453" t="s">
        <v>8190</v>
      </c>
    </row>
    <row r="1886" spans="1:5">
      <c r="A1886" s="453">
        <v>606595920</v>
      </c>
      <c r="B1886" s="453">
        <v>797562004.35511804</v>
      </c>
      <c r="D1886" s="453" t="s">
        <v>8191</v>
      </c>
      <c r="E1886" s="453" t="s">
        <v>8192</v>
      </c>
    </row>
    <row r="1887" spans="1:5">
      <c r="A1887" s="453">
        <v>606667969</v>
      </c>
      <c r="B1887" s="453">
        <v>797634053.35590994</v>
      </c>
      <c r="D1887" s="453" t="s">
        <v>8193</v>
      </c>
      <c r="E1887" s="453" t="s">
        <v>8194</v>
      </c>
    </row>
    <row r="1888" spans="1:5">
      <c r="A1888" s="453">
        <v>606721938</v>
      </c>
      <c r="B1888" s="453">
        <v>797688022.35647595</v>
      </c>
      <c r="D1888" s="453" t="s">
        <v>8195</v>
      </c>
      <c r="E1888" s="453" t="s">
        <v>8196</v>
      </c>
    </row>
    <row r="1889" spans="1:5">
      <c r="A1889" s="453">
        <v>606912735</v>
      </c>
      <c r="B1889" s="453">
        <v>797878819.35853195</v>
      </c>
      <c r="D1889" s="453" t="s">
        <v>8197</v>
      </c>
      <c r="E1889" s="453" t="s">
        <v>8198</v>
      </c>
    </row>
    <row r="1890" spans="1:5">
      <c r="A1890" s="453">
        <v>607002745</v>
      </c>
      <c r="B1890" s="453">
        <v>797968829.35950506</v>
      </c>
      <c r="D1890" s="453" t="s">
        <v>8199</v>
      </c>
      <c r="E1890" s="453" t="s">
        <v>8200</v>
      </c>
    </row>
    <row r="1891" spans="1:5">
      <c r="A1891" s="453">
        <v>607121560</v>
      </c>
      <c r="B1891" s="453">
        <v>798087644.36081398</v>
      </c>
      <c r="D1891" s="453" t="s">
        <v>8201</v>
      </c>
      <c r="E1891" s="453" t="s">
        <v>8202</v>
      </c>
    </row>
    <row r="1892" spans="1:5">
      <c r="A1892" s="453">
        <v>607179169</v>
      </c>
      <c r="B1892" s="453">
        <v>798145253.36143899</v>
      </c>
      <c r="D1892" s="453" t="s">
        <v>8203</v>
      </c>
      <c r="E1892" s="453" t="s">
        <v>8204</v>
      </c>
    </row>
    <row r="1893" spans="1:5">
      <c r="A1893" s="453">
        <v>607258354</v>
      </c>
      <c r="B1893" s="453">
        <v>798224438.36226904</v>
      </c>
      <c r="D1893" s="453" t="s">
        <v>8205</v>
      </c>
      <c r="E1893" s="453" t="s">
        <v>8206</v>
      </c>
    </row>
    <row r="1894" spans="1:5">
      <c r="A1894" s="453">
        <v>607546372</v>
      </c>
      <c r="B1894" s="453">
        <v>798512456.36541498</v>
      </c>
      <c r="D1894" s="453" t="s">
        <v>8207</v>
      </c>
      <c r="E1894" s="453" t="s">
        <v>8208</v>
      </c>
    </row>
    <row r="1895" spans="1:5">
      <c r="A1895" s="453">
        <v>607611203</v>
      </c>
      <c r="B1895" s="453">
        <v>798577287.36611903</v>
      </c>
      <c r="D1895" s="453" t="s">
        <v>8209</v>
      </c>
      <c r="E1895" s="453" t="s">
        <v>8210</v>
      </c>
    </row>
    <row r="1896" spans="1:5">
      <c r="A1896" s="453">
        <v>607726386</v>
      </c>
      <c r="B1896" s="453">
        <v>798692470.36737895</v>
      </c>
      <c r="D1896" s="453" t="s">
        <v>8211</v>
      </c>
      <c r="E1896" s="453" t="s">
        <v>8212</v>
      </c>
    </row>
    <row r="1897" spans="1:5">
      <c r="A1897" s="453">
        <v>607798385</v>
      </c>
      <c r="B1897" s="453">
        <v>798764469.36812794</v>
      </c>
      <c r="D1897" s="453" t="s">
        <v>8213</v>
      </c>
      <c r="E1897" s="453" t="s">
        <v>8214</v>
      </c>
    </row>
    <row r="1898" spans="1:5">
      <c r="A1898" s="453">
        <v>607863189</v>
      </c>
      <c r="B1898" s="453">
        <v>798829273.36884105</v>
      </c>
      <c r="D1898" s="453" t="s">
        <v>8215</v>
      </c>
      <c r="E1898" s="453" t="s">
        <v>8216</v>
      </c>
    </row>
    <row r="1899" spans="1:5">
      <c r="A1899" s="453">
        <v>608068404</v>
      </c>
      <c r="B1899" s="453">
        <v>799034488.37108696</v>
      </c>
      <c r="D1899" s="453" t="s">
        <v>8217</v>
      </c>
      <c r="E1899" s="453" t="s">
        <v>8218</v>
      </c>
    </row>
    <row r="1900" spans="1:5">
      <c r="A1900" s="453">
        <v>608133247</v>
      </c>
      <c r="B1900" s="453">
        <v>799099331.37179804</v>
      </c>
      <c r="D1900" s="453" t="s">
        <v>8219</v>
      </c>
      <c r="E1900" s="453" t="s">
        <v>8220</v>
      </c>
    </row>
    <row r="1901" spans="1:5">
      <c r="A1901" s="453">
        <v>608219656</v>
      </c>
      <c r="B1901" s="453">
        <v>799185740.37274504</v>
      </c>
      <c r="D1901" s="453" t="s">
        <v>8221</v>
      </c>
      <c r="E1901" s="453" t="s">
        <v>8222</v>
      </c>
    </row>
    <row r="1902" spans="1:5">
      <c r="A1902" s="453">
        <v>608295211</v>
      </c>
      <c r="B1902" s="453">
        <v>799261295.37353897</v>
      </c>
      <c r="D1902" s="453" t="s">
        <v>8223</v>
      </c>
      <c r="E1902" s="453" t="s">
        <v>8224</v>
      </c>
    </row>
    <row r="1903" spans="1:5">
      <c r="A1903" s="453">
        <v>608410413</v>
      </c>
      <c r="B1903" s="453">
        <v>799376497.37480497</v>
      </c>
      <c r="D1903" s="453" t="s">
        <v>8225</v>
      </c>
      <c r="E1903" s="453" t="s">
        <v>8226</v>
      </c>
    </row>
    <row r="1904" spans="1:5">
      <c r="A1904" s="453">
        <v>608504182</v>
      </c>
      <c r="B1904" s="453">
        <v>799470266.37586606</v>
      </c>
      <c r="D1904" s="453" t="s">
        <v>8227</v>
      </c>
      <c r="E1904" s="453" t="s">
        <v>8228</v>
      </c>
    </row>
    <row r="1905" spans="1:5">
      <c r="A1905" s="453">
        <v>608507749</v>
      </c>
      <c r="B1905" s="453">
        <v>799473833.37585294</v>
      </c>
      <c r="D1905" s="453" t="s">
        <v>8229</v>
      </c>
      <c r="E1905" s="453" t="s">
        <v>8230</v>
      </c>
    </row>
    <row r="1906" spans="1:5">
      <c r="A1906" s="453">
        <v>608705671</v>
      </c>
      <c r="B1906" s="453">
        <v>799671755.37803698</v>
      </c>
      <c r="D1906" s="453" t="s">
        <v>8231</v>
      </c>
      <c r="E1906" s="453" t="s">
        <v>8232</v>
      </c>
    </row>
    <row r="1907" spans="1:5">
      <c r="A1907" s="453">
        <v>608846168</v>
      </c>
      <c r="B1907" s="453">
        <v>799812252.37957501</v>
      </c>
      <c r="D1907" s="453" t="s">
        <v>8233</v>
      </c>
      <c r="E1907" s="453" t="s">
        <v>8234</v>
      </c>
    </row>
    <row r="1908" spans="1:5">
      <c r="A1908" s="453">
        <v>608907283</v>
      </c>
      <c r="B1908" s="453">
        <v>799873367.38023996</v>
      </c>
      <c r="D1908" s="453" t="s">
        <v>8235</v>
      </c>
      <c r="E1908" s="453" t="s">
        <v>8236</v>
      </c>
    </row>
    <row r="1909" spans="1:5">
      <c r="A1909" s="453">
        <v>608990056</v>
      </c>
      <c r="B1909" s="453">
        <v>799956140.38113797</v>
      </c>
      <c r="D1909" s="453" t="s">
        <v>8237</v>
      </c>
      <c r="E1909" s="453" t="s">
        <v>8238</v>
      </c>
    </row>
    <row r="1910" spans="1:5">
      <c r="A1910" s="453">
        <v>609137674</v>
      </c>
      <c r="B1910" s="453">
        <v>800103758.38275504</v>
      </c>
      <c r="D1910" s="453" t="s">
        <v>8239</v>
      </c>
      <c r="E1910" s="453" t="s">
        <v>8240</v>
      </c>
    </row>
    <row r="1911" spans="1:5">
      <c r="A1911" s="453">
        <v>609364594</v>
      </c>
      <c r="B1911" s="453">
        <v>800330678.38522696</v>
      </c>
      <c r="D1911" s="453" t="s">
        <v>8241</v>
      </c>
      <c r="E1911" s="453" t="s">
        <v>8242</v>
      </c>
    </row>
    <row r="1912" spans="1:5">
      <c r="A1912" s="453">
        <v>609411252</v>
      </c>
      <c r="B1912" s="453">
        <v>800377336.38574803</v>
      </c>
      <c r="D1912" s="453" t="s">
        <v>8243</v>
      </c>
      <c r="E1912" s="453" t="s">
        <v>8244</v>
      </c>
    </row>
    <row r="1913" spans="1:5">
      <c r="A1913" s="453">
        <v>609508489</v>
      </c>
      <c r="B1913" s="453">
        <v>800474573.38681901</v>
      </c>
      <c r="D1913" s="453" t="s">
        <v>8245</v>
      </c>
      <c r="E1913" s="453" t="s">
        <v>8246</v>
      </c>
    </row>
    <row r="1914" spans="1:5">
      <c r="A1914" s="453">
        <v>609594879</v>
      </c>
      <c r="B1914" s="453">
        <v>800560963.38776398</v>
      </c>
      <c r="D1914" s="453" t="s">
        <v>8247</v>
      </c>
      <c r="E1914" s="453" t="s">
        <v>8248</v>
      </c>
    </row>
    <row r="1915" spans="1:5">
      <c r="A1915" s="453">
        <v>609681331</v>
      </c>
      <c r="B1915" s="453">
        <v>800647415.38871598</v>
      </c>
      <c r="D1915" s="453" t="s">
        <v>8249</v>
      </c>
      <c r="E1915" s="453" t="s">
        <v>8250</v>
      </c>
    </row>
    <row r="1916" spans="1:5">
      <c r="A1916" s="453">
        <v>609915316</v>
      </c>
      <c r="B1916" s="453">
        <v>800881400.391276</v>
      </c>
      <c r="D1916" s="453" t="s">
        <v>8251</v>
      </c>
      <c r="E1916" s="453" t="s">
        <v>8252</v>
      </c>
    </row>
    <row r="1917" spans="1:5">
      <c r="A1917" s="453">
        <v>610026895</v>
      </c>
      <c r="B1917" s="453">
        <v>800992979.39250398</v>
      </c>
      <c r="D1917" s="453" t="s">
        <v>8253</v>
      </c>
      <c r="E1917" s="453" t="s">
        <v>8254</v>
      </c>
    </row>
    <row r="1918" spans="1:5">
      <c r="A1918" s="453">
        <v>610142245</v>
      </c>
      <c r="B1918" s="453">
        <v>801108329.39377403</v>
      </c>
      <c r="D1918" s="453" t="s">
        <v>8255</v>
      </c>
      <c r="E1918" s="453" t="s">
        <v>8256</v>
      </c>
    </row>
    <row r="1919" spans="1:5">
      <c r="A1919" s="453">
        <v>610199736</v>
      </c>
      <c r="B1919" s="453">
        <v>801165820.39441705</v>
      </c>
      <c r="D1919" s="453" t="s">
        <v>8257</v>
      </c>
      <c r="E1919" s="453" t="s">
        <v>8258</v>
      </c>
    </row>
    <row r="1920" spans="1:5">
      <c r="A1920" s="453">
        <v>610257320</v>
      </c>
      <c r="B1920" s="453">
        <v>801223404.39503098</v>
      </c>
      <c r="D1920" s="453" t="s">
        <v>8259</v>
      </c>
      <c r="E1920" s="453" t="s">
        <v>8260</v>
      </c>
    </row>
    <row r="1921" spans="1:5">
      <c r="A1921" s="453">
        <v>610372536</v>
      </c>
      <c r="B1921" s="453">
        <v>801338620.39588404</v>
      </c>
      <c r="D1921" s="453" t="s">
        <v>8261</v>
      </c>
      <c r="E1921" s="453" t="s">
        <v>8262</v>
      </c>
    </row>
    <row r="1922" spans="1:5">
      <c r="A1922" s="453">
        <v>610430121</v>
      </c>
      <c r="B1922" s="453">
        <v>801396205.39693701</v>
      </c>
      <c r="D1922" s="453" t="s">
        <v>8263</v>
      </c>
      <c r="E1922" s="453" t="s">
        <v>8264</v>
      </c>
    </row>
    <row r="1923" spans="1:5">
      <c r="A1923" s="453">
        <v>610570639</v>
      </c>
      <c r="B1923" s="453">
        <v>801536723.39850795</v>
      </c>
      <c r="D1923" s="453" t="s">
        <v>8265</v>
      </c>
      <c r="E1923" s="453" t="s">
        <v>8266</v>
      </c>
    </row>
    <row r="1924" spans="1:5">
      <c r="A1924" s="453">
        <v>610631744</v>
      </c>
      <c r="B1924" s="453">
        <v>801597828.39874995</v>
      </c>
      <c r="D1924" s="453" t="s">
        <v>8267</v>
      </c>
      <c r="E1924" s="453" t="s">
        <v>8268</v>
      </c>
    </row>
    <row r="1925" spans="1:5">
      <c r="A1925" s="453">
        <v>610804544</v>
      </c>
      <c r="B1925" s="453">
        <v>801770628.40104997</v>
      </c>
      <c r="D1925" s="453" t="s">
        <v>8269</v>
      </c>
      <c r="E1925" s="453" t="s">
        <v>8270</v>
      </c>
    </row>
    <row r="1926" spans="1:5">
      <c r="A1926" s="453">
        <v>610862127</v>
      </c>
      <c r="B1926" s="453">
        <v>801828211.40168297</v>
      </c>
      <c r="D1926" s="453" t="s">
        <v>8271</v>
      </c>
      <c r="E1926" s="453" t="s">
        <v>8272</v>
      </c>
    </row>
    <row r="1927" spans="1:5">
      <c r="A1927" s="453">
        <v>611146518</v>
      </c>
      <c r="B1927" s="453">
        <v>802112602.404827</v>
      </c>
      <c r="D1927" s="453" t="s">
        <v>8273</v>
      </c>
      <c r="E1927" s="453" t="s">
        <v>8274</v>
      </c>
    </row>
    <row r="1928" spans="1:5">
      <c r="A1928" s="453">
        <v>611229310</v>
      </c>
      <c r="B1928" s="453">
        <v>802195394.40573895</v>
      </c>
      <c r="D1928" s="453" t="s">
        <v>8275</v>
      </c>
      <c r="E1928" s="453" t="s">
        <v>8276</v>
      </c>
    </row>
    <row r="1929" spans="1:5">
      <c r="A1929" s="453">
        <v>611348237</v>
      </c>
      <c r="B1929" s="453">
        <v>802314321.40702903</v>
      </c>
      <c r="D1929" s="453" t="s">
        <v>8277</v>
      </c>
      <c r="E1929" s="453" t="s">
        <v>8278</v>
      </c>
    </row>
    <row r="1930" spans="1:5">
      <c r="A1930" s="453">
        <v>611463325</v>
      </c>
      <c r="B1930" s="453">
        <v>802429409.40831304</v>
      </c>
      <c r="D1930" s="453" t="s">
        <v>8279</v>
      </c>
      <c r="E1930" s="453" t="s">
        <v>8280</v>
      </c>
    </row>
    <row r="1931" spans="1:5">
      <c r="A1931" s="453">
        <v>611549724</v>
      </c>
      <c r="B1931" s="453">
        <v>802515808.40926898</v>
      </c>
      <c r="D1931" s="453" t="s">
        <v>8281</v>
      </c>
      <c r="E1931" s="453" t="s">
        <v>8282</v>
      </c>
    </row>
    <row r="1932" spans="1:5">
      <c r="A1932" s="453">
        <v>611747719</v>
      </c>
      <c r="B1932" s="453">
        <v>802713803.41144896</v>
      </c>
      <c r="D1932" s="453" t="s">
        <v>8283</v>
      </c>
      <c r="E1932" s="453" t="s">
        <v>8284</v>
      </c>
    </row>
    <row r="1933" spans="1:5">
      <c r="A1933" s="453">
        <v>611874980</v>
      </c>
      <c r="B1933" s="453">
        <v>802841064.41282797</v>
      </c>
      <c r="D1933" s="453" t="s">
        <v>8285</v>
      </c>
      <c r="E1933" s="453" t="s">
        <v>8286</v>
      </c>
    </row>
    <row r="1934" spans="1:5">
      <c r="A1934" s="453">
        <v>611924143</v>
      </c>
      <c r="B1934" s="453">
        <v>802890227.41340196</v>
      </c>
      <c r="D1934" s="453" t="s">
        <v>8287</v>
      </c>
      <c r="E1934" s="453" t="s">
        <v>8288</v>
      </c>
    </row>
    <row r="1935" spans="1:5">
      <c r="A1935" s="453">
        <v>611981748</v>
      </c>
      <c r="B1935" s="453">
        <v>802947832.41404605</v>
      </c>
      <c r="D1935" s="453" t="s">
        <v>8289</v>
      </c>
      <c r="E1935" s="453" t="s">
        <v>8290</v>
      </c>
    </row>
    <row r="1936" spans="1:5">
      <c r="A1936" s="453">
        <v>612096944</v>
      </c>
      <c r="B1936" s="453">
        <v>803063028.41532195</v>
      </c>
      <c r="D1936" s="453" t="s">
        <v>8291</v>
      </c>
      <c r="E1936" s="453" t="s">
        <v>8292</v>
      </c>
    </row>
    <row r="1937" spans="1:5">
      <c r="A1937" s="453">
        <v>612341703</v>
      </c>
      <c r="B1937" s="453">
        <v>803307787.41799498</v>
      </c>
      <c r="D1937" s="453" t="s">
        <v>8293</v>
      </c>
      <c r="E1937" s="453" t="s">
        <v>8294</v>
      </c>
    </row>
    <row r="1938" spans="1:5">
      <c r="A1938" s="453">
        <v>612406494</v>
      </c>
      <c r="B1938" s="453">
        <v>803372578.41871595</v>
      </c>
      <c r="D1938" s="453" t="s">
        <v>8295</v>
      </c>
      <c r="E1938" s="453" t="s">
        <v>8296</v>
      </c>
    </row>
    <row r="1939" spans="1:5">
      <c r="A1939" s="453">
        <v>612525355</v>
      </c>
      <c r="B1939" s="453">
        <v>803491439.42004204</v>
      </c>
      <c r="D1939" s="453" t="s">
        <v>8297</v>
      </c>
      <c r="E1939" s="453" t="s">
        <v>8298</v>
      </c>
    </row>
    <row r="1940" spans="1:5">
      <c r="A1940" s="453">
        <v>612611741</v>
      </c>
      <c r="B1940" s="453">
        <v>803577825.42100406</v>
      </c>
      <c r="D1940" s="453" t="s">
        <v>8299</v>
      </c>
      <c r="E1940" s="453" t="s">
        <v>8300</v>
      </c>
    </row>
    <row r="1941" spans="1:5">
      <c r="A1941" s="453">
        <v>612698146</v>
      </c>
      <c r="B1941" s="453">
        <v>803664230.42194796</v>
      </c>
      <c r="D1941" s="453" t="s">
        <v>8301</v>
      </c>
      <c r="E1941" s="453" t="s">
        <v>8302</v>
      </c>
    </row>
    <row r="1942" spans="1:5">
      <c r="A1942" s="453">
        <v>612957343</v>
      </c>
      <c r="B1942" s="453">
        <v>803923427.424824</v>
      </c>
      <c r="D1942" s="453" t="s">
        <v>8303</v>
      </c>
      <c r="E1942" s="453" t="s">
        <v>8304</v>
      </c>
    </row>
    <row r="1943" spans="1:5">
      <c r="A1943" s="453">
        <v>613014938</v>
      </c>
      <c r="B1943" s="453">
        <v>803981022.42546594</v>
      </c>
      <c r="D1943" s="453" t="s">
        <v>8305</v>
      </c>
      <c r="E1943" s="453" t="s">
        <v>8306</v>
      </c>
    </row>
    <row r="1944" spans="1:5">
      <c r="A1944" s="453">
        <v>613130132</v>
      </c>
      <c r="B1944" s="453">
        <v>804096216.42673004</v>
      </c>
      <c r="D1944" s="453" t="s">
        <v>8307</v>
      </c>
      <c r="E1944" s="453" t="s">
        <v>8308</v>
      </c>
    </row>
    <row r="1945" spans="1:5">
      <c r="A1945" s="453">
        <v>613245459</v>
      </c>
      <c r="B1945" s="453">
        <v>804211543.42802703</v>
      </c>
      <c r="D1945" s="453" t="s">
        <v>8309</v>
      </c>
      <c r="E1945" s="453" t="s">
        <v>8310</v>
      </c>
    </row>
    <row r="1946" spans="1:5">
      <c r="A1946" s="453">
        <v>613302941</v>
      </c>
      <c r="B1946" s="453">
        <v>804269025.42864501</v>
      </c>
      <c r="D1946" s="453" t="s">
        <v>8311</v>
      </c>
      <c r="E1946" s="453" t="s">
        <v>8312</v>
      </c>
    </row>
    <row r="1947" spans="1:5">
      <c r="A1947" s="453">
        <v>613428907</v>
      </c>
      <c r="B1947" s="453">
        <v>804394991.43001103</v>
      </c>
      <c r="D1947" s="453" t="s">
        <v>8313</v>
      </c>
      <c r="E1947" s="453" t="s">
        <v>8314</v>
      </c>
    </row>
    <row r="1948" spans="1:5">
      <c r="A1948" s="453">
        <v>613457678</v>
      </c>
      <c r="B1948" s="453">
        <v>804423762.43033004</v>
      </c>
      <c r="D1948" s="453" t="s">
        <v>8315</v>
      </c>
      <c r="E1948" s="453" t="s">
        <v>8316</v>
      </c>
    </row>
    <row r="1949" spans="1:5">
      <c r="A1949" s="453">
        <v>613562132</v>
      </c>
      <c r="B1949" s="453">
        <v>804528216.43150902</v>
      </c>
      <c r="D1949" s="453" t="s">
        <v>8317</v>
      </c>
      <c r="E1949" s="453" t="s">
        <v>8318</v>
      </c>
    </row>
    <row r="1950" spans="1:5">
      <c r="A1950" s="453">
        <v>613630475</v>
      </c>
      <c r="B1950" s="453">
        <v>804596559.43223798</v>
      </c>
      <c r="D1950" s="453" t="s">
        <v>8319</v>
      </c>
      <c r="E1950" s="453" t="s">
        <v>8320</v>
      </c>
    </row>
    <row r="1951" spans="1:5">
      <c r="A1951" s="453">
        <v>613774488</v>
      </c>
      <c r="B1951" s="453">
        <v>804740572.43383002</v>
      </c>
      <c r="D1951" s="453" t="s">
        <v>8321</v>
      </c>
      <c r="E1951" s="453" t="s">
        <v>8322</v>
      </c>
    </row>
    <row r="1952" spans="1:5">
      <c r="A1952" s="453">
        <v>613850211</v>
      </c>
      <c r="B1952" s="453">
        <v>804816295.43471599</v>
      </c>
      <c r="D1952" s="453" t="s">
        <v>8323</v>
      </c>
      <c r="E1952" s="453" t="s">
        <v>8324</v>
      </c>
    </row>
    <row r="1953" spans="1:5">
      <c r="A1953" s="453">
        <v>613904109</v>
      </c>
      <c r="B1953" s="453">
        <v>804870193.43529296</v>
      </c>
      <c r="D1953" s="453" t="s">
        <v>8325</v>
      </c>
      <c r="E1953" s="453" t="s">
        <v>8326</v>
      </c>
    </row>
    <row r="1954" spans="1:5">
      <c r="A1954" s="453">
        <v>613961700</v>
      </c>
      <c r="B1954" s="453">
        <v>804927784.43592596</v>
      </c>
      <c r="D1954" s="453" t="s">
        <v>8327</v>
      </c>
      <c r="E1954" s="453" t="s">
        <v>8328</v>
      </c>
    </row>
    <row r="1955" spans="1:5">
      <c r="A1955" s="453">
        <v>614120084</v>
      </c>
      <c r="B1955" s="453">
        <v>805086168.43765903</v>
      </c>
      <c r="D1955" s="453" t="s">
        <v>8329</v>
      </c>
      <c r="E1955" s="453" t="s">
        <v>8330</v>
      </c>
    </row>
    <row r="1956" spans="1:5">
      <c r="A1956" s="453">
        <v>614134504</v>
      </c>
      <c r="B1956" s="453">
        <v>805100588.43783104</v>
      </c>
      <c r="D1956" s="453" t="s">
        <v>8331</v>
      </c>
      <c r="E1956" s="453" t="s">
        <v>8332</v>
      </c>
    </row>
    <row r="1957" spans="1:5">
      <c r="A1957" s="453">
        <v>614292874</v>
      </c>
      <c r="B1957" s="453">
        <v>805258958.43957996</v>
      </c>
      <c r="D1957" s="453" t="s">
        <v>8333</v>
      </c>
      <c r="E1957" s="453" t="s">
        <v>8334</v>
      </c>
    </row>
    <row r="1958" spans="1:5">
      <c r="A1958" s="453">
        <v>614307289</v>
      </c>
      <c r="B1958" s="453">
        <v>805273373.43975997</v>
      </c>
      <c r="D1958" s="453" t="s">
        <v>8335</v>
      </c>
      <c r="E1958" s="453" t="s">
        <v>8336</v>
      </c>
    </row>
    <row r="1959" spans="1:5">
      <c r="A1959" s="453">
        <v>614465664</v>
      </c>
      <c r="B1959" s="453">
        <v>805431748.44149005</v>
      </c>
      <c r="D1959" s="453" t="s">
        <v>8337</v>
      </c>
      <c r="E1959" s="453" t="s">
        <v>8338</v>
      </c>
    </row>
    <row r="1960" spans="1:5">
      <c r="A1960" s="453">
        <v>614552058</v>
      </c>
      <c r="B1960" s="453">
        <v>805518142.44243002</v>
      </c>
      <c r="D1960" s="453" t="s">
        <v>8339</v>
      </c>
      <c r="E1960" s="453" t="s">
        <v>8340</v>
      </c>
    </row>
    <row r="1961" spans="1:5">
      <c r="A1961" s="453">
        <v>614638457</v>
      </c>
      <c r="B1961" s="453">
        <v>805604541.443398</v>
      </c>
      <c r="D1961" s="453" t="s">
        <v>8341</v>
      </c>
      <c r="E1961" s="453" t="s">
        <v>8342</v>
      </c>
    </row>
    <row r="1962" spans="1:5">
      <c r="A1962" s="453">
        <v>614706980</v>
      </c>
      <c r="B1962" s="453">
        <v>805673064.44414794</v>
      </c>
      <c r="D1962" s="453" t="s">
        <v>8343</v>
      </c>
      <c r="E1962" s="453" t="s">
        <v>8344</v>
      </c>
    </row>
    <row r="1963" spans="1:5">
      <c r="A1963" s="453">
        <v>614768072</v>
      </c>
      <c r="B1963" s="453">
        <v>805734156.44469595</v>
      </c>
      <c r="D1963" s="453" t="s">
        <v>8345</v>
      </c>
      <c r="E1963" s="453" t="s">
        <v>8346</v>
      </c>
    </row>
    <row r="1964" spans="1:5">
      <c r="A1964" s="453">
        <v>614850913</v>
      </c>
      <c r="B1964" s="453">
        <v>805816997.44559801</v>
      </c>
      <c r="D1964" s="453" t="s">
        <v>8347</v>
      </c>
      <c r="E1964" s="453" t="s">
        <v>8348</v>
      </c>
    </row>
    <row r="1965" spans="1:5">
      <c r="A1965" s="453">
        <v>614962568</v>
      </c>
      <c r="B1965" s="453">
        <v>805928652.44683802</v>
      </c>
      <c r="D1965" s="453" t="s">
        <v>8349</v>
      </c>
      <c r="E1965" s="453" t="s">
        <v>8350</v>
      </c>
    </row>
    <row r="1966" spans="1:5">
      <c r="A1966" s="453">
        <v>615070430</v>
      </c>
      <c r="B1966" s="453">
        <v>806036514.44801497</v>
      </c>
      <c r="D1966" s="453" t="s">
        <v>8351</v>
      </c>
      <c r="E1966" s="453" t="s">
        <v>8352</v>
      </c>
    </row>
    <row r="1967" spans="1:5">
      <c r="A1967" s="453">
        <v>615156828</v>
      </c>
      <c r="B1967" s="453">
        <v>806122912.44897401</v>
      </c>
      <c r="D1967" s="453" t="s">
        <v>8353</v>
      </c>
      <c r="E1967" s="453" t="s">
        <v>8354</v>
      </c>
    </row>
    <row r="1968" spans="1:5">
      <c r="A1968" s="453">
        <v>615243221</v>
      </c>
      <c r="B1968" s="453">
        <v>806209305.44992495</v>
      </c>
      <c r="D1968" s="453" t="s">
        <v>8355</v>
      </c>
      <c r="E1968" s="453" t="s">
        <v>8356</v>
      </c>
    </row>
    <row r="1969" spans="1:5">
      <c r="A1969" s="453">
        <v>615282841</v>
      </c>
      <c r="B1969" s="453">
        <v>806248925.45038402</v>
      </c>
      <c r="D1969" s="453" t="s">
        <v>8357</v>
      </c>
      <c r="E1969" s="453" t="s">
        <v>8358</v>
      </c>
    </row>
    <row r="1970" spans="1:5">
      <c r="A1970" s="453">
        <v>615416008</v>
      </c>
      <c r="B1970" s="453">
        <v>806382092.45183003</v>
      </c>
      <c r="D1970" s="453" t="s">
        <v>8359</v>
      </c>
      <c r="E1970" s="453" t="s">
        <v>8360</v>
      </c>
    </row>
    <row r="1971" spans="1:5">
      <c r="A1971" s="453">
        <v>615484553</v>
      </c>
      <c r="B1971" s="453">
        <v>806450637.45260799</v>
      </c>
      <c r="D1971" s="453" t="s">
        <v>8361</v>
      </c>
      <c r="E1971" s="453" t="s">
        <v>8362</v>
      </c>
    </row>
    <row r="1972" spans="1:5">
      <c r="A1972" s="453">
        <v>615588803</v>
      </c>
      <c r="B1972" s="453">
        <v>806554887.45374</v>
      </c>
      <c r="D1972" s="453" t="s">
        <v>8363</v>
      </c>
      <c r="E1972" s="453" t="s">
        <v>8364</v>
      </c>
    </row>
    <row r="1973" spans="1:5">
      <c r="A1973" s="453">
        <v>615675197</v>
      </c>
      <c r="B1973" s="453">
        <v>806641281.45468199</v>
      </c>
      <c r="D1973" s="453" t="s">
        <v>8365</v>
      </c>
      <c r="E1973" s="453" t="s">
        <v>8366</v>
      </c>
    </row>
    <row r="1974" spans="1:5">
      <c r="A1974" s="453">
        <v>615761591</v>
      </c>
      <c r="B1974" s="453">
        <v>806727675.45564497</v>
      </c>
      <c r="D1974" s="453" t="s">
        <v>8367</v>
      </c>
      <c r="E1974" s="453" t="s">
        <v>8368</v>
      </c>
    </row>
    <row r="1975" spans="1:5">
      <c r="A1975" s="453">
        <v>615849487</v>
      </c>
      <c r="B1975" s="453">
        <v>806815571.45660698</v>
      </c>
      <c r="D1975" s="453" t="s">
        <v>8369</v>
      </c>
      <c r="E1975" s="453" t="s">
        <v>8370</v>
      </c>
    </row>
    <row r="1976" spans="1:5">
      <c r="A1976" s="453">
        <v>615858806</v>
      </c>
      <c r="B1976" s="453">
        <v>806824890.45672596</v>
      </c>
      <c r="D1976" s="453" t="s">
        <v>8371</v>
      </c>
      <c r="E1976" s="453" t="s">
        <v>8372</v>
      </c>
    </row>
    <row r="1977" spans="1:5">
      <c r="A1977" s="453">
        <v>616020771</v>
      </c>
      <c r="B1977" s="453">
        <v>806986855.45850694</v>
      </c>
      <c r="D1977" s="453" t="s">
        <v>8373</v>
      </c>
      <c r="E1977" s="453" t="s">
        <v>8374</v>
      </c>
    </row>
    <row r="1978" spans="1:5">
      <c r="A1978" s="453">
        <v>616085668</v>
      </c>
      <c r="B1978" s="453">
        <v>807051752.45918906</v>
      </c>
      <c r="D1978" s="453" t="s">
        <v>8375</v>
      </c>
      <c r="E1978" s="453" t="s">
        <v>8376</v>
      </c>
    </row>
    <row r="1979" spans="1:5">
      <c r="A1979" s="453">
        <v>616193557</v>
      </c>
      <c r="B1979" s="453">
        <v>807159641.46040797</v>
      </c>
      <c r="D1979" s="453" t="s">
        <v>8377</v>
      </c>
      <c r="E1979" s="453" t="s">
        <v>8378</v>
      </c>
    </row>
    <row r="1980" spans="1:5">
      <c r="A1980" s="453">
        <v>616261991</v>
      </c>
      <c r="B1980" s="453">
        <v>807228075.46118701</v>
      </c>
      <c r="D1980" s="453" t="s">
        <v>8379</v>
      </c>
      <c r="E1980" s="453" t="s">
        <v>8380</v>
      </c>
    </row>
    <row r="1981" spans="1:5">
      <c r="A1981" s="453">
        <v>616366348</v>
      </c>
      <c r="B1981" s="453">
        <v>807332432.46231306</v>
      </c>
      <c r="D1981" s="453" t="s">
        <v>8381</v>
      </c>
      <c r="E1981" s="453" t="s">
        <v>8382</v>
      </c>
    </row>
    <row r="1982" spans="1:5">
      <c r="A1982" s="453">
        <v>616373565</v>
      </c>
      <c r="B1982" s="453">
        <v>807339649.46240902</v>
      </c>
      <c r="D1982" s="453" t="s">
        <v>8383</v>
      </c>
      <c r="E1982" s="453" t="s">
        <v>8384</v>
      </c>
    </row>
    <row r="1983" spans="1:5">
      <c r="A1983" s="453">
        <v>616625529</v>
      </c>
      <c r="B1983" s="453">
        <v>807591613.46516395</v>
      </c>
      <c r="D1983" s="453" t="s">
        <v>8385</v>
      </c>
      <c r="E1983" s="453" t="s">
        <v>8386</v>
      </c>
    </row>
    <row r="1984" spans="1:5">
      <c r="A1984" s="453">
        <v>616690428</v>
      </c>
      <c r="B1984" s="453">
        <v>807656512.46592498</v>
      </c>
      <c r="D1984" s="453" t="s">
        <v>8387</v>
      </c>
      <c r="E1984" s="453" t="s">
        <v>8388</v>
      </c>
    </row>
    <row r="1985" spans="1:5">
      <c r="A1985" s="453">
        <v>616766026</v>
      </c>
      <c r="B1985" s="453">
        <v>807732110.46671999</v>
      </c>
      <c r="D1985" s="453" t="s">
        <v>8389</v>
      </c>
      <c r="E1985" s="453" t="s">
        <v>8390</v>
      </c>
    </row>
    <row r="1986" spans="1:5">
      <c r="A1986" s="453">
        <v>616819932</v>
      </c>
      <c r="B1986" s="453">
        <v>807786016.46729195</v>
      </c>
      <c r="D1986" s="453" t="s">
        <v>8391</v>
      </c>
      <c r="E1986" s="453" t="s">
        <v>8392</v>
      </c>
    </row>
    <row r="1987" spans="1:5">
      <c r="A1987" s="453">
        <v>1247971932</v>
      </c>
      <c r="B1987" s="453" t="s">
        <v>8393</v>
      </c>
      <c r="D1987" s="453" t="s">
        <v>8394</v>
      </c>
      <c r="E1987" s="453" t="s">
        <v>8395</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workbookViewId="0"/>
  </sheetViews>
  <sheetFormatPr defaultColWidth="8.265625" defaultRowHeight="14.25" customHeight="1"/>
  <cols>
    <col min="1" max="1" width="11.73046875" customWidth="1"/>
    <col min="3" max="3" width="9.73046875" customWidth="1"/>
    <col min="4" max="4" width="12.59765625" style="3" customWidth="1"/>
    <col min="5" max="5" width="12.265625" customWidth="1"/>
    <col min="6" max="6" width="9.73046875" customWidth="1"/>
    <col min="7" max="7" width="13.59765625" customWidth="1"/>
    <col min="8" max="8" width="13.73046875" customWidth="1"/>
    <col min="9" max="9" width="11.73046875" style="3" customWidth="1"/>
    <col min="10" max="10" width="12.73046875" style="3" customWidth="1"/>
    <col min="11" max="11" width="10" customWidth="1"/>
    <col min="12" max="13" width="11.265625" customWidth="1"/>
    <col min="14" max="14" width="13.86328125" style="4" customWidth="1"/>
    <col min="15" max="15" width="12.59765625" style="3" customWidth="1"/>
    <col min="16" max="16" width="17.86328125" style="3" customWidth="1"/>
    <col min="17" max="17" width="16" customWidth="1"/>
    <col min="18" max="19" width="12.3984375" style="3" customWidth="1"/>
    <col min="20" max="20" width="11.73046875" style="5" customWidth="1"/>
    <col min="21" max="21" width="11.73046875" customWidth="1"/>
    <col min="22" max="22" width="2.3984375" customWidth="1"/>
    <col min="23" max="23" width="15.3984375" customWidth="1"/>
    <col min="24" max="24" width="9" customWidth="1"/>
  </cols>
  <sheetData>
    <row r="2" spans="3:20">
      <c r="C2" s="6" t="s">
        <v>0</v>
      </c>
      <c r="D2" s="7"/>
      <c r="E2" s="6"/>
      <c r="F2" s="8"/>
      <c r="G2" s="8"/>
      <c r="H2" s="8"/>
      <c r="I2" s="9"/>
      <c r="J2" s="9"/>
      <c r="K2" s="8"/>
      <c r="L2" s="8"/>
      <c r="M2" s="8"/>
      <c r="N2" s="10"/>
      <c r="O2" s="9"/>
      <c r="P2" s="9"/>
    </row>
    <row r="3" spans="3:20">
      <c r="H3" s="541" t="s">
        <v>1</v>
      </c>
      <c r="I3" s="541"/>
    </row>
    <row r="4" spans="3:20" ht="28.5" customHeight="1">
      <c r="F4" s="11"/>
      <c r="G4" s="12"/>
      <c r="H4" s="13" t="s">
        <v>2</v>
      </c>
      <c r="I4" s="13" t="s">
        <v>3</v>
      </c>
      <c r="J4" s="13" t="s">
        <v>4</v>
      </c>
      <c r="K4" s="13" t="s">
        <v>5</v>
      </c>
      <c r="L4" s="13" t="s">
        <v>6</v>
      </c>
      <c r="M4" s="13" t="s">
        <v>7</v>
      </c>
      <c r="N4" s="14" t="s">
        <v>8</v>
      </c>
      <c r="O4" s="13"/>
      <c r="P4" s="13" t="s">
        <v>9</v>
      </c>
      <c r="Q4" s="13" t="s">
        <v>10</v>
      </c>
    </row>
    <row r="5" spans="3:20">
      <c r="F5" s="15" t="s">
        <v>11</v>
      </c>
      <c r="G5" s="16"/>
      <c r="H5" s="3"/>
      <c r="K5" s="3"/>
      <c r="L5" s="3"/>
      <c r="M5" s="3"/>
    </row>
    <row r="6" spans="3:20">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c r="G8" s="17" t="s">
        <v>14</v>
      </c>
      <c r="H8">
        <v>64000</v>
      </c>
      <c r="I8" s="3">
        <v>20000</v>
      </c>
      <c r="J8" s="3">
        <v>1</v>
      </c>
      <c r="K8">
        <v>7200</v>
      </c>
      <c r="L8" s="18">
        <f>J8*I8/K8</f>
        <v>2.7777777777777777</v>
      </c>
      <c r="M8">
        <f>3600*24</f>
        <v>86400</v>
      </c>
      <c r="N8" s="4">
        <f>N6</f>
        <v>22</v>
      </c>
      <c r="P8" s="19">
        <f>L8*M8*N8/1000000</f>
        <v>5.28</v>
      </c>
      <c r="Q8" s="20">
        <f>P8</f>
        <v>5.28</v>
      </c>
      <c r="T8" s="21"/>
    </row>
    <row r="9" spans="3:20">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c r="F13" s="15" t="s">
        <v>16</v>
      </c>
      <c r="G13" s="25"/>
    </row>
    <row r="14" spans="3:20">
      <c r="G14" s="17" t="s">
        <v>17</v>
      </c>
      <c r="H14">
        <v>8480</v>
      </c>
      <c r="I14" s="3">
        <v>2900</v>
      </c>
      <c r="J14" s="3">
        <v>1</v>
      </c>
      <c r="K14">
        <f>I22*64</f>
        <v>1280</v>
      </c>
      <c r="L14" s="18">
        <f>J14*I14/K14</f>
        <v>2.265625</v>
      </c>
      <c r="M14">
        <f>3600*24</f>
        <v>86400</v>
      </c>
      <c r="P14" s="20">
        <f>L14*M14*I25*((I23+I24))/1000000</f>
        <v>0</v>
      </c>
      <c r="Q14" s="20">
        <f>L14*M14*I26*((I23+I24))/1000000</f>
        <v>0</v>
      </c>
    </row>
    <row r="15" spans="3:20">
      <c r="G15" s="17" t="s">
        <v>18</v>
      </c>
      <c r="H15">
        <v>992</v>
      </c>
      <c r="I15" s="3">
        <v>600</v>
      </c>
      <c r="J15" s="3">
        <v>1</v>
      </c>
      <c r="K15">
        <f>I22*64</f>
        <v>1280</v>
      </c>
      <c r="L15" s="18">
        <f>J15*I15/K15</f>
        <v>0.46875</v>
      </c>
      <c r="M15">
        <f>3600*24</f>
        <v>86400</v>
      </c>
      <c r="P15" s="20">
        <f>L15*M15*I25*((I23+I24))/1000000</f>
        <v>0</v>
      </c>
      <c r="Q15" s="20">
        <f>L15*M15*I26*((I23+I24))/1000000</f>
        <v>0</v>
      </c>
    </row>
    <row r="16" spans="3:20">
      <c r="G16" s="17" t="s">
        <v>19</v>
      </c>
      <c r="H16">
        <f>H7</f>
        <v>4928</v>
      </c>
      <c r="I16" s="3">
        <v>1400</v>
      </c>
      <c r="J16" s="3">
        <v>1</v>
      </c>
      <c r="K16">
        <f>I22</f>
        <v>20</v>
      </c>
      <c r="L16" s="18">
        <f>J16*I16/K16</f>
        <v>70</v>
      </c>
      <c r="M16">
        <f>3600*24</f>
        <v>86400</v>
      </c>
      <c r="P16" s="22">
        <f>L16*M16*I25*I24/1000000</f>
        <v>0</v>
      </c>
      <c r="Q16" s="22">
        <f>L16*M16*I26*I24/1000000</f>
        <v>0</v>
      </c>
    </row>
    <row r="17" spans="3:25">
      <c r="P17" s="24">
        <f>SUM(P14:P16)</f>
        <v>0</v>
      </c>
      <c r="Q17" s="24">
        <f>SUM(Q14:Q16)</f>
        <v>0</v>
      </c>
    </row>
    <row r="18" spans="3:25">
      <c r="P18" s="26"/>
    </row>
    <row r="19" spans="3:25">
      <c r="F19" s="15" t="s">
        <v>20</v>
      </c>
      <c r="G19" s="27"/>
      <c r="P19" s="28">
        <f>P10+P17</f>
        <v>47.638272000000008</v>
      </c>
      <c r="Q19" s="28">
        <f>Q10+Q17</f>
        <v>47.638272000000008</v>
      </c>
      <c r="R19" s="3" t="s">
        <v>21</v>
      </c>
    </row>
    <row r="21" spans="3:25">
      <c r="F21" s="542" t="s">
        <v>22</v>
      </c>
      <c r="G21" s="542"/>
      <c r="H21" s="542"/>
      <c r="I21" s="542"/>
    </row>
    <row r="22" spans="3:25" ht="15.75">
      <c r="F22" s="543" t="s">
        <v>23</v>
      </c>
      <c r="G22" s="543"/>
      <c r="H22" s="543"/>
      <c r="I22" s="29">
        <v>20</v>
      </c>
      <c r="O22" s="30"/>
    </row>
    <row r="23" spans="3:25">
      <c r="F23" s="540" t="s">
        <v>24</v>
      </c>
      <c r="G23" s="540"/>
      <c r="H23" s="540"/>
      <c r="I23" s="29">
        <f>0.7*I22/10</f>
        <v>1.4</v>
      </c>
    </row>
    <row r="24" spans="3:25">
      <c r="F24" s="540" t="s">
        <v>25</v>
      </c>
      <c r="G24" s="540"/>
      <c r="H24" s="540"/>
      <c r="I24" s="29">
        <v>2</v>
      </c>
    </row>
    <row r="25" spans="3:25">
      <c r="F25" s="540" t="s">
        <v>26</v>
      </c>
      <c r="G25" s="540"/>
      <c r="H25" s="540"/>
      <c r="I25" s="29">
        <v>0</v>
      </c>
    </row>
    <row r="26" spans="3:25">
      <c r="F26" s="540" t="s">
        <v>27</v>
      </c>
      <c r="G26" s="540"/>
      <c r="H26" s="540"/>
      <c r="I26" s="29">
        <v>0</v>
      </c>
    </row>
    <row r="28" spans="3:25">
      <c r="Y28" t="s">
        <v>28</v>
      </c>
    </row>
    <row r="29" spans="3:25">
      <c r="N29" s="4">
        <f>1/30/24</f>
        <v>1.3888888888888889E-3</v>
      </c>
    </row>
    <row r="32" spans="3:25">
      <c r="C32" s="6" t="s">
        <v>29</v>
      </c>
      <c r="D32" s="7"/>
      <c r="E32" s="6"/>
      <c r="F32" s="8"/>
      <c r="G32" s="8"/>
      <c r="H32" s="8"/>
      <c r="I32" s="9"/>
      <c r="J32" s="9"/>
      <c r="K32" s="8"/>
      <c r="L32" s="8"/>
      <c r="M32" s="8"/>
      <c r="N32" s="10"/>
      <c r="O32" s="9"/>
      <c r="P32" s="9"/>
      <c r="Q32" s="8"/>
    </row>
    <row r="33" spans="3:17">
      <c r="H33" s="541" t="s">
        <v>1</v>
      </c>
      <c r="I33" s="541"/>
    </row>
    <row r="34" spans="3:17" ht="28.5" customHeight="1">
      <c r="F34" s="11"/>
      <c r="G34" s="12"/>
      <c r="H34" s="13" t="s">
        <v>2</v>
      </c>
      <c r="I34" s="13" t="s">
        <v>3</v>
      </c>
      <c r="J34" s="13" t="s">
        <v>4</v>
      </c>
      <c r="K34" s="13" t="s">
        <v>5</v>
      </c>
      <c r="L34" s="13" t="s">
        <v>6</v>
      </c>
      <c r="M34" s="13" t="s">
        <v>7</v>
      </c>
      <c r="N34" s="14" t="s">
        <v>8</v>
      </c>
      <c r="O34" s="13"/>
      <c r="P34" s="13" t="s">
        <v>9</v>
      </c>
      <c r="Q34" s="13" t="s">
        <v>10</v>
      </c>
    </row>
    <row r="35" spans="3:17">
      <c r="F35" s="15" t="s">
        <v>11</v>
      </c>
      <c r="G35" s="16"/>
      <c r="H35" s="3"/>
      <c r="K35" s="3"/>
      <c r="L35" s="3"/>
      <c r="M35" s="3"/>
    </row>
    <row r="36" spans="3:17">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c r="F43" s="15" t="s">
        <v>16</v>
      </c>
      <c r="G43" s="25"/>
    </row>
    <row r="44" spans="3:17">
      <c r="G44" s="17" t="s">
        <v>17</v>
      </c>
      <c r="H44">
        <v>8480</v>
      </c>
      <c r="I44" s="3">
        <f>I$14</f>
        <v>2900</v>
      </c>
      <c r="J44" s="3">
        <v>1</v>
      </c>
      <c r="K44">
        <f>I52*64</f>
        <v>1280</v>
      </c>
      <c r="L44" s="18">
        <f>J44*I44/K44</f>
        <v>2.265625</v>
      </c>
      <c r="M44">
        <f>3600*24</f>
        <v>86400</v>
      </c>
      <c r="P44" s="20">
        <f>L44*M44*I55*((I53+I54))/1000000</f>
        <v>0</v>
      </c>
      <c r="Q44" s="20">
        <f>L44*M44*I56*((I53+I54))/1000000</f>
        <v>0</v>
      </c>
    </row>
    <row r="45" spans="3:17">
      <c r="G45" s="17" t="s">
        <v>18</v>
      </c>
      <c r="H45">
        <v>992</v>
      </c>
      <c r="I45" s="3">
        <f>I$15</f>
        <v>600</v>
      </c>
      <c r="J45" s="3">
        <v>1</v>
      </c>
      <c r="K45">
        <f>I52*64</f>
        <v>1280</v>
      </c>
      <c r="L45" s="18">
        <f>J45*I45/K45</f>
        <v>0.46875</v>
      </c>
      <c r="M45">
        <f>3600*24</f>
        <v>86400</v>
      </c>
      <c r="P45" s="20">
        <f>L45*M45*I55*((I53+I54))/1000000</f>
        <v>0</v>
      </c>
      <c r="Q45" s="20">
        <f>L45*M45*I56*((I53+I54))/1000000</f>
        <v>0</v>
      </c>
    </row>
    <row r="46" spans="3:17">
      <c r="G46" s="17" t="s">
        <v>19</v>
      </c>
      <c r="H46">
        <f>H37</f>
        <v>4928</v>
      </c>
      <c r="I46" s="3">
        <f>I$16</f>
        <v>1400</v>
      </c>
      <c r="J46" s="3">
        <v>1</v>
      </c>
      <c r="K46">
        <f>I52</f>
        <v>20</v>
      </c>
      <c r="L46" s="18">
        <f>J46*I46/K46</f>
        <v>70</v>
      </c>
      <c r="M46">
        <f>3600*24</f>
        <v>86400</v>
      </c>
      <c r="P46" s="22">
        <f>L46*M46*I55*I54/1000000</f>
        <v>0</v>
      </c>
      <c r="Q46" s="22">
        <f>L46*M46*I56*I54/1000000</f>
        <v>0</v>
      </c>
    </row>
    <row r="47" spans="3:17">
      <c r="P47" s="24">
        <f>SUM(P44:P46)</f>
        <v>0</v>
      </c>
      <c r="Q47" s="24">
        <f>SUM(Q44:Q46)</f>
        <v>0</v>
      </c>
    </row>
    <row r="48" spans="3:17">
      <c r="P48" s="26"/>
    </row>
    <row r="49" spans="3:25">
      <c r="F49" s="15" t="s">
        <v>20</v>
      </c>
      <c r="G49" s="27"/>
      <c r="P49" s="28">
        <f>P40+P47</f>
        <v>1.9392399999999999</v>
      </c>
      <c r="Q49" s="28">
        <f>Q40+Q47</f>
        <v>1.9392399999999999</v>
      </c>
      <c r="R49" s="3" t="s">
        <v>21</v>
      </c>
    </row>
    <row r="51" spans="3:25">
      <c r="F51" s="542" t="s">
        <v>22</v>
      </c>
      <c r="G51" s="542"/>
      <c r="H51" s="542"/>
      <c r="I51" s="542"/>
      <c r="K51" t="s">
        <v>33</v>
      </c>
      <c r="L51" t="s">
        <v>34</v>
      </c>
    </row>
    <row r="52" spans="3:25" ht="15.75">
      <c r="F52" s="543" t="s">
        <v>23</v>
      </c>
      <c r="G52" s="543"/>
      <c r="H52" s="543"/>
      <c r="I52" s="29">
        <v>20</v>
      </c>
      <c r="K52">
        <v>1</v>
      </c>
      <c r="L52">
        <v>2</v>
      </c>
      <c r="O52" s="30"/>
    </row>
    <row r="53" spans="3:25">
      <c r="F53" s="540" t="s">
        <v>24</v>
      </c>
      <c r="G53" s="540"/>
      <c r="H53" s="540"/>
      <c r="I53" s="29">
        <f>0.7*I52/10</f>
        <v>1.4</v>
      </c>
      <c r="K53">
        <v>3</v>
      </c>
      <c r="L53">
        <v>6</v>
      </c>
      <c r="M53" t="str">
        <f>IF((K53/L53)=INT(K53/L53), "good", "bad")</f>
        <v>bad</v>
      </c>
    </row>
    <row r="54" spans="3:25">
      <c r="F54" s="540" t="s">
        <v>25</v>
      </c>
      <c r="G54" s="540"/>
      <c r="H54" s="540"/>
      <c r="I54" s="29">
        <v>2</v>
      </c>
      <c r="K54">
        <v>1</v>
      </c>
      <c r="L54">
        <v>2</v>
      </c>
      <c r="M54" t="str">
        <f>IF((K54/L54)=INT(K54/L54), "good", "bad")</f>
        <v>bad</v>
      </c>
    </row>
    <row r="55" spans="3:25">
      <c r="F55" s="540" t="s">
        <v>26</v>
      </c>
      <c r="G55" s="540"/>
      <c r="H55" s="540"/>
      <c r="I55" s="29">
        <v>0</v>
      </c>
      <c r="K55">
        <v>1</v>
      </c>
      <c r="L55">
        <v>2</v>
      </c>
      <c r="M55" t="str">
        <f>IF((K55/L55)=INT(K55/L55), "good", "bad")</f>
        <v>bad</v>
      </c>
    </row>
    <row r="56" spans="3:25">
      <c r="F56" s="540" t="s">
        <v>27</v>
      </c>
      <c r="G56" s="540"/>
      <c r="H56" s="540"/>
      <c r="I56" s="29">
        <v>0</v>
      </c>
    </row>
    <row r="58" spans="3:25">
      <c r="Y58" t="s">
        <v>28</v>
      </c>
    </row>
    <row r="60" spans="3:25">
      <c r="C60" s="6" t="s">
        <v>35</v>
      </c>
      <c r="D60" s="7"/>
      <c r="E60" s="6"/>
      <c r="F60" s="8"/>
      <c r="G60" s="8"/>
      <c r="H60" s="8"/>
      <c r="I60" s="9"/>
      <c r="J60" s="9"/>
      <c r="K60" s="8"/>
      <c r="L60" s="8"/>
      <c r="M60" s="8"/>
      <c r="N60" s="10"/>
      <c r="O60" s="9"/>
      <c r="P60" s="9"/>
    </row>
    <row r="61" spans="3:25">
      <c r="H61" s="541" t="s">
        <v>1</v>
      </c>
      <c r="I61" s="541"/>
    </row>
    <row r="62" spans="3:25" ht="28.5" customHeight="1">
      <c r="F62" s="11"/>
      <c r="G62" s="12"/>
      <c r="H62" s="13" t="s">
        <v>2</v>
      </c>
      <c r="I62" s="13" t="s">
        <v>3</v>
      </c>
      <c r="J62" s="13" t="s">
        <v>4</v>
      </c>
      <c r="K62" s="13" t="s">
        <v>5</v>
      </c>
      <c r="L62" s="13" t="s">
        <v>6</v>
      </c>
      <c r="M62" s="13" t="s">
        <v>7</v>
      </c>
      <c r="N62" s="14" t="s">
        <v>8</v>
      </c>
      <c r="O62" s="13"/>
      <c r="P62" s="13" t="s">
        <v>9</v>
      </c>
      <c r="Q62" s="13" t="s">
        <v>10</v>
      </c>
    </row>
    <row r="63" spans="3:25">
      <c r="F63" s="15" t="s">
        <v>11</v>
      </c>
      <c r="G63" s="16"/>
      <c r="H63" s="3"/>
      <c r="K63" s="3"/>
      <c r="L63" s="3"/>
      <c r="M63" s="3"/>
    </row>
    <row r="64" spans="3:25">
      <c r="G64" s="17" t="s">
        <v>12</v>
      </c>
      <c r="H64">
        <v>5680</v>
      </c>
      <c r="I64" s="3">
        <f>I$6</f>
        <v>2400</v>
      </c>
      <c r="J64" s="3">
        <v>1</v>
      </c>
      <c r="K64">
        <v>180</v>
      </c>
      <c r="L64" s="18">
        <f>J64*I64/K64</f>
        <v>13.333333333333334</v>
      </c>
      <c r="M64">
        <f>3600*24</f>
        <v>86400</v>
      </c>
      <c r="N64" s="4">
        <v>3</v>
      </c>
      <c r="P64" s="19">
        <f>L64*M64*N64/1000000</f>
        <v>3.456</v>
      </c>
      <c r="Q64" s="20">
        <f>P64</f>
        <v>3.456</v>
      </c>
    </row>
    <row r="65" spans="6:18">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c r="G66" s="17" t="s">
        <v>14</v>
      </c>
      <c r="H66">
        <v>64000</v>
      </c>
      <c r="I66" s="3">
        <f>I$8</f>
        <v>20000</v>
      </c>
      <c r="J66" s="3">
        <v>1</v>
      </c>
      <c r="K66">
        <v>7200</v>
      </c>
      <c r="L66" s="18">
        <f>J66*I66/K66</f>
        <v>2.7777777777777777</v>
      </c>
      <c r="M66">
        <f>3600*24</f>
        <v>86400</v>
      </c>
      <c r="N66" s="4">
        <f>N64</f>
        <v>3</v>
      </c>
      <c r="P66" s="19">
        <f>L66*M66*N66/1000000</f>
        <v>0.72</v>
      </c>
      <c r="Q66" s="20">
        <f>P66</f>
        <v>0.72</v>
      </c>
    </row>
    <row r="67" spans="6:18">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c r="F71" s="15" t="s">
        <v>16</v>
      </c>
      <c r="G71" s="25"/>
    </row>
    <row r="72" spans="6:18">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c r="P75" s="24">
        <f>SUM(P72:P74)</f>
        <v>0</v>
      </c>
      <c r="Q75" s="24">
        <f>SUM(Q72:Q74)</f>
        <v>0</v>
      </c>
    </row>
    <row r="76" spans="6:18">
      <c r="P76" s="26"/>
    </row>
    <row r="77" spans="6:18">
      <c r="F77" s="15" t="s">
        <v>20</v>
      </c>
      <c r="G77" s="27"/>
      <c r="P77" s="28">
        <f>P68+P75</f>
        <v>7.0145280000000003</v>
      </c>
      <c r="Q77" s="28">
        <f>Q68+Q75</f>
        <v>7.0145280000000003</v>
      </c>
      <c r="R77" s="3" t="s">
        <v>21</v>
      </c>
    </row>
    <row r="79" spans="6:18">
      <c r="F79" s="542" t="s">
        <v>22</v>
      </c>
      <c r="G79" s="542"/>
      <c r="H79" s="542"/>
      <c r="I79" s="542"/>
    </row>
    <row r="80" spans="6:18" ht="15.75">
      <c r="F80" s="543" t="s">
        <v>23</v>
      </c>
      <c r="G80" s="543"/>
      <c r="H80" s="543"/>
      <c r="I80" s="29">
        <v>20</v>
      </c>
      <c r="O80" s="30"/>
    </row>
    <row r="81" spans="3:25">
      <c r="F81" s="540" t="s">
        <v>24</v>
      </c>
      <c r="G81" s="540"/>
      <c r="H81" s="540"/>
      <c r="I81" s="29">
        <f>0.7*I80/10</f>
        <v>1.4</v>
      </c>
    </row>
    <row r="82" spans="3:25">
      <c r="F82" s="540" t="s">
        <v>25</v>
      </c>
      <c r="G82" s="540"/>
      <c r="H82" s="540"/>
      <c r="I82" s="29">
        <v>2</v>
      </c>
    </row>
    <row r="83" spans="3:25">
      <c r="F83" s="540" t="s">
        <v>26</v>
      </c>
      <c r="G83" s="540"/>
      <c r="H83" s="540"/>
      <c r="I83" s="29">
        <v>0</v>
      </c>
    </row>
    <row r="84" spans="3:25">
      <c r="F84" s="540" t="s">
        <v>27</v>
      </c>
      <c r="G84" s="540"/>
      <c r="H84" s="540"/>
      <c r="I84" s="29">
        <v>0</v>
      </c>
    </row>
    <row r="86" spans="3:25">
      <c r="Y86" t="s">
        <v>28</v>
      </c>
    </row>
    <row r="90" spans="3:25">
      <c r="C90" s="6" t="s">
        <v>36</v>
      </c>
      <c r="D90" s="7"/>
      <c r="E90" s="6"/>
      <c r="F90" s="8"/>
      <c r="G90" s="8"/>
      <c r="H90" s="8"/>
      <c r="I90" s="9"/>
      <c r="J90" s="9"/>
      <c r="K90" s="8"/>
      <c r="L90" s="8"/>
      <c r="M90" s="8"/>
      <c r="N90" s="10"/>
      <c r="O90" s="9"/>
      <c r="P90" s="9"/>
    </row>
    <row r="91" spans="3:25">
      <c r="H91" s="541" t="s">
        <v>1</v>
      </c>
      <c r="I91" s="541"/>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c r="F93" s="15" t="s">
        <v>11</v>
      </c>
      <c r="G93" s="16"/>
      <c r="H93" s="3"/>
      <c r="K93" s="3"/>
      <c r="L93" s="3"/>
      <c r="M93" s="3"/>
    </row>
    <row r="94" spans="3:2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c r="G95" s="17" t="s">
        <v>13</v>
      </c>
      <c r="H95">
        <v>4928</v>
      </c>
      <c r="I95" s="3">
        <f>I$7</f>
        <v>1920</v>
      </c>
      <c r="J95" s="3">
        <v>0</v>
      </c>
      <c r="K95">
        <v>180</v>
      </c>
      <c r="L95" s="18">
        <f>J95*I95/K95</f>
        <v>0</v>
      </c>
      <c r="M95">
        <f>3600*24</f>
        <v>86400</v>
      </c>
      <c r="N95" s="4">
        <f>N94</f>
        <v>19.2</v>
      </c>
      <c r="P95" s="19">
        <f>L95*M95*N95/1000000</f>
        <v>0</v>
      </c>
      <c r="Q95" s="20">
        <f>P95</f>
        <v>0</v>
      </c>
    </row>
    <row r="96" spans="3:2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c r="F101" s="15" t="s">
        <v>16</v>
      </c>
      <c r="G101" s="25"/>
    </row>
    <row r="102" spans="6:18">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c r="P105" s="24">
        <f>SUM(P102:P104)</f>
        <v>25.798500000000001</v>
      </c>
      <c r="Q105" s="24">
        <f>SUM(Q102:Q104)</f>
        <v>25.798500000000001</v>
      </c>
    </row>
    <row r="106" spans="6:18">
      <c r="P106" s="26"/>
    </row>
    <row r="107" spans="6:18">
      <c r="F107" s="15" t="s">
        <v>20</v>
      </c>
      <c r="G107" s="27"/>
      <c r="P107" s="28">
        <f>P98+P105</f>
        <v>52.9967592</v>
      </c>
      <c r="Q107" s="28">
        <f>Q98+Q105</f>
        <v>52.9967592</v>
      </c>
      <c r="R107" s="3" t="s">
        <v>21</v>
      </c>
    </row>
    <row r="109" spans="6:18">
      <c r="F109" s="542" t="s">
        <v>22</v>
      </c>
      <c r="G109" s="542"/>
      <c r="H109" s="542"/>
      <c r="I109" s="542"/>
    </row>
    <row r="110" spans="6:18" ht="15.75">
      <c r="F110" s="543" t="s">
        <v>23</v>
      </c>
      <c r="G110" s="543"/>
      <c r="H110" s="543"/>
      <c r="I110" s="29">
        <v>20</v>
      </c>
      <c r="O110" s="30"/>
    </row>
    <row r="111" spans="6:18">
      <c r="F111" s="540" t="s">
        <v>24</v>
      </c>
      <c r="G111" s="540"/>
      <c r="H111" s="540"/>
      <c r="I111" s="29">
        <f>0.7*I110/10</f>
        <v>1.4</v>
      </c>
    </row>
    <row r="112" spans="6:18">
      <c r="F112" s="540" t="s">
        <v>25</v>
      </c>
      <c r="G112" s="540"/>
      <c r="H112" s="540"/>
      <c r="I112" s="29">
        <v>2</v>
      </c>
    </row>
    <row r="113" spans="3:17">
      <c r="F113" s="540" t="s">
        <v>26</v>
      </c>
      <c r="G113" s="540"/>
      <c r="H113" s="540"/>
      <c r="I113" s="29">
        <v>2</v>
      </c>
    </row>
    <row r="114" spans="3:17">
      <c r="F114" s="540" t="s">
        <v>27</v>
      </c>
      <c r="G114" s="540"/>
      <c r="H114" s="540"/>
      <c r="I114" s="29">
        <v>2</v>
      </c>
    </row>
    <row r="119" spans="3:17">
      <c r="C119" s="6" t="s">
        <v>38</v>
      </c>
      <c r="D119" s="7"/>
      <c r="E119" s="6"/>
      <c r="F119" s="8"/>
      <c r="G119" s="8"/>
      <c r="H119" s="8"/>
      <c r="I119" s="9"/>
      <c r="J119" s="9"/>
      <c r="K119" s="8"/>
      <c r="L119" s="8"/>
      <c r="M119" s="8"/>
      <c r="N119" s="10"/>
      <c r="O119" s="9"/>
      <c r="P119" s="9"/>
    </row>
    <row r="120" spans="3:17">
      <c r="H120" s="541" t="s">
        <v>1</v>
      </c>
      <c r="I120" s="541"/>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c r="F122" s="15" t="s">
        <v>11</v>
      </c>
      <c r="G122" s="16"/>
      <c r="H122" s="3"/>
      <c r="K122" s="3"/>
      <c r="L122" s="3"/>
      <c r="M122" s="3"/>
    </row>
    <row r="123" spans="3:17">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c r="F130" s="15" t="s">
        <v>16</v>
      </c>
      <c r="G130" s="25"/>
    </row>
    <row r="131" spans="6:18">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c r="P134" s="24">
        <f>SUM(P131:P133)</f>
        <v>12.89925</v>
      </c>
      <c r="Q134" s="24">
        <f>SUM(Q131:Q133)</f>
        <v>12.89925</v>
      </c>
    </row>
    <row r="135" spans="6:18">
      <c r="P135" s="26"/>
    </row>
    <row r="136" spans="6:18">
      <c r="F136" s="15" t="s">
        <v>20</v>
      </c>
      <c r="G136" s="27"/>
      <c r="P136" s="28">
        <f>P127+P134</f>
        <v>17.148978</v>
      </c>
      <c r="Q136" s="28">
        <f>Q127+Q134</f>
        <v>17.148978</v>
      </c>
      <c r="R136" s="3" t="s">
        <v>21</v>
      </c>
    </row>
    <row r="138" spans="6:18">
      <c r="F138" s="542" t="s">
        <v>22</v>
      </c>
      <c r="G138" s="542"/>
      <c r="H138" s="542"/>
      <c r="I138" s="542"/>
    </row>
    <row r="139" spans="6:18" ht="15.75">
      <c r="F139" s="543" t="s">
        <v>23</v>
      </c>
      <c r="G139" s="543"/>
      <c r="H139" s="543"/>
      <c r="I139" s="29">
        <v>20</v>
      </c>
      <c r="O139" s="30"/>
    </row>
    <row r="140" spans="6:18">
      <c r="F140" s="540" t="s">
        <v>24</v>
      </c>
      <c r="G140" s="540"/>
      <c r="H140" s="540"/>
      <c r="I140" s="29">
        <f>0.7*I139/10</f>
        <v>1.4</v>
      </c>
    </row>
    <row r="141" spans="6:18">
      <c r="F141" s="540" t="s">
        <v>25</v>
      </c>
      <c r="G141" s="540"/>
      <c r="H141" s="540"/>
      <c r="I141" s="29">
        <v>2</v>
      </c>
    </row>
    <row r="142" spans="6:18">
      <c r="F142" s="540" t="s">
        <v>26</v>
      </c>
      <c r="G142" s="540"/>
      <c r="H142" s="540"/>
      <c r="I142" s="29">
        <v>1</v>
      </c>
    </row>
    <row r="143" spans="6:18">
      <c r="F143" s="540" t="s">
        <v>27</v>
      </c>
      <c r="G143" s="540"/>
      <c r="H143" s="540"/>
      <c r="I143" s="29">
        <v>1</v>
      </c>
    </row>
    <row r="149" spans="3:17">
      <c r="C149" s="6" t="s">
        <v>39</v>
      </c>
      <c r="D149" s="7"/>
      <c r="E149" s="6"/>
      <c r="F149" s="8"/>
      <c r="G149" s="8"/>
      <c r="H149" s="8"/>
      <c r="I149" s="9"/>
      <c r="J149" s="9"/>
      <c r="K149" s="8"/>
      <c r="L149" s="8"/>
      <c r="M149" s="8"/>
      <c r="N149" s="10"/>
      <c r="O149" s="9"/>
      <c r="P149" s="9"/>
    </row>
    <row r="150" spans="3:17">
      <c r="H150" s="541" t="s">
        <v>1</v>
      </c>
      <c r="I150" s="541"/>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c r="F152" s="15" t="s">
        <v>11</v>
      </c>
      <c r="G152" s="16"/>
      <c r="H152" s="3"/>
      <c r="K152" s="3"/>
      <c r="L152" s="3"/>
      <c r="M152" s="3"/>
    </row>
    <row r="153" spans="3:17">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c r="F160" s="15" t="s">
        <v>16</v>
      </c>
      <c r="G160" s="25"/>
    </row>
    <row r="161" spans="6:18">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c r="P164" s="24">
        <f>SUM(P161:P163)</f>
        <v>12.89925</v>
      </c>
      <c r="Q164" s="24">
        <f>SUM(Q161:Q163)</f>
        <v>12.89925</v>
      </c>
    </row>
    <row r="165" spans="6:18">
      <c r="P165" s="26"/>
    </row>
    <row r="166" spans="6:18">
      <c r="F166" s="15" t="s">
        <v>20</v>
      </c>
      <c r="G166" s="27"/>
      <c r="P166" s="28">
        <f>P157+P164</f>
        <v>27.773298</v>
      </c>
      <c r="Q166" s="28">
        <f>Q157+Q164</f>
        <v>27.773298</v>
      </c>
      <c r="R166" s="3" t="s">
        <v>21</v>
      </c>
    </row>
    <row r="168" spans="6:18">
      <c r="F168" s="542" t="s">
        <v>22</v>
      </c>
      <c r="G168" s="542"/>
      <c r="H168" s="542"/>
      <c r="I168" s="542"/>
    </row>
    <row r="169" spans="6:18" ht="15.75">
      <c r="F169" s="543" t="s">
        <v>23</v>
      </c>
      <c r="G169" s="543"/>
      <c r="H169" s="543"/>
      <c r="I169" s="29">
        <v>20</v>
      </c>
      <c r="O169" s="30"/>
    </row>
    <row r="170" spans="6:18">
      <c r="F170" s="540" t="s">
        <v>24</v>
      </c>
      <c r="G170" s="540"/>
      <c r="H170" s="540"/>
      <c r="I170" s="29">
        <f>0.7*I169/10</f>
        <v>1.4</v>
      </c>
    </row>
    <row r="171" spans="6:18">
      <c r="F171" s="540" t="s">
        <v>25</v>
      </c>
      <c r="G171" s="540"/>
      <c r="H171" s="540"/>
      <c r="I171" s="29">
        <v>2</v>
      </c>
    </row>
    <row r="172" spans="6:18">
      <c r="F172" s="540" t="s">
        <v>26</v>
      </c>
      <c r="G172" s="540"/>
      <c r="H172" s="540"/>
      <c r="I172" s="29">
        <v>1</v>
      </c>
    </row>
    <row r="173" spans="6:18">
      <c r="F173" s="540" t="s">
        <v>27</v>
      </c>
      <c r="G173" s="540"/>
      <c r="H173" s="540"/>
      <c r="I173" s="29">
        <v>1</v>
      </c>
    </row>
    <row r="178" spans="3:17">
      <c r="C178" s="6" t="s">
        <v>40</v>
      </c>
      <c r="D178" s="7"/>
      <c r="E178" s="6"/>
      <c r="F178" s="8"/>
      <c r="G178" s="8"/>
      <c r="H178" s="8"/>
      <c r="I178" s="9"/>
      <c r="J178" s="9"/>
      <c r="K178" s="8"/>
      <c r="L178" s="8"/>
      <c r="M178" s="8"/>
      <c r="N178" s="10"/>
      <c r="O178" s="9"/>
      <c r="P178" s="9"/>
    </row>
    <row r="179" spans="3:17">
      <c r="H179" s="541" t="s">
        <v>1</v>
      </c>
      <c r="I179" s="541"/>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c r="F181" s="15" t="s">
        <v>11</v>
      </c>
      <c r="G181" s="16"/>
      <c r="H181" s="3"/>
      <c r="K181" s="3"/>
      <c r="L181" s="3"/>
      <c r="M181" s="3"/>
    </row>
    <row r="182" spans="3:17">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c r="F189" s="15" t="s">
        <v>16</v>
      </c>
      <c r="G189" s="25"/>
    </row>
    <row r="190" spans="3:17">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c r="P193" s="24">
        <f>SUM(P190:P192)</f>
        <v>12.89925</v>
      </c>
      <c r="Q193" s="24">
        <f>SUM(Q190:Q192)</f>
        <v>12.89925</v>
      </c>
    </row>
    <row r="194" spans="6:19">
      <c r="P194" s="26"/>
    </row>
    <row r="195" spans="6:19">
      <c r="F195" s="15" t="s">
        <v>20</v>
      </c>
      <c r="G195" s="27"/>
      <c r="P195" s="28">
        <f>P186+P193</f>
        <v>29.898161999999999</v>
      </c>
      <c r="Q195" s="28">
        <f>Q186+Q193</f>
        <v>29.898161999999999</v>
      </c>
      <c r="R195" s="3" t="s">
        <v>21</v>
      </c>
    </row>
    <row r="197" spans="6:19">
      <c r="F197" s="542" t="s">
        <v>22</v>
      </c>
      <c r="G197" s="542"/>
      <c r="H197" s="542"/>
      <c r="I197" s="542"/>
    </row>
    <row r="198" spans="6:19" ht="15.75">
      <c r="F198" s="543" t="s">
        <v>23</v>
      </c>
      <c r="G198" s="543"/>
      <c r="H198" s="543"/>
      <c r="I198" s="29">
        <v>20</v>
      </c>
      <c r="O198" s="30"/>
    </row>
    <row r="199" spans="6:19">
      <c r="F199" s="540" t="s">
        <v>24</v>
      </c>
      <c r="G199" s="540"/>
      <c r="H199" s="540"/>
      <c r="I199" s="29">
        <f>0.7*I198/10</f>
        <v>1.4</v>
      </c>
    </row>
    <row r="200" spans="6:19">
      <c r="F200" s="540" t="s">
        <v>25</v>
      </c>
      <c r="G200" s="540"/>
      <c r="H200" s="540"/>
      <c r="I200" s="29">
        <v>2</v>
      </c>
    </row>
    <row r="201" spans="6:19">
      <c r="F201" s="540" t="s">
        <v>26</v>
      </c>
      <c r="G201" s="540"/>
      <c r="H201" s="540"/>
      <c r="I201" s="29">
        <v>1</v>
      </c>
    </row>
    <row r="202" spans="6:19">
      <c r="F202" s="540" t="s">
        <v>27</v>
      </c>
      <c r="G202" s="540"/>
      <c r="H202" s="540"/>
      <c r="I202" s="29">
        <v>1</v>
      </c>
    </row>
    <row r="205" spans="6:19">
      <c r="P205" s="35" t="s">
        <v>41</v>
      </c>
      <c r="Q205" s="36"/>
      <c r="R205" s="37">
        <f>P19+P49+P77+P107+P136+P166+P195</f>
        <v>184.40923720000001</v>
      </c>
      <c r="S205" s="38" t="s">
        <v>42</v>
      </c>
    </row>
    <row r="208" spans="6:19">
      <c r="Q208" s="3"/>
      <c r="R208" s="39" t="s">
        <v>43</v>
      </c>
      <c r="S208" s="3">
        <f>67*2+77</f>
        <v>211</v>
      </c>
    </row>
    <row r="211" spans="3:17">
      <c r="P211" s="3" t="s">
        <v>44</v>
      </c>
    </row>
    <row r="212" spans="3:17">
      <c r="P212" s="3" t="s">
        <v>45</v>
      </c>
    </row>
    <row r="218" spans="3:17">
      <c r="C218" s="6" t="s">
        <v>46</v>
      </c>
      <c r="D218" s="7"/>
      <c r="E218" s="6"/>
      <c r="F218" s="8"/>
      <c r="G218" s="8"/>
      <c r="H218" s="8"/>
      <c r="I218" s="9"/>
      <c r="J218" s="9"/>
      <c r="K218" s="8"/>
      <c r="L218" s="8"/>
      <c r="M218" s="8"/>
      <c r="N218" s="10"/>
      <c r="O218" s="9"/>
      <c r="P218" s="9"/>
    </row>
    <row r="219" spans="3:17">
      <c r="H219" s="541" t="s">
        <v>1</v>
      </c>
      <c r="I219" s="541"/>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c r="F221" s="15" t="s">
        <v>11</v>
      </c>
      <c r="G221" s="16"/>
      <c r="H221" s="3"/>
      <c r="K221" s="3"/>
      <c r="L221" s="3"/>
      <c r="M221" s="3"/>
    </row>
    <row r="222" spans="3:17">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c r="F229" s="15" t="s">
        <v>16</v>
      </c>
      <c r="G229" s="25"/>
    </row>
    <row r="230" spans="6:19">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c r="P233" s="24">
        <f>SUM(P230:P232)</f>
        <v>257.98500000000001</v>
      </c>
      <c r="Q233" s="24">
        <f>SUM(Q230:Q232)</f>
        <v>103.194</v>
      </c>
    </row>
    <row r="234" spans="6:19">
      <c r="P234" s="26"/>
    </row>
    <row r="235" spans="6:19">
      <c r="F235" s="15" t="s">
        <v>20</v>
      </c>
      <c r="G235" s="27"/>
      <c r="P235" s="28">
        <f>P226+P233</f>
        <v>643.01035679999995</v>
      </c>
      <c r="Q235" s="28">
        <f>Q226+Q233</f>
        <v>488.21935680000001</v>
      </c>
      <c r="R235" s="3" t="s">
        <v>21</v>
      </c>
    </row>
    <row r="237" spans="6:19">
      <c r="F237" s="542" t="s">
        <v>22</v>
      </c>
      <c r="G237" s="542"/>
      <c r="H237" s="542"/>
      <c r="I237" s="542"/>
    </row>
    <row r="238" spans="6:19" ht="15.75">
      <c r="F238" s="543" t="s">
        <v>23</v>
      </c>
      <c r="G238" s="543"/>
      <c r="H238" s="543"/>
      <c r="I238" s="29">
        <v>20</v>
      </c>
      <c r="O238" s="30"/>
      <c r="P238" s="40" t="s">
        <v>47</v>
      </c>
      <c r="Q238" s="41"/>
      <c r="R238" s="42">
        <f>P235</f>
        <v>643.01035679999995</v>
      </c>
      <c r="S238" s="43" t="s">
        <v>42</v>
      </c>
    </row>
    <row r="239" spans="6:19">
      <c r="F239" s="540" t="s">
        <v>24</v>
      </c>
      <c r="G239" s="540"/>
      <c r="H239" s="540"/>
      <c r="I239" s="29">
        <f>0.7*I238/10</f>
        <v>1.4</v>
      </c>
    </row>
    <row r="240" spans="6:19">
      <c r="F240" s="540" t="s">
        <v>25</v>
      </c>
      <c r="G240" s="540"/>
      <c r="H240" s="540"/>
      <c r="I240" s="29">
        <v>2</v>
      </c>
    </row>
    <row r="241" spans="3:19">
      <c r="F241" s="540" t="s">
        <v>26</v>
      </c>
      <c r="G241" s="540"/>
      <c r="H241" s="540"/>
      <c r="I241" s="29">
        <v>20</v>
      </c>
    </row>
    <row r="242" spans="3:19">
      <c r="F242" s="540" t="s">
        <v>27</v>
      </c>
      <c r="G242" s="540"/>
      <c r="H242" s="540"/>
      <c r="I242" s="29">
        <v>8</v>
      </c>
    </row>
    <row r="246" spans="3:19">
      <c r="C246" s="6" t="s">
        <v>48</v>
      </c>
      <c r="D246" s="7"/>
      <c r="E246" s="6"/>
      <c r="F246" s="8"/>
      <c r="G246" s="8"/>
      <c r="H246" s="8"/>
      <c r="I246" s="9"/>
      <c r="J246" s="9"/>
      <c r="K246" s="8"/>
      <c r="L246" s="8"/>
      <c r="M246" s="8"/>
      <c r="N246" s="10"/>
      <c r="O246" s="9"/>
      <c r="P246" s="9"/>
    </row>
    <row r="247" spans="3:19">
      <c r="H247" s="541" t="s">
        <v>1</v>
      </c>
      <c r="I247" s="541"/>
    </row>
    <row r="248" spans="3:19" ht="71.2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c r="F249" s="15" t="s">
        <v>11</v>
      </c>
      <c r="G249" s="16"/>
      <c r="H249" s="3"/>
      <c r="K249" s="3"/>
      <c r="L249" s="3"/>
    </row>
    <row r="250" spans="3:19">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1.2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c r="F257" s="15" t="s">
        <v>16</v>
      </c>
      <c r="G257" s="25"/>
      <c r="N257" s="44">
        <v>273</v>
      </c>
    </row>
    <row r="258" spans="6:2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c r="N261" s="45" t="s">
        <v>56</v>
      </c>
      <c r="O261" s="46"/>
      <c r="P261" s="47">
        <f>SUM(P258:P260)</f>
        <v>0.94499999999999995</v>
      </c>
      <c r="Q261" s="47">
        <f>SUM(Q258:Q260)</f>
        <v>0.94499999999999995</v>
      </c>
      <c r="R261" s="50">
        <f>SUM(R258:R260)</f>
        <v>257.98500000000001</v>
      </c>
      <c r="S261" s="50">
        <f>SUM(S258:S260)</f>
        <v>257.98500000000001</v>
      </c>
    </row>
    <row r="262" spans="6:25">
      <c r="R262" s="26"/>
    </row>
    <row r="263" spans="6:25">
      <c r="F263" s="15" t="s">
        <v>20</v>
      </c>
      <c r="G263" s="27"/>
      <c r="N263" s="51" t="s">
        <v>57</v>
      </c>
      <c r="O263" s="52"/>
      <c r="P263" s="28">
        <f>P254+P261</f>
        <v>2.3615759999999999</v>
      </c>
      <c r="Q263" s="28">
        <f>Q254+Q261</f>
        <v>2.3615759999999999</v>
      </c>
      <c r="R263" s="53">
        <f>R254+R261</f>
        <v>644.71024799999998</v>
      </c>
      <c r="S263" s="53">
        <f>S254+S261</f>
        <v>644.71024799999998</v>
      </c>
    </row>
    <row r="265" spans="6:25">
      <c r="F265" s="542" t="s">
        <v>22</v>
      </c>
      <c r="G265" s="542"/>
      <c r="H265" s="542"/>
      <c r="I265" s="542"/>
      <c r="K265" s="54" t="s">
        <v>58</v>
      </c>
      <c r="L265" s="55"/>
      <c r="M265" s="55"/>
      <c r="N265" s="56"/>
      <c r="O265" s="57" t="s">
        <v>59</v>
      </c>
      <c r="P265" s="57" t="s">
        <v>60</v>
      </c>
      <c r="Q265" s="58"/>
      <c r="S265" s="59" t="s">
        <v>61</v>
      </c>
      <c r="T265" s="60"/>
      <c r="U265" s="55"/>
      <c r="V265" s="56"/>
      <c r="W265" s="57" t="s">
        <v>59</v>
      </c>
      <c r="X265" s="57" t="s">
        <v>60</v>
      </c>
      <c r="Y265" s="58"/>
    </row>
    <row r="266" spans="6:25" ht="15.75">
      <c r="F266" s="543" t="s">
        <v>23</v>
      </c>
      <c r="G266" s="543"/>
      <c r="H266" s="543"/>
      <c r="I266" s="29">
        <v>20</v>
      </c>
      <c r="K266" s="61"/>
      <c r="L266" s="62"/>
      <c r="M266" s="62"/>
      <c r="N266" s="45"/>
      <c r="O266" s="63">
        <f>O268*1000000</f>
        <v>0</v>
      </c>
      <c r="P266" s="63">
        <f>O266/8</f>
        <v>0</v>
      </c>
      <c r="Q266" s="64"/>
      <c r="S266" s="61"/>
      <c r="T266" s="65"/>
      <c r="U266" s="62"/>
      <c r="V266" s="45"/>
      <c r="W266" s="63">
        <f>W268*1000000</f>
        <v>0</v>
      </c>
      <c r="X266" s="63">
        <f>W266/8</f>
        <v>0</v>
      </c>
      <c r="Y266" s="64"/>
    </row>
    <row r="267" spans="6:25">
      <c r="F267" s="540" t="s">
        <v>24</v>
      </c>
      <c r="G267" s="540"/>
      <c r="H267" s="540"/>
      <c r="I267" s="29">
        <f>0.7*I266/10</f>
        <v>1.4</v>
      </c>
      <c r="K267" s="61"/>
      <c r="L267" s="46"/>
      <c r="M267" s="46"/>
      <c r="N267" s="46"/>
      <c r="O267" s="66" t="s">
        <v>62</v>
      </c>
      <c r="P267" s="46"/>
      <c r="Q267" s="64"/>
      <c r="S267" s="61"/>
      <c r="T267" s="65"/>
      <c r="U267" s="46"/>
      <c r="V267" s="46"/>
      <c r="W267" s="66" t="s">
        <v>62</v>
      </c>
      <c r="X267" s="62"/>
      <c r="Y267" s="64"/>
    </row>
    <row r="268" spans="6:25">
      <c r="F268" s="540" t="s">
        <v>25</v>
      </c>
      <c r="G268" s="540"/>
      <c r="H268" s="540"/>
      <c r="I268" s="29">
        <v>2</v>
      </c>
      <c r="K268" s="61"/>
      <c r="L268" s="67"/>
      <c r="M268" s="46"/>
      <c r="N268" s="46"/>
      <c r="O268" s="68">
        <f>Q238/86400</f>
        <v>0</v>
      </c>
      <c r="P268" s="46"/>
      <c r="Q268" s="64"/>
      <c r="S268" s="61"/>
      <c r="T268" s="69"/>
      <c r="U268" s="46"/>
      <c r="V268" s="46"/>
      <c r="W268" s="68">
        <f>Y238/86400</f>
        <v>0</v>
      </c>
      <c r="X268" s="46"/>
      <c r="Y268" s="64"/>
    </row>
    <row r="269" spans="6:25">
      <c r="F269" s="540" t="s">
        <v>63</v>
      </c>
      <c r="G269" s="540"/>
      <c r="H269" s="540"/>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c r="F270" s="540" t="s">
        <v>71</v>
      </c>
      <c r="G270" s="540"/>
      <c r="H270" s="540"/>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c r="K286" s="61" t="s">
        <v>111</v>
      </c>
      <c r="L286" s="67">
        <v>514806587</v>
      </c>
      <c r="M286" s="46">
        <v>514866590</v>
      </c>
      <c r="N286" s="46">
        <f t="shared" si="1"/>
        <v>60003</v>
      </c>
      <c r="O286" s="46"/>
      <c r="P286" s="46">
        <v>247232</v>
      </c>
      <c r="Q286" s="77"/>
    </row>
    <row r="287" spans="4:25">
      <c r="I287" s="3">
        <v>144</v>
      </c>
      <c r="K287" s="61" t="s">
        <v>112</v>
      </c>
      <c r="L287" s="67">
        <v>514866587</v>
      </c>
      <c r="M287" s="46">
        <v>514888190</v>
      </c>
      <c r="N287" s="46">
        <f t="shared" si="1"/>
        <v>21603</v>
      </c>
      <c r="O287" s="46"/>
      <c r="P287" s="46">
        <v>89568</v>
      </c>
      <c r="Q287" s="77"/>
    </row>
    <row r="288" spans="4:25">
      <c r="K288" s="61" t="s">
        <v>113</v>
      </c>
      <c r="L288" s="67">
        <v>514888187</v>
      </c>
      <c r="M288" s="46">
        <v>514944890</v>
      </c>
      <c r="N288" s="46">
        <f t="shared" si="1"/>
        <v>56703</v>
      </c>
      <c r="O288" s="46"/>
      <c r="P288" s="46">
        <v>231584</v>
      </c>
      <c r="Q288" s="77"/>
    </row>
    <row r="289" spans="4:19">
      <c r="I289" s="3">
        <f>75-16</f>
        <v>59</v>
      </c>
      <c r="K289" s="61" t="s">
        <v>114</v>
      </c>
      <c r="L289" s="67">
        <v>514944887</v>
      </c>
      <c r="M289" s="46">
        <v>514974890</v>
      </c>
      <c r="N289" s="46">
        <f t="shared" si="1"/>
        <v>30003</v>
      </c>
      <c r="O289" s="46"/>
      <c r="P289" s="46">
        <v>123264</v>
      </c>
      <c r="Q289" s="77"/>
    </row>
    <row r="290" spans="4:19">
      <c r="I290" s="3">
        <f>I289*3</f>
        <v>177</v>
      </c>
      <c r="K290" s="61" t="s">
        <v>115</v>
      </c>
      <c r="L290" s="67">
        <v>514974887</v>
      </c>
      <c r="M290" s="46">
        <v>515031290</v>
      </c>
      <c r="N290" s="46">
        <f t="shared" si="1"/>
        <v>56403</v>
      </c>
      <c r="O290" s="46"/>
      <c r="P290" s="46">
        <v>230304</v>
      </c>
      <c r="Q290" s="77"/>
    </row>
    <row r="291" spans="4:19">
      <c r="D291" s="3" t="s">
        <v>116</v>
      </c>
      <c r="E291" s="88">
        <v>515933442</v>
      </c>
      <c r="K291" s="61" t="s">
        <v>117</v>
      </c>
      <c r="L291" s="67">
        <v>515031287</v>
      </c>
      <c r="M291" s="46">
        <v>515120990</v>
      </c>
      <c r="N291" s="46">
        <f t="shared" si="1"/>
        <v>89703</v>
      </c>
      <c r="O291" s="46"/>
      <c r="P291" s="46">
        <v>369856</v>
      </c>
      <c r="Q291" s="77"/>
    </row>
    <row r="292" spans="4:19">
      <c r="E292" s="89">
        <v>516344815</v>
      </c>
      <c r="I292" s="3" t="s">
        <v>118</v>
      </c>
      <c r="K292" s="61" t="s">
        <v>119</v>
      </c>
      <c r="L292" s="67">
        <v>515120987</v>
      </c>
      <c r="M292" s="46">
        <v>515202890</v>
      </c>
      <c r="N292" s="46">
        <f t="shared" si="1"/>
        <v>81903</v>
      </c>
      <c r="O292" s="46"/>
      <c r="P292" s="46">
        <v>338080</v>
      </c>
      <c r="Q292" s="77"/>
    </row>
    <row r="293" spans="4:19">
      <c r="I293" s="3">
        <f>54*3</f>
        <v>162</v>
      </c>
      <c r="K293" s="61" t="s">
        <v>120</v>
      </c>
      <c r="L293" s="67">
        <v>515202887</v>
      </c>
      <c r="M293" s="46">
        <v>515311490</v>
      </c>
      <c r="N293" s="46">
        <f t="shared" si="1"/>
        <v>108603</v>
      </c>
      <c r="O293" s="46"/>
      <c r="P293" s="46">
        <v>449760</v>
      </c>
      <c r="Q293" s="77"/>
    </row>
    <row r="294" spans="4:19">
      <c r="I294" s="3" t="s">
        <v>121</v>
      </c>
      <c r="K294" s="84"/>
      <c r="L294" s="90"/>
      <c r="M294" s="86"/>
      <c r="N294" s="86">
        <f t="shared" si="1"/>
        <v>0</v>
      </c>
      <c r="O294" s="86">
        <f>N294*$P$297</f>
        <v>0</v>
      </c>
      <c r="P294" s="86"/>
      <c r="Q294" s="87">
        <f>O294-P294</f>
        <v>0</v>
      </c>
    </row>
    <row r="296" spans="4:19">
      <c r="K296" s="54" t="s">
        <v>122</v>
      </c>
      <c r="L296" s="55"/>
      <c r="M296" s="55"/>
      <c r="N296" s="56"/>
      <c r="O296" s="66" t="s">
        <v>59</v>
      </c>
      <c r="P296" s="66" t="s">
        <v>60</v>
      </c>
      <c r="Q296" s="58"/>
      <c r="R296" s="3" t="s">
        <v>60</v>
      </c>
      <c r="S296" s="3">
        <v>2.0944444400000002</v>
      </c>
    </row>
    <row r="297" spans="4:19">
      <c r="H297" s="91">
        <f>75.05-10</f>
        <v>65.05</v>
      </c>
      <c r="I297" s="3" t="s">
        <v>123</v>
      </c>
      <c r="K297" s="61"/>
      <c r="L297" s="62"/>
      <c r="M297" s="62"/>
      <c r="N297" s="45"/>
      <c r="O297" s="63">
        <f>O299*1000000</f>
        <v>16.395555555555553</v>
      </c>
      <c r="P297" s="63">
        <f>O297/8</f>
        <v>2.0494444444444442</v>
      </c>
      <c r="Q297" s="64"/>
      <c r="R297" s="3" t="s">
        <v>59</v>
      </c>
      <c r="S297" s="3">
        <v>16.395555559999998</v>
      </c>
    </row>
    <row r="298" spans="4:19">
      <c r="H298">
        <f>H297*3</f>
        <v>195.14999999999998</v>
      </c>
      <c r="K298" s="61"/>
      <c r="L298" s="46"/>
      <c r="M298" s="46"/>
      <c r="N298" s="46"/>
      <c r="O298" s="66" t="s">
        <v>62</v>
      </c>
      <c r="P298" s="46"/>
      <c r="Q298" s="64"/>
      <c r="R298" s="3" t="s">
        <v>62</v>
      </c>
      <c r="S298" s="3">
        <v>1.6395599999999999E-5</v>
      </c>
    </row>
    <row r="299" spans="4:19">
      <c r="H299" s="91">
        <v>56</v>
      </c>
      <c r="K299" s="61"/>
      <c r="L299" s="67"/>
      <c r="M299" s="46"/>
      <c r="N299" s="46"/>
      <c r="O299" s="68">
        <f>Q254/86400</f>
        <v>1.6395555555555554E-5</v>
      </c>
      <c r="P299" s="46"/>
      <c r="Q299" s="64"/>
    </row>
    <row r="300" spans="4:19">
      <c r="H300">
        <f>(68-12)*3</f>
        <v>168</v>
      </c>
      <c r="I300" s="3" t="s">
        <v>124</v>
      </c>
      <c r="K300" s="73" t="s">
        <v>64</v>
      </c>
      <c r="L300" s="72" t="s">
        <v>65</v>
      </c>
      <c r="M300" s="73" t="s">
        <v>66</v>
      </c>
      <c r="N300" s="73" t="s">
        <v>67</v>
      </c>
      <c r="O300" s="74" t="s">
        <v>68</v>
      </c>
      <c r="P300" s="73" t="s">
        <v>69</v>
      </c>
      <c r="Q300" s="73" t="s">
        <v>70</v>
      </c>
    </row>
    <row r="301" spans="4:19">
      <c r="K301" s="61" t="s">
        <v>125</v>
      </c>
      <c r="L301" s="67">
        <v>515311487</v>
      </c>
      <c r="M301" s="88">
        <v>515933442</v>
      </c>
      <c r="N301" s="46">
        <f>M301-L301</f>
        <v>621955</v>
      </c>
      <c r="O301" s="46">
        <f>N301*$P$297</f>
        <v>1274662.2194444442</v>
      </c>
      <c r="P301" s="46">
        <v>1275000</v>
      </c>
      <c r="Q301" s="77">
        <f>O301-P301</f>
        <v>-337.78055555582978</v>
      </c>
      <c r="R301" s="3" t="s">
        <v>126</v>
      </c>
    </row>
    <row r="302" spans="4:19">
      <c r="H302" t="s">
        <v>127</v>
      </c>
      <c r="K302" s="61" t="s">
        <v>128</v>
      </c>
      <c r="L302" s="67">
        <v>516344815</v>
      </c>
      <c r="M302" s="46">
        <v>516977136</v>
      </c>
      <c r="N302" s="46">
        <f>M302-L302</f>
        <v>632321</v>
      </c>
      <c r="O302" s="46">
        <f>N302*$P$297</f>
        <v>1295906.7605555553</v>
      </c>
      <c r="P302" s="46">
        <v>1296250</v>
      </c>
      <c r="Q302" s="77">
        <f>O302-P302</f>
        <v>-343.23944444465451</v>
      </c>
    </row>
    <row r="303" spans="4:19">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c r="H305">
        <f>87-17</f>
        <v>70</v>
      </c>
      <c r="I305" s="3">
        <f>H305*3</f>
        <v>210</v>
      </c>
      <c r="K305" s="3"/>
    </row>
    <row r="306" spans="8:17">
      <c r="J306" s="3" t="s">
        <v>138</v>
      </c>
      <c r="K306" t="s">
        <v>139</v>
      </c>
    </row>
    <row r="307" spans="8:17">
      <c r="H307">
        <f>65+56+70</f>
        <v>191</v>
      </c>
      <c r="K307" s="54" t="s">
        <v>140</v>
      </c>
      <c r="L307" s="55"/>
      <c r="M307" s="55"/>
      <c r="N307" s="56"/>
    </row>
    <row r="308" spans="8:17">
      <c r="H308">
        <f>H307-83</f>
        <v>108</v>
      </c>
      <c r="K308" s="73" t="s">
        <v>64</v>
      </c>
      <c r="L308" s="72" t="s">
        <v>65</v>
      </c>
      <c r="M308" s="73" t="s">
        <v>66</v>
      </c>
      <c r="N308" s="73" t="s">
        <v>67</v>
      </c>
      <c r="O308" s="74" t="s">
        <v>68</v>
      </c>
      <c r="P308" s="73" t="s">
        <v>69</v>
      </c>
      <c r="Q308" s="73" t="s">
        <v>70</v>
      </c>
    </row>
    <row r="309" spans="8:17">
      <c r="K309" s="61" t="s">
        <v>141</v>
      </c>
      <c r="L309" s="67">
        <v>520026692</v>
      </c>
      <c r="M309" s="46">
        <v>522344352</v>
      </c>
      <c r="N309" s="46">
        <f>M309-L309</f>
        <v>2317660</v>
      </c>
      <c r="O309" s="46">
        <f>N309*$P$297</f>
        <v>4749915.4111111108</v>
      </c>
      <c r="P309" s="46">
        <v>4750000</v>
      </c>
      <c r="Q309" s="77">
        <f>O309-P309</f>
        <v>-84.588888889178634</v>
      </c>
    </row>
    <row r="310" spans="8:17">
      <c r="H310" t="s">
        <v>142</v>
      </c>
      <c r="K310" s="61" t="s">
        <v>143</v>
      </c>
      <c r="L310" s="67">
        <v>522344353</v>
      </c>
      <c r="M310" s="46">
        <v>523991112</v>
      </c>
      <c r="N310" s="46">
        <f>M310-L310</f>
        <v>1646759</v>
      </c>
      <c r="O310" s="46">
        <f>N310*$P$297</f>
        <v>3374941.0838888884</v>
      </c>
      <c r="P310" s="46">
        <v>3375000</v>
      </c>
      <c r="Q310" s="77">
        <f>O310-P310</f>
        <v>-58.91611111164093</v>
      </c>
    </row>
    <row r="311" spans="8:17">
      <c r="H311" t="s">
        <v>144</v>
      </c>
      <c r="I311" s="3" t="s">
        <v>145</v>
      </c>
      <c r="J311" s="3">
        <f>87-16</f>
        <v>71</v>
      </c>
      <c r="K311" s="61"/>
      <c r="L311" s="67"/>
      <c r="M311" s="46"/>
      <c r="N311" s="46">
        <f>M311-L311</f>
        <v>0</v>
      </c>
      <c r="O311" s="46">
        <f>N311*$P$297</f>
        <v>0</v>
      </c>
      <c r="P311" s="46"/>
      <c r="Q311" s="77">
        <f>O311-P311</f>
        <v>0</v>
      </c>
    </row>
    <row r="312" spans="8:17">
      <c r="J312" s="3" t="s">
        <v>146</v>
      </c>
      <c r="K312" s="84"/>
      <c r="L312" s="90"/>
      <c r="M312" s="86"/>
      <c r="N312" s="86">
        <f>M312-L312</f>
        <v>0</v>
      </c>
      <c r="O312" s="86">
        <f>N312*$P$297</f>
        <v>0</v>
      </c>
      <c r="P312" s="86"/>
      <c r="Q312" s="87">
        <f>O312-P312</f>
        <v>0</v>
      </c>
    </row>
    <row r="313" spans="8:17">
      <c r="H313" t="s">
        <v>147</v>
      </c>
      <c r="I313" s="3" t="s">
        <v>148</v>
      </c>
      <c r="J313" s="3">
        <f>92-17</f>
        <v>75</v>
      </c>
      <c r="K313" s="46" t="s">
        <v>146</v>
      </c>
    </row>
    <row r="315" spans="8:17">
      <c r="H315">
        <f>750/3</f>
        <v>250</v>
      </c>
      <c r="I315" s="3">
        <f>83+167</f>
        <v>250</v>
      </c>
      <c r="K315" s="54" t="s">
        <v>149</v>
      </c>
      <c r="L315" s="55"/>
      <c r="M315" s="55"/>
      <c r="N315" s="56"/>
    </row>
    <row r="316" spans="8:17">
      <c r="H316" t="s">
        <v>150</v>
      </c>
      <c r="K316" s="73" t="s">
        <v>64</v>
      </c>
      <c r="L316" s="72" t="s">
        <v>65</v>
      </c>
      <c r="M316" s="73" t="s">
        <v>66</v>
      </c>
      <c r="N316" s="73" t="s">
        <v>67</v>
      </c>
      <c r="O316" s="74" t="s">
        <v>68</v>
      </c>
      <c r="P316" s="73" t="s">
        <v>69</v>
      </c>
      <c r="Q316" s="73" t="s">
        <v>70</v>
      </c>
    </row>
    <row r="317" spans="8:17">
      <c r="H317" t="s">
        <v>151</v>
      </c>
      <c r="K317" s="61" t="s">
        <v>152</v>
      </c>
      <c r="L317" s="67">
        <v>523991113</v>
      </c>
      <c r="M317" s="46">
        <v>525820844</v>
      </c>
      <c r="N317" s="46">
        <f>M317-L317</f>
        <v>1829731</v>
      </c>
      <c r="O317" s="46">
        <f>N317*$P$297</f>
        <v>3749932.0327777774</v>
      </c>
      <c r="P317" s="46">
        <v>3750000</v>
      </c>
      <c r="Q317" s="77">
        <f>O317-P317</f>
        <v>-67.967222222592682</v>
      </c>
    </row>
    <row r="318" spans="8:17">
      <c r="K318" s="61"/>
      <c r="L318" s="67"/>
      <c r="M318" s="46"/>
      <c r="N318" s="46"/>
      <c r="O318" s="46"/>
      <c r="P318" s="46"/>
      <c r="Q318" s="77"/>
    </row>
    <row r="319" spans="8:17">
      <c r="K319" s="61"/>
      <c r="L319" s="67"/>
      <c r="M319" s="46"/>
      <c r="N319" s="46">
        <f>M319-L319</f>
        <v>0</v>
      </c>
      <c r="O319" s="46">
        <f>N319*$P$297</f>
        <v>0</v>
      </c>
      <c r="P319" s="46"/>
      <c r="Q319" s="77">
        <f>O319-P319</f>
        <v>0</v>
      </c>
    </row>
    <row r="320" spans="8:17">
      <c r="K320" s="84"/>
      <c r="L320" s="90"/>
      <c r="M320" s="86"/>
      <c r="N320" s="86">
        <f>M320-L320</f>
        <v>0</v>
      </c>
      <c r="O320" s="86">
        <f>N320*$P$297</f>
        <v>0</v>
      </c>
      <c r="P320" s="86"/>
      <c r="Q320" s="87">
        <f>O320-P320</f>
        <v>0</v>
      </c>
    </row>
    <row r="321" spans="1:21">
      <c r="E321" s="83" t="s">
        <v>96</v>
      </c>
      <c r="F321" s="83">
        <v>539153622</v>
      </c>
      <c r="G321" s="81" t="s">
        <v>130</v>
      </c>
    </row>
    <row r="322" spans="1:21">
      <c r="A322" t="s">
        <v>153</v>
      </c>
      <c r="K322" s="54" t="s">
        <v>154</v>
      </c>
      <c r="L322" s="55"/>
      <c r="M322" s="55"/>
      <c r="N322" s="56"/>
    </row>
    <row r="323" spans="1:21">
      <c r="A323" t="s">
        <v>155</v>
      </c>
      <c r="I323" s="3">
        <f>I324-86400</f>
        <v>527142358</v>
      </c>
      <c r="K323" s="73" t="s">
        <v>64</v>
      </c>
      <c r="L323" s="72" t="s">
        <v>65</v>
      </c>
      <c r="M323" s="73" t="s">
        <v>66</v>
      </c>
      <c r="N323" s="73" t="s">
        <v>67</v>
      </c>
      <c r="O323" s="74" t="s">
        <v>68</v>
      </c>
      <c r="P323" s="73" t="s">
        <v>69</v>
      </c>
      <c r="Q323" s="73" t="s">
        <v>70</v>
      </c>
    </row>
    <row r="324" spans="1:21">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c r="K331" s="84"/>
      <c r="L331" s="90"/>
      <c r="M331" s="86"/>
      <c r="N331" s="86">
        <f t="shared" si="7"/>
        <v>0</v>
      </c>
      <c r="O331" s="86">
        <f t="shared" si="8"/>
        <v>0</v>
      </c>
      <c r="P331" s="86"/>
      <c r="Q331" s="87">
        <f t="shared" si="9"/>
        <v>0</v>
      </c>
    </row>
    <row r="332" spans="1:21">
      <c r="G332">
        <v>23064</v>
      </c>
      <c r="H332" s="92" t="s">
        <v>169</v>
      </c>
      <c r="I332" s="92">
        <v>540332516</v>
      </c>
      <c r="K332" t="s">
        <v>170</v>
      </c>
      <c r="P332" s="3">
        <v>1.579</v>
      </c>
      <c r="Q332" s="93" t="s">
        <v>21</v>
      </c>
      <c r="S332" s="3" t="s">
        <v>171</v>
      </c>
    </row>
    <row r="333" spans="1:21">
      <c r="G333">
        <v>23064</v>
      </c>
      <c r="H333" s="94" t="s">
        <v>167</v>
      </c>
      <c r="I333" s="3">
        <v>540726186</v>
      </c>
      <c r="K333" s="54" t="s">
        <v>172</v>
      </c>
      <c r="L333" s="55"/>
      <c r="M333" s="55"/>
      <c r="N333" s="56"/>
      <c r="P333" s="95">
        <f>P332*1000000/8</f>
        <v>197375</v>
      </c>
      <c r="Q333" s="93" t="s">
        <v>173</v>
      </c>
      <c r="S333" s="3" t="s">
        <v>174</v>
      </c>
    </row>
    <row r="334" spans="1:21">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c r="F340" s="83">
        <v>544176296</v>
      </c>
      <c r="G340">
        <v>23107</v>
      </c>
      <c r="H340" s="92" t="s">
        <v>187</v>
      </c>
      <c r="I340" s="92">
        <v>544176296</v>
      </c>
      <c r="K340" s="61"/>
      <c r="L340" s="67" t="s">
        <v>188</v>
      </c>
      <c r="M340" s="46"/>
      <c r="N340" s="46"/>
      <c r="O340" s="46"/>
      <c r="Q340" s="5"/>
      <c r="R340" s="46"/>
      <c r="S340" s="77"/>
    </row>
    <row r="341" spans="6:24">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c r="K350" s="61"/>
      <c r="L350" s="104"/>
      <c r="M350" s="67"/>
      <c r="N350" s="104"/>
      <c r="O350" s="46"/>
      <c r="Q350" s="97">
        <f>SUM(Q335:Q348)</f>
        <v>23446876.931403015</v>
      </c>
      <c r="R350" s="46" t="s">
        <v>192</v>
      </c>
      <c r="S350" s="105"/>
      <c r="X350" t="s">
        <v>193</v>
      </c>
    </row>
    <row r="351" spans="6:24">
      <c r="K351" s="84"/>
      <c r="L351" s="90"/>
      <c r="M351" s="86"/>
      <c r="N351" s="115"/>
      <c r="O351" s="86"/>
      <c r="Q351" s="5"/>
      <c r="R351" s="86"/>
      <c r="S351" s="87"/>
    </row>
    <row r="352" spans="6:24">
      <c r="I352" s="116">
        <v>546985916</v>
      </c>
      <c r="N352" s="3">
        <f>P352*1000000/8</f>
        <v>3.3827750000000001</v>
      </c>
      <c r="O352" s="3" t="s">
        <v>194</v>
      </c>
      <c r="P352" s="3">
        <v>2.70622E-5</v>
      </c>
      <c r="Q352" t="s">
        <v>195</v>
      </c>
      <c r="X352" t="s">
        <v>196</v>
      </c>
    </row>
    <row r="353" spans="7:24">
      <c r="G353">
        <v>23135</v>
      </c>
      <c r="H353" s="3" t="s">
        <v>197</v>
      </c>
      <c r="I353" s="117">
        <v>546986022</v>
      </c>
      <c r="K353" t="s">
        <v>170</v>
      </c>
      <c r="P353" s="3">
        <v>1.579</v>
      </c>
      <c r="Q353" s="93" t="s">
        <v>198</v>
      </c>
      <c r="S353" s="3" t="s">
        <v>171</v>
      </c>
      <c r="X353" t="s">
        <v>199</v>
      </c>
    </row>
    <row r="354" spans="7:24">
      <c r="G354">
        <v>23135</v>
      </c>
      <c r="H354" s="92" t="s">
        <v>200</v>
      </c>
      <c r="I354" s="92">
        <v>547017116</v>
      </c>
      <c r="J354" s="3" t="s">
        <v>201</v>
      </c>
      <c r="K354" s="54" t="s">
        <v>202</v>
      </c>
      <c r="L354" s="55"/>
      <c r="M354" s="55"/>
      <c r="N354" s="56"/>
      <c r="P354" s="95">
        <f>P353*1000000/8</f>
        <v>197375</v>
      </c>
      <c r="Q354" s="93" t="s">
        <v>203</v>
      </c>
      <c r="S354" s="3" t="s">
        <v>174</v>
      </c>
    </row>
    <row r="355" spans="7:24">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c r="K364" s="61"/>
      <c r="L364" s="62"/>
      <c r="M364" s="62" t="s">
        <v>221</v>
      </c>
      <c r="N364" s="104"/>
      <c r="O364" s="46"/>
      <c r="Q364" s="97" t="s">
        <v>222</v>
      </c>
      <c r="R364" s="46" t="s">
        <v>223</v>
      </c>
      <c r="S364" s="105"/>
      <c r="V364" s="102" t="s">
        <v>62</v>
      </c>
      <c r="W364" s="103">
        <v>2.70622E-5</v>
      </c>
    </row>
    <row r="365" spans="7:24">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c r="J368" s="125"/>
      <c r="K368" s="61"/>
      <c r="L368" s="46"/>
      <c r="M368" s="46"/>
      <c r="N368" s="104"/>
      <c r="O368" s="104"/>
      <c r="Q368" s="97"/>
      <c r="R368" s="46"/>
      <c r="S368" s="105"/>
    </row>
    <row r="369" spans="4:21">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c r="K371" s="61"/>
      <c r="L371" s="104"/>
      <c r="M371" s="67"/>
      <c r="N371" s="104"/>
      <c r="O371" s="46"/>
      <c r="Q371" s="97"/>
      <c r="R371" s="46"/>
      <c r="S371" s="105"/>
    </row>
    <row r="372" spans="4:21">
      <c r="K372" s="84"/>
      <c r="L372" s="90"/>
      <c r="M372" s="86"/>
      <c r="N372" s="115"/>
      <c r="O372" s="86"/>
      <c r="Q372" s="5"/>
      <c r="R372" s="86"/>
      <c r="S372" s="87"/>
    </row>
    <row r="374" spans="4:21">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c r="K379" s="61"/>
      <c r="L379" s="62"/>
      <c r="M379" s="62" t="s">
        <v>221</v>
      </c>
      <c r="N379" s="104"/>
      <c r="O379" s="46"/>
      <c r="Q379" s="97" t="s">
        <v>222</v>
      </c>
      <c r="R379" s="46" t="s">
        <v>223</v>
      </c>
      <c r="S379" s="105"/>
    </row>
    <row r="380" spans="4:21">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c r="D388" s="17" t="s">
        <v>250</v>
      </c>
      <c r="E388" s="126" t="s">
        <v>251</v>
      </c>
      <c r="F388" s="126">
        <v>554710197</v>
      </c>
      <c r="G388" s="126" t="s">
        <v>252</v>
      </c>
      <c r="H388" s="126">
        <v>555916739</v>
      </c>
      <c r="O388" s="3" t="s">
        <v>253</v>
      </c>
      <c r="P388" s="3">
        <f>P389*3600*24</f>
        <v>2.3381740799999999</v>
      </c>
      <c r="Q388">
        <f>P388/8</f>
        <v>0.29227175999999999</v>
      </c>
      <c r="R388" s="3" t="s">
        <v>254</v>
      </c>
    </row>
    <row r="389" spans="4:25">
      <c r="D389" s="3" t="s">
        <v>240</v>
      </c>
      <c r="E389" s="129" t="s">
        <v>255</v>
      </c>
      <c r="F389" s="129">
        <v>554758722</v>
      </c>
      <c r="G389" t="s">
        <v>242</v>
      </c>
      <c r="M389" t="s">
        <v>256</v>
      </c>
      <c r="P389" s="3">
        <v>2.70622E-5</v>
      </c>
      <c r="Q389" t="s">
        <v>195</v>
      </c>
      <c r="R389" s="134" t="s">
        <v>60</v>
      </c>
      <c r="S389" s="135">
        <f>S390/8</f>
        <v>3.3827750000000001</v>
      </c>
      <c r="U389" s="136" t="s">
        <v>257</v>
      </c>
    </row>
    <row r="390" spans="4:25">
      <c r="D390" s="3" t="s">
        <v>244</v>
      </c>
      <c r="E390" s="129" t="s">
        <v>258</v>
      </c>
      <c r="F390" s="129">
        <v>555001616</v>
      </c>
      <c r="G390" t="s">
        <v>246</v>
      </c>
      <c r="M390" s="5" t="s">
        <v>259</v>
      </c>
      <c r="P390" s="3">
        <v>1.579</v>
      </c>
      <c r="Q390" s="93" t="s">
        <v>198</v>
      </c>
      <c r="R390" s="137" t="s">
        <v>59</v>
      </c>
      <c r="S390" s="138">
        <f>S391*1000000</f>
        <v>27.062200000000001</v>
      </c>
      <c r="U390" s="136" t="s">
        <v>260</v>
      </c>
    </row>
    <row r="391" spans="4:2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c r="D413" s="17" t="s">
        <v>345</v>
      </c>
      <c r="E413" s="155" t="s">
        <v>346</v>
      </c>
      <c r="F413" s="155">
        <v>565408554</v>
      </c>
      <c r="M413" s="3" t="s">
        <v>347</v>
      </c>
      <c r="Q413" s="5">
        <f>Q409+Q422</f>
        <v>2411656.1316501247</v>
      </c>
      <c r="T413" s="144"/>
    </row>
    <row r="414" spans="2:27">
      <c r="D414" s="17" t="s">
        <v>348</v>
      </c>
      <c r="E414" s="155" t="s">
        <v>349</v>
      </c>
      <c r="F414" s="155">
        <v>565810227</v>
      </c>
      <c r="J414" s="17"/>
    </row>
    <row r="415" spans="2:27">
      <c r="D415" s="17" t="s">
        <v>350</v>
      </c>
      <c r="E415" s="156" t="s">
        <v>351</v>
      </c>
      <c r="F415" s="156">
        <v>566065227</v>
      </c>
      <c r="T415" s="144"/>
    </row>
    <row r="416" spans="2:27">
      <c r="O416" s="3" t="s">
        <v>253</v>
      </c>
      <c r="P416" s="3">
        <f>P417*3600*24</f>
        <v>2.3381740799999999</v>
      </c>
      <c r="Q416">
        <f>P416/8</f>
        <v>0.29227175999999999</v>
      </c>
      <c r="R416" s="3" t="s">
        <v>254</v>
      </c>
    </row>
    <row r="417" spans="1:23">
      <c r="J417" s="17"/>
      <c r="M417" t="s">
        <v>256</v>
      </c>
      <c r="P417" s="3">
        <v>2.70622E-5</v>
      </c>
      <c r="Q417" t="s">
        <v>195</v>
      </c>
      <c r="R417" s="134" t="s">
        <v>60</v>
      </c>
      <c r="S417" s="135">
        <f>S418/8</f>
        <v>3.3827750000000001</v>
      </c>
    </row>
    <row r="418" spans="1:23">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c r="J419" s="17"/>
      <c r="K419" s="54" t="s">
        <v>354</v>
      </c>
      <c r="L419" s="55"/>
      <c r="M419" s="55"/>
      <c r="N419" s="56"/>
      <c r="P419" s="95">
        <f>P418*1000000/8</f>
        <v>197375</v>
      </c>
      <c r="Q419" s="93" t="s">
        <v>203</v>
      </c>
      <c r="R419" s="139" t="s">
        <v>62</v>
      </c>
      <c r="S419" s="140">
        <v>2.70622E-5</v>
      </c>
      <c r="T419" s="5" t="s">
        <v>21</v>
      </c>
      <c r="V419" s="3" t="s">
        <v>173</v>
      </c>
      <c r="W419" s="3" t="s">
        <v>21</v>
      </c>
    </row>
    <row r="420" spans="1:23">
      <c r="K420" s="73" t="s">
        <v>64</v>
      </c>
      <c r="L420" s="72" t="s">
        <v>65</v>
      </c>
      <c r="M420" s="73" t="s">
        <v>66</v>
      </c>
      <c r="N420" s="73" t="s">
        <v>67</v>
      </c>
      <c r="O420" s="74" t="s">
        <v>68</v>
      </c>
      <c r="P420" s="3" t="s">
        <v>176</v>
      </c>
      <c r="Q420" s="74" t="s">
        <v>265</v>
      </c>
      <c r="R420" s="73" t="s">
        <v>266</v>
      </c>
      <c r="S420" s="73" t="s">
        <v>70</v>
      </c>
      <c r="V420" s="3">
        <v>1000000</v>
      </c>
      <c r="W420" s="3">
        <f>V420*8/1000000</f>
        <v>8</v>
      </c>
    </row>
    <row r="421" spans="1:23">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c r="K437" s="61"/>
      <c r="L437" s="104"/>
      <c r="M437" s="104"/>
      <c r="N437" s="104"/>
      <c r="O437" s="104"/>
      <c r="Q437" s="97"/>
      <c r="R437" s="104"/>
      <c r="S437" s="105"/>
    </row>
    <row r="438" spans="3:23">
      <c r="K438" s="84"/>
      <c r="L438" s="90"/>
      <c r="M438" s="86"/>
      <c r="N438" s="115"/>
      <c r="O438" s="86"/>
      <c r="P438" s="184"/>
      <c r="Q438" s="185"/>
      <c r="R438" s="86"/>
      <c r="S438" s="87"/>
    </row>
    <row r="441" spans="3:23">
      <c r="U441" s="180"/>
    </row>
    <row r="442" spans="3:23">
      <c r="D442" s="186" t="s">
        <v>423</v>
      </c>
      <c r="E442" s="186">
        <v>502464343</v>
      </c>
      <c r="N442" s="187" t="s">
        <v>424</v>
      </c>
      <c r="O442" s="3" t="s">
        <v>253</v>
      </c>
      <c r="P442" s="3">
        <f>P443*3600*24</f>
        <v>2.3381740799999999</v>
      </c>
      <c r="Q442">
        <f>P442/8</f>
        <v>0.29227175999999999</v>
      </c>
      <c r="R442" s="3" t="s">
        <v>254</v>
      </c>
      <c r="V442">
        <f>13/2.3</f>
        <v>5.6521739130434785</v>
      </c>
    </row>
    <row r="443" spans="3:23">
      <c r="D443" s="186" t="s">
        <v>425</v>
      </c>
      <c r="E443" s="186">
        <v>539990228</v>
      </c>
      <c r="J443" s="17"/>
      <c r="M443" t="s">
        <v>256</v>
      </c>
      <c r="P443" s="3">
        <v>2.70622E-5</v>
      </c>
      <c r="Q443" t="s">
        <v>195</v>
      </c>
      <c r="R443" s="134" t="s">
        <v>60</v>
      </c>
      <c r="S443" s="135">
        <f>S444/8</f>
        <v>3.3827750000000001</v>
      </c>
    </row>
    <row r="444" spans="3:23">
      <c r="D444" s="186" t="s">
        <v>426</v>
      </c>
      <c r="E444" s="188">
        <v>534923175</v>
      </c>
      <c r="I444" s="3">
        <f>G444*S445</f>
        <v>0</v>
      </c>
      <c r="M444" s="5" t="s">
        <v>259</v>
      </c>
      <c r="P444" s="3">
        <v>1.579</v>
      </c>
      <c r="Q444" s="93" t="s">
        <v>198</v>
      </c>
      <c r="R444" s="137" t="s">
        <v>59</v>
      </c>
      <c r="S444" s="138">
        <f>S445*1000000</f>
        <v>27.062200000000001</v>
      </c>
    </row>
    <row r="445" spans="3:23">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c r="K446" s="73" t="s">
        <v>64</v>
      </c>
      <c r="L446" s="72" t="s">
        <v>65</v>
      </c>
      <c r="M446" s="73" t="s">
        <v>66</v>
      </c>
      <c r="N446" s="73" t="s">
        <v>67</v>
      </c>
      <c r="O446" s="74" t="s">
        <v>68</v>
      </c>
      <c r="P446" s="3" t="s">
        <v>176</v>
      </c>
      <c r="Q446" s="74" t="s">
        <v>265</v>
      </c>
      <c r="R446" s="73" t="s">
        <v>266</v>
      </c>
      <c r="S446" s="73" t="s">
        <v>70</v>
      </c>
      <c r="V446" s="3">
        <v>1000000</v>
      </c>
      <c r="W446" s="3">
        <f>V446*8/1000000</f>
        <v>8</v>
      </c>
    </row>
    <row r="447" spans="3:23">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c r="U460" s="180"/>
    </row>
    <row r="461" spans="4:21">
      <c r="N461" s="187" t="s">
        <v>424</v>
      </c>
      <c r="O461" s="3" t="s">
        <v>253</v>
      </c>
      <c r="P461" s="3">
        <f>P462*3600*24</f>
        <v>2.3381740799999999</v>
      </c>
      <c r="Q461">
        <f>P461/8</f>
        <v>0.29227175999999999</v>
      </c>
      <c r="R461" s="3" t="s">
        <v>254</v>
      </c>
    </row>
    <row r="462" spans="4:21">
      <c r="D462" s="126" t="s">
        <v>457</v>
      </c>
      <c r="E462" s="126">
        <v>565852617</v>
      </c>
      <c r="F462" t="s">
        <v>458</v>
      </c>
      <c r="J462" s="17"/>
      <c r="M462" t="s">
        <v>256</v>
      </c>
      <c r="P462" s="3">
        <v>2.70622E-5</v>
      </c>
      <c r="Q462" t="s">
        <v>195</v>
      </c>
      <c r="R462" s="134" t="s">
        <v>60</v>
      </c>
      <c r="S462" s="135">
        <f>S463/8</f>
        <v>3.3827750000000001</v>
      </c>
    </row>
    <row r="463" spans="4:21">
      <c r="D463" s="126" t="s">
        <v>459</v>
      </c>
      <c r="E463" s="126">
        <v>567592559</v>
      </c>
      <c r="F463" t="s">
        <v>460</v>
      </c>
      <c r="I463" s="3">
        <f>G463*S464</f>
        <v>0</v>
      </c>
      <c r="M463" s="5" t="s">
        <v>259</v>
      </c>
      <c r="P463" s="3">
        <v>1.579</v>
      </c>
      <c r="Q463" s="93" t="s">
        <v>198</v>
      </c>
      <c r="R463" s="137" t="s">
        <v>59</v>
      </c>
      <c r="S463" s="138">
        <f>S464*1000000</f>
        <v>27.062200000000001</v>
      </c>
    </row>
    <row r="464" spans="4:21">
      <c r="E464" s="3"/>
      <c r="J464" s="17"/>
      <c r="K464" s="54" t="s">
        <v>461</v>
      </c>
      <c r="L464" s="55"/>
      <c r="M464" s="55"/>
      <c r="N464" s="56"/>
      <c r="P464" s="95">
        <f>P463*1000000/8</f>
        <v>197375</v>
      </c>
      <c r="Q464" s="93" t="s">
        <v>203</v>
      </c>
      <c r="R464" s="139" t="s">
        <v>62</v>
      </c>
      <c r="S464" s="140">
        <v>2.70622E-5</v>
      </c>
      <c r="T464" s="5" t="s">
        <v>21</v>
      </c>
    </row>
    <row r="465" spans="4:22">
      <c r="E465" s="3"/>
      <c r="K465" s="73" t="s">
        <v>64</v>
      </c>
      <c r="L465" s="72" t="s">
        <v>65</v>
      </c>
      <c r="M465" s="73" t="s">
        <v>66</v>
      </c>
      <c r="N465" s="73" t="s">
        <v>67</v>
      </c>
      <c r="O465" s="74" t="s">
        <v>68</v>
      </c>
      <c r="P465" s="3" t="s">
        <v>176</v>
      </c>
      <c r="Q465" s="74" t="s">
        <v>265</v>
      </c>
      <c r="R465" s="73" t="s">
        <v>266</v>
      </c>
      <c r="S465" s="73" t="s">
        <v>70</v>
      </c>
    </row>
    <row r="466" spans="4:22">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c r="D476" s="129" t="s">
        <v>495</v>
      </c>
      <c r="E476" s="129">
        <v>570471176</v>
      </c>
      <c r="F476" t="s">
        <v>244</v>
      </c>
    </row>
    <row r="479" spans="4:22">
      <c r="N479" s="187" t="s">
        <v>424</v>
      </c>
      <c r="O479" s="3" t="s">
        <v>253</v>
      </c>
      <c r="P479" s="3">
        <f>P480*3600*24</f>
        <v>2.3381740799999999</v>
      </c>
      <c r="Q479">
        <f>P479/8</f>
        <v>0.29227175999999999</v>
      </c>
      <c r="R479" s="3" t="s">
        <v>254</v>
      </c>
    </row>
    <row r="480" spans="4:22">
      <c r="M480" t="s">
        <v>256</v>
      </c>
      <c r="P480" s="3">
        <v>2.70622E-5</v>
      </c>
      <c r="Q480" t="s">
        <v>195</v>
      </c>
      <c r="R480" s="134" t="s">
        <v>60</v>
      </c>
      <c r="S480" s="135">
        <f>S481/8</f>
        <v>3.3827750000000001</v>
      </c>
    </row>
    <row r="481" spans="7:24">
      <c r="M481" s="5" t="s">
        <v>259</v>
      </c>
      <c r="P481" s="3">
        <v>1.579</v>
      </c>
      <c r="Q481" s="93" t="s">
        <v>198</v>
      </c>
      <c r="R481" s="137" t="s">
        <v>59</v>
      </c>
      <c r="S481" s="138">
        <f>S482*1000000</f>
        <v>27.062200000000001</v>
      </c>
    </row>
    <row r="482" spans="7:24">
      <c r="K482" s="54" t="s">
        <v>496</v>
      </c>
      <c r="L482" s="55"/>
      <c r="M482" s="55"/>
      <c r="N482" s="56"/>
      <c r="P482" s="95">
        <f>P481*1000000/8</f>
        <v>197375</v>
      </c>
      <c r="Q482" s="93" t="s">
        <v>203</v>
      </c>
      <c r="R482" s="139" t="s">
        <v>62</v>
      </c>
      <c r="S482" s="140">
        <v>2.70622E-5</v>
      </c>
      <c r="T482" s="5" t="s">
        <v>21</v>
      </c>
    </row>
    <row r="483" spans="7:24">
      <c r="K483" s="73" t="s">
        <v>64</v>
      </c>
      <c r="L483" s="72" t="s">
        <v>65</v>
      </c>
      <c r="M483" s="73" t="s">
        <v>66</v>
      </c>
      <c r="N483" s="73" t="s">
        <v>67</v>
      </c>
      <c r="O483" s="74" t="s">
        <v>68</v>
      </c>
      <c r="P483" s="3" t="s">
        <v>176</v>
      </c>
      <c r="Q483" s="74" t="s">
        <v>265</v>
      </c>
      <c r="R483" s="73" t="s">
        <v>266</v>
      </c>
      <c r="S483" s="73" t="s">
        <v>70</v>
      </c>
      <c r="U483" t="s">
        <v>497</v>
      </c>
    </row>
    <row r="484" spans="7:24">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c r="L495">
        <f>P479*1000000/8</f>
        <v>292271.76</v>
      </c>
      <c r="M495" t="s">
        <v>529</v>
      </c>
      <c r="Q495" s="3">
        <f>48*3600</f>
        <v>172800</v>
      </c>
      <c r="R495" t="s">
        <v>530</v>
      </c>
      <c r="T495" s="5" t="s">
        <v>531</v>
      </c>
      <c r="U495">
        <f>(9/48)*13</f>
        <v>2.4375</v>
      </c>
    </row>
    <row r="496" spans="7:24">
      <c r="Q496" s="3">
        <f>Q495/3600</f>
        <v>48</v>
      </c>
      <c r="R496" t="s">
        <v>532</v>
      </c>
    </row>
    <row r="497" spans="8:24">
      <c r="Q497" s="97"/>
      <c r="R497"/>
      <c r="S497" s="3">
        <f>10*1000000/8</f>
        <v>1250000</v>
      </c>
      <c r="T497" s="5">
        <f>S497/Q494</f>
        <v>132923.07692307694</v>
      </c>
      <c r="U497">
        <f>T497/3600</f>
        <v>36.923076923076927</v>
      </c>
    </row>
    <row r="498" spans="8:24">
      <c r="K498" s="93" t="s">
        <v>533</v>
      </c>
      <c r="W498">
        <v>47</v>
      </c>
    </row>
    <row r="499" spans="8:24">
      <c r="K499" s="93" t="s">
        <v>534</v>
      </c>
      <c r="R499" s="97"/>
    </row>
    <row r="500" spans="8:24">
      <c r="K500" s="93" t="s">
        <v>535</v>
      </c>
    </row>
    <row r="501" spans="8:24">
      <c r="K501" s="93" t="s">
        <v>536</v>
      </c>
    </row>
    <row r="502" spans="8:24">
      <c r="K502" s="93" t="s">
        <v>537</v>
      </c>
    </row>
    <row r="507" spans="8:24">
      <c r="N507" s="187" t="s">
        <v>424</v>
      </c>
      <c r="O507" s="3" t="s">
        <v>253</v>
      </c>
      <c r="P507" s="3">
        <f>P508*3600*24</f>
        <v>2.3381740799999999</v>
      </c>
      <c r="Q507">
        <f>P507/8</f>
        <v>0.29227175999999999</v>
      </c>
      <c r="R507" s="3" t="s">
        <v>254</v>
      </c>
    </row>
    <row r="508" spans="8:24">
      <c r="M508" t="s">
        <v>256</v>
      </c>
      <c r="P508" s="3">
        <v>2.70622E-5</v>
      </c>
      <c r="Q508" t="s">
        <v>195</v>
      </c>
      <c r="R508" s="134" t="s">
        <v>60</v>
      </c>
      <c r="S508" s="135">
        <f>S509/8</f>
        <v>3.3827750000000001</v>
      </c>
    </row>
    <row r="509" spans="8:24">
      <c r="M509" s="5" t="s">
        <v>259</v>
      </c>
      <c r="P509" s="3">
        <v>1.579</v>
      </c>
      <c r="Q509" s="93" t="s">
        <v>198</v>
      </c>
      <c r="R509" s="137" t="s">
        <v>59</v>
      </c>
      <c r="S509" s="138">
        <f>S510*1000000</f>
        <v>27.062200000000001</v>
      </c>
    </row>
    <row r="510" spans="8:24">
      <c r="H510">
        <f>2.3381741*14</f>
        <v>32.734437399999997</v>
      </c>
      <c r="K510" s="54" t="s">
        <v>538</v>
      </c>
      <c r="L510" s="55"/>
      <c r="M510" s="55"/>
      <c r="N510" s="56"/>
      <c r="P510" s="95">
        <f>P509*1000000/8</f>
        <v>197375</v>
      </c>
      <c r="Q510" s="93" t="s">
        <v>203</v>
      </c>
      <c r="R510" s="139" t="s">
        <v>62</v>
      </c>
      <c r="S510" s="140">
        <v>2.70622E-5</v>
      </c>
      <c r="T510" s="5" t="s">
        <v>21</v>
      </c>
    </row>
    <row r="511" spans="8:24">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c r="Q518" s="3"/>
      <c r="R518"/>
    </row>
    <row r="519" spans="8:24">
      <c r="Q519" s="3"/>
      <c r="R519"/>
    </row>
    <row r="520" spans="8:24">
      <c r="Q520" s="3"/>
      <c r="R520"/>
    </row>
    <row r="521" spans="8:24">
      <c r="N521" s="187" t="s">
        <v>424</v>
      </c>
      <c r="O521" s="3" t="s">
        <v>253</v>
      </c>
      <c r="P521" s="3">
        <f>P522*3600*24</f>
        <v>2.3381740799999999</v>
      </c>
      <c r="Q521">
        <f>P521/8</f>
        <v>0.29227175999999999</v>
      </c>
      <c r="R521" s="3" t="s">
        <v>254</v>
      </c>
    </row>
    <row r="522" spans="8:24">
      <c r="M522" t="s">
        <v>256</v>
      </c>
      <c r="P522" s="3">
        <v>2.70622E-5</v>
      </c>
      <c r="Q522" t="s">
        <v>195</v>
      </c>
      <c r="R522" s="134" t="s">
        <v>60</v>
      </c>
      <c r="S522" s="135">
        <f>S523/8</f>
        <v>3.3827750000000001</v>
      </c>
    </row>
    <row r="523" spans="8:24">
      <c r="M523" s="5" t="s">
        <v>259</v>
      </c>
      <c r="P523" s="3">
        <v>1.579</v>
      </c>
      <c r="Q523" s="93" t="s">
        <v>198</v>
      </c>
      <c r="R523" s="137" t="s">
        <v>59</v>
      </c>
      <c r="S523" s="138">
        <f>S524*1000000</f>
        <v>27.062200000000001</v>
      </c>
    </row>
    <row r="524" spans="8:24">
      <c r="K524" s="54" t="s">
        <v>556</v>
      </c>
      <c r="L524" s="55"/>
      <c r="M524" s="55"/>
      <c r="N524" s="56"/>
      <c r="P524" s="95">
        <f>P523*1000000/8</f>
        <v>197375</v>
      </c>
      <c r="Q524" s="93" t="s">
        <v>203</v>
      </c>
      <c r="R524" s="139" t="s">
        <v>62</v>
      </c>
      <c r="S524" s="140">
        <v>2.70622E-5</v>
      </c>
      <c r="T524" s="5" t="s">
        <v>21</v>
      </c>
    </row>
    <row r="525" spans="8:24">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c r="Q535" s="3"/>
      <c r="R535"/>
    </row>
    <row r="536" spans="8:24">
      <c r="N536" s="187" t="s">
        <v>424</v>
      </c>
      <c r="O536" s="3" t="s">
        <v>253</v>
      </c>
      <c r="P536" s="3">
        <f>P537*3600*24</f>
        <v>2.3381740799999999</v>
      </c>
      <c r="Q536">
        <f>P536/8</f>
        <v>0.29227175999999999</v>
      </c>
      <c r="R536" s="3" t="s">
        <v>254</v>
      </c>
    </row>
    <row r="537" spans="8:24">
      <c r="M537" t="s">
        <v>256</v>
      </c>
      <c r="P537" s="3">
        <v>2.70622E-5</v>
      </c>
      <c r="Q537" t="s">
        <v>195</v>
      </c>
      <c r="R537" s="134" t="s">
        <v>60</v>
      </c>
      <c r="S537" s="135">
        <f>S538/8</f>
        <v>3.3827750000000001</v>
      </c>
    </row>
    <row r="538" spans="8:24">
      <c r="M538" s="5" t="s">
        <v>259</v>
      </c>
      <c r="P538" s="3">
        <v>1.579</v>
      </c>
      <c r="Q538" s="93" t="s">
        <v>198</v>
      </c>
      <c r="R538" s="137" t="s">
        <v>59</v>
      </c>
      <c r="S538" s="138">
        <f>S539*1000000</f>
        <v>27.062200000000001</v>
      </c>
    </row>
    <row r="539" spans="8:24">
      <c r="K539" s="59">
        <v>24120</v>
      </c>
      <c r="L539" s="55"/>
      <c r="M539" s="55"/>
      <c r="N539" s="56"/>
      <c r="P539" s="95">
        <f>P538*1000000/8</f>
        <v>197375</v>
      </c>
      <c r="Q539" s="93" t="s">
        <v>203</v>
      </c>
      <c r="R539" s="139" t="s">
        <v>62</v>
      </c>
      <c r="S539" s="140">
        <v>2.70622E-5</v>
      </c>
      <c r="T539" s="5" t="s">
        <v>21</v>
      </c>
    </row>
    <row r="540" spans="8:24">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c r="Q549" s="3"/>
      <c r="R549"/>
    </row>
    <row r="550" spans="9:24">
      <c r="N550" s="187" t="s">
        <v>424</v>
      </c>
      <c r="O550" s="3" t="s">
        <v>253</v>
      </c>
      <c r="P550" s="3">
        <f>P551*3600*24</f>
        <v>2.3381740799999999</v>
      </c>
      <c r="Q550">
        <f>P550/8</f>
        <v>0.29227175999999999</v>
      </c>
      <c r="R550" s="3" t="s">
        <v>254</v>
      </c>
    </row>
    <row r="551" spans="9:24">
      <c r="M551" t="s">
        <v>256</v>
      </c>
      <c r="P551" s="3">
        <v>2.70622E-5</v>
      </c>
      <c r="Q551" t="s">
        <v>195</v>
      </c>
      <c r="R551" s="134" t="s">
        <v>60</v>
      </c>
      <c r="S551" s="135">
        <f>S552/8</f>
        <v>3.3827750000000001</v>
      </c>
    </row>
    <row r="552" spans="9:24">
      <c r="M552" s="5" t="s">
        <v>259</v>
      </c>
      <c r="P552" s="3">
        <v>1.579</v>
      </c>
      <c r="Q552" s="93" t="s">
        <v>198</v>
      </c>
      <c r="R552" s="137" t="s">
        <v>59</v>
      </c>
      <c r="S552" s="138">
        <f>S553*1000000</f>
        <v>27.062200000000001</v>
      </c>
    </row>
    <row r="553" spans="9:24">
      <c r="K553" s="59">
        <v>24141</v>
      </c>
      <c r="L553" s="55"/>
      <c r="M553" s="55"/>
      <c r="N553" s="56"/>
      <c r="P553" s="95">
        <f>P552*1000000/8</f>
        <v>197375</v>
      </c>
      <c r="Q553" s="93" t="s">
        <v>203</v>
      </c>
      <c r="R553" s="139" t="s">
        <v>62</v>
      </c>
      <c r="S553" s="140">
        <v>2.70622E-5</v>
      </c>
      <c r="T553" s="5" t="s">
        <v>21</v>
      </c>
    </row>
    <row r="554" spans="9:24">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c r="H562" s="3"/>
      <c r="M562" s="187" t="s">
        <v>424</v>
      </c>
      <c r="N562" s="3" t="s">
        <v>253</v>
      </c>
      <c r="O562" s="3">
        <f>O563*3600*24</f>
        <v>2.3381740799999999</v>
      </c>
      <c r="P562">
        <f>O562/8</f>
        <v>0.29227175999999999</v>
      </c>
      <c r="Q562" s="3" t="s">
        <v>254</v>
      </c>
      <c r="S562" s="5"/>
    </row>
    <row r="563" spans="8:23">
      <c r="H563" s="3"/>
      <c r="L563" t="s">
        <v>256</v>
      </c>
      <c r="N563" s="3"/>
      <c r="O563" s="3">
        <v>2.70622E-5</v>
      </c>
      <c r="P563" t="s">
        <v>195</v>
      </c>
      <c r="Q563" s="134" t="s">
        <v>60</v>
      </c>
      <c r="R563" s="135">
        <f>R564/8</f>
        <v>3.3827750000000001</v>
      </c>
      <c r="S563" s="5"/>
    </row>
    <row r="564" spans="8:23">
      <c r="H564" s="3"/>
      <c r="L564" s="5" t="s">
        <v>259</v>
      </c>
      <c r="N564" s="3"/>
      <c r="O564" s="3">
        <v>1.579</v>
      </c>
      <c r="P564" s="93" t="s">
        <v>198</v>
      </c>
      <c r="Q564" s="137" t="s">
        <v>59</v>
      </c>
      <c r="R564" s="138">
        <f>R565*1000000</f>
        <v>27.062200000000001</v>
      </c>
      <c r="S564" s="5"/>
    </row>
    <row r="565" spans="8:23">
      <c r="H565" s="3"/>
      <c r="J565" s="207" t="s">
        <v>605</v>
      </c>
      <c r="K565" s="55"/>
      <c r="L565" s="55"/>
      <c r="M565" s="56"/>
      <c r="N565" s="3"/>
      <c r="O565" s="95">
        <f>O564*1000000/8</f>
        <v>197375</v>
      </c>
      <c r="P565" s="93" t="s">
        <v>203</v>
      </c>
      <c r="Q565" s="139" t="s">
        <v>62</v>
      </c>
      <c r="R565" s="140">
        <v>2.70622E-5</v>
      </c>
      <c r="S565" s="5" t="s">
        <v>21</v>
      </c>
    </row>
    <row r="566" spans="8:23">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c r="H572" s="3"/>
      <c r="M572" s="4"/>
      <c r="N572" s="3"/>
      <c r="P572"/>
      <c r="Q572" s="3"/>
      <c r="S572" s="5"/>
    </row>
    <row r="575" spans="8:23">
      <c r="H575" s="3"/>
      <c r="M575" s="4"/>
      <c r="N575" s="3"/>
      <c r="P575"/>
      <c r="Q575" s="3"/>
      <c r="S575" s="5"/>
    </row>
    <row r="576" spans="8:23">
      <c r="H576" s="3"/>
      <c r="M576" s="4"/>
      <c r="N576" s="3"/>
      <c r="S576" s="5"/>
    </row>
    <row r="577" spans="8:24">
      <c r="H577" s="3"/>
      <c r="M577" s="187" t="s">
        <v>424</v>
      </c>
      <c r="N577" s="3" t="s">
        <v>253</v>
      </c>
      <c r="O577" s="3">
        <f>O578*3600*24</f>
        <v>2.3381740799999999</v>
      </c>
      <c r="P577">
        <f>O577/8</f>
        <v>0.29227175999999999</v>
      </c>
      <c r="Q577" s="3" t="s">
        <v>254</v>
      </c>
      <c r="S577" s="5"/>
    </row>
    <row r="578" spans="8:24">
      <c r="H578" s="3"/>
      <c r="L578" t="s">
        <v>256</v>
      </c>
      <c r="N578" s="3"/>
      <c r="O578" s="3">
        <v>2.70622E-5</v>
      </c>
      <c r="P578" t="s">
        <v>195</v>
      </c>
      <c r="Q578" s="134" t="s">
        <v>60</v>
      </c>
      <c r="R578" s="135">
        <f>R579/8</f>
        <v>3.3827750000000001</v>
      </c>
      <c r="S578" s="5"/>
    </row>
    <row r="579" spans="8:24">
      <c r="H579" s="3"/>
      <c r="L579" s="5" t="s">
        <v>259</v>
      </c>
      <c r="N579" s="3"/>
      <c r="O579" s="3">
        <v>1.579</v>
      </c>
      <c r="P579" s="93" t="s">
        <v>198</v>
      </c>
      <c r="Q579" s="137" t="s">
        <v>59</v>
      </c>
      <c r="R579" s="138">
        <f>R580*1000000</f>
        <v>27.062200000000001</v>
      </c>
      <c r="S579" s="5"/>
    </row>
    <row r="580" spans="8:24">
      <c r="H580" s="3"/>
      <c r="J580" s="59">
        <v>24162</v>
      </c>
      <c r="K580" s="55"/>
      <c r="L580" s="55"/>
      <c r="M580" s="56"/>
      <c r="N580" s="3"/>
      <c r="O580" s="95">
        <f>O579*1000000/8</f>
        <v>197375</v>
      </c>
      <c r="P580" s="93" t="s">
        <v>203</v>
      </c>
      <c r="Q580" s="139" t="s">
        <v>62</v>
      </c>
      <c r="R580" s="140">
        <v>2.70622E-5</v>
      </c>
      <c r="S580" s="5" t="s">
        <v>21</v>
      </c>
    </row>
    <row r="581" spans="8:24">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c r="H587" s="3"/>
      <c r="M587" s="4"/>
      <c r="N587" s="3"/>
      <c r="P587"/>
      <c r="Q587" s="3"/>
      <c r="S587" s="5"/>
    </row>
    <row r="589" spans="8:24">
      <c r="H589" s="3"/>
      <c r="M589" s="4"/>
      <c r="N589" s="3"/>
      <c r="S589" s="5"/>
    </row>
    <row r="590" spans="8:24">
      <c r="H590" s="3"/>
      <c r="M590" s="187" t="s">
        <v>424</v>
      </c>
      <c r="N590" s="3" t="s">
        <v>253</v>
      </c>
      <c r="O590" s="3">
        <f>O591*3600*24</f>
        <v>2.3381740799999999</v>
      </c>
      <c r="P590">
        <f>O590/8</f>
        <v>0.29227175999999999</v>
      </c>
      <c r="Q590" s="3" t="s">
        <v>254</v>
      </c>
      <c r="S590" s="5"/>
    </row>
    <row r="591" spans="8:24">
      <c r="H591" s="3"/>
      <c r="L591" t="s">
        <v>256</v>
      </c>
      <c r="N591" s="3"/>
      <c r="O591" s="3">
        <v>2.70622E-5</v>
      </c>
      <c r="P591" t="s">
        <v>195</v>
      </c>
      <c r="Q591" s="134" t="s">
        <v>60</v>
      </c>
      <c r="R591" s="135">
        <f>R592/8</f>
        <v>3.3827750000000001</v>
      </c>
      <c r="S591" s="5"/>
    </row>
    <row r="592" spans="8:24">
      <c r="H592" s="3"/>
      <c r="L592" s="5" t="s">
        <v>259</v>
      </c>
      <c r="N592" s="3"/>
      <c r="O592" s="3">
        <v>1.579</v>
      </c>
      <c r="P592" s="93" t="s">
        <v>198</v>
      </c>
      <c r="Q592" s="137" t="s">
        <v>59</v>
      </c>
      <c r="R592" s="138">
        <f>R593*1000000</f>
        <v>27.062200000000001</v>
      </c>
      <c r="S592" s="5"/>
    </row>
    <row r="593" spans="4:25">
      <c r="H593" s="3"/>
      <c r="J593" s="59">
        <v>24183</v>
      </c>
      <c r="K593" s="55"/>
      <c r="L593" s="55"/>
      <c r="M593" s="56"/>
      <c r="N593" s="3"/>
      <c r="O593" s="95">
        <f>O592*1000000/8</f>
        <v>197375</v>
      </c>
      <c r="P593" s="93" t="s">
        <v>203</v>
      </c>
      <c r="Q593" s="139" t="s">
        <v>62</v>
      </c>
      <c r="R593" s="140">
        <v>2.70622E-5</v>
      </c>
      <c r="S593" s="5" t="s">
        <v>21</v>
      </c>
    </row>
    <row r="594" spans="4:2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c r="H601" s="3"/>
      <c r="M601" s="4"/>
      <c r="N601" s="3"/>
      <c r="S601" s="5"/>
    </row>
    <row r="602" spans="4:25">
      <c r="H602" s="3"/>
      <c r="M602" s="187" t="s">
        <v>424</v>
      </c>
      <c r="N602" s="3" t="s">
        <v>253</v>
      </c>
      <c r="O602" s="3">
        <f>O603*3600*24</f>
        <v>2.3381740799999999</v>
      </c>
      <c r="P602">
        <f>O602/8</f>
        <v>0.29227175999999999</v>
      </c>
      <c r="Q602" s="3" t="s">
        <v>254</v>
      </c>
      <c r="S602" s="5"/>
    </row>
    <row r="603" spans="4:25">
      <c r="H603" s="3"/>
      <c r="L603" t="s">
        <v>256</v>
      </c>
      <c r="N603" s="3"/>
      <c r="O603" s="3">
        <v>2.70622E-5</v>
      </c>
      <c r="P603" t="s">
        <v>195</v>
      </c>
      <c r="Q603" s="134" t="s">
        <v>60</v>
      </c>
      <c r="R603" s="135">
        <f>R604/8</f>
        <v>3.3827750000000001</v>
      </c>
      <c r="S603" s="5"/>
    </row>
    <row r="604" spans="4:25">
      <c r="H604" s="3"/>
      <c r="L604" s="5" t="s">
        <v>259</v>
      </c>
      <c r="N604" s="3"/>
      <c r="O604" s="3">
        <v>1.579</v>
      </c>
      <c r="P604" s="93" t="s">
        <v>198</v>
      </c>
      <c r="Q604" s="137" t="s">
        <v>59</v>
      </c>
      <c r="R604" s="138">
        <f>R605*1000000</f>
        <v>27.062200000000001</v>
      </c>
      <c r="S604" s="5"/>
    </row>
    <row r="605" spans="4:25">
      <c r="D605"/>
      <c r="H605" s="3"/>
      <c r="J605" s="59">
        <v>24204</v>
      </c>
      <c r="K605" s="55"/>
      <c r="L605" s="55"/>
      <c r="M605" s="56"/>
      <c r="N605" s="3"/>
      <c r="O605" s="95">
        <f>O604*1000000/8</f>
        <v>197375</v>
      </c>
      <c r="P605" s="93" t="s">
        <v>203</v>
      </c>
      <c r="Q605" s="139" t="s">
        <v>62</v>
      </c>
      <c r="R605" s="140">
        <v>2.70622E-5</v>
      </c>
      <c r="S605" s="5" t="s">
        <v>21</v>
      </c>
      <c r="X605" t="s">
        <v>634</v>
      </c>
    </row>
    <row r="606" spans="4:2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c r="L619">
        <f>L617/(3600*24*365)</f>
        <v>18.572570237189243</v>
      </c>
    </row>
    <row r="623" spans="1:25">
      <c r="H623" s="3"/>
      <c r="M623" s="4"/>
      <c r="N623" s="3"/>
      <c r="S623" s="5"/>
    </row>
    <row r="624" spans="1:25">
      <c r="H624" s="3"/>
      <c r="M624" s="187" t="s">
        <v>424</v>
      </c>
      <c r="N624" s="3" t="s">
        <v>253</v>
      </c>
      <c r="O624" s="3">
        <f>O625*3600*24</f>
        <v>2.3381740799999999</v>
      </c>
      <c r="P624">
        <f>O624/8</f>
        <v>0.29227175999999999</v>
      </c>
      <c r="Q624" s="3" t="s">
        <v>254</v>
      </c>
      <c r="S624" s="5"/>
    </row>
    <row r="625" spans="8:25">
      <c r="H625" s="3"/>
      <c r="L625" t="s">
        <v>256</v>
      </c>
      <c r="N625" s="3"/>
      <c r="O625" s="3">
        <v>2.70622E-5</v>
      </c>
      <c r="P625" t="s">
        <v>195</v>
      </c>
      <c r="Q625" s="134" t="s">
        <v>60</v>
      </c>
      <c r="R625" s="135">
        <f>R626/8</f>
        <v>3.3827750000000001</v>
      </c>
      <c r="S625" s="5"/>
    </row>
    <row r="626" spans="8:25">
      <c r="H626" s="3"/>
      <c r="L626" s="5" t="s">
        <v>259</v>
      </c>
      <c r="N626" s="3"/>
      <c r="O626" s="3">
        <v>1.579</v>
      </c>
      <c r="P626" s="93" t="s">
        <v>198</v>
      </c>
      <c r="Q626" s="137" t="s">
        <v>59</v>
      </c>
      <c r="R626" s="138">
        <f>R627*1000000</f>
        <v>27.062200000000001</v>
      </c>
      <c r="S626" s="5"/>
    </row>
    <row r="627" spans="8:25">
      <c r="H627" s="3"/>
      <c r="J627" s="59">
        <v>24225</v>
      </c>
      <c r="K627" s="55"/>
      <c r="L627" s="55"/>
      <c r="M627" s="56"/>
      <c r="N627" s="3"/>
      <c r="O627" s="95">
        <f>O626*1000000/8</f>
        <v>197375</v>
      </c>
      <c r="P627" s="93" t="s">
        <v>203</v>
      </c>
      <c r="Q627" s="139" t="s">
        <v>62</v>
      </c>
      <c r="R627" s="140">
        <v>2.70622E-5</v>
      </c>
      <c r="S627" s="5" t="s">
        <v>21</v>
      </c>
      <c r="X627" t="s">
        <v>634</v>
      </c>
    </row>
    <row r="628" spans="8:2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c r="H636" s="3"/>
      <c r="M636" s="4"/>
      <c r="N636" s="3"/>
      <c r="S636" s="5"/>
    </row>
    <row r="637" spans="8:25">
      <c r="H637" s="3"/>
      <c r="M637" s="187" t="s">
        <v>424</v>
      </c>
      <c r="N637" s="3" t="s">
        <v>253</v>
      </c>
      <c r="O637" s="3">
        <f>O638*3600*24</f>
        <v>2.3381740799999999</v>
      </c>
      <c r="P637">
        <f>O637/8</f>
        <v>0.29227175999999999</v>
      </c>
      <c r="Q637" s="3" t="s">
        <v>254</v>
      </c>
      <c r="S637" s="5"/>
    </row>
    <row r="638" spans="8:25">
      <c r="H638" s="3"/>
      <c r="L638" t="s">
        <v>256</v>
      </c>
      <c r="N638" s="3"/>
      <c r="O638" s="3">
        <v>2.70622E-5</v>
      </c>
      <c r="P638" t="s">
        <v>195</v>
      </c>
      <c r="Q638" s="134" t="s">
        <v>60</v>
      </c>
      <c r="R638" s="135">
        <f>R639/8</f>
        <v>3.3827750000000001</v>
      </c>
      <c r="S638" s="5"/>
    </row>
    <row r="639" spans="8:25">
      <c r="H639" s="3"/>
      <c r="L639" s="5" t="s">
        <v>259</v>
      </c>
      <c r="N639" s="3"/>
      <c r="O639" s="3">
        <v>1.579</v>
      </c>
      <c r="P639" s="93" t="s">
        <v>198</v>
      </c>
      <c r="Q639" s="137" t="s">
        <v>59</v>
      </c>
      <c r="R639" s="138">
        <f>R640*1000000</f>
        <v>27.062200000000001</v>
      </c>
      <c r="S639" s="5"/>
    </row>
    <row r="640" spans="8:25">
      <c r="H640" s="3"/>
      <c r="J640" s="59">
        <v>24246</v>
      </c>
      <c r="K640" s="55"/>
      <c r="L640" s="55"/>
      <c r="M640" s="56"/>
      <c r="N640" s="3"/>
      <c r="O640" s="95">
        <f>O639*1000000/8</f>
        <v>197375</v>
      </c>
      <c r="P640" s="93" t="s">
        <v>203</v>
      </c>
      <c r="Q640" s="139" t="s">
        <v>62</v>
      </c>
      <c r="R640" s="140">
        <v>2.70622E-5</v>
      </c>
      <c r="S640" s="5" t="s">
        <v>21</v>
      </c>
      <c r="X640" t="s">
        <v>634</v>
      </c>
    </row>
    <row r="641" spans="6:2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c r="I649" t="s">
        <v>723</v>
      </c>
    </row>
    <row r="650" spans="6:25">
      <c r="I650" t="s">
        <v>724</v>
      </c>
    </row>
    <row r="652" spans="6:25">
      <c r="H652" s="3"/>
      <c r="M652" s="4"/>
      <c r="N652" s="3"/>
      <c r="S652" s="5"/>
    </row>
    <row r="653" spans="6:25">
      <c r="G653" t="s">
        <v>161</v>
      </c>
      <c r="H653" s="3"/>
      <c r="M653" s="187" t="s">
        <v>424</v>
      </c>
      <c r="N653" s="3" t="s">
        <v>253</v>
      </c>
      <c r="O653" s="3">
        <f>O654*3600*24</f>
        <v>2.3381740799999999</v>
      </c>
      <c r="P653">
        <f>O653/8</f>
        <v>0.29227175999999999</v>
      </c>
      <c r="Q653" s="3" t="s">
        <v>254</v>
      </c>
      <c r="S653" s="5"/>
    </row>
    <row r="654" spans="6:25">
      <c r="H654" s="3"/>
      <c r="L654" t="s">
        <v>256</v>
      </c>
      <c r="N654" s="3"/>
      <c r="O654" s="3">
        <v>2.70622E-5</v>
      </c>
      <c r="P654" t="s">
        <v>195</v>
      </c>
      <c r="Q654" s="134" t="s">
        <v>60</v>
      </c>
      <c r="R654" s="135">
        <f>R655/8</f>
        <v>3.3827750000000001</v>
      </c>
      <c r="S654" s="5"/>
    </row>
    <row r="655" spans="6:25">
      <c r="H655" s="3"/>
      <c r="L655" s="5" t="s">
        <v>259</v>
      </c>
      <c r="N655" s="3"/>
      <c r="O655" s="3">
        <v>1.579</v>
      </c>
      <c r="P655" s="93" t="s">
        <v>198</v>
      </c>
      <c r="Q655" s="137" t="s">
        <v>59</v>
      </c>
      <c r="R655" s="138">
        <f>R656*1000000</f>
        <v>27.062200000000001</v>
      </c>
      <c r="S655" s="5"/>
    </row>
    <row r="656" spans="6:25">
      <c r="H656" s="3"/>
      <c r="J656" s="59">
        <v>24267</v>
      </c>
      <c r="K656" s="55"/>
      <c r="L656" s="55"/>
      <c r="M656" s="56"/>
      <c r="N656" s="3"/>
      <c r="O656" s="95">
        <f>O655*1000000/8</f>
        <v>197375</v>
      </c>
      <c r="P656" s="93" t="s">
        <v>203</v>
      </c>
      <c r="Q656" s="139" t="s">
        <v>62</v>
      </c>
      <c r="R656" s="140">
        <v>2.70622E-5</v>
      </c>
      <c r="S656" s="5" t="s">
        <v>21</v>
      </c>
      <c r="X656" t="s">
        <v>634</v>
      </c>
    </row>
    <row r="657" spans="7:2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c r="G664" s="3" t="s">
        <v>741</v>
      </c>
      <c r="J664" s="3" t="s">
        <v>742</v>
      </c>
      <c r="L664" s="3" t="s">
        <v>743</v>
      </c>
      <c r="M664" s="3" t="s">
        <v>744</v>
      </c>
      <c r="N664" s="4" t="s">
        <v>745</v>
      </c>
    </row>
    <row r="665" spans="7:25">
      <c r="G665" s="3">
        <v>21</v>
      </c>
      <c r="H665">
        <f>9+18/24</f>
        <v>9.75</v>
      </c>
      <c r="I665" t="s">
        <v>746</v>
      </c>
      <c r="L665" s="3"/>
      <c r="M665" s="3"/>
      <c r="N665" s="4">
        <v>21</v>
      </c>
    </row>
    <row r="666" spans="7:25">
      <c r="G666" s="3"/>
      <c r="H666">
        <v>2.33</v>
      </c>
      <c r="I666" s="3" t="s">
        <v>747</v>
      </c>
      <c r="L666" s="3"/>
      <c r="M666" s="3"/>
    </row>
    <row r="667" spans="7:25">
      <c r="G667" s="3"/>
      <c r="H667">
        <f>H666*H665</f>
        <v>22.717500000000001</v>
      </c>
      <c r="I667"/>
      <c r="L667" s="3"/>
      <c r="M667" s="3"/>
    </row>
    <row r="668" spans="7:25">
      <c r="G668" s="3"/>
      <c r="H668">
        <f>(88.7+83)</f>
        <v>171.7</v>
      </c>
      <c r="I668" s="3" t="s">
        <v>748</v>
      </c>
      <c r="L668" s="3"/>
      <c r="M668" s="3"/>
    </row>
    <row r="669" spans="7:25">
      <c r="G669" s="3">
        <f>$G$665*H669</f>
        <v>12.6</v>
      </c>
      <c r="H669">
        <f>0.6</f>
        <v>0.6</v>
      </c>
      <c r="I669" s="3" t="s">
        <v>749</v>
      </c>
      <c r="J669" s="3">
        <v>6.5</v>
      </c>
      <c r="L669" s="3">
        <v>5.9</v>
      </c>
      <c r="M669" s="3">
        <f>L669*86400/1000000</f>
        <v>0.5097600000000001</v>
      </c>
      <c r="N669" s="4">
        <f>$N$665*M669</f>
        <v>10.704960000000002</v>
      </c>
      <c r="P669" s="3" t="s">
        <v>750</v>
      </c>
    </row>
    <row r="670" spans="7:2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c r="G671" s="3"/>
      <c r="H671">
        <f>H668*(H669+H670)</f>
        <v>377.74</v>
      </c>
      <c r="L671" s="3"/>
      <c r="M671" s="3"/>
    </row>
    <row r="672" spans="7:25">
      <c r="G672" s="3">
        <v>1.6</v>
      </c>
      <c r="H672">
        <v>1.6</v>
      </c>
      <c r="I672" s="3" t="s">
        <v>753</v>
      </c>
      <c r="L672" s="3"/>
      <c r="M672" s="3"/>
      <c r="N672" s="4">
        <v>1.6</v>
      </c>
      <c r="P672" s="3" t="s">
        <v>176</v>
      </c>
    </row>
    <row r="673" spans="7:20">
      <c r="G673" s="3"/>
      <c r="H673">
        <f>H672+H671</f>
        <v>379.34000000000003</v>
      </c>
      <c r="L673" s="3"/>
      <c r="M673" s="3"/>
    </row>
    <row r="674" spans="7:20">
      <c r="G674" s="3">
        <f>$G$665*H674</f>
        <v>29.4</v>
      </c>
      <c r="H674">
        <f>1.4</f>
        <v>1.4</v>
      </c>
      <c r="I674" s="3" t="s">
        <v>754</v>
      </c>
      <c r="J674" s="3">
        <v>16.399999999999999</v>
      </c>
      <c r="L674" s="3">
        <v>19.399999999999999</v>
      </c>
      <c r="M674" s="3">
        <f>L674*86400/1000000</f>
        <v>1.6761599999999999</v>
      </c>
      <c r="N674" s="4">
        <f>$N$665*M674</f>
        <v>35.199359999999999</v>
      </c>
      <c r="P674" s="3" t="s">
        <v>334</v>
      </c>
    </row>
    <row r="675" spans="7:20">
      <c r="H675">
        <f>1.4*H668</f>
        <v>240.37999999999997</v>
      </c>
      <c r="K675" s="3"/>
      <c r="L675" s="3"/>
      <c r="M675" s="3"/>
      <c r="N675" s="214">
        <f>SUM(N669:N674)</f>
        <v>72.180160000000001</v>
      </c>
      <c r="P675" s="145" t="s">
        <v>755</v>
      </c>
    </row>
    <row r="676" spans="7:20">
      <c r="L676" s="3" t="s">
        <v>6</v>
      </c>
      <c r="M676" s="3" t="s">
        <v>756</v>
      </c>
      <c r="N676" s="4" t="s">
        <v>757</v>
      </c>
    </row>
    <row r="677" spans="7:20">
      <c r="H677">
        <f>H675+H671+H672</f>
        <v>619.72</v>
      </c>
    </row>
    <row r="679" spans="7:20">
      <c r="H679">
        <f>620+23+78</f>
        <v>721</v>
      </c>
    </row>
    <row r="682" spans="7:20">
      <c r="I682"/>
      <c r="J682"/>
      <c r="N682"/>
      <c r="O682"/>
      <c r="P682"/>
      <c r="R682"/>
      <c r="S682"/>
      <c r="T682"/>
    </row>
    <row r="683" spans="7:20">
      <c r="I683"/>
      <c r="J683"/>
      <c r="N683"/>
      <c r="O683"/>
      <c r="P683"/>
      <c r="R683"/>
      <c r="S683"/>
      <c r="T683"/>
    </row>
    <row r="684" spans="7:20">
      <c r="I684"/>
      <c r="J684"/>
      <c r="N684"/>
      <c r="O684"/>
      <c r="P684"/>
      <c r="R684"/>
      <c r="S684"/>
      <c r="T684"/>
    </row>
    <row r="685" spans="7:20">
      <c r="I685"/>
      <c r="J685"/>
      <c r="N685"/>
      <c r="O685"/>
      <c r="P685"/>
      <c r="R685"/>
      <c r="S685"/>
      <c r="T685"/>
    </row>
    <row r="686" spans="7:20">
      <c r="I686"/>
      <c r="J686"/>
      <c r="N686"/>
      <c r="O686"/>
      <c r="P686"/>
      <c r="R686"/>
      <c r="S686"/>
      <c r="T686"/>
    </row>
    <row r="687" spans="7:20">
      <c r="I687"/>
      <c r="J687"/>
      <c r="N687"/>
      <c r="O687"/>
      <c r="P687"/>
      <c r="R687"/>
      <c r="S687"/>
      <c r="T687"/>
    </row>
    <row r="688" spans="7:20">
      <c r="I688"/>
      <c r="J688"/>
      <c r="N688"/>
      <c r="O688"/>
      <c r="P688"/>
      <c r="R688"/>
      <c r="S688"/>
      <c r="T688"/>
    </row>
    <row r="689" spans="9:20">
      <c r="I689"/>
      <c r="J689"/>
      <c r="N689"/>
      <c r="O689"/>
      <c r="P689"/>
      <c r="R689"/>
      <c r="S689"/>
      <c r="T689"/>
    </row>
    <row r="690" spans="9:20">
      <c r="I690"/>
      <c r="J690"/>
      <c r="N690"/>
      <c r="O690"/>
      <c r="P690"/>
      <c r="R690"/>
      <c r="S690"/>
      <c r="T690"/>
    </row>
    <row r="691" spans="9:20">
      <c r="I691"/>
      <c r="J691"/>
      <c r="N691"/>
      <c r="O691"/>
      <c r="P691"/>
      <c r="R691"/>
      <c r="S691"/>
      <c r="T691"/>
    </row>
    <row r="692" spans="9:20">
      <c r="I692"/>
      <c r="J692"/>
      <c r="N692"/>
      <c r="O692"/>
      <c r="P692"/>
      <c r="R692"/>
      <c r="S692"/>
      <c r="T692"/>
    </row>
    <row r="693" spans="9:20">
      <c r="I693"/>
      <c r="J693"/>
      <c r="N693"/>
      <c r="O693"/>
      <c r="P693"/>
      <c r="R693"/>
      <c r="S693"/>
      <c r="T693"/>
    </row>
    <row r="694" spans="9:20">
      <c r="I694"/>
      <c r="J694"/>
      <c r="N694"/>
      <c r="O694"/>
      <c r="P694"/>
      <c r="R694"/>
      <c r="S694"/>
      <c r="T694"/>
    </row>
    <row r="695" spans="9:20">
      <c r="I695"/>
      <c r="J695"/>
      <c r="N695"/>
      <c r="O695"/>
      <c r="P695"/>
      <c r="R695"/>
      <c r="S695"/>
      <c r="T695"/>
    </row>
    <row r="696" spans="9:20">
      <c r="I696"/>
      <c r="J696"/>
      <c r="N696"/>
      <c r="O696"/>
      <c r="P696"/>
      <c r="R696"/>
      <c r="S696"/>
      <c r="T696"/>
    </row>
    <row r="697" spans="9:20">
      <c r="I697"/>
      <c r="J697"/>
      <c r="N697"/>
      <c r="O697"/>
      <c r="P697"/>
      <c r="R697"/>
      <c r="S697"/>
      <c r="T697"/>
    </row>
    <row r="698" spans="9:20">
      <c r="I698"/>
      <c r="J698"/>
      <c r="N698"/>
      <c r="O698"/>
      <c r="P698"/>
      <c r="R698"/>
      <c r="S698"/>
      <c r="T698"/>
    </row>
    <row r="699" spans="9:20">
      <c r="I699"/>
      <c r="J699"/>
      <c r="N699"/>
      <c r="O699"/>
      <c r="P699"/>
      <c r="R699"/>
      <c r="S699"/>
      <c r="T699"/>
    </row>
    <row r="700" spans="9:20">
      <c r="I700"/>
      <c r="J700"/>
      <c r="N700"/>
      <c r="O700"/>
      <c r="P700"/>
      <c r="R700"/>
      <c r="S700"/>
      <c r="T700"/>
    </row>
    <row r="701" spans="9:20">
      <c r="I701"/>
      <c r="J701"/>
      <c r="N701"/>
      <c r="O701"/>
      <c r="P701"/>
      <c r="R701"/>
      <c r="S701"/>
      <c r="T701"/>
    </row>
    <row r="702" spans="9:20">
      <c r="I702"/>
      <c r="J702"/>
      <c r="N702"/>
      <c r="O702"/>
      <c r="P702"/>
      <c r="R702"/>
      <c r="S702"/>
      <c r="T702"/>
    </row>
    <row r="703" spans="9:20">
      <c r="I703"/>
      <c r="J703"/>
      <c r="N703"/>
      <c r="O703"/>
      <c r="P703"/>
      <c r="R703"/>
      <c r="S703"/>
      <c r="T703"/>
    </row>
    <row r="704" spans="9:20">
      <c r="I704"/>
      <c r="J704"/>
      <c r="N704"/>
      <c r="O704"/>
      <c r="P704"/>
      <c r="R704"/>
      <c r="S704"/>
      <c r="T704"/>
    </row>
    <row r="705" spans="9:20">
      <c r="I705"/>
      <c r="J705"/>
      <c r="N705"/>
      <c r="O705"/>
      <c r="P705"/>
      <c r="R705"/>
      <c r="S705"/>
      <c r="T705"/>
    </row>
    <row r="706" spans="9:20">
      <c r="I706"/>
      <c r="J706"/>
      <c r="N706"/>
      <c r="O706"/>
      <c r="P706"/>
      <c r="R706"/>
      <c r="S706"/>
      <c r="T706"/>
    </row>
    <row r="707" spans="9:20">
      <c r="I707"/>
      <c r="J707"/>
      <c r="N707"/>
      <c r="O707"/>
      <c r="P707"/>
      <c r="R707"/>
      <c r="S707"/>
      <c r="T707"/>
    </row>
    <row r="708" spans="9:20">
      <c r="I708"/>
      <c r="J708"/>
      <c r="N708"/>
      <c r="O708"/>
      <c r="P708"/>
      <c r="R708"/>
      <c r="S708"/>
      <c r="T708"/>
    </row>
    <row r="709" spans="9:20">
      <c r="I709"/>
      <c r="J709"/>
      <c r="N709"/>
      <c r="O709"/>
      <c r="P709"/>
      <c r="R709"/>
      <c r="S709"/>
      <c r="T709"/>
    </row>
    <row r="710" spans="9:20">
      <c r="I710"/>
      <c r="J710"/>
      <c r="N710"/>
      <c r="O710"/>
      <c r="P710"/>
      <c r="R710"/>
      <c r="S710"/>
      <c r="T710"/>
    </row>
    <row r="711" spans="9:20">
      <c r="I711"/>
      <c r="J711"/>
      <c r="N711"/>
      <c r="O711"/>
      <c r="P711"/>
      <c r="R711"/>
      <c r="S711"/>
      <c r="T711"/>
    </row>
    <row r="712" spans="9:20">
      <c r="I712"/>
      <c r="J712"/>
      <c r="N712"/>
      <c r="O712"/>
      <c r="P712"/>
      <c r="R712"/>
      <c r="S712"/>
      <c r="T712"/>
    </row>
    <row r="713" spans="9:20">
      <c r="I713"/>
      <c r="J713"/>
      <c r="N713"/>
      <c r="O713"/>
      <c r="P713"/>
      <c r="R713"/>
      <c r="S713"/>
      <c r="T713"/>
    </row>
    <row r="714" spans="9:20">
      <c r="I714"/>
      <c r="J714"/>
      <c r="N714"/>
      <c r="O714"/>
      <c r="P714"/>
      <c r="R714"/>
      <c r="S714"/>
      <c r="T714"/>
    </row>
    <row r="715" spans="9:20">
      <c r="I715"/>
      <c r="J715"/>
      <c r="N715"/>
      <c r="O715"/>
      <c r="P715"/>
      <c r="R715"/>
      <c r="S715"/>
      <c r="T715"/>
    </row>
    <row r="716" spans="9:20">
      <c r="I716"/>
      <c r="J716"/>
      <c r="N716"/>
      <c r="O716"/>
      <c r="P716"/>
      <c r="R716"/>
      <c r="S716"/>
      <c r="T716"/>
    </row>
    <row r="717" spans="9:20">
      <c r="I717"/>
      <c r="J717"/>
      <c r="N717"/>
      <c r="O717"/>
      <c r="P717"/>
      <c r="R717"/>
      <c r="S717"/>
      <c r="T717"/>
    </row>
    <row r="718" spans="9:20">
      <c r="I718"/>
      <c r="J718"/>
      <c r="N718"/>
      <c r="O718"/>
      <c r="P718"/>
      <c r="R718"/>
      <c r="S718"/>
      <c r="T718"/>
    </row>
    <row r="719" spans="9:20">
      <c r="I719"/>
      <c r="J719"/>
      <c r="N719"/>
      <c r="O719"/>
      <c r="P719"/>
      <c r="R719"/>
      <c r="S719"/>
      <c r="T719"/>
    </row>
    <row r="720" spans="9:20">
      <c r="I720"/>
      <c r="J720"/>
      <c r="N720"/>
      <c r="O720"/>
      <c r="P720"/>
      <c r="R720"/>
      <c r="S720"/>
      <c r="T720"/>
    </row>
    <row r="721" spans="9:20">
      <c r="I721"/>
      <c r="J721"/>
      <c r="N721"/>
      <c r="O721"/>
      <c r="P721"/>
      <c r="R721"/>
      <c r="S721"/>
      <c r="T721"/>
    </row>
    <row r="722" spans="9:20">
      <c r="I722"/>
      <c r="J722"/>
      <c r="N722"/>
      <c r="O722"/>
      <c r="P722"/>
      <c r="R722"/>
      <c r="S722"/>
      <c r="T722"/>
    </row>
    <row r="723" spans="9:20">
      <c r="I723"/>
      <c r="J723"/>
      <c r="N723"/>
      <c r="O723"/>
      <c r="P723"/>
      <c r="R723"/>
      <c r="S723"/>
      <c r="T723"/>
    </row>
    <row r="724" spans="9:20">
      <c r="I724"/>
      <c r="J724"/>
      <c r="N724"/>
      <c r="O724"/>
      <c r="P724"/>
      <c r="R724"/>
      <c r="S724"/>
      <c r="T724"/>
    </row>
    <row r="725" spans="9:20">
      <c r="I725"/>
      <c r="J725"/>
      <c r="N725"/>
      <c r="O725"/>
      <c r="P725"/>
      <c r="R725"/>
      <c r="S725"/>
      <c r="T725"/>
    </row>
    <row r="726" spans="9:20">
      <c r="I726"/>
      <c r="J726"/>
      <c r="N726"/>
      <c r="O726"/>
      <c r="P726"/>
      <c r="R726"/>
      <c r="S726"/>
      <c r="T726"/>
    </row>
    <row r="727" spans="9:20">
      <c r="I727"/>
      <c r="J727"/>
      <c r="N727"/>
      <c r="O727"/>
      <c r="P727"/>
      <c r="R727"/>
      <c r="S727"/>
      <c r="T727"/>
    </row>
    <row r="728" spans="9:20">
      <c r="I728"/>
      <c r="J728"/>
      <c r="N728"/>
      <c r="O728"/>
      <c r="P728"/>
      <c r="R728"/>
      <c r="S728"/>
      <c r="T728"/>
    </row>
    <row r="729" spans="9:20">
      <c r="I729"/>
      <c r="J729"/>
      <c r="N729"/>
      <c r="O729"/>
      <c r="P729"/>
      <c r="R729"/>
      <c r="S729"/>
      <c r="T729"/>
    </row>
    <row r="730" spans="9:20">
      <c r="I730"/>
      <c r="J730"/>
      <c r="N730"/>
      <c r="O730"/>
      <c r="P730"/>
      <c r="R730"/>
      <c r="S730"/>
      <c r="T730"/>
    </row>
    <row r="731" spans="9:20">
      <c r="I731"/>
      <c r="J731"/>
      <c r="N731"/>
      <c r="O731"/>
      <c r="P731"/>
      <c r="R731"/>
      <c r="S731"/>
      <c r="T731"/>
    </row>
    <row r="732" spans="9:20">
      <c r="I732"/>
      <c r="J732"/>
      <c r="N732"/>
      <c r="O732"/>
      <c r="P732"/>
      <c r="R732"/>
      <c r="S732"/>
      <c r="T732"/>
    </row>
    <row r="733" spans="9:20">
      <c r="I733"/>
      <c r="J733"/>
      <c r="N733"/>
      <c r="O733"/>
      <c r="P733"/>
      <c r="R733"/>
      <c r="S733"/>
      <c r="T733"/>
    </row>
    <row r="734" spans="9:20">
      <c r="I734"/>
      <c r="J734"/>
      <c r="N734"/>
      <c r="O734"/>
      <c r="P734"/>
      <c r="R734"/>
      <c r="S734"/>
      <c r="T734"/>
    </row>
    <row r="735" spans="9:20">
      <c r="I735"/>
      <c r="J735"/>
      <c r="N735"/>
      <c r="O735"/>
      <c r="P735"/>
      <c r="R735"/>
      <c r="S735"/>
      <c r="T735"/>
    </row>
    <row r="736" spans="9:20">
      <c r="I736"/>
      <c r="J736"/>
      <c r="N736"/>
      <c r="O736"/>
      <c r="P736"/>
      <c r="R736"/>
      <c r="S736"/>
      <c r="T736"/>
    </row>
    <row r="737" spans="9:20">
      <c r="I737"/>
      <c r="J737"/>
      <c r="N737"/>
      <c r="O737"/>
      <c r="P737"/>
      <c r="R737"/>
      <c r="S737"/>
      <c r="T737"/>
    </row>
    <row r="738" spans="9:20">
      <c r="I738"/>
      <c r="J738"/>
      <c r="N738"/>
      <c r="O738"/>
      <c r="P738"/>
      <c r="R738"/>
      <c r="S738"/>
      <c r="T738"/>
    </row>
    <row r="739" spans="9:20">
      <c r="I739"/>
      <c r="J739"/>
      <c r="N739"/>
      <c r="O739"/>
      <c r="P739"/>
      <c r="R739"/>
      <c r="S739"/>
      <c r="T739"/>
    </row>
    <row r="740" spans="9:20">
      <c r="I740"/>
      <c r="J740"/>
      <c r="N740"/>
      <c r="O740"/>
      <c r="P740"/>
      <c r="R740"/>
      <c r="S740"/>
      <c r="T740"/>
    </row>
    <row r="741" spans="9:20">
      <c r="I741"/>
      <c r="J741"/>
      <c r="N741"/>
      <c r="O741"/>
      <c r="P741"/>
      <c r="R741"/>
      <c r="S741"/>
      <c r="T741"/>
    </row>
    <row r="742" spans="9:20">
      <c r="I742"/>
      <c r="J742"/>
      <c r="N742"/>
      <c r="O742"/>
      <c r="P742"/>
      <c r="R742"/>
      <c r="S742"/>
      <c r="T742"/>
    </row>
    <row r="743" spans="9:20">
      <c r="I743"/>
      <c r="J743"/>
      <c r="N743"/>
      <c r="O743"/>
      <c r="P743"/>
      <c r="R743"/>
      <c r="S743"/>
      <c r="T743"/>
    </row>
    <row r="744" spans="9:20">
      <c r="I744"/>
      <c r="J744"/>
      <c r="N744"/>
      <c r="O744"/>
      <c r="P744"/>
      <c r="R744"/>
      <c r="S744"/>
      <c r="T744"/>
    </row>
    <row r="745" spans="9:20">
      <c r="I745"/>
      <c r="J745"/>
      <c r="N745"/>
      <c r="O745"/>
      <c r="P745"/>
      <c r="R745"/>
      <c r="S745"/>
      <c r="T745"/>
    </row>
    <row r="746" spans="9:20">
      <c r="I746"/>
      <c r="J746"/>
      <c r="N746"/>
      <c r="O746"/>
      <c r="P746"/>
      <c r="R746"/>
      <c r="S746"/>
      <c r="T746"/>
    </row>
    <row r="747" spans="9:20">
      <c r="I747"/>
      <c r="J747"/>
      <c r="N747"/>
      <c r="O747"/>
      <c r="P747"/>
      <c r="R747"/>
      <c r="S747"/>
      <c r="T747"/>
    </row>
    <row r="748" spans="9:20">
      <c r="I748"/>
      <c r="J748"/>
      <c r="N748"/>
      <c r="O748"/>
      <c r="P748"/>
      <c r="R748"/>
      <c r="S748"/>
      <c r="T748"/>
    </row>
    <row r="749" spans="9:20">
      <c r="I749"/>
      <c r="J749"/>
      <c r="N749"/>
      <c r="O749"/>
      <c r="P749"/>
      <c r="R749"/>
      <c r="S749"/>
      <c r="T749"/>
    </row>
    <row r="750" spans="9:20">
      <c r="I750"/>
      <c r="J750"/>
      <c r="N750"/>
      <c r="O750"/>
      <c r="P750"/>
      <c r="R750"/>
      <c r="S750"/>
      <c r="T750"/>
    </row>
    <row r="751" spans="9:20">
      <c r="I751"/>
      <c r="J751"/>
      <c r="N751"/>
      <c r="O751"/>
      <c r="P751"/>
      <c r="R751"/>
      <c r="S751"/>
      <c r="T751"/>
    </row>
    <row r="752" spans="9:20">
      <c r="I752"/>
      <c r="J752"/>
      <c r="N752"/>
      <c r="O752"/>
      <c r="P752"/>
      <c r="R752"/>
      <c r="S752"/>
      <c r="T752"/>
    </row>
    <row r="753" spans="9:20">
      <c r="I753"/>
      <c r="J753"/>
      <c r="N753"/>
      <c r="O753"/>
      <c r="P753"/>
      <c r="R753"/>
      <c r="S753"/>
      <c r="T753"/>
    </row>
    <row r="754" spans="9:20">
      <c r="I754"/>
      <c r="J754"/>
      <c r="N754"/>
      <c r="O754"/>
      <c r="P754"/>
      <c r="R754"/>
      <c r="S754"/>
      <c r="T754"/>
    </row>
    <row r="755" spans="9:20">
      <c r="I755"/>
      <c r="J755"/>
      <c r="N755"/>
      <c r="O755"/>
      <c r="P755"/>
      <c r="R755"/>
      <c r="S755"/>
      <c r="T755"/>
    </row>
    <row r="756" spans="9:20">
      <c r="I756"/>
      <c r="J756"/>
      <c r="N756"/>
      <c r="O756"/>
      <c r="P756"/>
      <c r="R756"/>
      <c r="S756"/>
      <c r="T756"/>
    </row>
    <row r="757" spans="9:20">
      <c r="I757"/>
      <c r="J757"/>
      <c r="N757"/>
      <c r="O757"/>
      <c r="P757"/>
      <c r="R757"/>
      <c r="S757"/>
      <c r="T757"/>
    </row>
    <row r="758" spans="9:20">
      <c r="I758"/>
      <c r="J758"/>
      <c r="N758"/>
      <c r="O758"/>
      <c r="P758"/>
      <c r="R758"/>
      <c r="S758"/>
      <c r="T758"/>
    </row>
    <row r="759" spans="9:20">
      <c r="I759"/>
      <c r="J759"/>
      <c r="N759"/>
      <c r="O759"/>
      <c r="P759"/>
      <c r="R759"/>
      <c r="S759"/>
      <c r="T759"/>
    </row>
    <row r="760" spans="9:20">
      <c r="I760"/>
      <c r="J760"/>
      <c r="N760"/>
      <c r="O760"/>
      <c r="P760"/>
      <c r="R760"/>
      <c r="S760"/>
      <c r="T760"/>
    </row>
    <row r="1048576" spans="4:4">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5"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4"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3"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2"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1"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0"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9"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8"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7"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workbookViewId="0"/>
  </sheetViews>
  <sheetFormatPr defaultColWidth="11.59765625" defaultRowHeight="13.5" customHeight="1"/>
  <cols>
    <col min="1" max="1" width="32.59765625" customWidth="1"/>
    <col min="2" max="2" width="5" customWidth="1"/>
    <col min="3" max="3" width="4.86328125" customWidth="1"/>
    <col min="4" max="4" width="4.59765625" customWidth="1"/>
    <col min="5" max="5" width="5.265625" customWidth="1"/>
    <col min="6" max="6" width="4.1328125" customWidth="1"/>
    <col min="7" max="8" width="4.3984375" customWidth="1"/>
    <col min="9" max="9" width="4" customWidth="1"/>
    <col min="10" max="10" width="4.59765625" customWidth="1"/>
    <col min="11" max="11" width="5.86328125" customWidth="1"/>
    <col min="13" max="13" width="14.73046875" customWidth="1"/>
    <col min="15" max="15" width="11.73046875" customWidth="1"/>
    <col min="16" max="16" width="15.1328125" customWidth="1"/>
    <col min="20" max="20" width="14.3984375" customWidth="1"/>
    <col min="22" max="22" width="12.86328125" customWidth="1"/>
    <col min="28" max="28" width="15.3984375" customWidth="1"/>
    <col min="31" max="31" width="13.73046875" customWidth="1"/>
    <col min="32" max="32" width="12.59765625" customWidth="1"/>
    <col min="33" max="33" width="19" customWidth="1"/>
    <col min="34" max="34" width="18.73046875" customWidth="1"/>
    <col min="35" max="35" width="17.73046875" customWidth="1"/>
    <col min="36" max="36" width="17.59765625" customWidth="1"/>
    <col min="37" max="37" width="19.59765625" customWidth="1"/>
    <col min="38" max="38" width="20.3984375" customWidth="1"/>
    <col min="39" max="39" width="20.73046875" customWidth="1"/>
    <col min="42" max="42" width="10.86328125" customWidth="1"/>
    <col min="43" max="43" width="14.1328125" customWidth="1"/>
  </cols>
  <sheetData>
    <row r="2" spans="13:33" ht="14.25">
      <c r="M2" t="s">
        <v>758</v>
      </c>
      <c r="N2">
        <v>126</v>
      </c>
      <c r="O2">
        <v>159</v>
      </c>
      <c r="P2">
        <f>O2-N2</f>
        <v>33</v>
      </c>
      <c r="Q2">
        <f>P2*S6</f>
        <v>31.728378000000003</v>
      </c>
    </row>
    <row r="3" spans="13:33" ht="14.25">
      <c r="N3">
        <v>159</v>
      </c>
      <c r="O3">
        <v>181</v>
      </c>
      <c r="P3">
        <f>O3-N3</f>
        <v>22</v>
      </c>
      <c r="Q3">
        <f>P3*X6</f>
        <v>56.201820631579039</v>
      </c>
      <c r="V3">
        <f>4.513307/V10</f>
        <v>0.92947580888228509</v>
      </c>
      <c r="X3">
        <f>25/X6</f>
        <v>9.7861598400063663</v>
      </c>
    </row>
    <row r="4" spans="13:33" ht="14.25">
      <c r="N4">
        <v>181</v>
      </c>
      <c r="O4">
        <v>218</v>
      </c>
      <c r="P4">
        <f>O4-N4</f>
        <v>37</v>
      </c>
      <c r="Q4">
        <f>P4*S6</f>
        <v>35.574241999999998</v>
      </c>
    </row>
    <row r="5" spans="13:33" ht="14.25">
      <c r="Q5">
        <f>Q4+Q3+Q2</f>
        <v>123.50444063157904</v>
      </c>
    </row>
    <row r="6" spans="13:33" ht="14.25">
      <c r="R6" t="s">
        <v>759</v>
      </c>
      <c r="S6" s="3">
        <v>0.96146600000000004</v>
      </c>
      <c r="U6" t="s">
        <v>759</v>
      </c>
      <c r="V6" s="3">
        <f>V9*8*86400/1000000</f>
        <v>2.6403840000000001</v>
      </c>
      <c r="W6" s="3">
        <v>2.546459</v>
      </c>
      <c r="X6">
        <v>2.5546282105263201</v>
      </c>
    </row>
    <row r="7" spans="13:33" ht="14.25">
      <c r="R7" t="s">
        <v>760</v>
      </c>
      <c r="S7" t="s">
        <v>761</v>
      </c>
      <c r="U7" t="s">
        <v>762</v>
      </c>
      <c r="V7" t="s">
        <v>763</v>
      </c>
      <c r="Z7" s="3" t="s">
        <v>764</v>
      </c>
      <c r="AA7" s="3" t="s">
        <v>765</v>
      </c>
      <c r="AB7" s="3" t="s">
        <v>766</v>
      </c>
      <c r="AC7" s="3" t="s">
        <v>767</v>
      </c>
      <c r="AD7" s="3" t="s">
        <v>768</v>
      </c>
      <c r="AE7" s="3" t="s">
        <v>769</v>
      </c>
      <c r="AF7" s="3"/>
    </row>
    <row r="8" spans="13:33" ht="14.2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4.2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4.2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4.2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4.2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4.2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4.2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4.2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4.2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4.2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4.2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4.2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4.25">
      <c r="S20">
        <v>25159</v>
      </c>
      <c r="T20" t="s">
        <v>792</v>
      </c>
      <c r="U20" s="134" t="s">
        <v>785</v>
      </c>
      <c r="V20" s="218">
        <f t="shared" si="0"/>
        <v>52.75</v>
      </c>
      <c r="W20" t="s">
        <v>808</v>
      </c>
      <c r="X20" s="3" t="s">
        <v>794</v>
      </c>
      <c r="Y20" s="217">
        <f t="shared" si="1"/>
        <v>422</v>
      </c>
      <c r="AD20">
        <v>422</v>
      </c>
      <c r="AF20" s="3">
        <f t="shared" si="2"/>
        <v>36.460799999999999</v>
      </c>
    </row>
    <row r="21" spans="11:43" ht="14.2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4.25"/>
    <row r="23" spans="11:43" ht="14.25">
      <c r="U23" s="215" t="s">
        <v>812</v>
      </c>
      <c r="V23" s="135">
        <v>197375</v>
      </c>
      <c r="AB23" s="3"/>
    </row>
    <row r="24" spans="11:43" ht="14.25">
      <c r="P24" s="224" t="s">
        <v>813</v>
      </c>
      <c r="Q24" s="224" t="s">
        <v>814</v>
      </c>
      <c r="R24" s="225">
        <v>606262016</v>
      </c>
      <c r="S24" s="224">
        <v>8</v>
      </c>
      <c r="T24" s="224" t="s">
        <v>373</v>
      </c>
      <c r="U24" s="224" t="s">
        <v>815</v>
      </c>
      <c r="V24" s="224" t="s">
        <v>816</v>
      </c>
      <c r="W24" s="224" t="s">
        <v>817</v>
      </c>
      <c r="X24" s="224" t="s">
        <v>818</v>
      </c>
      <c r="Y24" s="226"/>
      <c r="Z24" s="227"/>
    </row>
    <row r="25" spans="11:43" ht="14.25">
      <c r="O25" s="17" t="s">
        <v>819</v>
      </c>
      <c r="P25" s="224" t="s">
        <v>820</v>
      </c>
      <c r="Q25" s="224" t="s">
        <v>821</v>
      </c>
      <c r="R25" s="225">
        <v>606473516</v>
      </c>
      <c r="S25" s="224">
        <v>7</v>
      </c>
      <c r="T25" s="224" t="s">
        <v>373</v>
      </c>
      <c r="U25" s="224" t="s">
        <v>822</v>
      </c>
      <c r="V25" s="224" t="s">
        <v>816</v>
      </c>
      <c r="W25" s="224" t="s">
        <v>817</v>
      </c>
      <c r="X25" s="224" t="s">
        <v>823</v>
      </c>
      <c r="Y25" s="227"/>
    </row>
    <row r="26" spans="11:43" ht="14.25">
      <c r="P26" s="224" t="s">
        <v>824</v>
      </c>
      <c r="Q26" s="224" t="s">
        <v>825</v>
      </c>
      <c r="R26" s="224">
        <v>606480128</v>
      </c>
      <c r="S26" s="224">
        <v>0</v>
      </c>
      <c r="T26" s="224" t="s">
        <v>826</v>
      </c>
      <c r="U26" s="224" t="s">
        <v>827</v>
      </c>
      <c r="V26" s="224" t="s">
        <v>828</v>
      </c>
      <c r="W26" s="224"/>
      <c r="X26" s="224" t="s">
        <v>829</v>
      </c>
      <c r="Y26" s="227"/>
    </row>
    <row r="27" spans="11:43" ht="14.25">
      <c r="P27">
        <f>R26-R25</f>
        <v>6612</v>
      </c>
      <c r="R27">
        <v>589335049</v>
      </c>
      <c r="S27">
        <v>589362052</v>
      </c>
      <c r="T27">
        <f>S27-R27</f>
        <v>27003</v>
      </c>
      <c r="U27">
        <v>110684</v>
      </c>
      <c r="V27">
        <f>U27/T27</f>
        <v>4.0989519682998186</v>
      </c>
    </row>
    <row r="28" spans="11:43" ht="14.2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4.2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4.2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4.25">
      <c r="M35" s="3"/>
      <c r="N35" s="3"/>
      <c r="P35" s="3"/>
      <c r="T35" s="4"/>
      <c r="U35" s="3"/>
      <c r="V35" s="3"/>
      <c r="X35" s="3"/>
      <c r="Y35" s="3"/>
      <c r="Z35" s="5"/>
      <c r="AB35" s="3" t="s">
        <v>862</v>
      </c>
      <c r="AC35" s="3"/>
      <c r="AD35" s="97"/>
      <c r="AE35" s="97"/>
      <c r="AH35" s="232"/>
      <c r="AI35" s="232"/>
    </row>
    <row r="36" spans="1:44" ht="14.2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4.2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4.25">
      <c r="L42" s="3"/>
      <c r="M42" s="3" t="s">
        <v>893</v>
      </c>
      <c r="N42" s="3"/>
      <c r="O42" s="3"/>
      <c r="Y42">
        <f>SUM(Y31:Y41)</f>
        <v>69.607270999999997</v>
      </c>
      <c r="AB42" s="243">
        <f>AC41+AC34+AC33+AC32+AC31</f>
        <v>16.324089734483657</v>
      </c>
      <c r="AC42" s="3"/>
      <c r="AD42" s="3"/>
      <c r="AG42" s="219"/>
      <c r="AH42" s="219"/>
    </row>
    <row r="43" spans="1:44" ht="14.25">
      <c r="L43" s="3"/>
      <c r="M43" s="3"/>
      <c r="N43" s="3"/>
      <c r="O43" s="3"/>
      <c r="Y43">
        <f>Y41+Y34+Y33+Y31</f>
        <v>32.968162</v>
      </c>
      <c r="Z43" s="239">
        <f>Y39+Y38+Y37</f>
        <v>36.639108999999998</v>
      </c>
      <c r="AB43" t="s">
        <v>894</v>
      </c>
      <c r="AC43" s="3"/>
      <c r="AD43" s="3"/>
      <c r="AG43" s="219"/>
      <c r="AH43" s="219"/>
    </row>
    <row r="44" spans="1:44" ht="14.2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4.25">
      <c r="L45" s="93" t="s">
        <v>899</v>
      </c>
      <c r="M45" s="3"/>
      <c r="N45" s="3"/>
      <c r="O45" s="3"/>
      <c r="AC45" s="3"/>
      <c r="AD45" s="3"/>
      <c r="AG45" s="219"/>
      <c r="AH45" s="219"/>
      <c r="AK45" s="244" t="s">
        <v>900</v>
      </c>
      <c r="AL45" s="244" t="s">
        <v>901</v>
      </c>
      <c r="AM45" s="244">
        <v>3.7</v>
      </c>
      <c r="AN45" s="244">
        <v>3.7</v>
      </c>
      <c r="AO45" s="244">
        <v>-1.73</v>
      </c>
      <c r="AR45" s="3">
        <v>4.07</v>
      </c>
    </row>
    <row r="46" spans="1:44" ht="14.2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4.25">
      <c r="O47" s="3"/>
      <c r="AC47" s="3"/>
      <c r="AD47" s="3"/>
      <c r="AG47" s="219"/>
      <c r="AH47" s="219"/>
      <c r="AK47" s="244" t="s">
        <v>905</v>
      </c>
      <c r="AL47" s="244" t="s">
        <v>906</v>
      </c>
      <c r="AM47" s="244">
        <v>4.42</v>
      </c>
      <c r="AN47" s="244">
        <v>1.46</v>
      </c>
      <c r="AO47" s="244">
        <v>-2.68</v>
      </c>
      <c r="AR47" s="3">
        <v>4.87</v>
      </c>
    </row>
    <row r="48" spans="1:44" ht="14.2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4.25">
      <c r="X49" t="s">
        <v>913</v>
      </c>
      <c r="AC49" s="3"/>
      <c r="AD49" s="3"/>
      <c r="AG49" s="219"/>
      <c r="AH49" s="219"/>
      <c r="AK49" s="245" t="s">
        <v>914</v>
      </c>
      <c r="AL49" s="246" t="s">
        <v>915</v>
      </c>
      <c r="AM49" s="244">
        <v>11.16</v>
      </c>
      <c r="AN49" s="244">
        <v>11.16</v>
      </c>
      <c r="AO49" s="246">
        <v>11.16</v>
      </c>
      <c r="AP49" s="248">
        <f>AP48+AO49</f>
        <v>17.59</v>
      </c>
      <c r="AR49" s="3">
        <v>12.28</v>
      </c>
    </row>
    <row r="50" spans="2:45" ht="14.25">
      <c r="X50" t="s">
        <v>916</v>
      </c>
      <c r="AC50" s="3"/>
      <c r="AD50" s="3"/>
      <c r="AE50" s="3"/>
      <c r="AH50" s="219"/>
      <c r="AI50" s="219"/>
      <c r="AL50" s="244" t="s">
        <v>917</v>
      </c>
      <c r="AM50" s="244" t="s">
        <v>918</v>
      </c>
      <c r="AN50" s="244">
        <v>0</v>
      </c>
      <c r="AO50" s="244">
        <v>0</v>
      </c>
      <c r="AP50" s="249">
        <v>0</v>
      </c>
      <c r="AS50" s="3"/>
    </row>
    <row r="51" spans="2:45" ht="14.2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4.2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4.2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4.2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4.2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4.2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4.2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4.2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4.2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4.2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4.25">
      <c r="Z66" s="238">
        <f>Y56</f>
        <v>41.998000000000005</v>
      </c>
      <c r="AB66" s="243">
        <f>AB65+AB60+AB54</f>
        <v>17.620073652666218</v>
      </c>
      <c r="AC66" s="3"/>
      <c r="AD66" s="3"/>
      <c r="AE66" s="3"/>
      <c r="AH66" s="232"/>
      <c r="AI66" s="232"/>
    </row>
    <row r="67" spans="1:47" ht="14.25">
      <c r="X67" t="s">
        <v>913</v>
      </c>
      <c r="AB67" t="s">
        <v>894</v>
      </c>
      <c r="AC67" s="3"/>
      <c r="AD67" s="3"/>
      <c r="AE67" s="3"/>
      <c r="AH67" s="232"/>
      <c r="AI67" s="232"/>
    </row>
    <row r="68" spans="1:47" ht="14.25">
      <c r="P68" t="s">
        <v>1009</v>
      </c>
      <c r="X68" t="s">
        <v>1010</v>
      </c>
      <c r="AC68" s="3"/>
      <c r="AD68" s="3"/>
      <c r="AE68" s="3"/>
      <c r="AH68" s="232"/>
      <c r="AI68" s="232"/>
    </row>
    <row r="69" spans="1:47" ht="14.2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4.2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4.25">
      <c r="P71" s="59">
        <v>25139</v>
      </c>
      <c r="Q71" s="55"/>
      <c r="R71" s="55"/>
      <c r="S71" s="56"/>
      <c r="T71" s="3"/>
      <c r="U71" s="95"/>
      <c r="V71" s="93"/>
      <c r="W71" s="139"/>
      <c r="X71" s="140"/>
      <c r="AC71" s="3" t="s">
        <v>862</v>
      </c>
      <c r="AD71" s="3"/>
      <c r="AE71" s="3"/>
      <c r="AN71" s="3"/>
    </row>
    <row r="72" spans="1:47" ht="14.2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4.2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4.2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4.25">
      <c r="V82">
        <f>23*0.96</f>
        <v>22.08</v>
      </c>
      <c r="W82">
        <f>86400*V82</f>
        <v>1907711.9999999998</v>
      </c>
      <c r="Z82" s="238">
        <f>Y72</f>
        <v>0</v>
      </c>
      <c r="AB82" s="243">
        <f>AB81+AB76+AB70</f>
        <v>1397840</v>
      </c>
      <c r="AC82" s="3"/>
      <c r="AD82" s="3">
        <f>SUM(AD74:AD81)</f>
        <v>2.1029840000018876</v>
      </c>
      <c r="AE82" s="3"/>
      <c r="AH82" s="232"/>
      <c r="AI82" s="232"/>
    </row>
    <row r="83" spans="1:43" ht="14.25">
      <c r="O83" t="s">
        <v>1068</v>
      </c>
      <c r="Q83" s="3">
        <v>590138632</v>
      </c>
      <c r="Y83" s="3"/>
      <c r="Z83" s="5"/>
      <c r="AA83" s="5"/>
      <c r="AB83" s="5"/>
      <c r="AC83" s="97"/>
      <c r="AD83" s="97"/>
      <c r="AE83" s="97"/>
      <c r="AH83" s="232"/>
      <c r="AI83" s="232"/>
    </row>
    <row r="84" spans="1:43" ht="14.2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4.2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4.2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4.25">
      <c r="AC95" s="3"/>
      <c r="AH95" s="232"/>
      <c r="AI95" s="232"/>
      <c r="AJ95" s="276"/>
      <c r="AK95" s="276"/>
      <c r="AL95" s="276"/>
      <c r="AM95" s="276"/>
      <c r="AN95" s="276"/>
    </row>
    <row r="96" spans="1:43" ht="14.25">
      <c r="AC96" s="3"/>
      <c r="AI96" s="276"/>
      <c r="AJ96" s="276"/>
      <c r="AK96" s="276"/>
      <c r="AL96" s="276"/>
      <c r="AM96" s="276"/>
    </row>
    <row r="97" spans="16:41" ht="14.25">
      <c r="AA97" s="239"/>
      <c r="AC97" s="3"/>
      <c r="AI97" s="276"/>
      <c r="AJ97" s="276"/>
      <c r="AK97" s="276"/>
      <c r="AL97" s="276"/>
      <c r="AM97" s="276"/>
    </row>
    <row r="98" spans="16:41" ht="14.25">
      <c r="AG98" s="276"/>
      <c r="AH98" s="276"/>
      <c r="AI98" s="276"/>
      <c r="AJ98" s="276"/>
      <c r="AK98" s="276"/>
    </row>
    <row r="100" spans="16:41" ht="14.25">
      <c r="AK100" s="244"/>
      <c r="AL100" s="244"/>
      <c r="AM100" s="244"/>
      <c r="AN100" s="244"/>
      <c r="AO100" s="244"/>
    </row>
    <row r="101" spans="16:41" ht="14.25">
      <c r="AK101" s="244"/>
      <c r="AL101" s="244"/>
      <c r="AM101" s="244"/>
      <c r="AN101" s="244"/>
      <c r="AO101" s="244"/>
    </row>
    <row r="102" spans="16:41" ht="14.25">
      <c r="AK102" s="244"/>
      <c r="AL102" s="244"/>
      <c r="AM102" s="244"/>
      <c r="AN102" s="244"/>
      <c r="AO102" s="244"/>
    </row>
    <row r="103" spans="16:41" ht="14.25">
      <c r="AK103" s="244"/>
      <c r="AL103" s="244"/>
      <c r="AM103" s="244"/>
      <c r="AN103" s="244"/>
      <c r="AO103" s="244"/>
    </row>
    <row r="104" spans="16:41" ht="14.2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4.2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4.25">
      <c r="AK106" s="244"/>
      <c r="AL106" s="244"/>
      <c r="AM106" s="244"/>
      <c r="AN106" s="244"/>
      <c r="AO106" s="244"/>
    </row>
    <row r="107" spans="16:41" ht="14.2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4.2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4.2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4.25">
      <c r="X110" t="s">
        <v>913</v>
      </c>
      <c r="AK110" s="244"/>
      <c r="AL110" s="244"/>
      <c r="AM110" s="244"/>
      <c r="AN110" s="244"/>
      <c r="AO110" s="244"/>
    </row>
    <row r="111" spans="16:41" ht="14.25">
      <c r="P111" s="59">
        <v>25159</v>
      </c>
      <c r="T111" s="3"/>
      <c r="V111" s="93"/>
      <c r="X111" t="s">
        <v>1010</v>
      </c>
      <c r="AK111" s="244"/>
      <c r="AL111" s="244"/>
      <c r="AM111" s="244"/>
      <c r="AN111" s="244"/>
      <c r="AO111" s="244"/>
    </row>
    <row r="112" spans="16:41" ht="14.2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4.2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4.2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4.2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4.2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4.2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4.2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4.2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4.25">
      <c r="X143" s="232"/>
      <c r="Z143" s="3"/>
      <c r="AH143" s="232"/>
      <c r="AI143" s="232"/>
      <c r="AN143">
        <f>SUM(AM114:AM142)</f>
        <v>183.34</v>
      </c>
    </row>
    <row r="144" spans="1:40" ht="14.2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4.25">
      <c r="AG146" s="232"/>
      <c r="AH146" s="232">
        <f>AI145+AI144</f>
        <v>23.120000000000349</v>
      </c>
      <c r="AV146" s="91"/>
      <c r="AW146" s="91"/>
    </row>
    <row r="147" spans="1:57" ht="14.25">
      <c r="AE147" s="232"/>
      <c r="AF147" s="232"/>
    </row>
    <row r="148" spans="1:57" ht="14.25">
      <c r="X148" t="s">
        <v>913</v>
      </c>
    </row>
    <row r="149" spans="1:57" ht="14.2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4.2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4.2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4.2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15.75">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15.75">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15.75">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15.75">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15.75">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15.75">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15.75">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15.75">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15.75">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15.75">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15.75">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15.75">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15.75">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15.75">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15.75">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15.75">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15.75">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15.75">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15.75">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15.75">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15.75">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15.75">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15.75">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15.75">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4.25">
      <c r="C183" s="3"/>
      <c r="D183" s="3"/>
      <c r="E183" s="3"/>
      <c r="F183" s="3"/>
      <c r="G183" s="3"/>
      <c r="H183" s="3"/>
      <c r="I183" s="3"/>
      <c r="J183" s="3"/>
      <c r="AL183" t="s">
        <v>1413</v>
      </c>
      <c r="AO183">
        <f>30.53+12.81+49.55-12.87</f>
        <v>80.02</v>
      </c>
    </row>
    <row r="184" spans="1:42" ht="15.75">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15.75">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15.75">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15.75">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15.75">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4.25">
      <c r="C189" s="3"/>
      <c r="D189" s="3"/>
      <c r="E189" s="3"/>
      <c r="F189" s="3"/>
      <c r="G189" s="3"/>
      <c r="H189" s="3"/>
      <c r="I189" s="3"/>
      <c r="J189" s="3"/>
      <c r="AB189">
        <f>36+42+56+105+AB186</f>
        <v>320.84856310926216</v>
      </c>
      <c r="AC189">
        <f>37+82</f>
        <v>119</v>
      </c>
    </row>
    <row r="190" spans="1:42" ht="14.2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4.2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4.2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4.2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4.25">
      <c r="P194" s="81" t="s">
        <v>1451</v>
      </c>
      <c r="Q194" s="81" t="s">
        <v>1452</v>
      </c>
      <c r="R194" s="81">
        <v>615782115</v>
      </c>
      <c r="S194" s="81">
        <v>0</v>
      </c>
      <c r="T194" s="81" t="s">
        <v>1124</v>
      </c>
      <c r="U194" s="81" t="s">
        <v>1450</v>
      </c>
      <c r="V194" s="81" t="s">
        <v>1164</v>
      </c>
      <c r="W194" s="81"/>
      <c r="Z194" s="81" t="s">
        <v>1441</v>
      </c>
    </row>
    <row r="195" spans="1:44" ht="14.25">
      <c r="AJ195" t="s">
        <v>1453</v>
      </c>
      <c r="AK195" t="s">
        <v>1454</v>
      </c>
      <c r="AL195" t="s">
        <v>1455</v>
      </c>
      <c r="AM195" t="s">
        <v>1456</v>
      </c>
      <c r="AN195" t="s">
        <v>1457</v>
      </c>
      <c r="AO195" t="s">
        <v>1458</v>
      </c>
      <c r="AP195" s="313" t="s">
        <v>1459</v>
      </c>
      <c r="AQ195" t="s">
        <v>1460</v>
      </c>
    </row>
    <row r="196" spans="1:44" ht="14.25">
      <c r="P196" s="59">
        <v>25207</v>
      </c>
      <c r="T196" s="3"/>
      <c r="V196" s="93"/>
      <c r="X196" t="s">
        <v>1010</v>
      </c>
      <c r="AP196" s="313"/>
    </row>
    <row r="197" spans="1:44" ht="14.2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4.2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4.25">
      <c r="P199" s="224" t="s">
        <v>1469</v>
      </c>
      <c r="Q199" s="224" t="s">
        <v>1470</v>
      </c>
      <c r="R199" s="224">
        <v>615312896</v>
      </c>
      <c r="S199" s="224">
        <v>0</v>
      </c>
      <c r="T199" s="224" t="s">
        <v>826</v>
      </c>
      <c r="U199" s="224" t="s">
        <v>1465</v>
      </c>
      <c r="V199" s="224" t="s">
        <v>1471</v>
      </c>
      <c r="W199" s="224"/>
      <c r="X199" s="224" t="s">
        <v>1472</v>
      </c>
      <c r="AP199" s="313"/>
    </row>
    <row r="200" spans="1:44" ht="14.25">
      <c r="P200" s="224" t="s">
        <v>1473</v>
      </c>
      <c r="Q200" s="224" t="s">
        <v>1474</v>
      </c>
      <c r="R200" s="224">
        <v>615338560</v>
      </c>
      <c r="S200" s="224">
        <v>0</v>
      </c>
      <c r="T200" s="224" t="s">
        <v>826</v>
      </c>
      <c r="U200" s="224" t="s">
        <v>1475</v>
      </c>
      <c r="V200" s="224" t="s">
        <v>828</v>
      </c>
      <c r="W200" s="224"/>
      <c r="X200" s="224" t="s">
        <v>1476</v>
      </c>
      <c r="AP200" s="313"/>
    </row>
    <row r="201" spans="1:44" ht="14.25">
      <c r="P201" s="224" t="s">
        <v>1477</v>
      </c>
      <c r="Q201" s="224" t="s">
        <v>1478</v>
      </c>
      <c r="R201" s="224">
        <v>615339001</v>
      </c>
      <c r="S201" s="224">
        <v>1</v>
      </c>
      <c r="T201" s="224" t="s">
        <v>373</v>
      </c>
      <c r="U201" s="224" t="s">
        <v>1475</v>
      </c>
      <c r="V201" s="224" t="s">
        <v>833</v>
      </c>
      <c r="W201" s="224"/>
      <c r="X201" s="224" t="s">
        <v>1476</v>
      </c>
      <c r="AP201" s="313"/>
    </row>
    <row r="202" spans="1:44" ht="14.2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4.2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4.2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4.2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4.2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4.2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4.25">
      <c r="P216" s="81" t="s">
        <v>1529</v>
      </c>
      <c r="Q216" s="81" t="s">
        <v>1530</v>
      </c>
      <c r="R216" s="81">
        <v>615857165</v>
      </c>
      <c r="S216" s="81">
        <v>0</v>
      </c>
      <c r="T216" s="81" t="s">
        <v>1124</v>
      </c>
      <c r="U216" s="81" t="s">
        <v>1516</v>
      </c>
      <c r="V216" s="81" t="s">
        <v>1164</v>
      </c>
      <c r="W216" s="81"/>
      <c r="X216" s="81" t="s">
        <v>1518</v>
      </c>
    </row>
    <row r="217" spans="1:44" ht="14.25">
      <c r="P217" s="81" t="s">
        <v>1531</v>
      </c>
      <c r="Q217" s="81" t="s">
        <v>1532</v>
      </c>
      <c r="R217" s="81">
        <v>615857756</v>
      </c>
      <c r="S217" s="81">
        <v>0</v>
      </c>
      <c r="T217" s="81" t="s">
        <v>1124</v>
      </c>
      <c r="U217" s="81" t="s">
        <v>1516</v>
      </c>
      <c r="V217" s="81" t="s">
        <v>1533</v>
      </c>
      <c r="W217" s="81"/>
      <c r="X217" s="81" t="s">
        <v>1518</v>
      </c>
    </row>
    <row r="222" spans="1:44" ht="14.25"/>
    <row r="223" spans="1:44" ht="14.25"/>
    <row r="224" spans="1:44" ht="14.25"/>
    <row r="225" ht="14.2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heetViews>
  <sheetFormatPr defaultRowHeight="14.25"/>
  <sheetData>
    <row r="11" spans="5:7">
      <c r="E11" t="s">
        <v>169</v>
      </c>
      <c r="F11" t="s">
        <v>167</v>
      </c>
      <c r="G11" t="s">
        <v>4377</v>
      </c>
    </row>
    <row r="12" spans="5:7">
      <c r="E12" t="s">
        <v>4373</v>
      </c>
      <c r="F12" t="s">
        <v>4374</v>
      </c>
    </row>
    <row r="13" spans="5:7">
      <c r="E13" t="s">
        <v>4374</v>
      </c>
      <c r="F13" t="s">
        <v>4375</v>
      </c>
    </row>
    <row r="14" spans="5:7">
      <c r="E14" t="s">
        <v>4376</v>
      </c>
      <c r="F14" t="s">
        <v>4376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0882B-0D17-4441-9056-C0B5296B118A}">
  <dimension ref="A1:NC23"/>
  <sheetViews>
    <sheetView workbookViewId="0"/>
  </sheetViews>
  <sheetFormatPr defaultColWidth="1" defaultRowHeight="14.25"/>
  <cols>
    <col min="1" max="2" width="8.265625" customWidth="1"/>
    <col min="52" max="52" width="3" style="472" customWidth="1"/>
    <col min="102" max="102" width="4.59765625" style="472" customWidth="1"/>
    <col min="152" max="152" width="4.59765625" style="472" customWidth="1"/>
    <col min="202" max="202" width="4.3984375" style="472" customWidth="1"/>
    <col min="252" max="252" width="3.59765625" style="472" customWidth="1"/>
    <col min="302" max="302" width="3.86328125" style="472" customWidth="1"/>
    <col min="367" max="367" width="4" style="472" customWidth="1"/>
  </cols>
  <sheetData>
    <row r="1" spans="1:367" ht="14.25" customHeight="1">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c r="AB1">
        <v>26</v>
      </c>
      <c r="AC1">
        <v>27</v>
      </c>
      <c r="AD1">
        <v>28</v>
      </c>
      <c r="AE1">
        <v>29</v>
      </c>
      <c r="AF1">
        <v>30</v>
      </c>
      <c r="AG1">
        <v>31</v>
      </c>
      <c r="AH1">
        <v>32</v>
      </c>
      <c r="AI1">
        <v>33</v>
      </c>
      <c r="AJ1">
        <v>34</v>
      </c>
      <c r="AK1">
        <v>35</v>
      </c>
      <c r="AL1">
        <v>36</v>
      </c>
      <c r="AM1">
        <v>37</v>
      </c>
      <c r="AN1">
        <v>38</v>
      </c>
      <c r="AO1">
        <v>39</v>
      </c>
      <c r="AP1">
        <v>40</v>
      </c>
      <c r="AQ1">
        <v>41</v>
      </c>
      <c r="AR1">
        <v>42</v>
      </c>
      <c r="AS1">
        <v>43</v>
      </c>
      <c r="AT1">
        <v>44</v>
      </c>
      <c r="AU1">
        <v>45</v>
      </c>
      <c r="AV1">
        <v>46</v>
      </c>
      <c r="AW1">
        <v>47</v>
      </c>
      <c r="AX1">
        <v>48</v>
      </c>
      <c r="AY1">
        <v>49</v>
      </c>
      <c r="AZ1" s="472">
        <v>50</v>
      </c>
      <c r="BA1">
        <v>51</v>
      </c>
      <c r="BB1">
        <v>52</v>
      </c>
      <c r="BC1">
        <v>53</v>
      </c>
      <c r="BD1">
        <v>54</v>
      </c>
      <c r="BE1">
        <v>55</v>
      </c>
      <c r="BF1">
        <v>56</v>
      </c>
      <c r="BG1">
        <v>57</v>
      </c>
      <c r="BH1">
        <v>58</v>
      </c>
      <c r="BI1">
        <v>59</v>
      </c>
      <c r="BJ1">
        <v>60</v>
      </c>
      <c r="BK1">
        <v>61</v>
      </c>
      <c r="BL1">
        <v>62</v>
      </c>
      <c r="BM1">
        <v>63</v>
      </c>
      <c r="BN1">
        <v>64</v>
      </c>
      <c r="BO1">
        <v>65</v>
      </c>
      <c r="BP1">
        <v>66</v>
      </c>
      <c r="BQ1">
        <v>67</v>
      </c>
      <c r="BR1">
        <v>68</v>
      </c>
      <c r="BS1">
        <v>69</v>
      </c>
      <c r="BT1">
        <v>70</v>
      </c>
      <c r="BU1">
        <v>71</v>
      </c>
      <c r="BV1">
        <v>72</v>
      </c>
      <c r="BW1">
        <v>73</v>
      </c>
      <c r="BX1">
        <v>74</v>
      </c>
      <c r="BY1">
        <v>75</v>
      </c>
      <c r="BZ1">
        <v>76</v>
      </c>
      <c r="CA1">
        <v>77</v>
      </c>
      <c r="CB1">
        <v>78</v>
      </c>
      <c r="CC1">
        <v>79</v>
      </c>
      <c r="CD1">
        <v>80</v>
      </c>
      <c r="CE1">
        <v>81</v>
      </c>
      <c r="CF1">
        <v>82</v>
      </c>
      <c r="CG1">
        <v>83</v>
      </c>
      <c r="CH1">
        <v>84</v>
      </c>
      <c r="CI1">
        <v>85</v>
      </c>
      <c r="CJ1">
        <v>86</v>
      </c>
      <c r="CK1">
        <v>87</v>
      </c>
      <c r="CL1">
        <v>88</v>
      </c>
      <c r="CM1">
        <v>89</v>
      </c>
      <c r="CN1">
        <v>90</v>
      </c>
      <c r="CO1">
        <v>91</v>
      </c>
      <c r="CP1">
        <v>92</v>
      </c>
      <c r="CQ1">
        <v>93</v>
      </c>
      <c r="CR1">
        <v>94</v>
      </c>
      <c r="CS1">
        <v>95</v>
      </c>
      <c r="CT1">
        <v>96</v>
      </c>
      <c r="CU1">
        <v>97</v>
      </c>
      <c r="CV1">
        <v>98</v>
      </c>
      <c r="CW1">
        <v>99</v>
      </c>
      <c r="CX1" s="472">
        <v>100</v>
      </c>
      <c r="CY1">
        <v>101</v>
      </c>
      <c r="CZ1">
        <v>102</v>
      </c>
      <c r="DA1">
        <v>103</v>
      </c>
      <c r="DB1">
        <v>104</v>
      </c>
      <c r="DC1">
        <v>105</v>
      </c>
      <c r="DD1">
        <v>106</v>
      </c>
      <c r="DE1">
        <v>107</v>
      </c>
      <c r="DF1">
        <v>108</v>
      </c>
      <c r="DG1">
        <v>109</v>
      </c>
      <c r="DH1">
        <v>110</v>
      </c>
      <c r="DI1">
        <v>111</v>
      </c>
      <c r="DJ1">
        <v>112</v>
      </c>
      <c r="DK1">
        <v>113</v>
      </c>
      <c r="DL1">
        <v>114</v>
      </c>
      <c r="DM1">
        <v>115</v>
      </c>
      <c r="DN1">
        <v>116</v>
      </c>
      <c r="DO1">
        <v>117</v>
      </c>
      <c r="DP1">
        <v>118</v>
      </c>
      <c r="DQ1">
        <v>119</v>
      </c>
      <c r="DR1">
        <v>120</v>
      </c>
      <c r="DS1">
        <v>121</v>
      </c>
      <c r="DT1">
        <v>122</v>
      </c>
      <c r="DU1">
        <v>123</v>
      </c>
      <c r="DV1">
        <v>124</v>
      </c>
      <c r="DW1">
        <v>125</v>
      </c>
      <c r="DX1">
        <v>126</v>
      </c>
      <c r="DY1">
        <v>127</v>
      </c>
      <c r="DZ1">
        <v>128</v>
      </c>
      <c r="EA1">
        <v>129</v>
      </c>
      <c r="EB1">
        <v>130</v>
      </c>
      <c r="EC1">
        <v>131</v>
      </c>
      <c r="ED1">
        <v>132</v>
      </c>
      <c r="EE1">
        <v>133</v>
      </c>
      <c r="EF1">
        <v>134</v>
      </c>
      <c r="EG1">
        <v>135</v>
      </c>
      <c r="EH1">
        <v>136</v>
      </c>
      <c r="EI1">
        <v>137</v>
      </c>
      <c r="EJ1">
        <v>138</v>
      </c>
      <c r="EK1">
        <v>139</v>
      </c>
      <c r="EL1">
        <v>140</v>
      </c>
      <c r="EM1">
        <v>141</v>
      </c>
      <c r="EN1">
        <v>142</v>
      </c>
      <c r="EO1">
        <v>143</v>
      </c>
      <c r="EP1">
        <v>144</v>
      </c>
      <c r="EQ1">
        <v>145</v>
      </c>
      <c r="ER1">
        <v>146</v>
      </c>
      <c r="ES1">
        <v>147</v>
      </c>
      <c r="ET1">
        <v>148</v>
      </c>
      <c r="EU1">
        <v>149</v>
      </c>
      <c r="EV1" s="472">
        <v>150</v>
      </c>
      <c r="EW1">
        <v>151</v>
      </c>
      <c r="EX1">
        <v>152</v>
      </c>
      <c r="EY1">
        <v>153</v>
      </c>
      <c r="EZ1">
        <v>154</v>
      </c>
      <c r="FA1">
        <v>155</v>
      </c>
      <c r="FB1">
        <v>156</v>
      </c>
      <c r="FC1">
        <v>157</v>
      </c>
      <c r="FD1">
        <v>158</v>
      </c>
      <c r="FE1">
        <v>159</v>
      </c>
      <c r="FF1">
        <v>160</v>
      </c>
      <c r="FG1">
        <v>161</v>
      </c>
      <c r="FH1">
        <v>162</v>
      </c>
      <c r="FI1">
        <v>163</v>
      </c>
      <c r="FJ1">
        <v>164</v>
      </c>
      <c r="FK1">
        <v>165</v>
      </c>
      <c r="FL1">
        <v>166</v>
      </c>
      <c r="FM1">
        <v>167</v>
      </c>
      <c r="FN1">
        <v>168</v>
      </c>
      <c r="FO1">
        <v>169</v>
      </c>
      <c r="FP1">
        <v>170</v>
      </c>
      <c r="FQ1">
        <v>171</v>
      </c>
      <c r="FR1">
        <v>172</v>
      </c>
      <c r="FS1">
        <v>173</v>
      </c>
      <c r="FT1">
        <v>174</v>
      </c>
      <c r="FU1">
        <v>175</v>
      </c>
      <c r="FV1">
        <v>176</v>
      </c>
      <c r="FW1">
        <v>177</v>
      </c>
      <c r="FX1">
        <v>178</v>
      </c>
      <c r="FY1">
        <v>179</v>
      </c>
      <c r="FZ1">
        <v>180</v>
      </c>
      <c r="GA1">
        <v>181</v>
      </c>
      <c r="GB1">
        <v>182</v>
      </c>
      <c r="GC1">
        <v>183</v>
      </c>
      <c r="GD1">
        <v>184</v>
      </c>
      <c r="GE1">
        <v>185</v>
      </c>
      <c r="GF1">
        <v>186</v>
      </c>
      <c r="GG1">
        <v>187</v>
      </c>
      <c r="GH1">
        <v>188</v>
      </c>
      <c r="GI1">
        <v>189</v>
      </c>
      <c r="GJ1">
        <v>190</v>
      </c>
      <c r="GK1">
        <v>191</v>
      </c>
      <c r="GL1">
        <v>192</v>
      </c>
      <c r="GM1">
        <v>193</v>
      </c>
      <c r="GN1">
        <v>194</v>
      </c>
      <c r="GO1">
        <v>195</v>
      </c>
      <c r="GP1">
        <v>196</v>
      </c>
      <c r="GQ1">
        <v>197</v>
      </c>
      <c r="GR1">
        <v>198</v>
      </c>
      <c r="GS1">
        <v>199</v>
      </c>
      <c r="GT1" s="472">
        <v>200</v>
      </c>
      <c r="GU1">
        <v>201</v>
      </c>
      <c r="GV1">
        <v>202</v>
      </c>
      <c r="GW1">
        <v>203</v>
      </c>
      <c r="GX1">
        <v>204</v>
      </c>
      <c r="GY1">
        <v>205</v>
      </c>
      <c r="GZ1">
        <v>206</v>
      </c>
      <c r="HA1">
        <v>207</v>
      </c>
      <c r="HB1">
        <v>208</v>
      </c>
      <c r="HC1">
        <v>209</v>
      </c>
      <c r="HD1">
        <v>210</v>
      </c>
      <c r="HE1">
        <v>211</v>
      </c>
      <c r="HF1">
        <v>212</v>
      </c>
      <c r="HG1">
        <v>213</v>
      </c>
      <c r="HH1">
        <v>214</v>
      </c>
      <c r="HI1">
        <v>215</v>
      </c>
      <c r="HJ1">
        <v>216</v>
      </c>
      <c r="HK1">
        <v>217</v>
      </c>
      <c r="HL1">
        <v>218</v>
      </c>
      <c r="HM1">
        <v>219</v>
      </c>
      <c r="HN1">
        <v>220</v>
      </c>
      <c r="HO1">
        <v>221</v>
      </c>
      <c r="HP1">
        <v>222</v>
      </c>
      <c r="HQ1">
        <v>223</v>
      </c>
      <c r="HR1">
        <v>224</v>
      </c>
      <c r="HS1">
        <v>225</v>
      </c>
      <c r="HT1">
        <v>226</v>
      </c>
      <c r="HU1">
        <v>227</v>
      </c>
      <c r="HV1">
        <v>228</v>
      </c>
      <c r="HW1">
        <v>229</v>
      </c>
      <c r="HX1">
        <v>230</v>
      </c>
      <c r="HY1">
        <v>231</v>
      </c>
      <c r="HZ1">
        <v>232</v>
      </c>
      <c r="IA1">
        <v>233</v>
      </c>
      <c r="IB1">
        <v>234</v>
      </c>
      <c r="IC1">
        <v>235</v>
      </c>
      <c r="ID1">
        <v>236</v>
      </c>
      <c r="IE1">
        <v>237</v>
      </c>
      <c r="IF1">
        <v>238</v>
      </c>
      <c r="IG1">
        <v>239</v>
      </c>
      <c r="IH1">
        <v>240</v>
      </c>
      <c r="II1">
        <v>241</v>
      </c>
      <c r="IJ1">
        <v>242</v>
      </c>
      <c r="IK1">
        <v>243</v>
      </c>
      <c r="IL1">
        <v>244</v>
      </c>
      <c r="IM1">
        <v>245</v>
      </c>
      <c r="IN1">
        <v>246</v>
      </c>
      <c r="IO1">
        <v>247</v>
      </c>
      <c r="IP1">
        <v>248</v>
      </c>
      <c r="IQ1">
        <v>249</v>
      </c>
      <c r="IR1" s="472">
        <v>250</v>
      </c>
      <c r="IS1">
        <v>251</v>
      </c>
      <c r="IT1">
        <v>252</v>
      </c>
      <c r="IU1">
        <v>253</v>
      </c>
      <c r="IV1">
        <v>254</v>
      </c>
      <c r="IW1">
        <v>255</v>
      </c>
      <c r="IX1">
        <v>256</v>
      </c>
      <c r="IY1">
        <v>257</v>
      </c>
      <c r="IZ1">
        <v>258</v>
      </c>
      <c r="JA1">
        <v>259</v>
      </c>
      <c r="JB1">
        <v>260</v>
      </c>
      <c r="JC1">
        <v>261</v>
      </c>
      <c r="JD1">
        <v>262</v>
      </c>
      <c r="JE1">
        <v>263</v>
      </c>
      <c r="JF1">
        <v>264</v>
      </c>
      <c r="JG1">
        <v>265</v>
      </c>
      <c r="JH1">
        <v>266</v>
      </c>
      <c r="JI1">
        <v>267</v>
      </c>
      <c r="JJ1">
        <v>268</v>
      </c>
      <c r="JK1">
        <v>269</v>
      </c>
      <c r="JL1">
        <v>270</v>
      </c>
      <c r="JM1">
        <v>271</v>
      </c>
      <c r="JN1">
        <v>272</v>
      </c>
      <c r="JO1">
        <v>273</v>
      </c>
      <c r="JP1">
        <v>274</v>
      </c>
      <c r="JQ1">
        <v>275</v>
      </c>
      <c r="JR1">
        <v>276</v>
      </c>
      <c r="JS1">
        <v>277</v>
      </c>
      <c r="JT1">
        <v>278</v>
      </c>
      <c r="JU1">
        <v>279</v>
      </c>
      <c r="JV1">
        <v>280</v>
      </c>
      <c r="JW1">
        <v>281</v>
      </c>
      <c r="JX1">
        <v>282</v>
      </c>
      <c r="JY1">
        <v>283</v>
      </c>
      <c r="JZ1">
        <v>284</v>
      </c>
      <c r="KA1">
        <v>285</v>
      </c>
      <c r="KB1">
        <v>286</v>
      </c>
      <c r="KC1">
        <v>287</v>
      </c>
      <c r="KD1">
        <v>288</v>
      </c>
      <c r="KE1">
        <v>289</v>
      </c>
      <c r="KF1">
        <v>290</v>
      </c>
      <c r="KG1">
        <v>291</v>
      </c>
      <c r="KH1">
        <v>292</v>
      </c>
      <c r="KI1">
        <v>293</v>
      </c>
      <c r="KJ1">
        <v>294</v>
      </c>
      <c r="KK1">
        <v>295</v>
      </c>
      <c r="KL1">
        <v>296</v>
      </c>
      <c r="KM1">
        <v>297</v>
      </c>
      <c r="KN1">
        <v>298</v>
      </c>
      <c r="KO1">
        <v>299</v>
      </c>
      <c r="KP1" s="472">
        <v>300</v>
      </c>
      <c r="KQ1">
        <v>301</v>
      </c>
      <c r="KR1">
        <v>302</v>
      </c>
      <c r="KS1">
        <v>303</v>
      </c>
      <c r="KT1">
        <v>304</v>
      </c>
      <c r="KU1">
        <v>305</v>
      </c>
      <c r="KV1">
        <v>306</v>
      </c>
      <c r="KW1">
        <v>307</v>
      </c>
      <c r="KX1">
        <v>308</v>
      </c>
      <c r="KY1">
        <v>309</v>
      </c>
      <c r="KZ1">
        <v>310</v>
      </c>
      <c r="LA1">
        <v>311</v>
      </c>
      <c r="LB1">
        <v>312</v>
      </c>
      <c r="LC1">
        <v>313</v>
      </c>
      <c r="LD1">
        <v>314</v>
      </c>
      <c r="LE1">
        <v>315</v>
      </c>
      <c r="LF1">
        <v>316</v>
      </c>
      <c r="LG1">
        <v>317</v>
      </c>
      <c r="LH1">
        <v>318</v>
      </c>
      <c r="LI1">
        <v>319</v>
      </c>
      <c r="LJ1">
        <v>320</v>
      </c>
      <c r="LK1">
        <v>321</v>
      </c>
      <c r="LL1">
        <v>322</v>
      </c>
      <c r="LM1">
        <v>323</v>
      </c>
      <c r="LN1">
        <v>324</v>
      </c>
      <c r="LO1">
        <v>325</v>
      </c>
      <c r="LP1">
        <v>326</v>
      </c>
      <c r="LQ1">
        <v>327</v>
      </c>
      <c r="LR1">
        <v>328</v>
      </c>
      <c r="LS1">
        <v>329</v>
      </c>
      <c r="LT1">
        <v>330</v>
      </c>
      <c r="LU1">
        <v>331</v>
      </c>
      <c r="LV1">
        <v>332</v>
      </c>
      <c r="LW1">
        <v>333</v>
      </c>
      <c r="LX1">
        <v>334</v>
      </c>
      <c r="LY1">
        <v>335</v>
      </c>
      <c r="LZ1">
        <v>336</v>
      </c>
      <c r="MA1">
        <v>337</v>
      </c>
      <c r="MB1">
        <v>338</v>
      </c>
      <c r="MC1">
        <v>339</v>
      </c>
      <c r="MD1">
        <v>340</v>
      </c>
      <c r="ME1">
        <v>341</v>
      </c>
      <c r="MF1">
        <v>342</v>
      </c>
      <c r="MG1">
        <v>343</v>
      </c>
      <c r="MH1">
        <v>344</v>
      </c>
      <c r="MI1">
        <v>345</v>
      </c>
      <c r="MJ1">
        <v>346</v>
      </c>
      <c r="MK1">
        <v>347</v>
      </c>
      <c r="ML1">
        <v>348</v>
      </c>
      <c r="MM1">
        <v>349</v>
      </c>
      <c r="MN1">
        <v>350</v>
      </c>
      <c r="MO1">
        <v>351</v>
      </c>
      <c r="MP1">
        <v>352</v>
      </c>
      <c r="MQ1">
        <v>353</v>
      </c>
      <c r="MR1">
        <v>354</v>
      </c>
      <c r="MS1">
        <v>355</v>
      </c>
      <c r="MT1">
        <v>356</v>
      </c>
      <c r="MU1">
        <v>357</v>
      </c>
      <c r="MV1">
        <v>358</v>
      </c>
      <c r="MW1">
        <v>359</v>
      </c>
      <c r="MX1">
        <v>360</v>
      </c>
      <c r="MY1">
        <v>361</v>
      </c>
      <c r="MZ1">
        <v>362</v>
      </c>
      <c r="NA1">
        <v>363</v>
      </c>
      <c r="NB1">
        <v>364</v>
      </c>
      <c r="NC1" s="472">
        <v>365</v>
      </c>
    </row>
    <row r="3" spans="1:367">
      <c r="A3" t="s">
        <v>766</v>
      </c>
      <c r="B3">
        <v>2024</v>
      </c>
      <c r="JI3" s="401"/>
      <c r="JJ3" s="401"/>
      <c r="JK3" s="401"/>
      <c r="JL3" s="401"/>
      <c r="JM3" s="401"/>
      <c r="JN3" s="401"/>
      <c r="JO3" s="401"/>
      <c r="JP3" s="401"/>
      <c r="JQ3" s="401"/>
      <c r="JR3" s="474"/>
      <c r="JS3" s="401"/>
      <c r="JT3" s="401"/>
      <c r="JU3" s="401"/>
      <c r="JV3" s="401"/>
      <c r="JW3" s="401"/>
      <c r="JX3" s="401"/>
      <c r="JY3" s="401"/>
      <c r="JZ3" s="401"/>
      <c r="KA3" s="401"/>
      <c r="KB3" s="401"/>
      <c r="KC3" s="401"/>
      <c r="KD3" s="401"/>
      <c r="KE3" s="401"/>
      <c r="KF3" s="401"/>
      <c r="KG3" s="401"/>
      <c r="KH3" s="401"/>
      <c r="KI3" s="401"/>
      <c r="KJ3" s="401"/>
      <c r="KK3" s="401"/>
      <c r="KL3" s="401"/>
      <c r="KM3" s="401"/>
      <c r="KN3" s="401"/>
      <c r="KO3" s="401"/>
      <c r="KP3" s="401"/>
      <c r="KQ3" s="401"/>
      <c r="KR3" s="401"/>
      <c r="KS3" s="401"/>
      <c r="KT3" s="401"/>
      <c r="KU3" s="401"/>
      <c r="KV3" s="401"/>
      <c r="KW3" s="401"/>
      <c r="KX3" s="401"/>
      <c r="KY3" s="401"/>
      <c r="KZ3" s="401"/>
      <c r="LA3" s="401"/>
      <c r="LB3" s="401"/>
      <c r="LC3" s="401"/>
      <c r="LD3" s="401"/>
      <c r="LE3" s="401"/>
      <c r="LF3" s="401"/>
      <c r="LG3" s="401"/>
      <c r="LH3" s="401"/>
      <c r="LI3" s="401"/>
      <c r="LJ3" s="401"/>
      <c r="LK3" s="401"/>
      <c r="LL3" s="401"/>
      <c r="LM3" s="401"/>
      <c r="LN3" s="401"/>
      <c r="LO3" s="401"/>
      <c r="LP3" s="401"/>
      <c r="LQ3" s="401"/>
      <c r="LR3" s="401"/>
      <c r="LS3" s="401"/>
      <c r="LT3" s="401"/>
      <c r="LU3" s="401"/>
      <c r="LV3" s="401"/>
      <c r="LW3" s="401"/>
      <c r="LX3" s="401"/>
      <c r="LY3" s="401"/>
      <c r="LZ3" s="401"/>
      <c r="MA3" s="401"/>
      <c r="MB3" s="401"/>
      <c r="MC3" s="401"/>
      <c r="MD3" s="401"/>
      <c r="ME3" s="401"/>
      <c r="MF3" s="401"/>
      <c r="MG3" s="401"/>
      <c r="MH3" s="401"/>
      <c r="MI3" s="401"/>
      <c r="MJ3" s="401"/>
      <c r="MK3" s="401"/>
      <c r="ML3" s="401"/>
      <c r="MM3" s="401"/>
      <c r="MN3" s="401"/>
      <c r="MO3" s="401"/>
      <c r="MP3" s="401"/>
      <c r="MQ3" s="401"/>
      <c r="MR3" s="401"/>
      <c r="MS3" s="401"/>
      <c r="MT3" s="401"/>
      <c r="MU3" s="401"/>
      <c r="MV3" s="401"/>
      <c r="MW3" s="401"/>
      <c r="MX3" s="401"/>
      <c r="MY3" s="401"/>
      <c r="MZ3" s="401"/>
      <c r="NA3" s="401"/>
      <c r="NB3" s="401"/>
      <c r="NC3" s="401"/>
    </row>
    <row r="4" spans="1:367">
      <c r="A4" t="s">
        <v>764</v>
      </c>
      <c r="B4">
        <v>2024</v>
      </c>
      <c r="JI4" s="401"/>
      <c r="JJ4" s="401"/>
      <c r="JK4" s="401"/>
      <c r="JL4" s="401"/>
      <c r="JM4" s="401"/>
      <c r="JN4" s="401"/>
      <c r="JO4" s="401"/>
      <c r="JP4" s="401"/>
      <c r="JQ4" s="401"/>
      <c r="JR4" s="474"/>
      <c r="JS4" s="401"/>
      <c r="JT4" s="401"/>
      <c r="JU4" s="401"/>
      <c r="JV4" s="401"/>
      <c r="JW4" s="401"/>
      <c r="JX4" s="401"/>
      <c r="JY4" s="401"/>
      <c r="JZ4" s="401"/>
      <c r="KA4" s="401"/>
      <c r="KB4" s="401"/>
      <c r="KC4" s="401"/>
      <c r="KD4" s="401"/>
      <c r="KE4" s="401"/>
      <c r="KF4" s="401"/>
      <c r="KG4" s="401"/>
      <c r="KH4" s="401"/>
      <c r="KI4" s="401"/>
      <c r="KJ4" s="401"/>
      <c r="KK4" s="401"/>
      <c r="KL4" s="401"/>
      <c r="KM4" s="401"/>
      <c r="KN4" s="401"/>
      <c r="KO4" s="401"/>
      <c r="KP4" s="401"/>
      <c r="KQ4" s="401"/>
      <c r="KR4" s="401"/>
      <c r="KS4" s="401"/>
      <c r="KT4" s="401"/>
      <c r="KU4" s="401"/>
      <c r="KV4" s="401"/>
      <c r="KW4" s="401"/>
      <c r="KX4" s="401"/>
      <c r="KY4" s="401"/>
      <c r="KZ4" s="401"/>
      <c r="LA4" s="401"/>
      <c r="LB4" s="401"/>
      <c r="LC4" s="401"/>
      <c r="LD4" s="401"/>
      <c r="LE4" s="401"/>
      <c r="LF4" s="401"/>
      <c r="LG4" s="401"/>
      <c r="LH4" s="401"/>
      <c r="LI4" s="401"/>
      <c r="LJ4" s="401"/>
      <c r="LK4" s="401"/>
      <c r="LL4" s="401"/>
      <c r="LM4" s="401"/>
      <c r="LN4" s="401"/>
      <c r="LO4" s="401"/>
      <c r="LP4" s="401"/>
      <c r="LQ4" s="401"/>
      <c r="LR4" s="401"/>
      <c r="LS4" s="401"/>
      <c r="LT4" s="401"/>
      <c r="LU4" s="401"/>
      <c r="LV4" s="401"/>
      <c r="LW4" s="401"/>
      <c r="LX4" s="401"/>
      <c r="LY4" s="401"/>
      <c r="LZ4" s="401"/>
      <c r="MA4" s="401"/>
      <c r="MB4" s="401"/>
      <c r="MC4" s="401"/>
      <c r="MD4" s="401"/>
      <c r="ME4" s="401"/>
      <c r="MF4" s="401"/>
      <c r="MG4" s="401"/>
      <c r="MH4" s="401"/>
      <c r="MI4" s="401"/>
      <c r="MJ4" s="401"/>
      <c r="MK4" s="401"/>
      <c r="ML4" s="401"/>
      <c r="MM4" s="401"/>
      <c r="MN4" s="401"/>
      <c r="MO4" s="401"/>
      <c r="MP4" s="401"/>
      <c r="MQ4" s="401"/>
      <c r="MR4" s="401"/>
      <c r="MS4" s="401"/>
      <c r="MT4" s="401"/>
      <c r="MU4" s="401"/>
      <c r="MV4" s="401"/>
      <c r="MW4" s="401"/>
      <c r="MX4" s="401"/>
      <c r="MY4" s="401"/>
      <c r="MZ4" s="401"/>
      <c r="NA4" s="401"/>
      <c r="NB4" s="401"/>
      <c r="NC4" s="401"/>
    </row>
    <row r="5" spans="1:367">
      <c r="A5" t="s">
        <v>765</v>
      </c>
      <c r="B5">
        <v>2024</v>
      </c>
      <c r="JI5" s="401"/>
      <c r="JJ5" s="401"/>
      <c r="JK5" s="401"/>
      <c r="JL5" s="401"/>
      <c r="JM5" s="401"/>
      <c r="JN5" s="401"/>
      <c r="JO5" s="401"/>
      <c r="JP5" s="401"/>
      <c r="JQ5" s="401"/>
      <c r="JR5" s="474"/>
      <c r="JS5" s="401"/>
      <c r="JT5" s="401"/>
      <c r="JU5" s="401"/>
      <c r="JV5" s="401"/>
      <c r="JW5" s="401"/>
      <c r="JX5" s="401"/>
      <c r="JY5" s="401"/>
      <c r="JZ5" s="401"/>
      <c r="KA5" s="401"/>
      <c r="KB5" s="401"/>
      <c r="KC5" s="401"/>
      <c r="KD5" s="401"/>
      <c r="KE5" s="401"/>
      <c r="KF5" s="401"/>
      <c r="KG5" s="401"/>
      <c r="KH5" s="401"/>
      <c r="KI5" s="401"/>
      <c r="KJ5" s="401"/>
      <c r="KK5" s="401"/>
      <c r="KL5" s="401"/>
      <c r="KM5" s="401"/>
      <c r="KN5" s="401"/>
      <c r="KO5" s="401"/>
      <c r="KP5" s="401"/>
      <c r="KQ5" s="401"/>
      <c r="KR5" s="401"/>
      <c r="KS5" s="401"/>
      <c r="KT5" s="401"/>
      <c r="KU5" s="401"/>
      <c r="KV5" s="401"/>
      <c r="KW5" s="401"/>
      <c r="KX5" s="401"/>
      <c r="KY5" s="401"/>
      <c r="KZ5" s="401"/>
      <c r="LA5" s="401"/>
      <c r="LB5" s="401"/>
      <c r="LC5" s="401"/>
      <c r="LD5" s="401"/>
      <c r="LE5" s="401"/>
      <c r="LF5" s="401"/>
      <c r="LG5" s="401"/>
      <c r="LH5" s="401"/>
      <c r="LI5" s="401"/>
      <c r="LJ5" s="401"/>
      <c r="LK5" s="401"/>
      <c r="LL5" s="401"/>
      <c r="LM5" s="401"/>
      <c r="LN5" s="401"/>
      <c r="LO5" s="401"/>
      <c r="LP5" s="401"/>
      <c r="LQ5" s="401"/>
      <c r="LR5" s="401"/>
      <c r="LS5" s="401"/>
      <c r="LT5" s="401"/>
      <c r="LU5" s="401"/>
      <c r="LV5" s="401"/>
      <c r="LW5" s="401"/>
      <c r="LX5" s="401"/>
      <c r="LY5" s="401"/>
      <c r="LZ5" s="401"/>
      <c r="MA5" s="401"/>
      <c r="MB5" s="401"/>
      <c r="MC5" s="401"/>
      <c r="MD5" s="401"/>
      <c r="ME5" s="401"/>
      <c r="MF5" s="401"/>
      <c r="MG5" s="401"/>
      <c r="MH5" s="401"/>
      <c r="MI5" s="401"/>
      <c r="MJ5" s="401"/>
      <c r="MK5" s="401"/>
      <c r="ML5" s="401"/>
      <c r="MM5" s="401"/>
      <c r="MN5" s="401"/>
      <c r="MO5" s="401"/>
      <c r="MP5" s="401"/>
      <c r="MQ5" s="401"/>
      <c r="MR5" s="401"/>
      <c r="MS5" s="401"/>
      <c r="MT5" s="401"/>
      <c r="MU5" s="401"/>
      <c r="MV5" s="401"/>
      <c r="MW5" s="401"/>
      <c r="MX5" s="401"/>
      <c r="MY5" s="401"/>
      <c r="MZ5" s="401"/>
      <c r="NA5" s="401"/>
      <c r="NB5" s="401"/>
      <c r="NC5" s="401"/>
    </row>
    <row r="6" spans="1:367">
      <c r="A6" t="s">
        <v>768</v>
      </c>
      <c r="B6">
        <v>2024</v>
      </c>
      <c r="JI6" s="401"/>
      <c r="JJ6" s="401"/>
      <c r="JK6" s="401"/>
      <c r="JL6" s="401"/>
      <c r="JM6" s="401"/>
      <c r="JN6" s="401"/>
      <c r="JO6" s="401"/>
      <c r="JP6" s="401"/>
      <c r="JQ6" s="401"/>
      <c r="JR6" s="474"/>
      <c r="JS6" s="401"/>
      <c r="JT6" s="401"/>
      <c r="JU6" s="401"/>
      <c r="JV6" s="401"/>
      <c r="JW6" s="401"/>
      <c r="JX6" s="401"/>
      <c r="JY6" s="401"/>
      <c r="JZ6" s="401"/>
      <c r="KA6" s="401"/>
      <c r="KB6" s="401"/>
      <c r="KC6" s="401"/>
      <c r="KD6" s="401"/>
      <c r="KE6" s="401"/>
      <c r="KF6" s="401"/>
      <c r="KG6" s="401"/>
      <c r="KH6" s="401"/>
      <c r="KI6" s="401"/>
      <c r="KJ6" s="401"/>
      <c r="KK6" s="401"/>
      <c r="KL6" s="401"/>
      <c r="KM6" s="401"/>
      <c r="KN6" s="401"/>
      <c r="KO6" s="401"/>
      <c r="KP6" s="401"/>
      <c r="KQ6" s="401"/>
      <c r="KR6" s="401"/>
      <c r="KS6" s="401"/>
      <c r="KT6" s="401"/>
      <c r="KU6" s="401"/>
      <c r="KV6" s="401"/>
      <c r="KW6" s="401"/>
      <c r="KX6" s="401"/>
      <c r="KY6" s="401"/>
      <c r="KZ6" s="401"/>
      <c r="LA6" s="401"/>
      <c r="LB6" s="401"/>
      <c r="LC6" s="401"/>
      <c r="LD6" s="401"/>
      <c r="LE6" s="401"/>
      <c r="LF6" s="401"/>
      <c r="LG6" s="401"/>
      <c r="LH6" s="401"/>
      <c r="LI6" s="401"/>
      <c r="LJ6" s="401"/>
      <c r="LK6" s="401"/>
      <c r="LL6" s="401"/>
      <c r="LM6" s="401"/>
      <c r="LN6" s="401"/>
      <c r="LO6" s="401"/>
      <c r="LP6" s="401"/>
      <c r="LQ6" s="401"/>
      <c r="LR6" s="401"/>
      <c r="LS6" s="401"/>
      <c r="LT6" s="401"/>
      <c r="LU6" s="401"/>
      <c r="LV6" s="401"/>
      <c r="LW6" s="401"/>
      <c r="LX6" s="401"/>
      <c r="LY6" s="401"/>
      <c r="LZ6" s="401"/>
      <c r="MA6" s="401"/>
      <c r="MB6" s="401"/>
      <c r="MC6" s="401"/>
      <c r="MD6" s="401"/>
      <c r="ME6" s="401"/>
      <c r="MF6" s="401"/>
      <c r="MG6" s="401"/>
      <c r="MH6" s="401"/>
      <c r="MI6" s="401"/>
      <c r="MJ6" s="401"/>
      <c r="MK6" s="401"/>
      <c r="ML6" s="401"/>
      <c r="MM6" s="401"/>
      <c r="MN6" s="401"/>
      <c r="MO6" s="401"/>
      <c r="MP6" s="401"/>
      <c r="MQ6" s="401"/>
      <c r="MR6" s="401"/>
      <c r="MS6" s="401"/>
      <c r="MT6" s="401"/>
      <c r="MU6" s="401"/>
      <c r="MV6" s="401"/>
      <c r="MW6" s="401"/>
      <c r="MX6" s="401"/>
      <c r="MY6" s="401"/>
      <c r="MZ6" s="401"/>
      <c r="NA6" s="401"/>
      <c r="NB6" s="401"/>
      <c r="NC6" s="401"/>
    </row>
    <row r="7" spans="1:367">
      <c r="A7" t="s">
        <v>769</v>
      </c>
      <c r="B7">
        <v>2024</v>
      </c>
      <c r="JI7" s="473"/>
      <c r="JJ7" s="473"/>
      <c r="JK7" s="473"/>
      <c r="JL7" s="473"/>
      <c r="JM7" s="473"/>
      <c r="JN7" s="473"/>
      <c r="JO7" s="473"/>
      <c r="JP7" s="473"/>
      <c r="JQ7" s="473"/>
      <c r="JR7" s="474"/>
      <c r="JS7" s="473"/>
      <c r="JT7" s="473"/>
      <c r="JU7" s="473"/>
      <c r="JV7" s="473"/>
      <c r="JW7" s="473"/>
      <c r="JX7" s="473"/>
      <c r="JY7" s="473"/>
      <c r="JZ7" s="473"/>
      <c r="KA7" s="473"/>
      <c r="KB7" s="473"/>
      <c r="KC7" s="473"/>
      <c r="KD7" s="473"/>
      <c r="KE7" s="473"/>
      <c r="KF7" s="473"/>
      <c r="KG7" s="473"/>
      <c r="KH7" s="473"/>
      <c r="KI7" s="473"/>
      <c r="KJ7" s="473"/>
      <c r="KK7" s="473"/>
      <c r="KL7" s="473"/>
      <c r="KM7" s="473"/>
      <c r="KN7" s="473"/>
      <c r="KO7" s="473"/>
      <c r="KP7" s="473"/>
      <c r="KQ7" s="473"/>
      <c r="KR7" s="473"/>
      <c r="KS7" s="473"/>
      <c r="KT7" s="473"/>
      <c r="KU7" s="473"/>
      <c r="KV7" s="473"/>
      <c r="KW7" s="473"/>
      <c r="KX7" s="473"/>
      <c r="KY7" s="473"/>
      <c r="KZ7" s="473"/>
      <c r="LA7" s="473"/>
      <c r="LB7" s="473"/>
      <c r="LC7" s="473"/>
      <c r="LD7" s="473"/>
      <c r="LE7" s="473"/>
      <c r="LF7" s="473"/>
      <c r="LG7" s="473"/>
      <c r="LH7" s="473"/>
      <c r="LI7" s="473"/>
      <c r="LJ7" s="473"/>
      <c r="LK7" s="473"/>
      <c r="LL7" s="473"/>
      <c r="LM7" s="473"/>
      <c r="LN7" s="473"/>
      <c r="LO7" s="473"/>
      <c r="LP7" s="473"/>
      <c r="LQ7" s="473"/>
      <c r="LR7" s="473"/>
      <c r="LS7" s="473"/>
      <c r="LT7" s="473"/>
      <c r="LU7" s="473"/>
      <c r="LV7" s="473"/>
      <c r="LW7" s="473"/>
      <c r="LX7" s="473"/>
      <c r="LY7" s="473"/>
      <c r="LZ7" s="473"/>
      <c r="MA7" s="473"/>
      <c r="MB7" s="473"/>
      <c r="MC7" s="473"/>
      <c r="MD7" s="473"/>
      <c r="ME7" s="473"/>
      <c r="MF7" s="473"/>
      <c r="MG7" s="473"/>
      <c r="MH7" s="473"/>
      <c r="MI7" s="473"/>
      <c r="MJ7" s="473"/>
      <c r="MK7" s="473"/>
      <c r="ML7" s="473"/>
      <c r="MM7" s="473"/>
      <c r="MN7" s="473"/>
      <c r="MO7" s="473"/>
      <c r="MP7" s="473"/>
      <c r="MQ7" s="473"/>
      <c r="MR7" s="473"/>
      <c r="MS7" s="473"/>
      <c r="MT7" s="473"/>
      <c r="MU7" s="473"/>
      <c r="MV7" s="473"/>
      <c r="MW7" s="473"/>
      <c r="MX7" s="473"/>
      <c r="MY7" s="473"/>
      <c r="MZ7" s="473"/>
      <c r="NA7" s="473"/>
      <c r="NB7" s="473"/>
      <c r="NC7" s="473"/>
    </row>
    <row r="11" spans="1:367">
      <c r="A11" t="s">
        <v>8537</v>
      </c>
      <c r="B11">
        <v>2025</v>
      </c>
      <c r="C11" s="401"/>
      <c r="D11" s="401"/>
      <c r="E11" s="401"/>
      <c r="F11" s="401"/>
      <c r="G11" s="401"/>
      <c r="H11" s="401"/>
      <c r="I11" s="401"/>
      <c r="J11" s="401"/>
      <c r="K11" s="401"/>
      <c r="L11" s="401"/>
      <c r="M11" s="401"/>
      <c r="N11" s="401"/>
      <c r="O11" s="401"/>
      <c r="P11" s="401"/>
      <c r="Q11" s="401"/>
      <c r="R11" s="401"/>
      <c r="S11" s="401"/>
      <c r="T11" s="401"/>
      <c r="U11" s="401"/>
      <c r="V11" s="401"/>
      <c r="W11" s="401"/>
      <c r="X11" s="401"/>
      <c r="Y11" s="401"/>
      <c r="Z11" s="401"/>
      <c r="AA11" s="401"/>
      <c r="AB11" s="401"/>
      <c r="AC11" s="401"/>
      <c r="AD11" s="401"/>
      <c r="AE11" s="401"/>
      <c r="AF11" s="401"/>
      <c r="AG11" s="401"/>
      <c r="AH11" s="401"/>
      <c r="AI11" s="401"/>
      <c r="AJ11" s="401"/>
      <c r="AK11" s="401"/>
      <c r="AL11" s="401"/>
      <c r="AM11" s="401"/>
      <c r="AN11" s="401"/>
      <c r="AO11" s="401"/>
      <c r="AP11" s="401"/>
      <c r="AQ11" s="401"/>
      <c r="AR11" s="401"/>
      <c r="AS11" s="401"/>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c r="BW11" s="401"/>
      <c r="BX11" s="401"/>
      <c r="BY11" s="401"/>
      <c r="BZ11" s="401"/>
      <c r="CA11" s="401"/>
      <c r="CB11" s="401"/>
      <c r="CC11" s="401"/>
      <c r="CD11" s="401"/>
      <c r="CE11" s="401"/>
      <c r="CF11" s="474"/>
      <c r="CG11" s="474"/>
      <c r="CH11" s="474"/>
      <c r="CI11" s="474"/>
      <c r="CJ11" s="474"/>
      <c r="CK11" s="474"/>
      <c r="CL11" s="474"/>
      <c r="CM11" s="474"/>
      <c r="CN11" s="474"/>
      <c r="CO11" s="474"/>
      <c r="CP11" s="474"/>
      <c r="CQ11" s="474"/>
      <c r="CR11" s="474"/>
      <c r="CS11" s="474"/>
      <c r="CT11" s="474"/>
      <c r="CU11" s="474"/>
      <c r="CV11" s="401"/>
      <c r="CW11" s="401"/>
      <c r="CX11" s="401"/>
      <c r="CY11" s="401"/>
      <c r="CZ11" s="401"/>
      <c r="DA11" s="401"/>
      <c r="DB11" s="401"/>
      <c r="DC11" s="401"/>
      <c r="DD11" s="401"/>
      <c r="DE11" s="401"/>
      <c r="DF11" s="401"/>
      <c r="DG11" s="401"/>
      <c r="DH11" s="401"/>
      <c r="DI11" s="401"/>
      <c r="DJ11" s="401"/>
      <c r="DK11" s="401"/>
      <c r="DL11" s="401"/>
      <c r="DM11" s="401"/>
      <c r="DN11" s="474"/>
      <c r="DO11" s="401"/>
      <c r="DP11" s="401"/>
      <c r="DQ11" s="401"/>
      <c r="DR11" s="401"/>
      <c r="DS11" s="401"/>
      <c r="DT11" s="474"/>
      <c r="DU11" s="401"/>
      <c r="DV11" s="401"/>
      <c r="DW11" s="401"/>
      <c r="DX11" s="401"/>
      <c r="DY11" s="401"/>
      <c r="DZ11" s="401"/>
      <c r="EA11" s="401"/>
      <c r="EB11" s="401"/>
      <c r="EC11" s="401"/>
      <c r="ED11" s="401"/>
      <c r="EE11" s="401"/>
      <c r="EF11" s="401"/>
      <c r="EG11" s="401"/>
      <c r="EH11" s="401"/>
      <c r="EI11" s="401"/>
      <c r="EJ11" s="474"/>
      <c r="EK11" s="401"/>
      <c r="EL11" s="401"/>
      <c r="EM11" s="401"/>
      <c r="EN11" s="401"/>
      <c r="EO11" s="401"/>
      <c r="EP11" s="401"/>
      <c r="EQ11" s="401"/>
      <c r="ER11" s="401"/>
      <c r="ES11" s="401"/>
      <c r="ET11" s="401"/>
      <c r="EU11" s="401"/>
      <c r="EV11" s="401"/>
      <c r="EW11" s="401"/>
      <c r="EX11" s="401"/>
      <c r="EY11" s="401"/>
      <c r="EZ11" s="401"/>
      <c r="FA11" s="401"/>
      <c r="FB11" s="401"/>
      <c r="FC11" s="401"/>
      <c r="FD11" s="401"/>
      <c r="FE11" s="401"/>
      <c r="FF11" s="474"/>
      <c r="FG11" s="401"/>
      <c r="FH11" s="401"/>
      <c r="FI11" s="401"/>
      <c r="FJ11" s="401"/>
      <c r="FK11" s="401"/>
      <c r="FL11" s="401"/>
      <c r="FM11" s="401"/>
      <c r="FN11" s="401"/>
      <c r="FO11" s="401"/>
      <c r="FP11" s="401"/>
      <c r="FQ11" s="401"/>
      <c r="FR11" s="401"/>
      <c r="FS11" s="401"/>
      <c r="FT11" s="401"/>
      <c r="FU11" s="401"/>
      <c r="FV11" s="401"/>
      <c r="FW11" s="401"/>
      <c r="FX11" s="401"/>
      <c r="FY11" s="401"/>
      <c r="FZ11" s="401"/>
      <c r="GA11" s="401"/>
      <c r="GB11" s="401"/>
      <c r="GC11" s="401"/>
      <c r="GD11" s="401"/>
      <c r="GE11" s="401"/>
      <c r="GF11" s="401"/>
      <c r="GG11" s="401"/>
      <c r="GH11" s="401"/>
      <c r="GI11" s="401"/>
      <c r="GJ11" s="401"/>
      <c r="GK11" s="401"/>
      <c r="GL11" s="401"/>
      <c r="GM11" s="401"/>
      <c r="GN11" s="401"/>
      <c r="GO11" s="401"/>
      <c r="GP11" s="401"/>
      <c r="GQ11" s="401"/>
      <c r="GR11" s="401"/>
      <c r="GS11" s="401"/>
      <c r="GT11" s="401"/>
      <c r="GU11" s="401"/>
      <c r="GV11" s="401"/>
      <c r="GW11" s="401"/>
      <c r="GX11" s="401"/>
      <c r="GY11" s="401"/>
      <c r="GZ11" s="401"/>
    </row>
    <row r="12" spans="1:367">
      <c r="A12" t="s">
        <v>764</v>
      </c>
      <c r="B12">
        <v>2025</v>
      </c>
      <c r="C12" s="401"/>
      <c r="D12" s="401"/>
      <c r="E12" s="401"/>
      <c r="F12" s="401"/>
      <c r="G12" s="401"/>
      <c r="H12" s="401"/>
      <c r="I12" s="401"/>
      <c r="J12" s="401"/>
      <c r="K12" s="401"/>
      <c r="L12" s="401"/>
      <c r="M12" s="401"/>
      <c r="N12" s="401"/>
      <c r="O12" s="401"/>
      <c r="P12" s="401"/>
      <c r="Q12" s="401"/>
      <c r="R12" s="401"/>
      <c r="S12" s="401"/>
      <c r="T12" s="401"/>
      <c r="U12" s="401"/>
      <c r="V12" s="401"/>
      <c r="W12" s="401"/>
      <c r="X12" s="401"/>
      <c r="Y12" s="401"/>
      <c r="Z12" s="401"/>
      <c r="AA12" s="401"/>
      <c r="AB12" s="401"/>
      <c r="AC12" s="401"/>
      <c r="AD12" s="401"/>
      <c r="AE12" s="401"/>
      <c r="AF12" s="401"/>
      <c r="AG12" s="401"/>
      <c r="AH12" s="401"/>
      <c r="AI12" s="401"/>
      <c r="AJ12" s="401"/>
      <c r="AK12" s="401"/>
      <c r="AL12" s="401"/>
      <c r="AM12" s="401"/>
      <c r="AN12" s="401"/>
      <c r="AO12" s="401"/>
      <c r="AP12" s="401"/>
      <c r="AQ12" s="401"/>
      <c r="AR12" s="401"/>
      <c r="AS12" s="401"/>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c r="BW12" s="401"/>
      <c r="BX12" s="401"/>
      <c r="BY12" s="401"/>
      <c r="BZ12" s="401"/>
      <c r="CA12" s="401"/>
      <c r="CB12" s="401"/>
      <c r="CC12" s="401"/>
      <c r="CD12" s="401"/>
      <c r="CE12" s="401"/>
      <c r="CF12" s="474"/>
      <c r="CG12" s="474"/>
      <c r="CH12" s="474"/>
      <c r="CI12" s="474"/>
      <c r="CJ12" s="474"/>
      <c r="CK12" s="474"/>
      <c r="CL12" s="474"/>
      <c r="CM12" s="474"/>
      <c r="CN12" s="474"/>
      <c r="CO12" s="474"/>
      <c r="CP12" s="474"/>
      <c r="CQ12" s="474"/>
      <c r="CR12" s="474"/>
      <c r="CS12" s="474"/>
      <c r="CT12" s="474"/>
      <c r="CU12" s="474"/>
      <c r="CV12" s="401"/>
      <c r="CW12" s="401"/>
      <c r="CX12" s="401"/>
      <c r="CY12" s="401"/>
      <c r="CZ12" s="401"/>
      <c r="DA12" s="401"/>
      <c r="DB12" s="401"/>
      <c r="DC12" s="401"/>
      <c r="DD12" s="401"/>
      <c r="DE12" s="401"/>
      <c r="DF12" s="401"/>
      <c r="DG12" s="401"/>
      <c r="DH12" s="401"/>
      <c r="DI12" s="401"/>
      <c r="DJ12" s="401"/>
      <c r="DK12" s="401"/>
      <c r="DL12" s="401"/>
      <c r="DM12" s="401"/>
      <c r="DN12" s="474"/>
      <c r="DO12" s="401"/>
      <c r="DP12" s="401"/>
      <c r="DQ12" s="401"/>
      <c r="DR12" s="401"/>
      <c r="DS12" s="401"/>
      <c r="DT12" s="474"/>
      <c r="DU12" s="401"/>
      <c r="DV12" s="401"/>
      <c r="DW12" s="401"/>
      <c r="DX12" s="401"/>
      <c r="DY12" s="401"/>
      <c r="DZ12" s="401"/>
      <c r="EA12" s="401"/>
      <c r="EB12" s="401"/>
      <c r="EC12" s="401"/>
      <c r="ED12" s="401"/>
      <c r="EE12" s="401"/>
      <c r="EF12" s="401"/>
      <c r="EG12" s="401"/>
      <c r="EH12" s="401"/>
      <c r="EI12" s="401"/>
      <c r="EJ12" s="474"/>
      <c r="EK12" s="401"/>
      <c r="EL12" s="401"/>
      <c r="EM12" s="401"/>
      <c r="EN12" s="401"/>
      <c r="EO12" s="401"/>
      <c r="EP12" s="401"/>
      <c r="EQ12" s="401"/>
      <c r="ER12" s="401"/>
      <c r="ES12" s="401"/>
      <c r="ET12" s="401"/>
      <c r="EU12" s="401"/>
      <c r="EV12" s="401"/>
      <c r="EW12" s="401"/>
      <c r="EX12" s="401"/>
      <c r="EY12" s="401"/>
      <c r="EZ12" s="401"/>
      <c r="FA12" s="401"/>
      <c r="FB12" s="401"/>
      <c r="FC12" s="401"/>
      <c r="FD12" s="401"/>
      <c r="FE12" s="401"/>
      <c r="FF12" s="474"/>
      <c r="FG12" s="401"/>
      <c r="FH12" s="401"/>
      <c r="FI12" s="401"/>
      <c r="FJ12" s="401"/>
      <c r="FK12" s="401"/>
      <c r="FL12" s="401"/>
      <c r="FM12" s="401"/>
      <c r="FN12" s="401"/>
      <c r="FO12" s="401"/>
      <c r="FP12" s="401"/>
      <c r="FQ12" s="401"/>
      <c r="FR12" s="401"/>
      <c r="FS12" s="401"/>
      <c r="FT12" s="401"/>
      <c r="FU12" s="401"/>
      <c r="FV12" s="401"/>
      <c r="FW12" s="401"/>
      <c r="FX12" s="401"/>
      <c r="FY12" s="401"/>
      <c r="FZ12" s="401"/>
      <c r="GA12" s="401"/>
      <c r="GB12" s="401"/>
      <c r="GC12" s="401"/>
      <c r="GD12" s="401"/>
      <c r="GE12" s="401"/>
      <c r="GF12" s="401"/>
      <c r="GG12" s="401"/>
      <c r="GH12" s="401"/>
      <c r="GI12" s="401"/>
      <c r="GJ12" s="401"/>
      <c r="GK12" s="401"/>
      <c r="GL12" s="401"/>
      <c r="GM12" s="401"/>
      <c r="GN12" s="401"/>
      <c r="GO12" s="401"/>
      <c r="GP12" s="401"/>
      <c r="GQ12" s="401"/>
      <c r="GR12" s="401"/>
      <c r="GS12" s="401"/>
      <c r="GT12" s="401"/>
      <c r="GU12" s="401"/>
      <c r="GV12" s="401"/>
      <c r="GW12" s="401"/>
      <c r="GX12" s="401"/>
      <c r="GY12" s="401"/>
      <c r="GZ12" s="401"/>
    </row>
    <row r="13" spans="1:367">
      <c r="A13" t="s">
        <v>765</v>
      </c>
      <c r="B13">
        <v>2025</v>
      </c>
      <c r="C13" s="401"/>
      <c r="D13" s="401"/>
      <c r="E13" s="401"/>
      <c r="F13" s="401"/>
      <c r="G13" s="401"/>
      <c r="H13" s="401"/>
      <c r="I13" s="401"/>
      <c r="J13" s="401"/>
      <c r="K13" s="401"/>
      <c r="L13" s="401"/>
      <c r="M13" s="401"/>
      <c r="N13" s="401"/>
      <c r="O13" s="401"/>
      <c r="P13" s="401"/>
      <c r="Q13" s="401"/>
      <c r="R13" s="401"/>
      <c r="S13" s="401"/>
      <c r="T13" s="401"/>
      <c r="U13" s="401"/>
      <c r="V13" s="401"/>
      <c r="W13" s="401"/>
      <c r="X13" s="401"/>
      <c r="Y13" s="401"/>
      <c r="Z13" s="401"/>
      <c r="AA13" s="401"/>
      <c r="AB13" s="401"/>
      <c r="AC13" s="401"/>
      <c r="AD13" s="401"/>
      <c r="AE13" s="401"/>
      <c r="AF13" s="401"/>
      <c r="AG13" s="401"/>
      <c r="AH13" s="401"/>
      <c r="AI13" s="401"/>
      <c r="AJ13" s="401"/>
      <c r="AK13" s="401"/>
      <c r="AL13" s="401"/>
      <c r="AM13" s="401"/>
      <c r="AN13" s="401"/>
      <c r="AO13" s="401"/>
      <c r="AP13" s="401"/>
      <c r="AQ13" s="401"/>
      <c r="AR13" s="401"/>
      <c r="AS13" s="401"/>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c r="BW13" s="401"/>
      <c r="BX13" s="401"/>
      <c r="BY13" s="401"/>
      <c r="BZ13" s="401"/>
      <c r="CA13" s="401"/>
      <c r="CB13" s="401"/>
      <c r="CC13" s="401"/>
      <c r="CD13" s="401"/>
      <c r="CE13" s="401"/>
      <c r="CF13" s="474"/>
      <c r="CG13" s="474"/>
      <c r="CH13" s="474"/>
      <c r="CI13" s="474"/>
      <c r="CJ13" s="474"/>
      <c r="CK13" s="474"/>
      <c r="CL13" s="474"/>
      <c r="CM13" s="474"/>
      <c r="CN13" s="474"/>
      <c r="CO13" s="474"/>
      <c r="CP13" s="474"/>
      <c r="CQ13" s="474"/>
      <c r="CR13" s="474"/>
      <c r="CS13" s="474"/>
      <c r="CT13" s="474"/>
      <c r="CU13" s="474"/>
      <c r="CV13" s="401"/>
      <c r="CW13" s="401"/>
      <c r="CX13" s="401"/>
      <c r="CY13" s="401"/>
      <c r="CZ13" s="401"/>
      <c r="DA13" s="401"/>
      <c r="DB13" s="401"/>
      <c r="DC13" s="401"/>
      <c r="DD13" s="401"/>
      <c r="DE13" s="401"/>
      <c r="DF13" s="401"/>
      <c r="DG13" s="401"/>
      <c r="DH13" s="401"/>
      <c r="DI13" s="401"/>
      <c r="DJ13" s="401"/>
      <c r="DK13" s="401"/>
      <c r="DL13" s="401"/>
      <c r="DM13" s="401"/>
      <c r="DN13" s="474"/>
      <c r="DO13" s="401"/>
      <c r="DP13" s="401"/>
      <c r="DQ13" s="401"/>
      <c r="DR13" s="401"/>
      <c r="DS13" s="401"/>
      <c r="DT13" s="474"/>
      <c r="DU13" s="401"/>
      <c r="DV13" s="401"/>
      <c r="DW13" s="401"/>
      <c r="DX13" s="401"/>
      <c r="DY13" s="401"/>
      <c r="DZ13" s="401"/>
      <c r="EA13" s="401"/>
      <c r="EB13" s="401"/>
      <c r="EC13" s="401"/>
      <c r="ED13" s="401"/>
      <c r="EE13" s="401"/>
      <c r="EF13" s="401"/>
      <c r="EG13" s="401"/>
      <c r="EH13" s="401"/>
      <c r="EI13" s="401"/>
      <c r="EJ13" s="474"/>
      <c r="EK13" s="401"/>
      <c r="EL13" s="401"/>
      <c r="EM13" s="401"/>
      <c r="EN13" s="401"/>
      <c r="EO13" s="401"/>
      <c r="EP13" s="401"/>
      <c r="EQ13" s="401"/>
      <c r="ER13" s="401"/>
      <c r="ES13" s="401"/>
      <c r="ET13" s="401"/>
      <c r="EU13" s="401"/>
      <c r="EV13" s="401"/>
      <c r="EW13" s="401"/>
      <c r="EX13" s="401"/>
      <c r="EY13" s="401"/>
      <c r="EZ13" s="401"/>
      <c r="FA13" s="401"/>
      <c r="FB13" s="401"/>
      <c r="FC13" s="401"/>
      <c r="FD13" s="401"/>
      <c r="FE13" s="401"/>
      <c r="FF13" s="474"/>
      <c r="FG13" s="401"/>
      <c r="FH13" s="401"/>
      <c r="FI13" s="401"/>
      <c r="FJ13" s="401"/>
      <c r="FK13" s="401"/>
      <c r="FL13" s="401"/>
      <c r="FM13" s="401"/>
      <c r="FN13" s="401"/>
      <c r="FO13" s="401"/>
      <c r="FP13" s="401"/>
      <c r="FQ13" s="401"/>
      <c r="FR13" s="401"/>
      <c r="FS13" s="401"/>
      <c r="FT13" s="401"/>
      <c r="FU13" s="401"/>
      <c r="FV13" s="401"/>
      <c r="FW13" s="401"/>
      <c r="FX13" s="401"/>
      <c r="FY13" s="401"/>
      <c r="FZ13" s="401"/>
      <c r="GA13" s="401"/>
      <c r="GB13" s="401"/>
      <c r="GC13" s="401"/>
      <c r="GD13" s="401"/>
      <c r="GE13" s="401"/>
      <c r="GF13" s="401"/>
      <c r="GG13" s="401"/>
      <c r="GH13" s="401"/>
      <c r="GI13" s="401"/>
      <c r="GJ13" s="401"/>
      <c r="GK13" s="401"/>
      <c r="GL13" s="401"/>
      <c r="GM13" s="401"/>
      <c r="GN13" s="401"/>
      <c r="GO13" s="401"/>
      <c r="GP13" s="401"/>
      <c r="GQ13" s="401"/>
      <c r="GR13" s="401"/>
      <c r="GS13" s="401"/>
      <c r="GT13" s="401"/>
      <c r="GU13" s="401"/>
      <c r="GV13" s="401"/>
      <c r="GW13" s="401"/>
      <c r="GX13" s="401"/>
      <c r="GY13" s="401"/>
      <c r="GZ13" s="401"/>
    </row>
    <row r="14" spans="1:367">
      <c r="A14" t="s">
        <v>768</v>
      </c>
      <c r="B14">
        <v>2025</v>
      </c>
      <c r="C14" s="401"/>
      <c r="D14" s="401"/>
      <c r="E14" s="401"/>
      <c r="F14" s="401"/>
      <c r="G14" s="401"/>
      <c r="H14" s="401"/>
      <c r="I14" s="401"/>
      <c r="J14" s="401"/>
      <c r="K14" s="401"/>
      <c r="L14" s="401"/>
      <c r="M14" s="401"/>
      <c r="N14" s="401"/>
      <c r="O14" s="401"/>
      <c r="P14" s="401"/>
      <c r="Q14" s="401"/>
      <c r="R14" s="401"/>
      <c r="S14" s="401"/>
      <c r="T14" s="401"/>
      <c r="U14" s="401"/>
      <c r="V14" s="401"/>
      <c r="W14" s="401"/>
      <c r="X14" s="401"/>
      <c r="Y14" s="401"/>
      <c r="Z14" s="401"/>
      <c r="AA14" s="401"/>
      <c r="AB14" s="401"/>
      <c r="AC14" s="401"/>
      <c r="AD14" s="401"/>
      <c r="AE14" s="401"/>
      <c r="AF14" s="401"/>
      <c r="AG14" s="401"/>
      <c r="AH14" s="401"/>
      <c r="AI14" s="401"/>
      <c r="AJ14" s="401"/>
      <c r="AK14" s="401"/>
      <c r="AL14" s="401"/>
      <c r="AM14" s="401"/>
      <c r="AN14" s="401"/>
      <c r="AO14" s="401"/>
      <c r="AP14" s="401"/>
      <c r="AQ14" s="401"/>
      <c r="AR14" s="401"/>
      <c r="AS14" s="401"/>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c r="BW14" s="401"/>
      <c r="BX14" s="401"/>
      <c r="BY14" s="401"/>
      <c r="BZ14" s="401"/>
      <c r="CA14" s="401"/>
      <c r="CB14" s="401"/>
      <c r="CC14" s="401"/>
      <c r="CD14" s="401"/>
      <c r="CE14" s="401"/>
      <c r="CF14" s="474"/>
      <c r="CG14" s="474"/>
      <c r="CH14" s="474"/>
      <c r="CI14" s="474"/>
      <c r="CJ14" s="474"/>
      <c r="CK14" s="474"/>
      <c r="CL14" s="474"/>
      <c r="CM14" s="474"/>
      <c r="CN14" s="474"/>
      <c r="CO14" s="474"/>
      <c r="CP14" s="474"/>
      <c r="CQ14" s="474"/>
      <c r="CR14" s="474"/>
      <c r="CS14" s="474"/>
      <c r="CT14" s="474"/>
      <c r="CU14" s="474"/>
      <c r="CV14" s="401"/>
      <c r="CW14" s="401"/>
      <c r="CX14" s="401"/>
      <c r="CY14" s="401"/>
      <c r="CZ14" s="401"/>
      <c r="DA14" s="401"/>
      <c r="DB14" s="401"/>
      <c r="DC14" s="401"/>
      <c r="DD14" s="401"/>
      <c r="DE14" s="401"/>
      <c r="DF14" s="401"/>
      <c r="DG14" s="401"/>
      <c r="DH14" s="401"/>
      <c r="DI14" s="401"/>
      <c r="DJ14" s="401"/>
      <c r="DK14" s="401"/>
      <c r="DL14" s="401"/>
      <c r="DM14" s="401"/>
      <c r="DN14" s="474"/>
      <c r="DO14" s="401"/>
      <c r="DP14" s="401"/>
      <c r="DQ14" s="401"/>
      <c r="DR14" s="401"/>
      <c r="DS14" s="401"/>
      <c r="DT14" s="474"/>
      <c r="DU14" s="401"/>
      <c r="DV14" s="401"/>
      <c r="DW14" s="401"/>
      <c r="DX14" s="401"/>
      <c r="DY14" s="401"/>
      <c r="DZ14" s="401"/>
      <c r="EA14" s="401"/>
      <c r="EB14" s="401"/>
      <c r="EC14" s="401"/>
      <c r="ED14" s="401"/>
      <c r="EE14" s="401"/>
      <c r="EF14" s="401"/>
      <c r="EG14" s="401"/>
      <c r="EH14" s="401"/>
      <c r="EI14" s="401"/>
      <c r="EJ14" s="474"/>
      <c r="EK14" s="401"/>
      <c r="EL14" s="401"/>
      <c r="EM14" s="401"/>
      <c r="EN14" s="401"/>
      <c r="EO14" s="401"/>
      <c r="EP14" s="401"/>
      <c r="EQ14" s="401"/>
      <c r="ER14" s="401"/>
      <c r="ES14" s="401"/>
      <c r="ET14" s="401"/>
      <c r="EU14" s="401"/>
      <c r="EV14" s="401"/>
      <c r="EW14" s="401"/>
      <c r="EX14" s="401"/>
      <c r="EY14" s="401"/>
      <c r="EZ14" s="401"/>
      <c r="FA14" s="401"/>
      <c r="FB14" s="401"/>
      <c r="FC14" s="401"/>
      <c r="FD14" s="401"/>
      <c r="FE14" s="401"/>
      <c r="FF14" s="474"/>
      <c r="FG14" s="401"/>
      <c r="FH14" s="401"/>
      <c r="FI14" s="401"/>
      <c r="FJ14" s="401"/>
      <c r="FK14" s="401"/>
      <c r="FL14" s="401"/>
      <c r="FM14" s="401"/>
      <c r="FN14" s="401"/>
      <c r="FO14" s="401"/>
      <c r="FP14" s="401"/>
      <c r="FQ14" s="401"/>
      <c r="FR14" s="401"/>
      <c r="FS14" s="401"/>
      <c r="FT14" s="401"/>
      <c r="FU14" s="401"/>
      <c r="FV14" s="401"/>
      <c r="FW14" s="401"/>
      <c r="FX14" s="401"/>
      <c r="FY14" s="401"/>
      <c r="FZ14" s="401"/>
      <c r="GA14" s="401"/>
      <c r="GB14" s="401"/>
      <c r="GC14" s="401"/>
      <c r="GD14" s="401"/>
      <c r="GE14" s="401"/>
      <c r="GF14" s="401"/>
      <c r="GG14" s="401"/>
      <c r="GH14" s="401"/>
      <c r="GI14" s="401"/>
      <c r="GJ14" s="401"/>
      <c r="GK14" s="401"/>
      <c r="GL14" s="401"/>
      <c r="GM14" s="401"/>
      <c r="GN14" s="401"/>
      <c r="GO14" s="401"/>
      <c r="GP14" s="401"/>
      <c r="GQ14" s="401"/>
      <c r="GR14" s="401"/>
      <c r="GS14" s="401"/>
      <c r="GT14" s="401"/>
      <c r="GU14" s="401"/>
      <c r="GV14" s="401"/>
      <c r="GW14" s="401"/>
      <c r="GX14" s="401"/>
      <c r="GY14" s="401"/>
      <c r="GZ14" s="401"/>
    </row>
    <row r="15" spans="1:367">
      <c r="A15" t="s">
        <v>769</v>
      </c>
      <c r="B15">
        <v>2025</v>
      </c>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473"/>
      <c r="AA15" s="473"/>
      <c r="AB15" s="473"/>
      <c r="AC15" s="473"/>
      <c r="AD15" s="473"/>
      <c r="AE15" s="473"/>
      <c r="AF15" s="473"/>
      <c r="AG15" s="473"/>
      <c r="AH15" s="473"/>
      <c r="AI15" s="473"/>
      <c r="AJ15" s="473"/>
      <c r="AK15" s="473"/>
      <c r="AL15" s="473"/>
      <c r="AM15" s="473"/>
      <c r="AN15" s="473"/>
      <c r="AO15" s="473"/>
      <c r="AP15" s="473"/>
      <c r="AQ15" s="473"/>
      <c r="AR15" s="473"/>
      <c r="AS15" s="473"/>
      <c r="AT15" s="473"/>
      <c r="AU15" s="473"/>
      <c r="AV15" s="473"/>
      <c r="AW15" s="473"/>
      <c r="AX15" s="473"/>
      <c r="AY15" s="473"/>
      <c r="AZ15" s="473"/>
      <c r="BA15" s="473"/>
      <c r="BB15" s="473"/>
      <c r="BC15" s="473"/>
      <c r="BD15" s="473"/>
      <c r="BE15" s="473"/>
      <c r="BF15" s="473"/>
      <c r="BG15" s="473"/>
      <c r="BH15" s="473"/>
      <c r="BI15" s="473"/>
      <c r="BJ15" s="473"/>
      <c r="BK15" s="473"/>
      <c r="BL15" s="473"/>
      <c r="BM15" s="473"/>
      <c r="BN15" s="473"/>
      <c r="BO15" s="473"/>
      <c r="BP15" s="473"/>
      <c r="BQ15" s="473"/>
      <c r="BR15" s="473"/>
      <c r="BS15" s="473"/>
      <c r="BT15" s="473"/>
      <c r="BU15" s="473"/>
      <c r="BV15" s="473"/>
      <c r="BW15" s="473"/>
      <c r="BX15" s="473"/>
      <c r="BY15" s="473"/>
      <c r="BZ15" s="473"/>
      <c r="CA15" s="473"/>
      <c r="CB15" s="473"/>
      <c r="CC15" s="473"/>
      <c r="CD15" s="473"/>
      <c r="CE15" s="473"/>
      <c r="CF15" s="474"/>
      <c r="CG15" s="474"/>
      <c r="CH15" s="474"/>
      <c r="CI15" s="474"/>
      <c r="CJ15" s="474"/>
      <c r="CK15" s="474"/>
      <c r="CL15" s="474"/>
      <c r="CM15" s="474"/>
      <c r="CN15" s="474"/>
      <c r="CO15" s="474"/>
      <c r="CP15" s="474"/>
      <c r="CQ15" s="474"/>
      <c r="CR15" s="474"/>
      <c r="CS15" s="474"/>
      <c r="CT15" s="474"/>
      <c r="CU15" s="474"/>
      <c r="CV15" s="401"/>
      <c r="CW15" s="401"/>
      <c r="CX15" s="401"/>
      <c r="CY15" s="401"/>
      <c r="CZ15" s="401"/>
      <c r="DA15" s="401"/>
      <c r="DB15" s="401"/>
      <c r="DC15" s="401"/>
      <c r="DD15" s="401"/>
      <c r="DE15" s="401"/>
      <c r="DF15" s="401"/>
      <c r="DG15" s="401"/>
      <c r="DH15" s="401"/>
      <c r="DI15" s="401"/>
      <c r="DJ15" s="401"/>
      <c r="DK15" s="401"/>
      <c r="DL15" s="401"/>
      <c r="DM15" s="401"/>
      <c r="DN15" s="474"/>
      <c r="DO15" s="401"/>
      <c r="DP15" s="401"/>
      <c r="DQ15" s="401"/>
      <c r="DR15" s="401"/>
      <c r="DS15" s="401"/>
      <c r="DT15" s="474"/>
      <c r="DU15" s="401"/>
      <c r="DV15" s="401"/>
      <c r="DW15" s="401"/>
      <c r="DX15" s="401"/>
      <c r="DY15" s="401"/>
      <c r="DZ15" s="401"/>
      <c r="EA15" s="401"/>
      <c r="EB15" s="401"/>
      <c r="EC15" s="401"/>
      <c r="ED15" s="401"/>
      <c r="EE15" s="401"/>
      <c r="EF15" s="401"/>
      <c r="EG15" s="401"/>
      <c r="EH15" s="401"/>
      <c r="EI15" s="401"/>
      <c r="EJ15" s="474"/>
      <c r="EK15" s="401"/>
      <c r="EL15" s="401"/>
      <c r="EM15" s="401"/>
      <c r="EN15" s="401"/>
      <c r="EO15" s="401"/>
      <c r="EP15" s="401"/>
      <c r="EQ15" s="401"/>
      <c r="ER15" s="401"/>
      <c r="ES15" s="401"/>
      <c r="ET15" s="401"/>
      <c r="EU15" s="401"/>
      <c r="EV15" s="401"/>
      <c r="EW15" s="401"/>
      <c r="EX15" s="401"/>
      <c r="EY15" s="401"/>
      <c r="EZ15" s="401"/>
      <c r="FA15" s="401"/>
      <c r="FB15" s="401"/>
      <c r="FC15" s="401"/>
      <c r="FD15" s="401"/>
      <c r="FE15" s="401"/>
      <c r="FF15" s="474"/>
      <c r="FG15" s="401"/>
      <c r="FH15" s="401"/>
      <c r="FI15" s="401"/>
      <c r="FJ15" s="401"/>
      <c r="FK15" s="401"/>
      <c r="FL15" s="401"/>
      <c r="FM15" s="401"/>
      <c r="FN15" s="401"/>
      <c r="FO15" s="401"/>
      <c r="FP15" s="401"/>
      <c r="FQ15" s="401"/>
      <c r="FR15" s="401"/>
      <c r="FS15" s="401"/>
      <c r="FT15" s="401"/>
      <c r="FU15" s="401"/>
      <c r="FV15" s="401"/>
      <c r="FW15" s="401"/>
      <c r="FX15" s="401"/>
      <c r="FY15" s="401"/>
      <c r="FZ15" s="401"/>
      <c r="GA15" s="401"/>
      <c r="GB15" s="401"/>
      <c r="GC15" s="401"/>
      <c r="GD15" s="401"/>
      <c r="GE15" s="401"/>
      <c r="GF15" s="401"/>
      <c r="GG15" s="401"/>
      <c r="GH15" s="401"/>
      <c r="GI15" s="401"/>
      <c r="GJ15" s="401"/>
      <c r="GK15" s="401"/>
      <c r="GL15" s="401"/>
      <c r="GM15" s="401"/>
      <c r="GN15" s="401"/>
      <c r="GO15" s="401"/>
      <c r="GP15" s="401"/>
      <c r="GQ15" s="401"/>
      <c r="GR15" s="401"/>
      <c r="GS15" s="401"/>
      <c r="GT15" s="401"/>
      <c r="GU15" s="401"/>
      <c r="GV15" s="401"/>
      <c r="GW15" s="401"/>
      <c r="GX15" s="401"/>
      <c r="GY15" s="401"/>
      <c r="GZ15" s="401"/>
    </row>
    <row r="19" spans="1:2">
      <c r="A19" t="s">
        <v>8537</v>
      </c>
      <c r="B19">
        <v>2026</v>
      </c>
    </row>
    <row r="20" spans="1:2">
      <c r="A20" t="s">
        <v>764</v>
      </c>
      <c r="B20">
        <v>2026</v>
      </c>
    </row>
    <row r="21" spans="1:2">
      <c r="A21" t="s">
        <v>765</v>
      </c>
      <c r="B21">
        <v>2026</v>
      </c>
    </row>
    <row r="22" spans="1:2">
      <c r="A22" t="s">
        <v>768</v>
      </c>
      <c r="B22">
        <v>2026</v>
      </c>
    </row>
    <row r="23" spans="1:2">
      <c r="A23" t="s">
        <v>769</v>
      </c>
      <c r="B23">
        <v>2026</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49"/>
  <sheetViews>
    <sheetView tabSelected="1" zoomScale="110" zoomScaleNormal="110" workbookViewId="0">
      <pane ySplit="5" topLeftCell="A395" activePane="bottomLeft" state="frozen"/>
      <selection pane="bottomLeft" activeCell="P406" sqref="P406"/>
    </sheetView>
  </sheetViews>
  <sheetFormatPr defaultColWidth="11.59765625" defaultRowHeight="13.5" customHeight="1"/>
  <cols>
    <col min="1" max="1" width="32.59765625" customWidth="1"/>
    <col min="2" max="2" width="5" customWidth="1"/>
    <col min="3" max="3" width="4.86328125" customWidth="1"/>
    <col min="4" max="4" width="4.59765625" customWidth="1"/>
    <col min="5" max="5" width="5.265625" customWidth="1"/>
    <col min="6" max="6" width="4.1328125" customWidth="1"/>
    <col min="7" max="8" width="4.3984375" customWidth="1"/>
    <col min="9" max="9" width="4" customWidth="1"/>
    <col min="10" max="10" width="4.59765625" customWidth="1"/>
    <col min="11" max="11" width="5.86328125" customWidth="1"/>
    <col min="12" max="12" width="12.73046875" customWidth="1"/>
    <col min="13" max="13" width="15" customWidth="1"/>
    <col min="14" max="14" width="16.3984375" customWidth="1"/>
    <col min="15" max="15" width="13.73046875" customWidth="1"/>
    <col min="16" max="16" width="15.1328125" customWidth="1"/>
    <col min="17" max="18" width="11.59765625" customWidth="1"/>
    <col min="19" max="19" width="12" bestFit="1" customWidth="1"/>
    <col min="20" max="20" width="14.3984375" customWidth="1"/>
    <col min="22" max="22" width="12.86328125" customWidth="1"/>
    <col min="23" max="23" width="13.1328125" customWidth="1"/>
    <col min="28" max="28" width="15.3984375" customWidth="1"/>
    <col min="31" max="31" width="13.73046875" customWidth="1"/>
    <col min="32" max="32" width="12.59765625" customWidth="1"/>
    <col min="33" max="33" width="19" customWidth="1"/>
    <col min="34" max="34" width="13.796875" customWidth="1"/>
    <col min="35" max="35" width="17.73046875" customWidth="1"/>
    <col min="36" max="36" width="17.59765625" customWidth="1"/>
    <col min="37" max="37" width="19.59765625" customWidth="1"/>
    <col min="38" max="38" width="9.86328125" customWidth="1"/>
    <col min="39" max="39" width="17" customWidth="1"/>
    <col min="42" max="42" width="10.86328125" customWidth="1"/>
    <col min="43" max="43" width="14.13281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4.25">
      <c r="M2" t="s">
        <v>758</v>
      </c>
      <c r="N2">
        <v>126</v>
      </c>
      <c r="O2">
        <v>159</v>
      </c>
      <c r="P2">
        <f>O2-N2</f>
        <v>33</v>
      </c>
      <c r="Q2">
        <f>P2*S6</f>
        <v>31.728378000000003</v>
      </c>
      <c r="R2" s="17" t="s">
        <v>4275</v>
      </c>
      <c r="S2" s="388">
        <f>'SWAP Data Volumns'!K108</f>
        <v>0.5056665308181959</v>
      </c>
      <c r="T2">
        <f>S2*86400*8/1000000</f>
        <v>0.34951670610153701</v>
      </c>
    </row>
    <row r="3" spans="2:33" ht="14.25">
      <c r="N3">
        <v>159</v>
      </c>
      <c r="O3">
        <v>181</v>
      </c>
      <c r="P3">
        <f>O3-N3</f>
        <v>22</v>
      </c>
      <c r="Q3">
        <f>P3*X6</f>
        <v>56.201820631579039</v>
      </c>
      <c r="R3" s="17" t="s">
        <v>4305</v>
      </c>
      <c r="S3" s="388">
        <f>'SWAP Data Volumns'!K99</f>
        <v>0.80996710526315774</v>
      </c>
      <c r="V3">
        <f>4.513307/V10</f>
        <v>0.92947580888228509</v>
      </c>
      <c r="X3">
        <f>25/X6</f>
        <v>9.7861598400063663</v>
      </c>
    </row>
    <row r="4" spans="2:33" ht="14.25">
      <c r="N4">
        <v>181</v>
      </c>
      <c r="O4">
        <v>218</v>
      </c>
      <c r="P4">
        <f>O4-N4</f>
        <v>37</v>
      </c>
      <c r="Q4">
        <f>P4*S6</f>
        <v>35.574241999999998</v>
      </c>
      <c r="R4" s="17" t="s">
        <v>4169</v>
      </c>
      <c r="S4" s="388">
        <f>'SWAP Data Volumns'!K90</f>
        <v>1.4028285692679976</v>
      </c>
      <c r="W4" t="s">
        <v>4115</v>
      </c>
      <c r="X4" s="401">
        <f>'SWAP Data Volumns'!K108</f>
        <v>0.5056665308181959</v>
      </c>
    </row>
    <row r="5" spans="2:33" ht="14.25">
      <c r="L5">
        <f>66+90+23+164+28+5</f>
        <v>376</v>
      </c>
      <c r="M5">
        <f>16+18+66+90+23+164+33</f>
        <v>410</v>
      </c>
      <c r="Q5">
        <f>Q4+Q3+Q2</f>
        <v>123.50444063157904</v>
      </c>
      <c r="R5" s="17" t="s">
        <v>4274</v>
      </c>
      <c r="S5" s="388">
        <f>'SWAP Data Volumns'!K72</f>
        <v>3.6959320175438592</v>
      </c>
    </row>
    <row r="6" spans="2:33" ht="14.25">
      <c r="L6">
        <f>(51-44)*X6</f>
        <v>17.882397473684239</v>
      </c>
      <c r="M6">
        <f>82+49+54+105+82+39</f>
        <v>411</v>
      </c>
      <c r="R6" t="s">
        <v>759</v>
      </c>
      <c r="S6" s="3">
        <v>0.96146600000000004</v>
      </c>
      <c r="U6" t="s">
        <v>759</v>
      </c>
      <c r="V6" s="3">
        <f>V9*8*86400/1000000</f>
        <v>2.6403840000000001</v>
      </c>
      <c r="W6" s="3">
        <v>2.546459</v>
      </c>
      <c r="X6">
        <v>2.5546282105263201</v>
      </c>
    </row>
    <row r="7" spans="2:33" ht="14.2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4.2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4.25">
      <c r="N9" t="s">
        <v>779</v>
      </c>
      <c r="O9">
        <f>125/X6</f>
        <v>48.930799200031828</v>
      </c>
      <c r="Q9">
        <v>0.96146600000000004</v>
      </c>
      <c r="R9" s="134" t="s">
        <v>780</v>
      </c>
      <c r="S9" s="135">
        <f>S6*1000000/(8*86400)</f>
        <v>1.391009837962963</v>
      </c>
      <c r="T9" s="3">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4.2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4.2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4.2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4.2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4.2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4.2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4.2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3:33" ht="14.2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3:33" ht="14.2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3:33" ht="14.2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3:33" ht="14.25">
      <c r="S20">
        <v>25159</v>
      </c>
      <c r="T20" t="s">
        <v>792</v>
      </c>
      <c r="U20" s="134" t="s">
        <v>785</v>
      </c>
      <c r="V20" s="218">
        <f t="shared" si="0"/>
        <v>52.75</v>
      </c>
      <c r="W20" t="s">
        <v>808</v>
      </c>
      <c r="X20" s="3" t="s">
        <v>794</v>
      </c>
      <c r="Y20" s="217">
        <f t="shared" si="1"/>
        <v>422</v>
      </c>
      <c r="AD20">
        <v>422</v>
      </c>
      <c r="AF20" s="3">
        <f t="shared" si="2"/>
        <v>36.460799999999999</v>
      </c>
    </row>
    <row r="21" spans="13:33" ht="14.65" thickBot="1">
      <c r="Q21" t="s">
        <v>4088</v>
      </c>
      <c r="R21" t="s">
        <v>8506</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3:33" ht="14.65" thickBot="1">
      <c r="M22">
        <f>20.2/22.12</f>
        <v>0.91320072332730551</v>
      </c>
      <c r="N22" s="528" t="s">
        <v>8576</v>
      </c>
      <c r="Q22" s="91" t="s">
        <v>805</v>
      </c>
      <c r="R22" s="528" t="s">
        <v>8578</v>
      </c>
      <c r="S22" s="91"/>
      <c r="T22" s="146" t="s">
        <v>4089</v>
      </c>
      <c r="U22" s="134" t="s">
        <v>785</v>
      </c>
      <c r="V22" s="218">
        <f t="shared" ref="V22" si="3">Y22/8</f>
        <v>4.5625303819444447</v>
      </c>
      <c r="W22" t="s">
        <v>805</v>
      </c>
      <c r="X22" s="3" t="s">
        <v>8579</v>
      </c>
      <c r="Y22" s="217">
        <f t="shared" ref="Y22" si="4">SUM(Z22:AE22)</f>
        <v>36.500243055555558</v>
      </c>
      <c r="AA22" s="529">
        <v>20.195555555555554</v>
      </c>
      <c r="AB22" s="529"/>
      <c r="AC22" s="529">
        <v>16.3046875</v>
      </c>
      <c r="AF22" s="3">
        <f t="shared" ref="AF22" si="5">Y22*86400/1000000</f>
        <v>3.1536209999999998</v>
      </c>
    </row>
    <row r="23" spans="13:33" ht="14.65" thickBot="1">
      <c r="Q23" s="91" t="s">
        <v>4362</v>
      </c>
      <c r="R23" s="91"/>
      <c r="S23" s="91"/>
      <c r="T23" s="146" t="s">
        <v>4089</v>
      </c>
      <c r="U23" s="134" t="s">
        <v>785</v>
      </c>
      <c r="V23" s="218">
        <f t="shared" ref="V23" si="6">Y23/8</f>
        <v>0.55078125</v>
      </c>
      <c r="W23" t="s">
        <v>8571</v>
      </c>
      <c r="X23" s="3" t="s">
        <v>8579</v>
      </c>
      <c r="Y23" s="217">
        <f t="shared" ref="Y23" si="7">SUM(Z23:AE23)</f>
        <v>4.40625</v>
      </c>
      <c r="AE23">
        <v>4.40625</v>
      </c>
      <c r="AF23" s="3"/>
    </row>
    <row r="24" spans="13:33" ht="14.65" thickBot="1">
      <c r="Q24" t="s">
        <v>1534</v>
      </c>
      <c r="S24">
        <v>25159</v>
      </c>
      <c r="T24" s="3" t="s">
        <v>792</v>
      </c>
      <c r="U24" s="134" t="s">
        <v>785</v>
      </c>
      <c r="V24" s="218">
        <f t="shared" ref="V24:V30" si="8">Y24/8</f>
        <v>3.2851736111111056</v>
      </c>
      <c r="W24" t="s">
        <v>793</v>
      </c>
      <c r="X24" s="3" t="s">
        <v>794</v>
      </c>
      <c r="Y24" s="217">
        <f t="shared" ref="Y24:Y30" si="9">SUM(Z24:AE24)</f>
        <v>26.281388888888845</v>
      </c>
      <c r="Z24">
        <v>11.0444444444444</v>
      </c>
      <c r="AA24">
        <v>2.7650000000000001</v>
      </c>
      <c r="AB24">
        <v>0.284444444444444</v>
      </c>
      <c r="AC24">
        <v>12.1875</v>
      </c>
      <c r="AD24" s="3"/>
      <c r="AE24" s="3"/>
      <c r="AF24" s="3">
        <f t="shared" ref="AF24:AF33" si="10">Y24*86400/1000000</f>
        <v>2.2707119999999961</v>
      </c>
      <c r="AG24" s="3"/>
    </row>
    <row r="25" spans="13:33" ht="14.25">
      <c r="Q25" t="s">
        <v>1535</v>
      </c>
      <c r="S25" s="17" t="s">
        <v>797</v>
      </c>
      <c r="T25" s="3" t="s">
        <v>798</v>
      </c>
      <c r="U25" s="134" t="s">
        <v>785</v>
      </c>
      <c r="V25" s="218">
        <f t="shared" si="8"/>
        <v>1.7617361111111056</v>
      </c>
      <c r="W25" t="s">
        <v>799</v>
      </c>
      <c r="X25" s="3" t="s">
        <v>794</v>
      </c>
      <c r="Y25" s="217">
        <f t="shared" si="9"/>
        <v>14.093888888888845</v>
      </c>
      <c r="Z25">
        <v>11.0444444444444</v>
      </c>
      <c r="AA25">
        <v>2.7650000000000001</v>
      </c>
      <c r="AB25">
        <v>0.284444444444444</v>
      </c>
      <c r="AF25" s="3">
        <f t="shared" si="10"/>
        <v>1.2177119999999964</v>
      </c>
    </row>
    <row r="26" spans="13:33" ht="14.25">
      <c r="Q26" t="s">
        <v>1536</v>
      </c>
      <c r="S26">
        <v>25159</v>
      </c>
      <c r="T26" t="s">
        <v>792</v>
      </c>
      <c r="U26" s="134" t="s">
        <v>785</v>
      </c>
      <c r="V26" s="218">
        <f t="shared" si="8"/>
        <v>0.3671875</v>
      </c>
      <c r="W26" t="s">
        <v>796</v>
      </c>
      <c r="X26" s="3" t="s">
        <v>794</v>
      </c>
      <c r="Y26" s="217">
        <f t="shared" si="9"/>
        <v>2.9375</v>
      </c>
      <c r="AD26" s="3"/>
      <c r="AE26">
        <v>2.9375</v>
      </c>
      <c r="AF26" s="3">
        <f t="shared" si="10"/>
        <v>0.25380000000000003</v>
      </c>
    </row>
    <row r="27" spans="13:33" ht="14.25">
      <c r="Q27" t="s">
        <v>1537</v>
      </c>
      <c r="R27" t="s">
        <v>802</v>
      </c>
      <c r="S27">
        <v>25181</v>
      </c>
      <c r="T27" s="17" t="s">
        <v>803</v>
      </c>
      <c r="U27" s="134" t="s">
        <v>785</v>
      </c>
      <c r="V27" s="218">
        <f t="shared" si="8"/>
        <v>2.1681365740740679</v>
      </c>
      <c r="W27" t="s">
        <v>804</v>
      </c>
      <c r="X27" s="3" t="s">
        <v>794</v>
      </c>
      <c r="Y27" s="217">
        <f t="shared" si="9"/>
        <v>17.345092592592543</v>
      </c>
      <c r="Z27">
        <v>11.0444444444444</v>
      </c>
      <c r="AB27">
        <v>0.284444444444444</v>
      </c>
      <c r="AD27">
        <v>3.0787037037037002</v>
      </c>
      <c r="AE27">
        <v>2.9375</v>
      </c>
      <c r="AF27" s="3">
        <f t="shared" si="10"/>
        <v>1.4986159999999957</v>
      </c>
    </row>
    <row r="28" spans="13:33" ht="14.25">
      <c r="Q28" t="s">
        <v>1538</v>
      </c>
      <c r="S28">
        <v>25159</v>
      </c>
      <c r="T28" t="s">
        <v>792</v>
      </c>
      <c r="U28" s="134" t="s">
        <v>785</v>
      </c>
      <c r="V28" s="218">
        <f t="shared" si="8"/>
        <v>55.416666666666622</v>
      </c>
      <c r="W28" t="s">
        <v>808</v>
      </c>
      <c r="X28" s="3" t="s">
        <v>794</v>
      </c>
      <c r="Y28" s="217">
        <f t="shared" si="9"/>
        <v>443.33333333333297</v>
      </c>
      <c r="AD28">
        <v>443.33333333333297</v>
      </c>
      <c r="AF28" s="3">
        <f t="shared" si="10"/>
        <v>38.303999999999974</v>
      </c>
    </row>
    <row r="29" spans="13:33" ht="14.25">
      <c r="Q29" t="s">
        <v>1539</v>
      </c>
      <c r="S29">
        <v>25181</v>
      </c>
      <c r="T29" s="17" t="s">
        <v>803</v>
      </c>
      <c r="U29" s="134" t="s">
        <v>785</v>
      </c>
      <c r="V29" s="218">
        <f t="shared" si="8"/>
        <v>1.8690625000000001</v>
      </c>
      <c r="W29" t="s">
        <v>806</v>
      </c>
      <c r="X29" s="3" t="s">
        <v>794</v>
      </c>
      <c r="Y29" s="217">
        <f t="shared" si="9"/>
        <v>14.952500000000001</v>
      </c>
      <c r="AA29">
        <v>2.7650000000000001</v>
      </c>
      <c r="AC29">
        <v>12.1875</v>
      </c>
      <c r="AF29" s="3">
        <f t="shared" si="10"/>
        <v>1.2918959999999999</v>
      </c>
    </row>
    <row r="30" spans="13:33" s="456" customFormat="1" ht="14.65" thickBot="1">
      <c r="N30" s="456">
        <f>O30/1000000</f>
        <v>9.1461812499999996E-3</v>
      </c>
      <c r="O30" s="456">
        <f>Y30*180</f>
        <v>9146.1812499999996</v>
      </c>
      <c r="P30" s="532" t="s">
        <v>8581</v>
      </c>
      <c r="Q30" s="455" t="s">
        <v>4149</v>
      </c>
      <c r="R30" s="455"/>
      <c r="S30" s="455"/>
      <c r="T30" s="533" t="s">
        <v>8575</v>
      </c>
      <c r="U30" s="534" t="s">
        <v>785</v>
      </c>
      <c r="V30" s="535">
        <f t="shared" si="8"/>
        <v>6.3515147569444439</v>
      </c>
      <c r="W30" s="456" t="s">
        <v>4149</v>
      </c>
      <c r="X30" s="536" t="s">
        <v>8579</v>
      </c>
      <c r="Y30" s="113">
        <f t="shared" si="9"/>
        <v>50.812118055555551</v>
      </c>
      <c r="Z30" s="456">
        <v>5.5222222222222221</v>
      </c>
      <c r="AA30" s="532">
        <v>20.195555555555554</v>
      </c>
      <c r="AB30" s="456">
        <v>0.28444444444444444</v>
      </c>
      <c r="AC30" s="532">
        <v>16.3046875</v>
      </c>
      <c r="AD30" s="532">
        <v>4.395833333333333</v>
      </c>
      <c r="AE30" s="532">
        <v>4.109375</v>
      </c>
      <c r="AF30" s="536">
        <f t="shared" si="10"/>
        <v>4.3901669999999999</v>
      </c>
    </row>
    <row r="31" spans="13:33" ht="14.65" thickBot="1">
      <c r="P31" s="529" t="s">
        <v>8582</v>
      </c>
      <c r="Q31" s="91" t="s">
        <v>4149</v>
      </c>
      <c r="R31" s="91"/>
      <c r="S31" s="91"/>
      <c r="T31" s="146" t="s">
        <v>8575</v>
      </c>
      <c r="U31" s="134" t="s">
        <v>785</v>
      </c>
      <c r="V31" s="218">
        <f t="shared" ref="V31" si="11">Y31/8</f>
        <v>6.9040277777777774</v>
      </c>
      <c r="W31" t="s">
        <v>4149</v>
      </c>
      <c r="X31" s="3" t="s">
        <v>8579</v>
      </c>
      <c r="Y31" s="217">
        <f t="shared" ref="Y31" si="12">SUM(Z31:AE31)</f>
        <v>55.232222222222219</v>
      </c>
      <c r="Z31">
        <v>5.5222222222222221</v>
      </c>
      <c r="AA31">
        <v>22.12</v>
      </c>
      <c r="AB31">
        <v>0.28444444444444444</v>
      </c>
      <c r="AC31">
        <v>18.28125</v>
      </c>
      <c r="AD31">
        <v>4.6180555555555554</v>
      </c>
      <c r="AE31">
        <v>4.40625</v>
      </c>
      <c r="AF31" s="3">
        <f t="shared" ref="AF31" si="13">Y31*86400/1000000</f>
        <v>4.7720640000000003</v>
      </c>
    </row>
    <row r="32" spans="13:33" ht="14.65" thickBot="1">
      <c r="Q32" s="91" t="s">
        <v>4362</v>
      </c>
      <c r="R32" s="91"/>
      <c r="S32" s="91" t="s">
        <v>8583</v>
      </c>
      <c r="T32" s="146" t="s">
        <v>4265</v>
      </c>
      <c r="U32" s="134" t="s">
        <v>785</v>
      </c>
      <c r="V32" s="218">
        <f t="shared" ref="V32" si="14">Y32/8</f>
        <v>0.55078125</v>
      </c>
      <c r="W32" t="s">
        <v>8571</v>
      </c>
      <c r="X32" s="3" t="s">
        <v>8579</v>
      </c>
      <c r="Y32" s="217">
        <f t="shared" ref="Y32" si="15">SUM(Z32:AE32)</f>
        <v>4.40625</v>
      </c>
      <c r="AE32">
        <v>4.40625</v>
      </c>
      <c r="AF32" s="3">
        <f t="shared" ref="AF32" si="16">Y32*86400/1000000</f>
        <v>0.38069999999999998</v>
      </c>
    </row>
    <row r="33" spans="11:43" s="456" customFormat="1" ht="14.65" thickBot="1">
      <c r="P33" s="532" t="s">
        <v>8581</v>
      </c>
      <c r="Q33" s="455" t="s">
        <v>4149</v>
      </c>
      <c r="R33" s="455"/>
      <c r="S33" s="455" t="s">
        <v>8580</v>
      </c>
      <c r="T33" s="533" t="s">
        <v>4265</v>
      </c>
      <c r="U33" s="534" t="s">
        <v>785</v>
      </c>
      <c r="V33" s="535">
        <f t="shared" ref="V33" si="17">Y33/8</f>
        <v>4.9404774305555561</v>
      </c>
      <c r="W33" s="456" t="s">
        <v>4149</v>
      </c>
      <c r="X33" s="536" t="s">
        <v>4266</v>
      </c>
      <c r="Y33" s="113">
        <f t="shared" ref="Y33" si="18">SUM(Z33:AE33)</f>
        <v>39.523819444444449</v>
      </c>
      <c r="Z33" s="456">
        <v>5.5222222222222221</v>
      </c>
      <c r="AA33" s="532">
        <v>2.5244444444444443</v>
      </c>
      <c r="AB33" s="456">
        <v>0.28444444444444444</v>
      </c>
      <c r="AC33" s="532">
        <v>10.869791666666666</v>
      </c>
      <c r="AD33" s="532">
        <v>17.583333333333332</v>
      </c>
      <c r="AE33" s="532">
        <v>2.7395833333333335</v>
      </c>
      <c r="AF33" s="536">
        <f t="shared" si="10"/>
        <v>3.4148580000000006</v>
      </c>
      <c r="AG33" s="456">
        <f>AE35/AE33</f>
        <v>1.0722433460076046</v>
      </c>
    </row>
    <row r="34" spans="11:43" ht="14.65" thickBot="1">
      <c r="P34" s="529" t="s">
        <v>8582</v>
      </c>
      <c r="Q34" s="91" t="s">
        <v>4149</v>
      </c>
      <c r="R34" s="91"/>
      <c r="S34" s="91" t="s">
        <v>8580</v>
      </c>
      <c r="T34" s="146" t="s">
        <v>4265</v>
      </c>
      <c r="U34" s="134" t="s">
        <v>785</v>
      </c>
      <c r="V34" s="218">
        <f t="shared" ref="V34" si="19">Y34/8</f>
        <v>5.2711111111111109</v>
      </c>
      <c r="W34" t="s">
        <v>4149</v>
      </c>
      <c r="X34" s="3" t="s">
        <v>4266</v>
      </c>
      <c r="Y34" s="217">
        <f t="shared" ref="Y34" si="20">SUM(Z34:AE34)</f>
        <v>42.168888888888887</v>
      </c>
      <c r="Z34">
        <v>5.5222222222222221</v>
      </c>
      <c r="AA34" s="529">
        <v>2.7650000000000001</v>
      </c>
      <c r="AB34">
        <v>0.28444444444444444</v>
      </c>
      <c r="AC34" s="529">
        <v>12.1875</v>
      </c>
      <c r="AD34" s="529">
        <v>18.472222222222221</v>
      </c>
      <c r="AE34" s="529">
        <v>2.9375000000000004</v>
      </c>
      <c r="AF34" s="3">
        <f t="shared" ref="AF34" si="21">Y34*86400/1000000</f>
        <v>3.643392</v>
      </c>
    </row>
    <row r="35" spans="11:43" ht="14.25">
      <c r="Q35" s="91" t="s">
        <v>4362</v>
      </c>
      <c r="R35" s="91"/>
      <c r="S35" s="91">
        <v>26179</v>
      </c>
      <c r="T35" s="146" t="s">
        <v>4265</v>
      </c>
      <c r="U35" s="134" t="s">
        <v>785</v>
      </c>
      <c r="V35" s="218">
        <f t="shared" ref="V35" si="22">Y35/8</f>
        <v>0.36718750000000006</v>
      </c>
      <c r="W35" t="s">
        <v>8571</v>
      </c>
      <c r="X35" s="3" t="s">
        <v>4266</v>
      </c>
      <c r="Y35" s="217">
        <f t="shared" ref="Y35" si="23">SUM(Z35:AE35)</f>
        <v>2.9375000000000004</v>
      </c>
      <c r="AE35">
        <v>2.9375000000000004</v>
      </c>
      <c r="AF35" s="3">
        <f t="shared" ref="AF35" si="24">Y35*86400/1000000</f>
        <v>0.25380000000000003</v>
      </c>
    </row>
    <row r="36" spans="11:43" ht="14.65" thickBot="1">
      <c r="Z36" s="3" t="s">
        <v>764</v>
      </c>
      <c r="AA36" s="3" t="s">
        <v>765</v>
      </c>
      <c r="AB36" s="3" t="s">
        <v>766</v>
      </c>
      <c r="AC36" s="3" t="s">
        <v>767</v>
      </c>
      <c r="AD36" s="3" t="s">
        <v>768</v>
      </c>
      <c r="AE36" s="3" t="s">
        <v>769</v>
      </c>
      <c r="AF36" s="3"/>
    </row>
    <row r="37" spans="11:43" ht="14.25">
      <c r="U37" s="215" t="s">
        <v>812</v>
      </c>
      <c r="V37" s="135">
        <v>197375</v>
      </c>
      <c r="Z37" s="3" t="s">
        <v>12</v>
      </c>
      <c r="AA37" s="3" t="s">
        <v>773</v>
      </c>
      <c r="AB37" s="4" t="s">
        <v>774</v>
      </c>
      <c r="AC37" s="3" t="s">
        <v>775</v>
      </c>
      <c r="AD37" s="3" t="s">
        <v>776</v>
      </c>
      <c r="AE37" s="3" t="s">
        <v>777</v>
      </c>
      <c r="AF37" s="3" t="s">
        <v>778</v>
      </c>
    </row>
    <row r="38" spans="11:43" ht="14.25">
      <c r="P38" s="224" t="s">
        <v>813</v>
      </c>
      <c r="Q38" s="224" t="s">
        <v>814</v>
      </c>
      <c r="R38" s="225">
        <v>606262016</v>
      </c>
      <c r="S38" s="224">
        <v>8</v>
      </c>
      <c r="T38" s="224" t="s">
        <v>373</v>
      </c>
      <c r="U38" s="224" t="s">
        <v>815</v>
      </c>
      <c r="V38" s="224" t="s">
        <v>816</v>
      </c>
      <c r="W38" s="224" t="s">
        <v>817</v>
      </c>
      <c r="X38" s="224" t="s">
        <v>818</v>
      </c>
      <c r="Y38" s="226"/>
      <c r="Z38" s="227"/>
    </row>
    <row r="39" spans="11:43" ht="14.25">
      <c r="O39" s="17" t="s">
        <v>819</v>
      </c>
      <c r="P39" s="224" t="s">
        <v>820</v>
      </c>
      <c r="Q39" s="224" t="s">
        <v>821</v>
      </c>
      <c r="R39" s="225">
        <v>606473516</v>
      </c>
      <c r="S39" s="224">
        <v>7</v>
      </c>
      <c r="T39" s="224" t="s">
        <v>373</v>
      </c>
      <c r="U39" s="224" t="s">
        <v>822</v>
      </c>
      <c r="V39" s="224" t="s">
        <v>816</v>
      </c>
      <c r="W39" s="224" t="s">
        <v>817</v>
      </c>
      <c r="X39" s="224" t="s">
        <v>823</v>
      </c>
      <c r="Y39" s="227"/>
    </row>
    <row r="40" spans="11:43" ht="14.25">
      <c r="P40" s="224" t="s">
        <v>824</v>
      </c>
      <c r="Q40" s="224" t="s">
        <v>825</v>
      </c>
      <c r="R40" s="224">
        <v>606480128</v>
      </c>
      <c r="S40" s="224">
        <v>0</v>
      </c>
      <c r="T40" s="224" t="s">
        <v>826</v>
      </c>
      <c r="U40" s="224" t="s">
        <v>827</v>
      </c>
      <c r="V40" s="224" t="s">
        <v>828</v>
      </c>
      <c r="W40" s="224"/>
      <c r="X40" s="224" t="s">
        <v>829</v>
      </c>
      <c r="Y40" s="227"/>
    </row>
    <row r="41" spans="11:43" ht="14.25">
      <c r="P41">
        <f>R40-R39</f>
        <v>6612</v>
      </c>
      <c r="R41">
        <v>589335049</v>
      </c>
      <c r="S41">
        <v>589362052</v>
      </c>
      <c r="T41">
        <f>S41-R41</f>
        <v>27003</v>
      </c>
      <c r="U41">
        <v>110684</v>
      </c>
      <c r="V41">
        <f>U41/T41</f>
        <v>4.0989519682998186</v>
      </c>
    </row>
    <row r="42" spans="11:43" ht="14.25">
      <c r="M42">
        <f>(20+16/24)*38.9*86400/1000000</f>
        <v>69.45984</v>
      </c>
      <c r="P42" s="225" t="s">
        <v>830</v>
      </c>
      <c r="Q42" s="225" t="s">
        <v>831</v>
      </c>
      <c r="R42" s="225">
        <v>606482128</v>
      </c>
      <c r="S42" s="225">
        <v>1</v>
      </c>
      <c r="T42" s="225" t="s">
        <v>373</v>
      </c>
      <c r="U42" s="225" t="s">
        <v>832</v>
      </c>
      <c r="V42" s="225" t="s">
        <v>833</v>
      </c>
      <c r="W42" s="225"/>
      <c r="X42" s="225" t="s">
        <v>834</v>
      </c>
      <c r="AD42">
        <f>11000000/500</f>
        <v>22000</v>
      </c>
      <c r="AE42">
        <f>AD42/3600</f>
        <v>6.1111111111111107</v>
      </c>
      <c r="AG42" t="s">
        <v>634</v>
      </c>
    </row>
    <row r="43" spans="11:43" ht="14.25">
      <c r="O43" s="3"/>
      <c r="P43" s="59">
        <v>25096</v>
      </c>
      <c r="Q43" s="55"/>
      <c r="R43" s="55"/>
      <c r="S43" s="56"/>
      <c r="T43" s="3"/>
      <c r="U43" s="95">
        <f>V37</f>
        <v>197375</v>
      </c>
      <c r="V43" s="93"/>
      <c r="W43" s="139" t="s">
        <v>62</v>
      </c>
      <c r="X43" s="140">
        <v>2.70622E-5</v>
      </c>
      <c r="Y43" s="3"/>
      <c r="Z43" s="5"/>
      <c r="AA43" s="5"/>
      <c r="AB43" s="5" t="s">
        <v>835</v>
      </c>
      <c r="AC43" s="5"/>
      <c r="AD43" s="5"/>
      <c r="AE43">
        <f>11000000/500</f>
        <v>22000</v>
      </c>
      <c r="AF43">
        <f>AE43/3600</f>
        <v>6.1111111111111107</v>
      </c>
      <c r="AH43" t="s">
        <v>636</v>
      </c>
      <c r="AI43" t="s">
        <v>836</v>
      </c>
    </row>
    <row r="44" spans="11:43" ht="14.25">
      <c r="O44" s="3"/>
      <c r="P44" s="73" t="s">
        <v>837</v>
      </c>
      <c r="Q44" s="72" t="s">
        <v>65</v>
      </c>
      <c r="R44" s="73" t="s">
        <v>66</v>
      </c>
      <c r="S44" s="73" t="s">
        <v>67</v>
      </c>
      <c r="T44" s="74" t="s">
        <v>68</v>
      </c>
      <c r="U44" s="3" t="s">
        <v>176</v>
      </c>
      <c r="V44" s="74" t="s">
        <v>265</v>
      </c>
      <c r="W44" s="73" t="s">
        <v>266</v>
      </c>
      <c r="X44" s="73" t="s">
        <v>70</v>
      </c>
      <c r="Y44" s="3"/>
      <c r="Z44" s="5"/>
      <c r="AA44" s="5" t="s">
        <v>838</v>
      </c>
      <c r="AB44" s="97" t="s">
        <v>839</v>
      </c>
      <c r="AC44" s="97" t="s">
        <v>840</v>
      </c>
      <c r="AD44" t="s">
        <v>841</v>
      </c>
      <c r="AE44" t="s">
        <v>841</v>
      </c>
      <c r="AH44" t="s">
        <v>637</v>
      </c>
      <c r="AJ44" s="227">
        <f>AJ45+AJ47+AJ48</f>
        <v>31.701153000000001</v>
      </c>
    </row>
    <row r="45" spans="11:43" ht="15.75">
      <c r="L45" s="226" t="s">
        <v>842</v>
      </c>
      <c r="M45" s="226" t="s">
        <v>843</v>
      </c>
      <c r="N45" s="227" t="s">
        <v>844</v>
      </c>
      <c r="O45" s="228" t="s">
        <v>845</v>
      </c>
      <c r="P45" s="179" t="s">
        <v>846</v>
      </c>
      <c r="Q45" s="212">
        <f>R38-20</f>
        <v>606261996</v>
      </c>
      <c r="R45" s="212">
        <f>R39</f>
        <v>606473516</v>
      </c>
      <c r="S45" s="104">
        <f>R45-Q45</f>
        <v>211520</v>
      </c>
      <c r="T45" s="104">
        <f>S45*$V$9</f>
        <v>808006.4</v>
      </c>
      <c r="U45" s="3">
        <v>0</v>
      </c>
      <c r="V45" s="142">
        <f>T45+U45*$V$37</f>
        <v>808006.4</v>
      </c>
      <c r="W45" s="97">
        <f>Y45*1000000/8</f>
        <v>1085211.75</v>
      </c>
      <c r="X45" s="105">
        <f>W45-V45</f>
        <v>277205.34999999998</v>
      </c>
      <c r="Y45" s="189">
        <f>8.681694</f>
        <v>8.6816940000000002</v>
      </c>
      <c r="Z45" s="189"/>
      <c r="AA45" s="229">
        <v>344216</v>
      </c>
      <c r="AB45" s="230">
        <f>S45*$S$9</f>
        <v>294226.40092592593</v>
      </c>
      <c r="AC45" s="231">
        <f>AB45*8/1000000</f>
        <v>2.3538112074074076</v>
      </c>
      <c r="AD45" s="229">
        <f>AB45+AB46</f>
        <v>1088101.4009259259</v>
      </c>
      <c r="AE45" s="229">
        <f>AC45+AC46</f>
        <v>8.704811207407408</v>
      </c>
      <c r="AF45" s="178" t="s">
        <v>847</v>
      </c>
      <c r="AG45" s="228" t="s">
        <v>845</v>
      </c>
      <c r="AH45" s="232">
        <f>X45*8/1000000</f>
        <v>2.2176427999999997</v>
      </c>
      <c r="AI45" s="232">
        <f>V45*8/1000000</f>
        <v>6.4640512000000001</v>
      </c>
      <c r="AJ45" s="227">
        <v>8.6816940000000002</v>
      </c>
      <c r="AK45" t="s">
        <v>847</v>
      </c>
      <c r="AL45" t="s">
        <v>848</v>
      </c>
      <c r="AM45">
        <v>0.80020999999999998</v>
      </c>
      <c r="AN45">
        <v>6</v>
      </c>
      <c r="AO45">
        <v>1.786772</v>
      </c>
      <c r="AP45">
        <v>0.98655599999999999</v>
      </c>
      <c r="AQ45">
        <v>8.6816940000000002</v>
      </c>
    </row>
    <row r="46" spans="11:43" ht="15.75">
      <c r="K46" s="226" t="s">
        <v>849</v>
      </c>
      <c r="L46" s="226" t="s">
        <v>843</v>
      </c>
      <c r="M46" s="226" t="s">
        <v>850</v>
      </c>
      <c r="N46" s="227">
        <v>5.58</v>
      </c>
      <c r="O46" s="228"/>
      <c r="P46" s="179" t="s">
        <v>846</v>
      </c>
      <c r="Q46" s="212">
        <f>R45-1</f>
        <v>606473515</v>
      </c>
      <c r="R46" s="212">
        <f>R40</f>
        <v>606480128</v>
      </c>
      <c r="S46" s="104">
        <f>R46-Q46</f>
        <v>6613</v>
      </c>
      <c r="T46" s="104">
        <f>N46*1000000/8</f>
        <v>697500</v>
      </c>
      <c r="U46" s="3">
        <v>0</v>
      </c>
      <c r="V46" s="142">
        <f>T46+U46*$V$37</f>
        <v>697500</v>
      </c>
      <c r="W46" s="97">
        <f>X45</f>
        <v>277205.34999999998</v>
      </c>
      <c r="X46" s="105">
        <f>W46-V46</f>
        <v>-420294.65</v>
      </c>
      <c r="Y46" s="189"/>
      <c r="Z46" s="189"/>
      <c r="AA46" s="229">
        <v>677415</v>
      </c>
      <c r="AB46" s="233">
        <f>AC46*1000000/8</f>
        <v>793875</v>
      </c>
      <c r="AC46" s="234">
        <v>6.351</v>
      </c>
      <c r="AD46" s="229">
        <f>AB46+AB45-W45</f>
        <v>2889.6509259259328</v>
      </c>
      <c r="AE46" s="229">
        <f>AC46+AC45-Y45</f>
        <v>2.3117207407407747E-2</v>
      </c>
      <c r="AF46" s="178"/>
      <c r="AG46" s="228"/>
      <c r="AH46" s="232"/>
      <c r="AI46" s="232"/>
      <c r="AJ46" s="227"/>
    </row>
    <row r="47" spans="11:43" ht="15.75">
      <c r="K47" s="226" t="s">
        <v>851</v>
      </c>
      <c r="L47" s="226" t="s">
        <v>850</v>
      </c>
      <c r="M47" s="226" t="s">
        <v>852</v>
      </c>
      <c r="N47" s="227"/>
      <c r="O47" s="228" t="s">
        <v>853</v>
      </c>
      <c r="P47" s="179" t="s">
        <v>854</v>
      </c>
      <c r="Q47" s="212">
        <f>R46-1</f>
        <v>606480127</v>
      </c>
      <c r="R47" s="143">
        <f>((W47)/$V$9)+Q47</f>
        <v>606884641.65314138</v>
      </c>
      <c r="S47" s="104">
        <f>R47-Q47</f>
        <v>404514.65314137936</v>
      </c>
      <c r="T47" s="104">
        <f>S47*$V$9</f>
        <v>1545245.975000069</v>
      </c>
      <c r="U47" s="3">
        <v>0</v>
      </c>
      <c r="V47" s="142">
        <f>T47+U47*$V$37</f>
        <v>1545245.975000069</v>
      </c>
      <c r="W47" s="97">
        <f>Y47*1000000/8+X46</f>
        <v>1545245.9750000001</v>
      </c>
      <c r="X47" s="105">
        <f>W47-V47</f>
        <v>-6.891787052154541E-8</v>
      </c>
      <c r="Y47" s="189">
        <f>AJ47</f>
        <v>15.724325</v>
      </c>
      <c r="Z47" s="189"/>
      <c r="AA47" s="229">
        <v>647088</v>
      </c>
      <c r="AB47" s="235">
        <f>S47*$S$9</f>
        <v>562683.86211983429</v>
      </c>
      <c r="AC47" s="236">
        <f>AB47*8/1000000</f>
        <v>4.5014708969586739</v>
      </c>
      <c r="AD47" s="229">
        <f>AB47-V47</f>
        <v>-982562.11288023472</v>
      </c>
      <c r="AE47" s="229">
        <f>AD47*8/1000000</f>
        <v>-7.8604969030418781</v>
      </c>
      <c r="AF47" s="178" t="str">
        <f>AK47</f>
        <v>TRK_112_1</v>
      </c>
      <c r="AG47" s="228" t="s">
        <v>853</v>
      </c>
      <c r="AH47" s="232">
        <f>X47*8/1000000</f>
        <v>-5.5134296417236325E-13</v>
      </c>
      <c r="AI47" s="232">
        <f>V47*8/1000000</f>
        <v>12.361967800000553</v>
      </c>
      <c r="AJ47" s="227">
        <v>15.724325</v>
      </c>
      <c r="AK47" t="s">
        <v>855</v>
      </c>
      <c r="AL47" t="s">
        <v>856</v>
      </c>
      <c r="AM47">
        <v>0.23064999999999999</v>
      </c>
      <c r="AN47">
        <v>6</v>
      </c>
      <c r="AO47">
        <v>2.0175109999999998</v>
      </c>
      <c r="AP47">
        <v>1.7868550000000001</v>
      </c>
      <c r="AQ47">
        <v>15.724325</v>
      </c>
    </row>
    <row r="48" spans="11:43" ht="15.75">
      <c r="L48" s="226" t="s">
        <v>852</v>
      </c>
      <c r="M48" s="226" t="s">
        <v>857</v>
      </c>
      <c r="N48" s="227"/>
      <c r="O48" s="228" t="s">
        <v>858</v>
      </c>
      <c r="P48" s="179" t="s">
        <v>859</v>
      </c>
      <c r="Q48" s="237">
        <f>R47-1</f>
        <v>606884640.65314138</v>
      </c>
      <c r="R48" s="143">
        <f>((W48)/$V$9)+Q48</f>
        <v>607123355.77094245</v>
      </c>
      <c r="S48" s="104">
        <f>R48-Q48</f>
        <v>238715.11780107021</v>
      </c>
      <c r="T48" s="104">
        <f>S48*$V$9</f>
        <v>911891.75000008813</v>
      </c>
      <c r="U48" s="3">
        <v>0</v>
      </c>
      <c r="V48" s="142">
        <f>T48+U48*$V$37</f>
        <v>911891.75000008813</v>
      </c>
      <c r="W48" s="97">
        <f>Y48*1000000/8</f>
        <v>911891.75</v>
      </c>
      <c r="X48" s="105">
        <f>W48-V48</f>
        <v>-8.8126398622989655E-8</v>
      </c>
      <c r="Y48" s="189">
        <f>AJ48</f>
        <v>7.295134</v>
      </c>
      <c r="Z48" s="189"/>
      <c r="AA48" s="229">
        <v>323548</v>
      </c>
      <c r="AB48" s="235">
        <f>S48*$S$9</f>
        <v>332055.07733177627</v>
      </c>
      <c r="AC48" s="236">
        <f>AB48*8/1000000</f>
        <v>2.65644061865421</v>
      </c>
      <c r="AD48" s="229">
        <f>AB48-V48</f>
        <v>-579836.67266831186</v>
      </c>
      <c r="AE48" s="229">
        <f>AC48-Y48</f>
        <v>-4.6386933813457905</v>
      </c>
      <c r="AF48" s="178" t="str">
        <f>AK48</f>
        <v>TRK_112_2</v>
      </c>
      <c r="AG48" s="228" t="s">
        <v>858</v>
      </c>
      <c r="AH48" s="232">
        <f>X48*8/1000000</f>
        <v>-7.0501118898391721E-13</v>
      </c>
      <c r="AI48" s="232">
        <f>V48*8/1000000</f>
        <v>7.2951340000007052</v>
      </c>
      <c r="AJ48" s="227">
        <v>7.295134</v>
      </c>
      <c r="AK48" t="s">
        <v>860</v>
      </c>
      <c r="AL48" t="s">
        <v>861</v>
      </c>
      <c r="AM48">
        <v>0.23527999999999999</v>
      </c>
      <c r="AN48">
        <v>2</v>
      </c>
      <c r="AO48">
        <v>1.0642739999999999</v>
      </c>
      <c r="AP48">
        <v>0.82899199999999995</v>
      </c>
      <c r="AQ48">
        <v>7.295134</v>
      </c>
    </row>
    <row r="49" spans="1:45" ht="14.25">
      <c r="M49" s="3"/>
      <c r="N49" s="3"/>
      <c r="P49" s="3"/>
      <c r="T49" s="4"/>
      <c r="U49" s="3"/>
      <c r="V49" s="3"/>
      <c r="X49" s="3"/>
      <c r="Y49" s="3"/>
      <c r="Z49" s="5"/>
      <c r="AB49" s="3" t="s">
        <v>862</v>
      </c>
      <c r="AC49" s="3"/>
      <c r="AD49" s="97"/>
      <c r="AE49" s="97"/>
      <c r="AH49" s="232"/>
      <c r="AI49" s="232"/>
    </row>
    <row r="50" spans="1:45" ht="14.25">
      <c r="L50" s="3"/>
      <c r="M50" s="3"/>
      <c r="N50" s="3"/>
      <c r="P50" s="81" t="s">
        <v>863</v>
      </c>
      <c r="Q50" s="81" t="s">
        <v>864</v>
      </c>
      <c r="R50" s="81">
        <v>606263216</v>
      </c>
      <c r="S50" s="81">
        <v>7</v>
      </c>
      <c r="T50" s="81" t="s">
        <v>373</v>
      </c>
      <c r="U50" s="81" t="s">
        <v>865</v>
      </c>
      <c r="V50" s="81" t="s">
        <v>866</v>
      </c>
      <c r="W50" s="81" t="s">
        <v>867</v>
      </c>
      <c r="X50" s="81" t="s">
        <v>868</v>
      </c>
      <c r="Y50" s="238"/>
      <c r="Z50" s="239"/>
      <c r="AA50" s="3" t="s">
        <v>869</v>
      </c>
      <c r="AB50" s="3" t="s">
        <v>870</v>
      </c>
      <c r="AC50" s="3" t="s">
        <v>871</v>
      </c>
      <c r="AD50" s="238"/>
      <c r="AE50" s="238"/>
      <c r="AH50" s="232"/>
      <c r="AI50" s="232"/>
    </row>
    <row r="51" spans="1:45" ht="15.75">
      <c r="A51" s="238" t="s">
        <v>872</v>
      </c>
      <c r="B51" s="238"/>
      <c r="C51" s="238"/>
      <c r="D51" s="238"/>
      <c r="E51" s="238"/>
      <c r="F51" s="238"/>
      <c r="G51" s="238"/>
      <c r="H51" s="238"/>
      <c r="I51" s="238"/>
      <c r="J51" s="238"/>
      <c r="K51" s="238"/>
      <c r="L51" s="238" t="s">
        <v>873</v>
      </c>
      <c r="M51" s="238" t="s">
        <v>874</v>
      </c>
      <c r="N51" s="238"/>
      <c r="O51" s="192" t="s">
        <v>875</v>
      </c>
      <c r="P51" s="179" t="s">
        <v>876</v>
      </c>
      <c r="Q51" s="240">
        <f>R50-20</f>
        <v>606263196</v>
      </c>
      <c r="R51" s="143">
        <f>((W51-U51*$V$37)/$V$10)+Q51</f>
        <v>606535975.99367166</v>
      </c>
      <c r="S51" s="104">
        <f>R51-Q51</f>
        <v>272779.99367165565</v>
      </c>
      <c r="T51" s="104">
        <f>S51*$V$10</f>
        <v>1324552.8750002775</v>
      </c>
      <c r="U51" s="3">
        <v>1</v>
      </c>
      <c r="V51" s="142">
        <f>T51+U51*$V$37</f>
        <v>1521927.8750002775</v>
      </c>
      <c r="W51" s="97">
        <f>Y51*1000000/8</f>
        <v>1521927.875</v>
      </c>
      <c r="X51" s="105">
        <f>W51-V51</f>
        <v>-2.775341272354126E-7</v>
      </c>
      <c r="Y51" s="189">
        <f>AJ51</f>
        <v>12.175423</v>
      </c>
      <c r="Z51" s="189"/>
      <c r="AA51" s="229">
        <v>1614636</v>
      </c>
      <c r="AB51" s="235">
        <f>AA51-T51</f>
        <v>290083.12499972247</v>
      </c>
      <c r="AC51" s="241">
        <f>(AB51/8)/1000000</f>
        <v>3.6260390624965305E-2</v>
      </c>
      <c r="AD51" s="229"/>
      <c r="AE51" s="229"/>
      <c r="AF51" s="178" t="str">
        <f>AK51</f>
        <v>TRK_113_1</v>
      </c>
      <c r="AG51" s="192" t="s">
        <v>875</v>
      </c>
      <c r="AH51" s="232">
        <f>X51*8/1000000</f>
        <v>-2.2202730178833006E-12</v>
      </c>
      <c r="AI51" s="232">
        <f>V51*8/1000000</f>
        <v>12.175423000002221</v>
      </c>
      <c r="AJ51" s="242">
        <v>12.175423</v>
      </c>
      <c r="AK51" t="s">
        <v>877</v>
      </c>
      <c r="AL51" t="s">
        <v>878</v>
      </c>
      <c r="AM51">
        <v>0.23605000000000001</v>
      </c>
      <c r="AN51">
        <v>6</v>
      </c>
      <c r="AO51">
        <v>1.6196269999999999</v>
      </c>
      <c r="AP51">
        <v>1.3835710000000001</v>
      </c>
      <c r="AQ51">
        <v>12.175423</v>
      </c>
    </row>
    <row r="52" spans="1:45" ht="15.75">
      <c r="L52" s="238" t="str">
        <f>M51</f>
        <v>99/20:14</v>
      </c>
      <c r="M52" s="238" t="s">
        <v>879</v>
      </c>
      <c r="N52" s="238"/>
      <c r="O52" s="192" t="s">
        <v>880</v>
      </c>
      <c r="P52" s="179" t="s">
        <v>571</v>
      </c>
      <c r="Q52" s="237">
        <f>R51-1</f>
        <v>606535974.99367166</v>
      </c>
      <c r="R52" s="143">
        <f>((W52-U52*$V$37)/$V$10)+Q52</f>
        <v>606937249.54652727</v>
      </c>
      <c r="S52" s="104">
        <f>R52-Q52</f>
        <v>401274.55285561085</v>
      </c>
      <c r="T52" s="104">
        <f>S52*$V$10</f>
        <v>1948491.0000002645</v>
      </c>
      <c r="U52" s="3">
        <v>0</v>
      </c>
      <c r="V52" s="142">
        <f>T52+U52*$V$37</f>
        <v>1948491.0000002645</v>
      </c>
      <c r="W52" s="97">
        <f>Y52*1000000/8</f>
        <v>1948491</v>
      </c>
      <c r="X52" s="105">
        <f>W52-V52</f>
        <v>-2.644956111907959E-7</v>
      </c>
      <c r="Y52" s="189">
        <f>AJ52</f>
        <v>15.587928</v>
      </c>
      <c r="Z52" s="189"/>
      <c r="AA52" s="229">
        <v>2057144</v>
      </c>
      <c r="AB52" s="235">
        <f>AA52-T52</f>
        <v>108652.9999997355</v>
      </c>
      <c r="AC52" s="241">
        <f>(AB52/8)/1000000</f>
        <v>1.3581624999966938E-2</v>
      </c>
      <c r="AD52" s="229"/>
      <c r="AE52" s="229"/>
      <c r="AF52" s="178" t="str">
        <f>AK52</f>
        <v>TRK_114_1_</v>
      </c>
      <c r="AG52" s="192" t="s">
        <v>880</v>
      </c>
      <c r="AH52" s="232">
        <f>X52*8/1000000</f>
        <v>-2.1159648895263673E-12</v>
      </c>
      <c r="AI52" s="232">
        <f>V52*8/1000000</f>
        <v>15.587928000002115</v>
      </c>
      <c r="AJ52" s="242">
        <v>15.587928</v>
      </c>
      <c r="AK52" t="s">
        <v>881</v>
      </c>
      <c r="AL52" t="s">
        <v>882</v>
      </c>
      <c r="AM52">
        <v>0.40827999999999998</v>
      </c>
      <c r="AN52">
        <v>6</v>
      </c>
      <c r="AO52">
        <v>2.1796410000000002</v>
      </c>
      <c r="AP52">
        <v>1.771355</v>
      </c>
      <c r="AQ52">
        <v>15.587928</v>
      </c>
    </row>
    <row r="53" spans="1:45" ht="15.75">
      <c r="L53" s="238" t="str">
        <f>M52</f>
        <v>104/11:33</v>
      </c>
      <c r="M53" s="238" t="s">
        <v>883</v>
      </c>
      <c r="N53" s="238"/>
      <c r="O53" s="192" t="s">
        <v>884</v>
      </c>
      <c r="P53" s="179" t="s">
        <v>885</v>
      </c>
      <c r="Q53" s="237">
        <f>R52-1</f>
        <v>606937248.54652727</v>
      </c>
      <c r="R53" s="143">
        <f>((W53-U53*$V$37)/$V$10)+Q53</f>
        <v>607165734.06575108</v>
      </c>
      <c r="S53" s="104">
        <f>R53-Q53</f>
        <v>228485.51922380924</v>
      </c>
      <c r="T53" s="104">
        <f>S53*$V$10</f>
        <v>1109469.7499997593</v>
      </c>
      <c r="U53" s="3">
        <v>0</v>
      </c>
      <c r="V53" s="142">
        <f>T53+U53*$V$37</f>
        <v>1109469.7499997593</v>
      </c>
      <c r="W53" s="97">
        <f>Y53*1000000/8</f>
        <v>1109469.75</v>
      </c>
      <c r="X53" s="105">
        <f>W53-V53</f>
        <v>2.407468855381012E-7</v>
      </c>
      <c r="Y53" s="189">
        <f>AJ53</f>
        <v>8.8757579999999994</v>
      </c>
      <c r="Z53" s="189"/>
      <c r="AA53" s="229">
        <v>1157806</v>
      </c>
      <c r="AB53" s="235">
        <f>AA53-T53</f>
        <v>48336.250000240747</v>
      </c>
      <c r="AC53" s="241">
        <f>(AB53/8)/1000000</f>
        <v>6.0420312500300936E-3</v>
      </c>
      <c r="AD53" s="229"/>
      <c r="AE53" s="229"/>
      <c r="AF53" s="178" t="str">
        <f>AK53</f>
        <v>TRK_115_1</v>
      </c>
      <c r="AG53" s="192" t="s">
        <v>884</v>
      </c>
      <c r="AH53" s="232">
        <f>X53*8/1000000</f>
        <v>1.9259750843048095E-12</v>
      </c>
      <c r="AI53" s="232">
        <f>V53*8/1000000</f>
        <v>8.8757579999980738</v>
      </c>
      <c r="AJ53" s="242">
        <v>8.8757579999999994</v>
      </c>
      <c r="AK53" t="s">
        <v>886</v>
      </c>
      <c r="AL53" t="s">
        <v>887</v>
      </c>
      <c r="AM53">
        <v>0.25274000000000002</v>
      </c>
      <c r="AN53">
        <v>0</v>
      </c>
      <c r="AO53">
        <v>1.2613490000000001</v>
      </c>
      <c r="AP53">
        <v>1.0086090000000001</v>
      </c>
      <c r="AQ53">
        <v>8.8757579999999994</v>
      </c>
    </row>
    <row r="54" spans="1:45" ht="14.25">
      <c r="L54" s="3"/>
      <c r="M54" s="3"/>
      <c r="N54" s="3"/>
      <c r="AA54" s="3"/>
      <c r="AD54" s="3"/>
      <c r="AE54" s="3"/>
      <c r="AH54" s="232"/>
      <c r="AI54" s="232"/>
      <c r="AJ54">
        <f>SUM(AJ51:AJ53)</f>
        <v>36.639108999999998</v>
      </c>
    </row>
    <row r="55" spans="1:45" ht="15.75">
      <c r="F55" t="s">
        <v>764</v>
      </c>
      <c r="L55" s="226" t="s">
        <v>857</v>
      </c>
      <c r="M55" s="226" t="s">
        <v>888</v>
      </c>
      <c r="N55" s="227"/>
      <c r="O55" s="228" t="s">
        <v>889</v>
      </c>
      <c r="P55" s="179" t="s">
        <v>890</v>
      </c>
      <c r="Q55" s="237">
        <f>R48-1</f>
        <v>607123354.77094245</v>
      </c>
      <c r="R55" s="143">
        <f>((W55)/$V$9)+Q55</f>
        <v>607164814.48952889</v>
      </c>
      <c r="S55" s="104">
        <f>R55-Q55</f>
        <v>41459.718586444855</v>
      </c>
      <c r="T55" s="104">
        <f>S55*$V$9</f>
        <v>158376.12500021933</v>
      </c>
      <c r="U55" s="3">
        <v>0</v>
      </c>
      <c r="V55" s="142">
        <f>T55+U55*$V$37</f>
        <v>158376.12500021933</v>
      </c>
      <c r="W55" s="97">
        <f>Y55*1000000/8</f>
        <v>158376.125</v>
      </c>
      <c r="X55" s="105">
        <f>W55-V55</f>
        <v>-2.1932646632194519E-7</v>
      </c>
      <c r="Y55" s="189">
        <f>AJ55</f>
        <v>1.2670090000000001</v>
      </c>
      <c r="Z55" s="189"/>
      <c r="AA55" s="229"/>
      <c r="AB55" s="235">
        <f>S55*$S$9</f>
        <v>57670.876432920704</v>
      </c>
      <c r="AC55" s="236">
        <f>AB55*8/1000000</f>
        <v>0.46136701146336562</v>
      </c>
      <c r="AD55" s="235">
        <f>AB55-V55</f>
        <v>-100705.24856729862</v>
      </c>
      <c r="AE55" s="229">
        <f>AC55-Y55</f>
        <v>-0.80564198853663438</v>
      </c>
      <c r="AF55" s="178" t="str">
        <f>AK55</f>
        <v>TRK_118_1</v>
      </c>
      <c r="AG55" s="228" t="s">
        <v>889</v>
      </c>
      <c r="AH55" s="232">
        <f>X55*8/1000000</f>
        <v>-1.7546117305755616E-12</v>
      </c>
      <c r="AI55" s="232">
        <f>V55*8/1000000</f>
        <v>1.2670090000017546</v>
      </c>
      <c r="AJ55" s="227">
        <v>1.2670090000000001</v>
      </c>
      <c r="AK55" t="s">
        <v>891</v>
      </c>
      <c r="AL55" t="s">
        <v>892</v>
      </c>
      <c r="AM55">
        <v>0.65856000000000003</v>
      </c>
      <c r="AN55">
        <v>2</v>
      </c>
      <c r="AO55">
        <v>0.80254000000000003</v>
      </c>
      <c r="AP55">
        <v>0.14397799999999999</v>
      </c>
      <c r="AQ55">
        <v>1.2670090000000001</v>
      </c>
    </row>
    <row r="56" spans="1:45" ht="14.25">
      <c r="L56" s="3"/>
      <c r="M56" s="3" t="s">
        <v>893</v>
      </c>
      <c r="N56" s="3"/>
      <c r="O56" s="3"/>
      <c r="Y56">
        <f>SUM(Y45:Y55)</f>
        <v>69.607270999999997</v>
      </c>
      <c r="AB56" s="243">
        <f>AC55+AC48+AC47+AC46+AC45</f>
        <v>16.324089734483657</v>
      </c>
      <c r="AC56" s="3"/>
      <c r="AD56" s="3"/>
      <c r="AG56" s="219"/>
      <c r="AH56" s="219"/>
    </row>
    <row r="57" spans="1:45" ht="14.25">
      <c r="L57" s="3"/>
      <c r="M57" s="3"/>
      <c r="N57" s="3"/>
      <c r="O57" s="3"/>
      <c r="Y57">
        <f>Y55+Y48+Y47+Y45</f>
        <v>32.968162</v>
      </c>
      <c r="Z57" s="239">
        <f>Y53+Y52+Y51</f>
        <v>36.639108999999998</v>
      </c>
      <c r="AB57" t="s">
        <v>894</v>
      </c>
      <c r="AC57" s="3"/>
      <c r="AD57" s="3"/>
      <c r="AG57" s="219"/>
      <c r="AH57" s="219"/>
    </row>
    <row r="58" spans="1:45" ht="15.4" customHeight="1">
      <c r="L58" s="3"/>
      <c r="M58" s="3"/>
      <c r="N58" s="3"/>
      <c r="O58" s="3"/>
      <c r="Y58" s="3" t="s">
        <v>895</v>
      </c>
      <c r="Z58" s="3" t="s">
        <v>896</v>
      </c>
      <c r="AA58" s="3"/>
      <c r="AB58" s="3"/>
      <c r="AC58" s="3"/>
      <c r="AD58" s="3"/>
      <c r="AG58" s="219"/>
      <c r="AH58" s="219"/>
      <c r="AK58" s="244" t="s">
        <v>897</v>
      </c>
      <c r="AL58" s="244" t="s">
        <v>898</v>
      </c>
      <c r="AM58" s="244">
        <v>14.73</v>
      </c>
      <c r="AN58" s="244">
        <v>-5.43</v>
      </c>
      <c r="AO58" s="244">
        <v>-5.43</v>
      </c>
      <c r="AR58" s="3">
        <v>16.2</v>
      </c>
    </row>
    <row r="59" spans="1:45" ht="15.4" customHeight="1">
      <c r="L59" s="93" t="s">
        <v>899</v>
      </c>
      <c r="M59" s="3"/>
      <c r="N59" s="3"/>
      <c r="O59" s="3"/>
      <c r="AC59" s="3"/>
      <c r="AD59" s="3"/>
      <c r="AG59" s="219"/>
      <c r="AH59" s="219"/>
      <c r="AK59" s="244" t="s">
        <v>900</v>
      </c>
      <c r="AL59" s="244" t="s">
        <v>901</v>
      </c>
      <c r="AM59" s="244">
        <v>3.7</v>
      </c>
      <c r="AN59" s="244">
        <v>3.7</v>
      </c>
      <c r="AO59" s="244">
        <v>-1.73</v>
      </c>
      <c r="AR59" s="3">
        <v>4.07</v>
      </c>
    </row>
    <row r="60" spans="1:45" ht="15.4" customHeight="1">
      <c r="L60" s="93" t="s">
        <v>902</v>
      </c>
      <c r="M60" s="3"/>
      <c r="N60" s="3"/>
      <c r="O60" s="3"/>
      <c r="AC60" s="3"/>
      <c r="AD60" s="3"/>
      <c r="AG60" s="219"/>
      <c r="AH60" s="219"/>
      <c r="AK60" s="244" t="s">
        <v>903</v>
      </c>
      <c r="AL60" s="244" t="s">
        <v>904</v>
      </c>
      <c r="AM60" s="244">
        <v>4.3099999999999996</v>
      </c>
      <c r="AN60" s="244">
        <v>-2.41</v>
      </c>
      <c r="AO60" s="244">
        <v>-4.1399999999999997</v>
      </c>
      <c r="AR60" s="3">
        <v>4.74</v>
      </c>
    </row>
    <row r="61" spans="1:45" ht="15.4" customHeight="1">
      <c r="O61" s="3"/>
      <c r="AC61" s="3"/>
      <c r="AD61" s="3"/>
      <c r="AG61" s="219"/>
      <c r="AH61" s="219"/>
      <c r="AK61" s="244" t="s">
        <v>905</v>
      </c>
      <c r="AL61" s="244" t="s">
        <v>906</v>
      </c>
      <c r="AM61" s="244">
        <v>4.42</v>
      </c>
      <c r="AN61" s="244">
        <v>1.46</v>
      </c>
      <c r="AO61" s="244">
        <v>-2.68</v>
      </c>
      <c r="AR61" s="3">
        <v>4.87</v>
      </c>
    </row>
    <row r="62" spans="1:45" ht="15.4" customHeight="1">
      <c r="P62" s="81" t="s">
        <v>907</v>
      </c>
      <c r="Q62" s="81" t="s">
        <v>908</v>
      </c>
      <c r="R62" s="81">
        <v>608130222</v>
      </c>
      <c r="S62" s="81">
        <v>1</v>
      </c>
      <c r="T62" s="81" t="s">
        <v>373</v>
      </c>
      <c r="U62" s="81" t="s">
        <v>909</v>
      </c>
      <c r="V62" s="81" t="s">
        <v>382</v>
      </c>
      <c r="W62" s="81"/>
      <c r="X62" s="81" t="s">
        <v>910</v>
      </c>
      <c r="AC62" s="3"/>
      <c r="AD62" s="3"/>
      <c r="AG62" s="219"/>
      <c r="AH62" s="219"/>
      <c r="AK62" s="245" t="s">
        <v>911</v>
      </c>
      <c r="AL62" s="246" t="s">
        <v>912</v>
      </c>
      <c r="AM62" s="244">
        <v>11.87</v>
      </c>
      <c r="AN62" s="244">
        <v>9.11</v>
      </c>
      <c r="AO62" s="246">
        <v>6.43</v>
      </c>
      <c r="AP62">
        <f>AO62</f>
        <v>6.43</v>
      </c>
      <c r="AR62" s="247">
        <v>13.04</v>
      </c>
    </row>
    <row r="63" spans="1:45" ht="15.4" customHeight="1">
      <c r="X63" t="s">
        <v>913</v>
      </c>
      <c r="AC63" s="3"/>
      <c r="AD63" s="3"/>
      <c r="AG63" s="219"/>
      <c r="AH63" s="219"/>
      <c r="AK63" s="245" t="s">
        <v>914</v>
      </c>
      <c r="AL63" s="246" t="s">
        <v>915</v>
      </c>
      <c r="AM63" s="244">
        <v>11.16</v>
      </c>
      <c r="AN63" s="244">
        <v>11.16</v>
      </c>
      <c r="AO63" s="246">
        <v>11.16</v>
      </c>
      <c r="AP63" s="248">
        <f>AP62+AO63</f>
        <v>17.59</v>
      </c>
      <c r="AR63" s="3">
        <v>12.28</v>
      </c>
    </row>
    <row r="64" spans="1:45" ht="15.4" customHeight="1">
      <c r="X64" t="s">
        <v>916</v>
      </c>
      <c r="AC64" s="3"/>
      <c r="AD64" s="3"/>
      <c r="AE64" s="3"/>
      <c r="AH64" s="219"/>
      <c r="AI64" s="219"/>
      <c r="AL64" s="244" t="s">
        <v>917</v>
      </c>
      <c r="AM64" s="244" t="s">
        <v>918</v>
      </c>
      <c r="AN64" s="244">
        <v>0</v>
      </c>
      <c r="AO64" s="244">
        <v>0</v>
      </c>
      <c r="AP64" s="249">
        <v>0</v>
      </c>
      <c r="AS64" s="3"/>
    </row>
    <row r="65" spans="2:47" ht="15.4" customHeight="1">
      <c r="P65" s="59">
        <v>25118</v>
      </c>
      <c r="Q65" s="55"/>
      <c r="R65" s="55"/>
      <c r="S65" s="56"/>
      <c r="T65" s="3"/>
      <c r="U65" s="95">
        <f>Q54</f>
        <v>0</v>
      </c>
      <c r="V65" s="93"/>
      <c r="W65" s="139"/>
      <c r="X65" s="140"/>
      <c r="Y65" s="3"/>
      <c r="Z65" s="5"/>
      <c r="AA65" s="5"/>
      <c r="AB65" s="5"/>
      <c r="AC65" s="97"/>
      <c r="AD65" s="97"/>
      <c r="AE65" s="97"/>
      <c r="AH65" t="s">
        <v>919</v>
      </c>
      <c r="AI65" t="s">
        <v>836</v>
      </c>
      <c r="AL65" s="244" t="s">
        <v>920</v>
      </c>
      <c r="AM65" s="244" t="s">
        <v>921</v>
      </c>
      <c r="AN65" s="244">
        <v>0</v>
      </c>
      <c r="AO65" s="244">
        <v>0</v>
      </c>
      <c r="AP65" s="249">
        <v>0</v>
      </c>
      <c r="AS65" s="3"/>
    </row>
    <row r="66" spans="2:47" ht="15.4" customHeight="1">
      <c r="H66" t="s">
        <v>768</v>
      </c>
      <c r="P66" s="73" t="s">
        <v>837</v>
      </c>
      <c r="Q66" s="72" t="s">
        <v>65</v>
      </c>
      <c r="R66" s="73" t="s">
        <v>66</v>
      </c>
      <c r="S66" s="73" t="s">
        <v>67</v>
      </c>
      <c r="T66" s="74" t="s">
        <v>68</v>
      </c>
      <c r="U66" s="3" t="s">
        <v>176</v>
      </c>
      <c r="V66" s="74" t="s">
        <v>265</v>
      </c>
      <c r="W66" s="73" t="s">
        <v>266</v>
      </c>
      <c r="X66" s="73" t="s">
        <v>70</v>
      </c>
      <c r="Y66" s="3"/>
      <c r="Z66" s="5"/>
      <c r="AA66" s="97" t="s">
        <v>839</v>
      </c>
      <c r="AB66" s="97" t="s">
        <v>840</v>
      </c>
      <c r="AC66" t="s">
        <v>922</v>
      </c>
      <c r="AD66" t="s">
        <v>923</v>
      </c>
      <c r="AH66" t="s">
        <v>637</v>
      </c>
      <c r="AJ66" s="227"/>
      <c r="AL66" s="246" t="s">
        <v>924</v>
      </c>
      <c r="AM66" s="245" t="s">
        <v>925</v>
      </c>
      <c r="AN66" s="244">
        <v>3.19</v>
      </c>
      <c r="AO66" s="244">
        <v>3.19</v>
      </c>
      <c r="AP66" s="246">
        <v>3.19</v>
      </c>
      <c r="AQ66">
        <f>AP63+AP66</f>
        <v>20.78</v>
      </c>
      <c r="AS66" s="3">
        <v>3.5</v>
      </c>
    </row>
    <row r="67" spans="2:47" ht="15.4" customHeight="1">
      <c r="L67" s="461" t="str" cm="1">
        <f t="array" aca="1" ref="L67" ca="1">MID(MET2UTC(Q68),3,12)</f>
        <v>25-107/03:01</v>
      </c>
      <c r="M67" s="461" t="str" cm="1">
        <f t="array" aca="1" ref="M67" ca="1">MID(MET2UTC(R68),3,12)</f>
        <v>25-115/23:53</v>
      </c>
      <c r="P67" s="224" t="s">
        <v>926</v>
      </c>
      <c r="Q67" s="224" t="s">
        <v>927</v>
      </c>
      <c r="R67" s="224">
        <v>607931101</v>
      </c>
      <c r="S67" s="224">
        <v>1</v>
      </c>
      <c r="T67" s="224" t="s">
        <v>373</v>
      </c>
      <c r="U67" s="224" t="s">
        <v>928</v>
      </c>
      <c r="V67" s="224" t="s">
        <v>833</v>
      </c>
      <c r="W67" s="224"/>
      <c r="X67" s="224" t="s">
        <v>929</v>
      </c>
      <c r="Y67" s="227"/>
      <c r="Z67" s="227"/>
      <c r="AA67" s="227"/>
      <c r="AB67" s="227"/>
      <c r="AC67" s="226"/>
      <c r="AD67" s="226"/>
      <c r="AE67" s="226"/>
      <c r="AF67" s="227"/>
      <c r="AL67" s="250" t="s">
        <v>930</v>
      </c>
      <c r="AM67" s="250" t="s">
        <v>931</v>
      </c>
      <c r="AN67" s="244">
        <v>6.36</v>
      </c>
      <c r="AO67" s="244">
        <v>6.36</v>
      </c>
      <c r="AP67" s="251">
        <v>6.36</v>
      </c>
      <c r="AQ67">
        <f>AQ66+AP67</f>
        <v>27.14</v>
      </c>
      <c r="AS67" s="3">
        <v>6.99</v>
      </c>
    </row>
    <row r="68" spans="2:47" ht="15.4" customHeight="1">
      <c r="L68" s="226" t="s">
        <v>932</v>
      </c>
      <c r="M68" s="226" t="s">
        <v>933</v>
      </c>
      <c r="N68" s="252" t="s">
        <v>934</v>
      </c>
      <c r="O68" s="226"/>
      <c r="P68" s="179" t="s">
        <v>935</v>
      </c>
      <c r="Q68" s="237">
        <f>R55-1</f>
        <v>607164813.48952889</v>
      </c>
      <c r="R68" s="240">
        <f>R67+20</f>
        <v>607931121</v>
      </c>
      <c r="S68" s="104">
        <f>R68-Q68</f>
        <v>766307.51047110558</v>
      </c>
      <c r="T68" s="104">
        <f>S68*$V$9</f>
        <v>2927294.6899996232</v>
      </c>
      <c r="U68" s="3">
        <v>0</v>
      </c>
      <c r="V68" s="142">
        <f>T68+U68*$V$37</f>
        <v>2927294.6899996232</v>
      </c>
      <c r="W68" s="97">
        <f>Y68*1000000/8</f>
        <v>2857250.0000000005</v>
      </c>
      <c r="X68" s="105">
        <f>W68-V68</f>
        <v>-70044.689999622758</v>
      </c>
      <c r="Y68" s="253">
        <f>1.1*(AO62+AO63+AP66)</f>
        <v>22.858000000000004</v>
      </c>
      <c r="Z68" s="189" t="s">
        <v>936</v>
      </c>
      <c r="AA68" s="235">
        <f>S68*$S$9</f>
        <v>1065941.2859702141</v>
      </c>
      <c r="AB68" s="236">
        <f>AA68*8/1000000</f>
        <v>8.5275302877617118</v>
      </c>
      <c r="AC68" s="235">
        <f>AA68-V68</f>
        <v>-1861353.4040294092</v>
      </c>
      <c r="AD68" s="229">
        <f>AB68-Y68</f>
        <v>-14.330469712238292</v>
      </c>
      <c r="AE68" s="229"/>
      <c r="AF68" s="178" t="s">
        <v>937</v>
      </c>
      <c r="AG68" s="228" t="s">
        <v>938</v>
      </c>
      <c r="AH68" s="232">
        <f>X68*8/1000000</f>
        <v>-0.56035751999698202</v>
      </c>
      <c r="AI68" s="232">
        <f>V68*8/1000000</f>
        <v>23.418357519996984</v>
      </c>
      <c r="AJ68" s="242"/>
      <c r="AL68" s="250" t="s">
        <v>939</v>
      </c>
      <c r="AM68" s="250" t="s">
        <v>940</v>
      </c>
      <c r="AN68" s="244">
        <v>8.57</v>
      </c>
      <c r="AO68" s="244">
        <v>8.57</v>
      </c>
      <c r="AP68" s="251">
        <v>8.57</v>
      </c>
      <c r="AQ68">
        <f>AQ67+AP68</f>
        <v>35.71</v>
      </c>
      <c r="AS68" s="3">
        <v>9.43</v>
      </c>
    </row>
    <row r="69" spans="2:47" ht="15.4" customHeight="1">
      <c r="C69" s="254" t="s">
        <v>941</v>
      </c>
      <c r="D69" s="254" t="s">
        <v>942</v>
      </c>
      <c r="E69" s="254" t="s">
        <v>766</v>
      </c>
      <c r="F69" s="254" t="s">
        <v>764</v>
      </c>
      <c r="G69" s="254" t="s">
        <v>765</v>
      </c>
      <c r="H69" s="254" t="s">
        <v>768</v>
      </c>
      <c r="I69" s="254" t="s">
        <v>769</v>
      </c>
      <c r="J69" s="254" t="s">
        <v>943</v>
      </c>
      <c r="K69" t="s">
        <v>1540</v>
      </c>
      <c r="L69" s="457" t="str" cm="1">
        <f t="array" aca="1" ref="L69" ca="1">MID(MET2UTC(Q70),3,12)</f>
        <v>25-107/03:16</v>
      </c>
      <c r="M69" s="461" t="str" cm="1">
        <f t="array" aca="1" ref="M69" ca="1">MID(MET2UTC(R70),3,12)</f>
        <v>25-115/23:57</v>
      </c>
      <c r="P69" s="81" t="s">
        <v>944</v>
      </c>
      <c r="Q69" s="81" t="s">
        <v>945</v>
      </c>
      <c r="R69" s="81">
        <v>607931322</v>
      </c>
      <c r="S69" s="81">
        <v>1</v>
      </c>
      <c r="T69" s="81" t="s">
        <v>373</v>
      </c>
      <c r="U69" s="81" t="s">
        <v>928</v>
      </c>
      <c r="V69" s="81" t="s">
        <v>382</v>
      </c>
      <c r="W69" s="81"/>
      <c r="X69" s="81" t="s">
        <v>946</v>
      </c>
      <c r="Y69" s="239"/>
      <c r="Z69" s="239"/>
      <c r="AA69" s="239"/>
      <c r="AB69" s="239"/>
      <c r="AC69" s="238"/>
      <c r="AD69" s="238"/>
      <c r="AE69" s="238"/>
      <c r="AH69" s="232"/>
      <c r="AI69" s="232"/>
      <c r="AL69" s="244" t="s">
        <v>947</v>
      </c>
      <c r="AM69" s="244" t="s">
        <v>948</v>
      </c>
      <c r="AN69" s="244">
        <v>0</v>
      </c>
      <c r="AO69" s="244">
        <v>0</v>
      </c>
      <c r="AP69" s="249">
        <v>0</v>
      </c>
      <c r="AS69" s="3"/>
    </row>
    <row r="70" spans="2:47" ht="15.4" customHeight="1">
      <c r="B70">
        <v>102</v>
      </c>
      <c r="C70">
        <v>101</v>
      </c>
      <c r="E70" t="s">
        <v>766</v>
      </c>
      <c r="F70" t="s">
        <v>764</v>
      </c>
      <c r="G70" t="s">
        <v>765</v>
      </c>
      <c r="H70" t="s">
        <v>768</v>
      </c>
      <c r="L70" s="238" t="s">
        <v>883</v>
      </c>
      <c r="M70" s="238" t="s">
        <v>949</v>
      </c>
      <c r="N70" s="255" t="s">
        <v>950</v>
      </c>
      <c r="O70" s="238"/>
      <c r="P70" s="179" t="s">
        <v>951</v>
      </c>
      <c r="Q70" s="237">
        <f>R53-1</f>
        <v>607165733.06575108</v>
      </c>
      <c r="R70" s="240">
        <f>R69+20</f>
        <v>607931342</v>
      </c>
      <c r="S70" s="104">
        <f>R70-Q70</f>
        <v>765608.93424892426</v>
      </c>
      <c r="T70" s="104">
        <f>S70*$V$10</f>
        <v>3717609.5700257518</v>
      </c>
      <c r="U70" s="3">
        <v>0</v>
      </c>
      <c r="V70" s="142">
        <f>T70+U70*$V$37</f>
        <v>3717609.5700257518</v>
      </c>
      <c r="W70" s="97">
        <f>Y70*1000000/8+X68</f>
        <v>5179705.3100003786</v>
      </c>
      <c r="X70" s="105">
        <f>W70-V70</f>
        <v>1462095.7399746268</v>
      </c>
      <c r="Y70" s="256">
        <f>1.1*(AP67+AP68+AP73+AP74)</f>
        <v>41.998000000000005</v>
      </c>
      <c r="Z70" s="189" t="s">
        <v>952</v>
      </c>
      <c r="AA70" s="229">
        <v>1654428</v>
      </c>
      <c r="AB70" s="235">
        <f>AA70-T70</f>
        <v>-2063181.5700257518</v>
      </c>
      <c r="AC70" s="241">
        <f>(AB70/8)/1000000</f>
        <v>-0.25789769625321896</v>
      </c>
      <c r="AD70" s="241"/>
      <c r="AE70" s="229"/>
      <c r="AF70" s="178" t="s">
        <v>953</v>
      </c>
      <c r="AG70" s="192" t="s">
        <v>954</v>
      </c>
      <c r="AH70" s="232">
        <f>X70*8/1000000</f>
        <v>11.696765919797015</v>
      </c>
      <c r="AI70" s="232">
        <f>V70*8/1000000</f>
        <v>29.740876560206015</v>
      </c>
      <c r="AL70" s="244" t="s">
        <v>955</v>
      </c>
      <c r="AM70" s="244" t="s">
        <v>956</v>
      </c>
      <c r="AN70" s="244">
        <v>0</v>
      </c>
      <c r="AO70" s="244">
        <v>0</v>
      </c>
      <c r="AP70" s="249">
        <v>0</v>
      </c>
      <c r="AS70" s="3"/>
    </row>
    <row r="71" spans="2:47" ht="15.4" customHeight="1">
      <c r="L71" s="462" t="str" cm="1">
        <f t="array" aca="1" ref="L71" ca="1">MID(MET2UTC(Q72),3,12)</f>
        <v>25-116/08:14</v>
      </c>
      <c r="M71" s="458" t="str" cm="1">
        <f t="array" aca="1" ref="M71" ca="1">MID(MET2UTC(R72),3,12)</f>
        <v>25-119/08:35</v>
      </c>
      <c r="P71" s="81" t="s">
        <v>957</v>
      </c>
      <c r="Q71" s="81" t="s">
        <v>958</v>
      </c>
      <c r="R71" s="81">
        <v>607961216</v>
      </c>
      <c r="S71" s="81">
        <v>7</v>
      </c>
      <c r="T71" s="81" t="s">
        <v>373</v>
      </c>
      <c r="U71" s="81" t="s">
        <v>959</v>
      </c>
      <c r="V71" s="81" t="s">
        <v>866</v>
      </c>
      <c r="W71" s="81" t="s">
        <v>867</v>
      </c>
      <c r="X71" s="81" t="s">
        <v>960</v>
      </c>
      <c r="Y71" s="239"/>
      <c r="Z71" s="239"/>
      <c r="AA71" s="239"/>
      <c r="AB71" s="239"/>
      <c r="AC71" s="238"/>
      <c r="AD71" s="238"/>
      <c r="AE71" s="238"/>
      <c r="AH71" s="232"/>
      <c r="AI71" s="232"/>
      <c r="AL71" s="244" t="s">
        <v>961</v>
      </c>
      <c r="AM71" s="244" t="s">
        <v>962</v>
      </c>
      <c r="AN71" s="244">
        <v>0</v>
      </c>
      <c r="AO71" s="244">
        <v>0</v>
      </c>
      <c r="AP71" s="249">
        <v>0</v>
      </c>
      <c r="AS71" s="3"/>
    </row>
    <row r="72" spans="2:47" ht="15.4" customHeight="1">
      <c r="B72">
        <v>102</v>
      </c>
      <c r="C72">
        <v>101</v>
      </c>
      <c r="E72" t="s">
        <v>766</v>
      </c>
      <c r="F72" t="s">
        <v>764</v>
      </c>
      <c r="G72" t="s">
        <v>765</v>
      </c>
      <c r="H72" t="s">
        <v>768</v>
      </c>
      <c r="L72" s="238" t="s">
        <v>963</v>
      </c>
      <c r="M72" s="257" t="s">
        <v>964</v>
      </c>
      <c r="N72" s="255" t="s">
        <v>965</v>
      </c>
      <c r="O72" s="238"/>
      <c r="P72" s="179" t="s">
        <v>951</v>
      </c>
      <c r="Q72" s="240">
        <f>R71-20</f>
        <v>607961196</v>
      </c>
      <c r="R72" s="104">
        <f>((W72-U72*$V$37)/$V$10)+Q72</f>
        <v>608221654.09265757</v>
      </c>
      <c r="S72" s="104">
        <f>R72-Q72</f>
        <v>260458.09265756607</v>
      </c>
      <c r="T72" s="104">
        <f>S72*$V$10</f>
        <v>1264720.7399745442</v>
      </c>
      <c r="U72" s="3">
        <v>1</v>
      </c>
      <c r="V72" s="142">
        <f>T72+U72*$V$37</f>
        <v>1462095.7399745442</v>
      </c>
      <c r="W72" s="97">
        <f>X70</f>
        <v>1462095.7399746268</v>
      </c>
      <c r="X72" s="105">
        <f>W72-V72</f>
        <v>8.2654878497123718E-8</v>
      </c>
      <c r="Y72" t="s">
        <v>966</v>
      </c>
      <c r="AA72" s="229">
        <v>334035</v>
      </c>
      <c r="AB72" s="235">
        <f>AA72-T72</f>
        <v>-930685.73997454415</v>
      </c>
      <c r="AC72" s="241">
        <f>(AB72/8)/1000000</f>
        <v>-0.11633571749681802</v>
      </c>
      <c r="AD72" s="241"/>
      <c r="AE72" s="3"/>
      <c r="AF72">
        <f>15*60*4.8624</f>
        <v>4376.16</v>
      </c>
      <c r="AG72" t="s">
        <v>173</v>
      </c>
      <c r="AH72" s="232">
        <f>X72*8/1000000</f>
        <v>6.6123902797698976E-13</v>
      </c>
      <c r="AI72" s="232">
        <f>V72*8/1000000</f>
        <v>11.696765919796354</v>
      </c>
      <c r="AL72" s="244" t="s">
        <v>967</v>
      </c>
      <c r="AM72" s="244" t="s">
        <v>968</v>
      </c>
      <c r="AN72" s="244">
        <v>0</v>
      </c>
      <c r="AO72" s="244">
        <v>0</v>
      </c>
      <c r="AP72" s="249">
        <v>0</v>
      </c>
      <c r="AS72" s="3"/>
    </row>
    <row r="73" spans="2:47" ht="15.4" customHeight="1">
      <c r="L73" s="17" t="s">
        <v>969</v>
      </c>
      <c r="M73" t="s">
        <v>970</v>
      </c>
      <c r="N73" t="s">
        <v>971</v>
      </c>
      <c r="P73" s="224" t="s">
        <v>972</v>
      </c>
      <c r="Q73" s="224" t="s">
        <v>973</v>
      </c>
      <c r="R73" s="224">
        <v>607960737</v>
      </c>
      <c r="S73" s="224">
        <v>7</v>
      </c>
      <c r="T73" s="224" t="s">
        <v>373</v>
      </c>
      <c r="U73" s="224" t="s">
        <v>974</v>
      </c>
      <c r="V73" s="224" t="s">
        <v>816</v>
      </c>
      <c r="W73" s="224" t="s">
        <v>817</v>
      </c>
      <c r="X73" s="224" t="s">
        <v>975</v>
      </c>
      <c r="Y73" s="227"/>
      <c r="Z73" s="227"/>
      <c r="AA73" s="227"/>
      <c r="AB73" s="3"/>
      <c r="AC73" s="3"/>
      <c r="AD73" s="3"/>
      <c r="AE73" s="3"/>
      <c r="AF73" s="3"/>
      <c r="AH73" s="232"/>
      <c r="AI73" s="232"/>
      <c r="AL73" s="250" t="s">
        <v>976</v>
      </c>
      <c r="AM73" s="250" t="s">
        <v>977</v>
      </c>
      <c r="AN73" s="244">
        <v>6.03</v>
      </c>
      <c r="AO73" s="244">
        <v>6.03</v>
      </c>
      <c r="AP73" s="251">
        <v>6.03</v>
      </c>
      <c r="AQ73">
        <f>AQ68+AP73</f>
        <v>41.74</v>
      </c>
      <c r="AS73" s="3">
        <v>6.63</v>
      </c>
    </row>
    <row r="74" spans="2:47" ht="15.4" customHeight="1">
      <c r="L74" s="226" t="s">
        <v>978</v>
      </c>
      <c r="M74" s="226" t="s">
        <v>979</v>
      </c>
      <c r="N74" s="227" t="s">
        <v>980</v>
      </c>
      <c r="O74" s="226"/>
      <c r="P74" s="179" t="s">
        <v>112</v>
      </c>
      <c r="Q74" s="240">
        <f>R73-20</f>
        <v>607960717</v>
      </c>
      <c r="R74" s="240">
        <f>R76+20</f>
        <v>608535921</v>
      </c>
      <c r="S74" s="104">
        <f>R74-Q74</f>
        <v>575204</v>
      </c>
      <c r="T74" s="104">
        <f>S74*$V$9</f>
        <v>2197279.2799999998</v>
      </c>
      <c r="U74" s="3">
        <v>0</v>
      </c>
      <c r="V74" s="142">
        <f>T74+U74*$V$37</f>
        <v>2197279.2799999998</v>
      </c>
      <c r="W74" s="97">
        <f>Y74*1000000/8</f>
        <v>3121250.0000000005</v>
      </c>
      <c r="X74" s="105">
        <f>W74-V74</f>
        <v>923970.72000000067</v>
      </c>
      <c r="Y74" s="258">
        <f>1.1*(AP75+AP76+AP77)</f>
        <v>24.970000000000002</v>
      </c>
      <c r="Z74" s="189" t="s">
        <v>981</v>
      </c>
      <c r="AA74" s="235">
        <f>S74*$S$9</f>
        <v>800114.42283564818</v>
      </c>
      <c r="AB74" s="236">
        <f>AA74*8/1000000</f>
        <v>6.4009153826851852</v>
      </c>
      <c r="AC74" s="235">
        <f>AA74-V74</f>
        <v>-1397164.8571643517</v>
      </c>
      <c r="AD74" s="229">
        <f>AB74-Y74</f>
        <v>-18.569084617314818</v>
      </c>
      <c r="AE74" s="229"/>
      <c r="AF74" t="s">
        <v>580</v>
      </c>
      <c r="AG74" s="227" t="s">
        <v>982</v>
      </c>
      <c r="AH74" s="232">
        <f>X74*8/1000000</f>
        <v>7.3917657600000055</v>
      </c>
      <c r="AI74" s="232">
        <f>V74*8/1000000</f>
        <v>17.578234239999997</v>
      </c>
      <c r="AL74" s="250" t="s">
        <v>983</v>
      </c>
      <c r="AM74" s="250" t="s">
        <v>984</v>
      </c>
      <c r="AN74" s="244">
        <v>17.22</v>
      </c>
      <c r="AO74" s="244">
        <v>17.22</v>
      </c>
      <c r="AP74" s="251">
        <v>17.22</v>
      </c>
      <c r="AQ74">
        <f>AQ73+AP74</f>
        <v>58.96</v>
      </c>
      <c r="AS74" s="3">
        <v>18.940000000000001</v>
      </c>
    </row>
    <row r="75" spans="2:47" ht="15.4" customHeight="1">
      <c r="O75" s="17" t="s">
        <v>985</v>
      </c>
      <c r="P75" s="225" t="s">
        <v>986</v>
      </c>
      <c r="Q75" s="225" t="s">
        <v>987</v>
      </c>
      <c r="R75" s="225">
        <v>608622301</v>
      </c>
      <c r="S75" s="225">
        <v>1</v>
      </c>
      <c r="T75" s="225" t="s">
        <v>373</v>
      </c>
      <c r="U75" s="225" t="s">
        <v>988</v>
      </c>
      <c r="V75" s="225" t="s">
        <v>833</v>
      </c>
      <c r="W75" s="225"/>
      <c r="X75" s="225" t="s">
        <v>989</v>
      </c>
      <c r="Y75">
        <f>(Y74+Y70+Y68)*0.9</f>
        <v>80.843400000000003</v>
      </c>
      <c r="AC75" s="3"/>
      <c r="AD75" s="3"/>
      <c r="AE75" s="3"/>
      <c r="AH75" s="232"/>
      <c r="AI75" s="232"/>
      <c r="AL75" s="259" t="s">
        <v>990</v>
      </c>
      <c r="AM75" s="259" t="s">
        <v>991</v>
      </c>
      <c r="AN75" s="244">
        <v>8.7799999999999994</v>
      </c>
      <c r="AO75" s="244">
        <v>8.7799999999999994</v>
      </c>
      <c r="AP75" s="260">
        <v>8.7799999999999994</v>
      </c>
      <c r="AQ75">
        <f>AQ74+AP75</f>
        <v>67.739999999999995</v>
      </c>
      <c r="AS75" s="3">
        <v>9.66</v>
      </c>
    </row>
    <row r="76" spans="2:47" ht="15.4" customHeight="1">
      <c r="O76" s="17" t="s">
        <v>992</v>
      </c>
      <c r="P76" s="225" t="s">
        <v>993</v>
      </c>
      <c r="Q76" s="225" t="s">
        <v>994</v>
      </c>
      <c r="R76" s="261">
        <f>R75-86400</f>
        <v>608535901</v>
      </c>
      <c r="S76" s="225">
        <v>1</v>
      </c>
      <c r="T76" s="225" t="s">
        <v>373</v>
      </c>
      <c r="U76" s="225" t="s">
        <v>988</v>
      </c>
      <c r="V76" s="225" t="s">
        <v>833</v>
      </c>
      <c r="W76" s="225"/>
      <c r="X76" s="225" t="s">
        <v>989</v>
      </c>
      <c r="Y76" s="227"/>
      <c r="Z76" s="227"/>
      <c r="AA76" s="227"/>
      <c r="AB76" s="227"/>
      <c r="AC76" s="226"/>
      <c r="AD76" s="226"/>
      <c r="AE76" s="226"/>
      <c r="AF76" s="227"/>
      <c r="AH76" s="232"/>
      <c r="AI76" s="232"/>
      <c r="AL76" s="259" t="s">
        <v>995</v>
      </c>
      <c r="AM76" s="259" t="s">
        <v>996</v>
      </c>
      <c r="AN76" s="244">
        <v>6.38</v>
      </c>
      <c r="AO76" s="244">
        <v>6.38</v>
      </c>
      <c r="AP76" s="260">
        <v>6.38</v>
      </c>
      <c r="AQ76">
        <f>AQ75+AP76</f>
        <v>74.11999999999999</v>
      </c>
      <c r="AS76" s="3">
        <v>7.01</v>
      </c>
    </row>
    <row r="77" spans="2:47" ht="15.4" customHeight="1">
      <c r="O77" s="17" t="s">
        <v>997</v>
      </c>
      <c r="P77" s="225" t="s">
        <v>998</v>
      </c>
      <c r="Q77" s="225" t="s">
        <v>999</v>
      </c>
      <c r="R77" s="225">
        <v>608651936</v>
      </c>
      <c r="S77" s="225">
        <v>7</v>
      </c>
      <c r="T77" s="225" t="s">
        <v>373</v>
      </c>
      <c r="U77" s="225" t="s">
        <v>1000</v>
      </c>
      <c r="V77" s="225" t="s">
        <v>816</v>
      </c>
      <c r="W77" s="225" t="s">
        <v>817</v>
      </c>
      <c r="X77" s="225" t="s">
        <v>1001</v>
      </c>
      <c r="Y77" s="227"/>
      <c r="Z77" s="227"/>
      <c r="AA77" s="227"/>
      <c r="AB77" s="227"/>
      <c r="AC77" s="226"/>
      <c r="AD77" s="226"/>
      <c r="AE77" s="226"/>
      <c r="AF77" s="227"/>
      <c r="AH77" s="232"/>
      <c r="AI77" s="232"/>
      <c r="AL77" s="259" t="s">
        <v>1002</v>
      </c>
      <c r="AM77" s="259" t="s">
        <v>1003</v>
      </c>
      <c r="AN77" s="244">
        <v>7.54</v>
      </c>
      <c r="AO77" s="244">
        <v>7.54</v>
      </c>
      <c r="AP77" s="260">
        <v>7.54</v>
      </c>
      <c r="AQ77">
        <f>AQ76+AP77</f>
        <v>81.66</v>
      </c>
      <c r="AR77">
        <f>AQ77/2</f>
        <v>40.83</v>
      </c>
      <c r="AS77" s="3">
        <v>8.3000000000000007</v>
      </c>
    </row>
    <row r="78" spans="2:47" ht="14.25">
      <c r="O78" s="17" t="s">
        <v>992</v>
      </c>
      <c r="P78" s="225" t="s">
        <v>998</v>
      </c>
      <c r="Q78" s="225" t="s">
        <v>1004</v>
      </c>
      <c r="R78" s="261">
        <f>R77-86400</f>
        <v>608565536</v>
      </c>
      <c r="S78" s="225">
        <v>7</v>
      </c>
      <c r="T78" s="225" t="s">
        <v>373</v>
      </c>
      <c r="U78" s="225" t="s">
        <v>1000</v>
      </c>
      <c r="V78" s="225" t="s">
        <v>816</v>
      </c>
      <c r="W78" s="225" t="s">
        <v>817</v>
      </c>
      <c r="X78" s="225" t="s">
        <v>1001</v>
      </c>
      <c r="Y78" s="227"/>
      <c r="Z78" s="227"/>
      <c r="AA78" s="227"/>
      <c r="AB78" s="227"/>
      <c r="AC78" s="226"/>
      <c r="AD78" s="226"/>
      <c r="AE78" s="226"/>
      <c r="AF78" s="227"/>
      <c r="AH78" s="232"/>
      <c r="AI78" s="232"/>
    </row>
    <row r="79" spans="2:47" ht="15.75">
      <c r="L79" s="226" t="s">
        <v>4371</v>
      </c>
      <c r="M79" s="226" t="s">
        <v>1006</v>
      </c>
      <c r="N79" s="227" t="s">
        <v>1007</v>
      </c>
      <c r="O79" s="226"/>
      <c r="P79" s="179" t="s">
        <v>112</v>
      </c>
      <c r="Q79" s="240">
        <f>R78-20</f>
        <v>608565516</v>
      </c>
      <c r="R79" s="143">
        <f>((W79)/$V$9)+Q79</f>
        <v>608807393.15183246</v>
      </c>
      <c r="S79" s="104">
        <f>R79-Q79</f>
        <v>241877.15183246136</v>
      </c>
      <c r="T79" s="104">
        <f>S79*$V$9</f>
        <v>923970.7200000023</v>
      </c>
      <c r="U79" s="3">
        <v>0</v>
      </c>
      <c r="V79" s="142">
        <f>T79+U79*$V$37</f>
        <v>923970.7200000023</v>
      </c>
      <c r="W79" s="97">
        <f>X74</f>
        <v>923970.72000000067</v>
      </c>
      <c r="X79" s="105">
        <f>W79-V79</f>
        <v>-1.6298145055770874E-9</v>
      </c>
      <c r="Y79">
        <f>SUM(Y68:Y74)</f>
        <v>89.826000000000008</v>
      </c>
      <c r="AA79" s="235">
        <f>S79*$S$9</f>
        <v>336453.49777741509</v>
      </c>
      <c r="AB79" s="236">
        <f>AA79*8/1000000</f>
        <v>2.6916279822193205</v>
      </c>
      <c r="AC79" s="235">
        <f>AA79-V79</f>
        <v>-587517.22222258721</v>
      </c>
      <c r="AD79" s="229">
        <f>AB79-Y79</f>
        <v>-87.134372017780692</v>
      </c>
      <c r="AE79" s="229"/>
      <c r="AG79" s="227" t="s">
        <v>1008</v>
      </c>
      <c r="AH79" s="232">
        <f>X79*8/1000000</f>
        <v>-1.3038516044616699E-14</v>
      </c>
      <c r="AI79" s="232">
        <f>V79*8/1000000</f>
        <v>7.3917657600000188</v>
      </c>
      <c r="AU79" s="3"/>
    </row>
    <row r="80" spans="2:47" ht="14.25">
      <c r="Z80" s="238">
        <f>Y70</f>
        <v>41.998000000000005</v>
      </c>
      <c r="AB80" s="243">
        <f>AB79+AB74+AB68</f>
        <v>17.620073652666218</v>
      </c>
      <c r="AC80" s="3"/>
      <c r="AD80" s="3"/>
      <c r="AE80" s="3"/>
      <c r="AH80" s="232"/>
      <c r="AI80" s="232"/>
    </row>
    <row r="81" spans="1:43" ht="14.25">
      <c r="X81" t="s">
        <v>913</v>
      </c>
      <c r="AB81" t="s">
        <v>894</v>
      </c>
      <c r="AC81" s="3"/>
      <c r="AD81" s="3"/>
      <c r="AE81" s="3"/>
      <c r="AH81" s="232"/>
      <c r="AI81" s="232"/>
    </row>
    <row r="82" spans="1:43" ht="14.25">
      <c r="P82" t="s">
        <v>1009</v>
      </c>
      <c r="X82" t="s">
        <v>1010</v>
      </c>
      <c r="AC82" s="3"/>
      <c r="AD82" s="3"/>
      <c r="AE82" s="3"/>
      <c r="AH82" s="232"/>
      <c r="AI82" s="232"/>
    </row>
    <row r="83" spans="1:43" ht="14.25">
      <c r="P83" s="81" t="s">
        <v>907</v>
      </c>
      <c r="Q83" s="81" t="s">
        <v>908</v>
      </c>
      <c r="R83" s="81">
        <v>608130222</v>
      </c>
      <c r="S83" s="81">
        <v>1</v>
      </c>
      <c r="T83" s="81" t="s">
        <v>373</v>
      </c>
      <c r="U83" s="81" t="s">
        <v>909</v>
      </c>
      <c r="V83" s="81" t="s">
        <v>382</v>
      </c>
      <c r="W83" s="81"/>
      <c r="X83" s="81" t="s">
        <v>910</v>
      </c>
      <c r="Y83" s="239"/>
      <c r="Z83" s="239"/>
      <c r="AA83" s="239"/>
      <c r="AB83" s="239"/>
      <c r="AC83" s="238"/>
      <c r="AD83" s="238"/>
      <c r="AE83" s="238"/>
      <c r="AH83" s="232"/>
      <c r="AI83" s="232"/>
    </row>
    <row r="84" spans="1:43" ht="14.25">
      <c r="P84" s="81" t="s">
        <v>1011</v>
      </c>
      <c r="Q84" s="81" t="s">
        <v>1012</v>
      </c>
      <c r="R84" s="81">
        <v>608131016</v>
      </c>
      <c r="S84" s="81">
        <v>7</v>
      </c>
      <c r="T84" s="81" t="s">
        <v>373</v>
      </c>
      <c r="U84" s="81" t="s">
        <v>1013</v>
      </c>
      <c r="V84" s="81" t="s">
        <v>866</v>
      </c>
      <c r="W84" s="81" t="s">
        <v>867</v>
      </c>
      <c r="X84" s="81" t="s">
        <v>1014</v>
      </c>
      <c r="Y84" s="239"/>
      <c r="Z84" s="239"/>
      <c r="AA84" s="239"/>
      <c r="AB84" s="239"/>
      <c r="AC84" s="238"/>
      <c r="AD84" s="238"/>
      <c r="AE84" s="238"/>
      <c r="AH84" s="232"/>
      <c r="AI84" s="232"/>
    </row>
    <row r="85" spans="1:43" ht="14.25">
      <c r="P85" s="59">
        <v>25139</v>
      </c>
      <c r="Q85" s="55"/>
      <c r="R85" s="55"/>
      <c r="S85" s="56"/>
      <c r="T85" s="3"/>
      <c r="U85" s="95"/>
      <c r="V85" s="93"/>
      <c r="W85" s="139"/>
      <c r="X85" s="140"/>
      <c r="AC85" s="3" t="s">
        <v>862</v>
      </c>
      <c r="AD85" s="3"/>
      <c r="AE85" s="3"/>
      <c r="AN85" s="3"/>
    </row>
    <row r="86" spans="1:43" ht="14.25">
      <c r="L86" t="s">
        <v>1015</v>
      </c>
      <c r="P86" s="73" t="s">
        <v>837</v>
      </c>
      <c r="Q86" s="72" t="s">
        <v>65</v>
      </c>
      <c r="R86" s="73" t="s">
        <v>66</v>
      </c>
      <c r="S86" s="73" t="s">
        <v>67</v>
      </c>
      <c r="T86" s="74" t="s">
        <v>68</v>
      </c>
      <c r="U86" s="3" t="s">
        <v>176</v>
      </c>
      <c r="V86" s="74" t="s">
        <v>265</v>
      </c>
      <c r="W86" s="73" t="s">
        <v>266</v>
      </c>
      <c r="X86" s="73" t="s">
        <v>70</v>
      </c>
      <c r="AB86" s="3" t="s">
        <v>869</v>
      </c>
      <c r="AC86" s="3" t="s">
        <v>870</v>
      </c>
      <c r="AD86" s="3" t="s">
        <v>871</v>
      </c>
      <c r="AE86" s="3"/>
      <c r="AN86" s="4"/>
    </row>
    <row r="87" spans="1:43" ht="28.5">
      <c r="L87" t="s">
        <v>1016</v>
      </c>
      <c r="P87" s="83" t="s">
        <v>1017</v>
      </c>
      <c r="Q87" s="83" t="s">
        <v>1018</v>
      </c>
      <c r="R87" s="83">
        <v>608536122</v>
      </c>
      <c r="S87" s="83">
        <v>1</v>
      </c>
      <c r="T87" s="83" t="s">
        <v>373</v>
      </c>
      <c r="U87" s="83" t="s">
        <v>1019</v>
      </c>
      <c r="V87" s="83" t="s">
        <v>382</v>
      </c>
      <c r="W87" s="83"/>
      <c r="X87" s="83" t="s">
        <v>1020</v>
      </c>
      <c r="Y87" s="239"/>
      <c r="Z87" s="239"/>
      <c r="AA87" s="239"/>
      <c r="AB87" s="239"/>
      <c r="AC87" s="238"/>
      <c r="AD87" s="238"/>
      <c r="AE87" s="238"/>
      <c r="AH87" t="s">
        <v>1021</v>
      </c>
      <c r="AI87" t="s">
        <v>836</v>
      </c>
      <c r="AL87" s="262" t="s">
        <v>1022</v>
      </c>
      <c r="AM87" s="262" t="s">
        <v>1023</v>
      </c>
      <c r="AN87" s="262" t="s">
        <v>1024</v>
      </c>
      <c r="AO87" s="262" t="s">
        <v>1025</v>
      </c>
      <c r="AP87" s="262" t="s">
        <v>1026</v>
      </c>
    </row>
    <row r="88" spans="1:43" ht="28.5">
      <c r="B88">
        <v>102</v>
      </c>
      <c r="C88">
        <v>101</v>
      </c>
      <c r="E88" t="s">
        <v>766</v>
      </c>
      <c r="F88" t="s">
        <v>764</v>
      </c>
      <c r="G88" t="s">
        <v>765</v>
      </c>
      <c r="H88" t="s">
        <v>768</v>
      </c>
      <c r="L88" s="238" t="s">
        <v>964</v>
      </c>
      <c r="M88" s="238" t="s">
        <v>1027</v>
      </c>
      <c r="N88" s="255" t="s">
        <v>167</v>
      </c>
      <c r="O88" s="263" t="s">
        <v>1028</v>
      </c>
      <c r="P88" s="179" t="s">
        <v>120</v>
      </c>
      <c r="Q88" s="264">
        <f>R72-1</f>
        <v>608221653.09265757</v>
      </c>
      <c r="R88" s="265">
        <f>R87+20</f>
        <v>608536142</v>
      </c>
      <c r="S88" s="104">
        <f>R88-Q88</f>
        <v>314488.90734243393</v>
      </c>
      <c r="T88" s="104">
        <f>S88*$V$10</f>
        <v>1527081.1497910847</v>
      </c>
      <c r="U88" s="3">
        <v>1</v>
      </c>
      <c r="V88" s="142">
        <f>T88+U88*$V$37</f>
        <v>1724456.1497910847</v>
      </c>
      <c r="W88" s="97">
        <f>Y88*1000000/8</f>
        <v>2076250</v>
      </c>
      <c r="X88" s="266">
        <f>W88-V88</f>
        <v>351793.8502089153</v>
      </c>
      <c r="Y88" s="256">
        <f>1.1*AN88</f>
        <v>16.61</v>
      </c>
      <c r="Z88" s="189"/>
      <c r="AA88" s="189"/>
      <c r="AB88" s="229">
        <v>1612718</v>
      </c>
      <c r="AC88" s="229">
        <f>AB88-V88</f>
        <v>-111738.1497910847</v>
      </c>
      <c r="AD88" s="267">
        <f>AC88*8/1000000</f>
        <v>-0.89390519832867754</v>
      </c>
      <c r="AE88" s="241">
        <f>AC88/AB88</f>
        <v>-6.9285609629882408E-2</v>
      </c>
      <c r="AF88" s="178" t="s">
        <v>1029</v>
      </c>
      <c r="AG88" s="192" t="s">
        <v>1028</v>
      </c>
      <c r="AH88" s="232">
        <f>X88*8/1000000</f>
        <v>2.8143508016713223</v>
      </c>
      <c r="AI88" s="232">
        <f>V88*8/1000000</f>
        <v>13.795649198328677</v>
      </c>
      <c r="AL88" s="268" t="s">
        <v>1030</v>
      </c>
      <c r="AM88" s="268" t="s">
        <v>1031</v>
      </c>
      <c r="AN88" s="268">
        <v>15.1</v>
      </c>
      <c r="AO88" s="268">
        <v>15.1</v>
      </c>
      <c r="AP88" s="268">
        <v>15.1</v>
      </c>
      <c r="AQ88">
        <f>AP88</f>
        <v>15.1</v>
      </c>
    </row>
    <row r="89" spans="1:43" ht="14.25">
      <c r="L89" s="462" t="str" cm="1">
        <f t="array" aca="1" ref="L89" ca="1">MID(MET2UTC(Q90),3,12)</f>
        <v>25-123/08:15</v>
      </c>
      <c r="M89" s="458" t="str" cm="1">
        <f t="array" aca="1" ref="M89" ca="1">MID(MET2UTC(R90),3,12)</f>
        <v>25-123/17:05</v>
      </c>
      <c r="P89" s="83" t="s">
        <v>1032</v>
      </c>
      <c r="Q89" s="83" t="s">
        <v>1033</v>
      </c>
      <c r="R89" s="83">
        <v>608566017</v>
      </c>
      <c r="S89" s="83">
        <v>7</v>
      </c>
      <c r="T89" s="83" t="s">
        <v>373</v>
      </c>
      <c r="U89" s="83" t="s">
        <v>1034</v>
      </c>
      <c r="V89" s="83" t="s">
        <v>866</v>
      </c>
      <c r="W89" s="83" t="s">
        <v>867</v>
      </c>
      <c r="X89" s="83" t="s">
        <v>1035</v>
      </c>
      <c r="Y89" s="239"/>
      <c r="Z89" s="239"/>
      <c r="AA89" s="239"/>
      <c r="AB89" s="257"/>
      <c r="AC89" s="238"/>
      <c r="AD89" s="238"/>
      <c r="AE89" s="269"/>
      <c r="AH89" s="232"/>
      <c r="AI89" s="232"/>
    </row>
    <row r="90" spans="1:43" ht="15.75">
      <c r="A90" s="255" t="s">
        <v>872</v>
      </c>
      <c r="B90">
        <v>102</v>
      </c>
      <c r="C90">
        <v>101</v>
      </c>
      <c r="E90" t="s">
        <v>766</v>
      </c>
      <c r="F90" t="s">
        <v>764</v>
      </c>
      <c r="G90" t="s">
        <v>765</v>
      </c>
      <c r="H90" t="s">
        <v>768</v>
      </c>
      <c r="I90" s="255"/>
      <c r="J90" s="255"/>
      <c r="K90" s="255"/>
      <c r="L90" s="257" t="s">
        <v>1036</v>
      </c>
      <c r="M90" s="257" t="s">
        <v>1037</v>
      </c>
      <c r="N90" s="255"/>
      <c r="O90" s="263" t="s">
        <v>1028</v>
      </c>
      <c r="P90" s="179" t="s">
        <v>120</v>
      </c>
      <c r="Q90" s="270">
        <f>R89+20</f>
        <v>608566037</v>
      </c>
      <c r="R90" s="143">
        <f t="shared" ref="R90:R95" si="25">((W90-U90*$V$37)/$V$10)+Q90</f>
        <v>608597838.20158112</v>
      </c>
      <c r="S90" s="104">
        <f t="shared" ref="S90:S95" si="26">R90-Q90</f>
        <v>31801.201581120491</v>
      </c>
      <c r="T90" s="104">
        <f t="shared" ref="T90:T95" si="27">S90*$V$10</f>
        <v>154418.85020878428</v>
      </c>
      <c r="U90" s="3">
        <v>1</v>
      </c>
      <c r="V90" s="142">
        <f t="shared" ref="V90:V95" si="28">T90+U90*$V$37</f>
        <v>351793.85020878428</v>
      </c>
      <c r="W90" s="97">
        <f>X88</f>
        <v>351793.8502089153</v>
      </c>
      <c r="X90" s="266">
        <f t="shared" ref="X90:X95" si="29">W90-V90</f>
        <v>1.3102544471621513E-7</v>
      </c>
      <c r="AB90" s="229">
        <v>334134</v>
      </c>
      <c r="AC90" s="229">
        <f t="shared" ref="AC90:AC95" si="30">AB90-V90</f>
        <v>-17659.850208784279</v>
      </c>
      <c r="AD90" s="267">
        <f t="shared" ref="AD90:AD95" si="31">AC90*8/1000000</f>
        <v>-0.14127880167027423</v>
      </c>
      <c r="AE90" s="241">
        <f t="shared" ref="AE90:AE95" si="32">AC90/AB90</f>
        <v>-5.2852598684313114E-2</v>
      </c>
      <c r="AF90" s="178" t="s">
        <v>1029</v>
      </c>
      <c r="AG90" s="192" t="s">
        <v>1028</v>
      </c>
      <c r="AH90" s="232">
        <f t="shared" ref="AH90:AH95" si="33">X90*8/1000000</f>
        <v>1.0482035577297211E-12</v>
      </c>
      <c r="AI90" s="232">
        <f t="shared" ref="AI90:AI95" si="34">V90*8/1000000</f>
        <v>2.8143508016702743</v>
      </c>
    </row>
    <row r="91" spans="1:43" ht="28.5">
      <c r="B91">
        <v>102</v>
      </c>
      <c r="C91">
        <v>101</v>
      </c>
      <c r="E91" t="s">
        <v>766</v>
      </c>
      <c r="F91" t="s">
        <v>764</v>
      </c>
      <c r="G91" t="s">
        <v>765</v>
      </c>
      <c r="H91" t="s">
        <v>768</v>
      </c>
      <c r="L91" s="257" t="s">
        <v>1037</v>
      </c>
      <c r="M91" s="257" t="s">
        <v>1038</v>
      </c>
      <c r="O91" s="263" t="s">
        <v>1039</v>
      </c>
      <c r="P91" s="179" t="s">
        <v>1040</v>
      </c>
      <c r="Q91" s="264">
        <f>R90-1</f>
        <v>608597837.20158112</v>
      </c>
      <c r="R91" s="143">
        <f t="shared" si="25"/>
        <v>608806816.02288961</v>
      </c>
      <c r="S91" s="104">
        <f t="shared" si="26"/>
        <v>208978.82130849361</v>
      </c>
      <c r="T91" s="104">
        <f t="shared" si="27"/>
        <v>1014750.0000000803</v>
      </c>
      <c r="U91" s="3">
        <v>0</v>
      </c>
      <c r="V91" s="142">
        <f t="shared" si="28"/>
        <v>1014750.0000000803</v>
      </c>
      <c r="W91" s="97">
        <f>Y91*1000000/8</f>
        <v>1014750</v>
      </c>
      <c r="X91" s="266">
        <f t="shared" si="29"/>
        <v>-8.0326572060585022E-8</v>
      </c>
      <c r="Y91" s="256">
        <f>1.1*AN91</f>
        <v>8.1180000000000003</v>
      </c>
      <c r="Z91" s="189"/>
      <c r="AA91" s="189"/>
      <c r="AB91" s="229">
        <v>1116266</v>
      </c>
      <c r="AC91" s="229">
        <f t="shared" si="30"/>
        <v>101515.99999991967</v>
      </c>
      <c r="AD91" s="267">
        <f t="shared" si="31"/>
        <v>0.81212799999935736</v>
      </c>
      <c r="AE91" s="241">
        <f t="shared" si="32"/>
        <v>9.0942481451481705E-2</v>
      </c>
      <c r="AF91" s="178" t="s">
        <v>1041</v>
      </c>
      <c r="AG91" s="192" t="s">
        <v>1039</v>
      </c>
      <c r="AH91" s="232">
        <f t="shared" si="33"/>
        <v>-6.4261257648468014E-13</v>
      </c>
      <c r="AI91" s="232">
        <f t="shared" si="34"/>
        <v>8.1180000000006434</v>
      </c>
      <c r="AJ91" s="3"/>
      <c r="AK91" s="3"/>
      <c r="AL91" s="268" t="s">
        <v>1042</v>
      </c>
      <c r="AM91" s="268" t="s">
        <v>1043</v>
      </c>
      <c r="AN91" s="268">
        <v>7.38</v>
      </c>
      <c r="AO91" s="268">
        <v>7.38</v>
      </c>
      <c r="AP91" s="268">
        <v>7.38</v>
      </c>
      <c r="AQ91" s="271">
        <f>AQ88+AP91</f>
        <v>22.48</v>
      </c>
    </row>
    <row r="92" spans="1:43" ht="28.5">
      <c r="B92">
        <v>102</v>
      </c>
      <c r="C92">
        <v>101</v>
      </c>
      <c r="E92" t="s">
        <v>766</v>
      </c>
      <c r="F92" t="s">
        <v>764</v>
      </c>
      <c r="G92" t="s">
        <v>765</v>
      </c>
      <c r="H92" t="s">
        <v>768</v>
      </c>
      <c r="L92" s="257" t="s">
        <v>1038</v>
      </c>
      <c r="M92" s="257" t="s">
        <v>1044</v>
      </c>
      <c r="O92" s="263" t="s">
        <v>1045</v>
      </c>
      <c r="P92" s="179" t="s">
        <v>1046</v>
      </c>
      <c r="Q92" s="264">
        <f>R91-1</f>
        <v>608806815.02288961</v>
      </c>
      <c r="R92" s="143">
        <f t="shared" si="25"/>
        <v>608968221.4295913</v>
      </c>
      <c r="S92" s="104">
        <f t="shared" si="26"/>
        <v>161406.406701684</v>
      </c>
      <c r="T92" s="104">
        <f t="shared" si="27"/>
        <v>783750.00000007136</v>
      </c>
      <c r="U92" s="3">
        <v>0</v>
      </c>
      <c r="V92" s="142">
        <f t="shared" si="28"/>
        <v>783750.00000007136</v>
      </c>
      <c r="W92" s="97">
        <f>Y92*1000000/8</f>
        <v>783750</v>
      </c>
      <c r="X92" s="266">
        <f t="shared" si="29"/>
        <v>-7.1362592279911041E-8</v>
      </c>
      <c r="Y92" s="256">
        <f>1.1*AN92</f>
        <v>6.2700000000000005</v>
      </c>
      <c r="Z92" s="189"/>
      <c r="AA92" s="189"/>
      <c r="AB92" s="229">
        <v>862324</v>
      </c>
      <c r="AC92" s="229">
        <f t="shared" si="30"/>
        <v>78573.999999928637</v>
      </c>
      <c r="AD92" s="267">
        <f t="shared" si="31"/>
        <v>0.62859199999942905</v>
      </c>
      <c r="AE92" s="241">
        <f t="shared" si="32"/>
        <v>9.1118883389455285E-2</v>
      </c>
      <c r="AF92" s="178" t="s">
        <v>1047</v>
      </c>
      <c r="AG92" s="192" t="s">
        <v>1045</v>
      </c>
      <c r="AH92" s="232">
        <f t="shared" si="33"/>
        <v>-5.7090073823928837E-13</v>
      </c>
      <c r="AI92" s="232">
        <f t="shared" si="34"/>
        <v>6.2700000000005707</v>
      </c>
      <c r="AL92" s="268" t="s">
        <v>1048</v>
      </c>
      <c r="AM92" s="268" t="s">
        <v>1049</v>
      </c>
      <c r="AN92" s="268">
        <v>5.7</v>
      </c>
      <c r="AO92" s="268">
        <v>5.7</v>
      </c>
      <c r="AP92" s="268">
        <v>5.7</v>
      </c>
      <c r="AQ92" s="271">
        <f>AQ91+AP92</f>
        <v>28.18</v>
      </c>
    </row>
    <row r="93" spans="1:43" ht="28.5">
      <c r="B93">
        <v>102</v>
      </c>
      <c r="C93">
        <v>101</v>
      </c>
      <c r="E93" t="s">
        <v>766</v>
      </c>
      <c r="F93" t="s">
        <v>764</v>
      </c>
      <c r="G93" t="s">
        <v>765</v>
      </c>
      <c r="H93" t="s">
        <v>768</v>
      </c>
      <c r="L93" s="257" t="s">
        <v>1044</v>
      </c>
      <c r="M93" s="257" t="s">
        <v>1050</v>
      </c>
      <c r="O93" s="263" t="s">
        <v>1051</v>
      </c>
      <c r="P93" s="179" t="s">
        <v>1052</v>
      </c>
      <c r="Q93" s="264">
        <f>R92-1</f>
        <v>608968220.4295913</v>
      </c>
      <c r="R93" s="143">
        <f t="shared" si="25"/>
        <v>609242044.98271501</v>
      </c>
      <c r="S93" s="104">
        <f t="shared" si="26"/>
        <v>273824.55312371254</v>
      </c>
      <c r="T93" s="104">
        <f t="shared" si="27"/>
        <v>1329625.0000000165</v>
      </c>
      <c r="U93" s="3">
        <v>0</v>
      </c>
      <c r="V93" s="142">
        <f t="shared" si="28"/>
        <v>1329625.0000000165</v>
      </c>
      <c r="W93" s="97">
        <f>Y93*1000000/8</f>
        <v>1329625</v>
      </c>
      <c r="X93" s="266">
        <f t="shared" si="29"/>
        <v>-1.6530975699424744E-8</v>
      </c>
      <c r="Y93" s="256">
        <f>1.1*AN93</f>
        <v>10.637</v>
      </c>
      <c r="Z93" s="189"/>
      <c r="AA93" s="189"/>
      <c r="AB93" s="229">
        <v>1414898</v>
      </c>
      <c r="AC93" s="229">
        <f t="shared" si="30"/>
        <v>85272.999999983469</v>
      </c>
      <c r="AD93" s="267">
        <f t="shared" si="31"/>
        <v>0.68218399999986779</v>
      </c>
      <c r="AE93" s="241">
        <f t="shared" si="32"/>
        <v>6.0267948643636125E-2</v>
      </c>
      <c r="AF93" s="178" t="s">
        <v>1053</v>
      </c>
      <c r="AG93" s="192" t="s">
        <v>1051</v>
      </c>
      <c r="AH93" s="232">
        <f t="shared" si="33"/>
        <v>-1.3224780559539796E-13</v>
      </c>
      <c r="AI93" s="232">
        <f t="shared" si="34"/>
        <v>10.637000000000132</v>
      </c>
      <c r="AL93" s="268" t="s">
        <v>1054</v>
      </c>
      <c r="AM93" s="268" t="s">
        <v>1055</v>
      </c>
      <c r="AN93" s="268">
        <v>9.67</v>
      </c>
      <c r="AO93" s="268">
        <v>9.67</v>
      </c>
      <c r="AP93" s="268">
        <v>9.67</v>
      </c>
      <c r="AQ93" s="271">
        <f>AQ92+AP93</f>
        <v>37.85</v>
      </c>
    </row>
    <row r="94" spans="1:43" ht="28.5">
      <c r="B94">
        <v>102</v>
      </c>
      <c r="C94">
        <v>101</v>
      </c>
      <c r="E94" t="s">
        <v>766</v>
      </c>
      <c r="F94" t="s">
        <v>764</v>
      </c>
      <c r="G94" t="s">
        <v>765</v>
      </c>
      <c r="H94" t="s">
        <v>768</v>
      </c>
      <c r="L94" s="257" t="s">
        <v>1050</v>
      </c>
      <c r="M94" s="257" t="s">
        <v>1056</v>
      </c>
      <c r="N94" s="91"/>
      <c r="O94" s="263" t="s">
        <v>1057</v>
      </c>
      <c r="P94" s="179" t="s">
        <v>1058</v>
      </c>
      <c r="Q94" s="264">
        <f>R93-1</f>
        <v>609242043.98271501</v>
      </c>
      <c r="R94" s="143">
        <f t="shared" si="25"/>
        <v>609420723.7066251</v>
      </c>
      <c r="S94" s="104">
        <f t="shared" si="26"/>
        <v>178679.72391009331</v>
      </c>
      <c r="T94" s="104">
        <f t="shared" si="27"/>
        <v>867624.99999999884</v>
      </c>
      <c r="U94" s="3">
        <v>0</v>
      </c>
      <c r="V94" s="142">
        <f t="shared" si="28"/>
        <v>867624.99999999884</v>
      </c>
      <c r="W94" s="97">
        <f>Y94*1000000/8</f>
        <v>867625</v>
      </c>
      <c r="X94" s="266">
        <f t="shared" si="29"/>
        <v>1.1641532182693481E-9</v>
      </c>
      <c r="Y94" s="256">
        <f>1.1*AN94</f>
        <v>6.9409999999999998</v>
      </c>
      <c r="Z94" s="189"/>
      <c r="AA94" s="189"/>
      <c r="AB94" s="229">
        <v>924952</v>
      </c>
      <c r="AC94" s="229">
        <f t="shared" si="30"/>
        <v>57327.000000001164</v>
      </c>
      <c r="AD94" s="267">
        <f t="shared" si="31"/>
        <v>0.45861600000000929</v>
      </c>
      <c r="AE94" s="241">
        <f t="shared" si="32"/>
        <v>6.1978351309042161E-2</v>
      </c>
      <c r="AF94" s="178" t="s">
        <v>1059</v>
      </c>
      <c r="AG94" s="192" t="s">
        <v>1057</v>
      </c>
      <c r="AH94" s="232">
        <f t="shared" si="33"/>
        <v>9.3132257461547859E-15</v>
      </c>
      <c r="AI94" s="232">
        <f t="shared" si="34"/>
        <v>6.940999999999991</v>
      </c>
      <c r="AL94" s="268" t="s">
        <v>1060</v>
      </c>
      <c r="AM94" s="268" t="s">
        <v>1061</v>
      </c>
      <c r="AN94" s="268">
        <v>6.31</v>
      </c>
      <c r="AO94" s="268">
        <v>6.31</v>
      </c>
      <c r="AP94" s="268">
        <v>6.31</v>
      </c>
      <c r="AQ94" s="271">
        <f>AQ93+AP94</f>
        <v>44.160000000000004</v>
      </c>
    </row>
    <row r="95" spans="1:43" ht="28.5">
      <c r="B95">
        <v>102</v>
      </c>
      <c r="C95">
        <v>101</v>
      </c>
      <c r="E95" t="s">
        <v>766</v>
      </c>
      <c r="F95" t="s">
        <v>764</v>
      </c>
      <c r="G95" t="s">
        <v>765</v>
      </c>
      <c r="H95" t="s">
        <v>768</v>
      </c>
      <c r="L95" s="257" t="s">
        <v>1056</v>
      </c>
      <c r="M95" s="257" t="s">
        <v>1062</v>
      </c>
      <c r="N95" s="91"/>
      <c r="O95" s="263" t="s">
        <v>1063</v>
      </c>
      <c r="P95" s="179" t="s">
        <v>1064</v>
      </c>
      <c r="Q95" s="264">
        <f>R94-1</f>
        <v>609420722.7066251</v>
      </c>
      <c r="R95" s="143">
        <f t="shared" si="25"/>
        <v>609625453.99091506</v>
      </c>
      <c r="S95" s="104">
        <f t="shared" si="26"/>
        <v>204731.28428995609</v>
      </c>
      <c r="T95" s="104">
        <f t="shared" si="27"/>
        <v>994124.99999972805</v>
      </c>
      <c r="U95" s="3">
        <v>0</v>
      </c>
      <c r="V95" s="142">
        <f t="shared" si="28"/>
        <v>994124.99999972805</v>
      </c>
      <c r="W95" s="97">
        <f>Y95*1000000/8</f>
        <v>994125.00000000012</v>
      </c>
      <c r="X95" s="266">
        <f t="shared" si="29"/>
        <v>2.7206260710954666E-7</v>
      </c>
      <c r="Y95" s="256">
        <f>1.1*AN95</f>
        <v>7.9530000000000012</v>
      </c>
      <c r="Z95" s="272">
        <f>SUM(Y88:Y95)</f>
        <v>56.529000000000011</v>
      </c>
      <c r="AA95" s="229"/>
      <c r="AB95" s="229">
        <v>1063706</v>
      </c>
      <c r="AC95" s="229">
        <f t="shared" si="30"/>
        <v>69581.000000271946</v>
      </c>
      <c r="AD95" s="267">
        <f t="shared" si="31"/>
        <v>0.55664800000217562</v>
      </c>
      <c r="AE95" s="241">
        <f t="shared" si="32"/>
        <v>6.5413751544385335E-2</v>
      </c>
      <c r="AF95" s="178" t="s">
        <v>1065</v>
      </c>
      <c r="AG95" s="192" t="s">
        <v>1063</v>
      </c>
      <c r="AH95" s="232">
        <f t="shared" si="33"/>
        <v>2.1765008568763734E-12</v>
      </c>
      <c r="AI95" s="232">
        <f t="shared" si="34"/>
        <v>7.9529999999978243</v>
      </c>
      <c r="AL95" s="268" t="s">
        <v>1066</v>
      </c>
      <c r="AM95" s="268" t="s">
        <v>1067</v>
      </c>
      <c r="AN95" s="268">
        <v>7.23</v>
      </c>
      <c r="AO95" s="268">
        <v>7.23</v>
      </c>
      <c r="AP95" s="268">
        <v>7.23</v>
      </c>
      <c r="AQ95" s="271">
        <f>AQ94+AP95</f>
        <v>51.39</v>
      </c>
    </row>
    <row r="96" spans="1:43" ht="14.25">
      <c r="L96" s="458" t="str" cm="1">
        <f t="array" aca="1" ref="L96" ca="1">MID(MET2UTC(Q95),3,12)</f>
        <v>25-133/05:40</v>
      </c>
      <c r="M96" s="458" t="str" cm="1">
        <f t="array" aca="1" ref="M96" ca="1">MID(MET2UTC(R95),3,12)</f>
        <v>25-135/14:32</v>
      </c>
      <c r="V96">
        <f>23*0.96</f>
        <v>22.08</v>
      </c>
      <c r="W96">
        <f>86400*V96</f>
        <v>1907711.9999999998</v>
      </c>
      <c r="Z96" s="238">
        <f>Y86</f>
        <v>0</v>
      </c>
      <c r="AB96" s="243">
        <f>AB95+AB90+AB84</f>
        <v>1397840</v>
      </c>
      <c r="AC96" s="3"/>
      <c r="AD96" s="3">
        <f>SUM(AD88:AD95)</f>
        <v>2.1029840000018876</v>
      </c>
      <c r="AE96" s="3"/>
      <c r="AH96" s="232"/>
      <c r="AI96" s="232"/>
    </row>
    <row r="97" spans="1:43" ht="14.25">
      <c r="F97" t="s">
        <v>764</v>
      </c>
      <c r="O97" t="s">
        <v>1068</v>
      </c>
      <c r="Q97" s="3">
        <v>590138632</v>
      </c>
      <c r="Y97" s="3"/>
      <c r="Z97" s="5"/>
      <c r="AA97" s="5"/>
      <c r="AB97" s="5"/>
      <c r="AC97" s="97"/>
      <c r="AD97" s="97"/>
      <c r="AE97" s="97"/>
      <c r="AH97" s="232"/>
      <c r="AI97" s="232"/>
    </row>
    <row r="98" spans="1:43" ht="14.25">
      <c r="M98" t="s">
        <v>1069</v>
      </c>
      <c r="P98" s="224" t="s">
        <v>1070</v>
      </c>
      <c r="Q98" s="224" t="s">
        <v>1071</v>
      </c>
      <c r="R98" s="224">
        <v>590207401</v>
      </c>
      <c r="S98" s="224">
        <v>1</v>
      </c>
      <c r="T98" s="224" t="s">
        <v>373</v>
      </c>
      <c r="U98" s="224" t="s">
        <v>1072</v>
      </c>
      <c r="V98" s="224" t="s">
        <v>833</v>
      </c>
      <c r="W98" s="224"/>
      <c r="X98" s="224" t="s">
        <v>1073</v>
      </c>
      <c r="Y98" s="227"/>
      <c r="AC98" s="3"/>
      <c r="AD98" s="3"/>
      <c r="AE98" s="3"/>
      <c r="AH98" s="232"/>
      <c r="AI98" s="232"/>
    </row>
    <row r="99" spans="1:43" ht="28.5">
      <c r="L99" s="273" t="s">
        <v>4370</v>
      </c>
      <c r="M99" s="273" t="s">
        <v>1075</v>
      </c>
      <c r="N99" s="252" t="s">
        <v>167</v>
      </c>
      <c r="O99" s="192" t="s">
        <v>1076</v>
      </c>
      <c r="P99" s="61" t="s">
        <v>82</v>
      </c>
      <c r="Q99" s="264">
        <f>Q97-3</f>
        <v>590138629</v>
      </c>
      <c r="R99" s="270">
        <f>R98+20</f>
        <v>590207421</v>
      </c>
      <c r="S99" s="104">
        <f>R99-Q99</f>
        <v>68792</v>
      </c>
      <c r="T99" s="104">
        <f>S99*$W$9</f>
        <v>253437.51089120371</v>
      </c>
      <c r="U99" s="3">
        <v>0</v>
      </c>
      <c r="V99" s="142">
        <f>T99+U99*$W$9</f>
        <v>253437.51089120371</v>
      </c>
      <c r="W99" s="97">
        <f>Y99*1000000/8</f>
        <v>396000</v>
      </c>
      <c r="X99" s="266">
        <f>W99-V99</f>
        <v>142562.48910879629</v>
      </c>
      <c r="Y99" s="256">
        <f>1.1*AN99</f>
        <v>3.1680000000000001</v>
      </c>
      <c r="Z99" s="189"/>
      <c r="AA99" s="189"/>
      <c r="AB99" s="229">
        <v>283727</v>
      </c>
      <c r="AC99" s="229">
        <f>AB99-W99</f>
        <v>-112273</v>
      </c>
      <c r="AD99" s="229">
        <f>AC99*8/1000000</f>
        <v>-0.89818399999999998</v>
      </c>
      <c r="AE99" s="229"/>
      <c r="AF99" s="178" t="s">
        <v>1077</v>
      </c>
      <c r="AG99" s="192" t="s">
        <v>1076</v>
      </c>
      <c r="AH99" s="232">
        <f>X99*8/1000000</f>
        <v>1.1404999128703703</v>
      </c>
      <c r="AI99" s="232">
        <f>V99*8/1000000</f>
        <v>2.0275000871296296</v>
      </c>
      <c r="AL99" s="274" t="s">
        <v>1078</v>
      </c>
      <c r="AM99" s="274" t="s">
        <v>1079</v>
      </c>
      <c r="AN99" s="274">
        <v>2.88</v>
      </c>
      <c r="AO99" s="274">
        <v>2.88</v>
      </c>
      <c r="AP99" s="274">
        <v>2.88</v>
      </c>
      <c r="AQ99" s="227">
        <f>AP99</f>
        <v>2.88</v>
      </c>
    </row>
    <row r="100" spans="1:43" ht="14.25">
      <c r="O100" t="s">
        <v>204</v>
      </c>
      <c r="P100" s="225" t="s">
        <v>1080</v>
      </c>
      <c r="Q100" s="225" t="s">
        <v>1081</v>
      </c>
      <c r="R100" s="225">
        <v>590247116</v>
      </c>
      <c r="S100" s="225">
        <v>7</v>
      </c>
      <c r="T100" s="225" t="s">
        <v>373</v>
      </c>
      <c r="U100" s="225" t="s">
        <v>1082</v>
      </c>
      <c r="V100" s="224" t="s">
        <v>816</v>
      </c>
      <c r="W100" s="225" t="s">
        <v>817</v>
      </c>
      <c r="X100" s="225" t="s">
        <v>1083</v>
      </c>
      <c r="Y100" s="227"/>
      <c r="Z100" s="227"/>
      <c r="AA100" s="227"/>
      <c r="AB100" s="227"/>
      <c r="AC100" s="226"/>
      <c r="AD100" s="226"/>
      <c r="AE100" s="226"/>
      <c r="AG100" t="s">
        <v>204</v>
      </c>
      <c r="AH100" s="232"/>
      <c r="AI100" s="232"/>
    </row>
    <row r="101" spans="1:43" ht="15.75">
      <c r="A101" s="252" t="s">
        <v>872</v>
      </c>
      <c r="B101" s="252"/>
      <c r="C101" s="252"/>
      <c r="D101" s="252"/>
      <c r="E101" s="252"/>
      <c r="F101" s="252"/>
      <c r="G101" s="252"/>
      <c r="H101" s="252"/>
      <c r="I101" s="252"/>
      <c r="J101" s="252"/>
      <c r="K101" s="252"/>
      <c r="L101" s="273" t="s">
        <v>1084</v>
      </c>
      <c r="M101" s="273" t="s">
        <v>1085</v>
      </c>
      <c r="N101" t="s">
        <v>4368</v>
      </c>
      <c r="O101" s="192" t="s">
        <v>1076</v>
      </c>
      <c r="P101" s="179" t="s">
        <v>82</v>
      </c>
      <c r="Q101" s="270">
        <f>R100-20</f>
        <v>590247096</v>
      </c>
      <c r="R101" s="143">
        <f t="shared" ref="R101:R106" si="35">((W101)/$W$9)+Q101</f>
        <v>590285792.5556767</v>
      </c>
      <c r="S101" s="104">
        <f t="shared" ref="S101:S106" si="36">R101-Q101</f>
        <v>38696.555676698685</v>
      </c>
      <c r="T101" s="104">
        <f t="shared" ref="T101:T106" si="37">S101*$W$9</f>
        <v>142562.48910869568</v>
      </c>
      <c r="U101" s="3">
        <v>0</v>
      </c>
      <c r="V101" s="142">
        <f t="shared" ref="V101:V106" si="38">T101+U101*$V$37</f>
        <v>142562.48910869568</v>
      </c>
      <c r="W101" s="97">
        <f>X99</f>
        <v>142562.48910879629</v>
      </c>
      <c r="X101" s="266">
        <f t="shared" ref="X101:X106" si="39">W101-V101</f>
        <v>1.0061194188892841E-7</v>
      </c>
      <c r="AB101" s="229">
        <v>191209</v>
      </c>
      <c r="AC101" s="229">
        <f t="shared" ref="AC101:AC106" si="40">AB101-W101</f>
        <v>48646.51089120371</v>
      </c>
      <c r="AD101" s="229">
        <f t="shared" ref="AD101:AD106" si="41">AC101*8/1000000</f>
        <v>0.3891720871296297</v>
      </c>
      <c r="AE101" s="229"/>
      <c r="AH101" s="232">
        <f t="shared" ref="AH101:AH106" si="42">X101*8/1000000</f>
        <v>8.0489553511142731E-13</v>
      </c>
      <c r="AI101" s="232">
        <f t="shared" ref="AI101:AI106" si="43">V101*8/1000000</f>
        <v>1.1404999128695654</v>
      </c>
    </row>
    <row r="102" spans="1:43" ht="28.5">
      <c r="L102" s="273" t="s">
        <v>1085</v>
      </c>
      <c r="M102" s="273" t="s">
        <v>1086</v>
      </c>
      <c r="O102" s="192" t="s">
        <v>1087</v>
      </c>
      <c r="P102" s="179" t="s">
        <v>1088</v>
      </c>
      <c r="Q102" s="264">
        <f>R101-3</f>
        <v>590285789.5556767</v>
      </c>
      <c r="R102" s="143">
        <f t="shared" si="35"/>
        <v>590669090.75942671</v>
      </c>
      <c r="S102" s="104">
        <f t="shared" si="36"/>
        <v>383301.20375001431</v>
      </c>
      <c r="T102" s="104">
        <f t="shared" si="37"/>
        <v>1412125.0000000836</v>
      </c>
      <c r="U102" s="3">
        <v>0</v>
      </c>
      <c r="V102" s="142">
        <f t="shared" si="38"/>
        <v>1412125.0000000836</v>
      </c>
      <c r="W102" s="97">
        <f>Y102*1000000/8</f>
        <v>1412125</v>
      </c>
      <c r="X102" s="266">
        <f t="shared" si="39"/>
        <v>-8.3586201071739197E-8</v>
      </c>
      <c r="Y102" s="256">
        <f>1.1*AN102</f>
        <v>11.297000000000001</v>
      </c>
      <c r="Z102" s="189"/>
      <c r="AA102" s="189"/>
      <c r="AB102" s="229">
        <v>1411117</v>
      </c>
      <c r="AC102" s="229">
        <f t="shared" si="40"/>
        <v>-1008</v>
      </c>
      <c r="AD102" s="229">
        <f t="shared" si="41"/>
        <v>-8.064E-3</v>
      </c>
      <c r="AE102" s="229"/>
      <c r="AF102" s="178" t="s">
        <v>1089</v>
      </c>
      <c r="AG102" s="192" t="s">
        <v>1087</v>
      </c>
      <c r="AH102" s="232">
        <f t="shared" si="42"/>
        <v>-6.6868960857391357E-13</v>
      </c>
      <c r="AI102" s="232">
        <f t="shared" si="43"/>
        <v>11.297000000000669</v>
      </c>
      <c r="AL102" s="274" t="s">
        <v>1090</v>
      </c>
      <c r="AM102" s="274" t="s">
        <v>1091</v>
      </c>
      <c r="AN102" s="274">
        <v>10.27</v>
      </c>
      <c r="AO102" s="274">
        <v>10.27</v>
      </c>
      <c r="AP102" s="274">
        <v>10.27</v>
      </c>
      <c r="AQ102" s="227">
        <f>AQ99+AP102</f>
        <v>13.149999999999999</v>
      </c>
    </row>
    <row r="103" spans="1:43" ht="28.5">
      <c r="L103" s="273" t="s">
        <v>1086</v>
      </c>
      <c r="M103" s="273" t="s">
        <v>1092</v>
      </c>
      <c r="O103" s="192" t="s">
        <v>1093</v>
      </c>
      <c r="P103" s="179" t="s">
        <v>162</v>
      </c>
      <c r="Q103" s="264">
        <f>R102-3</f>
        <v>590669087.75942671</v>
      </c>
      <c r="R103" s="143">
        <f t="shared" si="35"/>
        <v>591454351.37450945</v>
      </c>
      <c r="S103" s="104">
        <f t="shared" si="36"/>
        <v>785263.61508274078</v>
      </c>
      <c r="T103" s="104">
        <f t="shared" si="37"/>
        <v>2892999.9999999725</v>
      </c>
      <c r="U103" s="3">
        <v>0</v>
      </c>
      <c r="V103" s="142">
        <f t="shared" si="38"/>
        <v>2892999.9999999725</v>
      </c>
      <c r="W103" s="97">
        <f>Y103*1000000/8</f>
        <v>2893000.0000000005</v>
      </c>
      <c r="X103" s="266">
        <f t="shared" si="39"/>
        <v>2.7939677238464355E-8</v>
      </c>
      <c r="Y103" s="256">
        <f>1.1*AN103</f>
        <v>23.144000000000002</v>
      </c>
      <c r="Z103" s="189"/>
      <c r="AA103" s="189"/>
      <c r="AB103" s="229">
        <v>2901234</v>
      </c>
      <c r="AC103" s="229">
        <f t="shared" si="40"/>
        <v>8233.9999999995343</v>
      </c>
      <c r="AD103" s="229">
        <f t="shared" si="41"/>
        <v>6.5871999999996281E-2</v>
      </c>
      <c r="AE103" s="229"/>
      <c r="AF103" s="178" t="s">
        <v>1094</v>
      </c>
      <c r="AG103" s="192" t="s">
        <v>1093</v>
      </c>
      <c r="AH103" s="232">
        <f t="shared" si="42"/>
        <v>2.2351741790771485E-13</v>
      </c>
      <c r="AI103" s="232">
        <f t="shared" si="43"/>
        <v>23.143999999999782</v>
      </c>
      <c r="AL103" s="274" t="s">
        <v>1095</v>
      </c>
      <c r="AM103" s="274" t="s">
        <v>1096</v>
      </c>
      <c r="AN103" s="274">
        <v>21.04</v>
      </c>
      <c r="AO103" s="274">
        <v>21.04</v>
      </c>
      <c r="AP103" s="274">
        <v>21.04</v>
      </c>
      <c r="AQ103" s="227">
        <f>AQ102+AP103</f>
        <v>34.19</v>
      </c>
    </row>
    <row r="104" spans="1:43" ht="28.5">
      <c r="L104" s="273" t="s">
        <v>1092</v>
      </c>
      <c r="M104" s="273" t="s">
        <v>1097</v>
      </c>
      <c r="N104" s="91"/>
      <c r="O104" s="192" t="s">
        <v>1098</v>
      </c>
      <c r="P104" s="179" t="s">
        <v>1099</v>
      </c>
      <c r="Q104" s="264">
        <f>R103-3</f>
        <v>591454348.37450945</v>
      </c>
      <c r="R104" s="143">
        <f t="shared" si="35"/>
        <v>591795102.02497077</v>
      </c>
      <c r="S104" s="104">
        <f t="shared" si="36"/>
        <v>340753.65046131611</v>
      </c>
      <c r="T104" s="104">
        <f t="shared" si="37"/>
        <v>1255375.000000105</v>
      </c>
      <c r="U104" s="3">
        <v>0</v>
      </c>
      <c r="V104" s="142">
        <f t="shared" si="38"/>
        <v>1255375.000000105</v>
      </c>
      <c r="W104" s="97">
        <f>Y104*1000000/8</f>
        <v>1255375.0000000002</v>
      </c>
      <c r="X104" s="266">
        <f t="shared" si="39"/>
        <v>-1.0477378964424133E-7</v>
      </c>
      <c r="Y104" s="256">
        <f>1.1*AN104</f>
        <v>10.043000000000001</v>
      </c>
      <c r="Z104" s="189"/>
      <c r="AA104" s="189"/>
      <c r="AB104" s="229">
        <v>1259168</v>
      </c>
      <c r="AC104" s="229">
        <f t="shared" si="40"/>
        <v>3792.9999999997672</v>
      </c>
      <c r="AD104" s="229">
        <f t="shared" si="41"/>
        <v>3.0343999999998136E-2</v>
      </c>
      <c r="AE104" s="229"/>
      <c r="AF104" s="178" t="s">
        <v>1100</v>
      </c>
      <c r="AG104" s="192" t="s">
        <v>1098</v>
      </c>
      <c r="AH104" s="232">
        <f t="shared" si="42"/>
        <v>-8.3819031715393064E-13</v>
      </c>
      <c r="AI104" s="232">
        <f t="shared" si="43"/>
        <v>10.043000000000839</v>
      </c>
      <c r="AL104" s="274" t="s">
        <v>1101</v>
      </c>
      <c r="AM104" s="274" t="s">
        <v>1102</v>
      </c>
      <c r="AN104" s="274">
        <v>9.1300000000000008</v>
      </c>
      <c r="AO104" s="274">
        <v>9.1300000000000008</v>
      </c>
      <c r="AP104" s="274">
        <v>9.1300000000000008</v>
      </c>
      <c r="AQ104" s="227">
        <f>AQ103+AP104</f>
        <v>43.32</v>
      </c>
    </row>
    <row r="105" spans="1:43" ht="28.5">
      <c r="L105" s="226" t="s">
        <v>1097</v>
      </c>
      <c r="M105" s="226" t="s">
        <v>1103</v>
      </c>
      <c r="O105" s="192" t="s">
        <v>1104</v>
      </c>
      <c r="P105" s="179" t="s">
        <v>1105</v>
      </c>
      <c r="Q105" s="237">
        <f>R104-3</f>
        <v>591795099.02497077</v>
      </c>
      <c r="R105" s="104">
        <f t="shared" si="35"/>
        <v>592042173.41336656</v>
      </c>
      <c r="S105" s="104">
        <f t="shared" si="36"/>
        <v>247074.38839578629</v>
      </c>
      <c r="T105" s="104">
        <f t="shared" si="37"/>
        <v>910249.9999999213</v>
      </c>
      <c r="U105" s="3">
        <v>0</v>
      </c>
      <c r="V105" s="97">
        <f t="shared" si="38"/>
        <v>910249.9999999213</v>
      </c>
      <c r="W105" s="97">
        <f>Y105*1000000/8</f>
        <v>910250.00000000012</v>
      </c>
      <c r="X105" s="266">
        <f t="shared" si="39"/>
        <v>7.8813172876834869E-8</v>
      </c>
      <c r="Y105" s="256">
        <f>1.1*AN105</f>
        <v>7.2820000000000009</v>
      </c>
      <c r="Z105" s="189"/>
      <c r="AA105" s="189"/>
      <c r="AB105" s="229">
        <v>915898</v>
      </c>
      <c r="AC105" s="229">
        <f t="shared" si="40"/>
        <v>5647.9999999998836</v>
      </c>
      <c r="AD105" s="229">
        <f t="shared" si="41"/>
        <v>4.5183999999999072E-2</v>
      </c>
      <c r="AE105" s="229"/>
      <c r="AF105" s="178" t="s">
        <v>1106</v>
      </c>
      <c r="AG105" s="192" t="s">
        <v>1104</v>
      </c>
      <c r="AH105" s="232">
        <f t="shared" si="42"/>
        <v>6.3050538301467893E-13</v>
      </c>
      <c r="AI105" s="232">
        <f t="shared" si="43"/>
        <v>7.2819999999993703</v>
      </c>
      <c r="AL105" s="274" t="s">
        <v>1107</v>
      </c>
      <c r="AM105" s="274" t="s">
        <v>1108</v>
      </c>
      <c r="AN105" s="274">
        <v>6.62</v>
      </c>
      <c r="AO105" s="274">
        <v>6.62</v>
      </c>
      <c r="AP105" s="274">
        <v>6.62</v>
      </c>
      <c r="AQ105" s="227">
        <f>AQ104+AP105</f>
        <v>49.94</v>
      </c>
    </row>
    <row r="106" spans="1:43" ht="28.5">
      <c r="L106" s="226" t="s">
        <v>1103</v>
      </c>
      <c r="M106" s="226" t="s">
        <v>1109</v>
      </c>
      <c r="O106" s="192" t="s">
        <v>1110</v>
      </c>
      <c r="P106" s="179" t="s">
        <v>1111</v>
      </c>
      <c r="Q106" s="237">
        <f>R105-3</f>
        <v>592042170.41336656</v>
      </c>
      <c r="R106" s="104">
        <f t="shared" si="35"/>
        <v>592432562.87599802</v>
      </c>
      <c r="S106" s="104">
        <f t="shared" si="36"/>
        <v>390392.462631464</v>
      </c>
      <c r="T106" s="104">
        <f t="shared" si="37"/>
        <v>1438250.0000000799</v>
      </c>
      <c r="U106" s="3">
        <v>0</v>
      </c>
      <c r="V106" s="97">
        <f t="shared" si="38"/>
        <v>1438250.0000000799</v>
      </c>
      <c r="W106" s="97">
        <f>Y106*1000000/8</f>
        <v>1438250.0000000002</v>
      </c>
      <c r="X106" s="266">
        <f t="shared" si="39"/>
        <v>-7.9628080129623413E-8</v>
      </c>
      <c r="Y106" s="256">
        <f>1.1*AN106</f>
        <v>11.506000000000002</v>
      </c>
      <c r="Z106" s="275">
        <f>SUM(Y99:Y106)</f>
        <v>66.440000000000012</v>
      </c>
      <c r="AA106" s="229"/>
      <c r="AB106" s="229">
        <v>1436041</v>
      </c>
      <c r="AC106" s="229">
        <f t="shared" si="40"/>
        <v>-2209.0000000002328</v>
      </c>
      <c r="AD106" s="229">
        <f t="shared" si="41"/>
        <v>-1.7672000000001863E-2</v>
      </c>
      <c r="AE106" s="229"/>
      <c r="AF106" s="178" t="s">
        <v>1112</v>
      </c>
      <c r="AG106" s="192" t="s">
        <v>1110</v>
      </c>
      <c r="AH106" s="232">
        <f t="shared" si="42"/>
        <v>-6.3702464103698734E-13</v>
      </c>
      <c r="AI106" s="232">
        <f t="shared" si="43"/>
        <v>11.50600000000064</v>
      </c>
      <c r="AL106" s="274" t="s">
        <v>1113</v>
      </c>
      <c r="AM106" s="274" t="s">
        <v>1114</v>
      </c>
      <c r="AN106" s="274">
        <v>10.46</v>
      </c>
      <c r="AO106" s="274">
        <v>10.46</v>
      </c>
      <c r="AP106" s="274">
        <v>10.46</v>
      </c>
      <c r="AQ106" s="227">
        <f>AQ105+AP106</f>
        <v>60.4</v>
      </c>
    </row>
    <row r="107" spans="1:43" ht="14.25">
      <c r="P107" s="73" t="s">
        <v>837</v>
      </c>
      <c r="Q107" s="72" t="s">
        <v>65</v>
      </c>
      <c r="R107" s="73" t="s">
        <v>66</v>
      </c>
      <c r="S107" s="73" t="s">
        <v>67</v>
      </c>
      <c r="T107" s="74" t="s">
        <v>68</v>
      </c>
      <c r="U107" s="3" t="s">
        <v>176</v>
      </c>
      <c r="V107" s="74" t="s">
        <v>265</v>
      </c>
      <c r="W107" s="73" t="s">
        <v>266</v>
      </c>
      <c r="X107" s="73" t="s">
        <v>70</v>
      </c>
      <c r="Y107" s="73" t="s">
        <v>1115</v>
      </c>
      <c r="AC107" s="3"/>
      <c r="AD107" s="3">
        <f>SUM(AD99:AD106)</f>
        <v>-0.39334791287037862</v>
      </c>
      <c r="AE107" s="3"/>
      <c r="AH107" s="232"/>
      <c r="AI107" s="232"/>
    </row>
    <row r="108" spans="1:43" ht="15.75">
      <c r="P108" s="179" t="s">
        <v>1116</v>
      </c>
      <c r="Q108" s="237">
        <f>R106-3</f>
        <v>592432559.87599802</v>
      </c>
      <c r="R108" s="104">
        <f>((W108)/$W$9)+Q108</f>
        <v>592883201.30270076</v>
      </c>
      <c r="S108" s="104">
        <f>R108-Q108</f>
        <v>450641.42670273781</v>
      </c>
      <c r="T108" s="104">
        <f>S108*$W$9</f>
        <v>1660214.0000000391</v>
      </c>
      <c r="U108" s="3">
        <v>0</v>
      </c>
      <c r="V108" s="97">
        <f>T108+U108*$V$37</f>
        <v>1660214.0000000391</v>
      </c>
      <c r="W108" s="97">
        <f>982562+579837+100705-2890</f>
        <v>1660214</v>
      </c>
      <c r="X108" s="266">
        <f>W108-V108</f>
        <v>-3.9115548133850098E-8</v>
      </c>
      <c r="Y108" s="256">
        <f>W108*8/1000000</f>
        <v>13.281712000000001</v>
      </c>
      <c r="Z108" t="s">
        <v>1117</v>
      </c>
      <c r="AC108" s="3" t="s">
        <v>870</v>
      </c>
      <c r="AD108" s="3"/>
      <c r="AE108" s="3"/>
      <c r="AH108" s="232">
        <f>X108*8/1000000</f>
        <v>-3.1292438507080076E-13</v>
      </c>
      <c r="AI108" s="232">
        <f>V108*8/1000000</f>
        <v>13.281712000000313</v>
      </c>
    </row>
    <row r="109" spans="1:43" ht="14.25">
      <c r="AC109" s="3"/>
      <c r="AH109" s="232"/>
      <c r="AI109" s="232"/>
      <c r="AJ109" s="276"/>
      <c r="AK109" s="276"/>
      <c r="AL109" s="276"/>
      <c r="AM109" s="276"/>
      <c r="AN109" s="276"/>
    </row>
    <row r="110" spans="1:43" ht="14.25">
      <c r="AC110" s="3"/>
      <c r="AI110" s="276"/>
      <c r="AJ110" s="276"/>
      <c r="AK110" s="276"/>
      <c r="AL110" s="276"/>
      <c r="AM110" s="276"/>
    </row>
    <row r="111" spans="1:43" ht="14.25">
      <c r="AA111" s="239"/>
      <c r="AC111" s="3"/>
      <c r="AI111" s="276"/>
      <c r="AJ111" s="276"/>
      <c r="AK111" s="276"/>
      <c r="AL111" s="276"/>
      <c r="AM111" s="276"/>
    </row>
    <row r="112" spans="1:43" ht="14.25">
      <c r="AG112" s="276"/>
      <c r="AH112" s="276"/>
      <c r="AI112" s="276"/>
      <c r="AJ112" s="276"/>
      <c r="AK112" s="276"/>
    </row>
    <row r="114" spans="2:48" ht="14.25">
      <c r="AK114" s="244"/>
      <c r="AL114" s="244"/>
      <c r="AM114" s="244"/>
      <c r="AN114" s="244"/>
      <c r="AO114" s="244"/>
    </row>
    <row r="115" spans="2:48" ht="14.25">
      <c r="AK115" s="244"/>
      <c r="AL115" s="244"/>
      <c r="AM115" s="244"/>
      <c r="AN115" s="244"/>
      <c r="AO115" s="244"/>
    </row>
    <row r="116" spans="2:48" ht="14.25">
      <c r="AK116" s="244"/>
      <c r="AL116" s="244"/>
      <c r="AM116" s="244"/>
      <c r="AN116" s="244"/>
      <c r="AO116" s="244"/>
    </row>
    <row r="117" spans="2:48" ht="14.25">
      <c r="AK117" s="244"/>
      <c r="AL117" s="244"/>
      <c r="AM117" s="244"/>
      <c r="AN117" s="244"/>
      <c r="AO117" s="244"/>
    </row>
    <row r="118" spans="2:48" ht="14.25">
      <c r="P118" s="81" t="s">
        <v>1118</v>
      </c>
      <c r="Q118" s="81" t="s">
        <v>1119</v>
      </c>
      <c r="R118" s="81">
        <v>611744576</v>
      </c>
      <c r="S118" s="81">
        <v>7</v>
      </c>
      <c r="T118" s="81" t="s">
        <v>373</v>
      </c>
      <c r="U118" s="81" t="s">
        <v>1120</v>
      </c>
      <c r="V118" s="81" t="s">
        <v>866</v>
      </c>
      <c r="W118" s="81" t="s">
        <v>867</v>
      </c>
      <c r="X118" s="81" t="s">
        <v>1121</v>
      </c>
      <c r="Y118" s="239"/>
      <c r="Z118" s="239"/>
      <c r="AA118" s="239"/>
      <c r="AK118" s="244"/>
      <c r="AL118" s="244"/>
      <c r="AM118" s="244"/>
      <c r="AN118" s="244"/>
      <c r="AO118" s="244"/>
    </row>
    <row r="119" spans="2:48" ht="14.25">
      <c r="P119" s="81" t="s">
        <v>1122</v>
      </c>
      <c r="Q119" s="81" t="s">
        <v>1123</v>
      </c>
      <c r="R119" s="81">
        <v>611746916</v>
      </c>
      <c r="S119" s="81">
        <v>0</v>
      </c>
      <c r="T119" s="81" t="s">
        <v>1124</v>
      </c>
      <c r="U119" s="81" t="s">
        <v>1125</v>
      </c>
      <c r="V119" s="81" t="s">
        <v>1126</v>
      </c>
      <c r="W119" s="81"/>
      <c r="X119" s="81" t="s">
        <v>1121</v>
      </c>
      <c r="Y119" s="239"/>
      <c r="Z119" s="239"/>
      <c r="AA119" s="239"/>
      <c r="AG119" s="276"/>
      <c r="AH119" s="276"/>
      <c r="AI119" s="276"/>
      <c r="AJ119" s="276"/>
      <c r="AK119" s="244"/>
      <c r="AL119" s="244"/>
      <c r="AM119" s="244"/>
      <c r="AN119" s="244"/>
      <c r="AO119" s="244"/>
    </row>
    <row r="120" spans="2:48" ht="14.25">
      <c r="AK120" s="244"/>
      <c r="AL120" s="244"/>
      <c r="AM120" s="244"/>
      <c r="AN120" s="244"/>
      <c r="AO120" s="244"/>
    </row>
    <row r="121" spans="2:48" ht="14.25">
      <c r="P121" s="81" t="s">
        <v>1127</v>
      </c>
      <c r="Q121" s="81" t="s">
        <v>1128</v>
      </c>
      <c r="R121" s="81">
        <v>611791076</v>
      </c>
      <c r="S121" s="81">
        <v>0</v>
      </c>
      <c r="T121" s="81" t="s">
        <v>1124</v>
      </c>
      <c r="U121" s="81" t="s">
        <v>1129</v>
      </c>
      <c r="V121" s="81" t="s">
        <v>1130</v>
      </c>
      <c r="W121" s="81"/>
      <c r="X121" s="81"/>
      <c r="AK121" s="244"/>
      <c r="AL121" s="244"/>
      <c r="AM121" s="244"/>
      <c r="AN121" s="244"/>
      <c r="AO121" s="244"/>
    </row>
    <row r="122" spans="2:48" ht="14.25">
      <c r="P122" s="81" t="s">
        <v>1127</v>
      </c>
      <c r="Q122" s="81" t="s">
        <v>1128</v>
      </c>
      <c r="R122" s="81">
        <v>611791076</v>
      </c>
      <c r="S122" s="81">
        <v>0</v>
      </c>
      <c r="T122" s="81" t="s">
        <v>1124</v>
      </c>
      <c r="U122" s="81" t="s">
        <v>1129</v>
      </c>
      <c r="V122" s="81" t="s">
        <v>1131</v>
      </c>
      <c r="W122" s="81" t="s">
        <v>1132</v>
      </c>
      <c r="X122" s="81"/>
      <c r="AK122" s="244"/>
      <c r="AL122" s="244"/>
      <c r="AM122" s="244"/>
      <c r="AN122" s="244"/>
      <c r="AO122" s="244"/>
    </row>
    <row r="123" spans="2:48" ht="14.25">
      <c r="P123" s="81" t="s">
        <v>1127</v>
      </c>
      <c r="Q123" s="81" t="s">
        <v>1128</v>
      </c>
      <c r="R123" s="81">
        <v>611791076</v>
      </c>
      <c r="S123" s="81">
        <v>0</v>
      </c>
      <c r="T123" s="81" t="s">
        <v>1124</v>
      </c>
      <c r="U123" s="81" t="s">
        <v>1129</v>
      </c>
      <c r="V123" s="81" t="s">
        <v>1133</v>
      </c>
      <c r="W123" s="81"/>
      <c r="X123" s="81"/>
      <c r="AB123" t="s">
        <v>1134</v>
      </c>
      <c r="AK123" s="244"/>
      <c r="AL123" s="244"/>
      <c r="AM123" s="244"/>
      <c r="AN123" s="244"/>
      <c r="AO123" s="244"/>
    </row>
    <row r="124" spans="2:48" ht="14.25">
      <c r="X124" t="s">
        <v>913</v>
      </c>
      <c r="AK124" s="244"/>
      <c r="AL124" s="244"/>
      <c r="AM124" s="244"/>
      <c r="AN124" s="244"/>
      <c r="AO124" s="244"/>
    </row>
    <row r="125" spans="2:48" ht="14.25">
      <c r="P125" s="59">
        <v>25159</v>
      </c>
      <c r="T125" s="3"/>
      <c r="V125" s="93"/>
      <c r="X125" t="s">
        <v>1010</v>
      </c>
      <c r="AK125" s="244"/>
      <c r="AL125" s="244"/>
      <c r="AM125" s="244"/>
      <c r="AN125" s="244"/>
      <c r="AO125" s="244"/>
    </row>
    <row r="126" spans="2:48" ht="14.25">
      <c r="P126" s="73" t="s">
        <v>837</v>
      </c>
      <c r="Q126" s="72" t="s">
        <v>65</v>
      </c>
      <c r="R126" s="73" t="s">
        <v>66</v>
      </c>
      <c r="S126" s="73" t="s">
        <v>67</v>
      </c>
      <c r="T126" s="74" t="s">
        <v>68</v>
      </c>
      <c r="U126" s="3" t="s">
        <v>176</v>
      </c>
      <c r="V126" s="74" t="s">
        <v>265</v>
      </c>
      <c r="W126" s="73" t="s">
        <v>266</v>
      </c>
      <c r="X126" s="73" t="s">
        <v>70</v>
      </c>
      <c r="AC126" t="s">
        <v>862</v>
      </c>
      <c r="AK126" s="244"/>
      <c r="AL126" s="244"/>
      <c r="AM126" s="244"/>
      <c r="AN126" s="244"/>
      <c r="AO126" s="244"/>
    </row>
    <row r="127" spans="2:48" ht="14.25">
      <c r="L127" t="s">
        <v>1135</v>
      </c>
      <c r="P127" s="81" t="s">
        <v>1136</v>
      </c>
      <c r="Q127" s="81" t="s">
        <v>1137</v>
      </c>
      <c r="R127" s="81">
        <v>609911802</v>
      </c>
      <c r="S127" s="81">
        <v>1</v>
      </c>
      <c r="T127" s="81" t="s">
        <v>373</v>
      </c>
      <c r="U127" s="81" t="s">
        <v>909</v>
      </c>
      <c r="V127" s="81" t="s">
        <v>382</v>
      </c>
      <c r="W127" s="81"/>
      <c r="X127" s="81" t="s">
        <v>1138</v>
      </c>
      <c r="Y127" s="239"/>
      <c r="Z127" s="239"/>
      <c r="AB127" s="3" t="s">
        <v>1139</v>
      </c>
      <c r="AC127" s="3" t="s">
        <v>870</v>
      </c>
      <c r="AH127" t="s">
        <v>1021</v>
      </c>
      <c r="AI127" t="s">
        <v>836</v>
      </c>
      <c r="AM127" s="244"/>
      <c r="AN127" s="244"/>
      <c r="AO127" s="244"/>
      <c r="AP127" s="244"/>
    </row>
    <row r="128" spans="2:48" ht="15.75">
      <c r="B128">
        <v>102</v>
      </c>
      <c r="C128">
        <v>101</v>
      </c>
      <c r="E128" t="s">
        <v>766</v>
      </c>
      <c r="F128" t="s">
        <v>764</v>
      </c>
      <c r="G128" t="s">
        <v>765</v>
      </c>
      <c r="L128" s="257" t="s">
        <v>1062</v>
      </c>
      <c r="M128" s="257" t="s">
        <v>1140</v>
      </c>
      <c r="N128" s="91"/>
      <c r="O128" s="263" t="str">
        <f>AG128</f>
        <v>160/16:16</v>
      </c>
      <c r="P128" s="179" t="s">
        <v>90</v>
      </c>
      <c r="Q128" s="264">
        <f>R95-1</f>
        <v>609625452.99091506</v>
      </c>
      <c r="R128" s="265">
        <f>R127+20</f>
        <v>609911822</v>
      </c>
      <c r="S128" s="104">
        <f>R128-Q128</f>
        <v>286369.00908493996</v>
      </c>
      <c r="T128" s="104">
        <f>S128*$V$13</f>
        <v>1082666.264182217</v>
      </c>
      <c r="U128" s="3">
        <v>0</v>
      </c>
      <c r="V128" s="142">
        <f>T128+U128*$V$37</f>
        <v>1082666.264182217</v>
      </c>
      <c r="W128" s="97">
        <f>Y128*1000000/8</f>
        <v>1236125.0000000002</v>
      </c>
      <c r="X128" s="266">
        <f>W128-V128</f>
        <v>153458.73581778328</v>
      </c>
      <c r="Y128" s="256">
        <f>1.1*AL128</f>
        <v>9.8890000000000011</v>
      </c>
      <c r="Z128" s="272">
        <f>SUM(Y120:Y128)</f>
        <v>9.8890000000000011</v>
      </c>
      <c r="AA128" s="229"/>
      <c r="AB128" s="229">
        <v>1242139</v>
      </c>
      <c r="AC128" s="229">
        <f>AB128-T128</f>
        <v>159472.73581778305</v>
      </c>
      <c r="AD128" s="277">
        <f>AC128*8/1000000</f>
        <v>1.2757818865422643</v>
      </c>
      <c r="AE128" s="241">
        <f>AC128/AB128</f>
        <v>0.1283855798890326</v>
      </c>
      <c r="AF128" s="178" t="s">
        <v>1141</v>
      </c>
      <c r="AG128" s="192" t="s">
        <v>1142</v>
      </c>
      <c r="AH128" s="232">
        <f>X128*8/1000000</f>
        <v>1.2276698865422662</v>
      </c>
      <c r="AI128" s="232">
        <f>V128*8/1000000</f>
        <v>8.6613301134577352</v>
      </c>
      <c r="AJ128" s="249" t="s">
        <v>1143</v>
      </c>
      <c r="AK128" s="244" t="s">
        <v>1144</v>
      </c>
      <c r="AL128" s="244">
        <v>8.99</v>
      </c>
      <c r="AM128" s="244">
        <v>8.99</v>
      </c>
      <c r="AN128" s="244">
        <v>8.99</v>
      </c>
      <c r="AP128" s="244"/>
      <c r="AQ128" s="244"/>
      <c r="AR128" s="244"/>
      <c r="AS128" s="244"/>
      <c r="AT128" s="244"/>
      <c r="AU128" s="244"/>
      <c r="AV128" s="244"/>
    </row>
    <row r="129" spans="1:47" ht="14.25">
      <c r="P129" s="81" t="s">
        <v>1145</v>
      </c>
      <c r="Q129" s="83" t="s">
        <v>1146</v>
      </c>
      <c r="R129" s="81">
        <v>609912716</v>
      </c>
      <c r="S129" s="81">
        <v>7</v>
      </c>
      <c r="T129" s="81" t="s">
        <v>373</v>
      </c>
      <c r="U129" s="81" t="s">
        <v>1120</v>
      </c>
      <c r="V129" s="81" t="s">
        <v>866</v>
      </c>
      <c r="W129" s="81" t="s">
        <v>867</v>
      </c>
      <c r="X129" s="81" t="s">
        <v>1147</v>
      </c>
      <c r="Y129" s="239"/>
      <c r="Z129" s="239"/>
      <c r="AA129" s="238"/>
      <c r="AB129" s="238"/>
      <c r="AC129" s="3" t="s">
        <v>1148</v>
      </c>
      <c r="AD129" s="278"/>
      <c r="AK129" s="244"/>
      <c r="AL129" s="244"/>
      <c r="AM129" s="244"/>
      <c r="AO129" s="244"/>
      <c r="AP129" s="244"/>
    </row>
    <row r="130" spans="1:47" ht="14.25">
      <c r="N130" s="91"/>
      <c r="P130" s="81" t="s">
        <v>1149</v>
      </c>
      <c r="Q130" s="81" t="s">
        <v>1150</v>
      </c>
      <c r="R130" s="81">
        <v>609914566</v>
      </c>
      <c r="S130" s="81">
        <v>0</v>
      </c>
      <c r="T130" s="81" t="s">
        <v>1124</v>
      </c>
      <c r="U130" s="81" t="s">
        <v>1151</v>
      </c>
      <c r="V130" s="81" t="s">
        <v>1152</v>
      </c>
      <c r="W130" s="81"/>
      <c r="X130" s="81" t="s">
        <v>1147</v>
      </c>
      <c r="Y130" s="239"/>
      <c r="Z130" s="239"/>
      <c r="AA130" s="239"/>
      <c r="AB130" s="238"/>
      <c r="AC130" s="3" t="s">
        <v>1153</v>
      </c>
      <c r="AD130" s="278"/>
      <c r="AI130" s="249"/>
      <c r="AJ130" s="244"/>
      <c r="AK130" s="244"/>
      <c r="AL130" s="244"/>
      <c r="AM130" s="244"/>
      <c r="AP130" s="244"/>
      <c r="AQ130" s="244"/>
      <c r="AR130" s="244"/>
      <c r="AS130" s="244"/>
      <c r="AT130" s="244"/>
      <c r="AU130" s="244"/>
    </row>
    <row r="131" spans="1:47" ht="14.25">
      <c r="P131" s="81" t="s">
        <v>1154</v>
      </c>
      <c r="Q131" s="81" t="s">
        <v>1155</v>
      </c>
      <c r="R131" s="81">
        <v>609914569</v>
      </c>
      <c r="S131" s="81">
        <v>0</v>
      </c>
      <c r="T131" s="81" t="s">
        <v>1124</v>
      </c>
      <c r="U131" s="81" t="s">
        <v>1151</v>
      </c>
      <c r="V131" s="81" t="s">
        <v>1156</v>
      </c>
      <c r="W131" s="81"/>
      <c r="X131" s="81" t="s">
        <v>1147</v>
      </c>
      <c r="Y131" s="239"/>
      <c r="Z131" s="239"/>
      <c r="AA131" s="239"/>
      <c r="AB131" s="238"/>
      <c r="AC131" s="3" t="s">
        <v>1157</v>
      </c>
      <c r="AD131" s="278"/>
    </row>
    <row r="132" spans="1:47" ht="14.25">
      <c r="P132" s="81" t="s">
        <v>1158</v>
      </c>
      <c r="Q132" s="81" t="s">
        <v>1159</v>
      </c>
      <c r="R132" s="81">
        <v>609914572</v>
      </c>
      <c r="S132" s="81">
        <v>0</v>
      </c>
      <c r="T132" s="81" t="s">
        <v>1124</v>
      </c>
      <c r="U132" s="81" t="s">
        <v>1151</v>
      </c>
      <c r="V132" s="81" t="s">
        <v>1160</v>
      </c>
      <c r="W132" s="81"/>
      <c r="X132" s="81" t="s">
        <v>1147</v>
      </c>
      <c r="Y132" s="239"/>
      <c r="Z132" s="239"/>
      <c r="AA132" s="239"/>
      <c r="AB132" s="238"/>
      <c r="AC132" s="3" t="s">
        <v>1161</v>
      </c>
      <c r="AD132" s="278"/>
      <c r="AE132" s="278"/>
    </row>
    <row r="133" spans="1:47" ht="14.25">
      <c r="P133" s="81" t="s">
        <v>1162</v>
      </c>
      <c r="Q133" s="81" t="s">
        <v>1163</v>
      </c>
      <c r="R133" s="81">
        <v>609914575</v>
      </c>
      <c r="S133" s="81">
        <v>0</v>
      </c>
      <c r="T133" s="81" t="s">
        <v>1124</v>
      </c>
      <c r="U133" s="81" t="s">
        <v>1151</v>
      </c>
      <c r="V133" s="81" t="s">
        <v>1164</v>
      </c>
      <c r="W133" s="81"/>
      <c r="X133" s="81" t="s">
        <v>1147</v>
      </c>
      <c r="Y133" s="239"/>
      <c r="Z133" s="239"/>
      <c r="AA133" s="239"/>
      <c r="AB133" s="238"/>
      <c r="AC133" s="3" t="s">
        <v>1165</v>
      </c>
      <c r="AD133" s="278">
        <f>SUM(AD135:AD142)</f>
        <v>6.8930581134568474</v>
      </c>
      <c r="AE133" s="278"/>
    </row>
    <row r="134" spans="1:47" ht="14.25">
      <c r="L134" t="s">
        <v>1166</v>
      </c>
      <c r="P134" s="81" t="s">
        <v>1167</v>
      </c>
      <c r="Q134" s="81" t="s">
        <v>1168</v>
      </c>
      <c r="R134" s="81">
        <v>609915176</v>
      </c>
      <c r="S134" s="81">
        <v>0</v>
      </c>
      <c r="T134" s="81" t="s">
        <v>1124</v>
      </c>
      <c r="U134" s="81" t="s">
        <v>1125</v>
      </c>
      <c r="V134" s="81" t="s">
        <v>1169</v>
      </c>
      <c r="W134" s="81"/>
      <c r="X134" s="81" t="s">
        <v>1147</v>
      </c>
      <c r="Y134" s="239"/>
      <c r="Z134" s="239"/>
      <c r="AA134" s="239"/>
      <c r="AB134" s="238"/>
      <c r="AC134" t="s">
        <v>1170</v>
      </c>
      <c r="AD134" s="278"/>
      <c r="AE134" s="278"/>
    </row>
    <row r="135" spans="1:47" ht="15.75">
      <c r="A135" t="s">
        <v>872</v>
      </c>
      <c r="B135">
        <v>102</v>
      </c>
      <c r="C135">
        <v>101</v>
      </c>
      <c r="E135" t="s">
        <v>766</v>
      </c>
      <c r="F135" t="s">
        <v>764</v>
      </c>
      <c r="G135" t="s">
        <v>765</v>
      </c>
      <c r="L135" s="257" t="s">
        <v>1171</v>
      </c>
      <c r="M135" s="257" t="s">
        <v>1172</v>
      </c>
      <c r="N135" s="91"/>
      <c r="P135" s="179" t="s">
        <v>90</v>
      </c>
      <c r="Q135" s="279">
        <f>R129-20</f>
        <v>609912696</v>
      </c>
      <c r="R135" s="143">
        <f t="shared" ref="R135:R142" si="44">((W135-U135*$V$37)/$V$13)+Q135</f>
        <v>609953286.37171972</v>
      </c>
      <c r="S135" s="104">
        <f t="shared" ref="S135:S142" si="45">R135-Q135</f>
        <v>40590.371719717979</v>
      </c>
      <c r="T135" s="104">
        <f t="shared" ref="T135:T142" si="46">S135*$V$13</f>
        <v>153458.73581774277</v>
      </c>
      <c r="U135" s="3">
        <v>0</v>
      </c>
      <c r="V135" s="142">
        <f>T135+U135*$V$37+$V$37</f>
        <v>350833.73581774277</v>
      </c>
      <c r="W135" s="389">
        <f>X128</f>
        <v>153458.73581778328</v>
      </c>
      <c r="X135" s="266">
        <f t="shared" ref="X135:X142" si="47">W135-V135</f>
        <v>-197374.99999995949</v>
      </c>
      <c r="AB135" s="229">
        <v>306124</v>
      </c>
      <c r="AC135" s="229">
        <f>AB135-W135</f>
        <v>152665.26418221672</v>
      </c>
      <c r="AD135" s="277">
        <f t="shared" ref="AD135:AD142" si="48">AC135*8/1000000</f>
        <v>1.2213221134577337</v>
      </c>
      <c r="AE135" s="241">
        <f t="shared" ref="AE135:AE141" si="49">AC135/AB135</f>
        <v>0.49870400289495997</v>
      </c>
      <c r="AF135" t="s">
        <v>1173</v>
      </c>
      <c r="AH135" t="s">
        <v>1174</v>
      </c>
      <c r="AI135" t="e">
        <f>V134*8/1000000</f>
        <v>#VALUE!</v>
      </c>
    </row>
    <row r="136" spans="1:47" ht="15.75">
      <c r="B136">
        <v>102</v>
      </c>
      <c r="C136">
        <v>101</v>
      </c>
      <c r="E136" t="s">
        <v>766</v>
      </c>
      <c r="F136" t="s">
        <v>764</v>
      </c>
      <c r="G136" t="s">
        <v>765</v>
      </c>
      <c r="L136" s="257" t="str">
        <f t="shared" ref="L136:L142" si="50">M135</f>
        <v>139/09:36</v>
      </c>
      <c r="M136" s="257" t="s">
        <v>1175</v>
      </c>
      <c r="O136" s="263" t="str">
        <f t="shared" ref="O136:O142" si="51">AG136</f>
        <v>161/15:11</v>
      </c>
      <c r="P136" s="179" t="s">
        <v>602</v>
      </c>
      <c r="Q136" s="264">
        <f t="shared" ref="Q136:Q142" si="52">R135-1</f>
        <v>609953285.37171972</v>
      </c>
      <c r="R136" s="143">
        <f t="shared" si="44"/>
        <v>610156754.68403363</v>
      </c>
      <c r="S136" s="104">
        <f t="shared" si="45"/>
        <v>203469.3123139143</v>
      </c>
      <c r="T136" s="104">
        <f t="shared" si="46"/>
        <v>769250.00000014075</v>
      </c>
      <c r="U136" s="3">
        <v>0</v>
      </c>
      <c r="V136" s="142">
        <f t="shared" ref="V136:V142" si="53">T136+U136*$V$37</f>
        <v>769250.00000014075</v>
      </c>
      <c r="W136" s="97">
        <f>Y136*1000000/8+X135</f>
        <v>769250.00000004063</v>
      </c>
      <c r="X136" s="266">
        <f t="shared" si="47"/>
        <v>-1.0011717677116394E-7</v>
      </c>
      <c r="Y136" s="256">
        <f t="shared" ref="Y136:Y142" si="54">1.1*AL136</f>
        <v>7.7330000000000005</v>
      </c>
      <c r="Z136" s="272">
        <f>Z128+Y136</f>
        <v>17.622</v>
      </c>
      <c r="AA136" s="229"/>
      <c r="AB136" s="229">
        <v>873308</v>
      </c>
      <c r="AC136" s="229">
        <f t="shared" ref="AC136:AC142" si="55">AB136-T136</f>
        <v>104057.99999985925</v>
      </c>
      <c r="AD136" s="277">
        <f t="shared" si="48"/>
        <v>0.83246399999887399</v>
      </c>
      <c r="AE136" s="241">
        <f t="shared" si="49"/>
        <v>0.11915383805010289</v>
      </c>
      <c r="AF136" s="178" t="s">
        <v>603</v>
      </c>
      <c r="AG136" s="192" t="s">
        <v>1176</v>
      </c>
      <c r="AH136" s="281">
        <f>X135*8/1000000</f>
        <v>-1.578999999999676</v>
      </c>
      <c r="AI136" s="232">
        <f>V135*8/1000000</f>
        <v>2.8066698865419419</v>
      </c>
      <c r="AJ136" s="249" t="s">
        <v>1177</v>
      </c>
      <c r="AK136" s="244" t="s">
        <v>1178</v>
      </c>
      <c r="AL136" s="244">
        <v>7.03</v>
      </c>
      <c r="AM136" s="244">
        <v>7.03</v>
      </c>
      <c r="AN136" s="244">
        <v>7.03</v>
      </c>
    </row>
    <row r="137" spans="1:47" ht="15.75">
      <c r="B137">
        <v>102</v>
      </c>
      <c r="C137">
        <v>101</v>
      </c>
      <c r="E137" t="s">
        <v>766</v>
      </c>
      <c r="F137" t="s">
        <v>764</v>
      </c>
      <c r="G137" t="s">
        <v>765</v>
      </c>
      <c r="L137" s="257" t="str">
        <f t="shared" si="50"/>
        <v>141/18:07</v>
      </c>
      <c r="M137" s="257" t="s">
        <v>1179</v>
      </c>
      <c r="O137" s="263" t="str">
        <f t="shared" si="51"/>
        <v>162/01:06</v>
      </c>
      <c r="P137" s="179" t="s">
        <v>91</v>
      </c>
      <c r="Q137" s="264">
        <f t="shared" si="52"/>
        <v>610156753.68403363</v>
      </c>
      <c r="R137" s="143">
        <f t="shared" si="44"/>
        <v>610410247.21954072</v>
      </c>
      <c r="S137" s="104">
        <f t="shared" si="45"/>
        <v>253493.53550708294</v>
      </c>
      <c r="T137" s="104">
        <f t="shared" si="46"/>
        <v>958375.00000005704</v>
      </c>
      <c r="U137" s="3">
        <v>0</v>
      </c>
      <c r="V137" s="142">
        <f t="shared" si="53"/>
        <v>958375.00000005704</v>
      </c>
      <c r="W137" s="97">
        <f t="shared" ref="W137:W142" si="56">Y137*1000000/8</f>
        <v>958375.00000000012</v>
      </c>
      <c r="X137" s="266">
        <f t="shared" si="47"/>
        <v>-5.6927092373371124E-8</v>
      </c>
      <c r="Y137" s="256">
        <f t="shared" si="54"/>
        <v>7.6670000000000007</v>
      </c>
      <c r="Z137" s="272">
        <f t="shared" ref="Z137:Z142" si="57">Y137+Z136</f>
        <v>25.289000000000001</v>
      </c>
      <c r="AA137" s="229"/>
      <c r="AB137" s="229">
        <v>1092116</v>
      </c>
      <c r="AC137" s="229">
        <f t="shared" si="55"/>
        <v>133740.99999994296</v>
      </c>
      <c r="AD137" s="277">
        <f t="shared" si="48"/>
        <v>1.0699279999995437</v>
      </c>
      <c r="AE137" s="241">
        <f t="shared" si="49"/>
        <v>0.1224604346057955</v>
      </c>
      <c r="AF137" s="178" t="s">
        <v>1180</v>
      </c>
      <c r="AG137" s="192" t="s">
        <v>1181</v>
      </c>
      <c r="AH137" s="232">
        <f>X136*8/1000000</f>
        <v>-8.009374141693115E-13</v>
      </c>
      <c r="AI137" s="232">
        <f>V136*8/1000000</f>
        <v>6.1540000000011261</v>
      </c>
      <c r="AJ137" s="244" t="s">
        <v>1182</v>
      </c>
      <c r="AK137" s="244" t="s">
        <v>1183</v>
      </c>
      <c r="AL137" s="244">
        <v>6.97</v>
      </c>
      <c r="AM137" s="244">
        <v>6.97</v>
      </c>
      <c r="AN137" s="244">
        <v>6.97</v>
      </c>
    </row>
    <row r="138" spans="1:47" ht="15.75">
      <c r="B138">
        <v>102</v>
      </c>
      <c r="C138">
        <v>101</v>
      </c>
      <c r="E138" t="s">
        <v>766</v>
      </c>
      <c r="F138" t="s">
        <v>764</v>
      </c>
      <c r="G138" t="s">
        <v>765</v>
      </c>
      <c r="L138" s="257" t="str">
        <f t="shared" si="50"/>
        <v>144/16:32</v>
      </c>
      <c r="M138" s="257" t="s">
        <v>1184</v>
      </c>
      <c r="O138" s="263" t="str">
        <f t="shared" si="51"/>
        <v>162/17:01</v>
      </c>
      <c r="P138" s="179" t="s">
        <v>1185</v>
      </c>
      <c r="Q138" s="264">
        <f t="shared" si="52"/>
        <v>610410246.21954072</v>
      </c>
      <c r="R138" s="143">
        <f t="shared" si="44"/>
        <v>610650283.13981998</v>
      </c>
      <c r="S138" s="104">
        <f t="shared" si="45"/>
        <v>240036.92027926445</v>
      </c>
      <c r="T138" s="104">
        <f t="shared" si="46"/>
        <v>907499.99999990535</v>
      </c>
      <c r="U138" s="3">
        <v>0</v>
      </c>
      <c r="V138" s="142">
        <f t="shared" si="53"/>
        <v>907499.99999990535</v>
      </c>
      <c r="W138" s="97">
        <f t="shared" si="56"/>
        <v>907500</v>
      </c>
      <c r="X138" s="266">
        <f t="shared" si="47"/>
        <v>9.4645656645298004E-8</v>
      </c>
      <c r="Y138" s="256">
        <f t="shared" si="54"/>
        <v>7.26</v>
      </c>
      <c r="Z138" s="272">
        <f t="shared" si="57"/>
        <v>32.548999999999999</v>
      </c>
      <c r="AA138" s="229"/>
      <c r="AB138" s="229">
        <v>1024638</v>
      </c>
      <c r="AC138" s="229">
        <f t="shared" si="55"/>
        <v>117138.00000009465</v>
      </c>
      <c r="AD138" s="277">
        <f t="shared" si="48"/>
        <v>0.93710400000075722</v>
      </c>
      <c r="AE138" s="241">
        <f t="shared" si="49"/>
        <v>0.1143213505648772</v>
      </c>
      <c r="AF138" s="178" t="s">
        <v>1186</v>
      </c>
      <c r="AG138" s="192" t="s">
        <v>1187</v>
      </c>
      <c r="AH138" s="232">
        <f>X137*8/1000000</f>
        <v>-4.5541673898696896E-13</v>
      </c>
      <c r="AI138" s="232">
        <f>V137*8/1000000</f>
        <v>7.6670000000004563</v>
      </c>
      <c r="AJ138" s="244" t="s">
        <v>1188</v>
      </c>
      <c r="AK138" s="244" t="s">
        <v>1189</v>
      </c>
      <c r="AL138" s="244">
        <v>6.6</v>
      </c>
      <c r="AM138" s="244">
        <v>6.6</v>
      </c>
      <c r="AN138" s="244">
        <v>6.6</v>
      </c>
    </row>
    <row r="139" spans="1:47" ht="15.75">
      <c r="B139">
        <v>102</v>
      </c>
      <c r="C139">
        <v>101</v>
      </c>
      <c r="E139" t="s">
        <v>766</v>
      </c>
      <c r="F139" t="s">
        <v>764</v>
      </c>
      <c r="G139" t="s">
        <v>765</v>
      </c>
      <c r="L139" s="257" t="str">
        <f t="shared" si="50"/>
        <v>147/11:13</v>
      </c>
      <c r="M139" s="257" t="s">
        <v>1190</v>
      </c>
      <c r="O139" s="263" t="str">
        <f t="shared" si="51"/>
        <v>164/00:56</v>
      </c>
      <c r="P139" s="179" t="s">
        <v>1191</v>
      </c>
      <c r="Q139" s="264">
        <f t="shared" si="52"/>
        <v>610650282.13981998</v>
      </c>
      <c r="R139" s="143">
        <f t="shared" si="44"/>
        <v>610784848.29209781</v>
      </c>
      <c r="S139" s="104">
        <f t="shared" si="45"/>
        <v>134566.15227782726</v>
      </c>
      <c r="T139" s="104">
        <f t="shared" si="46"/>
        <v>508750.00000016543</v>
      </c>
      <c r="U139" s="3">
        <v>0</v>
      </c>
      <c r="V139" s="142">
        <f t="shared" si="53"/>
        <v>508750.00000016543</v>
      </c>
      <c r="W139" s="97">
        <f t="shared" si="56"/>
        <v>508750.00000000006</v>
      </c>
      <c r="X139" s="266">
        <f t="shared" si="47"/>
        <v>-1.653679646551609E-7</v>
      </c>
      <c r="Y139" s="256">
        <f t="shared" si="54"/>
        <v>4.07</v>
      </c>
      <c r="Z139" s="272">
        <f t="shared" si="57"/>
        <v>36.619</v>
      </c>
      <c r="AA139" s="229"/>
      <c r="AB139" s="229">
        <v>574838</v>
      </c>
      <c r="AC139" s="229">
        <f t="shared" si="55"/>
        <v>66087.999999834574</v>
      </c>
      <c r="AD139" s="277">
        <f t="shared" si="48"/>
        <v>0.52870399999867657</v>
      </c>
      <c r="AE139" s="241">
        <f t="shared" si="49"/>
        <v>0.11496804317013588</v>
      </c>
      <c r="AF139" s="178" t="s">
        <v>1192</v>
      </c>
      <c r="AG139" s="192" t="s">
        <v>1193</v>
      </c>
      <c r="AH139" s="232">
        <f>X138*8/1000000</f>
        <v>7.5716525316238406E-13</v>
      </c>
      <c r="AI139" s="232">
        <f>V138*8/1000000</f>
        <v>7.2599999999992431</v>
      </c>
      <c r="AJ139" s="244" t="s">
        <v>1194</v>
      </c>
      <c r="AK139" s="244" t="s">
        <v>1195</v>
      </c>
      <c r="AL139" s="244">
        <v>3.7</v>
      </c>
      <c r="AM139" s="244">
        <v>3.7</v>
      </c>
      <c r="AN139" s="244">
        <v>3.7</v>
      </c>
    </row>
    <row r="140" spans="1:47" ht="15.75">
      <c r="B140">
        <v>102</v>
      </c>
      <c r="C140">
        <v>101</v>
      </c>
      <c r="E140" t="s">
        <v>766</v>
      </c>
      <c r="F140" t="s">
        <v>764</v>
      </c>
      <c r="G140" t="s">
        <v>765</v>
      </c>
      <c r="L140" s="257" t="str">
        <f t="shared" si="50"/>
        <v>149/00:35</v>
      </c>
      <c r="M140" s="257" t="s">
        <v>1196</v>
      </c>
      <c r="O140" s="263" t="str">
        <f t="shared" si="51"/>
        <v>166/15:41</v>
      </c>
      <c r="P140" s="179" t="s">
        <v>1197</v>
      </c>
      <c r="Q140" s="264">
        <f t="shared" si="52"/>
        <v>610784847.29209781</v>
      </c>
      <c r="R140" s="143">
        <f t="shared" si="44"/>
        <v>611216550.05629706</v>
      </c>
      <c r="S140" s="104">
        <f t="shared" si="45"/>
        <v>431702.7641992569</v>
      </c>
      <c r="T140" s="104">
        <f t="shared" si="46"/>
        <v>1632124.9999999595</v>
      </c>
      <c r="U140" s="3">
        <v>0</v>
      </c>
      <c r="V140" s="142">
        <f t="shared" si="53"/>
        <v>1632124.9999999595</v>
      </c>
      <c r="W140" s="97">
        <f t="shared" si="56"/>
        <v>1632125</v>
      </c>
      <c r="X140" s="266">
        <f t="shared" si="47"/>
        <v>4.0512531995773315E-8</v>
      </c>
      <c r="Y140" s="282">
        <f t="shared" si="54"/>
        <v>13.057</v>
      </c>
      <c r="Z140" s="272">
        <f t="shared" si="57"/>
        <v>49.676000000000002</v>
      </c>
      <c r="AA140" s="229"/>
      <c r="AB140" s="229">
        <v>1838628</v>
      </c>
      <c r="AC140" s="229">
        <f t="shared" si="55"/>
        <v>206503.00000004051</v>
      </c>
      <c r="AD140" s="277">
        <f t="shared" si="48"/>
        <v>1.6520240000003241</v>
      </c>
      <c r="AE140" s="241">
        <f t="shared" si="49"/>
        <v>0.11231363821286335</v>
      </c>
      <c r="AF140" s="178" t="s">
        <v>1198</v>
      </c>
      <c r="AG140" s="192" t="s">
        <v>1199</v>
      </c>
      <c r="AH140" s="232">
        <f>X140*8/1000000</f>
        <v>3.2410025596618653E-13</v>
      </c>
      <c r="AI140" s="232">
        <f>V140*8/1000000</f>
        <v>13.056999999999675</v>
      </c>
      <c r="AJ140" s="244" t="s">
        <v>1200</v>
      </c>
      <c r="AK140" s="244" t="s">
        <v>1201</v>
      </c>
      <c r="AL140" s="244">
        <v>11.87</v>
      </c>
      <c r="AM140" s="244">
        <v>11.87</v>
      </c>
      <c r="AN140" s="244">
        <v>11.87</v>
      </c>
    </row>
    <row r="141" spans="1:47" ht="15.75">
      <c r="B141">
        <v>102</v>
      </c>
      <c r="C141">
        <v>101</v>
      </c>
      <c r="E141" t="s">
        <v>766</v>
      </c>
      <c r="F141" t="s">
        <v>764</v>
      </c>
      <c r="G141" t="s">
        <v>765</v>
      </c>
      <c r="L141" s="257" t="str">
        <f t="shared" si="50"/>
        <v>154/00:30</v>
      </c>
      <c r="M141" s="257" t="s">
        <v>1202</v>
      </c>
      <c r="O141" s="263" t="str">
        <f t="shared" si="51"/>
        <v>167/15:51</v>
      </c>
      <c r="P141" s="179" t="s">
        <v>101</v>
      </c>
      <c r="Q141" s="264">
        <f t="shared" si="52"/>
        <v>611216549.05629706</v>
      </c>
      <c r="R141" s="143">
        <f t="shared" si="44"/>
        <v>611398758.90032721</v>
      </c>
      <c r="S141" s="104">
        <f t="shared" si="45"/>
        <v>182209.84403014183</v>
      </c>
      <c r="T141" s="104">
        <f t="shared" si="46"/>
        <v>688874.99999982573</v>
      </c>
      <c r="U141" s="3">
        <v>0</v>
      </c>
      <c r="V141" s="142">
        <f t="shared" si="53"/>
        <v>688874.99999982573</v>
      </c>
      <c r="W141" s="97">
        <f t="shared" si="56"/>
        <v>688875</v>
      </c>
      <c r="X141" s="266">
        <f t="shared" si="47"/>
        <v>1.7427373677492142E-7</v>
      </c>
      <c r="Y141" s="282">
        <f t="shared" si="54"/>
        <v>5.5110000000000001</v>
      </c>
      <c r="Z141" s="272">
        <f t="shared" si="57"/>
        <v>55.187000000000005</v>
      </c>
      <c r="AA141" s="229"/>
      <c r="AB141" s="229">
        <v>770314</v>
      </c>
      <c r="AC141" s="229">
        <f t="shared" si="55"/>
        <v>81439.000000174274</v>
      </c>
      <c r="AD141" s="277">
        <f t="shared" si="48"/>
        <v>0.6515120000013942</v>
      </c>
      <c r="AE141" s="241">
        <f t="shared" si="49"/>
        <v>0.10572182252974018</v>
      </c>
      <c r="AF141" s="178" t="s">
        <v>1203</v>
      </c>
      <c r="AG141" s="192" t="s">
        <v>1204</v>
      </c>
      <c r="AH141" s="232">
        <f>X141*8/1000000</f>
        <v>1.3941898941993714E-12</v>
      </c>
      <c r="AI141" s="232">
        <f>V141*8/1000000</f>
        <v>5.5109999999986057</v>
      </c>
      <c r="AJ141" s="244" t="s">
        <v>1205</v>
      </c>
      <c r="AK141" s="244" t="s">
        <v>1206</v>
      </c>
      <c r="AL141" s="244">
        <v>5.01</v>
      </c>
      <c r="AM141" s="244">
        <v>5.01</v>
      </c>
      <c r="AN141" s="244">
        <v>5.01</v>
      </c>
    </row>
    <row r="142" spans="1:47" ht="15.75">
      <c r="B142">
        <v>102</v>
      </c>
      <c r="C142">
        <v>101</v>
      </c>
      <c r="E142" t="s">
        <v>766</v>
      </c>
      <c r="F142" t="s">
        <v>764</v>
      </c>
      <c r="G142" t="s">
        <v>765</v>
      </c>
      <c r="L142" s="257" t="str">
        <f t="shared" si="50"/>
        <v>156/03:07</v>
      </c>
      <c r="M142" s="257" t="s">
        <v>1207</v>
      </c>
      <c r="O142" s="263" t="str">
        <f t="shared" si="51"/>
        <v>168/15:51</v>
      </c>
      <c r="P142" s="179" t="s">
        <v>1208</v>
      </c>
      <c r="Q142" s="264">
        <f t="shared" si="52"/>
        <v>611398757.90032721</v>
      </c>
      <c r="R142" s="143">
        <f t="shared" si="44"/>
        <v>611652251.43583429</v>
      </c>
      <c r="S142" s="104">
        <f t="shared" si="45"/>
        <v>253493.53550708294</v>
      </c>
      <c r="T142" s="104">
        <f t="shared" si="46"/>
        <v>958375.00000005704</v>
      </c>
      <c r="U142" s="3">
        <v>0</v>
      </c>
      <c r="V142" s="142">
        <f t="shared" si="53"/>
        <v>958375.00000005704</v>
      </c>
      <c r="W142" s="97">
        <f t="shared" si="56"/>
        <v>958375.00000000012</v>
      </c>
      <c r="X142" s="266">
        <f t="shared" si="47"/>
        <v>-5.6927092373371124E-8</v>
      </c>
      <c r="Y142" s="282">
        <f t="shared" si="54"/>
        <v>7.6670000000000007</v>
      </c>
      <c r="Z142" s="272">
        <f t="shared" si="57"/>
        <v>62.854000000000006</v>
      </c>
      <c r="AA142" s="229"/>
      <c r="AB142" s="229">
        <v>958375</v>
      </c>
      <c r="AC142" s="229">
        <f t="shared" si="55"/>
        <v>-5.7043507695198059E-8</v>
      </c>
      <c r="AD142" s="277">
        <f t="shared" si="48"/>
        <v>-4.5634806156158446E-13</v>
      </c>
      <c r="AE142" s="241"/>
      <c r="AF142" s="178" t="s">
        <v>1209</v>
      </c>
      <c r="AG142" s="192" t="s">
        <v>1210</v>
      </c>
      <c r="AH142" s="232">
        <f>X142*8/1000000</f>
        <v>-4.5541673898696896E-13</v>
      </c>
      <c r="AI142" s="232">
        <f>V142*8/1000000</f>
        <v>7.6670000000004563</v>
      </c>
      <c r="AJ142" s="244" t="s">
        <v>1211</v>
      </c>
      <c r="AK142" s="244" t="s">
        <v>1212</v>
      </c>
      <c r="AL142" s="244">
        <v>6.97</v>
      </c>
      <c r="AM142" s="244">
        <v>6.97</v>
      </c>
      <c r="AN142" s="244">
        <v>6.97</v>
      </c>
    </row>
    <row r="143" spans="1:47" ht="15.75">
      <c r="L143" s="283"/>
      <c r="M143" s="284"/>
      <c r="N143" s="284"/>
      <c r="O143" s="285" t="s">
        <v>1213</v>
      </c>
      <c r="P143" s="81" t="s">
        <v>1214</v>
      </c>
      <c r="Q143" s="81" t="s">
        <v>1215</v>
      </c>
      <c r="R143" s="81">
        <v>611744022</v>
      </c>
      <c r="S143" s="81">
        <v>1</v>
      </c>
      <c r="T143" s="81" t="s">
        <v>373</v>
      </c>
      <c r="U143" s="81" t="s">
        <v>1216</v>
      </c>
      <c r="V143" s="81" t="s">
        <v>382</v>
      </c>
      <c r="W143" s="81"/>
      <c r="X143" s="81" t="s">
        <v>1217</v>
      </c>
      <c r="Y143" s="286"/>
      <c r="Z143" s="286"/>
      <c r="AA143" s="238"/>
      <c r="AB143" s="229"/>
      <c r="AC143" s="229"/>
      <c r="AD143" s="278"/>
      <c r="AE143" s="278"/>
      <c r="AF143" s="178"/>
      <c r="AG143" s="192"/>
      <c r="AH143" s="232"/>
      <c r="AI143" s="232"/>
      <c r="AJ143" s="244"/>
      <c r="AK143" s="244"/>
      <c r="AL143" s="244">
        <v>4.93</v>
      </c>
      <c r="AM143" s="244">
        <v>4.93</v>
      </c>
      <c r="AN143" s="244">
        <v>4.93</v>
      </c>
    </row>
    <row r="144" spans="1:47" ht="15.75">
      <c r="B144">
        <v>102</v>
      </c>
      <c r="C144">
        <v>101</v>
      </c>
      <c r="E144" t="s">
        <v>766</v>
      </c>
      <c r="F144" t="s">
        <v>764</v>
      </c>
      <c r="G144" t="s">
        <v>765</v>
      </c>
      <c r="L144" s="257" t="str">
        <f>M142</f>
        <v>159/01:32</v>
      </c>
      <c r="M144" s="287" t="s">
        <v>1218</v>
      </c>
      <c r="N144" t="s">
        <v>167</v>
      </c>
      <c r="O144" s="263" t="str">
        <f>AG144</f>
        <v>169/01:21</v>
      </c>
      <c r="P144" s="179" t="s">
        <v>104</v>
      </c>
      <c r="Q144" s="264">
        <f>R142-1</f>
        <v>611652250.43583429</v>
      </c>
      <c r="R144" s="212">
        <f>R143+20</f>
        <v>611744042</v>
      </c>
      <c r="S144" s="104">
        <f>R144-Q144</f>
        <v>91791.564165711403</v>
      </c>
      <c r="T144" s="104">
        <f>S144*$V$13</f>
        <v>347033.46628285473</v>
      </c>
      <c r="U144" s="3">
        <v>0</v>
      </c>
      <c r="V144" s="142">
        <f>T144+U144*$V$37</f>
        <v>347033.46628285473</v>
      </c>
      <c r="W144" s="97">
        <f>Y144*1000000/8</f>
        <v>677875</v>
      </c>
      <c r="X144" s="266">
        <f>W144-V144</f>
        <v>330841.53371714527</v>
      </c>
      <c r="Y144" s="282">
        <f>1.1*AL144</f>
        <v>5.423</v>
      </c>
      <c r="Z144" s="288">
        <f>Y144+Z142</f>
        <v>68.277000000000001</v>
      </c>
      <c r="AA144" s="229"/>
      <c r="AB144" s="229"/>
      <c r="AC144" s="229">
        <f>AB144-T144</f>
        <v>-347033.46628285473</v>
      </c>
      <c r="AD144" s="277">
        <f>AC144*8/1000000</f>
        <v>-2.776267730262838</v>
      </c>
      <c r="AE144" s="277"/>
      <c r="AF144" s="178" t="s">
        <v>607</v>
      </c>
      <c r="AG144" s="192" t="s">
        <v>1219</v>
      </c>
      <c r="AH144" s="232">
        <f>X144*8/1000000</f>
        <v>2.646732269737162</v>
      </c>
      <c r="AI144" s="232">
        <f>V144*8/1000000</f>
        <v>2.776267730262838</v>
      </c>
      <c r="AJ144" s="244" t="s">
        <v>1220</v>
      </c>
      <c r="AK144" s="244" t="s">
        <v>1221</v>
      </c>
      <c r="AL144" s="244">
        <v>4.93</v>
      </c>
      <c r="AM144" s="244">
        <v>4.93</v>
      </c>
      <c r="AN144" s="244">
        <v>4.93</v>
      </c>
    </row>
    <row r="145" spans="1:57" ht="15.75">
      <c r="L145" s="283"/>
      <c r="M145" s="284"/>
      <c r="N145" s="284"/>
      <c r="O145" s="285" t="s">
        <v>1222</v>
      </c>
      <c r="P145" s="81" t="s">
        <v>1118</v>
      </c>
      <c r="Q145" s="81" t="s">
        <v>1119</v>
      </c>
      <c r="R145" s="81">
        <v>611744576</v>
      </c>
      <c r="S145" s="81">
        <v>7</v>
      </c>
      <c r="T145" s="81" t="s">
        <v>373</v>
      </c>
      <c r="U145" s="81" t="s">
        <v>1120</v>
      </c>
      <c r="V145" s="81" t="s">
        <v>866</v>
      </c>
      <c r="W145" s="81" t="s">
        <v>867</v>
      </c>
      <c r="X145" s="81" t="s">
        <v>1121</v>
      </c>
      <c r="Y145" s="286"/>
      <c r="Z145" s="286"/>
      <c r="AA145" s="239"/>
      <c r="AB145" s="229"/>
      <c r="AC145" s="229"/>
      <c r="AD145" s="278"/>
      <c r="AE145" s="278"/>
      <c r="AF145" s="178"/>
      <c r="AG145" s="192"/>
      <c r="AH145" s="232"/>
      <c r="AI145" s="232"/>
      <c r="AJ145" s="244"/>
      <c r="AK145" s="244"/>
      <c r="AL145" s="244"/>
      <c r="AM145" s="244"/>
    </row>
    <row r="146" spans="1:57" ht="15.75">
      <c r="A146" s="17" t="s">
        <v>8570</v>
      </c>
      <c r="B146">
        <v>102</v>
      </c>
      <c r="C146">
        <v>103</v>
      </c>
      <c r="D146">
        <v>110</v>
      </c>
      <c r="E146" t="s">
        <v>766</v>
      </c>
      <c r="F146" t="s">
        <v>764</v>
      </c>
      <c r="G146" t="s">
        <v>765</v>
      </c>
      <c r="L146" s="257" t="s">
        <v>1223</v>
      </c>
      <c r="M146" s="257" t="s">
        <v>1224</v>
      </c>
      <c r="P146" s="179" t="s">
        <v>104</v>
      </c>
      <c r="Q146" s="279">
        <f>R145-20</f>
        <v>611744556</v>
      </c>
      <c r="R146" s="143">
        <f>((W146-U146*$V$37)/$V$12)+Q146</f>
        <v>611851610.92407358</v>
      </c>
      <c r="S146" s="104">
        <f t="shared" ref="S146:S156" si="58">R146-Q146</f>
        <v>107054.92407357693</v>
      </c>
      <c r="T146" s="104">
        <f>S146*$V$12</f>
        <v>330841.53371706873</v>
      </c>
      <c r="U146" s="3">
        <v>0</v>
      </c>
      <c r="V146" s="142">
        <f t="shared" ref="V146:V156" si="59">T146+U146*$V$37</f>
        <v>330841.53371706873</v>
      </c>
      <c r="W146" s="97">
        <f>X144</f>
        <v>330841.53371714527</v>
      </c>
      <c r="X146" s="266">
        <f t="shared" ref="X146:X156" si="60">W146-V146</f>
        <v>7.6543074101209641E-8</v>
      </c>
      <c r="Y146" s="282"/>
      <c r="Z146" s="289"/>
      <c r="AA146" s="229"/>
      <c r="AB146" s="229"/>
      <c r="AC146" s="229">
        <f t="shared" ref="AC146:AC156" si="61">AB146-T146</f>
        <v>-330841.53371706873</v>
      </c>
      <c r="AD146" s="277">
        <f t="shared" ref="AD146:AD156" si="62">AC146*8/1000000</f>
        <v>-2.6467322697365496</v>
      </c>
      <c r="AE146" s="277"/>
      <c r="AF146" s="178"/>
      <c r="AG146" s="192"/>
      <c r="AH146" s="232">
        <f t="shared" ref="AH146:AH156" si="63">X146*8/1000000</f>
        <v>6.1234459280967711E-13</v>
      </c>
      <c r="AI146" s="232">
        <f t="shared" ref="AI146:AI156" si="64">V146*8/1000000</f>
        <v>2.6467322697365496</v>
      </c>
      <c r="AJ146" s="244"/>
      <c r="AK146" s="244"/>
      <c r="AL146" s="244"/>
      <c r="AM146" s="244"/>
    </row>
    <row r="147" spans="1:57" ht="15.75">
      <c r="B147">
        <v>102</v>
      </c>
      <c r="C147">
        <v>103</v>
      </c>
      <c r="D147">
        <v>110</v>
      </c>
      <c r="E147" t="s">
        <v>766</v>
      </c>
      <c r="F147" t="s">
        <v>764</v>
      </c>
      <c r="G147" t="s">
        <v>765</v>
      </c>
      <c r="L147" s="257" t="str">
        <f>M146</f>
        <v>161/08:55</v>
      </c>
      <c r="M147" s="257" t="s">
        <v>1225</v>
      </c>
      <c r="O147" s="263" t="str">
        <f>AG147</f>
        <v>169/22:11</v>
      </c>
      <c r="P147" s="179" t="s">
        <v>1226</v>
      </c>
      <c r="Q147" s="264">
        <f>R146-1</f>
        <v>611851609.92407358</v>
      </c>
      <c r="R147" s="143">
        <f>((W147-U147*$V$37)/$V$12)+Q147</f>
        <v>612349038.95054173</v>
      </c>
      <c r="S147" s="104">
        <f t="shared" si="58"/>
        <v>497429.02646815777</v>
      </c>
      <c r="T147" s="104">
        <f>S147*$V$12</f>
        <v>1537250.0000000705</v>
      </c>
      <c r="U147" s="3">
        <v>0</v>
      </c>
      <c r="V147" s="142">
        <f t="shared" si="59"/>
        <v>1537250.0000000705</v>
      </c>
      <c r="W147" s="97">
        <f>Y147*1000000/8</f>
        <v>1537250</v>
      </c>
      <c r="X147" s="266">
        <f t="shared" si="60"/>
        <v>-7.0547685027122498E-8</v>
      </c>
      <c r="Y147" s="282">
        <f>1.1*AL147</f>
        <v>12.298</v>
      </c>
      <c r="Z147" s="288">
        <f>Z144+Y147</f>
        <v>80.575000000000003</v>
      </c>
      <c r="AA147" s="229"/>
      <c r="AB147" s="229"/>
      <c r="AC147" s="229">
        <f t="shared" si="61"/>
        <v>-1537250.0000000705</v>
      </c>
      <c r="AD147" s="277">
        <f t="shared" si="62"/>
        <v>-12.298000000000565</v>
      </c>
      <c r="AE147" s="277"/>
      <c r="AF147" s="178" t="s">
        <v>1227</v>
      </c>
      <c r="AG147" s="192" t="s">
        <v>1228</v>
      </c>
      <c r="AH147" s="232">
        <f t="shared" si="63"/>
        <v>-5.6438148021697997E-13</v>
      </c>
      <c r="AI147" s="232">
        <f t="shared" si="64"/>
        <v>12.298000000000565</v>
      </c>
      <c r="AJ147" s="244" t="s">
        <v>1229</v>
      </c>
      <c r="AK147" s="244" t="s">
        <v>1230</v>
      </c>
      <c r="AL147" s="244">
        <v>11.18</v>
      </c>
      <c r="AM147" s="244">
        <v>11.18</v>
      </c>
      <c r="AN147" s="244">
        <v>11.18</v>
      </c>
    </row>
    <row r="148" spans="1:57" ht="15.75">
      <c r="B148">
        <v>102</v>
      </c>
      <c r="C148">
        <v>103</v>
      </c>
      <c r="D148">
        <v>110</v>
      </c>
      <c r="E148" t="s">
        <v>766</v>
      </c>
      <c r="F148" t="s">
        <v>764</v>
      </c>
      <c r="G148" t="s">
        <v>765</v>
      </c>
      <c r="L148" s="257" t="str">
        <f>M147</f>
        <v>167/03:05</v>
      </c>
      <c r="M148" s="257" t="s">
        <v>1231</v>
      </c>
      <c r="O148" s="263" t="str">
        <f>AG148</f>
        <v>170/16:06</v>
      </c>
      <c r="P148" s="179" t="s">
        <v>1232</v>
      </c>
      <c r="Q148" s="264">
        <f>R147-1</f>
        <v>612349037.95054173</v>
      </c>
      <c r="R148" s="212">
        <v>612647515</v>
      </c>
      <c r="S148" s="104">
        <f t="shared" si="58"/>
        <v>298477.0494582653</v>
      </c>
      <c r="T148" s="104">
        <f>S148*$V$12</f>
        <v>922410.67542348371</v>
      </c>
      <c r="U148" s="3">
        <v>0</v>
      </c>
      <c r="V148" s="142">
        <f t="shared" si="59"/>
        <v>922410.67542348371</v>
      </c>
      <c r="W148" s="97">
        <f>Y148*1000000/8</f>
        <v>2965875.0000000005</v>
      </c>
      <c r="X148" s="266">
        <f t="shared" si="60"/>
        <v>2043464.3245765166</v>
      </c>
      <c r="Y148" s="282">
        <f>1.1*AL148</f>
        <v>23.727000000000004</v>
      </c>
      <c r="Z148" s="288">
        <f>Z147+AA148</f>
        <v>87.954285403387871</v>
      </c>
      <c r="AA148" s="229">
        <f>AI148</f>
        <v>7.3792854033878701</v>
      </c>
      <c r="AB148" s="229"/>
      <c r="AC148" s="229">
        <f t="shared" si="61"/>
        <v>-922410.67542348371</v>
      </c>
      <c r="AD148" s="277">
        <f t="shared" si="62"/>
        <v>-7.3792854033878701</v>
      </c>
      <c r="AE148" s="277"/>
      <c r="AF148" t="s">
        <v>1233</v>
      </c>
      <c r="AG148" s="192" t="s">
        <v>1234</v>
      </c>
      <c r="AH148" s="232">
        <f t="shared" si="63"/>
        <v>16.347714596612132</v>
      </c>
      <c r="AI148" s="232">
        <f t="shared" si="64"/>
        <v>7.3792854033878701</v>
      </c>
      <c r="AJ148" s="244" t="s">
        <v>1235</v>
      </c>
      <c r="AK148" s="244" t="s">
        <v>1236</v>
      </c>
      <c r="AL148" s="244">
        <v>21.57</v>
      </c>
      <c r="AM148" s="244">
        <v>21.57</v>
      </c>
      <c r="AN148" s="244"/>
    </row>
    <row r="149" spans="1:57" ht="15.75">
      <c r="L149" s="226" t="s">
        <v>1109</v>
      </c>
      <c r="M149" s="226" t="s">
        <v>1237</v>
      </c>
      <c r="O149" s="192"/>
      <c r="P149" s="179" t="s">
        <v>1232</v>
      </c>
      <c r="Q149" s="237">
        <f>R106-3</f>
        <v>592432559.87599802</v>
      </c>
      <c r="R149" s="104">
        <f t="shared" ref="R149:R155" si="65">((W149)/$X$9)+Q149</f>
        <v>592985455.41489768</v>
      </c>
      <c r="S149" s="104">
        <f t="shared" si="58"/>
        <v>552895.53889966011</v>
      </c>
      <c r="T149" s="104">
        <f t="shared" ref="T149:T155" si="66">S149*$X$9</f>
        <v>2043464.3245764237</v>
      </c>
      <c r="U149" s="3">
        <v>0</v>
      </c>
      <c r="V149" s="97">
        <f t="shared" si="59"/>
        <v>2043464.3245764237</v>
      </c>
      <c r="W149" s="97">
        <f>X148</f>
        <v>2043464.3245765166</v>
      </c>
      <c r="X149" s="266">
        <f t="shared" si="60"/>
        <v>9.2899426817893982E-8</v>
      </c>
      <c r="Z149" s="290">
        <f>W149*8/1000000</f>
        <v>16.347714596612132</v>
      </c>
      <c r="AA149" s="290"/>
      <c r="AB149" s="229"/>
      <c r="AC149" s="229">
        <f t="shared" si="61"/>
        <v>-2043464.3245764237</v>
      </c>
      <c r="AD149" s="277">
        <f t="shared" si="62"/>
        <v>-16.347714596611389</v>
      </c>
      <c r="AE149" s="277"/>
      <c r="AH149" s="232">
        <f t="shared" si="63"/>
        <v>7.4319541454315185E-13</v>
      </c>
      <c r="AI149" s="232">
        <f t="shared" si="64"/>
        <v>16.347714596611389</v>
      </c>
    </row>
    <row r="150" spans="1:57" ht="15.75">
      <c r="L150" s="226" t="str">
        <f t="shared" ref="L150:L155" si="67">M149</f>
        <v>309/00:19</v>
      </c>
      <c r="M150" s="226" t="s">
        <v>1238</v>
      </c>
      <c r="O150" s="263" t="str">
        <f t="shared" ref="O150:O156" si="68">AG150</f>
        <v>173/15:36</v>
      </c>
      <c r="P150" s="179" t="s">
        <v>1239</v>
      </c>
      <c r="Q150" s="237">
        <f t="shared" ref="Q150:Q155" si="69">R149-3</f>
        <v>592985452.41489768</v>
      </c>
      <c r="R150" s="104">
        <f t="shared" si="65"/>
        <v>593579957.39755702</v>
      </c>
      <c r="S150" s="104">
        <f t="shared" si="58"/>
        <v>594504.9826593399</v>
      </c>
      <c r="T150" s="104">
        <f t="shared" si="66"/>
        <v>2197250.0000000154</v>
      </c>
      <c r="U150" s="3">
        <v>0</v>
      </c>
      <c r="V150" s="97">
        <f t="shared" si="59"/>
        <v>2197250.0000000154</v>
      </c>
      <c r="W150" s="97">
        <f t="shared" ref="W150:W156" si="70">Y150*1000000/8</f>
        <v>2197250.0000000005</v>
      </c>
      <c r="X150" s="266">
        <f t="shared" si="60"/>
        <v>-1.4901161193847656E-8</v>
      </c>
      <c r="Y150" s="282">
        <f t="shared" ref="Y150:Y155" si="71">1.1*AL150</f>
        <v>17.578000000000003</v>
      </c>
      <c r="Z150" s="290">
        <f>Z149+Y150</f>
        <v>33.925714596612139</v>
      </c>
      <c r="AA150" s="229"/>
      <c r="AB150" s="229"/>
      <c r="AC150" s="229">
        <f t="shared" si="61"/>
        <v>-2197250.0000000154</v>
      </c>
      <c r="AD150" s="277">
        <f t="shared" si="62"/>
        <v>-17.578000000000124</v>
      </c>
      <c r="AE150" s="277"/>
      <c r="AF150" s="178" t="s">
        <v>1240</v>
      </c>
      <c r="AG150" s="192" t="s">
        <v>1241</v>
      </c>
      <c r="AH150" s="232">
        <f t="shared" si="63"/>
        <v>-1.1920928955078124E-13</v>
      </c>
      <c r="AI150" s="232">
        <f t="shared" si="64"/>
        <v>17.578000000000124</v>
      </c>
      <c r="AJ150" s="244" t="s">
        <v>1242</v>
      </c>
      <c r="AK150" s="244" t="s">
        <v>1243</v>
      </c>
      <c r="AL150" s="244">
        <v>15.98</v>
      </c>
      <c r="AM150" s="244">
        <v>15.98</v>
      </c>
      <c r="AN150" s="244">
        <v>15.98</v>
      </c>
    </row>
    <row r="151" spans="1:57" ht="15.75">
      <c r="L151" s="226" t="str">
        <f t="shared" si="67"/>
        <v>315/21:27</v>
      </c>
      <c r="M151" s="226" t="s">
        <v>1244</v>
      </c>
      <c r="O151" s="263" t="str">
        <f t="shared" si="68"/>
        <v>174/15:46</v>
      </c>
      <c r="P151" s="179" t="s">
        <v>1245</v>
      </c>
      <c r="Q151" s="237">
        <f t="shared" si="69"/>
        <v>593579954.39755702</v>
      </c>
      <c r="R151" s="104">
        <f t="shared" si="65"/>
        <v>593841863.97690129</v>
      </c>
      <c r="S151" s="104">
        <f t="shared" si="58"/>
        <v>261909.57934427261</v>
      </c>
      <c r="T151" s="104">
        <f t="shared" si="66"/>
        <v>967999.99999994272</v>
      </c>
      <c r="U151" s="3">
        <v>0</v>
      </c>
      <c r="V151" s="97">
        <f t="shared" si="59"/>
        <v>967999.99999994272</v>
      </c>
      <c r="W151" s="97">
        <f t="shared" si="70"/>
        <v>968000.00000000012</v>
      </c>
      <c r="X151" s="266">
        <f t="shared" si="60"/>
        <v>5.7392753660678864E-8</v>
      </c>
      <c r="Y151" s="282">
        <f t="shared" si="71"/>
        <v>7.7440000000000007</v>
      </c>
      <c r="Z151" s="290">
        <f>Z150+Y151</f>
        <v>41.669714596612138</v>
      </c>
      <c r="AA151" s="229"/>
      <c r="AB151" s="229"/>
      <c r="AC151" s="229">
        <f t="shared" si="61"/>
        <v>-967999.99999994272</v>
      </c>
      <c r="AD151" s="277">
        <f t="shared" si="62"/>
        <v>-7.7439999999995415</v>
      </c>
      <c r="AE151" s="277"/>
      <c r="AF151" s="178" t="s">
        <v>1246</v>
      </c>
      <c r="AG151" s="192" t="s">
        <v>1247</v>
      </c>
      <c r="AH151" s="232">
        <f t="shared" si="63"/>
        <v>4.5914202928543086E-13</v>
      </c>
      <c r="AI151" s="232">
        <f t="shared" si="64"/>
        <v>7.7439999999995415</v>
      </c>
      <c r="AJ151" s="244" t="s">
        <v>1248</v>
      </c>
      <c r="AK151" s="244" t="s">
        <v>1249</v>
      </c>
      <c r="AL151" s="244">
        <v>7.04</v>
      </c>
      <c r="AM151" s="244">
        <v>7.04</v>
      </c>
      <c r="AN151" s="244">
        <v>7.04</v>
      </c>
    </row>
    <row r="152" spans="1:57" ht="15.75">
      <c r="A152" s="17"/>
      <c r="B152" s="17"/>
      <c r="C152" s="17"/>
      <c r="D152" s="17"/>
      <c r="E152" s="17"/>
      <c r="F152" s="17"/>
      <c r="G152" s="17"/>
      <c r="H152" s="17"/>
      <c r="I152" s="17"/>
      <c r="J152" s="17"/>
      <c r="K152" s="17"/>
      <c r="L152" s="226" t="str">
        <f t="shared" si="67"/>
        <v>318/22:12</v>
      </c>
      <c r="M152" s="226" t="s">
        <v>1250</v>
      </c>
      <c r="O152" s="263" t="str">
        <f t="shared" si="68"/>
        <v>175/23:26</v>
      </c>
      <c r="P152" s="179" t="s">
        <v>1251</v>
      </c>
      <c r="Q152" s="237">
        <f t="shared" si="69"/>
        <v>593841860.97690129</v>
      </c>
      <c r="R152" s="104">
        <f t="shared" si="65"/>
        <v>594108978.98538029</v>
      </c>
      <c r="S152" s="104">
        <f t="shared" si="58"/>
        <v>267118.00847899914</v>
      </c>
      <c r="T152" s="104">
        <f t="shared" si="66"/>
        <v>987250.00000008673</v>
      </c>
      <c r="U152" s="3">
        <v>0</v>
      </c>
      <c r="V152" s="97">
        <f t="shared" si="59"/>
        <v>987250.00000008673</v>
      </c>
      <c r="W152" s="97">
        <f t="shared" si="70"/>
        <v>987250.00000000012</v>
      </c>
      <c r="X152" s="266">
        <f t="shared" si="60"/>
        <v>-8.6612999439239502E-8</v>
      </c>
      <c r="Y152" s="282">
        <f t="shared" si="71"/>
        <v>7.8980000000000006</v>
      </c>
      <c r="Z152" s="290">
        <f>Z151+Y152</f>
        <v>49.567714596612142</v>
      </c>
      <c r="AA152" s="229"/>
      <c r="AB152" s="229"/>
      <c r="AC152" s="229">
        <f t="shared" si="61"/>
        <v>-987250.00000008673</v>
      </c>
      <c r="AD152" s="277">
        <f t="shared" si="62"/>
        <v>-7.8980000000006942</v>
      </c>
      <c r="AE152" s="277"/>
      <c r="AF152" s="178" t="s">
        <v>1252</v>
      </c>
      <c r="AG152" s="192" t="s">
        <v>1253</v>
      </c>
      <c r="AH152" s="232">
        <f t="shared" si="63"/>
        <v>-6.92903995513916E-13</v>
      </c>
      <c r="AI152" s="232">
        <f t="shared" si="64"/>
        <v>7.8980000000006942</v>
      </c>
      <c r="AJ152" s="244" t="s">
        <v>1254</v>
      </c>
      <c r="AK152" s="244" t="s">
        <v>1255</v>
      </c>
      <c r="AL152" s="244">
        <v>7.18</v>
      </c>
      <c r="AM152" s="244">
        <v>7.18</v>
      </c>
      <c r="AN152" s="244">
        <v>7.18</v>
      </c>
    </row>
    <row r="153" spans="1:57" ht="15.75">
      <c r="L153" s="226" t="str">
        <f t="shared" si="67"/>
        <v>322/00:24</v>
      </c>
      <c r="M153" s="226" t="s">
        <v>1256</v>
      </c>
      <c r="O153" s="263" t="str">
        <f t="shared" si="68"/>
        <v>177/00:06</v>
      </c>
      <c r="P153" s="179" t="s">
        <v>1257</v>
      </c>
      <c r="Q153" s="237">
        <f t="shared" si="69"/>
        <v>594108975.98538029</v>
      </c>
      <c r="R153" s="104">
        <f t="shared" si="65"/>
        <v>594325497.82512236</v>
      </c>
      <c r="S153" s="104">
        <f t="shared" si="58"/>
        <v>216521.83974206448</v>
      </c>
      <c r="T153" s="104">
        <f t="shared" si="66"/>
        <v>800250.00000019802</v>
      </c>
      <c r="U153" s="3">
        <v>0</v>
      </c>
      <c r="V153" s="97">
        <f t="shared" si="59"/>
        <v>800250.00000019802</v>
      </c>
      <c r="W153" s="97">
        <f t="shared" si="70"/>
        <v>800250.00000000012</v>
      </c>
      <c r="X153" s="266">
        <f t="shared" si="60"/>
        <v>-1.9790604710578918E-7</v>
      </c>
      <c r="Y153" s="282">
        <f t="shared" si="71"/>
        <v>6.402000000000001</v>
      </c>
      <c r="Z153" s="290">
        <f>Z152+Y153</f>
        <v>55.969714596612143</v>
      </c>
      <c r="AA153" s="229"/>
      <c r="AB153" s="229"/>
      <c r="AC153" s="229">
        <f t="shared" si="61"/>
        <v>-800250.00000019802</v>
      </c>
      <c r="AD153" s="277">
        <f t="shared" si="62"/>
        <v>-6.4020000000015838</v>
      </c>
      <c r="AE153" s="277"/>
      <c r="AF153" s="178" t="s">
        <v>1258</v>
      </c>
      <c r="AG153" s="192" t="s">
        <v>1259</v>
      </c>
      <c r="AH153" s="232">
        <f t="shared" si="63"/>
        <v>-1.5832483768463134E-12</v>
      </c>
      <c r="AI153" s="232">
        <f t="shared" si="64"/>
        <v>6.4020000000015838</v>
      </c>
      <c r="AJ153" s="244" t="s">
        <v>1260</v>
      </c>
      <c r="AK153" s="244" t="s">
        <v>1261</v>
      </c>
      <c r="AL153" s="244">
        <v>5.82</v>
      </c>
      <c r="AM153" s="244">
        <v>5.82</v>
      </c>
      <c r="AN153" s="244">
        <v>5.82</v>
      </c>
    </row>
    <row r="154" spans="1:57" ht="15.75">
      <c r="L154" s="226" t="str">
        <f t="shared" si="67"/>
        <v>324/12:33</v>
      </c>
      <c r="M154" s="226" t="s">
        <v>1262</v>
      </c>
      <c r="O154" s="263" t="str">
        <f t="shared" si="68"/>
        <v>177/17:16</v>
      </c>
      <c r="P154" s="179" t="s">
        <v>1263</v>
      </c>
      <c r="Q154" s="237">
        <f t="shared" si="69"/>
        <v>594325494.82512236</v>
      </c>
      <c r="R154" s="104">
        <f t="shared" si="65"/>
        <v>594930416.66605103</v>
      </c>
      <c r="S154" s="104">
        <f t="shared" si="58"/>
        <v>604921.84092867374</v>
      </c>
      <c r="T154" s="104">
        <f t="shared" si="66"/>
        <v>2235749.9999998626</v>
      </c>
      <c r="U154" s="3">
        <v>0</v>
      </c>
      <c r="V154" s="97">
        <f t="shared" si="59"/>
        <v>2235749.9999998626</v>
      </c>
      <c r="W154" s="97">
        <f t="shared" si="70"/>
        <v>2235750.0000000005</v>
      </c>
      <c r="X154" s="266">
        <f t="shared" si="60"/>
        <v>1.3783574104309082E-7</v>
      </c>
      <c r="Y154" s="282">
        <f t="shared" si="71"/>
        <v>17.886000000000003</v>
      </c>
      <c r="Z154" s="290">
        <f>Y154+Z153</f>
        <v>73.855714596612145</v>
      </c>
      <c r="AA154" s="290"/>
      <c r="AB154" s="229"/>
      <c r="AC154" s="229">
        <f t="shared" si="61"/>
        <v>-2235749.9999998626</v>
      </c>
      <c r="AD154" s="277">
        <f t="shared" si="62"/>
        <v>-17.885999999998901</v>
      </c>
      <c r="AE154" s="277"/>
      <c r="AF154" s="178" t="s">
        <v>1264</v>
      </c>
      <c r="AG154" s="192" t="s">
        <v>1265</v>
      </c>
      <c r="AH154" s="232">
        <f t="shared" si="63"/>
        <v>1.1026859283447265E-12</v>
      </c>
      <c r="AI154" s="232">
        <f t="shared" si="64"/>
        <v>17.885999999998901</v>
      </c>
      <c r="AJ154" s="244" t="s">
        <v>1266</v>
      </c>
      <c r="AK154" s="244" t="s">
        <v>1267</v>
      </c>
      <c r="AL154" s="244">
        <v>16.260000000000002</v>
      </c>
      <c r="AM154" s="244">
        <v>16.260000000000002</v>
      </c>
      <c r="AN154" s="244">
        <v>16.260000000000002</v>
      </c>
    </row>
    <row r="155" spans="1:57" ht="15.75">
      <c r="L155" s="226" t="str">
        <f t="shared" si="67"/>
        <v>331/12:35</v>
      </c>
      <c r="M155" s="226" t="s">
        <v>1268</v>
      </c>
      <c r="O155" s="263" t="str">
        <f t="shared" si="68"/>
        <v>179/13:51</v>
      </c>
      <c r="P155" s="179" t="s">
        <v>1269</v>
      </c>
      <c r="Q155" s="237">
        <f t="shared" si="69"/>
        <v>594930413.66605103</v>
      </c>
      <c r="R155" s="104">
        <f t="shared" si="65"/>
        <v>595490319.7980299</v>
      </c>
      <c r="S155" s="104">
        <f t="shared" si="58"/>
        <v>559906.13197886944</v>
      </c>
      <c r="T155" s="104">
        <f t="shared" si="66"/>
        <v>2069374.9999998449</v>
      </c>
      <c r="U155" s="3">
        <v>0</v>
      </c>
      <c r="V155" s="97">
        <f t="shared" si="59"/>
        <v>2069374.9999998449</v>
      </c>
      <c r="W155" s="97">
        <f t="shared" si="70"/>
        <v>2069375.0000000005</v>
      </c>
      <c r="X155" s="266">
        <f t="shared" si="60"/>
        <v>1.5553086996078491E-7</v>
      </c>
      <c r="Y155" s="282">
        <f t="shared" si="71"/>
        <v>16.555000000000003</v>
      </c>
      <c r="Z155" s="290">
        <f>Y155+Z154</f>
        <v>90.410714596612152</v>
      </c>
      <c r="AA155" s="290"/>
      <c r="AB155" s="229"/>
      <c r="AC155" s="229">
        <f t="shared" si="61"/>
        <v>-2069374.9999998449</v>
      </c>
      <c r="AD155" s="277">
        <f t="shared" si="62"/>
        <v>-16.55499999999876</v>
      </c>
      <c r="AE155" s="277"/>
      <c r="AF155" s="178" t="s">
        <v>1270</v>
      </c>
      <c r="AG155" s="192" t="s">
        <v>1271</v>
      </c>
      <c r="AH155" s="232">
        <f t="shared" si="63"/>
        <v>1.2442469596862792E-12</v>
      </c>
      <c r="AI155" s="232">
        <f t="shared" si="64"/>
        <v>16.55499999999876</v>
      </c>
      <c r="AJ155" s="244" t="s">
        <v>1272</v>
      </c>
      <c r="AK155" s="244" t="s">
        <v>1273</v>
      </c>
      <c r="AL155" s="244">
        <v>15.05</v>
      </c>
      <c r="AM155" s="244">
        <v>15.05</v>
      </c>
      <c r="AN155" s="244">
        <v>15.05</v>
      </c>
    </row>
    <row r="156" spans="1:57" ht="15.75">
      <c r="L156" s="257" t="s">
        <v>1231</v>
      </c>
      <c r="M156" s="257" t="s">
        <v>1274</v>
      </c>
      <c r="O156" s="263" t="str">
        <f t="shared" si="68"/>
        <v>180/16:16</v>
      </c>
      <c r="P156" s="179" t="s">
        <v>1275</v>
      </c>
      <c r="Q156" s="237">
        <f>R148-1</f>
        <v>612647514</v>
      </c>
      <c r="R156" s="104">
        <f>((W156-U156*$V$37)/$V$12)+Q156</f>
        <v>613358508.26144552</v>
      </c>
      <c r="S156" s="104">
        <f t="shared" si="58"/>
        <v>710994.26144552231</v>
      </c>
      <c r="T156" s="104">
        <f>S156*$V$12</f>
        <v>2197250.0000000396</v>
      </c>
      <c r="U156" s="3">
        <v>0</v>
      </c>
      <c r="V156" s="142">
        <f t="shared" si="59"/>
        <v>2197250.0000000396</v>
      </c>
      <c r="W156" s="97">
        <f t="shared" si="70"/>
        <v>2197250.0000000005</v>
      </c>
      <c r="X156" s="266">
        <f t="shared" si="60"/>
        <v>-3.9115548133850098E-8</v>
      </c>
      <c r="Y156" s="282">
        <f>1.1*AL150</f>
        <v>17.578000000000003</v>
      </c>
      <c r="Z156" s="272">
        <f>Z148+Y156</f>
        <v>105.53228540338787</v>
      </c>
      <c r="AA156" s="229">
        <f>Z156-Z144</f>
        <v>37.255285403387873</v>
      </c>
      <c r="AB156" s="229"/>
      <c r="AC156" s="229">
        <f t="shared" si="61"/>
        <v>-2197250.0000000396</v>
      </c>
      <c r="AD156" s="277">
        <f t="shared" si="62"/>
        <v>-17.578000000000316</v>
      </c>
      <c r="AE156" s="277"/>
      <c r="AF156" s="178" t="s">
        <v>1276</v>
      </c>
      <c r="AG156" s="192" t="s">
        <v>1277</v>
      </c>
      <c r="AH156" s="232">
        <f t="shared" si="63"/>
        <v>-3.1292438507080076E-13</v>
      </c>
      <c r="AI156" s="232">
        <f t="shared" si="64"/>
        <v>17.578000000000316</v>
      </c>
      <c r="AJ156" s="244" t="s">
        <v>1278</v>
      </c>
      <c r="AK156" s="244" t="s">
        <v>1279</v>
      </c>
      <c r="AL156" s="244">
        <v>16.260000000000002</v>
      </c>
      <c r="AM156" s="244">
        <v>16.260000000000002</v>
      </c>
      <c r="AN156" s="244">
        <v>16.260000000000002</v>
      </c>
    </row>
    <row r="157" spans="1:57" ht="14.25">
      <c r="X157" s="232"/>
      <c r="Z157" s="3"/>
      <c r="AH157" s="232"/>
      <c r="AI157" s="232"/>
      <c r="AN157">
        <f>SUM(AM128:AM156)</f>
        <v>183.34</v>
      </c>
    </row>
    <row r="158" spans="1:57" ht="14.25">
      <c r="L158" s="226" t="s">
        <v>1268</v>
      </c>
      <c r="M158" s="226" t="s">
        <v>1280</v>
      </c>
      <c r="P158" t="s">
        <v>1281</v>
      </c>
      <c r="Q158" s="237">
        <f>R155-3</f>
        <v>595490316.7980299</v>
      </c>
      <c r="R158" s="104">
        <f>((W158)/$X$9)+Q158</f>
        <v>595690536.93099976</v>
      </c>
      <c r="S158" s="104">
        <f>R158-Q158</f>
        <v>200220.13296985626</v>
      </c>
      <c r="T158" s="104">
        <f>S158*$X$9</f>
        <v>740000.00000018196</v>
      </c>
      <c r="U158" s="3">
        <v>0</v>
      </c>
      <c r="V158" s="97">
        <f>T158+U158*$V$37</f>
        <v>740000.00000018196</v>
      </c>
      <c r="W158" s="97">
        <v>740000</v>
      </c>
      <c r="X158" s="266">
        <f>W158-V158</f>
        <v>-1.8195714801549911E-7</v>
      </c>
      <c r="Z158" s="3"/>
      <c r="AA158" t="s">
        <v>204</v>
      </c>
      <c r="AH158" s="232">
        <f>X158*8/1000000</f>
        <v>-1.4556571841239929E-12</v>
      </c>
      <c r="AI158" s="232">
        <f>V158*8/1000000</f>
        <v>5.9200000000014557</v>
      </c>
      <c r="AJ158" s="244"/>
    </row>
    <row r="159" spans="1:57" ht="15.75">
      <c r="L159" s="226" t="s">
        <v>1280</v>
      </c>
      <c r="M159" s="226" t="s">
        <v>1282</v>
      </c>
      <c r="O159" s="263" t="s">
        <v>1283</v>
      </c>
      <c r="P159" t="s">
        <v>1284</v>
      </c>
      <c r="Q159" s="237">
        <f>R158-3</f>
        <v>595690533.93099976</v>
      </c>
      <c r="R159" s="104">
        <f>((W159)/$X$9)+Q159</f>
        <v>596272254.58760118</v>
      </c>
      <c r="S159" s="104">
        <f>R159-Q159</f>
        <v>581720.65660142899</v>
      </c>
      <c r="T159" s="104">
        <f>S159*$X$9</f>
        <v>2149999.9999998617</v>
      </c>
      <c r="U159" s="3">
        <v>0</v>
      </c>
      <c r="V159" s="97">
        <f>T159+U159*$V$37</f>
        <v>2149999.9999998617</v>
      </c>
      <c r="W159" s="97">
        <v>2150000</v>
      </c>
      <c r="X159" s="266">
        <f>W159-V159</f>
        <v>1.3830140233039856E-7</v>
      </c>
      <c r="AB159" s="229">
        <v>2153619</v>
      </c>
      <c r="AC159" s="229"/>
      <c r="AH159" s="232">
        <f>X159*8/1000000</f>
        <v>1.1064112186431885E-12</v>
      </c>
      <c r="AI159" s="232">
        <f>V159*8/1000000</f>
        <v>17.199999999998894</v>
      </c>
      <c r="AQ159" s="91"/>
      <c r="AY159" s="91"/>
      <c r="AZ159" s="91"/>
      <c r="BA159" s="91"/>
      <c r="BB159" s="91"/>
      <c r="BC159" s="91"/>
      <c r="BD159" s="91"/>
      <c r="BE159" s="91"/>
    </row>
    <row r="160" spans="1:57" ht="14.25">
      <c r="AG160" s="232"/>
      <c r="AH160" s="232">
        <f>AI159+AI158</f>
        <v>23.120000000000349</v>
      </c>
      <c r="AV160" s="91"/>
      <c r="AW160" s="91"/>
    </row>
    <row r="161" spans="1:45" ht="14.25">
      <c r="L161" t="s">
        <v>4047</v>
      </c>
      <c r="M161">
        <f>2000000/3600</f>
        <v>555.55555555555554</v>
      </c>
      <c r="N161" t="s">
        <v>4042</v>
      </c>
      <c r="O161">
        <v>27</v>
      </c>
      <c r="P161">
        <f>O161*3600*M161</f>
        <v>54000000</v>
      </c>
      <c r="Q161" t="s">
        <v>4045</v>
      </c>
      <c r="S161" t="s">
        <v>4046</v>
      </c>
      <c r="U161" s="3">
        <v>27</v>
      </c>
      <c r="AE161" s="232"/>
      <c r="AF161" s="232"/>
    </row>
    <row r="162" spans="1:45" ht="14.25">
      <c r="M162" t="s">
        <v>4043</v>
      </c>
      <c r="N162" t="s">
        <v>4044</v>
      </c>
      <c r="S162">
        <f>190/30</f>
        <v>6.333333333333333</v>
      </c>
      <c r="T162">
        <f>40000/30</f>
        <v>1333.3333333333333</v>
      </c>
      <c r="U162">
        <f>190/8</f>
        <v>23.75</v>
      </c>
      <c r="X162" t="s">
        <v>913</v>
      </c>
    </row>
    <row r="163" spans="1:45" ht="14.25">
      <c r="C163" s="291" t="s">
        <v>941</v>
      </c>
      <c r="D163" s="291" t="s">
        <v>942</v>
      </c>
      <c r="E163" s="291" t="s">
        <v>766</v>
      </c>
      <c r="F163" s="291" t="s">
        <v>764</v>
      </c>
      <c r="G163" s="291" t="s">
        <v>765</v>
      </c>
      <c r="H163" s="291" t="s">
        <v>768</v>
      </c>
      <c r="I163" s="291" t="s">
        <v>769</v>
      </c>
      <c r="J163" s="291" t="s">
        <v>943</v>
      </c>
      <c r="K163" s="291" t="s">
        <v>1540</v>
      </c>
      <c r="P163" s="59">
        <v>25181</v>
      </c>
      <c r="T163" s="3"/>
      <c r="V163" s="93"/>
      <c r="X163" t="s">
        <v>1010</v>
      </c>
    </row>
    <row r="164" spans="1:45" ht="14.25">
      <c r="C164" s="3"/>
      <c r="D164" s="3"/>
      <c r="E164" s="3"/>
      <c r="F164" s="3"/>
      <c r="G164" s="3"/>
      <c r="H164" s="3"/>
      <c r="I164" s="3"/>
      <c r="J164" s="3"/>
      <c r="P164" s="73" t="s">
        <v>837</v>
      </c>
      <c r="Q164" s="72" t="s">
        <v>65</v>
      </c>
      <c r="R164" s="73" t="s">
        <v>66</v>
      </c>
      <c r="S164" s="73" t="s">
        <v>67</v>
      </c>
      <c r="T164" s="74" t="s">
        <v>68</v>
      </c>
      <c r="U164" s="3" t="s">
        <v>176</v>
      </c>
      <c r="V164" s="74" t="s">
        <v>265</v>
      </c>
      <c r="W164" s="73" t="s">
        <v>266</v>
      </c>
      <c r="X164" s="73" t="s">
        <v>70</v>
      </c>
      <c r="Y164" s="73"/>
      <c r="Z164" s="73"/>
    </row>
    <row r="165" spans="1:45" ht="14.25">
      <c r="C165" s="3"/>
      <c r="D165" s="3"/>
      <c r="E165" s="3"/>
      <c r="F165" s="3"/>
      <c r="G165" s="3"/>
      <c r="H165" s="3"/>
      <c r="I165" s="3"/>
      <c r="J165" s="3"/>
      <c r="P165" s="81" t="s">
        <v>1285</v>
      </c>
      <c r="Q165" s="81" t="s">
        <v>1286</v>
      </c>
      <c r="R165" s="81">
        <v>613555316</v>
      </c>
      <c r="S165" s="81">
        <v>0</v>
      </c>
      <c r="T165" s="81" t="s">
        <v>1124</v>
      </c>
      <c r="U165" s="81" t="s">
        <v>1287</v>
      </c>
      <c r="V165" s="81" t="s">
        <v>1288</v>
      </c>
      <c r="W165" s="81"/>
      <c r="X165" s="81" t="s">
        <v>1289</v>
      </c>
      <c r="Y165" s="81"/>
      <c r="Z165" s="81"/>
    </row>
    <row r="166" spans="1:45" ht="14.25">
      <c r="C166" s="3"/>
      <c r="D166" s="3"/>
      <c r="E166" s="3"/>
      <c r="F166" s="3"/>
      <c r="G166" s="3"/>
      <c r="H166" s="3"/>
      <c r="I166" s="3"/>
      <c r="J166" s="3"/>
      <c r="O166" s="292" t="s">
        <v>1290</v>
      </c>
      <c r="P166" s="79" t="s">
        <v>1291</v>
      </c>
      <c r="Q166" s="293" t="s">
        <v>1292</v>
      </c>
      <c r="R166" s="294">
        <v>613555366</v>
      </c>
      <c r="S166" s="79">
        <v>0</v>
      </c>
      <c r="T166" s="79" t="s">
        <v>1124</v>
      </c>
      <c r="U166" s="79" t="s">
        <v>1293</v>
      </c>
      <c r="V166" s="79" t="s">
        <v>1294</v>
      </c>
      <c r="Y166" s="317" t="s">
        <v>1541</v>
      </c>
      <c r="Z166" s="317" t="s">
        <v>1542</v>
      </c>
      <c r="AJ166" t="s">
        <v>1021</v>
      </c>
      <c r="AK166" t="s">
        <v>836</v>
      </c>
      <c r="AN166" s="244"/>
      <c r="AO166" s="244"/>
      <c r="AP166" s="244"/>
      <c r="AQ166" s="244"/>
      <c r="AR166" s="244"/>
      <c r="AS166" s="91"/>
    </row>
    <row r="167" spans="1:45" ht="28.5">
      <c r="A167" t="s">
        <v>204</v>
      </c>
      <c r="C167" s="3">
        <v>103</v>
      </c>
      <c r="D167" s="3">
        <v>110</v>
      </c>
      <c r="E167" s="3" t="s">
        <v>766</v>
      </c>
      <c r="F167" s="3" t="s">
        <v>764</v>
      </c>
      <c r="G167" s="3" t="s">
        <v>765</v>
      </c>
      <c r="H167" s="3"/>
      <c r="I167" s="3"/>
      <c r="J167" s="3"/>
      <c r="L167" s="257" t="s">
        <v>1274</v>
      </c>
      <c r="M167" s="295" t="s">
        <v>1296</v>
      </c>
      <c r="O167" s="263" t="str">
        <f>AI167</f>
        <v>182/15:36</v>
      </c>
      <c r="P167" s="179" t="str">
        <f>MID(AL167,11,5)</f>
        <v>182_1</v>
      </c>
      <c r="Q167" s="237">
        <f>R156-1</f>
        <v>613358507.26144552</v>
      </c>
      <c r="R167" s="296">
        <f>R166</f>
        <v>613555366</v>
      </c>
      <c r="S167" s="104">
        <f>R167-Q167</f>
        <v>196858.73855447769</v>
      </c>
      <c r="T167" s="104">
        <f>S167*$V$12</f>
        <v>608370.4000780835</v>
      </c>
      <c r="U167" s="3">
        <v>0</v>
      </c>
      <c r="V167" s="142">
        <f>T167+U167*$V$37</f>
        <v>608370.4000780835</v>
      </c>
      <c r="W167" s="97">
        <f>AA167*1000000/8</f>
        <v>1001000.0000000001</v>
      </c>
      <c r="X167" s="266">
        <f>W167-V167</f>
        <v>392629.59992191661</v>
      </c>
      <c r="Y167" s="318">
        <f>S167*$V$24+U167*$V$37</f>
        <v>646715.13301579049</v>
      </c>
      <c r="Z167" s="319">
        <f>(Y167/V167-1)</f>
        <v>6.3028597270323283E-2</v>
      </c>
      <c r="AA167" s="256">
        <f>1.1*AP167</f>
        <v>8.0080000000000009</v>
      </c>
      <c r="AB167" s="229"/>
      <c r="AC167" s="229"/>
      <c r="AD167" s="297">
        <f>AK167</f>
        <v>4.8669632006246681</v>
      </c>
      <c r="AE167" s="277"/>
      <c r="AF167" s="277"/>
      <c r="AG167" s="241"/>
      <c r="AH167" s="178" t="str">
        <f>MID(AL167,7,9)</f>
        <v>TRK_182_1</v>
      </c>
      <c r="AI167" s="192" t="s">
        <v>1297</v>
      </c>
      <c r="AJ167" s="232">
        <f>X167*8/1000000</f>
        <v>3.1410367993753328</v>
      </c>
      <c r="AK167" s="232">
        <f>V167*8/1000000</f>
        <v>4.8669632006246681</v>
      </c>
      <c r="AL167" s="276" t="s">
        <v>1298</v>
      </c>
      <c r="AM167" s="276" t="s">
        <v>1299</v>
      </c>
      <c r="AN167" s="276">
        <v>7.28</v>
      </c>
      <c r="AO167" s="276">
        <v>7.28</v>
      </c>
      <c r="AP167" s="276">
        <v>7.28</v>
      </c>
      <c r="AQ167" s="244"/>
      <c r="AR167" s="244">
        <f>SUM(AT128:AT165)</f>
        <v>0</v>
      </c>
    </row>
    <row r="168" spans="1:45" ht="15.75">
      <c r="A168" t="s">
        <v>1300</v>
      </c>
      <c r="C168" s="3">
        <v>103</v>
      </c>
      <c r="D168" s="3">
        <v>110</v>
      </c>
      <c r="E168" s="3" t="s">
        <v>766</v>
      </c>
      <c r="F168" s="3" t="s">
        <v>764</v>
      </c>
      <c r="G168" s="3" t="s">
        <v>765</v>
      </c>
      <c r="H168" s="3"/>
      <c r="I168" s="3"/>
      <c r="J168" s="3"/>
      <c r="L168" s="295" t="s">
        <v>1296</v>
      </c>
      <c r="M168" s="298" t="s">
        <v>1301</v>
      </c>
      <c r="O168" s="292" t="s">
        <v>1302</v>
      </c>
      <c r="P168" s="179"/>
      <c r="Q168" s="299">
        <f>R167-1</f>
        <v>613555365</v>
      </c>
      <c r="R168" s="300">
        <f>R169</f>
        <v>613559216</v>
      </c>
      <c r="S168" s="104">
        <f>R168-Q168</f>
        <v>3851</v>
      </c>
      <c r="T168" s="104">
        <f>S168*$V$15</f>
        <v>6668.6483333333099</v>
      </c>
      <c r="U168" s="3">
        <v>0</v>
      </c>
      <c r="V168" s="142">
        <f>T168+U168*$V$37</f>
        <v>6668.6483333333099</v>
      </c>
      <c r="W168" s="142">
        <f>X167</f>
        <v>392629.59992191661</v>
      </c>
      <c r="X168" s="266">
        <f>W168-V168</f>
        <v>385960.9515885833</v>
      </c>
      <c r="Y168" s="318">
        <f>S168*$V$25+U168*$V$37</f>
        <v>6784.445763888868</v>
      </c>
      <c r="Z168" s="319">
        <f>(Y168/V168-1)</f>
        <v>1.7364452999679703E-2</v>
      </c>
      <c r="AA168" s="256"/>
      <c r="AB168" s="229"/>
      <c r="AC168" s="229"/>
      <c r="AD168" s="297">
        <f>AD167+AK168</f>
        <v>4.920312387291335</v>
      </c>
      <c r="AE168" s="277"/>
      <c r="AF168" s="277"/>
      <c r="AG168" s="241"/>
      <c r="AJ168" s="232">
        <f>X168*8/1000000</f>
        <v>3.0876876127086663</v>
      </c>
      <c r="AK168" s="232">
        <f>V168*8/1000000</f>
        <v>5.3349186666666479E-2</v>
      </c>
    </row>
    <row r="169" spans="1:45" ht="15.75">
      <c r="A169" s="284" t="s">
        <v>1303</v>
      </c>
      <c r="B169" s="284"/>
      <c r="C169" s="283"/>
      <c r="D169" s="283"/>
      <c r="E169" s="283"/>
      <c r="F169" s="283"/>
      <c r="G169" s="283"/>
      <c r="H169" s="283"/>
      <c r="I169" s="283"/>
      <c r="J169" s="283"/>
      <c r="O169" s="292" t="s">
        <v>1304</v>
      </c>
      <c r="P169" s="83" t="s">
        <v>1305</v>
      </c>
      <c r="Q169" s="301" t="s">
        <v>1306</v>
      </c>
      <c r="R169" s="301">
        <f>613558916+300</f>
        <v>613559216</v>
      </c>
      <c r="S169" s="83">
        <v>8</v>
      </c>
      <c r="T169" s="83" t="s">
        <v>373</v>
      </c>
      <c r="U169" s="83" t="s">
        <v>1013</v>
      </c>
      <c r="V169" s="83"/>
      <c r="W169" s="83"/>
      <c r="X169" s="83" t="s">
        <v>1307</v>
      </c>
      <c r="Y169" s="83"/>
      <c r="Z169" s="83"/>
      <c r="AA169" s="91"/>
      <c r="AB169" s="91"/>
      <c r="AD169" s="278"/>
      <c r="AE169" s="277"/>
      <c r="AF169" s="277"/>
      <c r="AG169" s="302"/>
      <c r="AJ169" s="232"/>
      <c r="AK169" s="232"/>
    </row>
    <row r="170" spans="1:45" ht="15.75">
      <c r="A170" t="s">
        <v>1308</v>
      </c>
      <c r="C170" s="3"/>
      <c r="D170" s="3"/>
      <c r="E170" s="3"/>
      <c r="F170" s="3"/>
      <c r="G170" s="3"/>
      <c r="H170" s="3"/>
      <c r="I170" s="3" t="s">
        <v>769</v>
      </c>
      <c r="J170" s="3"/>
      <c r="K170" s="17"/>
      <c r="L170" s="257" t="s">
        <v>1223</v>
      </c>
      <c r="M170" s="257" t="s">
        <v>1310</v>
      </c>
      <c r="N170" t="s">
        <v>1311</v>
      </c>
      <c r="O170" s="17" t="s">
        <v>4382</v>
      </c>
      <c r="P170" s="179"/>
      <c r="Q170" s="303">
        <f>Q146</f>
        <v>611744556</v>
      </c>
      <c r="R170" s="104">
        <f>((W170-U170*$V$37)/$V$14)+Q170</f>
        <v>612295255.66091263</v>
      </c>
      <c r="S170" s="104">
        <f t="shared" ref="S170:S196" si="72">R170-Q170</f>
        <v>550699.66091263294</v>
      </c>
      <c r="T170" s="104">
        <f>S170*$V$14</f>
        <v>188585.95158857069</v>
      </c>
      <c r="U170" s="3">
        <v>1</v>
      </c>
      <c r="V170" s="142">
        <f t="shared" ref="V170:V196" si="73">T170+U170*$V$37</f>
        <v>385960.95158857072</v>
      </c>
      <c r="W170" s="97">
        <f>X168</f>
        <v>385960.9515885833</v>
      </c>
      <c r="X170" s="304">
        <f t="shared" ref="X170:X196" si="74">W170-V170</f>
        <v>1.257285475730896E-8</v>
      </c>
      <c r="Y170" s="318">
        <f>S170*$V$26+U170*$V$37</f>
        <v>399585.03174135741</v>
      </c>
      <c r="Z170" s="319">
        <f>(Y170/V170-1)</f>
        <v>3.5299115355352795E-2</v>
      </c>
      <c r="AA170" s="256"/>
      <c r="AB170" s="229"/>
      <c r="AC170" s="229"/>
      <c r="AD170" s="297">
        <f>AD168+AK170</f>
        <v>8.0079999999999014</v>
      </c>
      <c r="AE170" s="277"/>
      <c r="AF170" s="277"/>
      <c r="AG170" s="241"/>
      <c r="AJ170" s="232">
        <f t="shared" ref="AJ170:AJ196" si="75">X170*8/1000000</f>
        <v>1.0058283805847168E-13</v>
      </c>
      <c r="AK170" s="232">
        <f t="shared" ref="AK170:AK196" si="76">V170*8/1000000</f>
        <v>3.087687612708566</v>
      </c>
    </row>
    <row r="171" spans="1:45" ht="15.4" customHeight="1">
      <c r="A171" t="s">
        <v>1312</v>
      </c>
      <c r="C171" s="3"/>
      <c r="D171" s="3"/>
      <c r="E171" s="3"/>
      <c r="F171" s="3"/>
      <c r="H171" s="3"/>
      <c r="I171" s="3" t="s">
        <v>769</v>
      </c>
      <c r="J171" s="3"/>
      <c r="L171" s="257" t="s">
        <v>1310</v>
      </c>
      <c r="M171" s="257" t="s">
        <v>1301</v>
      </c>
      <c r="N171">
        <v>431523</v>
      </c>
      <c r="O171" s="263" t="str">
        <f>AI171</f>
        <v>183/14:46</v>
      </c>
      <c r="P171" s="179" t="str">
        <f>MID(AL171,11,5)</f>
        <v>183_1</v>
      </c>
      <c r="Q171" s="237">
        <f>R170-1</f>
        <v>612295254.66091263</v>
      </c>
      <c r="R171" s="305">
        <f>R169</f>
        <v>613559216</v>
      </c>
      <c r="S171" s="104">
        <f t="shared" si="72"/>
        <v>1263961.3390873671</v>
      </c>
      <c r="T171" s="104">
        <f>S171*$V$14</f>
        <v>432840.92731767852</v>
      </c>
      <c r="U171" s="3">
        <v>0</v>
      </c>
      <c r="V171" s="142">
        <f t="shared" si="73"/>
        <v>432840.92731767852</v>
      </c>
      <c r="W171" s="97">
        <f>AA171*1000000/8</f>
        <v>1197625.0000000002</v>
      </c>
      <c r="X171" s="266">
        <f t="shared" si="74"/>
        <v>764784.07268232177</v>
      </c>
      <c r="Y171" s="318">
        <f>S171*$V$26+U171*$V$37</f>
        <v>464110.80419614259</v>
      </c>
      <c r="Z171" s="319">
        <f>(Y171/V171-1)</f>
        <v>7.2243346007605957E-2</v>
      </c>
      <c r="AA171" s="256">
        <f>1.1*AP171</f>
        <v>9.5810000000000013</v>
      </c>
      <c r="AB171" s="229"/>
      <c r="AC171" s="229"/>
      <c r="AD171" s="297">
        <f>AD170+AK171</f>
        <v>11.47072741854133</v>
      </c>
      <c r="AE171" s="277"/>
      <c r="AF171" s="277"/>
      <c r="AG171" s="241"/>
      <c r="AH171" s="178" t="str">
        <f>MID(AL171,7,9)</f>
        <v>TRK_183_1</v>
      </c>
      <c r="AI171" s="192" t="s">
        <v>1313</v>
      </c>
      <c r="AJ171" s="232">
        <f t="shared" si="75"/>
        <v>6.1182725814585739</v>
      </c>
      <c r="AK171" s="232">
        <f t="shared" si="76"/>
        <v>3.4627274185414283</v>
      </c>
      <c r="AL171" s="276" t="s">
        <v>1314</v>
      </c>
      <c r="AM171" s="276" t="s">
        <v>1315</v>
      </c>
      <c r="AN171" s="276">
        <v>8.7100000000000009</v>
      </c>
      <c r="AO171" s="276">
        <v>8.7100000000000009</v>
      </c>
      <c r="AP171" s="276">
        <v>8.7100000000000009</v>
      </c>
    </row>
    <row r="172" spans="1:45" ht="15.4" customHeight="1">
      <c r="A172" t="s">
        <v>1316</v>
      </c>
      <c r="D172" s="3"/>
      <c r="E172" s="3" t="s">
        <v>766</v>
      </c>
      <c r="F172" s="3" t="s">
        <v>764</v>
      </c>
      <c r="G172" s="3"/>
      <c r="H172" s="3" t="s">
        <v>768</v>
      </c>
      <c r="I172" s="3" t="s">
        <v>769</v>
      </c>
      <c r="J172" s="3"/>
      <c r="L172" s="257" t="s">
        <v>1301</v>
      </c>
      <c r="M172" s="257" t="s">
        <v>1317</v>
      </c>
      <c r="O172" s="263" t="s">
        <v>4382</v>
      </c>
      <c r="P172" s="179" t="str">
        <f>MID(AL172,11,5)</f>
        <v/>
      </c>
      <c r="Q172" s="306">
        <f>R171-1</f>
        <v>613559215</v>
      </c>
      <c r="R172" s="307">
        <v>613766276</v>
      </c>
      <c r="S172" s="104">
        <f t="shared" si="72"/>
        <v>207061</v>
      </c>
      <c r="T172" s="104">
        <f>S172*$V$17</f>
        <v>439979.46133680444</v>
      </c>
      <c r="U172" s="3">
        <v>0</v>
      </c>
      <c r="V172" s="142">
        <f t="shared" si="73"/>
        <v>439979.46133680444</v>
      </c>
      <c r="W172" s="280">
        <f>X171</f>
        <v>764784.07268232177</v>
      </c>
      <c r="X172" s="266">
        <f t="shared" si="74"/>
        <v>324804.61134551733</v>
      </c>
      <c r="Y172" s="318">
        <f>S172*$V$27+U172*$V$37</f>
        <v>448936.52716435055</v>
      </c>
      <c r="Z172" s="319">
        <f>(Y172/V172-1)</f>
        <v>2.03579180726563E-2</v>
      </c>
      <c r="AA172" s="256"/>
      <c r="AB172" s="229"/>
      <c r="AC172" s="229"/>
      <c r="AD172" s="297">
        <f>AD171+AK172</f>
        <v>14.990563109235765</v>
      </c>
      <c r="AE172" s="277"/>
      <c r="AF172" s="277"/>
      <c r="AG172" s="241"/>
      <c r="AH172" s="178"/>
      <c r="AI172" s="192"/>
      <c r="AJ172" s="232">
        <f t="shared" si="75"/>
        <v>2.5984368907641389</v>
      </c>
      <c r="AK172" s="232">
        <f t="shared" si="76"/>
        <v>3.5198356906944355</v>
      </c>
      <c r="AL172" s="276"/>
      <c r="AM172" s="276"/>
      <c r="AN172" s="276"/>
      <c r="AO172" s="276"/>
      <c r="AP172" s="276"/>
    </row>
    <row r="173" spans="1:45" ht="15.4" customHeight="1">
      <c r="A173" t="s">
        <v>1318</v>
      </c>
      <c r="D173" s="3"/>
      <c r="E173" s="3"/>
      <c r="F173" s="3"/>
      <c r="G173" s="3"/>
      <c r="H173" s="3"/>
      <c r="I173" s="3"/>
      <c r="J173" s="3" t="s">
        <v>943</v>
      </c>
      <c r="K173" s="3" t="s">
        <v>1540</v>
      </c>
      <c r="L173" s="226" t="s">
        <v>1282</v>
      </c>
      <c r="M173" s="226" t="s">
        <v>1319</v>
      </c>
      <c r="O173" s="263" t="s">
        <v>4382</v>
      </c>
      <c r="P173" s="179"/>
      <c r="Q173" s="237">
        <f>R159-3</f>
        <v>596272251.58760118</v>
      </c>
      <c r="R173" s="104">
        <f t="shared" ref="R173:R190" si="77">((W173)/$X$9)+Q173</f>
        <v>596360133.23959148</v>
      </c>
      <c r="S173" s="104">
        <f t="shared" si="72"/>
        <v>87881.651990294456</v>
      </c>
      <c r="T173" s="104">
        <f t="shared" ref="T173:T190" si="78">S173*$X$9</f>
        <v>324804.61134557688</v>
      </c>
      <c r="U173" s="3">
        <v>0</v>
      </c>
      <c r="V173" s="97">
        <f t="shared" si="73"/>
        <v>324804.61134557688</v>
      </c>
      <c r="W173" s="280">
        <f>X172</f>
        <v>324804.61134551733</v>
      </c>
      <c r="X173" s="266">
        <f t="shared" si="74"/>
        <v>-5.9546437114477158E-8</v>
      </c>
      <c r="Y173" s="266"/>
      <c r="Z173" s="266"/>
      <c r="AA173" s="256"/>
      <c r="AB173" s="229"/>
      <c r="AC173" s="308">
        <f>AK173</f>
        <v>2.5984368907646149</v>
      </c>
      <c r="AD173" s="277"/>
      <c r="AE173" s="277"/>
      <c r="AF173" s="277"/>
      <c r="AG173" s="277"/>
      <c r="AH173" s="178"/>
      <c r="AI173" s="192"/>
      <c r="AJ173" s="232">
        <f t="shared" si="75"/>
        <v>-4.7637149691581728E-13</v>
      </c>
      <c r="AK173" s="232">
        <f t="shared" si="76"/>
        <v>2.5984368907646149</v>
      </c>
      <c r="AL173" s="276"/>
      <c r="AM173" s="276"/>
      <c r="AN173" s="276"/>
      <c r="AO173" s="276"/>
      <c r="AP173" s="276"/>
    </row>
    <row r="174" spans="1:45" ht="15.4" customHeight="1">
      <c r="C174" s="3"/>
      <c r="D174" s="3"/>
      <c r="E174" s="3"/>
      <c r="F174" s="3"/>
      <c r="G174" s="3"/>
      <c r="H174" s="3"/>
      <c r="I174" s="3"/>
      <c r="J174" s="3" t="s">
        <v>943</v>
      </c>
      <c r="K174" s="3" t="s">
        <v>1540</v>
      </c>
      <c r="L174" s="226" t="s">
        <v>1319</v>
      </c>
      <c r="M174" s="226" t="s">
        <v>1320</v>
      </c>
      <c r="O174" s="263" t="str">
        <f t="shared" ref="O174:O195" si="79">AI174</f>
        <v>183/23:16</v>
      </c>
      <c r="P174" s="179" t="str">
        <f t="shared" ref="P174:P196" si="80">MID(AL174,11,5)</f>
        <v>183_2</v>
      </c>
      <c r="Q174" s="237">
        <f t="shared" ref="Q174:Q190" si="81">R173-3</f>
        <v>596360130.23959148</v>
      </c>
      <c r="R174" s="104">
        <f t="shared" si="77"/>
        <v>596666311.46658063</v>
      </c>
      <c r="S174" s="104">
        <f t="shared" si="72"/>
        <v>306181.22698915005</v>
      </c>
      <c r="T174" s="104">
        <f t="shared" si="78"/>
        <v>1131625.0000000657</v>
      </c>
      <c r="U174" s="3">
        <v>0</v>
      </c>
      <c r="V174" s="97">
        <f t="shared" si="73"/>
        <v>1131625.0000000657</v>
      </c>
      <c r="W174" s="97">
        <f t="shared" ref="W174:W195" si="82">AA174*1000000/8</f>
        <v>1131625</v>
      </c>
      <c r="X174" s="266">
        <f t="shared" si="74"/>
        <v>-6.5658241510391235E-8</v>
      </c>
      <c r="Y174" s="266"/>
      <c r="Z174" s="266"/>
      <c r="AA174" s="256">
        <f t="shared" ref="AA174:AA195" si="83">1.1*AP174</f>
        <v>9.0530000000000008</v>
      </c>
      <c r="AB174" s="229"/>
      <c r="AC174" s="308">
        <f t="shared" ref="AC174:AC190" si="84">AC173+AK174</f>
        <v>11.65143689076514</v>
      </c>
      <c r="AD174" s="277"/>
      <c r="AE174" s="277"/>
      <c r="AF174" s="277"/>
      <c r="AG174" s="277"/>
      <c r="AH174" s="178" t="str">
        <f t="shared" ref="AH174:AH195" si="85">MID(AL174,7,9)</f>
        <v>TRK_183_2</v>
      </c>
      <c r="AI174" s="192" t="s">
        <v>1321</v>
      </c>
      <c r="AJ174" s="232">
        <f t="shared" si="75"/>
        <v>-5.2526593208312993E-13</v>
      </c>
      <c r="AK174" s="232">
        <f t="shared" si="76"/>
        <v>9.0530000000005248</v>
      </c>
      <c r="AL174" s="276" t="s">
        <v>1322</v>
      </c>
      <c r="AM174" s="276" t="s">
        <v>1323</v>
      </c>
      <c r="AN174" s="276">
        <v>8.23</v>
      </c>
      <c r="AO174" s="276">
        <v>8.23</v>
      </c>
      <c r="AP174" s="276">
        <v>8.23</v>
      </c>
    </row>
    <row r="175" spans="1:45" ht="15.4" customHeight="1">
      <c r="C175" s="3"/>
      <c r="D175" s="3"/>
      <c r="E175" s="3"/>
      <c r="F175" s="3"/>
      <c r="G175" s="3"/>
      <c r="H175" s="3"/>
      <c r="I175" s="3"/>
      <c r="J175" s="3" t="s">
        <v>943</v>
      </c>
      <c r="K175" s="3" t="s">
        <v>1540</v>
      </c>
      <c r="L175" s="226" t="s">
        <v>1320</v>
      </c>
      <c r="M175" s="226" t="s">
        <v>1324</v>
      </c>
      <c r="O175" s="263" t="str">
        <f t="shared" si="79"/>
        <v>184/21:41</v>
      </c>
      <c r="P175" s="179" t="str">
        <f t="shared" si="80"/>
        <v>184_2</v>
      </c>
      <c r="Q175" s="237">
        <f t="shared" si="81"/>
        <v>596666308.46658063</v>
      </c>
      <c r="R175" s="104">
        <f t="shared" si="77"/>
        <v>597034618.8125335</v>
      </c>
      <c r="S175" s="104">
        <f t="shared" si="72"/>
        <v>368310.34595286846</v>
      </c>
      <c r="T175" s="104">
        <f t="shared" si="78"/>
        <v>1361249.9999998643</v>
      </c>
      <c r="U175" s="3">
        <v>0</v>
      </c>
      <c r="V175" s="97">
        <f t="shared" si="73"/>
        <v>1361249.9999998643</v>
      </c>
      <c r="W175" s="97">
        <f t="shared" si="82"/>
        <v>1361250</v>
      </c>
      <c r="X175" s="266">
        <f t="shared" si="74"/>
        <v>1.3574026525020599E-7</v>
      </c>
      <c r="Y175" s="266"/>
      <c r="Z175" s="266"/>
      <c r="AA175" s="256">
        <f t="shared" si="83"/>
        <v>10.89</v>
      </c>
      <c r="AB175" s="229"/>
      <c r="AC175" s="308">
        <f t="shared" si="84"/>
        <v>22.541436890764054</v>
      </c>
      <c r="AD175" s="277"/>
      <c r="AE175" s="277"/>
      <c r="AF175" s="277"/>
      <c r="AG175" s="277"/>
      <c r="AH175" s="178" t="str">
        <f t="shared" si="85"/>
        <v>TRK_184_2</v>
      </c>
      <c r="AI175" s="192" t="s">
        <v>1325</v>
      </c>
      <c r="AJ175" s="232">
        <f t="shared" si="75"/>
        <v>1.0859221220016479E-12</v>
      </c>
      <c r="AK175" s="232">
        <f t="shared" si="76"/>
        <v>10.889999999998913</v>
      </c>
      <c r="AL175" s="276" t="s">
        <v>1326</v>
      </c>
      <c r="AM175" s="276" t="s">
        <v>1327</v>
      </c>
      <c r="AN175" s="276">
        <v>9.9</v>
      </c>
      <c r="AO175" s="276">
        <v>9.9</v>
      </c>
      <c r="AP175" s="276">
        <v>9.9</v>
      </c>
    </row>
    <row r="176" spans="1:45" ht="15.4" customHeight="1">
      <c r="C176" s="3"/>
      <c r="D176" s="3"/>
      <c r="E176" s="3"/>
      <c r="F176" s="3"/>
      <c r="G176" s="3"/>
      <c r="H176" s="3"/>
      <c r="I176" s="3"/>
      <c r="J176" s="3" t="s">
        <v>943</v>
      </c>
      <c r="K176" s="3" t="s">
        <v>1540</v>
      </c>
      <c r="L176" s="226" t="s">
        <v>1324</v>
      </c>
      <c r="M176" s="226" t="s">
        <v>1328</v>
      </c>
      <c r="O176" s="263" t="str">
        <f t="shared" si="79"/>
        <v>185/16:36</v>
      </c>
      <c r="P176" s="179" t="str">
        <f t="shared" si="80"/>
        <v>185_1</v>
      </c>
      <c r="Q176" s="237">
        <f t="shared" si="81"/>
        <v>597034615.8125335</v>
      </c>
      <c r="R176" s="104">
        <f t="shared" si="77"/>
        <v>597147341.10023427</v>
      </c>
      <c r="S176" s="104">
        <f t="shared" si="72"/>
        <v>112725.28770077229</v>
      </c>
      <c r="T176" s="104">
        <f t="shared" si="78"/>
        <v>416625.00000012806</v>
      </c>
      <c r="U176" s="3">
        <v>0</v>
      </c>
      <c r="V176" s="97">
        <f t="shared" si="73"/>
        <v>416625.00000012806</v>
      </c>
      <c r="W176" s="97">
        <f t="shared" si="82"/>
        <v>416625</v>
      </c>
      <c r="X176" s="266">
        <f t="shared" si="74"/>
        <v>-1.280568540096283E-7</v>
      </c>
      <c r="Y176" s="266"/>
      <c r="Z176" s="266"/>
      <c r="AA176" s="256">
        <f t="shared" si="83"/>
        <v>3.3330000000000002</v>
      </c>
      <c r="AB176" s="229"/>
      <c r="AC176" s="308">
        <f t="shared" si="84"/>
        <v>25.874436890765079</v>
      </c>
      <c r="AD176" s="277"/>
      <c r="AE176" s="277"/>
      <c r="AF176" s="277"/>
      <c r="AG176" s="277"/>
      <c r="AH176" s="178" t="str">
        <f t="shared" si="85"/>
        <v>TRK_185_1</v>
      </c>
      <c r="AI176" s="192" t="s">
        <v>1329</v>
      </c>
      <c r="AJ176" s="232">
        <f t="shared" si="75"/>
        <v>-1.0244548320770264E-12</v>
      </c>
      <c r="AK176" s="232">
        <f t="shared" si="76"/>
        <v>3.3330000000010243</v>
      </c>
      <c r="AL176" s="276" t="s">
        <v>1330</v>
      </c>
      <c r="AM176" s="276" t="s">
        <v>1331</v>
      </c>
      <c r="AN176" s="276">
        <v>3.03</v>
      </c>
      <c r="AO176" s="276">
        <v>3.03</v>
      </c>
      <c r="AP176" s="276">
        <v>3.03</v>
      </c>
    </row>
    <row r="177" spans="1:42" ht="15.4" customHeight="1">
      <c r="C177" s="3"/>
      <c r="D177" s="3"/>
      <c r="E177" s="3"/>
      <c r="F177" s="3"/>
      <c r="G177" s="3"/>
      <c r="H177" s="3"/>
      <c r="I177" s="3"/>
      <c r="J177" s="3" t="s">
        <v>943</v>
      </c>
      <c r="K177" s="3" t="s">
        <v>1540</v>
      </c>
      <c r="L177" s="226" t="s">
        <v>1328</v>
      </c>
      <c r="M177" s="226" t="s">
        <v>1332</v>
      </c>
      <c r="O177" s="263" t="str">
        <f t="shared" si="79"/>
        <v>186/16:36</v>
      </c>
      <c r="P177" s="179" t="str">
        <f t="shared" si="80"/>
        <v>186_1</v>
      </c>
      <c r="Q177" s="237">
        <f t="shared" si="81"/>
        <v>597147338.10023427</v>
      </c>
      <c r="R177" s="104">
        <f t="shared" si="77"/>
        <v>597267131.97033203</v>
      </c>
      <c r="S177" s="104">
        <f t="shared" si="72"/>
        <v>119793.87009775639</v>
      </c>
      <c r="T177" s="104">
        <f t="shared" si="78"/>
        <v>442749.99999978853</v>
      </c>
      <c r="U177" s="3">
        <v>0</v>
      </c>
      <c r="V177" s="97">
        <f t="shared" si="73"/>
        <v>442749.99999978853</v>
      </c>
      <c r="W177" s="97">
        <f t="shared" si="82"/>
        <v>442750.00000000012</v>
      </c>
      <c r="X177" s="266">
        <f t="shared" si="74"/>
        <v>2.1158484742045403E-7</v>
      </c>
      <c r="Y177" s="266"/>
      <c r="Z177" s="266"/>
      <c r="AA177" s="256">
        <f t="shared" si="83"/>
        <v>3.5420000000000007</v>
      </c>
      <c r="AB177" s="229"/>
      <c r="AC177" s="308">
        <f t="shared" si="84"/>
        <v>29.416436890763386</v>
      </c>
      <c r="AD177" s="277"/>
      <c r="AE177" s="277"/>
      <c r="AF177" s="277"/>
      <c r="AG177" s="277"/>
      <c r="AH177" s="178" t="str">
        <f t="shared" si="85"/>
        <v>TRK_186_1</v>
      </c>
      <c r="AI177" s="192" t="s">
        <v>1333</v>
      </c>
      <c r="AJ177" s="232">
        <f t="shared" si="75"/>
        <v>1.6926787793636323E-12</v>
      </c>
      <c r="AK177" s="232">
        <f t="shared" si="76"/>
        <v>3.5419999999983083</v>
      </c>
      <c r="AL177" s="276" t="s">
        <v>1334</v>
      </c>
      <c r="AM177" s="276" t="s">
        <v>1335</v>
      </c>
      <c r="AN177" s="276">
        <v>3.22</v>
      </c>
      <c r="AO177" s="276">
        <v>3.22</v>
      </c>
      <c r="AP177" s="276">
        <v>3.22</v>
      </c>
    </row>
    <row r="178" spans="1:42" ht="15.4" customHeight="1">
      <c r="C178" s="3"/>
      <c r="D178" s="3"/>
      <c r="E178" s="3"/>
      <c r="F178" s="3"/>
      <c r="G178" s="3"/>
      <c r="H178" s="3"/>
      <c r="I178" s="3"/>
      <c r="J178" s="3" t="s">
        <v>943</v>
      </c>
      <c r="K178" s="3" t="s">
        <v>1540</v>
      </c>
      <c r="L178" s="226" t="s">
        <v>1332</v>
      </c>
      <c r="M178" s="226" t="s">
        <v>1336</v>
      </c>
      <c r="O178" s="263" t="str">
        <f t="shared" si="79"/>
        <v>186/22:56</v>
      </c>
      <c r="P178" s="179" t="str">
        <f t="shared" si="80"/>
        <v>186_2</v>
      </c>
      <c r="Q178" s="237">
        <f t="shared" si="81"/>
        <v>597267128.97033203</v>
      </c>
      <c r="R178" s="104">
        <f t="shared" si="77"/>
        <v>597572938.16666865</v>
      </c>
      <c r="S178" s="104">
        <f t="shared" si="72"/>
        <v>305809.19633662701</v>
      </c>
      <c r="T178" s="104">
        <f t="shared" si="78"/>
        <v>1130249.999999898</v>
      </c>
      <c r="U178" s="3">
        <v>0</v>
      </c>
      <c r="V178" s="97">
        <f t="shared" si="73"/>
        <v>1130249.999999898</v>
      </c>
      <c r="W178" s="97">
        <f t="shared" si="82"/>
        <v>1130250.0000000002</v>
      </c>
      <c r="X178" s="266">
        <f t="shared" si="74"/>
        <v>1.0221265256404877E-7</v>
      </c>
      <c r="Y178" s="266"/>
      <c r="Z178" s="266"/>
      <c r="AA178" s="256">
        <f t="shared" si="83"/>
        <v>9.0420000000000016</v>
      </c>
      <c r="AB178" s="229"/>
      <c r="AC178" s="308">
        <f t="shared" si="84"/>
        <v>38.45843689076257</v>
      </c>
      <c r="AD178" s="277"/>
      <c r="AE178" s="277"/>
      <c r="AF178" s="277"/>
      <c r="AG178" s="277"/>
      <c r="AH178" s="178" t="str">
        <f t="shared" si="85"/>
        <v>TRK_186_2</v>
      </c>
      <c r="AI178" s="192" t="s">
        <v>1337</v>
      </c>
      <c r="AJ178" s="232">
        <f t="shared" si="75"/>
        <v>8.1770122051239012E-13</v>
      </c>
      <c r="AK178" s="232">
        <f t="shared" si="76"/>
        <v>9.0419999999991845</v>
      </c>
      <c r="AL178" s="276" t="s">
        <v>1338</v>
      </c>
      <c r="AM178" s="276" t="s">
        <v>1339</v>
      </c>
      <c r="AN178" s="276">
        <v>8.2200000000000006</v>
      </c>
      <c r="AO178" s="276">
        <v>8.2200000000000006</v>
      </c>
      <c r="AP178" s="276">
        <v>8.2200000000000006</v>
      </c>
    </row>
    <row r="179" spans="1:42" ht="15.4" customHeight="1">
      <c r="C179" s="3"/>
      <c r="D179" s="3"/>
      <c r="E179" s="3"/>
      <c r="F179" s="3"/>
      <c r="G179" s="3"/>
      <c r="H179" s="3"/>
      <c r="I179" s="3"/>
      <c r="J179" s="3" t="s">
        <v>943</v>
      </c>
      <c r="K179" s="3" t="s">
        <v>1540</v>
      </c>
      <c r="L179" s="226" t="s">
        <v>1336</v>
      </c>
      <c r="M179" s="226" t="s">
        <v>1340</v>
      </c>
      <c r="O179" s="263" t="str">
        <f t="shared" si="79"/>
        <v>187/13:21</v>
      </c>
      <c r="P179" s="179" t="str">
        <f t="shared" si="80"/>
        <v>187_1</v>
      </c>
      <c r="Q179" s="237">
        <f t="shared" si="81"/>
        <v>597572935.16666865</v>
      </c>
      <c r="R179" s="104">
        <f t="shared" si="77"/>
        <v>597943849.72718894</v>
      </c>
      <c r="S179" s="104">
        <f t="shared" si="72"/>
        <v>370914.56052029133</v>
      </c>
      <c r="T179" s="104">
        <f t="shared" si="78"/>
        <v>1370875.0000001567</v>
      </c>
      <c r="U179" s="3">
        <v>0</v>
      </c>
      <c r="V179" s="97">
        <f t="shared" si="73"/>
        <v>1370875.0000001567</v>
      </c>
      <c r="W179" s="97">
        <f t="shared" si="82"/>
        <v>1370875.0000000002</v>
      </c>
      <c r="X179" s="266">
        <f t="shared" si="74"/>
        <v>-1.5646219253540039E-7</v>
      </c>
      <c r="Y179" s="266"/>
      <c r="Z179" s="266"/>
      <c r="AA179" s="256">
        <f t="shared" si="83"/>
        <v>10.967000000000002</v>
      </c>
      <c r="AB179" s="229"/>
      <c r="AC179" s="308">
        <f t="shared" si="84"/>
        <v>49.42543689076382</v>
      </c>
      <c r="AD179" s="277"/>
      <c r="AE179" s="277"/>
      <c r="AF179" s="277"/>
      <c r="AG179" s="277"/>
      <c r="AH179" s="178" t="str">
        <f t="shared" si="85"/>
        <v>TRK_187_1</v>
      </c>
      <c r="AI179" s="192" t="s">
        <v>1341</v>
      </c>
      <c r="AJ179" s="232">
        <f t="shared" si="75"/>
        <v>-1.2516975402832031E-12</v>
      </c>
      <c r="AK179" s="232">
        <f t="shared" si="76"/>
        <v>10.967000000001253</v>
      </c>
      <c r="AL179" s="276" t="s">
        <v>1342</v>
      </c>
      <c r="AM179" s="276" t="s">
        <v>1343</v>
      </c>
      <c r="AN179" s="276">
        <v>9.9700000000000006</v>
      </c>
      <c r="AO179" s="276">
        <v>9.9700000000000006</v>
      </c>
      <c r="AP179" s="276">
        <v>9.9700000000000006</v>
      </c>
    </row>
    <row r="180" spans="1:42" ht="15.4" customHeight="1">
      <c r="C180" s="3"/>
      <c r="D180" s="3"/>
      <c r="E180" s="3"/>
      <c r="F180" s="3"/>
      <c r="G180" s="3"/>
      <c r="H180" s="3"/>
      <c r="I180" s="3"/>
      <c r="J180" s="3" t="s">
        <v>943</v>
      </c>
      <c r="K180" s="3" t="s">
        <v>1540</v>
      </c>
      <c r="L180" s="226" t="s">
        <v>1340</v>
      </c>
      <c r="M180" s="226" t="s">
        <v>1344</v>
      </c>
      <c r="O180" s="263" t="str">
        <f t="shared" si="79"/>
        <v>189/12:16</v>
      </c>
      <c r="P180" s="179" t="str">
        <f t="shared" si="80"/>
        <v>189_1</v>
      </c>
      <c r="Q180" s="237">
        <f t="shared" si="81"/>
        <v>597943846.72718894</v>
      </c>
      <c r="R180" s="104">
        <f t="shared" si="77"/>
        <v>598228822.2069869</v>
      </c>
      <c r="S180" s="104">
        <f t="shared" si="72"/>
        <v>284975.47979795933</v>
      </c>
      <c r="T180" s="104">
        <f t="shared" si="78"/>
        <v>1053250.000000203</v>
      </c>
      <c r="U180" s="3">
        <v>0</v>
      </c>
      <c r="V180" s="97">
        <f t="shared" si="73"/>
        <v>1053250.000000203</v>
      </c>
      <c r="W180" s="97">
        <f t="shared" si="82"/>
        <v>1053250</v>
      </c>
      <c r="X180" s="266">
        <f t="shared" si="74"/>
        <v>-2.0302832126617432E-7</v>
      </c>
      <c r="Y180" s="266"/>
      <c r="Z180" s="266"/>
      <c r="AA180" s="256">
        <f t="shared" si="83"/>
        <v>8.4260000000000002</v>
      </c>
      <c r="AB180" s="229"/>
      <c r="AC180" s="308">
        <f t="shared" si="84"/>
        <v>57.851436890765441</v>
      </c>
      <c r="AD180" s="277"/>
      <c r="AE180" s="277"/>
      <c r="AF180" s="277"/>
      <c r="AG180" s="277"/>
      <c r="AH180" s="178" t="str">
        <f t="shared" si="85"/>
        <v>TRK_189_1</v>
      </c>
      <c r="AI180" s="192" t="s">
        <v>1345</v>
      </c>
      <c r="AJ180" s="232">
        <f t="shared" si="75"/>
        <v>-1.6242265701293946E-12</v>
      </c>
      <c r="AK180" s="232">
        <f t="shared" si="76"/>
        <v>8.4260000000016237</v>
      </c>
      <c r="AL180" s="276" t="s">
        <v>1346</v>
      </c>
      <c r="AM180" s="276" t="s">
        <v>1347</v>
      </c>
      <c r="AN180" s="276">
        <v>7.66</v>
      </c>
      <c r="AO180" s="276">
        <v>7.66</v>
      </c>
      <c r="AP180" s="276">
        <v>7.66</v>
      </c>
    </row>
    <row r="181" spans="1:42" ht="15.4" customHeight="1">
      <c r="C181" s="3"/>
      <c r="D181" s="3"/>
      <c r="E181" s="3"/>
      <c r="F181" s="3"/>
      <c r="G181" s="3"/>
      <c r="H181" s="3"/>
      <c r="I181" s="3"/>
      <c r="J181" s="3" t="s">
        <v>943</v>
      </c>
      <c r="K181" s="3" t="s">
        <v>1540</v>
      </c>
      <c r="L181" s="226" t="s">
        <v>4372</v>
      </c>
      <c r="M181" s="226" t="s">
        <v>1348</v>
      </c>
      <c r="O181" s="263" t="str">
        <f t="shared" si="79"/>
        <v>190/20:06</v>
      </c>
      <c r="P181" s="179" t="str">
        <f t="shared" si="80"/>
        <v>190_1</v>
      </c>
      <c r="Q181" s="237">
        <f t="shared" si="81"/>
        <v>598228819.2069869</v>
      </c>
      <c r="R181" s="104">
        <f t="shared" si="77"/>
        <v>598699065.95171869</v>
      </c>
      <c r="S181" s="104">
        <f t="shared" si="72"/>
        <v>470246.74473178387</v>
      </c>
      <c r="T181" s="104">
        <f t="shared" si="78"/>
        <v>1737999.9999999772</v>
      </c>
      <c r="U181" s="3">
        <v>0</v>
      </c>
      <c r="V181" s="97">
        <f t="shared" si="73"/>
        <v>1737999.9999999772</v>
      </c>
      <c r="W181" s="97">
        <f t="shared" si="82"/>
        <v>1738000.0000000002</v>
      </c>
      <c r="X181" s="266">
        <f t="shared" si="74"/>
        <v>2.3050233721733093E-8</v>
      </c>
      <c r="Y181" s="266"/>
      <c r="Z181" s="266"/>
      <c r="AA181" s="256">
        <f t="shared" si="83"/>
        <v>13.904000000000002</v>
      </c>
      <c r="AB181" s="229"/>
      <c r="AC181" s="308">
        <f t="shared" si="84"/>
        <v>71.755436890765253</v>
      </c>
      <c r="AD181" s="277"/>
      <c r="AE181" s="277"/>
      <c r="AF181" s="277"/>
      <c r="AG181" s="277"/>
      <c r="AH181" s="178" t="str">
        <f t="shared" si="85"/>
        <v>TRK_190_1</v>
      </c>
      <c r="AI181" s="192" t="s">
        <v>1349</v>
      </c>
      <c r="AJ181" s="232">
        <f t="shared" si="75"/>
        <v>1.8440186977386473E-13</v>
      </c>
      <c r="AK181" s="232">
        <f t="shared" si="76"/>
        <v>13.903999999999817</v>
      </c>
      <c r="AL181" s="276" t="s">
        <v>1350</v>
      </c>
      <c r="AM181" s="276" t="s">
        <v>1351</v>
      </c>
      <c r="AN181" s="276">
        <v>12.64</v>
      </c>
      <c r="AO181" s="276">
        <v>12.64</v>
      </c>
      <c r="AP181" s="276">
        <v>12.64</v>
      </c>
    </row>
    <row r="182" spans="1:42" ht="15.4" customHeight="1">
      <c r="C182" s="3"/>
      <c r="D182" s="3"/>
      <c r="E182" s="3"/>
      <c r="F182" s="3"/>
      <c r="G182" s="3"/>
      <c r="H182" s="3"/>
      <c r="I182" s="3"/>
      <c r="J182" s="3" t="s">
        <v>943</v>
      </c>
      <c r="K182" s="3" t="s">
        <v>1540</v>
      </c>
      <c r="L182" s="226" t="s">
        <v>1348</v>
      </c>
      <c r="M182" s="226" t="s">
        <v>1352</v>
      </c>
      <c r="O182" s="263" t="str">
        <f t="shared" si="79"/>
        <v>191/12:11</v>
      </c>
      <c r="P182" s="179" t="str">
        <f t="shared" si="80"/>
        <v>191_1</v>
      </c>
      <c r="Q182" s="237">
        <f t="shared" si="81"/>
        <v>598699062.95171869</v>
      </c>
      <c r="R182" s="104">
        <f t="shared" si="77"/>
        <v>599169681.72710299</v>
      </c>
      <c r="S182" s="104">
        <f t="shared" si="72"/>
        <v>470618.77538430691</v>
      </c>
      <c r="T182" s="104">
        <f t="shared" si="78"/>
        <v>1739375.0000001448</v>
      </c>
      <c r="U182" s="3">
        <v>0</v>
      </c>
      <c r="V182" s="97">
        <f t="shared" si="73"/>
        <v>1739375.0000001448</v>
      </c>
      <c r="W182" s="97">
        <f t="shared" si="82"/>
        <v>1739375</v>
      </c>
      <c r="X182" s="266">
        <f t="shared" si="74"/>
        <v>-1.4482066035270691E-7</v>
      </c>
      <c r="Y182" s="266"/>
      <c r="Z182" s="266"/>
      <c r="AA182" s="256">
        <f t="shared" si="83"/>
        <v>13.915000000000001</v>
      </c>
      <c r="AB182" s="229"/>
      <c r="AC182" s="308">
        <f t="shared" si="84"/>
        <v>85.67043689076641</v>
      </c>
      <c r="AD182" s="277"/>
      <c r="AE182" s="277"/>
      <c r="AF182" s="277"/>
      <c r="AG182" s="277"/>
      <c r="AH182" s="178" t="str">
        <f t="shared" si="85"/>
        <v>TRK_191_1</v>
      </c>
      <c r="AI182" s="192" t="s">
        <v>1353</v>
      </c>
      <c r="AJ182" s="232">
        <f t="shared" si="75"/>
        <v>-1.1585652828216554E-12</v>
      </c>
      <c r="AK182" s="232">
        <f t="shared" si="76"/>
        <v>13.915000000001159</v>
      </c>
      <c r="AL182" s="276" t="s">
        <v>1354</v>
      </c>
      <c r="AM182" s="276" t="s">
        <v>1355</v>
      </c>
      <c r="AN182" s="276">
        <v>12.65</v>
      </c>
      <c r="AO182" s="276">
        <v>12.65</v>
      </c>
      <c r="AP182" s="276">
        <v>12.65</v>
      </c>
    </row>
    <row r="183" spans="1:42" ht="15.4" customHeight="1">
      <c r="C183" s="3"/>
      <c r="D183" s="3"/>
      <c r="E183" s="3"/>
      <c r="F183" s="3"/>
      <c r="G183" s="3"/>
      <c r="H183" s="3"/>
      <c r="I183" s="3"/>
      <c r="J183" s="3" t="s">
        <v>943</v>
      </c>
      <c r="K183" s="3" t="s">
        <v>1540</v>
      </c>
      <c r="L183" s="226" t="s">
        <v>1352</v>
      </c>
      <c r="M183" s="226" t="s">
        <v>1356</v>
      </c>
      <c r="O183" s="263" t="str">
        <f t="shared" si="79"/>
        <v>192/12:06</v>
      </c>
      <c r="P183" s="179" t="str">
        <f t="shared" si="80"/>
        <v>192_2</v>
      </c>
      <c r="Q183" s="237">
        <f t="shared" si="81"/>
        <v>599169678.72710299</v>
      </c>
      <c r="R183" s="104">
        <f t="shared" si="77"/>
        <v>599478464.16865945</v>
      </c>
      <c r="S183" s="104">
        <f t="shared" si="72"/>
        <v>308785.4415564537</v>
      </c>
      <c r="T183" s="104">
        <f t="shared" si="78"/>
        <v>1141249.9999999173</v>
      </c>
      <c r="U183" s="3">
        <v>0</v>
      </c>
      <c r="V183" s="97">
        <f t="shared" si="73"/>
        <v>1141249.9999999173</v>
      </c>
      <c r="W183" s="97">
        <f t="shared" si="82"/>
        <v>1141250</v>
      </c>
      <c r="X183" s="266">
        <f t="shared" si="74"/>
        <v>8.2654878497123718E-8</v>
      </c>
      <c r="Y183" s="266"/>
      <c r="Z183" s="266"/>
      <c r="AA183" s="256">
        <f t="shared" si="83"/>
        <v>9.1300000000000008</v>
      </c>
      <c r="AB183" s="229"/>
      <c r="AC183" s="308">
        <f t="shared" si="84"/>
        <v>94.800436890765752</v>
      </c>
      <c r="AD183" s="277"/>
      <c r="AE183" s="277"/>
      <c r="AF183" s="277"/>
      <c r="AG183" s="277"/>
      <c r="AH183" s="178" t="str">
        <f t="shared" si="85"/>
        <v>TRK_192_2</v>
      </c>
      <c r="AI183" s="192" t="s">
        <v>1357</v>
      </c>
      <c r="AJ183" s="232">
        <f t="shared" si="75"/>
        <v>6.6123902797698976E-13</v>
      </c>
      <c r="AK183" s="232">
        <f t="shared" si="76"/>
        <v>9.1299999999993382</v>
      </c>
      <c r="AL183" s="276" t="s">
        <v>1358</v>
      </c>
      <c r="AM183" s="276" t="s">
        <v>1359</v>
      </c>
      <c r="AN183" s="276">
        <v>8.3000000000000007</v>
      </c>
      <c r="AO183" s="276">
        <v>8.3000000000000007</v>
      </c>
      <c r="AP183" s="276">
        <v>8.3000000000000007</v>
      </c>
    </row>
    <row r="184" spans="1:42" ht="15.4" customHeight="1">
      <c r="C184" s="3"/>
      <c r="D184" s="3"/>
      <c r="E184" s="3"/>
      <c r="F184" s="3"/>
      <c r="G184" s="3"/>
      <c r="H184" s="3"/>
      <c r="I184" s="3"/>
      <c r="J184" s="3" t="s">
        <v>943</v>
      </c>
      <c r="K184" s="3" t="s">
        <v>1540</v>
      </c>
      <c r="L184" s="226" t="s">
        <v>1356</v>
      </c>
      <c r="M184" s="226" t="s">
        <v>1360</v>
      </c>
      <c r="O184" s="263" t="str">
        <f t="shared" si="79"/>
        <v>193/13:50</v>
      </c>
      <c r="P184" s="179" t="str">
        <f t="shared" si="80"/>
        <v>193_1</v>
      </c>
      <c r="Q184" s="237">
        <f t="shared" si="81"/>
        <v>599478461.16865945</v>
      </c>
      <c r="R184" s="104">
        <f t="shared" si="77"/>
        <v>600150720.55768657</v>
      </c>
      <c r="S184" s="104">
        <f t="shared" si="72"/>
        <v>672259.38902711868</v>
      </c>
      <c r="T184" s="104">
        <f t="shared" si="78"/>
        <v>2484624.9999998054</v>
      </c>
      <c r="U184" s="3">
        <v>0</v>
      </c>
      <c r="V184" s="97">
        <f t="shared" si="73"/>
        <v>2484624.9999998054</v>
      </c>
      <c r="W184" s="97">
        <f t="shared" si="82"/>
        <v>2484625.0000000005</v>
      </c>
      <c r="X184" s="266">
        <f t="shared" si="74"/>
        <v>1.9511207938194275E-7</v>
      </c>
      <c r="Y184" s="266"/>
      <c r="Z184" s="266"/>
      <c r="AA184" s="256">
        <f t="shared" si="83"/>
        <v>19.877000000000002</v>
      </c>
      <c r="AB184" s="229"/>
      <c r="AC184" s="308">
        <f t="shared" si="84"/>
        <v>114.6774368907642</v>
      </c>
      <c r="AD184" s="277"/>
      <c r="AE184" s="277"/>
      <c r="AF184" s="277"/>
      <c r="AG184" s="277"/>
      <c r="AH184" s="178" t="str">
        <f t="shared" si="85"/>
        <v>TRK_193_1</v>
      </c>
      <c r="AI184" s="192" t="s">
        <v>1361</v>
      </c>
      <c r="AJ184" s="232">
        <f t="shared" si="75"/>
        <v>1.560896635055542E-12</v>
      </c>
      <c r="AK184" s="232">
        <f t="shared" si="76"/>
        <v>19.876999999998443</v>
      </c>
      <c r="AL184" s="276" t="s">
        <v>1362</v>
      </c>
      <c r="AM184" s="276" t="s">
        <v>1363</v>
      </c>
      <c r="AN184" s="276">
        <v>18.07</v>
      </c>
      <c r="AO184" s="276">
        <v>18.07</v>
      </c>
      <c r="AP184" s="276">
        <v>18.07</v>
      </c>
    </row>
    <row r="185" spans="1:42" ht="15.4" customHeight="1">
      <c r="C185" s="3"/>
      <c r="D185" s="3"/>
      <c r="E185" s="3"/>
      <c r="F185" s="3"/>
      <c r="G185" s="3"/>
      <c r="H185" s="3"/>
      <c r="I185" s="3"/>
      <c r="J185" s="3" t="s">
        <v>943</v>
      </c>
      <c r="K185" s="3" t="s">
        <v>1540</v>
      </c>
      <c r="L185" s="226" t="s">
        <v>1360</v>
      </c>
      <c r="M185" s="226" t="s">
        <v>1364</v>
      </c>
      <c r="O185" s="263" t="str">
        <f t="shared" si="79"/>
        <v>194/16:20</v>
      </c>
      <c r="P185" s="179" t="str">
        <f t="shared" si="80"/>
        <v>194_2</v>
      </c>
      <c r="Q185" s="237">
        <f t="shared" si="81"/>
        <v>600150717.55768657</v>
      </c>
      <c r="R185" s="104">
        <f t="shared" si="77"/>
        <v>600221403.38165736</v>
      </c>
      <c r="S185" s="104">
        <f t="shared" si="72"/>
        <v>70685.823970794678</v>
      </c>
      <c r="T185" s="104">
        <f t="shared" si="78"/>
        <v>261250.00000012974</v>
      </c>
      <c r="U185" s="3">
        <v>0</v>
      </c>
      <c r="V185" s="97">
        <f t="shared" si="73"/>
        <v>261250.00000012974</v>
      </c>
      <c r="W185" s="97">
        <f t="shared" si="82"/>
        <v>261249.99999999997</v>
      </c>
      <c r="X185" s="266">
        <f t="shared" si="74"/>
        <v>-1.2977398000657558E-7</v>
      </c>
      <c r="Y185" s="266"/>
      <c r="Z185" s="266"/>
      <c r="AA185" s="256">
        <f t="shared" si="83"/>
        <v>2.09</v>
      </c>
      <c r="AB185" s="229"/>
      <c r="AC185" s="308">
        <f t="shared" si="84"/>
        <v>116.76743689076524</v>
      </c>
      <c r="AD185" s="277"/>
      <c r="AE185" s="277"/>
      <c r="AF185" s="277"/>
      <c r="AG185" s="277"/>
      <c r="AH185" s="178" t="str">
        <f t="shared" si="85"/>
        <v>TRK_194_2</v>
      </c>
      <c r="AI185" s="192" t="s">
        <v>1365</v>
      </c>
      <c r="AJ185" s="232">
        <f t="shared" si="75"/>
        <v>-1.0381918400526047E-12</v>
      </c>
      <c r="AK185" s="232">
        <f t="shared" si="76"/>
        <v>2.0900000000010381</v>
      </c>
      <c r="AL185" s="276" t="s">
        <v>1366</v>
      </c>
      <c r="AM185" s="276" t="s">
        <v>1367</v>
      </c>
      <c r="AN185" s="276">
        <v>1.9</v>
      </c>
      <c r="AO185" s="276">
        <v>1.9</v>
      </c>
      <c r="AP185" s="276">
        <v>1.9</v>
      </c>
    </row>
    <row r="186" spans="1:42" ht="15.4" customHeight="1">
      <c r="C186" s="3"/>
      <c r="D186" s="3"/>
      <c r="E186" s="3"/>
      <c r="F186" s="3"/>
      <c r="G186" s="3"/>
      <c r="H186" s="3"/>
      <c r="I186" s="3"/>
      <c r="J186" s="3" t="s">
        <v>943</v>
      </c>
      <c r="K186" s="3" t="s">
        <v>1540</v>
      </c>
      <c r="L186" s="226" t="s">
        <v>1364</v>
      </c>
      <c r="M186" s="226" t="s">
        <v>1368</v>
      </c>
      <c r="O186" s="263" t="str">
        <f t="shared" si="79"/>
        <v>194/22:50</v>
      </c>
      <c r="P186" s="179" t="str">
        <f t="shared" si="80"/>
        <v>194_3</v>
      </c>
      <c r="Q186" s="237">
        <f t="shared" si="81"/>
        <v>600221400.38165736</v>
      </c>
      <c r="R186" s="104">
        <f t="shared" si="77"/>
        <v>600487402.29817891</v>
      </c>
      <c r="S186" s="104">
        <f t="shared" si="72"/>
        <v>266001.91652154922</v>
      </c>
      <c r="T186" s="104">
        <f t="shared" si="78"/>
        <v>983125.00000002445</v>
      </c>
      <c r="U186" s="3">
        <v>0</v>
      </c>
      <c r="V186" s="97">
        <f t="shared" si="73"/>
        <v>983125.00000002445</v>
      </c>
      <c r="W186" s="97">
        <f t="shared" si="82"/>
        <v>983125.00000000012</v>
      </c>
      <c r="X186" s="266">
        <f t="shared" si="74"/>
        <v>-2.4330802261829376E-8</v>
      </c>
      <c r="Y186" s="266"/>
      <c r="Z186" s="266"/>
      <c r="AA186" s="256">
        <f t="shared" si="83"/>
        <v>7.8650000000000011</v>
      </c>
      <c r="AB186" s="229"/>
      <c r="AC186" s="308">
        <f t="shared" si="84"/>
        <v>124.63243689076543</v>
      </c>
      <c r="AD186" s="277"/>
      <c r="AE186" s="277"/>
      <c r="AF186" s="277"/>
      <c r="AG186" s="277"/>
      <c r="AH186" s="178" t="str">
        <f t="shared" si="85"/>
        <v>TRK_194_3</v>
      </c>
      <c r="AI186" s="192" t="s">
        <v>1369</v>
      </c>
      <c r="AJ186" s="232">
        <f t="shared" si="75"/>
        <v>-1.9464641809463502E-13</v>
      </c>
      <c r="AK186" s="232">
        <f t="shared" si="76"/>
        <v>7.8650000000001956</v>
      </c>
      <c r="AL186" s="276" t="s">
        <v>1370</v>
      </c>
      <c r="AM186" s="276" t="s">
        <v>1371</v>
      </c>
      <c r="AN186" s="276">
        <v>7.15</v>
      </c>
      <c r="AO186" s="276">
        <v>7.15</v>
      </c>
      <c r="AP186" s="276">
        <v>7.15</v>
      </c>
    </row>
    <row r="187" spans="1:42" ht="15.4" customHeight="1">
      <c r="C187" s="3"/>
      <c r="D187" s="3"/>
      <c r="E187" s="3"/>
      <c r="F187" s="3"/>
      <c r="G187" s="3"/>
      <c r="H187" s="3"/>
      <c r="I187" s="3"/>
      <c r="J187" s="3" t="s">
        <v>943</v>
      </c>
      <c r="K187" s="3" t="s">
        <v>1540</v>
      </c>
      <c r="L187" s="226" t="s">
        <v>1368</v>
      </c>
      <c r="M187" s="226" t="s">
        <v>1372</v>
      </c>
      <c r="O187" s="263" t="str">
        <f t="shared" si="79"/>
        <v>195/15:30</v>
      </c>
      <c r="P187" s="179" t="str">
        <f t="shared" si="80"/>
        <v>195_1</v>
      </c>
      <c r="Q187" s="237">
        <f t="shared" si="81"/>
        <v>600487399.29817891</v>
      </c>
      <c r="R187" s="104">
        <f t="shared" si="77"/>
        <v>600627654.85416305</v>
      </c>
      <c r="S187" s="104">
        <f t="shared" si="72"/>
        <v>140255.55598413944</v>
      </c>
      <c r="T187" s="104">
        <f t="shared" si="78"/>
        <v>518375.00000019715</v>
      </c>
      <c r="U187" s="3">
        <v>0</v>
      </c>
      <c r="V187" s="97">
        <f t="shared" si="73"/>
        <v>518375.00000019715</v>
      </c>
      <c r="W187" s="97">
        <f t="shared" si="82"/>
        <v>518375.00000000006</v>
      </c>
      <c r="X187" s="266">
        <f t="shared" si="74"/>
        <v>-1.9709113985300064E-7</v>
      </c>
      <c r="Y187" s="266"/>
      <c r="Z187" s="266"/>
      <c r="AA187" s="256">
        <f t="shared" si="83"/>
        <v>4.1470000000000002</v>
      </c>
      <c r="AB187" s="229"/>
      <c r="AC187" s="308">
        <f t="shared" si="84"/>
        <v>128.77943689076702</v>
      </c>
      <c r="AD187" s="277"/>
      <c r="AE187" s="277"/>
      <c r="AF187" s="277"/>
      <c r="AG187" s="277"/>
      <c r="AH187" s="178" t="str">
        <f t="shared" si="85"/>
        <v>TRK_195_1</v>
      </c>
      <c r="AI187" s="192" t="s">
        <v>1373</v>
      </c>
      <c r="AJ187" s="232">
        <f t="shared" si="75"/>
        <v>-1.5767291188240052E-12</v>
      </c>
      <c r="AK187" s="232">
        <f t="shared" si="76"/>
        <v>4.1470000000015768</v>
      </c>
      <c r="AL187" s="276" t="s">
        <v>1374</v>
      </c>
      <c r="AM187" s="276" t="s">
        <v>1375</v>
      </c>
      <c r="AN187" s="276">
        <v>3.77</v>
      </c>
      <c r="AO187" s="276">
        <v>3.77</v>
      </c>
      <c r="AP187" s="276">
        <v>3.77</v>
      </c>
    </row>
    <row r="188" spans="1:42" ht="15.4" customHeight="1">
      <c r="C188" s="3"/>
      <c r="D188" s="3"/>
      <c r="E188" s="3"/>
      <c r="F188" s="3"/>
      <c r="G188" s="3"/>
      <c r="H188" s="3"/>
      <c r="I188" s="3"/>
      <c r="J188" s="3" t="s">
        <v>943</v>
      </c>
      <c r="K188" s="3" t="s">
        <v>1540</v>
      </c>
      <c r="L188" s="226" t="s">
        <v>1372</v>
      </c>
      <c r="M188" s="226" t="s">
        <v>1376</v>
      </c>
      <c r="O188" s="263" t="str">
        <f t="shared" si="79"/>
        <v>195/22:50</v>
      </c>
      <c r="P188" s="179" t="str">
        <f t="shared" si="80"/>
        <v>195_2</v>
      </c>
      <c r="Q188" s="237">
        <f t="shared" si="81"/>
        <v>600627651.85416305</v>
      </c>
      <c r="R188" s="104">
        <f t="shared" si="77"/>
        <v>600889189.40285492</v>
      </c>
      <c r="S188" s="104">
        <f t="shared" si="72"/>
        <v>261537.54869186878</v>
      </c>
      <c r="T188" s="104">
        <f t="shared" si="78"/>
        <v>966625.0000002156</v>
      </c>
      <c r="U188" s="3">
        <v>0</v>
      </c>
      <c r="V188" s="97">
        <f t="shared" si="73"/>
        <v>966625.0000002156</v>
      </c>
      <c r="W188" s="97">
        <f t="shared" si="82"/>
        <v>966625.00000000012</v>
      </c>
      <c r="X188" s="266">
        <f t="shared" si="74"/>
        <v>-2.1548476070165634E-7</v>
      </c>
      <c r="Y188" s="266"/>
      <c r="Z188" s="266"/>
      <c r="AA188" s="256">
        <f t="shared" si="83"/>
        <v>7.7330000000000005</v>
      </c>
      <c r="AB188" s="229"/>
      <c r="AC188" s="308">
        <f t="shared" si="84"/>
        <v>136.51243689076875</v>
      </c>
      <c r="AD188" s="277"/>
      <c r="AE188" s="277"/>
      <c r="AF188" s="277"/>
      <c r="AG188" s="277"/>
      <c r="AH188" s="178" t="str">
        <f t="shared" si="85"/>
        <v>TRK_195_2</v>
      </c>
      <c r="AI188" s="192" t="s">
        <v>1377</v>
      </c>
      <c r="AJ188" s="232">
        <f t="shared" si="75"/>
        <v>-1.7238780856132507E-12</v>
      </c>
      <c r="AK188" s="232">
        <f t="shared" si="76"/>
        <v>7.7330000000017245</v>
      </c>
      <c r="AL188" s="276" t="s">
        <v>1378</v>
      </c>
      <c r="AM188" s="276" t="s">
        <v>1379</v>
      </c>
      <c r="AN188" s="276">
        <v>7.03</v>
      </c>
      <c r="AO188" s="276">
        <v>7.03</v>
      </c>
      <c r="AP188" s="276">
        <v>7.03</v>
      </c>
    </row>
    <row r="189" spans="1:42" ht="15.4" customHeight="1">
      <c r="C189" s="3"/>
      <c r="D189" s="3"/>
      <c r="E189" s="3"/>
      <c r="F189" s="3"/>
      <c r="G189" s="3"/>
      <c r="H189" s="3"/>
      <c r="I189" s="3"/>
      <c r="J189" s="3" t="s">
        <v>943</v>
      </c>
      <c r="K189" s="3" t="s">
        <v>1540</v>
      </c>
      <c r="L189" s="226" t="s">
        <v>1376</v>
      </c>
      <c r="M189" s="226" t="s">
        <v>1380</v>
      </c>
      <c r="O189" s="263" t="str">
        <f t="shared" si="79"/>
        <v>197/15:45</v>
      </c>
      <c r="P189" s="179" t="str">
        <f t="shared" si="80"/>
        <v>197_2</v>
      </c>
      <c r="Q189" s="237">
        <f t="shared" si="81"/>
        <v>600889186.40285492</v>
      </c>
      <c r="R189" s="104">
        <f t="shared" si="77"/>
        <v>600955779.88964844</v>
      </c>
      <c r="S189" s="104">
        <f t="shared" si="72"/>
        <v>66593.486793518066</v>
      </c>
      <c r="T189" s="104">
        <f t="shared" si="78"/>
        <v>246125.00000004802</v>
      </c>
      <c r="U189" s="3">
        <v>0</v>
      </c>
      <c r="V189" s="97">
        <f t="shared" si="73"/>
        <v>246125.00000004802</v>
      </c>
      <c r="W189" s="97">
        <f t="shared" si="82"/>
        <v>246125.00000000003</v>
      </c>
      <c r="X189" s="266">
        <f t="shared" si="74"/>
        <v>-4.7992216423153877E-8</v>
      </c>
      <c r="Y189" s="266"/>
      <c r="Z189" s="266"/>
      <c r="AA189" s="256">
        <f t="shared" si="83"/>
        <v>1.9690000000000003</v>
      </c>
      <c r="AB189" s="229"/>
      <c r="AC189" s="308">
        <f t="shared" si="84"/>
        <v>138.48143689076915</v>
      </c>
      <c r="AD189" s="277"/>
      <c r="AE189" s="277"/>
      <c r="AF189" s="277"/>
      <c r="AG189" s="277"/>
      <c r="AH189" s="178" t="str">
        <f t="shared" si="85"/>
        <v>TRK_197_2</v>
      </c>
      <c r="AI189" s="192" t="s">
        <v>1381</v>
      </c>
      <c r="AJ189" s="232">
        <f t="shared" si="75"/>
        <v>-3.8393773138523104E-13</v>
      </c>
      <c r="AK189" s="232">
        <f t="shared" si="76"/>
        <v>1.9690000000003842</v>
      </c>
      <c r="AL189" s="276" t="s">
        <v>1382</v>
      </c>
      <c r="AM189" s="276" t="s">
        <v>1383</v>
      </c>
      <c r="AN189" s="276">
        <v>1.79</v>
      </c>
      <c r="AO189" s="276">
        <v>1.79</v>
      </c>
      <c r="AP189" s="276">
        <v>1.79</v>
      </c>
    </row>
    <row r="190" spans="1:42" ht="15.4" customHeight="1">
      <c r="C190" s="3"/>
      <c r="D190" s="3"/>
      <c r="E190" s="3"/>
      <c r="F190" s="3"/>
      <c r="G190" s="3"/>
      <c r="H190" s="3"/>
      <c r="I190" s="3"/>
      <c r="J190" s="3" t="s">
        <v>943</v>
      </c>
      <c r="K190" s="3" t="s">
        <v>1540</v>
      </c>
      <c r="L190" s="226" t="s">
        <v>1380</v>
      </c>
      <c r="M190" s="226" t="s">
        <v>1384</v>
      </c>
      <c r="O190" s="263" t="str">
        <f t="shared" si="79"/>
        <v>197/22:00</v>
      </c>
      <c r="P190" s="179" t="str">
        <f t="shared" si="80"/>
        <v>197_3</v>
      </c>
      <c r="Q190" s="237">
        <f t="shared" si="81"/>
        <v>600955776.88964844</v>
      </c>
      <c r="R190" s="104">
        <f t="shared" si="77"/>
        <v>601328551.60343111</v>
      </c>
      <c r="S190" s="104">
        <f t="shared" si="72"/>
        <v>372774.71378266811</v>
      </c>
      <c r="T190" s="104">
        <f t="shared" si="78"/>
        <v>1377750.0000001136</v>
      </c>
      <c r="U190" s="3">
        <v>0</v>
      </c>
      <c r="V190" s="97">
        <f t="shared" si="73"/>
        <v>1377750.0000001136</v>
      </c>
      <c r="W190" s="97">
        <f t="shared" si="82"/>
        <v>1377750</v>
      </c>
      <c r="X190" s="266">
        <f t="shared" si="74"/>
        <v>-1.1362135410308838E-7</v>
      </c>
      <c r="Y190" s="266"/>
      <c r="Z190" s="266"/>
      <c r="AA190" s="256">
        <f t="shared" si="83"/>
        <v>11.022</v>
      </c>
      <c r="AB190" s="229"/>
      <c r="AC190" s="308">
        <f t="shared" si="84"/>
        <v>149.50343689077005</v>
      </c>
      <c r="AD190" s="277"/>
      <c r="AE190" s="277"/>
      <c r="AF190" s="277"/>
      <c r="AG190" s="277"/>
      <c r="AH190" s="178" t="str">
        <f t="shared" si="85"/>
        <v>TRK_197_3</v>
      </c>
      <c r="AI190" s="192" t="s">
        <v>1385</v>
      </c>
      <c r="AJ190" s="232">
        <f t="shared" si="75"/>
        <v>-9.0897083282470701E-13</v>
      </c>
      <c r="AK190" s="232">
        <f t="shared" si="76"/>
        <v>11.02200000000091</v>
      </c>
      <c r="AL190" s="276" t="s">
        <v>1386</v>
      </c>
      <c r="AM190" s="276" t="s">
        <v>1387</v>
      </c>
      <c r="AN190" s="276">
        <v>10.02</v>
      </c>
      <c r="AO190" s="276">
        <v>10.02</v>
      </c>
      <c r="AP190" s="276">
        <v>10.02</v>
      </c>
    </row>
    <row r="191" spans="1:42" ht="15.4" customHeight="1">
      <c r="A191" t="s">
        <v>1388</v>
      </c>
      <c r="C191" s="3"/>
      <c r="D191" s="3"/>
      <c r="E191" s="3"/>
      <c r="F191" s="3"/>
      <c r="G191" s="3"/>
      <c r="H191" s="3" t="s">
        <v>768</v>
      </c>
      <c r="I191" s="3"/>
      <c r="J191" s="3"/>
      <c r="L191" s="257" t="s">
        <v>1389</v>
      </c>
      <c r="M191" s="257" t="s">
        <v>1390</v>
      </c>
      <c r="O191" s="263" t="str">
        <f t="shared" si="79"/>
        <v>198/14:30</v>
      </c>
      <c r="P191" s="179" t="str">
        <f t="shared" si="80"/>
        <v>198_1</v>
      </c>
      <c r="Q191" s="264">
        <v>612597116</v>
      </c>
      <c r="R191" s="143">
        <f>((W191-U191*$V$37)/$V$20)+Q191</f>
        <v>612615336.37914693</v>
      </c>
      <c r="S191" s="104">
        <f t="shared" si="72"/>
        <v>18220.379146933556</v>
      </c>
      <c r="T191" s="104">
        <f>S191*$V$20</f>
        <v>961125.00000074506</v>
      </c>
      <c r="U191" s="3">
        <v>0</v>
      </c>
      <c r="V191" s="97">
        <f t="shared" si="73"/>
        <v>961125.00000074506</v>
      </c>
      <c r="W191" s="97">
        <f t="shared" si="82"/>
        <v>961125.00000000012</v>
      </c>
      <c r="X191" s="266">
        <f t="shared" si="74"/>
        <v>-7.4494164437055588E-7</v>
      </c>
      <c r="Y191" s="318">
        <f>S191*$V$28+U191*$V$37</f>
        <v>1009712.6777259004</v>
      </c>
      <c r="Z191" s="319">
        <f t="shared" ref="Z191:Z196" si="86">(Y191/V191-1)</f>
        <v>5.0552922590836546E-2</v>
      </c>
      <c r="AA191" s="256">
        <f t="shared" si="83"/>
        <v>7.6890000000000009</v>
      </c>
      <c r="AB191" s="229"/>
      <c r="AC191" s="229"/>
      <c r="AD191" s="297">
        <f>AD172+AK191</f>
        <v>22.679563109241727</v>
      </c>
      <c r="AE191" s="297"/>
      <c r="AF191" s="297"/>
      <c r="AG191" s="297"/>
      <c r="AH191" s="178" t="str">
        <f t="shared" si="85"/>
        <v>TRK_198_1</v>
      </c>
      <c r="AI191" s="192" t="s">
        <v>1391</v>
      </c>
      <c r="AJ191" s="232">
        <f t="shared" si="75"/>
        <v>-5.9595331549644472E-12</v>
      </c>
      <c r="AK191" s="232">
        <f t="shared" si="76"/>
        <v>7.6890000000059606</v>
      </c>
      <c r="AL191" s="276" t="s">
        <v>1392</v>
      </c>
      <c r="AM191" s="276" t="s">
        <v>1393</v>
      </c>
      <c r="AN191" s="276">
        <v>6.99</v>
      </c>
      <c r="AO191" s="276">
        <v>6.99</v>
      </c>
      <c r="AP191" s="276">
        <v>6.99</v>
      </c>
    </row>
    <row r="192" spans="1:42" ht="15.4" customHeight="1">
      <c r="A192" t="s">
        <v>1388</v>
      </c>
      <c r="C192" s="3"/>
      <c r="D192" s="3"/>
      <c r="E192" s="3"/>
      <c r="F192" s="3"/>
      <c r="G192" s="3"/>
      <c r="H192" s="3" t="s">
        <v>768</v>
      </c>
      <c r="I192" s="3"/>
      <c r="J192" s="3"/>
      <c r="L192" s="257" t="s">
        <v>1390</v>
      </c>
      <c r="M192" s="257" t="s">
        <v>1394</v>
      </c>
      <c r="O192" s="263" t="str">
        <f t="shared" si="79"/>
        <v>198/22:25</v>
      </c>
      <c r="P192" s="179" t="str">
        <f t="shared" si="80"/>
        <v>198_2</v>
      </c>
      <c r="Q192" s="264">
        <f>R191-3</f>
        <v>612615333.37914693</v>
      </c>
      <c r="R192" s="143">
        <f>((W192-U192*$V$37)/$V$20)+Q192</f>
        <v>612634987.407583</v>
      </c>
      <c r="S192" s="104">
        <f t="shared" si="72"/>
        <v>19654.02843606472</v>
      </c>
      <c r="T192" s="104">
        <f>S192*$V$20</f>
        <v>1036750.000002414</v>
      </c>
      <c r="U192" s="3">
        <v>0</v>
      </c>
      <c r="V192" s="97">
        <f t="shared" si="73"/>
        <v>1036750.000002414</v>
      </c>
      <c r="W192" s="97">
        <f t="shared" si="82"/>
        <v>1036750.0000000001</v>
      </c>
      <c r="X192" s="266">
        <f t="shared" si="74"/>
        <v>-2.4138716980814934E-6</v>
      </c>
      <c r="Y192" s="318">
        <f>S192*$V$28+U192*$V$37</f>
        <v>1089160.7424985857</v>
      </c>
      <c r="Z192" s="319">
        <f t="shared" si="86"/>
        <v>5.0552922590836546E-2</v>
      </c>
      <c r="AA192" s="256">
        <f t="shared" si="83"/>
        <v>8.2940000000000005</v>
      </c>
      <c r="AB192" s="229"/>
      <c r="AC192" s="229"/>
      <c r="AD192" s="297">
        <f>AD191+AK192</f>
        <v>30.973563109261036</v>
      </c>
      <c r="AE192" s="297"/>
      <c r="AF192" s="297"/>
      <c r="AG192" s="297"/>
      <c r="AH192" s="178" t="str">
        <f t="shared" si="85"/>
        <v>TRK_198_2</v>
      </c>
      <c r="AI192" s="192" t="s">
        <v>1395</v>
      </c>
      <c r="AJ192" s="232">
        <f t="shared" si="75"/>
        <v>-1.9310973584651947E-11</v>
      </c>
      <c r="AK192" s="309">
        <f t="shared" si="76"/>
        <v>8.2940000000193113</v>
      </c>
      <c r="AL192" s="276" t="s">
        <v>1396</v>
      </c>
      <c r="AM192" s="276" t="s">
        <v>1397</v>
      </c>
      <c r="AN192" s="276">
        <v>7.54</v>
      </c>
      <c r="AO192" s="276">
        <v>7.54</v>
      </c>
      <c r="AP192" s="276">
        <v>7.54</v>
      </c>
    </row>
    <row r="193" spans="1:44" ht="15.4" customHeight="1">
      <c r="A193" t="s">
        <v>1398</v>
      </c>
      <c r="C193" s="3"/>
      <c r="D193" s="3"/>
      <c r="E193" s="3" t="s">
        <v>766</v>
      </c>
      <c r="F193" s="3" t="s">
        <v>764</v>
      </c>
      <c r="G193" s="3"/>
      <c r="H193" s="3" t="s">
        <v>768</v>
      </c>
      <c r="I193" s="3" t="s">
        <v>769</v>
      </c>
      <c r="J193" s="3"/>
      <c r="L193" s="257" t="s">
        <v>1317</v>
      </c>
      <c r="M193" s="257" t="s">
        <v>1399</v>
      </c>
      <c r="O193" s="263" t="str">
        <f t="shared" si="79"/>
        <v>199/14:45</v>
      </c>
      <c r="P193" s="179" t="str">
        <f t="shared" si="80"/>
        <v>199_1</v>
      </c>
      <c r="Q193" s="237">
        <f>R172-1</f>
        <v>613766275</v>
      </c>
      <c r="R193" s="104">
        <f>((W193-U193*$V$37)/$V$17)+Q193</f>
        <v>614172004.08581376</v>
      </c>
      <c r="S193" s="104">
        <f t="shared" si="72"/>
        <v>405729.08581376076</v>
      </c>
      <c r="T193" s="104">
        <f>S193*$V$17</f>
        <v>862125.00000006065</v>
      </c>
      <c r="U193" s="3">
        <v>0</v>
      </c>
      <c r="V193" s="142">
        <f t="shared" si="73"/>
        <v>862125.00000006065</v>
      </c>
      <c r="W193" s="97">
        <f t="shared" si="82"/>
        <v>862125</v>
      </c>
      <c r="X193" s="266">
        <f t="shared" si="74"/>
        <v>-6.0652382671833038E-8</v>
      </c>
      <c r="Y193" s="318">
        <f>S193*$V$27+U193*$V$37</f>
        <v>879676.07011845079</v>
      </c>
      <c r="Z193" s="319">
        <f t="shared" si="86"/>
        <v>2.03579180726563E-2</v>
      </c>
      <c r="AA193" s="256">
        <f t="shared" si="83"/>
        <v>6.8970000000000002</v>
      </c>
      <c r="AB193" s="229"/>
      <c r="AC193" s="229"/>
      <c r="AD193" s="297">
        <f>AD192+AK193</f>
        <v>37.870563109261525</v>
      </c>
      <c r="AE193" s="297"/>
      <c r="AF193" s="297"/>
      <c r="AG193" s="297"/>
      <c r="AH193" s="178" t="str">
        <f t="shared" si="85"/>
        <v>TRK_199_1</v>
      </c>
      <c r="AI193" s="192" t="s">
        <v>1400</v>
      </c>
      <c r="AJ193" s="232">
        <f t="shared" si="75"/>
        <v>-4.8521906137466429E-13</v>
      </c>
      <c r="AK193" s="309">
        <f t="shared" si="76"/>
        <v>6.8970000000004852</v>
      </c>
      <c r="AL193" s="276" t="s">
        <v>1401</v>
      </c>
      <c r="AM193" s="276" t="s">
        <v>1402</v>
      </c>
      <c r="AN193" s="276">
        <v>6.27</v>
      </c>
      <c r="AO193" s="276">
        <v>6.27</v>
      </c>
      <c r="AP193" s="276">
        <v>6.27</v>
      </c>
    </row>
    <row r="194" spans="1:44" ht="15.4" customHeight="1">
      <c r="A194" t="s">
        <v>1398</v>
      </c>
      <c r="C194" s="3"/>
      <c r="D194" s="3"/>
      <c r="E194" s="3" t="s">
        <v>766</v>
      </c>
      <c r="F194" s="3" t="s">
        <v>764</v>
      </c>
      <c r="G194" s="3"/>
      <c r="H194" s="3" t="s">
        <v>768</v>
      </c>
      <c r="I194" s="3" t="s">
        <v>769</v>
      </c>
      <c r="J194" s="3"/>
      <c r="L194" s="257" t="s">
        <v>1399</v>
      </c>
      <c r="M194" s="257" t="s">
        <v>1403</v>
      </c>
      <c r="O194" s="263" t="str">
        <f t="shared" si="79"/>
        <v>200/14:40</v>
      </c>
      <c r="P194" s="179" t="str">
        <f t="shared" si="80"/>
        <v>200_1</v>
      </c>
      <c r="Q194" s="237">
        <f>R193-1</f>
        <v>614172003.08581376</v>
      </c>
      <c r="R194" s="104">
        <f>((W194-U194*$V$37)/$V$17)+Q194</f>
        <v>615002874.13236058</v>
      </c>
      <c r="S194" s="104">
        <f t="shared" si="72"/>
        <v>830871.04654681683</v>
      </c>
      <c r="T194" s="104">
        <f>S194*$V$17</f>
        <v>1765500.0000000745</v>
      </c>
      <c r="U194" s="3">
        <v>0</v>
      </c>
      <c r="V194" s="142">
        <f t="shared" si="73"/>
        <v>1765500.0000000745</v>
      </c>
      <c r="W194" s="97">
        <f t="shared" si="82"/>
        <v>1765500</v>
      </c>
      <c r="X194" s="266">
        <f t="shared" si="74"/>
        <v>-7.4505805969238281E-8</v>
      </c>
      <c r="Y194" s="318">
        <f>S194*$V$27+U194*$V$37</f>
        <v>1801441.9043573509</v>
      </c>
      <c r="Z194" s="319">
        <f t="shared" si="86"/>
        <v>2.03579180726563E-2</v>
      </c>
      <c r="AA194" s="256">
        <f t="shared" si="83"/>
        <v>14.124000000000001</v>
      </c>
      <c r="AB194" s="229"/>
      <c r="AC194" s="229"/>
      <c r="AD194" s="297">
        <f>AD193+AK194</f>
        <v>51.994563109262117</v>
      </c>
      <c r="AE194" s="297"/>
      <c r="AF194" s="297"/>
      <c r="AG194" s="297"/>
      <c r="AH194" s="178" t="str">
        <f t="shared" si="85"/>
        <v>TRK_200_1</v>
      </c>
      <c r="AI194" s="192" t="s">
        <v>1404</v>
      </c>
      <c r="AJ194" s="232">
        <f t="shared" si="75"/>
        <v>-5.960464477539063E-13</v>
      </c>
      <c r="AK194" s="232">
        <f t="shared" si="76"/>
        <v>14.124000000000596</v>
      </c>
      <c r="AL194" s="276" t="s">
        <v>1405</v>
      </c>
      <c r="AM194" s="276" t="s">
        <v>1406</v>
      </c>
      <c r="AN194" s="276">
        <v>12.84</v>
      </c>
      <c r="AO194" s="276">
        <v>12.84</v>
      </c>
      <c r="AP194" s="276">
        <v>12.84</v>
      </c>
    </row>
    <row r="195" spans="1:44" ht="15.4" customHeight="1">
      <c r="A195" t="s">
        <v>1398</v>
      </c>
      <c r="C195" s="3"/>
      <c r="D195" s="3"/>
      <c r="E195" s="3" t="s">
        <v>766</v>
      </c>
      <c r="F195" s="3" t="s">
        <v>764</v>
      </c>
      <c r="G195" s="3"/>
      <c r="H195" s="3" t="s">
        <v>768</v>
      </c>
      <c r="I195" s="3" t="s">
        <v>769</v>
      </c>
      <c r="J195" s="3"/>
      <c r="L195" s="257" t="s">
        <v>1403</v>
      </c>
      <c r="M195" s="257" t="s">
        <v>1407</v>
      </c>
      <c r="O195" s="263" t="str">
        <f t="shared" si="79"/>
        <v>201/18:40</v>
      </c>
      <c r="P195" s="179" t="str">
        <f t="shared" si="80"/>
        <v>201_1</v>
      </c>
      <c r="Q195" s="237">
        <f>R194-1</f>
        <v>615002873.13236058</v>
      </c>
      <c r="R195" s="307">
        <v>615335513</v>
      </c>
      <c r="S195" s="104">
        <f t="shared" si="72"/>
        <v>332639.86763942242</v>
      </c>
      <c r="T195" s="104">
        <f>S195*$V$17</f>
        <v>706819.2937498563</v>
      </c>
      <c r="U195" s="3">
        <v>0</v>
      </c>
      <c r="V195" s="142">
        <f t="shared" si="73"/>
        <v>706819.2937498563</v>
      </c>
      <c r="W195" s="97">
        <f t="shared" si="82"/>
        <v>1962125.0000000002</v>
      </c>
      <c r="X195" s="266">
        <f t="shared" si="74"/>
        <v>1255305.7062501439</v>
      </c>
      <c r="Y195" s="318">
        <f>S195*$V$27+U195*$V$37</f>
        <v>721208.66302418872</v>
      </c>
      <c r="Z195" s="319">
        <f t="shared" si="86"/>
        <v>2.03579180726563E-2</v>
      </c>
      <c r="AA195" s="256">
        <f t="shared" si="83"/>
        <v>15.697000000000001</v>
      </c>
      <c r="AB195" s="229"/>
      <c r="AC195" s="229"/>
      <c r="AD195" s="297">
        <f>AD194+AK195</f>
        <v>57.649117459260964</v>
      </c>
      <c r="AE195" s="297"/>
      <c r="AF195" s="297"/>
      <c r="AG195" s="297"/>
      <c r="AH195" s="178" t="str">
        <f t="shared" si="85"/>
        <v>TRK_201_1</v>
      </c>
      <c r="AI195" s="192" t="s">
        <v>1408</v>
      </c>
      <c r="AJ195" s="232">
        <f t="shared" si="75"/>
        <v>10.042445650001152</v>
      </c>
      <c r="AK195" s="232">
        <f t="shared" si="76"/>
        <v>5.6545543499988504</v>
      </c>
      <c r="AL195" s="276" t="s">
        <v>1409</v>
      </c>
      <c r="AM195" s="276" t="s">
        <v>1410</v>
      </c>
      <c r="AN195" s="276">
        <v>14.27</v>
      </c>
      <c r="AO195" s="276">
        <v>14.27</v>
      </c>
      <c r="AP195" s="276">
        <v>14.27</v>
      </c>
    </row>
    <row r="196" spans="1:44" ht="15.4" customHeight="1">
      <c r="A196" t="s">
        <v>1411</v>
      </c>
      <c r="C196" s="3"/>
      <c r="D196" s="3"/>
      <c r="E196" s="3"/>
      <c r="F196" s="3"/>
      <c r="G196" s="3" t="s">
        <v>765</v>
      </c>
      <c r="H196" s="3"/>
      <c r="I196" s="3"/>
      <c r="J196" s="3"/>
      <c r="L196" s="257" t="s">
        <v>1301</v>
      </c>
      <c r="M196" s="257" t="s">
        <v>1412</v>
      </c>
      <c r="O196" s="263"/>
      <c r="P196" s="179" t="str">
        <f t="shared" si="80"/>
        <v/>
      </c>
      <c r="Q196" s="310">
        <f>Q172</f>
        <v>613559215</v>
      </c>
      <c r="R196" s="104">
        <f>((W196-U196*$V$37)/$V$18)+Q196</f>
        <v>614308973.7444849</v>
      </c>
      <c r="S196" s="104">
        <f t="shared" si="72"/>
        <v>749758.74448490143</v>
      </c>
      <c r="T196" s="104">
        <f>S196*$V$18</f>
        <v>1255305.7062501269</v>
      </c>
      <c r="U196" s="3">
        <v>0</v>
      </c>
      <c r="V196" s="142">
        <f t="shared" si="73"/>
        <v>1255305.7062501269</v>
      </c>
      <c r="W196" s="142">
        <f>X195</f>
        <v>1255305.7062501439</v>
      </c>
      <c r="X196" s="266">
        <f t="shared" si="74"/>
        <v>1.6996636986732483E-8</v>
      </c>
      <c r="Y196" s="318">
        <f>S196*$V$29+U196*$V$37</f>
        <v>1401345.9533638111</v>
      </c>
      <c r="Z196" s="319">
        <f t="shared" si="86"/>
        <v>0.11633839182483952</v>
      </c>
      <c r="AD196" s="297">
        <f>AD195+AK196</f>
        <v>67.691563109261978</v>
      </c>
      <c r="AE196" s="297"/>
      <c r="AF196" s="297"/>
      <c r="AG196" s="297"/>
      <c r="AJ196" s="232">
        <f t="shared" si="75"/>
        <v>1.3597309589385986E-13</v>
      </c>
      <c r="AK196" s="232">
        <f t="shared" si="76"/>
        <v>10.042445650001016</v>
      </c>
    </row>
    <row r="197" spans="1:44" ht="15.4" customHeight="1">
      <c r="C197" s="3"/>
      <c r="D197" s="3"/>
      <c r="E197" s="3"/>
      <c r="F197" s="3"/>
      <c r="G197" s="3"/>
      <c r="H197" s="3"/>
      <c r="I197" s="3"/>
      <c r="J197" s="3"/>
      <c r="Y197" s="317">
        <f>SUM(Y167:Y196)-SUM(V167:V172)-SUM(V191:V196)</f>
        <v>407232.56431206875</v>
      </c>
      <c r="AA197" s="317">
        <f>Y197*8/1000000</f>
        <v>3.2578605144965498</v>
      </c>
      <c r="AB197" s="320" t="s">
        <v>1543</v>
      </c>
      <c r="AN197" t="s">
        <v>1413</v>
      </c>
      <c r="AQ197">
        <f>30.53+12.81+49.55-12.87</f>
        <v>80.02</v>
      </c>
    </row>
    <row r="198" spans="1:44" ht="15.4" customHeight="1">
      <c r="C198" s="3"/>
      <c r="D198" s="3"/>
      <c r="E198" s="3"/>
      <c r="F198" s="3"/>
      <c r="G198" s="3"/>
      <c r="H198" s="3"/>
      <c r="I198" s="3"/>
      <c r="J198" s="3"/>
      <c r="O198" s="292" t="s">
        <v>1414</v>
      </c>
      <c r="P198" s="81" t="s">
        <v>1415</v>
      </c>
      <c r="Q198" s="81" t="s">
        <v>1416</v>
      </c>
      <c r="R198" s="81">
        <v>615338922</v>
      </c>
      <c r="S198" s="81">
        <v>1</v>
      </c>
      <c r="T198" s="81" t="s">
        <v>373</v>
      </c>
      <c r="U198" s="81" t="s">
        <v>1417</v>
      </c>
      <c r="V198" s="81" t="s">
        <v>382</v>
      </c>
      <c r="W198" s="81"/>
      <c r="X198" s="81" t="s">
        <v>1418</v>
      </c>
      <c r="Y198" s="81"/>
      <c r="Z198" s="81"/>
      <c r="AC198" s="229"/>
      <c r="AH198" s="178" t="str">
        <f>MID(AL198,7,9)</f>
        <v>TRK_202_1</v>
      </c>
      <c r="AI198" s="192" t="s">
        <v>1419</v>
      </c>
      <c r="AJ198" s="232"/>
      <c r="AK198" s="232"/>
      <c r="AL198" s="276" t="s">
        <v>1420</v>
      </c>
      <c r="AM198" s="276" t="s">
        <v>1421</v>
      </c>
      <c r="AN198" s="312">
        <v>30.53</v>
      </c>
      <c r="AO198" s="312">
        <v>-3.95</v>
      </c>
      <c r="AP198" s="312">
        <v>-3.95</v>
      </c>
      <c r="AQ198">
        <f>AP198+AN198</f>
        <v>26.580000000000002</v>
      </c>
      <c r="AR198">
        <f>AQ198</f>
        <v>26.580000000000002</v>
      </c>
    </row>
    <row r="199" spans="1:44" ht="15.4" customHeight="1">
      <c r="A199" t="s">
        <v>1422</v>
      </c>
      <c r="C199" s="3"/>
      <c r="D199" s="3"/>
      <c r="E199" s="3"/>
      <c r="F199" s="3"/>
      <c r="G199" s="3"/>
      <c r="H199" s="3"/>
      <c r="I199" s="3"/>
      <c r="J199" s="3"/>
      <c r="AA199" s="253">
        <f>1.1*AP199</f>
        <v>-13.552000000000001</v>
      </c>
      <c r="AB199" s="229"/>
      <c r="AC199" s="229"/>
      <c r="AH199" s="178" t="str">
        <f>MID(AL199,7,9)</f>
        <v>TRK_203_2</v>
      </c>
      <c r="AI199" s="192" t="s">
        <v>1423</v>
      </c>
      <c r="AJ199" s="232">
        <f>X199*8/1000000</f>
        <v>0</v>
      </c>
      <c r="AK199" s="232">
        <f>V199*8/1000000</f>
        <v>0</v>
      </c>
      <c r="AL199" s="276" t="s">
        <v>1424</v>
      </c>
      <c r="AM199" s="276" t="s">
        <v>1425</v>
      </c>
      <c r="AN199" s="312">
        <v>12.81</v>
      </c>
      <c r="AO199" s="312">
        <v>-8.3699999999999992</v>
      </c>
      <c r="AP199" s="312">
        <v>-12.32</v>
      </c>
      <c r="AQ199">
        <f>AP199+AN199</f>
        <v>0.49000000000000021</v>
      </c>
      <c r="AR199">
        <f>AR198+AQ199</f>
        <v>27.07</v>
      </c>
    </row>
    <row r="200" spans="1:44" ht="15.4" customHeight="1">
      <c r="A200" t="s">
        <v>1411</v>
      </c>
      <c r="C200" s="3"/>
      <c r="D200" s="3"/>
      <c r="E200" s="3"/>
      <c r="F200" s="3"/>
      <c r="G200" s="3" t="s">
        <v>765</v>
      </c>
      <c r="H200" s="3"/>
      <c r="I200" s="3"/>
      <c r="J200" s="3"/>
      <c r="L200" s="257" t="s">
        <v>1412</v>
      </c>
      <c r="M200" s="257" t="s">
        <v>1426</v>
      </c>
      <c r="O200" s="263" t="str">
        <f>AI200</f>
        <v>204/12:55</v>
      </c>
      <c r="P200" s="179" t="str">
        <f>MID(AL200,11,5)</f>
        <v>204_1</v>
      </c>
      <c r="Q200" s="237">
        <f>R196-1</f>
        <v>614308972.7444849</v>
      </c>
      <c r="R200" s="104">
        <f>((W200-U200*$V$37)/$V$18)+Q200</f>
        <v>615365919.91807222</v>
      </c>
      <c r="S200" s="104">
        <f>R200-Q200</f>
        <v>1056947.1735873222</v>
      </c>
      <c r="T200" s="104">
        <f>S200*$V$18</f>
        <v>1769625.0000000207</v>
      </c>
      <c r="U200" s="3">
        <v>0</v>
      </c>
      <c r="V200" s="142">
        <f>T200+U200*$V$37</f>
        <v>1769625.0000000207</v>
      </c>
      <c r="W200" s="97">
        <f>AA200*1000000/8</f>
        <v>1769625</v>
      </c>
      <c r="X200" s="266">
        <f>W200-V200</f>
        <v>-2.0721927285194397E-8</v>
      </c>
      <c r="Y200" s="266"/>
      <c r="Z200" s="266"/>
      <c r="AA200" s="256">
        <f>1.1*AP200</f>
        <v>14.157</v>
      </c>
      <c r="AB200" s="229"/>
      <c r="AC200" s="229"/>
      <c r="AD200" s="297">
        <f>AD196+AK200</f>
        <v>81.848563109262145</v>
      </c>
      <c r="AE200" s="297"/>
      <c r="AF200" s="297"/>
      <c r="AG200" s="297"/>
      <c r="AH200" s="178" t="str">
        <f>MID(AL200,7,9)</f>
        <v>TRK_204_1</v>
      </c>
      <c r="AI200" s="192" t="s">
        <v>1427</v>
      </c>
      <c r="AJ200" s="232">
        <f>X200*8/1000000</f>
        <v>-1.6577541828155517E-13</v>
      </c>
      <c r="AK200" s="232">
        <f>V200*8/1000000</f>
        <v>14.157000000000165</v>
      </c>
      <c r="AL200" s="276" t="s">
        <v>1428</v>
      </c>
      <c r="AM200" s="276" t="s">
        <v>1429</v>
      </c>
      <c r="AN200" s="312">
        <v>49.55</v>
      </c>
      <c r="AO200" s="312">
        <v>25.2</v>
      </c>
      <c r="AP200" s="312">
        <v>12.87</v>
      </c>
      <c r="AQ200">
        <f>AP200+AN200</f>
        <v>62.419999999999995</v>
      </c>
      <c r="AR200">
        <f>AR199+AQ200</f>
        <v>89.49</v>
      </c>
    </row>
    <row r="201" spans="1:44" ht="15.4" customHeight="1">
      <c r="A201" t="s">
        <v>1318</v>
      </c>
      <c r="C201" s="3"/>
      <c r="D201" s="3"/>
      <c r="E201" s="3"/>
      <c r="F201" s="3"/>
      <c r="G201" s="3"/>
      <c r="H201" s="3"/>
      <c r="I201" s="3"/>
      <c r="J201" s="3" t="s">
        <v>943</v>
      </c>
      <c r="K201" s="3" t="s">
        <v>1540</v>
      </c>
      <c r="L201" s="226" t="s">
        <v>1384</v>
      </c>
      <c r="M201" s="226" t="s">
        <v>1430</v>
      </c>
      <c r="O201" s="263" t="str">
        <f>AI201</f>
        <v>206/11:24</v>
      </c>
      <c r="P201" s="179" t="str">
        <f>MID(AL201,11,5)</f>
        <v>206_1</v>
      </c>
      <c r="Q201" s="237">
        <f>R190-3</f>
        <v>601328548.60343111</v>
      </c>
      <c r="R201" s="104">
        <f>((W201)/$X$9)+Q201</f>
        <v>601729597.64680207</v>
      </c>
      <c r="S201" s="104">
        <f>R201-Q201</f>
        <v>401049.04337096214</v>
      </c>
      <c r="T201" s="104">
        <f>S201*$X$9</f>
        <v>1482250.0000000775</v>
      </c>
      <c r="U201" s="3">
        <v>0</v>
      </c>
      <c r="V201" s="97">
        <f>T201+U201*$V$37</f>
        <v>1482250.0000000775</v>
      </c>
      <c r="W201" s="97">
        <f>AA201*1000000/8</f>
        <v>1482250</v>
      </c>
      <c r="X201" s="266">
        <f>W201-V201</f>
        <v>-7.7532604336738586E-8</v>
      </c>
      <c r="Y201" s="266"/>
      <c r="Z201" s="266"/>
      <c r="AA201" s="256">
        <f>1.1*AP201</f>
        <v>11.858000000000001</v>
      </c>
      <c r="AB201" s="229"/>
      <c r="AC201" s="308">
        <f>AC190+AK201</f>
        <v>161.36143689077068</v>
      </c>
      <c r="AD201" s="297"/>
      <c r="AE201" s="297"/>
      <c r="AF201" s="297"/>
      <c r="AG201" s="297"/>
      <c r="AH201" s="178" t="str">
        <f>MID(AL201,7,9)</f>
        <v>TRK_206_1</v>
      </c>
      <c r="AI201" s="192" t="s">
        <v>1431</v>
      </c>
      <c r="AJ201" s="232">
        <f>X201*8/1000000</f>
        <v>-6.2026083469390872E-13</v>
      </c>
      <c r="AK201" s="232">
        <f>V201*8/1000000</f>
        <v>11.85800000000062</v>
      </c>
      <c r="AL201" s="276" t="s">
        <v>1432</v>
      </c>
      <c r="AM201" s="276" t="s">
        <v>1433</v>
      </c>
      <c r="AN201" s="276">
        <v>10.78</v>
      </c>
      <c r="AO201" s="276">
        <v>10.78</v>
      </c>
      <c r="AP201" s="276">
        <v>10.78</v>
      </c>
    </row>
    <row r="202" spans="1:44" ht="15.4" customHeight="1">
      <c r="A202" t="s">
        <v>1318</v>
      </c>
      <c r="C202" s="3"/>
      <c r="D202" s="3"/>
      <c r="E202" s="3"/>
      <c r="F202" s="3"/>
      <c r="G202" s="3"/>
      <c r="H202" s="3"/>
      <c r="I202" s="3"/>
      <c r="J202" s="3" t="s">
        <v>943</v>
      </c>
      <c r="K202" s="3" t="s">
        <v>1540</v>
      </c>
      <c r="L202" s="226" t="s">
        <v>1430</v>
      </c>
      <c r="M202" s="226" t="s">
        <v>1434</v>
      </c>
      <c r="O202" s="263" t="str">
        <f>AI202</f>
        <v>207/15:24</v>
      </c>
      <c r="P202" s="179" t="str">
        <f>MID(AL202,11,5)</f>
        <v>207_1</v>
      </c>
      <c r="Q202" s="237">
        <f>R201-3</f>
        <v>601729594.64680207</v>
      </c>
      <c r="R202" s="104">
        <f>((W202)/$X$9)+Q202</f>
        <v>601814789.66621947</v>
      </c>
      <c r="S202" s="104">
        <f>R202-Q202</f>
        <v>85195.019417405128</v>
      </c>
      <c r="T202" s="104">
        <f>S202*$X$9</f>
        <v>314875.00000005896</v>
      </c>
      <c r="U202" s="3">
        <v>0</v>
      </c>
      <c r="V202" s="97">
        <f>T202+U202*$V$37</f>
        <v>314875.00000005896</v>
      </c>
      <c r="W202" s="97">
        <f>AA202*1000000/8</f>
        <v>314875</v>
      </c>
      <c r="X202" s="266">
        <f>W202-V202</f>
        <v>-5.8964360505342484E-8</v>
      </c>
      <c r="Y202" s="266"/>
      <c r="Z202" s="266"/>
      <c r="AA202" s="256">
        <f>1.1*AP202</f>
        <v>2.5190000000000001</v>
      </c>
      <c r="AB202" s="229"/>
      <c r="AC202" s="308">
        <f>AC201+AK202</f>
        <v>163.88043689077114</v>
      </c>
      <c r="AD202" s="297"/>
      <c r="AE202" s="297"/>
      <c r="AF202" s="297"/>
      <c r="AG202" s="297"/>
      <c r="AH202" s="178" t="str">
        <f>MID(AL202,7,9)</f>
        <v>TRK_207_1</v>
      </c>
      <c r="AI202" s="192" t="s">
        <v>1435</v>
      </c>
      <c r="AJ202" s="232">
        <f>X202*8/1000000</f>
        <v>-4.7171488404273987E-13</v>
      </c>
      <c r="AK202" s="232">
        <f>V202*8/1000000</f>
        <v>2.5190000000004718</v>
      </c>
      <c r="AL202" s="276" t="s">
        <v>1436</v>
      </c>
      <c r="AM202" s="276" t="s">
        <v>1437</v>
      </c>
      <c r="AN202" s="276">
        <v>2.29</v>
      </c>
      <c r="AO202" s="276">
        <v>2.29</v>
      </c>
      <c r="AP202" s="276">
        <v>2.29</v>
      </c>
    </row>
    <row r="203" spans="1:44" ht="14.25">
      <c r="C203" s="3"/>
      <c r="D203" s="3"/>
      <c r="E203" s="3"/>
      <c r="F203" s="3"/>
      <c r="G203" s="3"/>
      <c r="H203" s="3"/>
      <c r="I203" s="3"/>
      <c r="J203" s="3"/>
      <c r="AB203">
        <f>36+42+56+105+AD200</f>
        <v>320.84856310926216</v>
      </c>
      <c r="AC203">
        <f>37+82</f>
        <v>119</v>
      </c>
    </row>
    <row r="204" spans="1:44" ht="14.25">
      <c r="C204" s="3"/>
      <c r="D204" s="3"/>
      <c r="E204" s="3"/>
      <c r="F204" s="3"/>
      <c r="G204" s="3"/>
      <c r="H204" s="3"/>
      <c r="I204" s="3"/>
      <c r="J204" s="3"/>
      <c r="P204" s="81" t="s">
        <v>1438</v>
      </c>
      <c r="Q204" s="81" t="s">
        <v>1439</v>
      </c>
      <c r="R204" s="81">
        <v>615780416</v>
      </c>
      <c r="S204" s="81">
        <v>7</v>
      </c>
      <c r="T204" s="81" t="s">
        <v>373</v>
      </c>
      <c r="U204" s="81" t="s">
        <v>1440</v>
      </c>
      <c r="V204" s="81" t="s">
        <v>866</v>
      </c>
      <c r="W204" s="81" t="s">
        <v>867</v>
      </c>
      <c r="Z204" s="81" t="s">
        <v>1441</v>
      </c>
    </row>
    <row r="205" spans="1:44" ht="14.25">
      <c r="C205" s="3"/>
      <c r="D205" s="3"/>
      <c r="E205" s="3"/>
      <c r="F205" s="3"/>
      <c r="G205" s="3"/>
      <c r="H205" s="3"/>
      <c r="I205" s="3"/>
      <c r="J205" s="3"/>
      <c r="P205" s="81" t="s">
        <v>1442</v>
      </c>
      <c r="Q205" s="81" t="s">
        <v>1443</v>
      </c>
      <c r="R205" s="81">
        <v>615782106</v>
      </c>
      <c r="S205" s="81">
        <v>0</v>
      </c>
      <c r="T205" s="81" t="s">
        <v>1124</v>
      </c>
      <c r="U205" s="81" t="s">
        <v>1440</v>
      </c>
      <c r="V205" s="81" t="s">
        <v>1444</v>
      </c>
      <c r="W205" s="81"/>
      <c r="Z205" s="81" t="s">
        <v>1441</v>
      </c>
      <c r="AB205">
        <f>380*0.12</f>
        <v>45.6</v>
      </c>
    </row>
    <row r="206" spans="1:44" ht="14.25">
      <c r="C206" s="3"/>
      <c r="D206" s="3"/>
      <c r="E206" s="3"/>
      <c r="F206" s="3"/>
      <c r="G206" s="3"/>
      <c r="H206" s="3"/>
      <c r="I206" s="3"/>
      <c r="J206" s="3"/>
      <c r="P206" s="81" t="s">
        <v>1445</v>
      </c>
      <c r="Q206" s="81" t="s">
        <v>1446</v>
      </c>
      <c r="R206" s="81">
        <v>615782109</v>
      </c>
      <c r="S206" s="81">
        <v>0</v>
      </c>
      <c r="T206" s="81" t="s">
        <v>1124</v>
      </c>
      <c r="U206" s="81" t="s">
        <v>1440</v>
      </c>
      <c r="V206" s="81" t="s">
        <v>1447</v>
      </c>
      <c r="W206" s="81"/>
      <c r="Z206" s="81" t="s">
        <v>1441</v>
      </c>
    </row>
    <row r="207" spans="1:44" ht="14.25">
      <c r="C207" s="3"/>
      <c r="D207" s="3"/>
      <c r="E207" s="3"/>
      <c r="F207" s="3"/>
      <c r="G207" s="3"/>
      <c r="H207" s="3"/>
      <c r="I207" s="3"/>
      <c r="J207" s="3"/>
      <c r="P207" s="81" t="s">
        <v>1448</v>
      </c>
      <c r="Q207" s="81" t="s">
        <v>1449</v>
      </c>
      <c r="R207" s="81">
        <v>615782112</v>
      </c>
      <c r="S207" s="81">
        <v>0</v>
      </c>
      <c r="T207" s="81" t="s">
        <v>1124</v>
      </c>
      <c r="U207" s="81" t="s">
        <v>1450</v>
      </c>
      <c r="V207" s="81" t="s">
        <v>1160</v>
      </c>
      <c r="W207" s="81"/>
      <c r="Z207" s="81" t="s">
        <v>1441</v>
      </c>
    </row>
    <row r="208" spans="1:44" ht="14.25">
      <c r="P208" s="81" t="s">
        <v>1451</v>
      </c>
      <c r="Q208" s="81" t="s">
        <v>1452</v>
      </c>
      <c r="R208" s="81">
        <v>615782115</v>
      </c>
      <c r="S208" s="81">
        <v>0</v>
      </c>
      <c r="T208" s="81" t="s">
        <v>1124</v>
      </c>
      <c r="U208" s="81" t="s">
        <v>1450</v>
      </c>
      <c r="V208" s="81" t="s">
        <v>1164</v>
      </c>
      <c r="W208" s="81"/>
      <c r="Z208" s="81" t="s">
        <v>1441</v>
      </c>
    </row>
    <row r="209" spans="1:46" ht="14.25">
      <c r="AJ209" t="s">
        <v>1453</v>
      </c>
      <c r="AK209" t="s">
        <v>1454</v>
      </c>
      <c r="AL209" t="s">
        <v>1455</v>
      </c>
      <c r="AM209" t="s">
        <v>1456</v>
      </c>
      <c r="AN209" t="s">
        <v>1457</v>
      </c>
      <c r="AO209" t="s">
        <v>1458</v>
      </c>
      <c r="AP209" s="313" t="s">
        <v>1459</v>
      </c>
      <c r="AQ209" t="s">
        <v>1460</v>
      </c>
    </row>
    <row r="210" spans="1:46" ht="14.25">
      <c r="P210" s="59">
        <v>25207</v>
      </c>
      <c r="T210" s="3"/>
      <c r="V210" s="93"/>
      <c r="X210" t="s">
        <v>1010</v>
      </c>
      <c r="AP210" s="313"/>
    </row>
    <row r="211" spans="1:46" ht="14.25">
      <c r="P211" s="73" t="s">
        <v>837</v>
      </c>
      <c r="Q211" s="72" t="s">
        <v>65</v>
      </c>
      <c r="R211" s="73" t="s">
        <v>66</v>
      </c>
      <c r="S211" s="73" t="s">
        <v>67</v>
      </c>
      <c r="T211" s="74" t="s">
        <v>68</v>
      </c>
      <c r="U211" s="3" t="s">
        <v>176</v>
      </c>
      <c r="V211" s="74" t="s">
        <v>265</v>
      </c>
      <c r="W211" s="73" t="s">
        <v>266</v>
      </c>
      <c r="X211" s="73" t="s">
        <v>70</v>
      </c>
      <c r="AJ211" t="s">
        <v>1461</v>
      </c>
      <c r="AK211" t="s">
        <v>1462</v>
      </c>
      <c r="AL211">
        <v>2.7576000000000001</v>
      </c>
      <c r="AM211">
        <v>8</v>
      </c>
      <c r="AN211">
        <v>1.7008620000000001</v>
      </c>
      <c r="AO211">
        <v>0</v>
      </c>
      <c r="AP211" s="313"/>
      <c r="AQ211">
        <v>0</v>
      </c>
    </row>
    <row r="212" spans="1:46" ht="14.25">
      <c r="C212" s="291" t="s">
        <v>941</v>
      </c>
      <c r="D212" s="291" t="s">
        <v>942</v>
      </c>
      <c r="E212" s="291" t="s">
        <v>766</v>
      </c>
      <c r="F212" s="291" t="s">
        <v>764</v>
      </c>
      <c r="G212" s="291" t="s">
        <v>765</v>
      </c>
      <c r="H212" s="291" t="s">
        <v>768</v>
      </c>
      <c r="I212" s="291" t="s">
        <v>769</v>
      </c>
      <c r="J212" s="291" t="s">
        <v>943</v>
      </c>
      <c r="K212" s="291" t="s">
        <v>1540</v>
      </c>
      <c r="P212" s="224" t="s">
        <v>1463</v>
      </c>
      <c r="Q212" s="224" t="s">
        <v>1464</v>
      </c>
      <c r="R212" s="224">
        <v>615306116</v>
      </c>
      <c r="S212" s="224">
        <v>8</v>
      </c>
      <c r="T212" s="224" t="s">
        <v>373</v>
      </c>
      <c r="U212" s="224" t="s">
        <v>1465</v>
      </c>
      <c r="V212" s="224" t="s">
        <v>816</v>
      </c>
      <c r="W212" s="224" t="s">
        <v>817</v>
      </c>
      <c r="X212" s="224" t="s">
        <v>1466</v>
      </c>
      <c r="AJ212" t="s">
        <v>1467</v>
      </c>
      <c r="AK212" t="s">
        <v>1468</v>
      </c>
      <c r="AL212">
        <v>1.3248500000000001</v>
      </c>
      <c r="AM212">
        <v>2</v>
      </c>
      <c r="AN212">
        <v>0.84326100000000004</v>
      </c>
      <c r="AO212">
        <v>0</v>
      </c>
      <c r="AP212" s="313"/>
      <c r="AQ212">
        <v>0</v>
      </c>
    </row>
    <row r="213" spans="1:46" ht="14.25">
      <c r="P213" s="224" t="s">
        <v>1469</v>
      </c>
      <c r="Q213" s="224" t="s">
        <v>1470</v>
      </c>
      <c r="R213" s="224">
        <v>615312896</v>
      </c>
      <c r="S213" s="224">
        <v>0</v>
      </c>
      <c r="T213" s="224" t="s">
        <v>826</v>
      </c>
      <c r="U213" s="224" t="s">
        <v>1465</v>
      </c>
      <c r="V213" s="224" t="s">
        <v>1471</v>
      </c>
      <c r="W213" s="224"/>
      <c r="X213" s="224" t="s">
        <v>1472</v>
      </c>
      <c r="AP213" s="313"/>
    </row>
    <row r="214" spans="1:46" ht="14.25">
      <c r="P214" s="224" t="s">
        <v>1473</v>
      </c>
      <c r="Q214" s="224" t="s">
        <v>1474</v>
      </c>
      <c r="R214" s="224">
        <v>615338560</v>
      </c>
      <c r="S214" s="224">
        <v>0</v>
      </c>
      <c r="T214" s="224" t="s">
        <v>826</v>
      </c>
      <c r="U214" s="224" t="s">
        <v>1475</v>
      </c>
      <c r="V214" s="224" t="s">
        <v>828</v>
      </c>
      <c r="W214" s="224"/>
      <c r="X214" s="224" t="s">
        <v>1476</v>
      </c>
      <c r="AP214" s="313"/>
    </row>
    <row r="215" spans="1:46" ht="14.25">
      <c r="P215" s="224" t="s">
        <v>1477</v>
      </c>
      <c r="Q215" s="224" t="s">
        <v>1478</v>
      </c>
      <c r="R215" s="224">
        <v>615339001</v>
      </c>
      <c r="S215" s="224">
        <v>1</v>
      </c>
      <c r="T215" s="224" t="s">
        <v>373</v>
      </c>
      <c r="U215" s="224" t="s">
        <v>1475</v>
      </c>
      <c r="V215" s="224" t="s">
        <v>833</v>
      </c>
      <c r="W215" s="224"/>
      <c r="X215" s="224" t="s">
        <v>1476</v>
      </c>
      <c r="AP215" s="313"/>
    </row>
    <row r="216" spans="1:46" ht="14.25">
      <c r="AP216" s="313"/>
    </row>
    <row r="217" spans="1:46" ht="15.75">
      <c r="A217" t="s">
        <v>1318</v>
      </c>
      <c r="C217" s="3"/>
      <c r="D217" s="3"/>
      <c r="E217" s="3"/>
      <c r="F217" s="3"/>
      <c r="G217" s="3"/>
      <c r="H217" s="3"/>
      <c r="I217" s="3"/>
      <c r="J217" s="3" t="s">
        <v>943</v>
      </c>
      <c r="K217" s="3" t="s">
        <v>1540</v>
      </c>
      <c r="L217" s="226" t="s">
        <v>1434</v>
      </c>
      <c r="M217" s="226" t="s">
        <v>1479</v>
      </c>
      <c r="O217" s="263" t="str">
        <f>AI217</f>
        <v>209/22:54</v>
      </c>
      <c r="P217" s="179" t="str">
        <f>MID(AL217,5,5)</f>
        <v>209_2</v>
      </c>
      <c r="Q217" s="237">
        <f>R202-3</f>
        <v>601814786.66621947</v>
      </c>
      <c r="R217" s="104">
        <f>((W217)/$X$9)+Q217</f>
        <v>601824016.27321386</v>
      </c>
      <c r="S217" s="104">
        <f t="shared" ref="S217:S224" si="87">R217-Q217</f>
        <v>9229.6069943904877</v>
      </c>
      <c r="T217" s="104">
        <f>S217*$X$9</f>
        <v>34111.999999914609</v>
      </c>
      <c r="U217" s="3">
        <v>0</v>
      </c>
      <c r="V217" s="97">
        <f t="shared" ref="V217:V224" si="88">T217+U217*$V$37</f>
        <v>34111.999999914609</v>
      </c>
      <c r="W217" s="97">
        <f>AA217*1000000/8</f>
        <v>34112</v>
      </c>
      <c r="X217" s="266">
        <f t="shared" ref="X217:X224" si="89">W217-V217</f>
        <v>8.5390638560056686E-8</v>
      </c>
      <c r="Y217" s="266"/>
      <c r="Z217" s="266"/>
      <c r="AA217" s="256">
        <f>AR217</f>
        <v>0.27289600000000003</v>
      </c>
      <c r="AB217" s="229"/>
      <c r="AC217" s="308">
        <f>AA212+AK217</f>
        <v>0.27289599999931685</v>
      </c>
      <c r="AH217" s="178" t="str">
        <f>AL217</f>
        <v>TRK_209_2</v>
      </c>
      <c r="AI217" s="192" t="s">
        <v>1480</v>
      </c>
      <c r="AJ217" s="232">
        <f t="shared" ref="AJ217:AJ224" si="90">X217*8/1000000</f>
        <v>6.8312510848045349E-13</v>
      </c>
      <c r="AK217" s="232">
        <f t="shared" ref="AK217:AK224" si="91">V217*8/1000000</f>
        <v>0.27289599999931685</v>
      </c>
      <c r="AL217" t="s">
        <v>1481</v>
      </c>
      <c r="AM217" t="s">
        <v>1482</v>
      </c>
      <c r="AN217">
        <v>0.67269000000000001</v>
      </c>
      <c r="AO217">
        <v>9</v>
      </c>
      <c r="AP217">
        <v>0.70681099999999997</v>
      </c>
      <c r="AQ217">
        <v>3.4112000000000003E-2</v>
      </c>
      <c r="AR217" s="313">
        <f>AQ217*8</f>
        <v>0.27289600000000003</v>
      </c>
      <c r="AS217">
        <v>0.30018699999999998</v>
      </c>
      <c r="AT217">
        <f>AS217</f>
        <v>0.30018699999999998</v>
      </c>
    </row>
    <row r="218" spans="1:46" ht="15.75">
      <c r="A218" t="s">
        <v>1483</v>
      </c>
      <c r="C218" s="3"/>
      <c r="D218" s="3"/>
      <c r="E218" s="3"/>
      <c r="F218" s="3"/>
      <c r="G218" s="3"/>
      <c r="H218" s="3"/>
      <c r="I218" s="3"/>
      <c r="J218" s="3" t="s">
        <v>943</v>
      </c>
      <c r="K218" s="3" t="s">
        <v>1540</v>
      </c>
      <c r="L218" s="226" t="s">
        <v>1484</v>
      </c>
      <c r="M218" s="226" t="s">
        <v>1485</v>
      </c>
      <c r="N218" t="s">
        <v>1544</v>
      </c>
      <c r="O218" s="263" t="str">
        <f>AI218</f>
        <v>210/20:49</v>
      </c>
      <c r="P218" s="179" t="str">
        <f>MID(AL218,5,5)</f>
        <v>210_2</v>
      </c>
      <c r="Q218" s="237">
        <f>R212-20</f>
        <v>615306096</v>
      </c>
      <c r="R218" s="104">
        <f>R215+20</f>
        <v>615339021</v>
      </c>
      <c r="S218" s="104">
        <f t="shared" si="87"/>
        <v>32925</v>
      </c>
      <c r="T218" s="104">
        <f>W218</f>
        <v>845631</v>
      </c>
      <c r="U218" s="3">
        <v>0</v>
      </c>
      <c r="V218" s="97">
        <f t="shared" si="88"/>
        <v>845631</v>
      </c>
      <c r="W218" s="97">
        <f>AA218*1000000/8</f>
        <v>845631</v>
      </c>
      <c r="X218" s="266">
        <f t="shared" si="89"/>
        <v>0</v>
      </c>
      <c r="Y218" s="266"/>
      <c r="Z218" s="266"/>
      <c r="AA218" s="256">
        <f>AR218</f>
        <v>6.7650480000000002</v>
      </c>
      <c r="AB218" s="229"/>
      <c r="AC218" s="308">
        <f>AC217+AK218</f>
        <v>7.0379439999993174</v>
      </c>
      <c r="AH218" s="178" t="str">
        <f>AL218</f>
        <v>TRK_210_2</v>
      </c>
      <c r="AI218" s="192" t="s">
        <v>1486</v>
      </c>
      <c r="AJ218" s="232">
        <f t="shared" si="90"/>
        <v>0</v>
      </c>
      <c r="AK218" s="232">
        <f t="shared" si="91"/>
        <v>6.7650480000000002</v>
      </c>
      <c r="AL218" t="s">
        <v>1487</v>
      </c>
      <c r="AM218" t="s">
        <v>1488</v>
      </c>
      <c r="AN218">
        <v>0.55793000000000004</v>
      </c>
      <c r="AO218">
        <v>7</v>
      </c>
      <c r="AP218">
        <v>1.4035679999999999</v>
      </c>
      <c r="AQ218">
        <v>0.84563100000000002</v>
      </c>
      <c r="AR218" s="313">
        <f>AQ218*8</f>
        <v>6.7650480000000002</v>
      </c>
      <c r="AS218">
        <v>7.4415480000000001</v>
      </c>
      <c r="AT218">
        <f>AS218+AS217</f>
        <v>7.7417350000000003</v>
      </c>
    </row>
    <row r="219" spans="1:46" ht="15.75">
      <c r="A219" t="s">
        <v>1318</v>
      </c>
      <c r="C219" s="3"/>
      <c r="D219" s="3"/>
      <c r="E219" s="3"/>
      <c r="F219" s="3"/>
      <c r="G219" s="3"/>
      <c r="H219" s="3"/>
      <c r="I219" s="3"/>
      <c r="J219" s="3" t="s">
        <v>943</v>
      </c>
      <c r="K219" s="3" t="s">
        <v>1540</v>
      </c>
      <c r="L219" s="226" t="s">
        <v>1479</v>
      </c>
      <c r="M219" s="226" t="s">
        <v>1489</v>
      </c>
      <c r="O219" s="263" t="str">
        <f>AI219</f>
        <v>211/13:39</v>
      </c>
      <c r="P219" s="179" t="str">
        <f>MID(AL219,5,5)</f>
        <v>211_1</v>
      </c>
      <c r="Q219" s="237">
        <f>R217-3</f>
        <v>601824013.27321386</v>
      </c>
      <c r="R219" s="104">
        <f>((W219)/$X$9)+Q219</f>
        <v>602046790.36870468</v>
      </c>
      <c r="S219" s="104">
        <f t="shared" si="87"/>
        <v>222777.09549081326</v>
      </c>
      <c r="T219" s="104">
        <f>S219*$X$9</f>
        <v>823368.99999992386</v>
      </c>
      <c r="U219" s="3">
        <v>0</v>
      </c>
      <c r="V219" s="97">
        <f t="shared" si="88"/>
        <v>823368.99999992386</v>
      </c>
      <c r="W219" s="97">
        <f>AA219*1000000/8</f>
        <v>823369</v>
      </c>
      <c r="X219" s="266">
        <f t="shared" si="89"/>
        <v>7.6135620474815369E-8</v>
      </c>
      <c r="Y219" s="266"/>
      <c r="Z219" s="266"/>
      <c r="AA219" s="256">
        <f>AR219</f>
        <v>6.5869520000000001</v>
      </c>
      <c r="AB219" s="229"/>
      <c r="AC219" s="308">
        <f>AC218+AK219</f>
        <v>13.624895999998708</v>
      </c>
      <c r="AH219" s="178" t="str">
        <f>AL219</f>
        <v>TRK_211_1</v>
      </c>
      <c r="AI219" s="192" t="s">
        <v>1490</v>
      </c>
      <c r="AJ219" s="232">
        <f t="shared" si="90"/>
        <v>6.0908496379852291E-13</v>
      </c>
      <c r="AK219" s="232">
        <f t="shared" si="91"/>
        <v>6.5869519999993908</v>
      </c>
      <c r="AL219" t="s">
        <v>651</v>
      </c>
      <c r="AM219" t="s">
        <v>1491</v>
      </c>
      <c r="AN219">
        <v>0.24687999999999999</v>
      </c>
      <c r="AO219">
        <v>0</v>
      </c>
      <c r="AP219">
        <v>1.070249</v>
      </c>
      <c r="AQ219">
        <v>0.82336900000000002</v>
      </c>
      <c r="AR219" s="313">
        <f>AQ219*8</f>
        <v>6.5869520000000001</v>
      </c>
      <c r="AS219">
        <v>7.2456469999999999</v>
      </c>
      <c r="AT219">
        <f>AS219+AS218</f>
        <v>14.687194999999999</v>
      </c>
    </row>
    <row r="220" spans="1:46" ht="15.75">
      <c r="A220" t="s">
        <v>1318</v>
      </c>
      <c r="C220" s="3"/>
      <c r="D220" s="3"/>
      <c r="E220" s="3"/>
      <c r="F220" s="3"/>
      <c r="G220" s="3"/>
      <c r="H220" s="3"/>
      <c r="I220" s="3"/>
      <c r="J220" s="3" t="s">
        <v>943</v>
      </c>
      <c r="K220" s="3" t="s">
        <v>1540</v>
      </c>
      <c r="L220" s="226" t="s">
        <v>1489</v>
      </c>
      <c r="M220" s="226" t="s">
        <v>1492</v>
      </c>
      <c r="O220" s="263" t="str">
        <f>AI220</f>
        <v>212/08:19</v>
      </c>
      <c r="P220" s="179" t="str">
        <f>MID(AL220,5,5)</f>
        <v>212_1</v>
      </c>
      <c r="Q220" s="237">
        <f>R219-3</f>
        <v>602046787.36870468</v>
      </c>
      <c r="R220" s="104">
        <f>((W220)/$X$9)+Q220</f>
        <v>602076916.71076822</v>
      </c>
      <c r="S220" s="104">
        <f t="shared" si="87"/>
        <v>30129.342063546181</v>
      </c>
      <c r="T220" s="104">
        <f>S220*$X$9</f>
        <v>111356.0000001915</v>
      </c>
      <c r="U220" s="3">
        <v>0</v>
      </c>
      <c r="V220" s="97">
        <f t="shared" si="88"/>
        <v>111356.0000001915</v>
      </c>
      <c r="W220" s="97">
        <f>AA220*1000000/8</f>
        <v>111356</v>
      </c>
      <c r="X220" s="266">
        <f t="shared" si="89"/>
        <v>-1.9150320440530777E-7</v>
      </c>
      <c r="Y220" s="266"/>
      <c r="Z220" s="266"/>
      <c r="AA220" s="256">
        <f>AR220</f>
        <v>0.89084799999999997</v>
      </c>
      <c r="AB220" s="229"/>
      <c r="AC220" s="308">
        <f>AC219+AK220</f>
        <v>14.51574400000024</v>
      </c>
      <c r="AH220" s="178" t="str">
        <f>AL220</f>
        <v>TRK_212_1</v>
      </c>
      <c r="AI220" s="192" t="s">
        <v>1493</v>
      </c>
      <c r="AJ220" s="232">
        <f t="shared" si="90"/>
        <v>-1.5320256352424621E-12</v>
      </c>
      <c r="AK220" s="232">
        <f t="shared" si="91"/>
        <v>0.89084800000153208</v>
      </c>
      <c r="AL220" t="s">
        <v>1494</v>
      </c>
      <c r="AM220" t="s">
        <v>1495</v>
      </c>
      <c r="AN220">
        <v>0.26268999999999998</v>
      </c>
      <c r="AO220">
        <v>7</v>
      </c>
      <c r="AP220">
        <v>0.37405300000000002</v>
      </c>
      <c r="AQ220">
        <v>0.111356</v>
      </c>
      <c r="AR220" s="313">
        <f>AQ220*8</f>
        <v>0.89084799999999997</v>
      </c>
      <c r="AS220">
        <v>0.97992999999999997</v>
      </c>
      <c r="AT220">
        <f>AS220+AS219</f>
        <v>8.2255769999999995</v>
      </c>
    </row>
    <row r="221" spans="1:46" ht="15.75">
      <c r="A221" t="s">
        <v>1398</v>
      </c>
      <c r="C221" s="3">
        <v>103</v>
      </c>
      <c r="D221" s="3">
        <v>105</v>
      </c>
      <c r="E221" s="3" t="s">
        <v>766</v>
      </c>
      <c r="F221" s="3" t="s">
        <v>764</v>
      </c>
      <c r="G221" s="3"/>
      <c r="H221" s="3" t="s">
        <v>768</v>
      </c>
      <c r="I221" s="3" t="s">
        <v>769</v>
      </c>
      <c r="J221" s="3"/>
      <c r="L221" s="257" t="s">
        <v>1407</v>
      </c>
      <c r="M221" s="257" t="s">
        <v>1496</v>
      </c>
      <c r="N221" t="s">
        <v>167</v>
      </c>
      <c r="O221" s="263" t="str">
        <f>AI221</f>
        <v>212/20:54</v>
      </c>
      <c r="P221" s="179" t="str">
        <f>MID(AL221,5,5)</f>
        <v>212_2</v>
      </c>
      <c r="Q221" s="237">
        <f>R195-1</f>
        <v>615335512</v>
      </c>
      <c r="R221" s="307">
        <f>R198+20</f>
        <v>615338942</v>
      </c>
      <c r="S221" s="104">
        <f t="shared" si="87"/>
        <v>3430</v>
      </c>
      <c r="T221" s="104">
        <f>S221*$V$17</f>
        <v>7288.3331597222032</v>
      </c>
      <c r="U221" s="3">
        <v>0</v>
      </c>
      <c r="V221" s="142">
        <f t="shared" si="88"/>
        <v>7288.3331597222032</v>
      </c>
      <c r="W221" s="97">
        <f>AA221*1000000/8</f>
        <v>1095433</v>
      </c>
      <c r="X221" s="266">
        <f t="shared" si="89"/>
        <v>1088144.6668402778</v>
      </c>
      <c r="Y221" s="318">
        <f>S221*$V$29+U221*$V$37</f>
        <v>6410.8843750000005</v>
      </c>
      <c r="Z221" s="319">
        <f>Y221/V221</f>
        <v>0.87960912797300739</v>
      </c>
      <c r="AA221" s="256">
        <f>AR221</f>
        <v>8.7634640000000008</v>
      </c>
      <c r="AB221" s="229"/>
      <c r="AC221" s="229"/>
      <c r="AD221" s="297">
        <f>AK221</f>
        <v>5.8306665277777628E-2</v>
      </c>
      <c r="AE221" s="297"/>
      <c r="AF221" s="297"/>
      <c r="AG221" s="297"/>
      <c r="AH221" s="178" t="str">
        <f>AL221</f>
        <v>TRK_212_2</v>
      </c>
      <c r="AI221" s="192" t="s">
        <v>1497</v>
      </c>
      <c r="AJ221" s="232">
        <f t="shared" si="90"/>
        <v>8.7051573347222231</v>
      </c>
      <c r="AK221" s="232">
        <f t="shared" si="91"/>
        <v>5.8306665277777628E-2</v>
      </c>
      <c r="AL221" t="s">
        <v>1498</v>
      </c>
      <c r="AM221" t="s">
        <v>1499</v>
      </c>
      <c r="AN221">
        <v>0.22791</v>
      </c>
      <c r="AO221">
        <v>1</v>
      </c>
      <c r="AP221">
        <v>1.3233440000000001</v>
      </c>
      <c r="AQ221">
        <v>1.0954330000000001</v>
      </c>
      <c r="AR221" s="313">
        <f>AQ221*8</f>
        <v>8.7634640000000008</v>
      </c>
      <c r="AS221">
        <v>9.6398080000000004</v>
      </c>
      <c r="AT221">
        <f>AS221+AS220</f>
        <v>10.619738</v>
      </c>
    </row>
    <row r="222" spans="1:46" ht="15.75">
      <c r="A222" t="s">
        <v>1500</v>
      </c>
      <c r="C222" s="3"/>
      <c r="D222" s="3"/>
      <c r="E222" s="3" t="s">
        <v>766</v>
      </c>
      <c r="F222" s="3" t="s">
        <v>764</v>
      </c>
      <c r="G222" s="3" t="s">
        <v>765</v>
      </c>
      <c r="H222" s="3"/>
      <c r="I222" s="3"/>
      <c r="J222" s="3"/>
      <c r="K222" s="388"/>
      <c r="L222" s="257" t="s">
        <v>1502</v>
      </c>
      <c r="M222" s="257" t="s">
        <v>1503</v>
      </c>
      <c r="O222" s="263"/>
      <c r="P222" s="179"/>
      <c r="Q222" s="303">
        <f>R204-20</f>
        <v>615780396</v>
      </c>
      <c r="R222" s="307">
        <f>R227</f>
        <v>615857156</v>
      </c>
      <c r="S222" s="104">
        <f t="shared" si="87"/>
        <v>76760</v>
      </c>
      <c r="T222" s="104">
        <f>S222*$V$15</f>
        <v>132922.73333333287</v>
      </c>
      <c r="U222" s="3">
        <v>1</v>
      </c>
      <c r="V222" s="142">
        <f t="shared" si="88"/>
        <v>330297.73333333287</v>
      </c>
      <c r="W222" s="142">
        <f>X221</f>
        <v>1088144.6668402778</v>
      </c>
      <c r="X222" s="266">
        <f t="shared" si="89"/>
        <v>757846.93350694492</v>
      </c>
      <c r="Y222" s="318">
        <f>S222*$V$29+U222*$V$37</f>
        <v>340844.23750000005</v>
      </c>
      <c r="Z222" s="319">
        <f>Y222/V222</f>
        <v>1.0319302953133613</v>
      </c>
      <c r="AA222" s="256"/>
      <c r="AB222" s="229"/>
      <c r="AC222" s="229"/>
      <c r="AD222" s="297">
        <f>AK222+AD221</f>
        <v>2.7006885319444409</v>
      </c>
      <c r="AE222" s="297"/>
      <c r="AF222" s="297"/>
      <c r="AG222" s="297"/>
      <c r="AH222" s="178"/>
      <c r="AI222" s="192"/>
      <c r="AJ222" s="232">
        <f t="shared" si="90"/>
        <v>6.062775468055559</v>
      </c>
      <c r="AK222" s="232">
        <f t="shared" si="91"/>
        <v>2.6423818666666632</v>
      </c>
    </row>
    <row r="223" spans="1:46" ht="15.75">
      <c r="A223" t="s">
        <v>1504</v>
      </c>
      <c r="C223" s="3">
        <v>104</v>
      </c>
      <c r="D223" s="3">
        <v>105</v>
      </c>
      <c r="E223" s="3" t="s">
        <v>766</v>
      </c>
      <c r="F223" s="3" t="s">
        <v>764</v>
      </c>
      <c r="G223" s="3"/>
      <c r="H223" s="3" t="s">
        <v>768</v>
      </c>
      <c r="I223" s="3" t="s">
        <v>769</v>
      </c>
      <c r="J223" s="3"/>
      <c r="L223" s="257" t="s">
        <v>1503</v>
      </c>
      <c r="M223" s="257" t="s">
        <v>1505</v>
      </c>
      <c r="O223" s="263"/>
      <c r="P223" s="179" t="str">
        <f>MID(AL223,5,5)</f>
        <v/>
      </c>
      <c r="Q223" s="237">
        <f>R222-1</f>
        <v>615857155</v>
      </c>
      <c r="R223" s="104">
        <f>((W223-U223*$V$37)/$V$21)+Q223</f>
        <v>616280773.53132844</v>
      </c>
      <c r="S223" s="104">
        <f t="shared" si="87"/>
        <v>423618.53132843971</v>
      </c>
      <c r="T223" s="104">
        <f>S223*$V$21</f>
        <v>757846.93350702629</v>
      </c>
      <c r="U223" s="3">
        <v>0</v>
      </c>
      <c r="V223" s="142">
        <f t="shared" si="88"/>
        <v>757846.93350702629</v>
      </c>
      <c r="W223" s="314">
        <f>X222</f>
        <v>757846.93350694492</v>
      </c>
      <c r="X223" s="266">
        <f t="shared" si="89"/>
        <v>-8.1374309957027435E-8</v>
      </c>
      <c r="Y223" s="318">
        <f>S223*$V$29+U223*$V$37</f>
        <v>791769.51121106185</v>
      </c>
      <c r="Z223" s="319">
        <f>Y223/V223</f>
        <v>1.044761779990393</v>
      </c>
      <c r="AA223" s="256"/>
      <c r="AB223" s="229"/>
      <c r="AC223" s="229"/>
      <c r="AD223" s="297">
        <f>AK223+AD222</f>
        <v>8.763464000000651</v>
      </c>
      <c r="AE223" s="297"/>
      <c r="AF223" s="297"/>
      <c r="AG223" s="297"/>
      <c r="AJ223" s="232">
        <f t="shared" si="90"/>
        <v>-6.5099447965621945E-13</v>
      </c>
      <c r="AK223" s="232">
        <f t="shared" si="91"/>
        <v>6.06277546805621</v>
      </c>
    </row>
    <row r="224" spans="1:46" ht="15.75">
      <c r="J224" s="3" t="s">
        <v>943</v>
      </c>
      <c r="K224" s="3" t="s">
        <v>1540</v>
      </c>
      <c r="L224" s="226" t="str">
        <f>M220</f>
        <v>048/05:43</v>
      </c>
      <c r="M224" s="226" t="s">
        <v>1507</v>
      </c>
      <c r="O224" s="263" t="str">
        <f>AI224</f>
        <v>213/11:49</v>
      </c>
      <c r="P224" s="179" t="str">
        <f>MID(AL224,5,5)</f>
        <v>213_1</v>
      </c>
      <c r="Q224" s="237">
        <f>R220-3</f>
        <v>602076913.71076822</v>
      </c>
      <c r="R224" s="104">
        <f>((W224)/$X$9)+Q224</f>
        <v>602366037.53526711</v>
      </c>
      <c r="S224" s="104">
        <f t="shared" si="87"/>
        <v>289123.82449889183</v>
      </c>
      <c r="T224" s="104">
        <f>S224*$X$9</f>
        <v>1068582.0000001879</v>
      </c>
      <c r="U224" s="3">
        <v>0</v>
      </c>
      <c r="V224" s="97">
        <f t="shared" si="88"/>
        <v>1068582.0000001879</v>
      </c>
      <c r="W224" s="97">
        <f>AA224*1000000/8</f>
        <v>1068582</v>
      </c>
      <c r="X224" s="266">
        <f t="shared" si="89"/>
        <v>-1.8789432942867279E-7</v>
      </c>
      <c r="Y224" s="266"/>
      <c r="Z224" s="266"/>
      <c r="AA224" s="256">
        <f>AR224</f>
        <v>8.5486559999999994</v>
      </c>
      <c r="AB224" s="229"/>
      <c r="AC224" s="308">
        <f>AA224+AC220</f>
        <v>23.064400000000241</v>
      </c>
      <c r="AD224" s="239">
        <f>AD223+AD222+AD221</f>
        <v>11.52245919722287</v>
      </c>
      <c r="AH224" s="178" t="str">
        <f>AL224</f>
        <v>TRK_213_1</v>
      </c>
      <c r="AI224" s="192" t="s">
        <v>1508</v>
      </c>
      <c r="AJ224" s="232">
        <f t="shared" si="90"/>
        <v>-1.5031546354293823E-12</v>
      </c>
      <c r="AK224" s="232">
        <f t="shared" si="91"/>
        <v>8.5486560000015039</v>
      </c>
      <c r="AL224" t="s">
        <v>664</v>
      </c>
      <c r="AM224" t="s">
        <v>1509</v>
      </c>
      <c r="AN224">
        <v>0.38590999999999998</v>
      </c>
      <c r="AO224">
        <v>0</v>
      </c>
      <c r="AP224">
        <v>1.4544919999999999</v>
      </c>
      <c r="AQ224">
        <v>1.0685819999999999</v>
      </c>
      <c r="AR224" s="313">
        <f>AQ224*8</f>
        <v>8.5486559999999994</v>
      </c>
      <c r="AS224">
        <v>9.4035250000000001</v>
      </c>
      <c r="AT224">
        <f>AS224+AS221</f>
        <v>19.043333000000001</v>
      </c>
    </row>
    <row r="225" spans="1:45" ht="14.25">
      <c r="AB225">
        <f>AD224+119</f>
        <v>130.52245919722287</v>
      </c>
      <c r="AC225" s="3" t="s">
        <v>1545</v>
      </c>
      <c r="AD225" s="3">
        <v>12</v>
      </c>
      <c r="AE225">
        <f>38-AD225</f>
        <v>26</v>
      </c>
    </row>
    <row r="226" spans="1:45" ht="14.25">
      <c r="M226">
        <f>(M227-18)*60</f>
        <v>39.87738947405262</v>
      </c>
      <c r="AB226">
        <f>AB225*0.12</f>
        <v>15.662695103666744</v>
      </c>
      <c r="AC226" s="3">
        <v>13</v>
      </c>
      <c r="AD226" s="3">
        <v>13</v>
      </c>
      <c r="AL226" s="315" t="s">
        <v>1510</v>
      </c>
      <c r="AM226" s="315" t="s">
        <v>1511</v>
      </c>
      <c r="AN226" s="315">
        <v>0.86926000000000003</v>
      </c>
      <c r="AO226" s="315">
        <v>4</v>
      </c>
      <c r="AP226" s="315">
        <v>2.0916389999999998</v>
      </c>
      <c r="AQ226" s="315">
        <v>1.222375</v>
      </c>
      <c r="AR226" s="313">
        <f>AQ226*8</f>
        <v>9.7789999999999999</v>
      </c>
      <c r="AS226" s="315">
        <v>10.756899000000001</v>
      </c>
    </row>
    <row r="227" spans="1:45" ht="14.25">
      <c r="A227">
        <f>0.00087256</f>
        <v>8.7255999999999998E-4</v>
      </c>
      <c r="M227">
        <f>M228*60</f>
        <v>18.664623157900877</v>
      </c>
      <c r="P227" s="81" t="s">
        <v>1514</v>
      </c>
      <c r="Q227" s="81" t="s">
        <v>1515</v>
      </c>
      <c r="R227" s="81">
        <v>615857156</v>
      </c>
      <c r="S227" s="81">
        <v>0</v>
      </c>
      <c r="T227" s="81" t="s">
        <v>1124</v>
      </c>
      <c r="U227" s="81" t="s">
        <v>1516</v>
      </c>
      <c r="V227" s="81" t="s">
        <v>1517</v>
      </c>
      <c r="W227" s="81"/>
      <c r="X227" s="81" t="s">
        <v>1518</v>
      </c>
      <c r="AC227">
        <f>AC226/2.55</f>
        <v>5.098039215686275</v>
      </c>
      <c r="AD227" t="s">
        <v>1546</v>
      </c>
      <c r="AL227" s="315" t="s">
        <v>1512</v>
      </c>
      <c r="AM227" s="315" t="s">
        <v>1513</v>
      </c>
      <c r="AN227" s="315">
        <v>0.24697</v>
      </c>
      <c r="AO227" s="315">
        <v>1</v>
      </c>
      <c r="AP227" s="315">
        <v>2.9744730000000001</v>
      </c>
      <c r="AQ227" s="315">
        <v>2.7275019999999999</v>
      </c>
      <c r="AR227" s="313">
        <f>AQ227*8</f>
        <v>21.820015999999999</v>
      </c>
      <c r="AS227" s="315">
        <v>24.002020000000002</v>
      </c>
    </row>
    <row r="228" spans="1:45" ht="14.25">
      <c r="A228">
        <f>A227*4</f>
        <v>3.4902399999999999E-3</v>
      </c>
      <c r="M228">
        <f>M229-13</f>
        <v>0.31107705263168128</v>
      </c>
      <c r="P228" s="81" t="s">
        <v>1521</v>
      </c>
      <c r="Q228" s="81" t="s">
        <v>1522</v>
      </c>
      <c r="R228" s="81">
        <v>615857159</v>
      </c>
      <c r="S228" s="81">
        <v>0</v>
      </c>
      <c r="T228" s="81" t="s">
        <v>1124</v>
      </c>
      <c r="U228" s="81" t="s">
        <v>1516</v>
      </c>
      <c r="V228" s="81" t="s">
        <v>1523</v>
      </c>
      <c r="W228" s="81"/>
      <c r="X228" s="81" t="s">
        <v>1518</v>
      </c>
      <c r="AC228" t="s">
        <v>1547</v>
      </c>
      <c r="AL228" s="315" t="s">
        <v>1519</v>
      </c>
      <c r="AM228" s="315" t="s">
        <v>1520</v>
      </c>
      <c r="AN228" s="315">
        <v>0.52649000000000001</v>
      </c>
      <c r="AO228" s="315">
        <v>1</v>
      </c>
      <c r="AP228" s="315">
        <v>1.3696569999999999</v>
      </c>
      <c r="AQ228" s="315">
        <v>0.84316599999999997</v>
      </c>
      <c r="AR228" s="313">
        <f>AQ228*8</f>
        <v>6.7453279999999998</v>
      </c>
      <c r="AS228" s="315">
        <v>7.4198620000000002</v>
      </c>
    </row>
    <row r="229" spans="1:45" ht="14.25">
      <c r="L229" t="s">
        <v>1548</v>
      </c>
      <c r="M229">
        <f>M230-48</f>
        <v>13.311077052631681</v>
      </c>
      <c r="P229" s="81" t="s">
        <v>1526</v>
      </c>
      <c r="Q229" s="81" t="s">
        <v>1527</v>
      </c>
      <c r="R229" s="81">
        <v>615857162</v>
      </c>
      <c r="S229" s="81">
        <v>0</v>
      </c>
      <c r="T229" s="81" t="s">
        <v>1124</v>
      </c>
      <c r="U229" s="81" t="s">
        <v>1516</v>
      </c>
      <c r="V229" s="81" t="s">
        <v>1528</v>
      </c>
      <c r="W229" s="81"/>
      <c r="X229" s="81" t="s">
        <v>1518</v>
      </c>
      <c r="AL229" s="315" t="s">
        <v>1524</v>
      </c>
      <c r="AM229" s="315" t="s">
        <v>1525</v>
      </c>
      <c r="AN229" s="315">
        <v>0.27113999999999999</v>
      </c>
      <c r="AO229" s="315">
        <v>5</v>
      </c>
      <c r="AP229" s="315">
        <v>0.32642500000000002</v>
      </c>
      <c r="AQ229" s="315">
        <v>5.5280000000000003E-2</v>
      </c>
      <c r="AR229" s="313">
        <f>AQ229*8</f>
        <v>0.44224000000000002</v>
      </c>
      <c r="AS229" s="315">
        <v>0.48646099999999998</v>
      </c>
    </row>
    <row r="230" spans="1:45" ht="14.25">
      <c r="M230">
        <f>M231*24</f>
        <v>61.311077052631681</v>
      </c>
      <c r="P230" s="81" t="s">
        <v>1529</v>
      </c>
      <c r="Q230" s="81" t="s">
        <v>1530</v>
      </c>
      <c r="R230" s="81">
        <v>615857165</v>
      </c>
      <c r="S230" s="81">
        <v>0</v>
      </c>
      <c r="T230" s="81" t="s">
        <v>1124</v>
      </c>
      <c r="U230" s="81" t="s">
        <v>1516</v>
      </c>
      <c r="V230" s="81" t="s">
        <v>1164</v>
      </c>
      <c r="W230" s="81"/>
      <c r="X230" s="81" t="s">
        <v>1518</v>
      </c>
      <c r="AC230" s="3">
        <f>36</f>
        <v>36</v>
      </c>
      <c r="AD230" s="3">
        <f>11+12+13</f>
        <v>36</v>
      </c>
      <c r="AN230">
        <f>AN229+AN228+AN227+AN226</f>
        <v>1.9138600000000001</v>
      </c>
      <c r="AR230">
        <f>SUM(AR226:AR229)</f>
        <v>38.786583999999998</v>
      </c>
      <c r="AS230" s="316">
        <f>SUM(AQ211:AQ226)</f>
        <v>5.2008580000000002</v>
      </c>
    </row>
    <row r="231" spans="1:45" ht="14.25">
      <c r="A231" s="321" t="s">
        <v>1549</v>
      </c>
      <c r="M231">
        <v>2.5546282105263201</v>
      </c>
      <c r="P231" s="81" t="s">
        <v>1531</v>
      </c>
      <c r="Q231" s="81" t="s">
        <v>1532</v>
      </c>
      <c r="R231" s="81">
        <v>615857756</v>
      </c>
      <c r="S231" s="81">
        <v>0</v>
      </c>
      <c r="T231" s="81" t="s">
        <v>1124</v>
      </c>
      <c r="U231" s="81" t="s">
        <v>1516</v>
      </c>
      <c r="V231" s="81" t="s">
        <v>1533</v>
      </c>
      <c r="W231" s="81"/>
      <c r="X231" s="81" t="s">
        <v>1518</v>
      </c>
      <c r="AF231" t="s">
        <v>1550</v>
      </c>
    </row>
    <row r="233" spans="1:45" ht="13.5" customHeight="1">
      <c r="A233" t="s">
        <v>1318</v>
      </c>
      <c r="C233" s="3"/>
      <c r="D233" s="3"/>
      <c r="E233" s="3"/>
      <c r="F233" s="3"/>
      <c r="G233" s="3"/>
      <c r="H233" s="3"/>
      <c r="I233" s="3"/>
      <c r="J233" s="3" t="s">
        <v>943</v>
      </c>
      <c r="K233" s="3" t="s">
        <v>1540</v>
      </c>
      <c r="L233" s="226" t="str">
        <f>M224</f>
        <v>051/14:02</v>
      </c>
      <c r="M233" s="226" t="s">
        <v>1551</v>
      </c>
      <c r="O233" s="263" t="s">
        <v>1116</v>
      </c>
      <c r="P233" s="322"/>
      <c r="Q233" s="264">
        <f>R224-3</f>
        <v>602366034.53526711</v>
      </c>
      <c r="R233" s="143">
        <f t="shared" ref="R233:R244" si="92">((W233)/$X$9)+Q233</f>
        <v>602501318.40889537</v>
      </c>
      <c r="S233" s="104">
        <f t="shared" ref="S233:S244" si="93">R233-Q233</f>
        <v>135283.87362825871</v>
      </c>
      <c r="T233" s="104">
        <f t="shared" ref="T233:T244" si="94">S233*$X$9</f>
        <v>500000.00000003958</v>
      </c>
      <c r="U233" s="3">
        <v>0</v>
      </c>
      <c r="V233" s="97">
        <f t="shared" ref="V233:V244" si="95">T233+U233*$V$37</f>
        <v>500000.00000003958</v>
      </c>
      <c r="W233" s="97">
        <f t="shared" ref="W233:W244" si="96">AA233*1000000/8</f>
        <v>500000</v>
      </c>
      <c r="X233" s="266">
        <f t="shared" ref="X233:X244" si="97">W233-V233</f>
        <v>-3.9581209421157837E-8</v>
      </c>
      <c r="Y233" s="266"/>
      <c r="Z233" s="266"/>
      <c r="AA233" s="256">
        <v>4</v>
      </c>
      <c r="AB233" s="229"/>
      <c r="AC233" s="308">
        <f t="shared" ref="AC233:AC244" si="98">AC232+AK233</f>
        <v>4.0000000000003171</v>
      </c>
      <c r="AH233" s="178"/>
      <c r="AI233" s="192"/>
      <c r="AJ233" s="232">
        <f t="shared" ref="AJ233:AJ240" si="99">X233*8/1000000</f>
        <v>-3.1664967536926272E-13</v>
      </c>
      <c r="AK233" s="232">
        <f t="shared" ref="AK233:AK240" si="100">V233*8/1000000</f>
        <v>4.0000000000003171</v>
      </c>
    </row>
    <row r="234" spans="1:45" ht="13.5" customHeight="1">
      <c r="A234" t="s">
        <v>1318</v>
      </c>
      <c r="C234" s="3"/>
      <c r="D234" s="3"/>
      <c r="E234" s="3"/>
      <c r="F234" s="3"/>
      <c r="G234" s="3"/>
      <c r="H234" s="3"/>
      <c r="I234" s="3"/>
      <c r="J234" s="3" t="s">
        <v>943</v>
      </c>
      <c r="K234" s="3" t="s">
        <v>1540</v>
      </c>
      <c r="L234" s="226" t="str">
        <f t="shared" ref="L234:L244" si="101">M233</f>
        <v>053/03:37</v>
      </c>
      <c r="M234" s="226" t="s">
        <v>1552</v>
      </c>
      <c r="O234" s="263" t="s">
        <v>1116</v>
      </c>
      <c r="P234" s="322"/>
      <c r="Q234" s="264">
        <f t="shared" ref="Q234:Q244" si="102">R233-3</f>
        <v>602501315.40889537</v>
      </c>
      <c r="R234" s="143">
        <f t="shared" si="92"/>
        <v>602636599.28252363</v>
      </c>
      <c r="S234" s="104">
        <f t="shared" si="93"/>
        <v>135283.87362825871</v>
      </c>
      <c r="T234" s="104">
        <f t="shared" si="94"/>
        <v>500000.00000003958</v>
      </c>
      <c r="U234" s="3">
        <v>0</v>
      </c>
      <c r="V234" s="97">
        <f t="shared" si="95"/>
        <v>500000.00000003958</v>
      </c>
      <c r="W234" s="97">
        <f t="shared" si="96"/>
        <v>500000</v>
      </c>
      <c r="X234" s="266">
        <f t="shared" si="97"/>
        <v>-3.9581209421157837E-8</v>
      </c>
      <c r="Y234" s="266"/>
      <c r="Z234" s="266"/>
      <c r="AA234" s="256">
        <v>4</v>
      </c>
      <c r="AB234" s="229"/>
      <c r="AC234" s="308">
        <f t="shared" si="98"/>
        <v>8.0000000000006342</v>
      </c>
      <c r="AH234" s="178"/>
      <c r="AI234" s="192"/>
      <c r="AJ234" s="232">
        <f t="shared" si="99"/>
        <v>-3.1664967536926272E-13</v>
      </c>
      <c r="AK234" s="232">
        <f t="shared" si="100"/>
        <v>4.0000000000003171</v>
      </c>
    </row>
    <row r="235" spans="1:45" ht="13.5" customHeight="1">
      <c r="A235" t="s">
        <v>1318</v>
      </c>
      <c r="C235" s="3"/>
      <c r="D235" s="3"/>
      <c r="E235" s="3"/>
      <c r="F235" s="3"/>
      <c r="G235" s="3"/>
      <c r="H235" s="3"/>
      <c r="I235" s="3"/>
      <c r="J235" s="3" t="s">
        <v>943</v>
      </c>
      <c r="K235" s="3" t="s">
        <v>1540</v>
      </c>
      <c r="L235" s="226" t="str">
        <f t="shared" si="101"/>
        <v>054/17:11</v>
      </c>
      <c r="M235" s="226" t="s">
        <v>1553</v>
      </c>
      <c r="O235" s="263" t="s">
        <v>1116</v>
      </c>
      <c r="P235" s="322"/>
      <c r="Q235" s="264">
        <f t="shared" si="102"/>
        <v>602636596.28252363</v>
      </c>
      <c r="R235" s="143">
        <f t="shared" si="92"/>
        <v>602771880.15615189</v>
      </c>
      <c r="S235" s="104">
        <f t="shared" si="93"/>
        <v>135283.87362825871</v>
      </c>
      <c r="T235" s="104">
        <f t="shared" si="94"/>
        <v>500000.00000003958</v>
      </c>
      <c r="U235" s="3">
        <v>0</v>
      </c>
      <c r="V235" s="97">
        <f t="shared" si="95"/>
        <v>500000.00000003958</v>
      </c>
      <c r="W235" s="97">
        <f t="shared" si="96"/>
        <v>500000</v>
      </c>
      <c r="X235" s="266">
        <f t="shared" si="97"/>
        <v>-3.9581209421157837E-8</v>
      </c>
      <c r="Y235" s="266"/>
      <c r="Z235" s="266"/>
      <c r="AA235" s="256">
        <v>4</v>
      </c>
      <c r="AB235" s="229"/>
      <c r="AC235" s="308">
        <f t="shared" si="98"/>
        <v>12.000000000000952</v>
      </c>
      <c r="AH235" s="178"/>
      <c r="AI235" s="192"/>
      <c r="AJ235" s="232">
        <f t="shared" si="99"/>
        <v>-3.1664967536926272E-13</v>
      </c>
      <c r="AK235" s="232">
        <f t="shared" si="100"/>
        <v>4.0000000000003171</v>
      </c>
    </row>
    <row r="236" spans="1:45" ht="15.75">
      <c r="A236" t="s">
        <v>1318</v>
      </c>
      <c r="C236" s="3"/>
      <c r="D236" s="3"/>
      <c r="E236" s="3"/>
      <c r="F236" s="3"/>
      <c r="G236" s="3"/>
      <c r="H236" s="3"/>
      <c r="I236" s="3"/>
      <c r="J236" s="3" t="s">
        <v>943</v>
      </c>
      <c r="K236" s="3" t="s">
        <v>1540</v>
      </c>
      <c r="L236" s="226" t="str">
        <f t="shared" si="101"/>
        <v>056/05:46</v>
      </c>
      <c r="M236" s="226" t="s">
        <v>1554</v>
      </c>
      <c r="O236" s="263" t="s">
        <v>1116</v>
      </c>
      <c r="P236" s="322"/>
      <c r="Q236" s="264">
        <f t="shared" si="102"/>
        <v>602771877.15615189</v>
      </c>
      <c r="R236" s="143">
        <f t="shared" si="92"/>
        <v>602907161.02978015</v>
      </c>
      <c r="S236" s="104">
        <f t="shared" si="93"/>
        <v>135283.87362825871</v>
      </c>
      <c r="T236" s="104">
        <f t="shared" si="94"/>
        <v>500000.00000003958</v>
      </c>
      <c r="U236" s="3">
        <v>0</v>
      </c>
      <c r="V236" s="97">
        <f t="shared" si="95"/>
        <v>500000.00000003958</v>
      </c>
      <c r="W236" s="97">
        <f t="shared" si="96"/>
        <v>500000</v>
      </c>
      <c r="X236" s="266">
        <f t="shared" si="97"/>
        <v>-3.9581209421157837E-8</v>
      </c>
      <c r="Y236" s="266"/>
      <c r="Z236" s="266"/>
      <c r="AA236" s="256">
        <v>4</v>
      </c>
      <c r="AB236" s="229"/>
      <c r="AC236" s="308">
        <f t="shared" si="98"/>
        <v>16.000000000001268</v>
      </c>
      <c r="AH236" s="178"/>
      <c r="AI236" s="192"/>
      <c r="AJ236" s="232">
        <f t="shared" si="99"/>
        <v>-3.1664967536926272E-13</v>
      </c>
      <c r="AK236" s="232">
        <f t="shared" si="100"/>
        <v>4.0000000000003171</v>
      </c>
    </row>
    <row r="237" spans="1:45" ht="15.75">
      <c r="A237" t="s">
        <v>1318</v>
      </c>
      <c r="C237" s="3"/>
      <c r="D237" s="3"/>
      <c r="E237" s="3"/>
      <c r="F237" s="3"/>
      <c r="G237" s="3"/>
      <c r="H237" s="3"/>
      <c r="I237" s="3"/>
      <c r="J237" s="3" t="s">
        <v>943</v>
      </c>
      <c r="K237" s="3" t="s">
        <v>1540</v>
      </c>
      <c r="L237" s="226" t="str">
        <f t="shared" si="101"/>
        <v>057/20:21</v>
      </c>
      <c r="M237" s="226" t="s">
        <v>1555</v>
      </c>
      <c r="O237" s="263" t="s">
        <v>1116</v>
      </c>
      <c r="P237" s="322"/>
      <c r="Q237" s="264">
        <f t="shared" si="102"/>
        <v>602907158.02978015</v>
      </c>
      <c r="R237" s="143">
        <f t="shared" si="92"/>
        <v>603042441.90340841</v>
      </c>
      <c r="S237" s="104">
        <f t="shared" si="93"/>
        <v>135283.87362825871</v>
      </c>
      <c r="T237" s="104">
        <f t="shared" si="94"/>
        <v>500000.00000003958</v>
      </c>
      <c r="U237" s="3">
        <v>0</v>
      </c>
      <c r="V237" s="97">
        <f t="shared" si="95"/>
        <v>500000.00000003958</v>
      </c>
      <c r="W237" s="97">
        <f t="shared" si="96"/>
        <v>500000</v>
      </c>
      <c r="X237" s="266">
        <f t="shared" si="97"/>
        <v>-3.9581209421157837E-8</v>
      </c>
      <c r="Y237" s="266"/>
      <c r="Z237" s="266"/>
      <c r="AA237" s="256">
        <v>4</v>
      </c>
      <c r="AB237" s="229"/>
      <c r="AC237" s="308">
        <f t="shared" si="98"/>
        <v>20.000000000001585</v>
      </c>
      <c r="AH237" s="178"/>
      <c r="AI237" s="192"/>
      <c r="AJ237" s="232">
        <f t="shared" si="99"/>
        <v>-3.1664967536926272E-13</v>
      </c>
      <c r="AK237" s="232">
        <f t="shared" si="100"/>
        <v>4.0000000000003171</v>
      </c>
    </row>
    <row r="238" spans="1:45" ht="15.75">
      <c r="A238" t="s">
        <v>1318</v>
      </c>
      <c r="C238" s="3"/>
      <c r="D238" s="3"/>
      <c r="E238" s="3"/>
      <c r="F238" s="3"/>
      <c r="G238" s="3"/>
      <c r="H238" s="3"/>
      <c r="I238" s="3"/>
      <c r="J238" s="3" t="s">
        <v>943</v>
      </c>
      <c r="K238" s="3" t="s">
        <v>1540</v>
      </c>
      <c r="L238" s="226" t="str">
        <f t="shared" si="101"/>
        <v>059/09:55</v>
      </c>
      <c r="M238" s="226" t="s">
        <v>1556</v>
      </c>
      <c r="O238" s="263" t="s">
        <v>1116</v>
      </c>
      <c r="P238" s="322"/>
      <c r="Q238" s="264">
        <f t="shared" si="102"/>
        <v>603042438.90340841</v>
      </c>
      <c r="R238" s="143">
        <f t="shared" si="92"/>
        <v>603177722.77703667</v>
      </c>
      <c r="S238" s="104">
        <f t="shared" si="93"/>
        <v>135283.87362825871</v>
      </c>
      <c r="T238" s="104">
        <f t="shared" si="94"/>
        <v>500000.00000003958</v>
      </c>
      <c r="U238" s="3">
        <v>0</v>
      </c>
      <c r="V238" s="97">
        <f t="shared" si="95"/>
        <v>500000.00000003958</v>
      </c>
      <c r="W238" s="97">
        <f t="shared" si="96"/>
        <v>500000</v>
      </c>
      <c r="X238" s="266">
        <f t="shared" si="97"/>
        <v>-3.9581209421157837E-8</v>
      </c>
      <c r="Y238" s="266"/>
      <c r="Z238" s="266"/>
      <c r="AA238" s="256">
        <v>4</v>
      </c>
      <c r="AB238" s="229"/>
      <c r="AC238" s="308">
        <f t="shared" si="98"/>
        <v>24.000000000001901</v>
      </c>
      <c r="AH238" s="178"/>
      <c r="AI238" s="192"/>
      <c r="AJ238" s="232">
        <f t="shared" si="99"/>
        <v>-3.1664967536926272E-13</v>
      </c>
      <c r="AK238" s="232">
        <f t="shared" si="100"/>
        <v>4.0000000000003171</v>
      </c>
    </row>
    <row r="239" spans="1:45" ht="15.75">
      <c r="A239" t="s">
        <v>1318</v>
      </c>
      <c r="C239" s="3"/>
      <c r="D239" s="3"/>
      <c r="E239" s="3"/>
      <c r="F239" s="3"/>
      <c r="G239" s="3"/>
      <c r="H239" s="3"/>
      <c r="I239" s="3"/>
      <c r="J239" s="3" t="s">
        <v>943</v>
      </c>
      <c r="K239" s="3" t="s">
        <v>1540</v>
      </c>
      <c r="L239" s="226" t="str">
        <f t="shared" si="101"/>
        <v>060/23:30</v>
      </c>
      <c r="M239" s="226" t="s">
        <v>1557</v>
      </c>
      <c r="O239" s="263" t="s">
        <v>1116</v>
      </c>
      <c r="P239" s="322"/>
      <c r="Q239" s="264">
        <f t="shared" si="102"/>
        <v>603177719.77703667</v>
      </c>
      <c r="R239" s="143">
        <f t="shared" si="92"/>
        <v>603313003.65066493</v>
      </c>
      <c r="S239" s="104">
        <f t="shared" si="93"/>
        <v>135283.87362825871</v>
      </c>
      <c r="T239" s="104">
        <f t="shared" si="94"/>
        <v>500000.00000003958</v>
      </c>
      <c r="U239" s="3">
        <v>0</v>
      </c>
      <c r="V239" s="97">
        <f t="shared" si="95"/>
        <v>500000.00000003958</v>
      </c>
      <c r="W239" s="97">
        <f t="shared" si="96"/>
        <v>500000</v>
      </c>
      <c r="X239" s="266">
        <f t="shared" si="97"/>
        <v>-3.9581209421157837E-8</v>
      </c>
      <c r="Y239" s="266"/>
      <c r="Z239" s="266"/>
      <c r="AA239" s="256">
        <v>4</v>
      </c>
      <c r="AB239" s="229"/>
      <c r="AC239" s="308">
        <f t="shared" si="98"/>
        <v>28.000000000002217</v>
      </c>
      <c r="AH239" s="178"/>
      <c r="AI239" s="192"/>
      <c r="AJ239" s="232">
        <f t="shared" si="99"/>
        <v>-3.1664967536926272E-13</v>
      </c>
      <c r="AK239" s="232">
        <f t="shared" si="100"/>
        <v>4.0000000000003171</v>
      </c>
    </row>
    <row r="240" spans="1:45" ht="13.5" customHeight="1">
      <c r="A240" t="s">
        <v>1318</v>
      </c>
      <c r="C240" s="3"/>
      <c r="D240" s="3"/>
      <c r="E240" s="3"/>
      <c r="F240" s="3"/>
      <c r="G240" s="3"/>
      <c r="H240" s="3"/>
      <c r="I240" s="3"/>
      <c r="J240" s="3" t="s">
        <v>943</v>
      </c>
      <c r="K240" s="3" t="s">
        <v>1540</v>
      </c>
      <c r="L240" s="226" t="str">
        <f t="shared" si="101"/>
        <v>062/13:05</v>
      </c>
      <c r="M240" s="226" t="s">
        <v>1558</v>
      </c>
      <c r="O240" s="263" t="s">
        <v>1116</v>
      </c>
      <c r="P240" s="322"/>
      <c r="Q240" s="264">
        <f t="shared" si="102"/>
        <v>603313000.65066493</v>
      </c>
      <c r="R240" s="143">
        <f t="shared" si="92"/>
        <v>603448284.52429318</v>
      </c>
      <c r="S240" s="104">
        <f t="shared" si="93"/>
        <v>135283.87362825871</v>
      </c>
      <c r="T240" s="104">
        <f t="shared" si="94"/>
        <v>500000.00000003958</v>
      </c>
      <c r="U240" s="3">
        <v>0</v>
      </c>
      <c r="V240" s="97">
        <f t="shared" si="95"/>
        <v>500000.00000003958</v>
      </c>
      <c r="W240" s="97">
        <f t="shared" si="96"/>
        <v>500000</v>
      </c>
      <c r="X240" s="266">
        <f t="shared" si="97"/>
        <v>-3.9581209421157837E-8</v>
      </c>
      <c r="Y240" s="266"/>
      <c r="Z240" s="266"/>
      <c r="AA240" s="256">
        <v>4</v>
      </c>
      <c r="AB240" s="229"/>
      <c r="AC240" s="308">
        <f t="shared" si="98"/>
        <v>32.000000000002537</v>
      </c>
      <c r="AH240" s="178"/>
      <c r="AI240" s="192"/>
      <c r="AJ240" s="232">
        <f t="shared" si="99"/>
        <v>-3.1664967536926272E-13</v>
      </c>
      <c r="AK240" s="232">
        <f t="shared" si="100"/>
        <v>4.0000000000003171</v>
      </c>
    </row>
    <row r="241" spans="1:37" ht="13.5" customHeight="1">
      <c r="A241" t="s">
        <v>1318</v>
      </c>
      <c r="C241" s="3"/>
      <c r="D241" s="3"/>
      <c r="E241" s="3"/>
      <c r="F241" s="3"/>
      <c r="G241" s="3"/>
      <c r="H241" s="3"/>
      <c r="I241" s="3"/>
      <c r="J241" s="3" t="s">
        <v>943</v>
      </c>
      <c r="K241" s="3" t="s">
        <v>1540</v>
      </c>
      <c r="L241" s="226" t="str">
        <f t="shared" si="101"/>
        <v>064/02:39</v>
      </c>
      <c r="M241" s="226" t="s">
        <v>1559</v>
      </c>
      <c r="N241" s="3"/>
      <c r="O241" s="263" t="s">
        <v>1116</v>
      </c>
      <c r="P241" s="322"/>
      <c r="Q241" s="264">
        <f t="shared" si="102"/>
        <v>603448281.52429318</v>
      </c>
      <c r="R241" s="143">
        <f t="shared" si="92"/>
        <v>603583565.39792144</v>
      </c>
      <c r="S241" s="104">
        <f t="shared" si="93"/>
        <v>135283.87362825871</v>
      </c>
      <c r="T241" s="104">
        <f t="shared" si="94"/>
        <v>500000.00000003958</v>
      </c>
      <c r="U241" s="3">
        <v>0</v>
      </c>
      <c r="V241" s="97">
        <f t="shared" si="95"/>
        <v>500000.00000003958</v>
      </c>
      <c r="W241" s="97">
        <f t="shared" si="96"/>
        <v>500000</v>
      </c>
      <c r="X241" s="266">
        <f t="shared" si="97"/>
        <v>-3.9581209421157837E-8</v>
      </c>
      <c r="Y241" s="266"/>
      <c r="Z241" s="266"/>
      <c r="AA241" s="256">
        <v>4</v>
      </c>
      <c r="AB241" s="229"/>
      <c r="AC241" s="308">
        <f t="shared" si="98"/>
        <v>32.000000000002537</v>
      </c>
    </row>
    <row r="242" spans="1:37" ht="13.5" customHeight="1">
      <c r="A242" t="s">
        <v>1318</v>
      </c>
      <c r="C242" s="3"/>
      <c r="D242" s="3"/>
      <c r="E242" s="3"/>
      <c r="F242" s="3"/>
      <c r="G242" s="3"/>
      <c r="H242" s="3"/>
      <c r="I242" s="3"/>
      <c r="J242" s="3" t="s">
        <v>943</v>
      </c>
      <c r="K242" s="3" t="s">
        <v>1540</v>
      </c>
      <c r="L242" s="226" t="str">
        <f t="shared" si="101"/>
        <v>066/15:58</v>
      </c>
      <c r="M242" s="226" t="s">
        <v>1560</v>
      </c>
      <c r="N242" s="3"/>
      <c r="O242" s="263" t="s">
        <v>1116</v>
      </c>
      <c r="P242" s="322"/>
      <c r="Q242" s="264">
        <f t="shared" si="102"/>
        <v>603583562.39792144</v>
      </c>
      <c r="R242" s="143">
        <f t="shared" si="92"/>
        <v>603718846.2715497</v>
      </c>
      <c r="S242" s="104">
        <f t="shared" si="93"/>
        <v>135283.87362825871</v>
      </c>
      <c r="T242" s="104">
        <f t="shared" si="94"/>
        <v>500000.00000003958</v>
      </c>
      <c r="U242" s="3">
        <v>0</v>
      </c>
      <c r="V242" s="97">
        <f t="shared" si="95"/>
        <v>500000.00000003958</v>
      </c>
      <c r="W242" s="97">
        <f t="shared" si="96"/>
        <v>500000</v>
      </c>
      <c r="X242" s="266">
        <f t="shared" si="97"/>
        <v>-3.9581209421157837E-8</v>
      </c>
      <c r="Y242" s="266"/>
      <c r="Z242" s="266"/>
      <c r="AA242" s="256">
        <v>4</v>
      </c>
      <c r="AB242" s="229"/>
      <c r="AC242" s="308">
        <f t="shared" si="98"/>
        <v>32.000000000002537</v>
      </c>
    </row>
    <row r="243" spans="1:37" ht="13.5" customHeight="1">
      <c r="A243" t="s">
        <v>1318</v>
      </c>
      <c r="C243" s="3"/>
      <c r="D243" s="3"/>
      <c r="E243" s="3"/>
      <c r="F243" s="3"/>
      <c r="G243" s="3"/>
      <c r="H243" s="3"/>
      <c r="I243" s="3"/>
      <c r="J243" s="3" t="s">
        <v>943</v>
      </c>
      <c r="K243" s="3" t="s">
        <v>1540</v>
      </c>
      <c r="L243" s="226" t="str">
        <f t="shared" si="101"/>
        <v>069/04:77</v>
      </c>
      <c r="M243" s="226" t="s">
        <v>1561</v>
      </c>
      <c r="O243" s="263" t="s">
        <v>1116</v>
      </c>
      <c r="P243" s="322"/>
      <c r="Q243" s="264">
        <f t="shared" si="102"/>
        <v>603718843.2715497</v>
      </c>
      <c r="R243" s="143">
        <f t="shared" si="92"/>
        <v>603854127.14517796</v>
      </c>
      <c r="S243" s="104">
        <f t="shared" si="93"/>
        <v>135283.87362825871</v>
      </c>
      <c r="T243" s="104">
        <f t="shared" si="94"/>
        <v>500000.00000003958</v>
      </c>
      <c r="U243" s="3">
        <v>0</v>
      </c>
      <c r="V243" s="97">
        <f t="shared" si="95"/>
        <v>500000.00000003958</v>
      </c>
      <c r="W243" s="97">
        <f t="shared" si="96"/>
        <v>500000</v>
      </c>
      <c r="X243" s="266">
        <f t="shared" si="97"/>
        <v>-3.9581209421157837E-8</v>
      </c>
      <c r="Y243" s="266"/>
      <c r="Z243" s="266"/>
      <c r="AA243" s="256">
        <v>4</v>
      </c>
      <c r="AB243" s="229"/>
      <c r="AC243" s="308">
        <f t="shared" si="98"/>
        <v>32.000000000002537</v>
      </c>
    </row>
    <row r="244" spans="1:37" ht="13.5" customHeight="1">
      <c r="A244" t="s">
        <v>1318</v>
      </c>
      <c r="C244" s="3"/>
      <c r="D244" s="3"/>
      <c r="E244" s="3"/>
      <c r="F244" s="3"/>
      <c r="G244" s="3"/>
      <c r="H244" s="3"/>
      <c r="I244" s="3"/>
      <c r="J244" s="3" t="s">
        <v>943</v>
      </c>
      <c r="K244" s="3" t="s">
        <v>1540</v>
      </c>
      <c r="L244" s="226" t="str">
        <f t="shared" si="101"/>
        <v>071/18:36</v>
      </c>
      <c r="M244" s="411" t="s">
        <v>1562</v>
      </c>
      <c r="N244" s="3" t="s">
        <v>4369</v>
      </c>
      <c r="O244" s="263" t="s">
        <v>1116</v>
      </c>
      <c r="P244" s="322"/>
      <c r="Q244" s="264">
        <f t="shared" si="102"/>
        <v>603854124.14517796</v>
      </c>
      <c r="R244" s="412">
        <f t="shared" si="92"/>
        <v>603989408.01880622</v>
      </c>
      <c r="S244" s="104">
        <f t="shared" si="93"/>
        <v>135283.87362825871</v>
      </c>
      <c r="T244" s="104">
        <f t="shared" si="94"/>
        <v>500000.00000003958</v>
      </c>
      <c r="U244" s="3">
        <v>0</v>
      </c>
      <c r="V244" s="97">
        <f t="shared" si="95"/>
        <v>500000.00000003958</v>
      </c>
      <c r="W244" s="97">
        <f t="shared" si="96"/>
        <v>500000</v>
      </c>
      <c r="X244" s="266">
        <f t="shared" si="97"/>
        <v>-3.9581209421157837E-8</v>
      </c>
      <c r="Y244" s="266"/>
      <c r="Z244" s="266"/>
      <c r="AA244" s="256">
        <v>4</v>
      </c>
      <c r="AB244" s="229"/>
      <c r="AC244" s="308">
        <f t="shared" si="98"/>
        <v>32.000000000002537</v>
      </c>
    </row>
    <row r="246" spans="1:37" ht="13.5" customHeight="1">
      <c r="C246" s="291" t="s">
        <v>941</v>
      </c>
      <c r="D246" s="291" t="s">
        <v>942</v>
      </c>
      <c r="E246" s="291" t="s">
        <v>766</v>
      </c>
      <c r="F246" s="291" t="s">
        <v>764</v>
      </c>
      <c r="G246" s="291" t="s">
        <v>765</v>
      </c>
      <c r="H246" s="291" t="s">
        <v>768</v>
      </c>
      <c r="I246" s="291" t="s">
        <v>769</v>
      </c>
      <c r="J246" s="291" t="s">
        <v>943</v>
      </c>
      <c r="K246" s="291" t="s">
        <v>1540</v>
      </c>
    </row>
    <row r="248" spans="1:37" ht="13.5" customHeight="1">
      <c r="A248" t="s">
        <v>1504</v>
      </c>
      <c r="C248" s="3">
        <v>104</v>
      </c>
      <c r="D248" s="3">
        <v>105</v>
      </c>
      <c r="E248" s="3" t="s">
        <v>766</v>
      </c>
      <c r="F248" s="3" t="s">
        <v>764</v>
      </c>
      <c r="G248" s="3"/>
      <c r="H248" s="3" t="s">
        <v>768</v>
      </c>
      <c r="I248" s="3" t="s">
        <v>769</v>
      </c>
      <c r="J248" s="3"/>
      <c r="L248" s="257" t="s">
        <v>1399</v>
      </c>
      <c r="M248" s="257" t="s">
        <v>1403</v>
      </c>
      <c r="O248" s="263">
        <f t="shared" ref="O248" si="103">AI248</f>
        <v>0</v>
      </c>
      <c r="P248" s="179" t="str">
        <f t="shared" ref="P248" si="104">MID(AL248,11,5)</f>
        <v/>
      </c>
      <c r="Q248" s="237">
        <f>R247-1</f>
        <v>-1</v>
      </c>
      <c r="R248" s="104">
        <f>((W248-U248*$V$37)/$V$17)+Q248</f>
        <v>235306.57477960401</v>
      </c>
      <c r="S248" s="104">
        <f t="shared" ref="S248" si="105">R248-Q248</f>
        <v>235307.57477960401</v>
      </c>
      <c r="T248" s="104">
        <f>S248*$V$17</f>
        <v>500000</v>
      </c>
      <c r="U248" s="3">
        <v>0</v>
      </c>
      <c r="V248" s="142">
        <f t="shared" ref="V248" si="106">T248+U248*$V$37</f>
        <v>500000</v>
      </c>
      <c r="W248" s="97">
        <f t="shared" ref="W248" si="107">AA248*1000000/8</f>
        <v>500000</v>
      </c>
      <c r="X248" s="266">
        <f t="shared" ref="X248" si="108">W248-V248</f>
        <v>0</v>
      </c>
      <c r="Y248" s="318">
        <f>S248*$V$27+U248*$V$37</f>
        <v>510178.95903632819</v>
      </c>
      <c r="Z248" s="319">
        <f t="shared" ref="Z248" si="109">(Y248/V248-1)</f>
        <v>2.03579180726563E-2</v>
      </c>
      <c r="AA248" s="256">
        <v>4</v>
      </c>
      <c r="AB248" s="229"/>
      <c r="AC248" s="229"/>
      <c r="AD248" s="297">
        <f>AK248+AD242</f>
        <v>4</v>
      </c>
      <c r="AE248" s="297"/>
      <c r="AF248" s="297"/>
      <c r="AG248" s="297"/>
      <c r="AJ248" s="232">
        <f>X248*8/1000000</f>
        <v>0</v>
      </c>
      <c r="AK248" s="232">
        <f>V248*8/1000000</f>
        <v>4</v>
      </c>
    </row>
    <row r="256" spans="1:37" ht="13.5" customHeight="1">
      <c r="V256">
        <f>1236-681</f>
        <v>555</v>
      </c>
      <c r="W256">
        <v>1570</v>
      </c>
      <c r="X256">
        <v>115</v>
      </c>
      <c r="Y256">
        <f>X256+W256+V256</f>
        <v>2240</v>
      </c>
    </row>
    <row r="265" spans="16:24" ht="13.5" customHeight="1" thickBot="1"/>
    <row r="266" spans="16:24" ht="13.5" customHeight="1">
      <c r="P266" s="59">
        <v>26179</v>
      </c>
      <c r="T266" s="3"/>
      <c r="V266" s="93"/>
      <c r="X266" t="s">
        <v>1010</v>
      </c>
    </row>
    <row r="267" spans="16:24" ht="13.5" customHeight="1">
      <c r="P267" s="73" t="s">
        <v>837</v>
      </c>
      <c r="Q267" s="72" t="s">
        <v>65</v>
      </c>
      <c r="R267" s="73" t="s">
        <v>66</v>
      </c>
      <c r="S267" s="73" t="s">
        <v>67</v>
      </c>
      <c r="T267" s="74" t="s">
        <v>68</v>
      </c>
      <c r="U267" s="3" t="s">
        <v>176</v>
      </c>
      <c r="V267" s="74" t="s">
        <v>265</v>
      </c>
      <c r="W267" s="73" t="s">
        <v>266</v>
      </c>
      <c r="X267" s="73" t="s">
        <v>70</v>
      </c>
    </row>
    <row r="269" spans="16:24" ht="13.5" customHeight="1">
      <c r="P269" s="390" t="s">
        <v>4048</v>
      </c>
      <c r="Q269" s="396" t="s">
        <v>4049</v>
      </c>
      <c r="R269" s="396">
        <v>644923315</v>
      </c>
      <c r="S269" s="390">
        <v>7</v>
      </c>
      <c r="T269" s="390" t="s">
        <v>373</v>
      </c>
      <c r="U269" s="390" t="s">
        <v>1013</v>
      </c>
      <c r="V269" s="396" t="s">
        <v>866</v>
      </c>
      <c r="W269" s="390" t="s">
        <v>867</v>
      </c>
      <c r="X269" s="390" t="s">
        <v>4050</v>
      </c>
    </row>
    <row r="270" spans="16:24" ht="13.5" customHeight="1">
      <c r="P270" s="390" t="s">
        <v>4051</v>
      </c>
      <c r="Q270" s="390" t="s">
        <v>4052</v>
      </c>
      <c r="R270" s="396">
        <v>644924995</v>
      </c>
      <c r="S270" s="390">
        <v>0</v>
      </c>
      <c r="T270" s="390" t="s">
        <v>1124</v>
      </c>
      <c r="U270" s="390" t="s">
        <v>4053</v>
      </c>
      <c r="V270" s="390" t="s">
        <v>1517</v>
      </c>
      <c r="W270" s="390"/>
      <c r="X270" s="390" t="s">
        <v>4050</v>
      </c>
    </row>
    <row r="271" spans="16:24" ht="13.5" customHeight="1">
      <c r="P271" s="390" t="s">
        <v>4054</v>
      </c>
      <c r="Q271" s="390" t="s">
        <v>4055</v>
      </c>
      <c r="R271" s="390">
        <v>644924998</v>
      </c>
      <c r="S271" s="390">
        <v>0</v>
      </c>
      <c r="T271" s="390" t="s">
        <v>1124</v>
      </c>
      <c r="U271" s="390" t="s">
        <v>4053</v>
      </c>
      <c r="V271" s="390" t="s">
        <v>1523</v>
      </c>
      <c r="W271" s="390"/>
      <c r="X271" s="390" t="s">
        <v>4050</v>
      </c>
    </row>
    <row r="272" spans="16:24" ht="13.5" customHeight="1">
      <c r="P272" s="390" t="s">
        <v>4056</v>
      </c>
      <c r="Q272" s="390" t="s">
        <v>4057</v>
      </c>
      <c r="R272" s="390">
        <v>644925001</v>
      </c>
      <c r="S272" s="390">
        <v>0</v>
      </c>
      <c r="T272" s="390" t="s">
        <v>1124</v>
      </c>
      <c r="U272" s="390" t="s">
        <v>4053</v>
      </c>
      <c r="V272" s="390" t="s">
        <v>1528</v>
      </c>
      <c r="W272" s="390"/>
      <c r="X272" s="390" t="s">
        <v>4050</v>
      </c>
    </row>
    <row r="273" spans="1:43" ht="13.5" customHeight="1">
      <c r="P273" s="390" t="s">
        <v>4058</v>
      </c>
      <c r="Q273" s="390" t="s">
        <v>4059</v>
      </c>
      <c r="R273" s="390">
        <v>644925004</v>
      </c>
      <c r="S273" s="390">
        <v>0</v>
      </c>
      <c r="T273" s="390" t="s">
        <v>1124</v>
      </c>
      <c r="U273" s="390" t="s">
        <v>4053</v>
      </c>
      <c r="V273" s="390" t="s">
        <v>1164</v>
      </c>
      <c r="W273" s="390"/>
      <c r="X273" s="390" t="s">
        <v>4050</v>
      </c>
    </row>
    <row r="274" spans="1:43" ht="13.5" customHeight="1">
      <c r="L274">
        <f>265057</f>
        <v>265057</v>
      </c>
      <c r="M274">
        <v>21845</v>
      </c>
      <c r="P274" s="390" t="s">
        <v>4060</v>
      </c>
      <c r="Q274" s="390" t="s">
        <v>4061</v>
      </c>
      <c r="R274" s="390">
        <v>644925055</v>
      </c>
      <c r="S274" s="390">
        <v>0</v>
      </c>
      <c r="T274" s="390" t="s">
        <v>1124</v>
      </c>
      <c r="U274" s="390" t="s">
        <v>4053</v>
      </c>
      <c r="V274" s="396" t="s">
        <v>2583</v>
      </c>
      <c r="W274" s="390"/>
      <c r="X274" s="390" t="s">
        <v>4050</v>
      </c>
    </row>
    <row r="275" spans="1:43" ht="13.5" customHeight="1">
      <c r="L275">
        <f>L274*8/1000000</f>
        <v>2.1204559999999999</v>
      </c>
      <c r="M275">
        <f>M274*8/1000000</f>
        <v>0.17476</v>
      </c>
      <c r="P275" s="390" t="s">
        <v>4062</v>
      </c>
      <c r="Q275" s="390" t="s">
        <v>4063</v>
      </c>
      <c r="R275" s="390">
        <v>644925655</v>
      </c>
      <c r="S275" s="390">
        <v>0</v>
      </c>
      <c r="T275" s="390" t="s">
        <v>1124</v>
      </c>
      <c r="U275" s="390" t="s">
        <v>4053</v>
      </c>
      <c r="V275" s="390" t="s">
        <v>1533</v>
      </c>
      <c r="W275" s="390"/>
      <c r="X275" s="390" t="s">
        <v>4050</v>
      </c>
    </row>
    <row r="276" spans="1:43" ht="13.5" customHeight="1">
      <c r="P276" s="390" t="s">
        <v>4064</v>
      </c>
      <c r="Q276" s="390" t="s">
        <v>4065</v>
      </c>
      <c r="R276" s="390">
        <v>644926255</v>
      </c>
      <c r="S276" s="390">
        <v>0</v>
      </c>
      <c r="T276" s="390" t="s">
        <v>1124</v>
      </c>
      <c r="U276" s="390" t="s">
        <v>4053</v>
      </c>
      <c r="V276" s="390" t="s">
        <v>4066</v>
      </c>
      <c r="W276" s="390"/>
      <c r="X276" s="390" t="s">
        <v>4050</v>
      </c>
    </row>
    <row r="277" spans="1:43" ht="13.5" customHeight="1">
      <c r="P277" s="409"/>
      <c r="Q277" s="409"/>
      <c r="R277" s="409"/>
      <c r="S277" s="409"/>
      <c r="T277" s="409"/>
      <c r="U277" s="409"/>
      <c r="V277" s="409"/>
      <c r="W277" s="409"/>
      <c r="X277" s="409"/>
    </row>
    <row r="278" spans="1:43" ht="13.5" customHeight="1">
      <c r="O278" t="s">
        <v>4154</v>
      </c>
      <c r="P278" s="392" t="s">
        <v>4150</v>
      </c>
      <c r="Q278" s="392" t="s">
        <v>4151</v>
      </c>
      <c r="R278" s="392">
        <v>644288021</v>
      </c>
      <c r="S278" s="392">
        <v>1</v>
      </c>
      <c r="T278" s="392" t="s">
        <v>373</v>
      </c>
      <c r="U278" s="392" t="s">
        <v>4152</v>
      </c>
      <c r="V278" s="392" t="s">
        <v>382</v>
      </c>
      <c r="W278" s="392"/>
      <c r="X278" s="392" t="s">
        <v>4153</v>
      </c>
      <c r="AA278" t="s">
        <v>4159</v>
      </c>
    </row>
    <row r="279" spans="1:43" ht="13.5" customHeight="1">
      <c r="C279" s="291" t="s">
        <v>941</v>
      </c>
      <c r="D279" s="291" t="s">
        <v>942</v>
      </c>
      <c r="E279" s="291" t="s">
        <v>766</v>
      </c>
      <c r="F279" s="291" t="s">
        <v>764</v>
      </c>
      <c r="G279" s="291" t="s">
        <v>765</v>
      </c>
      <c r="H279" s="291" t="s">
        <v>768</v>
      </c>
      <c r="I279" s="291" t="s">
        <v>769</v>
      </c>
      <c r="J279" s="291" t="s">
        <v>943</v>
      </c>
      <c r="K279" s="291" t="s">
        <v>1540</v>
      </c>
      <c r="P279" s="73" t="s">
        <v>837</v>
      </c>
      <c r="Q279" s="72" t="s">
        <v>65</v>
      </c>
      <c r="R279" s="73" t="s">
        <v>66</v>
      </c>
      <c r="S279" s="73" t="s">
        <v>67</v>
      </c>
      <c r="T279" s="74" t="s">
        <v>68</v>
      </c>
      <c r="U279" s="3" t="s">
        <v>176</v>
      </c>
      <c r="V279" s="74" t="s">
        <v>265</v>
      </c>
      <c r="W279" s="73" t="s">
        <v>266</v>
      </c>
      <c r="X279" s="73" t="s">
        <v>70</v>
      </c>
      <c r="AA279" t="s">
        <v>4158</v>
      </c>
      <c r="AJ279" s="3" t="s">
        <v>4116</v>
      </c>
      <c r="AK279" s="3" t="s">
        <v>4117</v>
      </c>
    </row>
    <row r="280" spans="1:43" ht="13.5" customHeight="1">
      <c r="C280" s="3">
        <v>104</v>
      </c>
      <c r="D280" s="3">
        <v>105</v>
      </c>
      <c r="E280" s="3" t="s">
        <v>766</v>
      </c>
      <c r="F280" s="3" t="s">
        <v>764</v>
      </c>
      <c r="G280" s="3" t="s">
        <v>765</v>
      </c>
      <c r="H280" s="3" t="s">
        <v>768</v>
      </c>
      <c r="I280" s="3" t="s">
        <v>769</v>
      </c>
      <c r="L280" s="257" t="s">
        <v>4156</v>
      </c>
      <c r="M280" s="257" t="s">
        <v>4155</v>
      </c>
      <c r="N280" t="s">
        <v>4157</v>
      </c>
      <c r="O280" s="263" t="str">
        <f>AI280</f>
        <v>194/12:27</v>
      </c>
      <c r="P280" s="179" t="str">
        <f>MID(AL280,5,5)</f>
        <v>194_1</v>
      </c>
      <c r="Q280" s="104">
        <f>R280-T280/$V$30</f>
        <v>644187671.24185646</v>
      </c>
      <c r="R280" s="303">
        <f>R278+20</f>
        <v>644288041</v>
      </c>
      <c r="S280" s="104">
        <f t="shared" ref="S280" si="110">R280-Q280</f>
        <v>100369.7581435442</v>
      </c>
      <c r="T280" s="410">
        <f>5.1*1000000/8</f>
        <v>637500</v>
      </c>
      <c r="U280" s="3">
        <v>0</v>
      </c>
      <c r="V280" s="97">
        <f t="shared" ref="V280" si="111">T280+U280*$V$37</f>
        <v>637500</v>
      </c>
      <c r="W280" s="97">
        <f t="shared" ref="W280" si="112">AA280*1000000/8</f>
        <v>1153666.25</v>
      </c>
      <c r="X280" s="266">
        <f t="shared" ref="X280" si="113">W280-V280</f>
        <v>516166.25</v>
      </c>
      <c r="Y280" s="318"/>
      <c r="Z280" s="319"/>
      <c r="AA280" s="256">
        <f>AQ280+0.1</f>
        <v>9.2293299999999991</v>
      </c>
      <c r="AD280" s="408">
        <f>AK280</f>
        <v>5.0999999999999996</v>
      </c>
      <c r="AE280" s="278"/>
      <c r="AH280" s="393" t="str">
        <f>AL280</f>
        <v>TRK_194_1</v>
      </c>
      <c r="AI280" s="394" t="s">
        <v>4100</v>
      </c>
      <c r="AJ280" s="232">
        <f t="shared" ref="AJ280:AJ301" si="114">X280*8/1000000</f>
        <v>4.1293300000000004</v>
      </c>
      <c r="AK280" s="232">
        <f t="shared" ref="AK280:AK301" si="115">V280*8/1000000</f>
        <v>5.0999999999999996</v>
      </c>
      <c r="AL280" s="391" t="s">
        <v>4067</v>
      </c>
      <c r="AM280" s="391" t="s">
        <v>4068</v>
      </c>
      <c r="AN280">
        <v>0.27261099999999999</v>
      </c>
      <c r="AO280">
        <v>1.3100350000000001</v>
      </c>
      <c r="AP280">
        <v>1.0374239999999999</v>
      </c>
      <c r="AQ280" s="388">
        <v>9.1293299999999995</v>
      </c>
    </row>
    <row r="281" spans="1:43" ht="13.5" customHeight="1">
      <c r="A281" t="s">
        <v>8577</v>
      </c>
      <c r="C281" s="3">
        <v>104</v>
      </c>
      <c r="D281" s="3">
        <v>105</v>
      </c>
      <c r="E281" s="3"/>
      <c r="F281" s="3"/>
      <c r="G281" s="3" t="s">
        <v>765</v>
      </c>
      <c r="H281" s="3"/>
      <c r="I281" s="3"/>
      <c r="L281" s="257" t="s">
        <v>4101</v>
      </c>
      <c r="M281" s="257" t="s">
        <v>4137</v>
      </c>
      <c r="N281" t="s">
        <v>4136</v>
      </c>
      <c r="O281" s="263"/>
      <c r="P281" s="179" t="str">
        <f>MID(AL281,5,5)</f>
        <v/>
      </c>
      <c r="Q281" s="303">
        <f>R269-5</f>
        <v>644923310</v>
      </c>
      <c r="R281" s="104">
        <f>((W281-U281*$V$37)/$V$22)+Q281</f>
        <v>644993181.58951569</v>
      </c>
      <c r="S281" s="104">
        <f t="shared" ref="S281" si="116">R281-Q281</f>
        <v>69871.589515686035</v>
      </c>
      <c r="T281" s="104">
        <f>S281*$V$22</f>
        <v>318791.25000006845</v>
      </c>
      <c r="U281" s="3">
        <v>1</v>
      </c>
      <c r="V281" s="97">
        <f t="shared" ref="V281" si="117">T281+U281*$V$37</f>
        <v>516166.25000006845</v>
      </c>
      <c r="W281" s="407">
        <f>X280</f>
        <v>516166.25</v>
      </c>
      <c r="X281" s="266">
        <f t="shared" ref="X281" si="118">W281-V281</f>
        <v>-6.8452209234237671E-8</v>
      </c>
      <c r="Y281" s="318"/>
      <c r="Z281" s="319"/>
      <c r="AA281" s="256"/>
      <c r="AD281" s="297">
        <f>AK281</f>
        <v>4.1293300000005475</v>
      </c>
      <c r="AE281" s="278"/>
      <c r="AH281" s="393"/>
      <c r="AI281" s="394"/>
      <c r="AJ281" s="232">
        <f t="shared" ref="AJ281" si="119">X281*8/1000000</f>
        <v>-5.4761767387390135E-13</v>
      </c>
      <c r="AK281" s="232">
        <f t="shared" ref="AK281" si="120">V281*8/1000000</f>
        <v>4.1293300000005475</v>
      </c>
      <c r="AL281" s="391"/>
      <c r="AM281" s="391"/>
      <c r="AQ281" s="388"/>
    </row>
    <row r="282" spans="1:43" ht="13.5" customHeight="1">
      <c r="A282" t="s">
        <v>8577</v>
      </c>
      <c r="C282" s="3">
        <v>104</v>
      </c>
      <c r="D282" s="3">
        <v>105</v>
      </c>
      <c r="G282" s="3" t="s">
        <v>765</v>
      </c>
      <c r="L282" s="257" t="str">
        <f>M281</f>
        <v>179/22:54</v>
      </c>
      <c r="M282" s="257" t="s">
        <v>4138</v>
      </c>
      <c r="N282" t="s">
        <v>4136</v>
      </c>
      <c r="O282" s="263" t="str">
        <f>AI282</f>
        <v>194/22:57</v>
      </c>
      <c r="P282" s="179" t="str">
        <f>MID(AL282,5,5)</f>
        <v>194_2</v>
      </c>
      <c r="Q282" s="237">
        <f>R281-1</f>
        <v>644993180.58951569</v>
      </c>
      <c r="R282" s="104">
        <f>((W282-U282*$V$37)/$V$22)+Q282</f>
        <v>645404948.53246129</v>
      </c>
      <c r="S282" s="104">
        <f t="shared" ref="S282" si="121">R282-Q282</f>
        <v>411767.94294559956</v>
      </c>
      <c r="T282" s="104">
        <f>S282*$V$22</f>
        <v>1878703.7500000647</v>
      </c>
      <c r="U282" s="3">
        <v>0</v>
      </c>
      <c r="V282" s="97">
        <f t="shared" ref="V282" si="122">T282+U282*$V$37</f>
        <v>1878703.7500000647</v>
      </c>
      <c r="W282" s="97">
        <f t="shared" ref="W282" si="123">AA282*1000000/8</f>
        <v>1878703.75</v>
      </c>
      <c r="X282" s="266">
        <f t="shared" ref="X282" si="124">W282-V282</f>
        <v>-6.4726918935775757E-8</v>
      </c>
      <c r="Y282" s="318"/>
      <c r="Z282" s="319"/>
      <c r="AA282" s="256">
        <f>AQ282</f>
        <v>15.029629999999999</v>
      </c>
      <c r="AD282" s="297">
        <f>AD281+AK282</f>
        <v>19.158960000001066</v>
      </c>
      <c r="AE282" s="278"/>
      <c r="AH282" s="391" t="s">
        <v>4069</v>
      </c>
      <c r="AI282" s="391" t="s">
        <v>4099</v>
      </c>
      <c r="AJ282" s="232">
        <f t="shared" si="114"/>
        <v>-5.1781535148620602E-13</v>
      </c>
      <c r="AK282" s="232">
        <f t="shared" si="115"/>
        <v>15.029630000000518</v>
      </c>
      <c r="AL282" s="391" t="s">
        <v>4069</v>
      </c>
      <c r="AM282" s="391" t="s">
        <v>4070</v>
      </c>
      <c r="AN282">
        <v>0.20042599999999999</v>
      </c>
      <c r="AO282">
        <v>1.9083380000000001</v>
      </c>
      <c r="AP282">
        <v>1.7079120000000001</v>
      </c>
      <c r="AQ282" s="388">
        <v>15.029629999999999</v>
      </c>
    </row>
    <row r="283" spans="1:43" ht="13.5" customHeight="1">
      <c r="A283" t="s">
        <v>8577</v>
      </c>
      <c r="C283" s="3">
        <v>104</v>
      </c>
      <c r="D283" s="3">
        <v>105</v>
      </c>
      <c r="G283" s="3" t="s">
        <v>765</v>
      </c>
      <c r="L283" s="257" t="str">
        <f>M282</f>
        <v>184/17:17</v>
      </c>
      <c r="M283" s="257" t="s">
        <v>4139</v>
      </c>
      <c r="N283" t="s">
        <v>4136</v>
      </c>
      <c r="O283" s="263" t="str">
        <f>AI283</f>
        <v>195/12:22</v>
      </c>
      <c r="P283" s="179" t="str">
        <f>MID(AL283,5,5)</f>
        <v>195_1</v>
      </c>
      <c r="Q283" s="237">
        <f>R282-1</f>
        <v>645404947.53246129</v>
      </c>
      <c r="R283" s="104">
        <f>((W283-U283*$V$37)/$V$22)+Q283</f>
        <v>645654144.17441666</v>
      </c>
      <c r="S283" s="104">
        <f t="shared" ref="S283" si="125">R283-Q283</f>
        <v>249196.64195537567</v>
      </c>
      <c r="T283" s="104">
        <f>S283*$V$22</f>
        <v>1136967.2499999332</v>
      </c>
      <c r="U283" s="3">
        <v>0</v>
      </c>
      <c r="V283" s="97">
        <f t="shared" ref="V283" si="126">T283+U283*$V$37</f>
        <v>1136967.2499999332</v>
      </c>
      <c r="W283" s="97">
        <f t="shared" ref="W283" si="127">AA283*1000000/8</f>
        <v>1136967.25</v>
      </c>
      <c r="X283" s="266">
        <f t="shared" ref="X283" si="128">W283-V283</f>
        <v>6.6822394728660583E-8</v>
      </c>
      <c r="Y283" s="318"/>
      <c r="Z283" s="319"/>
      <c r="AA283" s="256">
        <f>AQ283</f>
        <v>9.0957380000000008</v>
      </c>
      <c r="AD283" s="297">
        <f>AD282+AK283</f>
        <v>28.254698000000531</v>
      </c>
      <c r="AE283" s="278"/>
      <c r="AH283" s="391" t="s">
        <v>4071</v>
      </c>
      <c r="AI283" s="391" t="s">
        <v>4098</v>
      </c>
      <c r="AJ283" s="232">
        <f t="shared" si="114"/>
        <v>5.3457915782928464E-13</v>
      </c>
      <c r="AK283" s="232">
        <f t="shared" si="115"/>
        <v>9.0957379999994661</v>
      </c>
      <c r="AL283" s="391" t="s">
        <v>4071</v>
      </c>
      <c r="AM283" s="391" t="s">
        <v>4072</v>
      </c>
      <c r="AN283">
        <v>0.37072500000000003</v>
      </c>
      <c r="AO283">
        <v>1.4043319999999999</v>
      </c>
      <c r="AP283">
        <v>1.0336069999999999</v>
      </c>
      <c r="AQ283" s="388">
        <v>9.0957380000000008</v>
      </c>
    </row>
    <row r="284" spans="1:43" ht="13.5" customHeight="1">
      <c r="A284" t="s">
        <v>8577</v>
      </c>
      <c r="C284" s="3">
        <v>104</v>
      </c>
      <c r="D284" s="3">
        <v>105</v>
      </c>
      <c r="G284" s="3" t="s">
        <v>765</v>
      </c>
      <c r="L284" s="257" t="str">
        <f>M283</f>
        <v>187/14:30</v>
      </c>
      <c r="M284" s="257" t="s">
        <v>4140</v>
      </c>
      <c r="N284" t="s">
        <v>4136</v>
      </c>
      <c r="O284" s="263" t="str">
        <f>AI284</f>
        <v>196/00:36</v>
      </c>
      <c r="P284" s="179" t="str">
        <f>MID(AL284,5,5)</f>
        <v>196_1</v>
      </c>
      <c r="Q284" s="237">
        <f>R283-1</f>
        <v>645654143.17441666</v>
      </c>
      <c r="R284" s="104">
        <f>((W284-U284*$V$37)/$V$22)+Q284</f>
        <v>646084146.11922204</v>
      </c>
      <c r="S284" s="104">
        <f t="shared" ref="S284" si="129">R284-Q284</f>
        <v>430002.94480538368</v>
      </c>
      <c r="T284" s="104">
        <f>S284*$V$22</f>
        <v>1961901.5000001432</v>
      </c>
      <c r="U284" s="3">
        <v>0</v>
      </c>
      <c r="V284" s="97">
        <f t="shared" ref="V284" si="130">T284+U284*$V$37</f>
        <v>1961901.5000001432</v>
      </c>
      <c r="W284" s="97">
        <f t="shared" ref="W284" si="131">AA284*1000000/8</f>
        <v>1961901.5</v>
      </c>
      <c r="X284" s="266">
        <f t="shared" ref="X284" si="132">W284-V284</f>
        <v>-1.4319084584712982E-7</v>
      </c>
      <c r="Y284" s="318"/>
      <c r="Z284" s="319"/>
      <c r="AA284" s="256">
        <f>AQ284</f>
        <v>15.695212</v>
      </c>
      <c r="AD284" s="297">
        <f>AD283+AK284</f>
        <v>43.94991000000168</v>
      </c>
      <c r="AE284" s="278"/>
      <c r="AH284" s="391" t="s">
        <v>4073</v>
      </c>
      <c r="AI284" s="391" t="s">
        <v>4097</v>
      </c>
      <c r="AJ284" s="232">
        <f t="shared" si="114"/>
        <v>-1.1455267667770385E-12</v>
      </c>
      <c r="AK284" s="232">
        <f t="shared" si="115"/>
        <v>15.695212000001145</v>
      </c>
      <c r="AL284" s="391" t="s">
        <v>4073</v>
      </c>
      <c r="AM284" s="391" t="s">
        <v>4074</v>
      </c>
      <c r="AN284">
        <v>0.210508</v>
      </c>
      <c r="AO284">
        <v>1.9940549999999999</v>
      </c>
      <c r="AP284">
        <v>1.783547</v>
      </c>
      <c r="AQ284" s="388">
        <v>15.695212</v>
      </c>
    </row>
    <row r="285" spans="1:43" ht="13.5" customHeight="1">
      <c r="O285" t="s">
        <v>4360</v>
      </c>
      <c r="P285" s="395" t="s">
        <v>4105</v>
      </c>
      <c r="Q285" s="395" t="s">
        <v>4106</v>
      </c>
      <c r="R285" s="395">
        <v>645155515</v>
      </c>
      <c r="S285" s="395">
        <v>8</v>
      </c>
      <c r="T285" s="395" t="s">
        <v>373</v>
      </c>
      <c r="U285" s="395" t="s">
        <v>4107</v>
      </c>
      <c r="V285" s="395" t="s">
        <v>816</v>
      </c>
      <c r="W285" s="395" t="s">
        <v>817</v>
      </c>
      <c r="X285" s="395" t="s">
        <v>4108</v>
      </c>
      <c r="AD285" s="297"/>
      <c r="AE285" s="278"/>
      <c r="AH285" s="391"/>
      <c r="AI285" s="391"/>
      <c r="AJ285" s="232"/>
      <c r="AK285" s="232"/>
      <c r="AL285" s="391"/>
      <c r="AM285" s="391"/>
      <c r="AQ285" s="388"/>
    </row>
    <row r="286" spans="1:43" ht="13.5" customHeight="1">
      <c r="O286" t="s">
        <v>4114</v>
      </c>
      <c r="P286" s="395" t="s">
        <v>4110</v>
      </c>
      <c r="Q286" s="395" t="s">
        <v>4111</v>
      </c>
      <c r="R286" s="395">
        <v>645161815</v>
      </c>
      <c r="S286" s="395">
        <v>7</v>
      </c>
      <c r="T286" s="395" t="s">
        <v>373</v>
      </c>
      <c r="U286" s="395" t="s">
        <v>4107</v>
      </c>
      <c r="V286" s="395" t="s">
        <v>816</v>
      </c>
      <c r="W286" s="395" t="s">
        <v>817</v>
      </c>
      <c r="X286" s="395" t="s">
        <v>4112</v>
      </c>
      <c r="AD286" s="297"/>
      <c r="AE286" s="278"/>
      <c r="AH286" s="391"/>
      <c r="AI286" s="391"/>
      <c r="AJ286" s="232"/>
      <c r="AK286" s="232"/>
      <c r="AL286" s="391"/>
      <c r="AM286" s="391"/>
      <c r="AQ286" s="388"/>
    </row>
    <row r="287" spans="1:43" ht="13.5" customHeight="1">
      <c r="O287" t="s">
        <v>175</v>
      </c>
      <c r="P287" s="402" t="s">
        <v>4160</v>
      </c>
      <c r="Q287" s="402" t="s">
        <v>4161</v>
      </c>
      <c r="R287" s="402">
        <v>645161840</v>
      </c>
      <c r="S287" s="402">
        <v>1</v>
      </c>
      <c r="T287" s="402" t="s">
        <v>373</v>
      </c>
      <c r="U287" s="402" t="s">
        <v>4107</v>
      </c>
      <c r="V287" s="402" t="s">
        <v>833</v>
      </c>
      <c r="W287" s="402"/>
      <c r="X287" s="402" t="s">
        <v>4112</v>
      </c>
      <c r="AD287" s="297"/>
      <c r="AE287" s="278"/>
      <c r="AH287" s="391"/>
      <c r="AI287" s="391"/>
      <c r="AJ287" s="232"/>
      <c r="AK287" s="232"/>
      <c r="AL287" s="391"/>
      <c r="AM287" s="391"/>
      <c r="AQ287" s="388"/>
    </row>
    <row r="288" spans="1:43" ht="13.5" customHeight="1">
      <c r="A288" t="s">
        <v>4104</v>
      </c>
      <c r="C288" s="3"/>
      <c r="D288" s="3"/>
      <c r="E288" s="3"/>
      <c r="F288" s="3"/>
      <c r="G288" s="3"/>
      <c r="H288" s="3"/>
      <c r="I288" s="3"/>
      <c r="J288" s="3" t="s">
        <v>943</v>
      </c>
      <c r="K288" s="3" t="s">
        <v>1540</v>
      </c>
      <c r="L288" s="226" t="s">
        <v>4102</v>
      </c>
      <c r="M288" s="226" t="s">
        <v>4103</v>
      </c>
      <c r="N288" t="s">
        <v>4109</v>
      </c>
      <c r="O288" s="263" t="str">
        <f>AI288</f>
        <v>196/12:51</v>
      </c>
      <c r="P288" s="179" t="str">
        <f>MID(AL288,5,5)</f>
        <v>196_2</v>
      </c>
      <c r="Q288" s="413">
        <f>R285-5</f>
        <v>645155510</v>
      </c>
      <c r="R288" s="403">
        <f>R287+20</f>
        <v>645161860</v>
      </c>
      <c r="S288" s="104">
        <f>R288-Q288</f>
        <v>6350</v>
      </c>
      <c r="T288" s="403">
        <f>5.4*1000000/8</f>
        <v>675000</v>
      </c>
      <c r="U288" s="3"/>
      <c r="V288" s="97">
        <f t="shared" ref="V288:V291" si="133">T288+U288*$V$37</f>
        <v>675000</v>
      </c>
      <c r="W288" s="97">
        <f t="shared" ref="W288" si="134">AA288*1000000/8</f>
        <v>1082320.875</v>
      </c>
      <c r="X288" s="266">
        <f>W288-V288</f>
        <v>407320.875</v>
      </c>
      <c r="Y288" s="318"/>
      <c r="Z288" s="319"/>
      <c r="AA288" s="256">
        <f>AQ288</f>
        <v>8.6585669999999997</v>
      </c>
      <c r="AC288" s="308">
        <f>AK288</f>
        <v>5.4</v>
      </c>
      <c r="AD288" t="s">
        <v>1544</v>
      </c>
      <c r="AH288" s="391" t="s">
        <v>4075</v>
      </c>
      <c r="AI288" s="391" t="s">
        <v>4096</v>
      </c>
      <c r="AJ288" s="232">
        <f t="shared" si="114"/>
        <v>3.2585670000000002</v>
      </c>
      <c r="AK288" s="232">
        <f t="shared" si="115"/>
        <v>5.4</v>
      </c>
      <c r="AL288" s="391" t="s">
        <v>4075</v>
      </c>
      <c r="AM288" s="391" t="s">
        <v>4076</v>
      </c>
      <c r="AN288">
        <v>0.21162800000000001</v>
      </c>
      <c r="AO288">
        <v>1.1955560000000001</v>
      </c>
      <c r="AP288">
        <v>0.98392800000000002</v>
      </c>
      <c r="AQ288" s="388">
        <v>8.6585669999999997</v>
      </c>
    </row>
    <row r="289" spans="1:43" ht="13.5" customHeight="1">
      <c r="A289" t="s">
        <v>8577</v>
      </c>
      <c r="C289" s="3">
        <v>104</v>
      </c>
      <c r="D289" s="3">
        <v>105</v>
      </c>
      <c r="G289" s="3" t="s">
        <v>765</v>
      </c>
      <c r="H289" s="3"/>
      <c r="I289" s="3"/>
      <c r="J289" s="3"/>
      <c r="K289" s="3"/>
      <c r="L289" s="257" t="str">
        <f>M284</f>
        <v>192/13:57</v>
      </c>
      <c r="M289" s="257" t="s">
        <v>4162</v>
      </c>
      <c r="N289" t="s">
        <v>4136</v>
      </c>
      <c r="O289" s="263"/>
      <c r="P289" s="179" t="str">
        <f>MID(AL289,5,5)</f>
        <v/>
      </c>
      <c r="Q289" s="237">
        <f>R284-1</f>
        <v>646084145.11922204</v>
      </c>
      <c r="R289" s="104">
        <f>((W289-U289*$V$37)/$V$22)+Q289</f>
        <v>646173420.3329525</v>
      </c>
      <c r="S289" s="104">
        <f t="shared" ref="S289" si="135">R289-Q289</f>
        <v>89275.213730454445</v>
      </c>
      <c r="T289" s="104">
        <f>S289*$V$22</f>
        <v>407320.87499978225</v>
      </c>
      <c r="U289" s="3">
        <v>0</v>
      </c>
      <c r="V289" s="97">
        <f t="shared" si="133"/>
        <v>407320.87499978225</v>
      </c>
      <c r="W289" s="407">
        <f>X288</f>
        <v>407320.875</v>
      </c>
      <c r="X289" s="266">
        <f t="shared" ref="X289:X291" si="136">W289-V289</f>
        <v>2.1775485947728157E-7</v>
      </c>
      <c r="Y289" s="318"/>
      <c r="Z289" s="319"/>
      <c r="AA289" s="256"/>
      <c r="AD289" s="404">
        <f>AD284+AK289</f>
        <v>47.208476999999938</v>
      </c>
      <c r="AH289" s="391"/>
      <c r="AI289" s="391"/>
      <c r="AJ289" s="232">
        <f t="shared" ref="AJ289" si="137">X289*8/1000000</f>
        <v>1.7420388758182525E-12</v>
      </c>
      <c r="AK289" s="232">
        <f t="shared" ref="AK289" si="138">V289*8/1000000</f>
        <v>3.2585669999982581</v>
      </c>
      <c r="AL289" s="391"/>
      <c r="AM289" s="391"/>
      <c r="AQ289" s="388"/>
    </row>
    <row r="290" spans="1:43" ht="13.5" customHeight="1">
      <c r="C290" s="3"/>
      <c r="D290" s="3"/>
      <c r="G290" s="3"/>
      <c r="H290" s="3"/>
      <c r="I290" s="3"/>
      <c r="J290" s="3"/>
      <c r="K290" s="3"/>
      <c r="L290" s="257"/>
      <c r="M290" s="257"/>
      <c r="O290" t="s">
        <v>4130</v>
      </c>
      <c r="P290" s="395" t="s">
        <v>4131</v>
      </c>
      <c r="Q290" s="402" t="s">
        <v>4132</v>
      </c>
      <c r="R290" s="402">
        <v>616842836</v>
      </c>
      <c r="S290" s="395">
        <v>7</v>
      </c>
      <c r="T290" s="395" t="s">
        <v>373</v>
      </c>
      <c r="U290" s="395" t="s">
        <v>4133</v>
      </c>
      <c r="V290" s="395" t="s">
        <v>816</v>
      </c>
      <c r="W290" s="395" t="s">
        <v>817</v>
      </c>
      <c r="X290" s="395" t="s">
        <v>4134</v>
      </c>
      <c r="Y290" s="318"/>
      <c r="Z290" s="319"/>
      <c r="AA290" s="256"/>
      <c r="AD290" s="297"/>
      <c r="AH290" s="391"/>
      <c r="AI290" s="391"/>
      <c r="AJ290" s="232"/>
      <c r="AK290" s="232"/>
      <c r="AL290" s="391"/>
      <c r="AM290" s="391"/>
      <c r="AQ290" s="388"/>
    </row>
    <row r="291" spans="1:43" ht="13.5" customHeight="1">
      <c r="C291" s="3"/>
      <c r="D291" s="3"/>
      <c r="G291" s="3"/>
      <c r="H291" s="3"/>
      <c r="I291" s="3"/>
      <c r="J291" s="3" t="s">
        <v>943</v>
      </c>
      <c r="K291" s="3" t="s">
        <v>1540</v>
      </c>
      <c r="L291" s="226" t="s">
        <v>4164</v>
      </c>
      <c r="M291" s="226" t="s">
        <v>4120</v>
      </c>
      <c r="N291" t="s">
        <v>4135</v>
      </c>
      <c r="O291" s="263" t="str">
        <f>AI291</f>
        <v>197/03:26</v>
      </c>
      <c r="P291" s="179" t="str">
        <f>MID(AL291,5,5)</f>
        <v>197_1</v>
      </c>
      <c r="Q291" s="237">
        <f>R244-3</f>
        <v>603989405.01880622</v>
      </c>
      <c r="R291" s="104">
        <f>((W291)/$X$9)+Q291</f>
        <v>604588097.88287854</v>
      </c>
      <c r="S291" s="104">
        <f>R291-Q291</f>
        <v>598692.86407232285</v>
      </c>
      <c r="T291" s="104">
        <f>S291*$X$9</f>
        <v>2212728.1249999357</v>
      </c>
      <c r="U291" s="3">
        <v>0</v>
      </c>
      <c r="V291" s="97">
        <f t="shared" si="133"/>
        <v>2212728.1249999357</v>
      </c>
      <c r="W291" s="97">
        <f>AA291*1000000/8</f>
        <v>2212728.125</v>
      </c>
      <c r="X291" s="266">
        <f t="shared" si="136"/>
        <v>6.4261257648468018E-8</v>
      </c>
      <c r="Y291" s="318"/>
      <c r="Z291" s="319"/>
      <c r="AA291" s="256">
        <f>AQ291</f>
        <v>17.701824999999999</v>
      </c>
      <c r="AC291" s="308">
        <f>AK291</f>
        <v>17.701824999999484</v>
      </c>
      <c r="AD291" s="297"/>
      <c r="AH291" s="391" t="str">
        <f>AL291</f>
        <v>TRK_197_1</v>
      </c>
      <c r="AI291" s="391" t="s">
        <v>4167</v>
      </c>
      <c r="AJ291" s="232">
        <f t="shared" ref="AJ291" si="139">X291*8/1000000</f>
        <v>5.1409006118774412E-13</v>
      </c>
      <c r="AK291" s="232">
        <f t="shared" ref="AK291" si="140">V291*8/1000000</f>
        <v>17.701824999999484</v>
      </c>
      <c r="AL291" s="391" t="s">
        <v>4165</v>
      </c>
      <c r="AM291" s="391" t="s">
        <v>4166</v>
      </c>
      <c r="AN291">
        <v>0.21068500000000001</v>
      </c>
      <c r="AO291">
        <v>2.2222559999999998</v>
      </c>
      <c r="AP291">
        <v>2.011571</v>
      </c>
      <c r="AQ291" s="388">
        <v>17.701824999999999</v>
      </c>
    </row>
    <row r="292" spans="1:43" ht="13.5" customHeight="1">
      <c r="N292" t="s">
        <v>4113</v>
      </c>
      <c r="O292" s="263" t="str">
        <f>AI292</f>
        <v>197/15:01</v>
      </c>
      <c r="P292" s="179" t="str">
        <f>MID(AL292,5,5)</f>
        <v>197_2</v>
      </c>
      <c r="Q292" s="264">
        <f>R246-1</f>
        <v>-1</v>
      </c>
      <c r="R292" s="143">
        <f>((W292)/$W$9)+Q292</f>
        <v>170822.03166868188</v>
      </c>
      <c r="S292" s="104">
        <f t="shared" ref="S292:S294" si="141">R292-Q292</f>
        <v>170823.03166868188</v>
      </c>
      <c r="T292" s="104">
        <f>265057+21845+265057</f>
        <v>551959</v>
      </c>
      <c r="U292" s="3"/>
      <c r="V292" s="97">
        <f t="shared" ref="V292:V294" si="142">T292+U292*$V$37</f>
        <v>551959</v>
      </c>
      <c r="W292" s="97">
        <f t="shared" ref="W292" si="143">AA292*1000000/8</f>
        <v>629331.375</v>
      </c>
      <c r="X292" s="266">
        <f>W292-V292</f>
        <v>77372.375</v>
      </c>
      <c r="Y292" s="318"/>
      <c r="Z292" s="319"/>
      <c r="AA292" s="256">
        <f>AQ292</f>
        <v>5.0346510000000002</v>
      </c>
      <c r="AB292">
        <f>X292*8/1000000</f>
        <v>0.61897899999999995</v>
      </c>
      <c r="AC292" t="s">
        <v>4128</v>
      </c>
      <c r="AH292" s="391" t="str">
        <f>AL292</f>
        <v>TRK_197_2</v>
      </c>
      <c r="AI292" s="391" t="s">
        <v>4090</v>
      </c>
      <c r="AJ292" s="232">
        <f t="shared" si="114"/>
        <v>0.61897899999999995</v>
      </c>
      <c r="AK292" s="232">
        <f t="shared" si="115"/>
        <v>4.4156719999999998</v>
      </c>
      <c r="AL292" s="391" t="s">
        <v>628</v>
      </c>
      <c r="AM292" s="391" t="s">
        <v>4077</v>
      </c>
      <c r="AN292">
        <v>0.201819</v>
      </c>
      <c r="AO292">
        <v>0.77393800000000001</v>
      </c>
      <c r="AP292">
        <v>0.57211900000000004</v>
      </c>
      <c r="AQ292" s="388">
        <v>5.0346510000000002</v>
      </c>
    </row>
    <row r="293" spans="1:43" ht="13.5" customHeight="1">
      <c r="O293" t="s">
        <v>4145</v>
      </c>
      <c r="P293" s="405" t="s">
        <v>4142</v>
      </c>
      <c r="Q293" s="405" t="s">
        <v>4143</v>
      </c>
      <c r="R293" s="405">
        <v>629506577</v>
      </c>
      <c r="S293" s="405">
        <v>0</v>
      </c>
      <c r="T293" s="405" t="s">
        <v>1124</v>
      </c>
      <c r="U293" s="405" t="s">
        <v>4144</v>
      </c>
      <c r="V293" s="405" t="s">
        <v>1131</v>
      </c>
      <c r="W293" s="405" t="s">
        <v>1132</v>
      </c>
      <c r="X293" s="406"/>
      <c r="Y293" s="318"/>
      <c r="Z293" s="319"/>
      <c r="AA293" s="256"/>
      <c r="AH293" s="391"/>
      <c r="AI293" s="391"/>
      <c r="AJ293" s="232"/>
      <c r="AK293" s="232"/>
      <c r="AL293" s="391"/>
      <c r="AM293" s="391"/>
      <c r="AQ293" s="388"/>
    </row>
    <row r="294" spans="1:43" ht="13.5" customHeight="1">
      <c r="C294" s="3">
        <v>104</v>
      </c>
      <c r="D294" s="3">
        <v>105</v>
      </c>
      <c r="G294" s="3" t="s">
        <v>765</v>
      </c>
      <c r="L294" s="257" t="s">
        <v>4141</v>
      </c>
      <c r="M294" s="257" t="s">
        <v>4146</v>
      </c>
      <c r="N294" t="s">
        <v>4145</v>
      </c>
      <c r="P294" s="179" t="str">
        <f>MID(AL294,5,5)</f>
        <v/>
      </c>
      <c r="Q294" s="413">
        <f>R293-5</f>
        <v>629506572</v>
      </c>
      <c r="R294" s="104">
        <f>((W294-U294*$V$37)/$V$22)+Q294</f>
        <v>629523530.21584141</v>
      </c>
      <c r="S294" s="104">
        <f t="shared" si="141"/>
        <v>16958.215841412544</v>
      </c>
      <c r="T294" s="104">
        <f>S294*$V$22</f>
        <v>77372.375000016313</v>
      </c>
      <c r="U294" s="3">
        <v>0</v>
      </c>
      <c r="V294" s="97">
        <f t="shared" si="142"/>
        <v>77372.375000016313</v>
      </c>
      <c r="W294" s="407">
        <f>X292</f>
        <v>77372.375</v>
      </c>
      <c r="X294" s="266">
        <f t="shared" ref="X294:X295" si="144">W294-V294</f>
        <v>-1.6312696970999241E-8</v>
      </c>
      <c r="Y294" s="318"/>
      <c r="Z294" s="319"/>
      <c r="AA294" s="256"/>
      <c r="AD294" s="297">
        <f>AK294</f>
        <v>0.61897900000013051</v>
      </c>
      <c r="AH294" s="391"/>
      <c r="AI294" s="391"/>
      <c r="AJ294" s="232">
        <f t="shared" ref="AJ294" si="145">X294*8/1000000</f>
        <v>-1.3050157576799393E-13</v>
      </c>
      <c r="AK294" s="232">
        <f t="shared" ref="AK294" si="146">V294*8/1000000</f>
        <v>0.61897900000013051</v>
      </c>
      <c r="AL294" s="391"/>
      <c r="AM294" s="391"/>
      <c r="AQ294" s="388"/>
    </row>
    <row r="295" spans="1:43" ht="13.5" customHeight="1">
      <c r="C295" s="3">
        <v>104</v>
      </c>
      <c r="D295" s="3">
        <v>105</v>
      </c>
      <c r="G295" s="3" t="s">
        <v>765</v>
      </c>
      <c r="L295" s="257" t="str">
        <f>M294</f>
        <v>25-365/21:47</v>
      </c>
      <c r="M295" s="257" t="s">
        <v>4147</v>
      </c>
      <c r="N295" t="s">
        <v>4145</v>
      </c>
      <c r="O295" s="263" t="str">
        <f>AI295</f>
        <v>198/03:56</v>
      </c>
      <c r="P295" s="179" t="str">
        <f>MID(AL295,5,5)</f>
        <v>198_1</v>
      </c>
      <c r="Q295" s="237">
        <f>R294-1</f>
        <v>629523529.21584141</v>
      </c>
      <c r="R295" s="104">
        <f>((W295-U295*$V$37)/$V$22)+Q295</f>
        <v>630235396.22890353</v>
      </c>
      <c r="S295" s="104">
        <f t="shared" ref="S295" si="147">R295-Q295</f>
        <v>711867.01306211948</v>
      </c>
      <c r="T295" s="104">
        <f>S295*$V$22</f>
        <v>3247914.8749999632</v>
      </c>
      <c r="U295" s="3">
        <v>0</v>
      </c>
      <c r="V295" s="97">
        <f t="shared" ref="V295" si="148">T295+U295*$V$37</f>
        <v>3247914.8749999632</v>
      </c>
      <c r="W295" s="97">
        <f t="shared" ref="W295" si="149">AA295*1000000/8</f>
        <v>3247914.875</v>
      </c>
      <c r="X295" s="266">
        <f t="shared" si="144"/>
        <v>3.6787241697311401E-8</v>
      </c>
      <c r="Y295" s="318"/>
      <c r="Z295" s="319"/>
      <c r="AA295" s="256">
        <f>AQ295</f>
        <v>25.983319000000002</v>
      </c>
      <c r="AD295" s="297">
        <f>AD294+AK295</f>
        <v>26.602297999999838</v>
      </c>
      <c r="AH295" s="391" t="s">
        <v>4078</v>
      </c>
      <c r="AI295" s="391" t="s">
        <v>4091</v>
      </c>
      <c r="AJ295" s="232">
        <f t="shared" si="114"/>
        <v>2.942979335784912E-13</v>
      </c>
      <c r="AK295" s="232">
        <f t="shared" si="115"/>
        <v>25.983318999999707</v>
      </c>
      <c r="AL295" s="391" t="s">
        <v>4078</v>
      </c>
      <c r="AM295" s="391" t="s">
        <v>4079</v>
      </c>
      <c r="AN295">
        <v>0.22420200000000001</v>
      </c>
      <c r="AO295">
        <v>3.1768519999999998</v>
      </c>
      <c r="AP295">
        <v>2.9526500000000002</v>
      </c>
      <c r="AQ295" s="388">
        <v>25.983319000000002</v>
      </c>
    </row>
    <row r="296" spans="1:43" ht="13.5" customHeight="1">
      <c r="C296" s="3">
        <v>104</v>
      </c>
      <c r="D296" s="3">
        <v>105</v>
      </c>
      <c r="G296" s="3" t="s">
        <v>765</v>
      </c>
      <c r="L296" s="257" t="str">
        <f>M295</f>
        <v>26-009/03:31</v>
      </c>
      <c r="M296" s="257" t="s">
        <v>4163</v>
      </c>
      <c r="N296" t="s">
        <v>4145</v>
      </c>
      <c r="O296" s="263" t="str">
        <f>AI296</f>
        <v>199/02:36</v>
      </c>
      <c r="P296" s="179" t="str">
        <f>MID(AL296,5,5)</f>
        <v>199_1</v>
      </c>
      <c r="Q296" s="237">
        <f>R295-1</f>
        <v>630235395.22890353</v>
      </c>
      <c r="R296" s="104">
        <f>((W296-U296*$V$37)/$V$22)+Q296</f>
        <v>630695495.94588888</v>
      </c>
      <c r="S296" s="104">
        <f t="shared" ref="S296" si="150">R296-Q296</f>
        <v>460100.71698534489</v>
      </c>
      <c r="T296" s="104">
        <f>S296*$V$22</f>
        <v>2099223.5000000587</v>
      </c>
      <c r="U296" s="3">
        <v>0</v>
      </c>
      <c r="V296" s="97">
        <f t="shared" ref="V296" si="151">T296+U296*$V$37</f>
        <v>2099223.5000000587</v>
      </c>
      <c r="W296" s="97">
        <f t="shared" ref="W296" si="152">AA296*1000000/8</f>
        <v>2099223.5</v>
      </c>
      <c r="X296" s="266">
        <f>W296-V296</f>
        <v>-5.8673322200775146E-8</v>
      </c>
      <c r="Y296" s="318"/>
      <c r="Z296" s="319"/>
      <c r="AA296" s="256">
        <f>AQ296</f>
        <v>16.793787999999999</v>
      </c>
      <c r="AD296" s="297">
        <f>AD295+AK296</f>
        <v>43.396086000000309</v>
      </c>
      <c r="AH296" s="391" t="s">
        <v>4080</v>
      </c>
      <c r="AI296" s="391" t="s">
        <v>4092</v>
      </c>
      <c r="AJ296" s="232">
        <f t="shared" si="114"/>
        <v>-4.6938657760620117E-13</v>
      </c>
      <c r="AK296" s="232">
        <f t="shared" si="115"/>
        <v>16.793788000000468</v>
      </c>
      <c r="AL296" s="391" t="s">
        <v>4080</v>
      </c>
      <c r="AM296" s="391" t="s">
        <v>4081</v>
      </c>
      <c r="AN296">
        <v>0.25603500000000001</v>
      </c>
      <c r="AO296">
        <v>2.1644199999999998</v>
      </c>
      <c r="AP296">
        <v>1.908385</v>
      </c>
      <c r="AQ296" s="388">
        <v>16.793787999999999</v>
      </c>
    </row>
    <row r="297" spans="1:43" ht="13.5" customHeight="1">
      <c r="N297" s="17"/>
      <c r="Y297" s="318"/>
      <c r="Z297" s="319"/>
      <c r="AA297" s="256"/>
      <c r="AH297" s="391"/>
      <c r="AI297" s="391"/>
      <c r="AJ297" s="232"/>
      <c r="AK297" s="232"/>
      <c r="AL297" s="391"/>
      <c r="AM297" s="391"/>
      <c r="AQ297" s="388"/>
    </row>
    <row r="298" spans="1:43" ht="13.5" customHeight="1">
      <c r="N298" s="17"/>
      <c r="Y298" s="318"/>
      <c r="Z298" s="319"/>
      <c r="AA298" s="256"/>
      <c r="AH298" s="391"/>
      <c r="AI298" s="391"/>
      <c r="AJ298" s="232"/>
      <c r="AK298" s="232"/>
      <c r="AL298" s="391"/>
      <c r="AM298" s="391"/>
      <c r="AQ298" s="388"/>
    </row>
    <row r="299" spans="1:43" ht="13.5" customHeight="1">
      <c r="J299" s="3" t="s">
        <v>943</v>
      </c>
      <c r="K299" s="3" t="s">
        <v>1540</v>
      </c>
      <c r="L299" s="226" t="str">
        <f>M291</f>
        <v>25-077/07:16</v>
      </c>
      <c r="M299" s="226" t="s">
        <v>4168</v>
      </c>
      <c r="N299" t="s">
        <v>4135</v>
      </c>
      <c r="O299" s="263" t="str">
        <f>AI299</f>
        <v>199/11:41</v>
      </c>
      <c r="P299" s="179" t="str">
        <f>MID(AL299,5,5)</f>
        <v>199_2</v>
      </c>
      <c r="Q299" s="237">
        <f>R291-3</f>
        <v>604588094.88287854</v>
      </c>
      <c r="R299" s="104">
        <f>((W299)/$X$9)+Q299</f>
        <v>604974375.62836385</v>
      </c>
      <c r="S299" s="104">
        <f>R299-Q299</f>
        <v>386280.74548530579</v>
      </c>
      <c r="T299" s="104">
        <f>S299*$X$9</f>
        <v>1427667.3749998547</v>
      </c>
      <c r="U299" s="3">
        <v>0</v>
      </c>
      <c r="V299" s="97">
        <f t="shared" ref="V299" si="153">T299+U299*$V$37</f>
        <v>1427667.3749998547</v>
      </c>
      <c r="W299" s="97">
        <f>AA299*1000000/8</f>
        <v>1427667.375</v>
      </c>
      <c r="X299" s="266">
        <f t="shared" ref="X299" si="154">W299-V299</f>
        <v>1.4528632164001465E-7</v>
      </c>
      <c r="Y299" s="318"/>
      <c r="Z299" s="319"/>
      <c r="AA299" s="256">
        <f>AQ299</f>
        <v>11.421339</v>
      </c>
      <c r="AC299" s="308">
        <f>AK299+AC291</f>
        <v>29.123163999998322</v>
      </c>
      <c r="AH299" s="391" t="s">
        <v>4082</v>
      </c>
      <c r="AI299" s="391" t="s">
        <v>4093</v>
      </c>
      <c r="AJ299" s="232">
        <f t="shared" si="114"/>
        <v>1.1622905731201172E-12</v>
      </c>
      <c r="AK299" s="232">
        <f t="shared" si="115"/>
        <v>11.421338999998838</v>
      </c>
      <c r="AL299" s="391" t="s">
        <v>4082</v>
      </c>
      <c r="AM299" s="391" t="s">
        <v>4083</v>
      </c>
      <c r="AN299">
        <v>0.18662899999999999</v>
      </c>
      <c r="AO299">
        <v>1.4845079999999999</v>
      </c>
      <c r="AP299">
        <v>1.297879</v>
      </c>
      <c r="AQ299" s="388">
        <v>11.421339</v>
      </c>
    </row>
    <row r="300" spans="1:43" ht="13.5" customHeight="1">
      <c r="L300" s="257" t="str">
        <f>M296</f>
        <v>26-014/11:20</v>
      </c>
      <c r="M300" s="257" t="s">
        <v>4148</v>
      </c>
      <c r="N300" t="s">
        <v>4145</v>
      </c>
      <c r="O300" s="263" t="str">
        <f>AI300</f>
        <v>200/13:51</v>
      </c>
      <c r="P300" s="179" t="str">
        <f>MID(AL300,5,5)</f>
        <v>200_1</v>
      </c>
      <c r="Q300" s="237">
        <f>R296-1</f>
        <v>630695494.94588888</v>
      </c>
      <c r="R300" s="104">
        <f>((W300-U300*$V$37)/$V$22)+Q300</f>
        <v>630803343.78936124</v>
      </c>
      <c r="S300" s="104">
        <f t="shared" ref="S300:S301" si="155">R300-Q300</f>
        <v>107848.84347236156</v>
      </c>
      <c r="T300" s="104">
        <f>S300*$V$22</f>
        <v>492063.62500022043</v>
      </c>
      <c r="U300" s="3">
        <v>0</v>
      </c>
      <c r="V300" s="97">
        <f t="shared" ref="V300:V301" si="156">T300+U300*$V$37</f>
        <v>492063.62500022043</v>
      </c>
      <c r="W300" s="97">
        <f t="shared" ref="W300" si="157">AA300*1000000/8</f>
        <v>492063.625</v>
      </c>
      <c r="X300" s="266">
        <f>W300-V300</f>
        <v>-2.2043241187930107E-7</v>
      </c>
      <c r="Y300" s="318"/>
      <c r="Z300" s="319"/>
      <c r="AA300" s="256">
        <f>AQ300</f>
        <v>3.936509</v>
      </c>
      <c r="AD300" s="404">
        <f>AD296+AK300</f>
        <v>47.332595000002073</v>
      </c>
      <c r="AH300" s="391" t="s">
        <v>4084</v>
      </c>
      <c r="AI300" s="391" t="s">
        <v>4094</v>
      </c>
      <c r="AJ300" s="232">
        <f t="shared" si="114"/>
        <v>-1.7634592950344086E-12</v>
      </c>
      <c r="AK300" s="232">
        <f t="shared" si="115"/>
        <v>3.9365090000017635</v>
      </c>
      <c r="AL300" s="391" t="s">
        <v>4084</v>
      </c>
      <c r="AM300" s="391" t="s">
        <v>4085</v>
      </c>
      <c r="AN300">
        <v>0.54563799999999996</v>
      </c>
      <c r="AO300">
        <v>0.99296899999999999</v>
      </c>
      <c r="AP300">
        <v>0.44733099999999998</v>
      </c>
      <c r="AQ300" s="388">
        <v>3.936509</v>
      </c>
    </row>
    <row r="301" spans="1:43" ht="13.5" customHeight="1">
      <c r="J301" s="3" t="s">
        <v>943</v>
      </c>
      <c r="K301" s="3" t="s">
        <v>1540</v>
      </c>
      <c r="L301" s="226" t="str">
        <f>M299</f>
        <v>25-081/18:34</v>
      </c>
      <c r="M301" s="226" t="s">
        <v>4125</v>
      </c>
      <c r="N301" t="s">
        <v>4129</v>
      </c>
      <c r="O301" s="263" t="str">
        <f>AI301</f>
        <v>201/06:41</v>
      </c>
      <c r="P301" s="179" t="str">
        <f>MID(AL301,5,5)</f>
        <v>201_1</v>
      </c>
      <c r="Q301" s="237">
        <f>R299-3</f>
        <v>604974372.62836385</v>
      </c>
      <c r="R301" s="413">
        <f>R303</f>
        <v>605079001</v>
      </c>
      <c r="S301" s="104">
        <f t="shared" si="155"/>
        <v>104628.37163615227</v>
      </c>
      <c r="T301" s="104">
        <f>S301*$X$9</f>
        <v>386699.34867353365</v>
      </c>
      <c r="U301" s="3">
        <v>0</v>
      </c>
      <c r="V301" s="97">
        <f t="shared" si="156"/>
        <v>386699.34867353365</v>
      </c>
      <c r="W301" s="97">
        <f>AA301*1000000/8</f>
        <v>632848.5</v>
      </c>
      <c r="X301" s="450">
        <f t="shared" ref="X301" si="158">W301-V301</f>
        <v>246149.15132646635</v>
      </c>
      <c r="Y301" s="318"/>
      <c r="Z301" s="319"/>
      <c r="AA301" s="256">
        <f>AQ301</f>
        <v>5.0627880000000003</v>
      </c>
      <c r="AC301" s="308">
        <f>AC299+AK301</f>
        <v>32.216758789386589</v>
      </c>
      <c r="AH301" s="391" t="s">
        <v>4086</v>
      </c>
      <c r="AI301" s="391" t="s">
        <v>4095</v>
      </c>
      <c r="AJ301" s="232">
        <f t="shared" si="114"/>
        <v>1.9691932106117309</v>
      </c>
      <c r="AK301" s="232">
        <f t="shared" si="115"/>
        <v>3.0935947893882694</v>
      </c>
      <c r="AL301" s="391" t="s">
        <v>4086</v>
      </c>
      <c r="AM301" s="391" t="s">
        <v>4087</v>
      </c>
      <c r="AN301">
        <v>0.24905099999999999</v>
      </c>
      <c r="AO301">
        <v>0.82436799999999999</v>
      </c>
      <c r="AP301">
        <v>0.57531699999999997</v>
      </c>
      <c r="AQ301" s="388">
        <v>5.0627880000000003</v>
      </c>
    </row>
    <row r="302" spans="1:43" ht="13.5" customHeight="1">
      <c r="J302" s="3" t="s">
        <v>943</v>
      </c>
      <c r="K302" s="3" t="s">
        <v>1540</v>
      </c>
      <c r="L302" s="226" t="s">
        <v>4172</v>
      </c>
      <c r="M302" s="226" t="s">
        <v>4171</v>
      </c>
      <c r="N302" t="s">
        <v>4170</v>
      </c>
      <c r="O302" s="263"/>
      <c r="P302" s="179" t="str">
        <f>MID(AL302,5,5)</f>
        <v/>
      </c>
      <c r="Q302" s="237">
        <f>R79-3</f>
        <v>608807390.15183246</v>
      </c>
      <c r="R302" s="104">
        <f>((W302)/$S$4)+Q302</f>
        <v>608982856.46091604</v>
      </c>
      <c r="S302" s="104">
        <f t="shared" ref="S302" si="159">R302-Q302</f>
        <v>175466.30908358097</v>
      </c>
      <c r="T302" s="104">
        <f>S302*$S$4</f>
        <v>246149.15132645614</v>
      </c>
      <c r="U302" s="3">
        <v>0</v>
      </c>
      <c r="V302" s="97">
        <f t="shared" ref="V302" si="160">T302+U302*$V$37</f>
        <v>246149.15132645614</v>
      </c>
      <c r="W302" s="422">
        <f>X301</f>
        <v>246149.15132646635</v>
      </c>
      <c r="X302" s="266">
        <f t="shared" ref="X302" si="161">W302-V302</f>
        <v>1.021544449031353E-8</v>
      </c>
      <c r="Y302" s="318"/>
      <c r="Z302" s="319"/>
      <c r="AA302" s="256"/>
      <c r="AC302" s="308">
        <f>AK302</f>
        <v>1.969193210611649</v>
      </c>
      <c r="AJ302" s="232">
        <f t="shared" ref="AJ302" si="162">X302*8/1000000</f>
        <v>8.1723555922508245E-14</v>
      </c>
      <c r="AK302" s="232">
        <f t="shared" ref="AK302" si="163">V302*8/1000000</f>
        <v>1.969193210611649</v>
      </c>
      <c r="AQ302">
        <f>SUM(AQ280:AQ301)</f>
        <v>143.54269600000001</v>
      </c>
    </row>
    <row r="303" spans="1:43" ht="13.5" customHeight="1">
      <c r="O303" t="s">
        <v>4126</v>
      </c>
      <c r="P303" s="398" t="s">
        <v>4121</v>
      </c>
      <c r="Q303" s="399" t="s">
        <v>4122</v>
      </c>
      <c r="R303" s="399">
        <v>605079001</v>
      </c>
      <c r="S303" s="400">
        <v>1</v>
      </c>
      <c r="T303" s="400" t="s">
        <v>373</v>
      </c>
      <c r="U303" s="400" t="s">
        <v>4123</v>
      </c>
      <c r="V303" s="400" t="s">
        <v>833</v>
      </c>
      <c r="W303" s="400"/>
      <c r="X303" s="400" t="s">
        <v>4124</v>
      </c>
      <c r="AC303" t="s">
        <v>4311</v>
      </c>
      <c r="AD303" t="s">
        <v>4312</v>
      </c>
    </row>
    <row r="304" spans="1:43" ht="13.5" customHeight="1">
      <c r="C304" s="291" t="s">
        <v>941</v>
      </c>
      <c r="D304" s="291" t="s">
        <v>942</v>
      </c>
      <c r="E304" s="291" t="s">
        <v>766</v>
      </c>
      <c r="F304" s="291" t="s">
        <v>764</v>
      </c>
      <c r="G304" s="291" t="s">
        <v>765</v>
      </c>
      <c r="H304" s="291" t="s">
        <v>768</v>
      </c>
      <c r="I304" s="291" t="s">
        <v>769</v>
      </c>
      <c r="J304" s="291" t="s">
        <v>943</v>
      </c>
      <c r="K304" s="291" t="s">
        <v>1540</v>
      </c>
      <c r="P304" s="73" t="s">
        <v>837</v>
      </c>
      <c r="Q304" s="72" t="s">
        <v>65</v>
      </c>
      <c r="R304" s="73" t="s">
        <v>66</v>
      </c>
      <c r="S304" s="73" t="s">
        <v>67</v>
      </c>
      <c r="T304" s="74" t="s">
        <v>68</v>
      </c>
      <c r="U304" s="3" t="s">
        <v>176</v>
      </c>
      <c r="V304" s="74" t="s">
        <v>265</v>
      </c>
      <c r="W304" s="73" t="s">
        <v>266</v>
      </c>
      <c r="X304" s="73" t="s">
        <v>70</v>
      </c>
      <c r="AC304" s="431">
        <f>AC302+AC301+AC288</f>
        <v>39.585951999998237</v>
      </c>
      <c r="AD304" s="404">
        <f>AD300+AD289+AD280</f>
        <v>99.641072000001998</v>
      </c>
    </row>
    <row r="306" spans="3:46" ht="13.5" customHeight="1">
      <c r="AC306">
        <f>47.2+47.3+5.4+4.4+5.1+32.2+1.97</f>
        <v>143.57000000000002</v>
      </c>
    </row>
    <row r="308" spans="3:46" ht="13.5" customHeight="1" thickBot="1"/>
    <row r="309" spans="3:46" ht="13.5" customHeight="1">
      <c r="P309" s="59">
        <v>26201</v>
      </c>
      <c r="T309" s="3"/>
      <c r="V309" s="93"/>
      <c r="X309" t="s">
        <v>1010</v>
      </c>
    </row>
    <row r="310" spans="3:46" ht="13.5" customHeight="1">
      <c r="C310" s="291" t="s">
        <v>941</v>
      </c>
      <c r="D310" s="291" t="s">
        <v>942</v>
      </c>
      <c r="E310" s="291" t="s">
        <v>766</v>
      </c>
      <c r="F310" s="291" t="s">
        <v>764</v>
      </c>
      <c r="G310" s="291" t="s">
        <v>765</v>
      </c>
      <c r="H310" s="291" t="s">
        <v>768</v>
      </c>
      <c r="I310" s="291" t="s">
        <v>769</v>
      </c>
      <c r="J310" s="291" t="s">
        <v>943</v>
      </c>
      <c r="K310" s="291" t="s">
        <v>1540</v>
      </c>
      <c r="P310" s="73" t="s">
        <v>837</v>
      </c>
      <c r="Q310" s="72" t="s">
        <v>65</v>
      </c>
      <c r="R310" s="73" t="s">
        <v>66</v>
      </c>
      <c r="S310" s="73" t="s">
        <v>67</v>
      </c>
      <c r="T310" s="74" t="s">
        <v>68</v>
      </c>
      <c r="U310" s="3" t="s">
        <v>176</v>
      </c>
      <c r="V310" s="74" t="s">
        <v>265</v>
      </c>
      <c r="W310" s="73" t="s">
        <v>266</v>
      </c>
      <c r="X310" s="73" t="s">
        <v>70</v>
      </c>
      <c r="Y310" t="s">
        <v>4243</v>
      </c>
      <c r="AA310" t="s">
        <v>4158</v>
      </c>
      <c r="AJ310" s="3" t="s">
        <v>4116</v>
      </c>
      <c r="AK310" s="3" t="s">
        <v>4117</v>
      </c>
      <c r="AQ310" t="s">
        <v>4367</v>
      </c>
      <c r="AR310" t="s">
        <v>4378</v>
      </c>
    </row>
    <row r="311" spans="3:46" ht="13.5" customHeight="1">
      <c r="M311" s="415"/>
      <c r="N311" s="424" t="s">
        <v>4241</v>
      </c>
      <c r="O311" s="263" t="str">
        <f>AI311</f>
        <v>205/03:41</v>
      </c>
      <c r="P311" s="179" t="str">
        <f>MID(AL311,5,5)</f>
        <v>205_1</v>
      </c>
      <c r="Q311" s="3">
        <v>645951158</v>
      </c>
      <c r="R311" s="3">
        <v>645951767</v>
      </c>
      <c r="S311" s="104">
        <f t="shared" ref="S311" si="164">R311-Q311</f>
        <v>609</v>
      </c>
      <c r="T311" s="104">
        <v>3578250</v>
      </c>
      <c r="U311" s="3"/>
      <c r="V311" s="97">
        <f t="shared" ref="V311" si="165">T311+U311*$V$37</f>
        <v>3578250</v>
      </c>
      <c r="W311" s="97">
        <f t="shared" ref="W311" si="166">AA311*1000000/8</f>
        <v>454937.39999999997</v>
      </c>
      <c r="X311" s="266">
        <f>W311-V311</f>
        <v>-3123312.6</v>
      </c>
      <c r="Y311" s="318">
        <f>X311*8/1000000</f>
        <v>-24.986500800000002</v>
      </c>
      <c r="Z311" s="319"/>
      <c r="AA311" s="256">
        <f>AR311</f>
        <v>3.6394991999999999</v>
      </c>
      <c r="AC311" s="423">
        <f>AC309+AK311</f>
        <v>28.626000000000001</v>
      </c>
      <c r="AH311" s="391" t="str">
        <f>AL311</f>
        <v>TRK_205_1</v>
      </c>
      <c r="AI311" s="391" t="s">
        <v>4218</v>
      </c>
      <c r="AJ311" s="232">
        <f t="shared" ref="AJ311:AJ381" si="167">X311*8/1000000</f>
        <v>-24.986500800000002</v>
      </c>
      <c r="AK311" s="232">
        <f t="shared" ref="AK311:AK380" si="168">V311*8/1000000</f>
        <v>28.626000000000001</v>
      </c>
      <c r="AL311" s="415" t="s">
        <v>640</v>
      </c>
      <c r="AM311" s="415" t="s">
        <v>4182</v>
      </c>
      <c r="AN311">
        <v>1.348517</v>
      </c>
      <c r="AO311">
        <v>1.8080499999999999</v>
      </c>
      <c r="AP311">
        <v>0.45953300000000002</v>
      </c>
      <c r="AQ311" s="416">
        <v>4.0438879999999999</v>
      </c>
      <c r="AR311">
        <f t="shared" ref="AR311:AR381" si="169">AQ311*0.9</f>
        <v>3.6394991999999999</v>
      </c>
      <c r="AS311" s="415">
        <f>AR311</f>
        <v>3.6394991999999999</v>
      </c>
    </row>
    <row r="312" spans="3:46" ht="13.5" customHeight="1" thickBot="1">
      <c r="O312" s="263" t="str">
        <f>AI312</f>
        <v>205/22:11</v>
      </c>
      <c r="P312" s="179" t="str">
        <f>MID(AL312,5,5)</f>
        <v>205_2</v>
      </c>
      <c r="Q312" s="3"/>
      <c r="R312" s="3"/>
      <c r="S312" s="104"/>
      <c r="T312" s="104"/>
      <c r="U312" s="3"/>
      <c r="V312" s="97">
        <f t="shared" ref="V312:V327" si="170">T312+U312*$V$37</f>
        <v>0</v>
      </c>
      <c r="W312" s="422">
        <f>AA312*1000000/8+X311</f>
        <v>-242405.06250000047</v>
      </c>
      <c r="X312" s="266">
        <f>W312-V312</f>
        <v>-242405.06250000047</v>
      </c>
      <c r="Y312" s="318">
        <f>X312*8/1000000</f>
        <v>-1.9392405000000037</v>
      </c>
      <c r="Z312" s="319"/>
      <c r="AA312" s="256">
        <f>AR312</f>
        <v>23.047260299999998</v>
      </c>
      <c r="AH312" s="391" t="str">
        <f>AL312</f>
        <v>TRK_205_2</v>
      </c>
      <c r="AI312" t="s">
        <v>4219</v>
      </c>
      <c r="AJ312" s="232">
        <f t="shared" si="167"/>
        <v>-1.9392405000000037</v>
      </c>
      <c r="AK312" s="232">
        <f t="shared" si="168"/>
        <v>0</v>
      </c>
      <c r="AL312" t="s">
        <v>4183</v>
      </c>
      <c r="AM312" t="s">
        <v>4184</v>
      </c>
      <c r="AN312">
        <v>0.26355099999999998</v>
      </c>
      <c r="AO312">
        <v>3.173559</v>
      </c>
      <c r="AP312">
        <v>2.9100079999999999</v>
      </c>
      <c r="AQ312" s="416">
        <v>25.608066999999998</v>
      </c>
      <c r="AR312">
        <f t="shared" si="169"/>
        <v>23.047260299999998</v>
      </c>
      <c r="AS312" s="415">
        <f t="shared" ref="AS312:AS333" si="171">AS311+AR312</f>
        <v>26.686759499999997</v>
      </c>
      <c r="AT312">
        <f>28.626</f>
        <v>28.626000000000001</v>
      </c>
    </row>
    <row r="313" spans="3:46" ht="13.5" customHeight="1">
      <c r="M313" s="492"/>
      <c r="N313" s="493" t="s">
        <v>4242</v>
      </c>
      <c r="O313" s="494" t="str">
        <f>AI313</f>
        <v>207/04:26</v>
      </c>
      <c r="P313" s="495" t="str">
        <f>MID(AL313,5,5)</f>
        <v>207_1</v>
      </c>
      <c r="Q313" s="496">
        <v>645951790</v>
      </c>
      <c r="R313" s="496">
        <v>645952358</v>
      </c>
      <c r="S313" s="497">
        <f t="shared" ref="S313" si="172">R313-Q313</f>
        <v>568</v>
      </c>
      <c r="T313" s="497">
        <v>3759250</v>
      </c>
      <c r="U313" s="496"/>
      <c r="V313" s="498">
        <f t="shared" si="170"/>
        <v>3759250</v>
      </c>
      <c r="W313" s="499">
        <f>AA313*1000000/8+X312</f>
        <v>845500.87499999953</v>
      </c>
      <c r="X313" s="500">
        <f>W313-V313</f>
        <v>-2913749.1250000005</v>
      </c>
      <c r="Y313" s="501">
        <f>X313*8/1000000</f>
        <v>-23.309993000000002</v>
      </c>
      <c r="Z313" s="502"/>
      <c r="AA313" s="503">
        <f>AR313</f>
        <v>8.7032474999999998</v>
      </c>
      <c r="AB313" s="504"/>
      <c r="AC313" s="505">
        <f>AC311+AK313</f>
        <v>58.7</v>
      </c>
      <c r="AD313" s="278">
        <f>AC313+AC311</f>
        <v>87.326000000000008</v>
      </c>
      <c r="AH313" s="391" t="str">
        <f>AL313</f>
        <v>TRK_207_1</v>
      </c>
      <c r="AI313" t="s">
        <v>4220</v>
      </c>
      <c r="AJ313" s="232">
        <f t="shared" si="167"/>
        <v>-23.309993000000002</v>
      </c>
      <c r="AK313" s="232">
        <f t="shared" si="168"/>
        <v>30.074000000000002</v>
      </c>
      <c r="AL313" s="415" t="s">
        <v>4181</v>
      </c>
      <c r="AM313" s="415" t="s">
        <v>4185</v>
      </c>
      <c r="AN313">
        <v>0.34161599999999998</v>
      </c>
      <c r="AO313">
        <v>1.4405110000000001</v>
      </c>
      <c r="AP313">
        <v>1.098895</v>
      </c>
      <c r="AQ313" s="416">
        <v>9.6702750000000002</v>
      </c>
      <c r="AR313">
        <f t="shared" si="169"/>
        <v>8.7032474999999998</v>
      </c>
      <c r="AS313" s="415">
        <f t="shared" si="171"/>
        <v>35.390006999999997</v>
      </c>
    </row>
    <row r="314" spans="3:46" ht="13.5" customHeight="1">
      <c r="M314" s="506"/>
      <c r="N314" s="339" t="s">
        <v>4244</v>
      </c>
      <c r="O314" s="483" t="str">
        <f>AI314</f>
        <v>207/22:05</v>
      </c>
      <c r="P314" s="484" t="str">
        <f>MID(AL314,5,5)</f>
        <v>207_2</v>
      </c>
      <c r="Q314" s="2"/>
      <c r="R314" s="2"/>
      <c r="S314" s="485"/>
      <c r="T314" s="485"/>
      <c r="U314" s="2"/>
      <c r="V314" s="486">
        <f t="shared" si="170"/>
        <v>0</v>
      </c>
      <c r="W314" s="487">
        <f>AA314*1000000/8+X313</f>
        <v>-2606388.4375000005</v>
      </c>
      <c r="X314" s="488">
        <f>W314-V314</f>
        <v>-2606388.4375000005</v>
      </c>
      <c r="Y314" s="489">
        <f>X314*8/1000000</f>
        <v>-20.851107500000005</v>
      </c>
      <c r="Z314" s="490"/>
      <c r="AA314" s="491">
        <f>AR314</f>
        <v>2.4588855000000001</v>
      </c>
      <c r="AB314" s="339"/>
      <c r="AC314" s="507"/>
      <c r="AH314" s="391" t="str">
        <f>AL314</f>
        <v>TRK_207_2</v>
      </c>
      <c r="AI314" t="s">
        <v>4240</v>
      </c>
      <c r="AJ314" s="232">
        <f t="shared" si="167"/>
        <v>-20.851107500000005</v>
      </c>
      <c r="AK314" s="232">
        <f t="shared" si="168"/>
        <v>0</v>
      </c>
      <c r="AL314" t="s">
        <v>4186</v>
      </c>
      <c r="AM314" t="s">
        <v>4187</v>
      </c>
      <c r="AN314">
        <v>0.26087700000000003</v>
      </c>
      <c r="AO314">
        <v>0.57134200000000002</v>
      </c>
      <c r="AP314">
        <v>0.31046499999999999</v>
      </c>
      <c r="AQ314" s="416">
        <v>2.7320950000000002</v>
      </c>
      <c r="AR314">
        <f t="shared" si="169"/>
        <v>2.4588855000000001</v>
      </c>
      <c r="AS314" s="415">
        <f t="shared" si="171"/>
        <v>37.848892499999998</v>
      </c>
    </row>
    <row r="315" spans="3:46" ht="13.5" customHeight="1" thickBot="1">
      <c r="M315" s="508" t="s">
        <v>4342</v>
      </c>
      <c r="N315" s="509"/>
      <c r="O315" s="510" t="str">
        <f>AI315</f>
        <v>208/22:00</v>
      </c>
      <c r="P315" s="511" t="str">
        <f>MID(AL315,5,5)</f>
        <v>208_1</v>
      </c>
      <c r="Q315" s="512"/>
      <c r="R315" s="512"/>
      <c r="S315" s="513"/>
      <c r="T315" s="513"/>
      <c r="U315" s="512"/>
      <c r="V315" s="514">
        <f t="shared" si="170"/>
        <v>0</v>
      </c>
      <c r="W315" s="515">
        <f>AA315*1000000/8+X314</f>
        <v>-4106.9500000006519</v>
      </c>
      <c r="X315" s="516">
        <f>W315-V315</f>
        <v>-4106.9500000006519</v>
      </c>
      <c r="Y315" s="517">
        <f>X315*8/1000000</f>
        <v>-3.2855600000005217E-2</v>
      </c>
      <c r="Z315" s="518">
        <f>AA315+AA314+AA313</f>
        <v>31.980384900000001</v>
      </c>
      <c r="AA315" s="519">
        <f>AR315</f>
        <v>20.8182519</v>
      </c>
      <c r="AB315" s="509">
        <f>SUM(AA311:AA315)</f>
        <v>58.667144399999998</v>
      </c>
      <c r="AC315" s="520"/>
      <c r="AH315" s="391" t="str">
        <f>AL315</f>
        <v>TRK_208_1</v>
      </c>
      <c r="AI315" t="s">
        <v>4221</v>
      </c>
      <c r="AJ315" s="232">
        <f t="shared" si="167"/>
        <v>-3.2855600000005217E-2</v>
      </c>
      <c r="AK315" s="232">
        <f t="shared" si="168"/>
        <v>0</v>
      </c>
      <c r="AL315" t="s">
        <v>1461</v>
      </c>
      <c r="AM315" t="s">
        <v>4188</v>
      </c>
      <c r="AN315">
        <v>0.31857600000000003</v>
      </c>
      <c r="AO315">
        <v>2.9471430000000001</v>
      </c>
      <c r="AP315">
        <v>2.6285669999999999</v>
      </c>
      <c r="AQ315" s="416">
        <v>23.131391000000001</v>
      </c>
      <c r="AR315">
        <f t="shared" si="169"/>
        <v>20.8182519</v>
      </c>
      <c r="AS315" s="415">
        <f t="shared" si="171"/>
        <v>58.667144399999998</v>
      </c>
      <c r="AT315" t="s">
        <v>4189</v>
      </c>
    </row>
    <row r="316" spans="3:46" ht="13.5" customHeight="1">
      <c r="O316" s="192" t="s">
        <v>4359</v>
      </c>
      <c r="P316" s="482" t="s">
        <v>4276</v>
      </c>
      <c r="Q316" s="482" t="s">
        <v>4277</v>
      </c>
      <c r="R316" s="482">
        <v>611968056</v>
      </c>
      <c r="S316" s="482">
        <v>1</v>
      </c>
      <c r="T316" s="482" t="s">
        <v>373</v>
      </c>
      <c r="U316" s="482" t="s">
        <v>2003</v>
      </c>
      <c r="V316" s="482" t="s">
        <v>833</v>
      </c>
      <c r="W316" s="482"/>
      <c r="X316" s="482"/>
      <c r="Y316" s="318"/>
      <c r="Z316" s="319"/>
      <c r="AA316" s="256"/>
      <c r="AH316" s="391"/>
      <c r="AJ316" s="232"/>
      <c r="AK316" s="232"/>
      <c r="AQ316" s="416"/>
      <c r="AS316" s="415"/>
    </row>
    <row r="317" spans="3:46" ht="13.5" customHeight="1">
      <c r="O317" s="263"/>
      <c r="P317" s="400" t="s">
        <v>4278</v>
      </c>
      <c r="Q317" s="399" t="s">
        <v>4279</v>
      </c>
      <c r="R317" s="436">
        <v>611992316</v>
      </c>
      <c r="S317" s="400">
        <v>8</v>
      </c>
      <c r="T317" s="400" t="s">
        <v>373</v>
      </c>
      <c r="U317" s="400" t="s">
        <v>4280</v>
      </c>
      <c r="V317" s="400" t="s">
        <v>816</v>
      </c>
      <c r="W317" s="400" t="s">
        <v>817</v>
      </c>
      <c r="X317" s="400" t="s">
        <v>4281</v>
      </c>
      <c r="Y317" s="318"/>
      <c r="Z317" s="319"/>
      <c r="AA317" s="256"/>
      <c r="AH317" s="391"/>
      <c r="AJ317" s="232"/>
      <c r="AK317" s="232"/>
      <c r="AQ317" s="416"/>
      <c r="AS317" s="415"/>
    </row>
    <row r="318" spans="3:46" ht="13.5" customHeight="1">
      <c r="O318" s="263"/>
      <c r="P318" s="400" t="s">
        <v>4282</v>
      </c>
      <c r="Q318" s="400" t="s">
        <v>4283</v>
      </c>
      <c r="R318" s="400">
        <v>611992336</v>
      </c>
      <c r="S318" s="400">
        <v>1</v>
      </c>
      <c r="T318" s="400" t="s">
        <v>373</v>
      </c>
      <c r="U318" s="400" t="s">
        <v>4280</v>
      </c>
      <c r="V318" s="400" t="s">
        <v>833</v>
      </c>
      <c r="W318" s="400"/>
      <c r="X318" s="400" t="s">
        <v>4281</v>
      </c>
      <c r="Y318" s="318"/>
      <c r="Z318" s="319"/>
      <c r="AA318" s="256"/>
      <c r="AH318" s="391"/>
      <c r="AJ318" s="232"/>
      <c r="AK318" s="232"/>
      <c r="AQ318" s="416"/>
      <c r="AS318" s="415"/>
    </row>
    <row r="319" spans="3:46" ht="13.5" customHeight="1">
      <c r="O319" s="263"/>
      <c r="P319" s="400" t="s">
        <v>4284</v>
      </c>
      <c r="Q319" s="400" t="s">
        <v>4285</v>
      </c>
      <c r="R319" s="436">
        <v>611992341</v>
      </c>
      <c r="S319" s="400">
        <v>1</v>
      </c>
      <c r="T319" s="400" t="s">
        <v>373</v>
      </c>
      <c r="U319" s="400" t="s">
        <v>4280</v>
      </c>
      <c r="V319" s="400" t="s">
        <v>833</v>
      </c>
      <c r="W319" s="400"/>
      <c r="X319" s="400" t="s">
        <v>4281</v>
      </c>
      <c r="Y319" s="318"/>
      <c r="Z319" s="319"/>
      <c r="AA319" s="256"/>
      <c r="AH319" s="391"/>
      <c r="AJ319" s="232"/>
      <c r="AK319" s="232"/>
      <c r="AQ319" s="416"/>
      <c r="AS319" s="415"/>
    </row>
    <row r="320" spans="3:46" ht="13.5" customHeight="1">
      <c r="O320" s="263"/>
      <c r="P320" s="400" t="s">
        <v>4286</v>
      </c>
      <c r="Q320" s="400" t="s">
        <v>4287</v>
      </c>
      <c r="R320" s="400">
        <v>611992832</v>
      </c>
      <c r="S320" s="400">
        <v>0</v>
      </c>
      <c r="T320" s="400" t="s">
        <v>826</v>
      </c>
      <c r="U320" s="400" t="s">
        <v>4288</v>
      </c>
      <c r="V320" s="400" t="s">
        <v>4289</v>
      </c>
      <c r="W320" s="400"/>
      <c r="X320" s="400" t="s">
        <v>4281</v>
      </c>
      <c r="Y320" s="318"/>
      <c r="Z320" s="319"/>
      <c r="AA320" s="256"/>
      <c r="AH320" s="391"/>
      <c r="AJ320" s="232"/>
      <c r="AK320" s="232"/>
      <c r="AQ320" s="416"/>
      <c r="AS320" s="415"/>
    </row>
    <row r="321" spans="3:45" ht="13.5" customHeight="1">
      <c r="O321" s="263"/>
      <c r="P321" s="400" t="s">
        <v>4286</v>
      </c>
      <c r="Q321" s="400" t="s">
        <v>4287</v>
      </c>
      <c r="R321" s="400">
        <v>611992832</v>
      </c>
      <c r="S321" s="400">
        <v>0</v>
      </c>
      <c r="T321" s="400" t="s">
        <v>826</v>
      </c>
      <c r="U321" s="400" t="s">
        <v>4288</v>
      </c>
      <c r="V321" s="400" t="s">
        <v>4290</v>
      </c>
      <c r="W321" s="400"/>
      <c r="X321" s="400" t="s">
        <v>4281</v>
      </c>
      <c r="Y321" s="318"/>
      <c r="Z321" s="319"/>
      <c r="AA321" s="256"/>
      <c r="AH321" s="391"/>
      <c r="AJ321" s="232"/>
      <c r="AK321" s="232"/>
      <c r="AQ321" s="416"/>
      <c r="AS321" s="415"/>
    </row>
    <row r="322" spans="3:45" ht="13.5" customHeight="1">
      <c r="O322" s="263"/>
      <c r="P322" s="400" t="s">
        <v>4286</v>
      </c>
      <c r="Q322" s="400" t="s">
        <v>4287</v>
      </c>
      <c r="R322" s="400">
        <v>611992832</v>
      </c>
      <c r="S322" s="400">
        <v>0</v>
      </c>
      <c r="T322" s="400" t="s">
        <v>826</v>
      </c>
      <c r="U322" s="400" t="s">
        <v>4288</v>
      </c>
      <c r="V322" s="400" t="s">
        <v>4291</v>
      </c>
      <c r="W322" s="400"/>
      <c r="X322" s="400" t="s">
        <v>4281</v>
      </c>
      <c r="Y322" s="318"/>
      <c r="Z322" s="319"/>
      <c r="AA322" s="256"/>
      <c r="AH322" s="391"/>
      <c r="AJ322" s="232"/>
      <c r="AK322" s="232"/>
      <c r="AQ322" s="416"/>
      <c r="AS322" s="415"/>
    </row>
    <row r="323" spans="3:45" ht="13.5" customHeight="1">
      <c r="O323" s="263"/>
      <c r="P323" s="400" t="s">
        <v>4286</v>
      </c>
      <c r="Q323" s="400" t="s">
        <v>4287</v>
      </c>
      <c r="R323" s="400">
        <v>611992832</v>
      </c>
      <c r="S323" s="400">
        <v>0</v>
      </c>
      <c r="T323" s="400" t="s">
        <v>826</v>
      </c>
      <c r="U323" s="400" t="s">
        <v>4288</v>
      </c>
      <c r="V323" s="400" t="s">
        <v>828</v>
      </c>
      <c r="W323" s="400"/>
      <c r="X323" s="400" t="s">
        <v>4281</v>
      </c>
      <c r="Y323" s="318"/>
      <c r="Z323" s="319"/>
      <c r="AA323" s="256"/>
      <c r="AH323" s="391"/>
      <c r="AJ323" s="232"/>
      <c r="AK323" s="232"/>
      <c r="AQ323" s="416"/>
      <c r="AS323" s="415"/>
    </row>
    <row r="324" spans="3:45" ht="13.5" customHeight="1">
      <c r="O324" s="435" t="s">
        <v>4321</v>
      </c>
      <c r="P324" s="400" t="s">
        <v>4286</v>
      </c>
      <c r="Q324" s="400" t="s">
        <v>4287</v>
      </c>
      <c r="R324" s="429">
        <v>611992832</v>
      </c>
      <c r="S324" s="400">
        <v>0</v>
      </c>
      <c r="T324" s="400" t="s">
        <v>826</v>
      </c>
      <c r="U324" s="400" t="s">
        <v>4288</v>
      </c>
      <c r="V324" s="399" t="s">
        <v>4292</v>
      </c>
      <c r="W324" s="400"/>
      <c r="X324" s="400" t="s">
        <v>4281</v>
      </c>
      <c r="Y324" s="318"/>
      <c r="Z324" s="319"/>
      <c r="AA324" s="256"/>
      <c r="AH324" s="391"/>
      <c r="AJ324" s="232"/>
      <c r="AK324" s="232"/>
      <c r="AQ324" s="416"/>
      <c r="AS324" s="415"/>
    </row>
    <row r="325" spans="3:45" ht="13.5" customHeight="1">
      <c r="O325" s="263"/>
      <c r="P325" s="400" t="s">
        <v>4286</v>
      </c>
      <c r="Q325" s="400" t="s">
        <v>4287</v>
      </c>
      <c r="R325" s="400">
        <v>611992832</v>
      </c>
      <c r="S325" s="400">
        <v>0</v>
      </c>
      <c r="T325" s="400" t="s">
        <v>826</v>
      </c>
      <c r="U325" s="400" t="s">
        <v>4288</v>
      </c>
      <c r="V325" s="400" t="s">
        <v>4293</v>
      </c>
      <c r="W325" s="400"/>
      <c r="X325" s="400" t="s">
        <v>4281</v>
      </c>
      <c r="Y325" s="318"/>
      <c r="Z325" s="319"/>
      <c r="AA325" s="256"/>
      <c r="AH325" s="391"/>
      <c r="AJ325" s="232"/>
      <c r="AK325" s="232"/>
      <c r="AQ325" s="416"/>
      <c r="AS325" s="415"/>
    </row>
    <row r="326" spans="3:45" ht="13.5" customHeight="1">
      <c r="M326" s="459" t="str" cm="1">
        <f t="array" aca="1" ref="M326" ca="1">MID(MET2UTC(R327),3,12)</f>
        <v>25-133/18:11</v>
      </c>
      <c r="O326" s="263"/>
      <c r="P326" s="400" t="s">
        <v>4286</v>
      </c>
      <c r="Q326" s="400" t="s">
        <v>4287</v>
      </c>
      <c r="R326" s="400">
        <v>611992832</v>
      </c>
      <c r="S326" s="400">
        <v>0</v>
      </c>
      <c r="T326" s="400" t="s">
        <v>826</v>
      </c>
      <c r="U326" s="400" t="s">
        <v>4288</v>
      </c>
      <c r="V326" s="400" t="s">
        <v>1471</v>
      </c>
      <c r="W326" s="400"/>
      <c r="X326" s="400" t="s">
        <v>4281</v>
      </c>
      <c r="Y326" s="318"/>
      <c r="Z326" s="319"/>
      <c r="AA326" s="256"/>
      <c r="AH326" s="391"/>
      <c r="AJ326" s="232"/>
      <c r="AK326" s="232"/>
      <c r="AQ326" s="416"/>
      <c r="AS326" s="415"/>
    </row>
    <row r="327" spans="3:45" ht="13.5" customHeight="1">
      <c r="C327" s="3"/>
      <c r="D327" s="3"/>
      <c r="E327" s="3"/>
      <c r="F327" s="3"/>
      <c r="G327" s="3"/>
      <c r="H327" s="3"/>
      <c r="I327" s="3"/>
      <c r="J327" s="3" t="s">
        <v>943</v>
      </c>
      <c r="K327" s="3" t="s">
        <v>1540</v>
      </c>
      <c r="L327" s="226" t="str">
        <f>M302</f>
        <v>25-128/04:02</v>
      </c>
      <c r="M327" s="226" t="s">
        <v>4271</v>
      </c>
      <c r="N327" t="s">
        <v>4170</v>
      </c>
      <c r="O327" s="263" t="str">
        <f>AI327</f>
        <v>211/03:05</v>
      </c>
      <c r="P327" s="179" t="str">
        <f t="shared" ref="P327:P334" si="173">MID(AL327,5,5)</f>
        <v>211_1</v>
      </c>
      <c r="Q327" s="264">
        <f>R302-3</f>
        <v>608982853.46091604</v>
      </c>
      <c r="R327" s="104">
        <f>((W327)/$S$4)+Q327</f>
        <v>609465828.44969428</v>
      </c>
      <c r="S327" s="104">
        <f t="shared" ref="S327" si="174">R327-Q327</f>
        <v>482974.98877823353</v>
      </c>
      <c r="T327" s="104">
        <f>S327*$S$4</f>
        <v>677531.11249999655</v>
      </c>
      <c r="U327" s="3">
        <v>0</v>
      </c>
      <c r="V327" s="97">
        <f t="shared" si="170"/>
        <v>677531.11249999655</v>
      </c>
      <c r="W327" s="97">
        <f>AA327*1000000/8+X315</f>
        <v>677531.11249999935</v>
      </c>
      <c r="X327" s="266">
        <f t="shared" ref="X327" si="175">W327-V327</f>
        <v>2.7939677238464355E-9</v>
      </c>
      <c r="Y327" s="318"/>
      <c r="Z327" s="319"/>
      <c r="AA327" s="256">
        <f>AR327</f>
        <v>5.4531045000000002</v>
      </c>
      <c r="AC327" s="308">
        <f>AC314+AK327</f>
        <v>5.4202488999999723</v>
      </c>
      <c r="AH327" s="391" t="str">
        <f>AL327</f>
        <v>TRK_211_1</v>
      </c>
      <c r="AI327" t="s">
        <v>4222</v>
      </c>
      <c r="AJ327" s="232">
        <f t="shared" si="167"/>
        <v>2.2351741790771485E-14</v>
      </c>
      <c r="AK327" s="232">
        <f t="shared" si="168"/>
        <v>5.4202488999999723</v>
      </c>
      <c r="AL327" t="s">
        <v>651</v>
      </c>
      <c r="AM327" t="s">
        <v>4190</v>
      </c>
      <c r="AN327">
        <v>0.87197400000000003</v>
      </c>
      <c r="AO327">
        <v>1.560497</v>
      </c>
      <c r="AP327">
        <v>0.688523</v>
      </c>
      <c r="AQ327" s="416">
        <v>6.059005</v>
      </c>
      <c r="AR327">
        <f t="shared" si="169"/>
        <v>5.4531045000000002</v>
      </c>
      <c r="AS327">
        <f>AS315+AR327</f>
        <v>64.120248899999993</v>
      </c>
    </row>
    <row r="328" spans="3:45" ht="13.5" customHeight="1">
      <c r="C328" s="3"/>
      <c r="D328" s="3"/>
      <c r="E328" s="3"/>
      <c r="F328" s="3"/>
      <c r="G328" s="3"/>
      <c r="H328" s="3"/>
      <c r="I328" s="3"/>
      <c r="J328" s="3" t="s">
        <v>943</v>
      </c>
      <c r="K328" s="3" t="s">
        <v>1540</v>
      </c>
      <c r="L328" s="226" t="str">
        <f t="shared" ref="L328:L334" si="176">M327</f>
        <v>25-133/18:11</v>
      </c>
      <c r="M328" s="226" t="s">
        <v>4272</v>
      </c>
      <c r="N328" t="s">
        <v>4170</v>
      </c>
      <c r="O328" s="263" t="str">
        <f>AI328</f>
        <v>212/03:35</v>
      </c>
      <c r="P328" s="179" t="str">
        <f t="shared" si="173"/>
        <v>212_1</v>
      </c>
      <c r="Q328" s="237">
        <f t="shared" ref="Q328:Q334" si="177">R327-3</f>
        <v>609465825.44969428</v>
      </c>
      <c r="R328" s="104">
        <f>((W328)/$S$4)+Q328</f>
        <v>610411500.69402742</v>
      </c>
      <c r="S328" s="104">
        <f t="shared" ref="S328:S329" si="178">R328-Q328</f>
        <v>945675.244333148</v>
      </c>
      <c r="T328" s="104">
        <f>S328*$S$4</f>
        <v>1326620.250000034</v>
      </c>
      <c r="U328" s="3">
        <v>0</v>
      </c>
      <c r="V328" s="97">
        <f t="shared" ref="V328:V329" si="179">T328+U328*$V$37</f>
        <v>1326620.250000034</v>
      </c>
      <c r="W328" s="97">
        <f>AA328*1000000/8</f>
        <v>1326620.25</v>
      </c>
      <c r="X328" s="266">
        <f t="shared" ref="X328:X329" si="180">W328-V328</f>
        <v>-3.3993273973464966E-8</v>
      </c>
      <c r="Y328" s="318"/>
      <c r="Z328" s="319"/>
      <c r="AA328" s="256">
        <f>AR328</f>
        <v>10.612962</v>
      </c>
      <c r="AC328" s="308">
        <f>AK328+AC327</f>
        <v>16.033210900000242</v>
      </c>
      <c r="AH328" s="391" t="str">
        <f>AL328</f>
        <v>TRK_212_1</v>
      </c>
      <c r="AI328" t="s">
        <v>4223</v>
      </c>
      <c r="AJ328" s="232">
        <f t="shared" si="167"/>
        <v>-2.7194619178771972E-13</v>
      </c>
      <c r="AK328" s="232">
        <f t="shared" si="168"/>
        <v>10.612962000000271</v>
      </c>
      <c r="AL328" t="s">
        <v>1494</v>
      </c>
      <c r="AM328" t="s">
        <v>4191</v>
      </c>
      <c r="AN328">
        <v>0.31300499999999998</v>
      </c>
      <c r="AO328">
        <v>1.653025</v>
      </c>
      <c r="AP328">
        <v>1.34002</v>
      </c>
      <c r="AQ328" s="416">
        <v>11.79218</v>
      </c>
      <c r="AR328">
        <f t="shared" si="169"/>
        <v>10.612962</v>
      </c>
      <c r="AS328">
        <f t="shared" si="171"/>
        <v>74.733210899999989</v>
      </c>
    </row>
    <row r="329" spans="3:45" ht="13.5" customHeight="1">
      <c r="J329" s="3" t="s">
        <v>943</v>
      </c>
      <c r="K329" s="3" t="s">
        <v>1540</v>
      </c>
      <c r="L329" s="226" t="str">
        <f t="shared" si="176"/>
        <v>25-144/16:53</v>
      </c>
      <c r="M329" s="226" t="s">
        <v>4273</v>
      </c>
      <c r="N329" t="s">
        <v>4170</v>
      </c>
      <c r="O329" s="263" t="str">
        <f>AI329</f>
        <v>212/13:50</v>
      </c>
      <c r="P329" s="179" t="str">
        <f t="shared" si="173"/>
        <v>212_2</v>
      </c>
      <c r="Q329" s="237">
        <f t="shared" si="177"/>
        <v>610411497.69402742</v>
      </c>
      <c r="R329" s="104">
        <f>((W329)/$S$4)+Q329</f>
        <v>610848059.61678576</v>
      </c>
      <c r="S329" s="104">
        <f t="shared" si="178"/>
        <v>436561.92275834084</v>
      </c>
      <c r="T329" s="104">
        <f>S329*$S$4</f>
        <v>612421.53749996936</v>
      </c>
      <c r="U329" s="3">
        <v>0</v>
      </c>
      <c r="V329" s="97">
        <f t="shared" si="179"/>
        <v>612421.53749996936</v>
      </c>
      <c r="W329" s="97">
        <f>AA329*1000000/8</f>
        <v>612421.53750000009</v>
      </c>
      <c r="X329" s="266">
        <f t="shared" si="180"/>
        <v>3.0733644962310791E-8</v>
      </c>
      <c r="Y329" s="318"/>
      <c r="Z329" s="319"/>
      <c r="AA329" s="256">
        <f>AR329</f>
        <v>4.8993723000000005</v>
      </c>
      <c r="AC329" s="308">
        <f>AK329+AC328</f>
        <v>20.932583199999996</v>
      </c>
      <c r="AH329" s="391" t="str">
        <f>AL329</f>
        <v>TRK_212_2</v>
      </c>
      <c r="AI329" t="s">
        <v>4224</v>
      </c>
      <c r="AJ329" s="232">
        <f t="shared" si="167"/>
        <v>2.4586915969848635E-13</v>
      </c>
      <c r="AK329" s="232">
        <f t="shared" si="168"/>
        <v>4.8993722999997544</v>
      </c>
      <c r="AL329" t="s">
        <v>1498</v>
      </c>
      <c r="AM329" t="s">
        <v>4192</v>
      </c>
      <c r="AN329">
        <v>0.200989</v>
      </c>
      <c r="AO329">
        <v>0.81959700000000002</v>
      </c>
      <c r="AP329">
        <v>0.61860800000000005</v>
      </c>
      <c r="AQ329" s="416">
        <v>5.4437470000000001</v>
      </c>
      <c r="AR329">
        <f t="shared" si="169"/>
        <v>4.8993723000000005</v>
      </c>
      <c r="AS329">
        <f t="shared" si="171"/>
        <v>79.632583199999985</v>
      </c>
    </row>
    <row r="330" spans="3:45" ht="13.5" customHeight="1">
      <c r="J330" s="3" t="s">
        <v>943</v>
      </c>
      <c r="K330" s="3" t="s">
        <v>1540</v>
      </c>
      <c r="L330" s="226" t="str">
        <f t="shared" si="176"/>
        <v>25-149/18:09</v>
      </c>
      <c r="M330" s="226" t="s">
        <v>4343</v>
      </c>
      <c r="N330" t="s">
        <v>4170</v>
      </c>
      <c r="O330" s="263" t="str">
        <f>AI330</f>
        <v>213/02:25</v>
      </c>
      <c r="P330" s="179" t="str">
        <f t="shared" si="173"/>
        <v>213_1</v>
      </c>
      <c r="Q330" s="237">
        <f t="shared" si="177"/>
        <v>610848056.61678576</v>
      </c>
      <c r="R330" s="426">
        <f>R324-20</f>
        <v>611992812</v>
      </c>
      <c r="S330" s="104">
        <f t="shared" ref="S330:S333" si="181">R330-Q330</f>
        <v>1144755.3832142353</v>
      </c>
      <c r="T330" s="104">
        <f>S330*$S$4</f>
        <v>1605895.5563962641</v>
      </c>
      <c r="U330" s="3">
        <v>0</v>
      </c>
      <c r="V330" s="97">
        <f t="shared" ref="V330:V333" si="182">T330+U330*$V$37</f>
        <v>1605895.5563962641</v>
      </c>
      <c r="W330" s="97">
        <f>AA330*1000000/8</f>
        <v>1831892.625</v>
      </c>
      <c r="X330" s="428">
        <f t="shared" ref="X330:X333" si="183">W330-V330</f>
        <v>225997.06860373588</v>
      </c>
      <c r="Y330" s="318"/>
      <c r="Z330" s="319"/>
      <c r="AA330" s="256">
        <f>AR330</f>
        <v>14.655141</v>
      </c>
      <c r="AC330" s="308">
        <f>AK330+AC329</f>
        <v>33.779747651170112</v>
      </c>
      <c r="AH330" s="391" t="str">
        <f>AL330</f>
        <v>TRK_213_1</v>
      </c>
      <c r="AI330" t="s">
        <v>4225</v>
      </c>
      <c r="AJ330" s="232">
        <f t="shared" si="167"/>
        <v>1.8079765488298871</v>
      </c>
      <c r="AK330" s="232">
        <f t="shared" si="168"/>
        <v>12.847164451170112</v>
      </c>
      <c r="AL330" t="s">
        <v>664</v>
      </c>
      <c r="AM330" t="s">
        <v>4193</v>
      </c>
      <c r="AN330">
        <v>0.22583300000000001</v>
      </c>
      <c r="AO330">
        <v>2.0762299999999998</v>
      </c>
      <c r="AP330">
        <v>1.8503970000000001</v>
      </c>
      <c r="AQ330" s="416">
        <v>16.28349</v>
      </c>
      <c r="AR330">
        <f t="shared" si="169"/>
        <v>14.655141</v>
      </c>
      <c r="AS330">
        <f t="shared" si="171"/>
        <v>94.287724199999985</v>
      </c>
    </row>
    <row r="331" spans="3:45" ht="13.5" customHeight="1">
      <c r="J331" s="3" t="s">
        <v>943</v>
      </c>
      <c r="K331" s="3" t="s">
        <v>1540</v>
      </c>
      <c r="L331" s="226" t="str">
        <f t="shared" si="176"/>
        <v>25-163/08:37</v>
      </c>
      <c r="M331" s="226" t="s">
        <v>4354</v>
      </c>
      <c r="N331" t="s">
        <v>4294</v>
      </c>
      <c r="O331" s="263"/>
      <c r="P331" s="179" t="str">
        <f t="shared" si="173"/>
        <v/>
      </c>
      <c r="Q331" s="237">
        <f t="shared" si="177"/>
        <v>611992809</v>
      </c>
      <c r="R331" s="104">
        <f>((W331)/$S$5)+Q331</f>
        <v>612053956.5177387</v>
      </c>
      <c r="S331" s="104">
        <f t="shared" si="181"/>
        <v>61147.517738699913</v>
      </c>
      <c r="T331" s="104">
        <f>S331*$S$5</f>
        <v>225997.06860379208</v>
      </c>
      <c r="U331" s="3">
        <v>0</v>
      </c>
      <c r="V331" s="97">
        <f t="shared" si="182"/>
        <v>225997.06860379208</v>
      </c>
      <c r="W331" s="422">
        <f>X330</f>
        <v>225997.06860373588</v>
      </c>
      <c r="X331" s="266">
        <f t="shared" si="183"/>
        <v>-5.6199496611952782E-8</v>
      </c>
      <c r="Y331" s="318"/>
      <c r="Z331" s="319"/>
      <c r="AA331" s="256"/>
      <c r="AC331" s="308"/>
      <c r="AH331" s="391"/>
      <c r="AJ331" s="232"/>
      <c r="AK331" s="232"/>
      <c r="AQ331" s="416"/>
    </row>
    <row r="332" spans="3:45" ht="13.5" customHeight="1">
      <c r="J332" s="3" t="s">
        <v>943</v>
      </c>
      <c r="K332" s="3" t="s">
        <v>1540</v>
      </c>
      <c r="L332" s="226" t="str">
        <f t="shared" si="176"/>
        <v>25-163/17:07</v>
      </c>
      <c r="M332" s="226" t="s">
        <v>4355</v>
      </c>
      <c r="N332" t="s">
        <v>4294</v>
      </c>
      <c r="O332" s="263" t="str">
        <f>AI332</f>
        <v>213/22:40</v>
      </c>
      <c r="P332" s="179" t="str">
        <f t="shared" si="173"/>
        <v>213_2</v>
      </c>
      <c r="Q332" s="237">
        <f t="shared" si="177"/>
        <v>612053953.5177387</v>
      </c>
      <c r="R332" s="104">
        <f>((W332)/$S$5)+Q332</f>
        <v>612779862.37503493</v>
      </c>
      <c r="S332" s="104">
        <f t="shared" si="181"/>
        <v>725908.85729622841</v>
      </c>
      <c r="T332" s="104">
        <f>S332*$S$5</f>
        <v>2682909.7874998068</v>
      </c>
      <c r="U332" s="3">
        <v>0</v>
      </c>
      <c r="V332" s="97">
        <f t="shared" si="182"/>
        <v>2682909.7874998068</v>
      </c>
      <c r="W332" s="97">
        <f>AA332*1000000/8</f>
        <v>2682909.7875000001</v>
      </c>
      <c r="X332" s="266">
        <f t="shared" si="183"/>
        <v>1.9324943423271179E-7</v>
      </c>
      <c r="Y332" s="318"/>
      <c r="Z332" s="319"/>
      <c r="AA332" s="256">
        <f>AR332</f>
        <v>21.463278299999999</v>
      </c>
      <c r="AC332" s="308">
        <f>AK332+AC330</f>
        <v>55.243025951168562</v>
      </c>
      <c r="AH332" s="391" t="str">
        <f>AL332</f>
        <v>TRK_213_2</v>
      </c>
      <c r="AI332" t="s">
        <v>4226</v>
      </c>
      <c r="AJ332" s="232">
        <f t="shared" si="167"/>
        <v>1.5459954738616944E-12</v>
      </c>
      <c r="AK332" s="232">
        <f t="shared" si="168"/>
        <v>21.463278299998453</v>
      </c>
      <c r="AL332" t="s">
        <v>4194</v>
      </c>
      <c r="AM332" t="s">
        <v>4195</v>
      </c>
      <c r="AN332">
        <v>0.25551299999999999</v>
      </c>
      <c r="AO332">
        <v>2.9655230000000001</v>
      </c>
      <c r="AP332">
        <v>2.71001</v>
      </c>
      <c r="AQ332" s="416">
        <v>23.848087</v>
      </c>
      <c r="AR332">
        <f t="shared" si="169"/>
        <v>21.463278299999999</v>
      </c>
      <c r="AS332">
        <f>AS330+AR332</f>
        <v>115.75100249999998</v>
      </c>
    </row>
    <row r="333" spans="3:45" ht="13.5" customHeight="1">
      <c r="J333" s="3" t="s">
        <v>943</v>
      </c>
      <c r="K333" s="3" t="s">
        <v>1540</v>
      </c>
      <c r="L333" s="226" t="str">
        <f t="shared" si="176"/>
        <v>25-172/02:45</v>
      </c>
      <c r="M333" s="226" t="s">
        <v>4356</v>
      </c>
      <c r="N333" t="s">
        <v>4294</v>
      </c>
      <c r="O333" s="263" t="str">
        <f>AI333</f>
        <v>214/11:25</v>
      </c>
      <c r="P333" s="179" t="str">
        <f t="shared" si="173"/>
        <v>214_1</v>
      </c>
      <c r="Q333" s="237">
        <f t="shared" si="177"/>
        <v>612779859.37503493</v>
      </c>
      <c r="R333" s="104">
        <f>((W333)/$S$5)+Q333</f>
        <v>613007457.63604379</v>
      </c>
      <c r="S333" s="104">
        <f t="shared" si="181"/>
        <v>227598.26100885868</v>
      </c>
      <c r="T333" s="104">
        <f>S333*$S$5</f>
        <v>841187.69999994489</v>
      </c>
      <c r="U333" s="3">
        <v>0</v>
      </c>
      <c r="V333" s="97">
        <f t="shared" si="182"/>
        <v>841187.69999994489</v>
      </c>
      <c r="W333" s="97">
        <f>AA333*1000000/8</f>
        <v>841187.7</v>
      </c>
      <c r="X333" s="266">
        <f t="shared" si="183"/>
        <v>5.5064447224140167E-8</v>
      </c>
      <c r="Y333" s="318"/>
      <c r="Z333" s="319"/>
      <c r="AA333" s="256">
        <f>AR333</f>
        <v>6.7295015999999999</v>
      </c>
      <c r="AC333" s="308">
        <f>AK333+AC332</f>
        <v>61.97252755116812</v>
      </c>
      <c r="AH333" s="391" t="str">
        <f>AL333</f>
        <v>TRK_214_1</v>
      </c>
      <c r="AI333" t="s">
        <v>4227</v>
      </c>
      <c r="AJ333" s="232">
        <f t="shared" si="167"/>
        <v>4.4051557779312134E-13</v>
      </c>
      <c r="AK333" s="232">
        <f t="shared" si="168"/>
        <v>6.7295015999995593</v>
      </c>
      <c r="AL333" t="s">
        <v>669</v>
      </c>
      <c r="AM333" t="s">
        <v>4196</v>
      </c>
      <c r="AN333">
        <v>0.35693000000000003</v>
      </c>
      <c r="AO333">
        <v>1.206615</v>
      </c>
      <c r="AP333">
        <v>0.84968500000000002</v>
      </c>
      <c r="AQ333" s="416">
        <v>7.4772239999999996</v>
      </c>
      <c r="AR333">
        <f t="shared" si="169"/>
        <v>6.7295015999999999</v>
      </c>
      <c r="AS333">
        <f t="shared" si="171"/>
        <v>122.48050409999999</v>
      </c>
    </row>
    <row r="334" spans="3:45" ht="13.5" customHeight="1">
      <c r="J334" s="3" t="s">
        <v>943</v>
      </c>
      <c r="K334" s="3" t="s">
        <v>1540</v>
      </c>
      <c r="L334" s="226" t="str">
        <f t="shared" si="176"/>
        <v>25-174/17:59</v>
      </c>
      <c r="M334" s="226" t="s">
        <v>4344</v>
      </c>
      <c r="N334" t="s">
        <v>4294</v>
      </c>
      <c r="O334" s="263" t="str">
        <f>AI334</f>
        <v>214/23:00</v>
      </c>
      <c r="P334" s="179" t="str">
        <f t="shared" si="173"/>
        <v>214_2</v>
      </c>
      <c r="Q334" s="237">
        <f t="shared" si="177"/>
        <v>613007454.63604379</v>
      </c>
      <c r="R334" s="430">
        <f>R342</f>
        <v>613564800</v>
      </c>
      <c r="S334" s="104">
        <f t="shared" ref="S334:S377" si="184">R334-Q334</f>
        <v>557345.363956213</v>
      </c>
      <c r="T334" s="104">
        <f>S334*$S$5</f>
        <v>2059910.5754754029</v>
      </c>
      <c r="U334" s="3">
        <v>0</v>
      </c>
      <c r="V334" s="97">
        <f t="shared" ref="V334:V369" si="185">T334+U334*$V$37</f>
        <v>2059910.5754754029</v>
      </c>
      <c r="W334" s="97">
        <f>AA334*1000000/8</f>
        <v>2355370.875</v>
      </c>
      <c r="X334" s="428">
        <f t="shared" ref="X334:X377" si="186">W334-V334</f>
        <v>295460.29952459713</v>
      </c>
      <c r="Y334" s="318"/>
      <c r="Z334" s="319"/>
      <c r="AA334" s="256">
        <f>AR334</f>
        <v>18.842967000000002</v>
      </c>
      <c r="AC334" s="308">
        <f>AK334+AC333</f>
        <v>78.45181215497135</v>
      </c>
      <c r="AH334" s="391" t="str">
        <f>AL334</f>
        <v>TRK_214_2</v>
      </c>
      <c r="AI334" t="s">
        <v>4228</v>
      </c>
      <c r="AJ334" s="232">
        <f t="shared" si="167"/>
        <v>2.363682396196777</v>
      </c>
      <c r="AK334" s="232">
        <f t="shared" si="168"/>
        <v>16.479284603803222</v>
      </c>
      <c r="AL334" t="s">
        <v>4197</v>
      </c>
      <c r="AM334" t="s">
        <v>4198</v>
      </c>
      <c r="AN334">
        <v>0.215169</v>
      </c>
      <c r="AO334">
        <v>2.5943320000000001</v>
      </c>
      <c r="AP334">
        <v>2.3791630000000001</v>
      </c>
      <c r="AQ334" s="416">
        <v>20.936630000000001</v>
      </c>
      <c r="AR334">
        <f t="shared" si="169"/>
        <v>18.842967000000002</v>
      </c>
      <c r="AS334">
        <f>AS333+AR334</f>
        <v>141.32347110000001</v>
      </c>
    </row>
    <row r="335" spans="3:45" ht="13.5" customHeight="1">
      <c r="J335" s="3"/>
      <c r="K335" s="3"/>
      <c r="L335" s="226"/>
      <c r="M335" s="226"/>
      <c r="O335" s="263"/>
      <c r="P335" s="400" t="s">
        <v>4322</v>
      </c>
      <c r="Q335" s="399" t="s">
        <v>4323</v>
      </c>
      <c r="R335" s="437">
        <v>613564318</v>
      </c>
      <c r="S335" s="400">
        <v>7</v>
      </c>
      <c r="T335" s="400" t="s">
        <v>373</v>
      </c>
      <c r="U335" s="400" t="s">
        <v>4324</v>
      </c>
      <c r="V335" s="400" t="s">
        <v>816</v>
      </c>
      <c r="W335" s="400" t="s">
        <v>817</v>
      </c>
      <c r="X335" s="400" t="s">
        <v>4325</v>
      </c>
      <c r="Y335" s="318"/>
      <c r="Z335" s="319"/>
      <c r="AA335" s="256"/>
      <c r="AC335" s="308"/>
      <c r="AH335" s="391"/>
      <c r="AJ335" s="232"/>
      <c r="AK335" s="232"/>
      <c r="AQ335" s="416"/>
    </row>
    <row r="336" spans="3:45" ht="13.5" customHeight="1">
      <c r="J336" s="3"/>
      <c r="K336" s="3"/>
      <c r="L336" s="226"/>
      <c r="M336" s="226"/>
      <c r="O336" s="263"/>
      <c r="P336" s="400" t="s">
        <v>4326</v>
      </c>
      <c r="Q336" s="400" t="s">
        <v>4327</v>
      </c>
      <c r="R336" s="400">
        <v>613564338</v>
      </c>
      <c r="S336" s="400">
        <v>1</v>
      </c>
      <c r="T336" s="400" t="s">
        <v>373</v>
      </c>
      <c r="U336" s="400" t="s">
        <v>4324</v>
      </c>
      <c r="V336" s="400" t="s">
        <v>833</v>
      </c>
      <c r="W336" s="400"/>
      <c r="X336" s="400" t="s">
        <v>4325</v>
      </c>
      <c r="Y336" s="318"/>
      <c r="Z336" s="319"/>
      <c r="AA336" s="256"/>
      <c r="AC336" s="308"/>
      <c r="AH336" s="391"/>
      <c r="AJ336" s="232"/>
      <c r="AK336" s="232"/>
      <c r="AQ336" s="416"/>
    </row>
    <row r="337" spans="7:45" ht="13.5" customHeight="1">
      <c r="J337" s="3"/>
      <c r="K337" s="3"/>
      <c r="L337" s="226"/>
      <c r="M337" s="226"/>
      <c r="O337" s="263"/>
      <c r="P337" s="400" t="s">
        <v>4328</v>
      </c>
      <c r="Q337" s="400" t="s">
        <v>4329</v>
      </c>
      <c r="R337" s="400">
        <v>613564343</v>
      </c>
      <c r="S337" s="400">
        <v>1</v>
      </c>
      <c r="T337" s="400" t="s">
        <v>373</v>
      </c>
      <c r="U337" s="400" t="s">
        <v>4324</v>
      </c>
      <c r="V337" s="400" t="s">
        <v>833</v>
      </c>
      <c r="W337" s="400"/>
      <c r="X337" s="400" t="s">
        <v>4325</v>
      </c>
      <c r="Y337" s="318"/>
      <c r="Z337" s="319"/>
      <c r="AA337" s="256"/>
      <c r="AC337" s="308"/>
      <c r="AH337" s="391"/>
      <c r="AJ337" s="232"/>
      <c r="AK337" s="232"/>
      <c r="AQ337" s="416"/>
    </row>
    <row r="338" spans="7:45" ht="13.5" customHeight="1">
      <c r="J338" s="3"/>
      <c r="K338" s="3"/>
      <c r="L338" s="226"/>
      <c r="M338" s="226"/>
      <c r="O338" s="263"/>
      <c r="P338" s="400" t="s">
        <v>4330</v>
      </c>
      <c r="Q338" s="400" t="s">
        <v>4331</v>
      </c>
      <c r="R338" s="400">
        <v>613564800</v>
      </c>
      <c r="S338" s="400">
        <v>0</v>
      </c>
      <c r="T338" s="400" t="s">
        <v>826</v>
      </c>
      <c r="U338" s="400" t="s">
        <v>1151</v>
      </c>
      <c r="V338" s="400" t="s">
        <v>4289</v>
      </c>
      <c r="W338" s="400"/>
      <c r="X338" s="400" t="s">
        <v>4325</v>
      </c>
      <c r="Y338" s="318"/>
      <c r="Z338" s="319"/>
      <c r="AA338" s="256"/>
      <c r="AC338" s="308"/>
      <c r="AH338" s="391"/>
      <c r="AJ338" s="232"/>
      <c r="AK338" s="232"/>
      <c r="AQ338" s="416"/>
    </row>
    <row r="339" spans="7:45" ht="13.5" customHeight="1">
      <c r="J339" s="3"/>
      <c r="K339" s="3"/>
      <c r="L339" s="226"/>
      <c r="M339" s="226"/>
      <c r="O339" s="263"/>
      <c r="P339" s="400" t="s">
        <v>4330</v>
      </c>
      <c r="Q339" s="400" t="s">
        <v>4331</v>
      </c>
      <c r="R339" s="400">
        <v>613564800</v>
      </c>
      <c r="S339" s="400">
        <v>0</v>
      </c>
      <c r="T339" s="400" t="s">
        <v>826</v>
      </c>
      <c r="U339" s="400" t="s">
        <v>1151</v>
      </c>
      <c r="V339" s="400" t="s">
        <v>4290</v>
      </c>
      <c r="W339" s="400"/>
      <c r="X339" s="400" t="s">
        <v>4325</v>
      </c>
      <c r="Y339" s="318"/>
      <c r="Z339" s="319"/>
      <c r="AA339" s="256"/>
      <c r="AC339" s="308"/>
      <c r="AH339" s="391"/>
      <c r="AJ339" s="232"/>
      <c r="AK339" s="232"/>
      <c r="AQ339" s="416"/>
    </row>
    <row r="340" spans="7:45" ht="13.5" customHeight="1">
      <c r="J340" s="3"/>
      <c r="K340" s="3"/>
      <c r="L340" s="226"/>
      <c r="M340" s="226"/>
      <c r="O340" s="263"/>
      <c r="P340" s="400" t="s">
        <v>4330</v>
      </c>
      <c r="Q340" s="400" t="s">
        <v>4331</v>
      </c>
      <c r="R340" s="400">
        <v>613564800</v>
      </c>
      <c r="S340" s="400">
        <v>0</v>
      </c>
      <c r="T340" s="400" t="s">
        <v>826</v>
      </c>
      <c r="U340" s="400" t="s">
        <v>1151</v>
      </c>
      <c r="V340" s="400" t="s">
        <v>4291</v>
      </c>
      <c r="W340" s="400"/>
      <c r="X340" s="400" t="s">
        <v>4325</v>
      </c>
      <c r="Y340" s="318"/>
      <c r="Z340" s="319"/>
      <c r="AA340" s="256"/>
      <c r="AC340" s="308"/>
      <c r="AH340" s="391"/>
      <c r="AJ340" s="232"/>
      <c r="AK340" s="232"/>
      <c r="AQ340" s="416"/>
    </row>
    <row r="341" spans="7:45" ht="13.5" customHeight="1">
      <c r="J341" s="3"/>
      <c r="K341" s="3"/>
      <c r="L341" s="226"/>
      <c r="M341" s="226"/>
      <c r="O341" s="263"/>
      <c r="P341" s="400" t="s">
        <v>4330</v>
      </c>
      <c r="Q341" s="400" t="s">
        <v>4331</v>
      </c>
      <c r="R341" s="400">
        <v>613564800</v>
      </c>
      <c r="S341" s="400">
        <v>0</v>
      </c>
      <c r="T341" s="400" t="s">
        <v>826</v>
      </c>
      <c r="U341" s="400" t="s">
        <v>1151</v>
      </c>
      <c r="V341" s="400" t="s">
        <v>828</v>
      </c>
      <c r="W341" s="400"/>
      <c r="X341" s="400" t="s">
        <v>4325</v>
      </c>
      <c r="Y341" s="318"/>
      <c r="Z341" s="319"/>
      <c r="AA341" s="256"/>
      <c r="AC341" s="308"/>
      <c r="AH341" s="391"/>
      <c r="AJ341" s="232"/>
      <c r="AK341" s="232"/>
      <c r="AQ341" s="416"/>
    </row>
    <row r="342" spans="7:45" ht="13.5" customHeight="1">
      <c r="J342" s="3"/>
      <c r="K342" s="3"/>
      <c r="L342" s="226"/>
      <c r="M342" s="226"/>
      <c r="O342" s="263" t="s">
        <v>4332</v>
      </c>
      <c r="P342" s="400" t="s">
        <v>4330</v>
      </c>
      <c r="Q342" s="400" t="s">
        <v>4331</v>
      </c>
      <c r="R342" s="441">
        <v>613564800</v>
      </c>
      <c r="S342" s="400">
        <v>0</v>
      </c>
      <c r="T342" s="400" t="s">
        <v>826</v>
      </c>
      <c r="U342" s="400" t="s">
        <v>1151</v>
      </c>
      <c r="V342" s="399" t="s">
        <v>4309</v>
      </c>
      <c r="W342" s="400"/>
      <c r="X342" s="400" t="s">
        <v>4325</v>
      </c>
      <c r="Y342" s="318"/>
      <c r="Z342" s="319"/>
      <c r="AA342" s="256"/>
      <c r="AC342" s="308"/>
      <c r="AH342" s="391"/>
      <c r="AJ342" s="232"/>
      <c r="AK342" s="232"/>
      <c r="AQ342" s="416"/>
    </row>
    <row r="343" spans="7:45" ht="13.5" customHeight="1">
      <c r="J343" s="3"/>
      <c r="K343" s="3"/>
      <c r="L343" s="226"/>
      <c r="M343" s="226"/>
      <c r="O343" s="263"/>
      <c r="P343" s="400" t="s">
        <v>4330</v>
      </c>
      <c r="Q343" s="400" t="s">
        <v>4331</v>
      </c>
      <c r="R343" s="400">
        <v>613564800</v>
      </c>
      <c r="S343" s="400">
        <v>0</v>
      </c>
      <c r="T343" s="400" t="s">
        <v>826</v>
      </c>
      <c r="U343" s="400" t="s">
        <v>1151</v>
      </c>
      <c r="V343" s="400" t="s">
        <v>4293</v>
      </c>
      <c r="W343" s="400"/>
      <c r="X343" s="400" t="s">
        <v>4325</v>
      </c>
      <c r="Y343" s="318"/>
      <c r="Z343" s="319"/>
      <c r="AA343" s="256"/>
      <c r="AC343" s="308"/>
      <c r="AH343" s="391"/>
      <c r="AJ343" s="232"/>
      <c r="AK343" s="232"/>
      <c r="AQ343" s="416"/>
    </row>
    <row r="344" spans="7:45" ht="13.5" customHeight="1">
      <c r="J344" s="3"/>
      <c r="K344" s="3"/>
      <c r="L344" s="226"/>
      <c r="M344" s="226"/>
      <c r="O344" s="263"/>
      <c r="P344" s="400" t="s">
        <v>4330</v>
      </c>
      <c r="Q344" s="400" t="s">
        <v>4331</v>
      </c>
      <c r="R344" s="400">
        <v>613564800</v>
      </c>
      <c r="S344" s="400">
        <v>0</v>
      </c>
      <c r="T344" s="400" t="s">
        <v>826</v>
      </c>
      <c r="U344" s="400" t="s">
        <v>1151</v>
      </c>
      <c r="V344" s="400" t="s">
        <v>1471</v>
      </c>
      <c r="W344" s="400"/>
      <c r="X344" s="400" t="s">
        <v>4325</v>
      </c>
      <c r="Y344" s="318"/>
      <c r="Z344" s="319"/>
      <c r="AA344" s="256"/>
      <c r="AC344" s="308"/>
      <c r="AH344" s="391"/>
      <c r="AJ344" s="232"/>
      <c r="AK344" s="232"/>
      <c r="AQ344" s="416"/>
    </row>
    <row r="345" spans="7:45" ht="13.5" customHeight="1">
      <c r="J345" s="3" t="s">
        <v>943</v>
      </c>
      <c r="K345" s="3" t="s">
        <v>1540</v>
      </c>
      <c r="L345" s="226" t="str">
        <f>M334</f>
        <v>25-181/04:48</v>
      </c>
      <c r="M345" s="226" t="s">
        <v>4357</v>
      </c>
      <c r="N345" t="s">
        <v>4333</v>
      </c>
      <c r="O345" s="263"/>
      <c r="P345" s="179" t="str">
        <f>MID(AL345,5,5)</f>
        <v/>
      </c>
      <c r="Q345" s="442">
        <f>R342-3</f>
        <v>613564797</v>
      </c>
      <c r="R345" s="104">
        <f>((W345)/$S$2)+Q345</f>
        <v>614149095.70580232</v>
      </c>
      <c r="S345" s="104">
        <f t="shared" ref="S345" si="187">R345-Q345</f>
        <v>584298.70580232143</v>
      </c>
      <c r="T345" s="104">
        <f>S345*$S$2</f>
        <v>295460.29952462157</v>
      </c>
      <c r="U345" s="3">
        <v>0</v>
      </c>
      <c r="V345" s="97">
        <f t="shared" ref="V345" si="188">T345+U345*$V$37</f>
        <v>295460.29952462157</v>
      </c>
      <c r="W345" s="422">
        <f>X334</f>
        <v>295460.29952459713</v>
      </c>
      <c r="X345" s="266">
        <f t="shared" ref="X345:X346" si="189">W345-V345</f>
        <v>-2.4447217583656311E-8</v>
      </c>
      <c r="Y345" s="318"/>
      <c r="Z345" s="319"/>
      <c r="AA345" s="256"/>
      <c r="AB345">
        <f>W345*8/1000000</f>
        <v>2.363682396196777</v>
      </c>
      <c r="AC345" s="308">
        <f>AK345+AC334</f>
        <v>80.815494551168328</v>
      </c>
      <c r="AH345" s="391"/>
      <c r="AJ345" s="232">
        <f t="shared" ref="AJ345" si="190">X345*8/1000000</f>
        <v>-1.955777406692505E-13</v>
      </c>
      <c r="AK345" s="232">
        <f t="shared" ref="AK345" si="191">V345*8/1000000</f>
        <v>2.3636823961969724</v>
      </c>
      <c r="AQ345" s="416"/>
    </row>
    <row r="346" spans="7:45" ht="13.5" customHeight="1">
      <c r="G346" s="397"/>
      <c r="H346" s="397"/>
      <c r="I346" s="397"/>
      <c r="J346" s="3" t="s">
        <v>943</v>
      </c>
      <c r="K346" s="3" t="s">
        <v>1540</v>
      </c>
      <c r="L346" s="226" t="str">
        <f>M345</f>
        <v>25-187/23:06</v>
      </c>
      <c r="M346" s="226" t="s">
        <v>4358</v>
      </c>
      <c r="N346" t="s">
        <v>4333</v>
      </c>
      <c r="O346" s="263" t="str">
        <f>AI346</f>
        <v>215/14:20</v>
      </c>
      <c r="P346" s="179" t="str">
        <f>MID(AL346,5,5)</f>
        <v>215_1</v>
      </c>
      <c r="Q346" s="237">
        <f>R345-3</f>
        <v>614149092.70580232</v>
      </c>
      <c r="R346" s="104">
        <f>((W346)/$S$2)+Q346</f>
        <v>614850080.39412427</v>
      </c>
      <c r="S346" s="104">
        <f>R346-Q346</f>
        <v>700987.68832194805</v>
      </c>
      <c r="T346" s="104">
        <f>S346*$S$2</f>
        <v>354466.01250002626</v>
      </c>
      <c r="U346" s="3">
        <v>0</v>
      </c>
      <c r="V346" s="97">
        <f t="shared" si="185"/>
        <v>354466.01250002626</v>
      </c>
      <c r="W346" s="97">
        <f>AA346*1000000/8</f>
        <v>354466.01250000001</v>
      </c>
      <c r="X346" s="266">
        <f t="shared" si="189"/>
        <v>-2.6251655071973801E-8</v>
      </c>
      <c r="Y346" s="318"/>
      <c r="Z346" s="319"/>
      <c r="AA346" s="256">
        <f>AR346</f>
        <v>2.8357281000000003</v>
      </c>
      <c r="AC346" s="308">
        <f>AK346+AC345</f>
        <v>83.651222651168538</v>
      </c>
      <c r="AE346" s="278"/>
      <c r="AH346" s="391" t="str">
        <f>AL346</f>
        <v>TRK_215_1</v>
      </c>
      <c r="AI346" t="s">
        <v>4229</v>
      </c>
      <c r="AJ346" s="232">
        <f t="shared" si="167"/>
        <v>-2.1001324057579041E-13</v>
      </c>
      <c r="AK346" s="232">
        <f t="shared" si="168"/>
        <v>2.8357281000002099</v>
      </c>
      <c r="AL346" t="s">
        <v>1510</v>
      </c>
      <c r="AM346" t="s">
        <v>4199</v>
      </c>
      <c r="AN346">
        <v>0.22704199999999999</v>
      </c>
      <c r="AO346">
        <v>0.58508800000000005</v>
      </c>
      <c r="AP346">
        <v>0.35804599999999998</v>
      </c>
      <c r="AQ346" s="416">
        <v>3.1508090000000002</v>
      </c>
      <c r="AR346">
        <f t="shared" si="169"/>
        <v>2.8357281000000003</v>
      </c>
      <c r="AS346">
        <f>AS334+AR346</f>
        <v>144.15919920000002</v>
      </c>
    </row>
    <row r="347" spans="7:45" ht="13.5" customHeight="1">
      <c r="G347" s="397"/>
      <c r="H347" s="397"/>
      <c r="I347" s="397"/>
      <c r="J347" s="3"/>
      <c r="K347" s="3"/>
      <c r="L347" s="226" t="str">
        <f>M346</f>
        <v>25-196/01:49</v>
      </c>
      <c r="M347" s="226" t="s">
        <v>4295</v>
      </c>
      <c r="N347" t="s">
        <v>4334</v>
      </c>
      <c r="O347" s="263" t="str">
        <f>AI347</f>
        <v>216/03:34</v>
      </c>
      <c r="P347" s="179" t="str">
        <f>MID(AL347,5,5)</f>
        <v>216_1</v>
      </c>
      <c r="Q347" s="237">
        <f>R346-3</f>
        <v>614850077.39412427</v>
      </c>
      <c r="R347" s="451">
        <f>Q218-3</f>
        <v>615306093</v>
      </c>
      <c r="S347" s="104">
        <f>R347-Q347</f>
        <v>456015.60587573051</v>
      </c>
      <c r="T347" s="104">
        <f>S347*$S$2</f>
        <v>230591.82942213837</v>
      </c>
      <c r="U347" s="3">
        <v>0</v>
      </c>
      <c r="V347" s="97">
        <f t="shared" ref="V347" si="192">T347+U347*$V$37</f>
        <v>230591.82942213837</v>
      </c>
      <c r="W347" s="97">
        <f>AA347*1000000/8</f>
        <v>1016345.8125000002</v>
      </c>
      <c r="X347" s="428">
        <f t="shared" ref="X347" si="193">W347-V347</f>
        <v>785753.98307786183</v>
      </c>
      <c r="Y347" s="318"/>
      <c r="Z347" s="319"/>
      <c r="AA347" s="256">
        <f>AR347</f>
        <v>8.1307665000000018</v>
      </c>
      <c r="AB347">
        <f>V347*8/1000000</f>
        <v>1.844734635377107</v>
      </c>
      <c r="AC347" s="308">
        <f>AK347+AC346</f>
        <v>85.495957286545647</v>
      </c>
      <c r="AE347" s="278"/>
      <c r="AH347" s="391" t="str">
        <f>AL347</f>
        <v>TRK_216_1</v>
      </c>
      <c r="AI347" t="s">
        <v>4239</v>
      </c>
      <c r="AJ347" s="232">
        <f t="shared" ref="AJ347" si="194">X347*8/1000000</f>
        <v>6.2860318646228945</v>
      </c>
      <c r="AK347" s="232">
        <f t="shared" ref="AK347" si="195">V347*8/1000000</f>
        <v>1.844734635377107</v>
      </c>
      <c r="AL347" t="s">
        <v>1512</v>
      </c>
      <c r="AM347" t="s">
        <v>4200</v>
      </c>
      <c r="AN347">
        <v>0.23466000000000001</v>
      </c>
      <c r="AO347">
        <v>1.2612719999999999</v>
      </c>
      <c r="AP347">
        <v>1.0266120000000001</v>
      </c>
      <c r="AQ347" s="416">
        <v>9.0341850000000008</v>
      </c>
      <c r="AR347">
        <f t="shared" ref="AR347" si="196">AQ347*0.9</f>
        <v>8.1307665000000018</v>
      </c>
      <c r="AS347">
        <f>AS346+AR347</f>
        <v>152.28996570000001</v>
      </c>
    </row>
    <row r="348" spans="7:45" ht="13.5" customHeight="1">
      <c r="G348" s="397"/>
      <c r="H348" s="397"/>
      <c r="I348" s="397"/>
      <c r="J348" s="3"/>
      <c r="K348" s="3"/>
      <c r="L348" s="226"/>
      <c r="M348" s="226"/>
      <c r="O348" s="263"/>
      <c r="P348" s="446" t="s">
        <v>4306</v>
      </c>
      <c r="Q348" s="446" t="s">
        <v>242</v>
      </c>
      <c r="R348" s="446" t="s">
        <v>4306</v>
      </c>
      <c r="S348" s="446" t="s">
        <v>242</v>
      </c>
      <c r="T348" s="104" t="s">
        <v>4340</v>
      </c>
      <c r="U348" s="3"/>
      <c r="V348" s="444">
        <v>615306096</v>
      </c>
      <c r="W348" s="444">
        <v>615339021</v>
      </c>
      <c r="X348" s="427"/>
      <c r="Y348" s="318"/>
      <c r="Z348" s="319"/>
      <c r="AA348" s="256"/>
      <c r="AC348" s="308"/>
      <c r="AE348" s="278"/>
      <c r="AH348" s="391"/>
      <c r="AJ348" s="232"/>
      <c r="AK348" s="232"/>
      <c r="AQ348" s="416"/>
    </row>
    <row r="349" spans="7:45" ht="13.5" customHeight="1">
      <c r="G349" s="397"/>
      <c r="H349" s="397"/>
      <c r="I349" s="397"/>
      <c r="J349" s="3"/>
      <c r="K349" s="3"/>
      <c r="L349" s="226"/>
      <c r="M349" s="226"/>
      <c r="O349" s="263"/>
      <c r="P349" s="446" t="s">
        <v>4296</v>
      </c>
      <c r="Q349" s="447" t="s">
        <v>1485</v>
      </c>
      <c r="R349" s="448">
        <v>615306096</v>
      </c>
      <c r="S349" s="449">
        <v>615339021</v>
      </c>
      <c r="T349" s="104"/>
      <c r="U349" s="3"/>
      <c r="V349" s="445" t="s">
        <v>4361</v>
      </c>
      <c r="W349" s="444"/>
      <c r="X349" s="427"/>
      <c r="Y349" s="318"/>
      <c r="Z349" s="319"/>
      <c r="AA349" s="256"/>
      <c r="AC349" s="308"/>
      <c r="AE349" s="278"/>
      <c r="AH349" s="391"/>
      <c r="AJ349" s="232"/>
      <c r="AK349" s="232"/>
      <c r="AQ349" s="416"/>
    </row>
    <row r="350" spans="7:45" ht="13.5" customHeight="1">
      <c r="G350" s="397"/>
      <c r="H350" s="397"/>
      <c r="I350" s="397"/>
      <c r="J350" s="3"/>
      <c r="K350" s="3"/>
      <c r="L350" s="226"/>
      <c r="M350" s="226"/>
      <c r="N350" s="17" t="s">
        <v>4345</v>
      </c>
      <c r="O350" s="263" t="s">
        <v>169</v>
      </c>
      <c r="P350" s="400" t="s">
        <v>4297</v>
      </c>
      <c r="Q350" s="400" t="s">
        <v>4298</v>
      </c>
      <c r="R350" s="443">
        <v>615779216</v>
      </c>
      <c r="S350" s="400">
        <v>7</v>
      </c>
      <c r="T350" s="400" t="s">
        <v>373</v>
      </c>
      <c r="U350" s="400" t="s">
        <v>4299</v>
      </c>
      <c r="V350" s="400" t="s">
        <v>816</v>
      </c>
      <c r="W350" s="400" t="s">
        <v>817</v>
      </c>
      <c r="X350" s="400" t="s">
        <v>4300</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4301</v>
      </c>
      <c r="Q351" s="400" t="s">
        <v>4302</v>
      </c>
      <c r="R351" s="400">
        <v>615779236</v>
      </c>
      <c r="S351" s="400">
        <v>1</v>
      </c>
      <c r="T351" s="400" t="s">
        <v>373</v>
      </c>
      <c r="U351" s="400" t="s">
        <v>4299</v>
      </c>
      <c r="V351" s="400" t="s">
        <v>833</v>
      </c>
      <c r="W351" s="400"/>
      <c r="X351" s="400" t="s">
        <v>4300</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4303</v>
      </c>
      <c r="Q352" s="400" t="s">
        <v>4304</v>
      </c>
      <c r="R352" s="400">
        <v>615779241</v>
      </c>
      <c r="S352" s="400">
        <v>1</v>
      </c>
      <c r="T352" s="400" t="s">
        <v>373</v>
      </c>
      <c r="U352" s="400" t="s">
        <v>4299</v>
      </c>
      <c r="V352" s="400" t="s">
        <v>833</v>
      </c>
      <c r="W352" s="400"/>
      <c r="X352" s="400" t="s">
        <v>4300</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4307</v>
      </c>
      <c r="Q353" s="400" t="s">
        <v>4308</v>
      </c>
      <c r="R353" s="400">
        <v>615779712</v>
      </c>
      <c r="S353" s="400">
        <v>0</v>
      </c>
      <c r="T353" s="400" t="s">
        <v>826</v>
      </c>
      <c r="U353" s="400" t="s">
        <v>4299</v>
      </c>
      <c r="V353" s="400" t="s">
        <v>4289</v>
      </c>
      <c r="W353" s="400"/>
      <c r="X353" s="400" t="s">
        <v>4300</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4307</v>
      </c>
      <c r="Q354" s="400" t="s">
        <v>4308</v>
      </c>
      <c r="R354" s="400">
        <v>615779712</v>
      </c>
      <c r="S354" s="400">
        <v>0</v>
      </c>
      <c r="T354" s="400" t="s">
        <v>826</v>
      </c>
      <c r="U354" s="400" t="s">
        <v>4299</v>
      </c>
      <c r="V354" s="400" t="s">
        <v>4290</v>
      </c>
      <c r="W354" s="400"/>
      <c r="X354" s="400" t="s">
        <v>4300</v>
      </c>
      <c r="Y354" s="318"/>
      <c r="Z354" s="319"/>
      <c r="AA354" s="256"/>
      <c r="AC354" s="308"/>
      <c r="AE354" s="278"/>
      <c r="AH354" s="391"/>
      <c r="AJ354" s="232"/>
      <c r="AK354" s="232"/>
      <c r="AQ354" s="416"/>
    </row>
    <row r="355" spans="7:45" ht="13.5" customHeight="1">
      <c r="G355" s="397"/>
      <c r="H355" s="397"/>
      <c r="I355" s="397"/>
      <c r="J355" s="3"/>
      <c r="K355" s="3"/>
      <c r="L355" s="226"/>
      <c r="M355" s="226"/>
      <c r="O355" s="263"/>
      <c r="P355" s="400" t="s">
        <v>4307</v>
      </c>
      <c r="Q355" s="400" t="s">
        <v>4308</v>
      </c>
      <c r="R355" s="400">
        <v>615779712</v>
      </c>
      <c r="S355" s="400">
        <v>0</v>
      </c>
      <c r="T355" s="400" t="s">
        <v>826</v>
      </c>
      <c r="U355" s="400" t="s">
        <v>4299</v>
      </c>
      <c r="V355" s="400" t="s">
        <v>4291</v>
      </c>
      <c r="W355" s="400"/>
      <c r="X355" s="400" t="s">
        <v>4300</v>
      </c>
      <c r="Y355" s="318"/>
      <c r="Z355" s="319"/>
      <c r="AA355" s="256"/>
      <c r="AC355" s="308"/>
      <c r="AE355" s="278"/>
      <c r="AH355" s="391"/>
      <c r="AJ355" s="232"/>
      <c r="AK355" s="232"/>
      <c r="AQ355" s="416"/>
    </row>
    <row r="356" spans="7:45" ht="13.5" customHeight="1">
      <c r="G356" s="397"/>
      <c r="H356" s="397"/>
      <c r="I356" s="397"/>
      <c r="J356" s="3"/>
      <c r="K356" s="3"/>
      <c r="L356" s="226"/>
      <c r="M356" s="226"/>
      <c r="O356" s="263"/>
      <c r="P356" s="400" t="s">
        <v>4307</v>
      </c>
      <c r="Q356" s="400" t="s">
        <v>4308</v>
      </c>
      <c r="R356" s="400">
        <v>615779712</v>
      </c>
      <c r="S356" s="400">
        <v>0</v>
      </c>
      <c r="T356" s="400" t="s">
        <v>826</v>
      </c>
      <c r="U356" s="400" t="s">
        <v>4299</v>
      </c>
      <c r="V356" s="400" t="s">
        <v>828</v>
      </c>
      <c r="W356" s="400"/>
      <c r="X356" s="400" t="s">
        <v>4300</v>
      </c>
      <c r="Y356" s="318"/>
      <c r="Z356" s="319"/>
      <c r="AA356" s="256"/>
      <c r="AC356" s="308"/>
      <c r="AE356" s="278"/>
      <c r="AH356" s="391"/>
      <c r="AJ356" s="232"/>
      <c r="AK356" s="232"/>
      <c r="AQ356" s="416"/>
    </row>
    <row r="357" spans="7:45" ht="13.5" customHeight="1">
      <c r="G357" s="397"/>
      <c r="H357" s="397"/>
      <c r="I357" s="397"/>
      <c r="J357" s="3"/>
      <c r="K357" s="3"/>
      <c r="L357" s="226"/>
      <c r="M357" s="226"/>
      <c r="O357" s="263"/>
      <c r="P357" s="400" t="s">
        <v>4307</v>
      </c>
      <c r="Q357" s="400" t="s">
        <v>4308</v>
      </c>
      <c r="R357" s="400">
        <v>615779712</v>
      </c>
      <c r="S357" s="400">
        <v>0</v>
      </c>
      <c r="T357" s="400" t="s">
        <v>826</v>
      </c>
      <c r="U357" s="400" t="s">
        <v>4299</v>
      </c>
      <c r="V357" s="399" t="s">
        <v>4309</v>
      </c>
      <c r="W357" s="400"/>
      <c r="X357" s="400" t="s">
        <v>4300</v>
      </c>
      <c r="Y357" s="318"/>
      <c r="Z357" s="319"/>
      <c r="AA357" s="256"/>
      <c r="AC357" s="308"/>
      <c r="AE357" s="278"/>
      <c r="AH357" s="391"/>
      <c r="AJ357" s="232"/>
      <c r="AK357" s="232"/>
      <c r="AQ357" s="416"/>
    </row>
    <row r="358" spans="7:45" ht="13.5" customHeight="1">
      <c r="G358" s="397"/>
      <c r="H358" s="397"/>
      <c r="I358" s="397"/>
      <c r="J358" s="3"/>
      <c r="K358" s="3"/>
      <c r="L358" s="226"/>
      <c r="M358" s="226"/>
      <c r="O358" s="263"/>
      <c r="P358" s="400" t="s">
        <v>4307</v>
      </c>
      <c r="Q358" s="400" t="s">
        <v>4308</v>
      </c>
      <c r="R358" s="400">
        <v>615779712</v>
      </c>
      <c r="S358" s="400">
        <v>0</v>
      </c>
      <c r="T358" s="400" t="s">
        <v>4341</v>
      </c>
      <c r="U358" s="400" t="s">
        <v>4299</v>
      </c>
      <c r="V358" s="400" t="s">
        <v>4293</v>
      </c>
      <c r="W358" s="400"/>
      <c r="X358" s="400" t="s">
        <v>4300</v>
      </c>
      <c r="Y358" s="318"/>
      <c r="Z358" s="319"/>
      <c r="AA358" s="256"/>
      <c r="AC358" s="308"/>
      <c r="AE358" s="278"/>
      <c r="AH358" s="391"/>
      <c r="AJ358" s="232"/>
      <c r="AK358" s="232"/>
      <c r="AQ358" s="416"/>
    </row>
    <row r="359" spans="7:45" ht="13.5" customHeight="1">
      <c r="G359" s="397"/>
      <c r="H359" s="397"/>
      <c r="I359" s="397"/>
      <c r="J359" s="3"/>
      <c r="K359" s="3"/>
      <c r="L359" s="459" t="str" cm="1">
        <f t="array" aca="1" ref="L359" ca="1">MID(MET2UTC(Q360),3,12)</f>
        <v>25-206/19:54</v>
      </c>
      <c r="M359" s="226">
        <f>(218-206)*3600/1000000</f>
        <v>4.3200000000000002E-2</v>
      </c>
      <c r="O359" s="263"/>
      <c r="P359" s="400" t="s">
        <v>4307</v>
      </c>
      <c r="Q359" s="400" t="s">
        <v>4308</v>
      </c>
      <c r="R359" s="400">
        <v>615779712</v>
      </c>
      <c r="S359" s="400">
        <v>0</v>
      </c>
      <c r="T359" s="400" t="s">
        <v>826</v>
      </c>
      <c r="U359" s="400" t="s">
        <v>4299</v>
      </c>
      <c r="V359" s="400" t="s">
        <v>1471</v>
      </c>
      <c r="W359" s="400"/>
      <c r="X359" s="400" t="s">
        <v>4300</v>
      </c>
      <c r="Y359" s="318"/>
      <c r="Z359" s="319"/>
      <c r="AA359" s="256"/>
      <c r="AC359" s="308"/>
      <c r="AE359" s="278"/>
      <c r="AH359" s="391"/>
      <c r="AJ359" s="232"/>
      <c r="AK359" s="232"/>
      <c r="AQ359" s="416"/>
    </row>
    <row r="360" spans="7:45" ht="13.5" customHeight="1">
      <c r="G360" s="397"/>
      <c r="H360" s="397"/>
      <c r="I360" s="397"/>
      <c r="J360" s="3" t="s">
        <v>943</v>
      </c>
      <c r="K360" s="3" t="s">
        <v>1540</v>
      </c>
      <c r="L360" s="226" t="s">
        <v>4310</v>
      </c>
      <c r="M360" s="226" t="s">
        <v>4338</v>
      </c>
      <c r="N360" t="s">
        <v>4333</v>
      </c>
      <c r="O360" s="192" t="s">
        <v>4346</v>
      </c>
      <c r="P360" s="179" t="str">
        <f>MID(AL360,5,5)</f>
        <v/>
      </c>
      <c r="Q360" s="443">
        <f>R350-5</f>
        <v>615779211</v>
      </c>
      <c r="R360" s="438">
        <f>R362+20</f>
        <v>616808241</v>
      </c>
      <c r="S360" s="104">
        <f t="shared" ref="S360" si="197">R360-Q360</f>
        <v>1029030</v>
      </c>
      <c r="T360" s="104">
        <f>S360*$S$2</f>
        <v>520346.03020784812</v>
      </c>
      <c r="U360" s="3">
        <v>0</v>
      </c>
      <c r="V360" s="97">
        <f t="shared" ref="V360" si="198">T360+U360*$V$37</f>
        <v>520346.03020784812</v>
      </c>
      <c r="W360" s="422">
        <f>X347</f>
        <v>785753.98307786183</v>
      </c>
      <c r="X360" s="428">
        <f t="shared" ref="X360" si="199">W360-V360</f>
        <v>265407.95287001372</v>
      </c>
      <c r="Y360" s="318"/>
      <c r="Z360" s="319"/>
      <c r="AA360" s="256"/>
      <c r="AB360">
        <f>V360*8/1000000</f>
        <v>4.1627682416627847</v>
      </c>
      <c r="AC360" s="308">
        <f>AK360+AC347</f>
        <v>89.658725528208436</v>
      </c>
      <c r="AH360" s="391"/>
      <c r="AJ360" s="232">
        <f t="shared" ref="AJ360" si="200">X360*8/1000000</f>
        <v>2.1232636229601098</v>
      </c>
      <c r="AK360" s="232">
        <f t="shared" ref="AK360" si="201">V360*8/1000000</f>
        <v>4.1627682416627847</v>
      </c>
      <c r="AL360" s="420"/>
      <c r="AM360" s="420"/>
      <c r="AN360" s="420"/>
      <c r="AO360" s="420"/>
      <c r="AP360" s="420"/>
      <c r="AQ360" s="421"/>
    </row>
    <row r="361" spans="7:45" ht="13.5" customHeight="1">
      <c r="G361" s="397"/>
      <c r="H361" s="397"/>
      <c r="I361" s="397"/>
      <c r="J361" s="3"/>
      <c r="K361" s="3"/>
      <c r="L361" s="226"/>
      <c r="M361" s="460" t="str" cm="1">
        <f t="array" aca="1" ref="M361" ca="1">MID(MET2UTC(R360),3,12)</f>
        <v>25-218/17:45</v>
      </c>
      <c r="O361" s="192"/>
      <c r="P361" s="395" t="s">
        <v>4313</v>
      </c>
      <c r="Q361" s="395" t="s">
        <v>4314</v>
      </c>
      <c r="R361" s="432">
        <v>616807877</v>
      </c>
      <c r="S361" s="395">
        <v>0</v>
      </c>
      <c r="T361" s="395" t="s">
        <v>826</v>
      </c>
      <c r="U361" s="395" t="s">
        <v>2175</v>
      </c>
      <c r="V361" s="395" t="s">
        <v>4315</v>
      </c>
      <c r="W361" s="395"/>
      <c r="X361" s="395" t="s">
        <v>4316</v>
      </c>
      <c r="Y361" s="318"/>
      <c r="Z361" s="319"/>
      <c r="AA361" s="256"/>
      <c r="AC361" s="308"/>
      <c r="AE361" s="278"/>
      <c r="AH361" s="391"/>
      <c r="AJ361" s="232"/>
      <c r="AK361" s="232"/>
      <c r="AQ361" s="416"/>
    </row>
    <row r="362" spans="7:45" ht="13.5" customHeight="1">
      <c r="G362" s="397"/>
      <c r="H362" s="397"/>
      <c r="I362" s="397"/>
      <c r="J362" s="3"/>
      <c r="K362" s="3"/>
      <c r="L362" s="226"/>
      <c r="M362" s="226"/>
      <c r="O362" s="192" t="s">
        <v>4336</v>
      </c>
      <c r="P362" s="395" t="s">
        <v>4317</v>
      </c>
      <c r="Q362" s="395" t="s">
        <v>4318</v>
      </c>
      <c r="R362" s="433">
        <v>616808221</v>
      </c>
      <c r="S362" s="395">
        <v>1</v>
      </c>
      <c r="T362" s="395" t="s">
        <v>373</v>
      </c>
      <c r="U362" s="395" t="s">
        <v>1072</v>
      </c>
      <c r="V362" s="395" t="s">
        <v>833</v>
      </c>
      <c r="W362" s="395"/>
      <c r="X362" s="395" t="s">
        <v>4316</v>
      </c>
      <c r="Y362" s="318"/>
      <c r="Z362" s="319"/>
      <c r="AA362" s="256"/>
      <c r="AC362" s="308"/>
      <c r="AE362" s="278"/>
      <c r="AH362" s="391"/>
      <c r="AJ362" s="232"/>
      <c r="AK362" s="232"/>
      <c r="AQ362" s="416"/>
    </row>
    <row r="363" spans="7:45" ht="13.5" customHeight="1">
      <c r="G363" s="397"/>
      <c r="H363" s="397"/>
      <c r="I363" s="397"/>
      <c r="J363" s="3"/>
      <c r="K363" s="3"/>
      <c r="L363" s="226"/>
      <c r="M363" s="226"/>
      <c r="O363" s="263" t="s">
        <v>4335</v>
      </c>
      <c r="P363" s="395" t="s">
        <v>4131</v>
      </c>
      <c r="Q363" s="395" t="s">
        <v>4132</v>
      </c>
      <c r="R363" s="440">
        <v>616842836</v>
      </c>
      <c r="S363" s="395">
        <v>7</v>
      </c>
      <c r="T363" s="395" t="s">
        <v>373</v>
      </c>
      <c r="U363" s="395" t="s">
        <v>4133</v>
      </c>
      <c r="V363" s="395" t="s">
        <v>816</v>
      </c>
      <c r="W363" s="395" t="s">
        <v>817</v>
      </c>
      <c r="X363" s="395" t="s">
        <v>4134</v>
      </c>
      <c r="Y363" s="318"/>
      <c r="Z363" s="319"/>
      <c r="AA363" s="256"/>
      <c r="AC363" s="308"/>
      <c r="AE363" s="278"/>
      <c r="AH363" s="391"/>
      <c r="AJ363" s="232"/>
      <c r="AK363" s="232"/>
      <c r="AQ363" s="416"/>
    </row>
    <row r="364" spans="7:45" ht="13.5" customHeight="1">
      <c r="G364" s="397"/>
      <c r="H364" s="397"/>
      <c r="I364" s="397"/>
      <c r="J364" s="3"/>
      <c r="K364" s="3"/>
      <c r="L364" s="459" t="str" cm="1">
        <f t="array" aca="1" ref="L364" ca="1">MID(MET2UTC(Q365),3,12)</f>
        <v>25-219/03:21</v>
      </c>
      <c r="M364" s="226"/>
      <c r="O364" s="263"/>
      <c r="P364" s="402" t="s">
        <v>4319</v>
      </c>
      <c r="Q364" s="402" t="s">
        <v>4320</v>
      </c>
      <c r="R364" s="434">
        <v>616843328</v>
      </c>
      <c r="S364" s="402">
        <v>0</v>
      </c>
      <c r="T364" s="402" t="s">
        <v>826</v>
      </c>
      <c r="U364" s="402" t="s">
        <v>4133</v>
      </c>
      <c r="V364" s="402" t="s">
        <v>4309</v>
      </c>
      <c r="W364" s="402"/>
      <c r="X364" s="402" t="s">
        <v>4134</v>
      </c>
      <c r="Y364" s="318"/>
      <c r="Z364" s="319"/>
      <c r="AA364" s="256"/>
      <c r="AC364" s="308"/>
      <c r="AE364" s="278"/>
      <c r="AH364" s="391"/>
      <c r="AJ364" s="232"/>
      <c r="AK364" s="232"/>
      <c r="AQ364" s="416"/>
    </row>
    <row r="365" spans="7:45" ht="13.5" customHeight="1">
      <c r="J365" s="3" t="s">
        <v>943</v>
      </c>
      <c r="K365" s="3" t="s">
        <v>1540</v>
      </c>
      <c r="L365" s="226" t="s">
        <v>4337</v>
      </c>
      <c r="M365" s="226" t="s">
        <v>4347</v>
      </c>
      <c r="N365" t="s">
        <v>4339</v>
      </c>
      <c r="O365" s="192" t="s">
        <v>4335</v>
      </c>
      <c r="P365" s="179" t="str">
        <f>MID(AL365,5,5)</f>
        <v/>
      </c>
      <c r="Q365" s="439">
        <f>R363-5</f>
        <v>616842831</v>
      </c>
      <c r="R365" s="104">
        <f>((W365)/$S$2)+Q365</f>
        <v>617367698.54945111</v>
      </c>
      <c r="S365" s="104">
        <f t="shared" ref="S365" si="202">R365-Q365</f>
        <v>524867.54945111275</v>
      </c>
      <c r="T365" s="104">
        <f>S365*$S$2</f>
        <v>265407.95286999206</v>
      </c>
      <c r="U365" s="3">
        <v>0</v>
      </c>
      <c r="V365" s="97">
        <f t="shared" si="185"/>
        <v>265407.95286999206</v>
      </c>
      <c r="W365" s="422">
        <f>X360</f>
        <v>265407.95287001372</v>
      </c>
      <c r="X365" s="266">
        <f t="shared" si="186"/>
        <v>2.1653249859809875E-8</v>
      </c>
      <c r="Y365" s="318"/>
      <c r="Z365" s="319"/>
      <c r="AA365" s="256"/>
      <c r="AB365">
        <f>V365*8/1000000</f>
        <v>2.1232636229599366</v>
      </c>
      <c r="AC365" s="308">
        <f>AK365+AC360</f>
        <v>91.781989151168375</v>
      </c>
      <c r="AH365" s="391"/>
      <c r="AJ365" s="232">
        <f t="shared" ref="AJ365" si="203">X365*8/1000000</f>
        <v>1.73225998878479E-13</v>
      </c>
      <c r="AK365" s="232">
        <f t="shared" ref="AK365" si="204">V365*8/1000000</f>
        <v>2.1232636229599366</v>
      </c>
      <c r="AL365" s="420"/>
      <c r="AM365" s="420"/>
      <c r="AN365" s="420"/>
      <c r="AO365" s="420"/>
      <c r="AP365" s="420"/>
      <c r="AQ365" s="421"/>
    </row>
    <row r="366" spans="7:45" ht="13.5" customHeight="1">
      <c r="J366" s="3" t="s">
        <v>943</v>
      </c>
      <c r="K366" s="3" t="s">
        <v>1540</v>
      </c>
      <c r="L366" s="226" t="str">
        <f>M365</f>
        <v>25-225/05:09</v>
      </c>
      <c r="M366" s="226" t="s">
        <v>4348</v>
      </c>
      <c r="N366" t="s">
        <v>4339</v>
      </c>
      <c r="O366" s="263" t="str">
        <f>AI366</f>
        <v>216/21:24</v>
      </c>
      <c r="P366" s="179" t="str">
        <f>MID(AL366,5,5)</f>
        <v>216_2</v>
      </c>
      <c r="Q366" s="237">
        <f>R365-3</f>
        <v>617367695.54945111</v>
      </c>
      <c r="R366" s="104">
        <f>((W366)/$S$2)+Q366</f>
        <v>621546384.50990295</v>
      </c>
      <c r="S366" s="104">
        <f>R366-Q366</f>
        <v>4178688.9604518414</v>
      </c>
      <c r="T366" s="104">
        <f>S366*$S$2</f>
        <v>2113023.1499999762</v>
      </c>
      <c r="U366" s="3">
        <v>0</v>
      </c>
      <c r="V366" s="97">
        <f t="shared" ref="V366" si="205">T366+U366*$V$37</f>
        <v>2113023.1499999762</v>
      </c>
      <c r="W366" s="97">
        <f>AA366*1000000/8</f>
        <v>2113023.15</v>
      </c>
      <c r="X366" s="266">
        <f t="shared" ref="X366" si="206">W366-V366</f>
        <v>2.3748725652694702E-8</v>
      </c>
      <c r="Y366" s="318"/>
      <c r="Z366" s="319"/>
      <c r="AA366" s="256">
        <f>AR366</f>
        <v>16.904185200000001</v>
      </c>
      <c r="AC366" s="308">
        <f>AK366+AC347</f>
        <v>102.40014248654546</v>
      </c>
      <c r="AH366" s="391" t="str">
        <f>AL366</f>
        <v>TRK_216_2</v>
      </c>
      <c r="AI366" t="s">
        <v>4230</v>
      </c>
      <c r="AJ366" s="232">
        <f t="shared" ref="AJ366:AJ369" si="207">X366*8/1000000</f>
        <v>1.8998980522155762E-13</v>
      </c>
      <c r="AK366" s="232">
        <f t="shared" ref="AK366:AK369" si="208">V366*8/1000000</f>
        <v>16.904185199999809</v>
      </c>
      <c r="AL366" s="420" t="s">
        <v>4201</v>
      </c>
      <c r="AM366" s="420" t="s">
        <v>4202</v>
      </c>
      <c r="AN366" s="420">
        <v>0.265287</v>
      </c>
      <c r="AO366" s="420">
        <v>2.399654</v>
      </c>
      <c r="AP366" s="420">
        <v>2.1343670000000001</v>
      </c>
      <c r="AQ366" s="421">
        <v>18.782427999999999</v>
      </c>
      <c r="AR366">
        <f t="shared" ref="AR366:AR369" si="209">AQ366*0.9</f>
        <v>16.904185200000001</v>
      </c>
      <c r="AS366">
        <f>AR366+AS347</f>
        <v>169.19415090000001</v>
      </c>
    </row>
    <row r="367" spans="7:45" ht="13.5" customHeight="1">
      <c r="J367" s="3" t="s">
        <v>943</v>
      </c>
      <c r="K367" s="3" t="s">
        <v>1540</v>
      </c>
      <c r="L367" s="226" t="str">
        <f>M366</f>
        <v>25-273/13:54</v>
      </c>
      <c r="M367" s="226" t="s">
        <v>4349</v>
      </c>
      <c r="N367" t="s">
        <v>4339</v>
      </c>
      <c r="O367" s="263" t="str">
        <f>AI367</f>
        <v>217/14:19</v>
      </c>
      <c r="P367" s="179" t="str">
        <f>MID(AL367,5,5)</f>
        <v>217_1</v>
      </c>
      <c r="Q367" s="237">
        <f>R366-3</f>
        <v>621546381.50990295</v>
      </c>
      <c r="R367" s="104">
        <f>((W367)/$S$2)+Q367</f>
        <v>622193452.3907274</v>
      </c>
      <c r="S367" s="104">
        <f t="shared" ref="S367" si="210">R367-Q367</f>
        <v>647070.88082444668</v>
      </c>
      <c r="T367" s="104">
        <f>S367*$S$2</f>
        <v>327202.08749997226</v>
      </c>
      <c r="U367" s="3">
        <v>0</v>
      </c>
      <c r="V367" s="97">
        <f t="shared" si="185"/>
        <v>327202.08749997226</v>
      </c>
      <c r="W367" s="97">
        <f>AA367*1000000/8</f>
        <v>327202.08749999997</v>
      </c>
      <c r="X367" s="266">
        <f t="shared" si="186"/>
        <v>2.7706846594810486E-8</v>
      </c>
      <c r="Y367" s="318"/>
      <c r="Z367" s="319"/>
      <c r="AA367" s="256">
        <f>AR367</f>
        <v>2.6176166999999997</v>
      </c>
      <c r="AC367" s="308">
        <f>AK367+AC366</f>
        <v>105.01775918654523</v>
      </c>
      <c r="AH367" s="391" t="str">
        <f>AL367</f>
        <v>TRK_217_1</v>
      </c>
      <c r="AI367" t="s">
        <v>4231</v>
      </c>
      <c r="AJ367" s="232">
        <f t="shared" si="207"/>
        <v>2.216547727584839E-13</v>
      </c>
      <c r="AK367" s="232">
        <f t="shared" si="208"/>
        <v>2.6176166999997781</v>
      </c>
      <c r="AL367" t="s">
        <v>4203</v>
      </c>
      <c r="AM367" t="s">
        <v>4204</v>
      </c>
      <c r="AN367">
        <v>0.24232699999999999</v>
      </c>
      <c r="AO367">
        <v>0.57283399999999995</v>
      </c>
      <c r="AP367">
        <v>0.330507</v>
      </c>
      <c r="AQ367" s="416">
        <v>2.9084629999999998</v>
      </c>
      <c r="AR367">
        <f t="shared" si="209"/>
        <v>2.6176166999999997</v>
      </c>
      <c r="AS367">
        <f>AS366+AR367</f>
        <v>171.81176760000002</v>
      </c>
    </row>
    <row r="368" spans="7:45" ht="13.5" customHeight="1">
      <c r="J368" s="3" t="s">
        <v>943</v>
      </c>
      <c r="K368" s="3" t="s">
        <v>1540</v>
      </c>
      <c r="L368" s="226" t="str">
        <f t="shared" ref="L368:L369" si="211">M367</f>
        <v>25-281/01:38</v>
      </c>
      <c r="M368" s="226" t="s">
        <v>4350</v>
      </c>
      <c r="N368" t="s">
        <v>4339</v>
      </c>
      <c r="O368" s="263" t="str">
        <f>AI368</f>
        <v>218/03:29</v>
      </c>
      <c r="P368" s="179" t="str">
        <f>MID(AL368,5,5)</f>
        <v>218_1</v>
      </c>
      <c r="Q368" s="237">
        <f>R367-3</f>
        <v>622193449.3907274</v>
      </c>
      <c r="R368" s="104">
        <f>((W368)/$S$2)+Q368</f>
        <v>624386851.57853949</v>
      </c>
      <c r="S368" s="104">
        <f t="shared" ref="S368:S369" si="212">R368-Q368</f>
        <v>2193402.1878120899</v>
      </c>
      <c r="T368" s="104">
        <f>S368*$S$2</f>
        <v>1109130.0749999804</v>
      </c>
      <c r="U368" s="3">
        <v>0</v>
      </c>
      <c r="V368" s="97">
        <f t="shared" si="185"/>
        <v>1109130.0749999804</v>
      </c>
      <c r="W368" s="97">
        <f>AA368*1000000/8</f>
        <v>1109130.075</v>
      </c>
      <c r="X368" s="266">
        <f t="shared" si="186"/>
        <v>1.9557774066925049E-8</v>
      </c>
      <c r="Y368" s="318"/>
      <c r="Z368" s="319"/>
      <c r="AA368" s="256">
        <f>AR368</f>
        <v>8.8730405999999995</v>
      </c>
      <c r="AC368" s="308">
        <f>AK368+AC367</f>
        <v>113.89079978654507</v>
      </c>
      <c r="AH368" s="391" t="str">
        <f>AL368</f>
        <v>TRK_218_1</v>
      </c>
      <c r="AI368" t="s">
        <v>4232</v>
      </c>
      <c r="AJ368" s="232">
        <f t="shared" si="207"/>
        <v>1.5646219253540038E-13</v>
      </c>
      <c r="AK368" s="232">
        <f t="shared" si="208"/>
        <v>8.8730405999998432</v>
      </c>
      <c r="AL368" t="s">
        <v>4205</v>
      </c>
      <c r="AM368" t="s">
        <v>4206</v>
      </c>
      <c r="AN368">
        <v>0.23408999999999999</v>
      </c>
      <c r="AO368">
        <v>1.3544229999999999</v>
      </c>
      <c r="AP368">
        <v>1.120333</v>
      </c>
      <c r="AQ368" s="416">
        <v>9.8589339999999996</v>
      </c>
      <c r="AR368">
        <f t="shared" si="209"/>
        <v>8.8730405999999995</v>
      </c>
      <c r="AS368">
        <f>AS367+AR368</f>
        <v>180.68480820000002</v>
      </c>
    </row>
    <row r="369" spans="3:45" ht="13.5" customHeight="1">
      <c r="J369" s="3" t="s">
        <v>943</v>
      </c>
      <c r="K369" s="3" t="s">
        <v>1540</v>
      </c>
      <c r="L369" s="226" t="str">
        <f t="shared" si="211"/>
        <v>25-306/10:55</v>
      </c>
      <c r="M369" s="226" t="s">
        <v>4351</v>
      </c>
      <c r="N369" t="s">
        <v>4339</v>
      </c>
      <c r="O369" s="263" t="str">
        <f>AI369</f>
        <v>218/11:19</v>
      </c>
      <c r="P369" s="179" t="str">
        <f>MID(AL369,5,5)</f>
        <v>218_2</v>
      </c>
      <c r="Q369" s="237">
        <f>R368-3</f>
        <v>624386848.57853949</v>
      </c>
      <c r="R369" s="104">
        <f>((W369)/$S$2)+Q369</f>
        <v>626639848.34333825</v>
      </c>
      <c r="S369" s="104">
        <f t="shared" si="212"/>
        <v>2252999.7647987604</v>
      </c>
      <c r="T369" s="104">
        <f>S369*$S$2</f>
        <v>1139266.5750000004</v>
      </c>
      <c r="U369" s="3">
        <v>0</v>
      </c>
      <c r="V369" s="97">
        <f t="shared" si="185"/>
        <v>1139266.5750000004</v>
      </c>
      <c r="W369" s="97">
        <f>AA369*1000000/8</f>
        <v>1139266.575</v>
      </c>
      <c r="X369" s="266">
        <f t="shared" si="186"/>
        <v>0</v>
      </c>
      <c r="Y369" s="318"/>
      <c r="Z369" s="319"/>
      <c r="AA369" s="256">
        <f>AR369</f>
        <v>9.1141325999999996</v>
      </c>
      <c r="AC369" s="308">
        <f>AK369+AC368</f>
        <v>123.00493238654508</v>
      </c>
      <c r="AH369" s="391" t="str">
        <f>AL369</f>
        <v>TRK_218_2</v>
      </c>
      <c r="AI369" t="s">
        <v>4233</v>
      </c>
      <c r="AJ369" s="232">
        <f t="shared" si="207"/>
        <v>0</v>
      </c>
      <c r="AK369" s="232">
        <f t="shared" si="208"/>
        <v>9.1141326000000031</v>
      </c>
      <c r="AL369" t="s">
        <v>4207</v>
      </c>
      <c r="AM369" t="s">
        <v>4208</v>
      </c>
      <c r="AN369">
        <v>0.186725</v>
      </c>
      <c r="AO369">
        <v>1.337499</v>
      </c>
      <c r="AP369">
        <v>1.150774</v>
      </c>
      <c r="AQ369" s="416">
        <v>10.126814</v>
      </c>
      <c r="AR369">
        <f t="shared" si="209"/>
        <v>9.1141325999999996</v>
      </c>
      <c r="AS369">
        <f>AS368+AR369</f>
        <v>189.79894080000003</v>
      </c>
    </row>
    <row r="370" spans="3:45" ht="13.5" customHeight="1">
      <c r="J370" s="3"/>
      <c r="K370" s="3"/>
      <c r="L370" s="3"/>
      <c r="M370" s="460" t="str" cm="1">
        <f t="array" aca="1" ref="M370" ca="1">MID(MET2UTC(R369),3,12)</f>
        <v>25-332/12:45</v>
      </c>
      <c r="N370" s="3"/>
      <c r="O370" s="3"/>
      <c r="P370" s="392" t="s">
        <v>4258</v>
      </c>
      <c r="Q370" s="425" t="s">
        <v>4259</v>
      </c>
      <c r="R370" s="425">
        <v>646883515</v>
      </c>
      <c r="S370" s="392">
        <v>0</v>
      </c>
      <c r="T370" s="392" t="s">
        <v>1124</v>
      </c>
      <c r="U370" s="392" t="s">
        <v>4260</v>
      </c>
      <c r="V370" s="392" t="s">
        <v>1288</v>
      </c>
      <c r="W370" s="392"/>
      <c r="X370" s="392" t="s">
        <v>4248</v>
      </c>
    </row>
    <row r="371" spans="3:45" ht="13.5" customHeight="1">
      <c r="J371" s="3"/>
      <c r="K371" s="3"/>
      <c r="P371" s="392" t="s">
        <v>4245</v>
      </c>
      <c r="Q371" s="425" t="s">
        <v>4246</v>
      </c>
      <c r="R371" s="425">
        <v>646884115</v>
      </c>
      <c r="S371" s="392">
        <v>0</v>
      </c>
      <c r="T371" s="392" t="s">
        <v>1124</v>
      </c>
      <c r="U371" s="392" t="s">
        <v>4247</v>
      </c>
      <c r="V371" s="425" t="s">
        <v>1517</v>
      </c>
      <c r="W371" s="392"/>
      <c r="X371" s="392" t="s">
        <v>4248</v>
      </c>
    </row>
    <row r="372" spans="3:45" ht="13.5" customHeight="1">
      <c r="H372" t="s">
        <v>768</v>
      </c>
      <c r="J372" s="3"/>
      <c r="K372" s="3"/>
      <c r="P372" s="392" t="s">
        <v>4249</v>
      </c>
      <c r="Q372" s="392" t="s">
        <v>4250</v>
      </c>
      <c r="R372" s="392">
        <v>646884118</v>
      </c>
      <c r="S372" s="392">
        <v>0</v>
      </c>
      <c r="T372" s="392" t="s">
        <v>1124</v>
      </c>
      <c r="U372" s="392" t="s">
        <v>4247</v>
      </c>
      <c r="V372" s="425" t="s">
        <v>1523</v>
      </c>
      <c r="W372" s="392"/>
      <c r="X372" s="392" t="s">
        <v>4248</v>
      </c>
    </row>
    <row r="373" spans="3:45" ht="13.5" customHeight="1">
      <c r="J373" s="3"/>
      <c r="K373" s="3"/>
      <c r="L373" s="3"/>
      <c r="M373" s="3"/>
      <c r="N373" s="3"/>
      <c r="O373" s="3"/>
      <c r="P373" s="392" t="s">
        <v>4251</v>
      </c>
      <c r="Q373" s="392" t="s">
        <v>4252</v>
      </c>
      <c r="R373" s="392">
        <v>646884121</v>
      </c>
      <c r="S373" s="392">
        <v>0</v>
      </c>
      <c r="T373" s="392" t="s">
        <v>1124</v>
      </c>
      <c r="U373" s="392" t="s">
        <v>4247</v>
      </c>
      <c r="V373" s="425" t="s">
        <v>1160</v>
      </c>
      <c r="W373" s="392"/>
      <c r="X373" s="392" t="s">
        <v>4248</v>
      </c>
    </row>
    <row r="374" spans="3:45" ht="13.5" customHeight="1">
      <c r="J374" s="3"/>
      <c r="K374" s="3"/>
      <c r="L374" s="3"/>
      <c r="M374" s="3"/>
      <c r="N374" s="3"/>
      <c r="O374" s="3"/>
      <c r="P374" s="392" t="s">
        <v>4253</v>
      </c>
      <c r="Q374" s="392" t="s">
        <v>4254</v>
      </c>
      <c r="R374" s="392">
        <v>646884124</v>
      </c>
      <c r="S374" s="392">
        <v>0</v>
      </c>
      <c r="T374" s="392" t="s">
        <v>1124</v>
      </c>
      <c r="U374" s="392" t="s">
        <v>4247</v>
      </c>
      <c r="V374" s="425" t="s">
        <v>1164</v>
      </c>
      <c r="W374" s="392"/>
      <c r="X374" s="392" t="s">
        <v>4248</v>
      </c>
    </row>
    <row r="375" spans="3:45" ht="13.5" customHeight="1">
      <c r="C375" s="291" t="s">
        <v>941</v>
      </c>
      <c r="D375" s="291" t="s">
        <v>942</v>
      </c>
      <c r="E375" s="291" t="s">
        <v>766</v>
      </c>
      <c r="F375" s="291" t="s">
        <v>764</v>
      </c>
      <c r="G375" s="291" t="s">
        <v>765</v>
      </c>
      <c r="H375" s="291" t="s">
        <v>768</v>
      </c>
      <c r="I375" s="291" t="s">
        <v>769</v>
      </c>
      <c r="J375" s="291" t="s">
        <v>943</v>
      </c>
      <c r="K375" s="291" t="s">
        <v>1540</v>
      </c>
      <c r="L375" s="3"/>
      <c r="M375" s="3"/>
      <c r="N375" s="3"/>
      <c r="O375" s="3"/>
      <c r="P375" s="392" t="s">
        <v>4255</v>
      </c>
      <c r="Q375" s="392" t="s">
        <v>4256</v>
      </c>
      <c r="R375" s="392">
        <v>646884715</v>
      </c>
      <c r="S375" s="392">
        <v>0</v>
      </c>
      <c r="T375" s="392" t="s">
        <v>1124</v>
      </c>
      <c r="U375" s="392" t="s">
        <v>4257</v>
      </c>
      <c r="V375" s="392" t="s">
        <v>1126</v>
      </c>
      <c r="W375" s="392"/>
      <c r="X375" s="392" t="s">
        <v>4248</v>
      </c>
    </row>
    <row r="376" spans="3:45" ht="13.5" customHeight="1">
      <c r="J376" s="3"/>
      <c r="K376" s="3"/>
      <c r="L376" s="3" t="s">
        <v>4379</v>
      </c>
      <c r="M376" s="459" t="str" cm="1">
        <f t="array" aca="1" ref="M376" ca="1">MID(MET2UTC(R377),3,12)</f>
        <v>26-208/16:54</v>
      </c>
      <c r="N376" s="3"/>
      <c r="O376" s="3"/>
      <c r="P376" s="392" t="s">
        <v>4261</v>
      </c>
      <c r="Q376" s="392" t="s">
        <v>4262</v>
      </c>
      <c r="R376" s="392">
        <v>646885315</v>
      </c>
      <c r="S376" s="392">
        <v>0</v>
      </c>
      <c r="T376" s="392" t="s">
        <v>1124</v>
      </c>
      <c r="U376" s="392" t="s">
        <v>4263</v>
      </c>
      <c r="V376" s="392" t="s">
        <v>4264</v>
      </c>
      <c r="W376" s="392"/>
      <c r="X376" s="392" t="s">
        <v>4248</v>
      </c>
    </row>
    <row r="377" spans="3:45" ht="13.5" customHeight="1">
      <c r="C377" s="3">
        <v>103</v>
      </c>
      <c r="D377" s="3">
        <v>109</v>
      </c>
      <c r="E377" t="s">
        <v>766</v>
      </c>
      <c r="F377" t="s">
        <v>764</v>
      </c>
      <c r="G377" s="3" t="s">
        <v>765</v>
      </c>
      <c r="H377" t="s">
        <v>768</v>
      </c>
      <c r="I377" t="s">
        <v>769</v>
      </c>
      <c r="L377" s="257" t="str" cm="1">
        <f t="array" aca="1" ref="L377" ca="1">MID(MET2UTC(Q377),3,12)</f>
        <v>26-201/20:09</v>
      </c>
      <c r="M377" s="257" t="s">
        <v>4267</v>
      </c>
      <c r="N377" t="s">
        <v>4270</v>
      </c>
      <c r="O377" s="263" t="str">
        <f>AI377</f>
        <v>218/21:19</v>
      </c>
      <c r="P377" s="179" t="str">
        <f>MID(AL377,5,5)</f>
        <v>218_3</v>
      </c>
      <c r="Q377" s="237">
        <f>R371-5</f>
        <v>646884110</v>
      </c>
      <c r="R377" s="104">
        <f>((W377-U377*$V$37)/$V$33)+Q377</f>
        <v>647477189.49812257</v>
      </c>
      <c r="S377" s="104">
        <f t="shared" si="184"/>
        <v>593079.4981225729</v>
      </c>
      <c r="T377" s="104">
        <f>S377*$V$33</f>
        <v>2930095.8749997877</v>
      </c>
      <c r="U377" s="3">
        <v>0</v>
      </c>
      <c r="V377" s="97">
        <f>T377+U377*$V$33</f>
        <v>2930095.8749997877</v>
      </c>
      <c r="W377" s="97">
        <f>AA377*1000000/8</f>
        <v>2930095.875</v>
      </c>
      <c r="X377" s="266">
        <f t="shared" si="186"/>
        <v>2.123415470123291E-7</v>
      </c>
      <c r="Y377" s="318"/>
      <c r="Z377" s="319"/>
      <c r="AA377" s="256">
        <f>AQ377</f>
        <v>23.440767000000001</v>
      </c>
      <c r="AC377" s="297">
        <f>AK377</f>
        <v>23.440766999998303</v>
      </c>
      <c r="AH377" s="391" t="str">
        <f>AL377</f>
        <v>TRK_218_3</v>
      </c>
      <c r="AI377" t="s">
        <v>4234</v>
      </c>
      <c r="AJ377" s="232">
        <f t="shared" si="167"/>
        <v>1.6987323760986329E-12</v>
      </c>
      <c r="AK377" s="232">
        <f t="shared" si="168"/>
        <v>23.440766999998303</v>
      </c>
      <c r="AL377" s="418" t="s">
        <v>4209</v>
      </c>
      <c r="AM377" s="418" t="s">
        <v>4210</v>
      </c>
      <c r="AN377" s="418">
        <v>0.19877600000000001</v>
      </c>
      <c r="AO377" s="418">
        <v>2.8624990000000001</v>
      </c>
      <c r="AP377" s="418">
        <v>2.6637230000000001</v>
      </c>
      <c r="AQ377" s="419">
        <v>23.440767000000001</v>
      </c>
      <c r="AR377">
        <f t="shared" si="169"/>
        <v>21.096690300000002</v>
      </c>
      <c r="AS377" t="e">
        <f>AR377+#REF!</f>
        <v>#REF!</v>
      </c>
    </row>
    <row r="378" spans="3:45" ht="13.5" customHeight="1">
      <c r="C378" s="3">
        <v>103</v>
      </c>
      <c r="D378" s="3">
        <v>109</v>
      </c>
      <c r="E378" t="s">
        <v>766</v>
      </c>
      <c r="F378" t="s">
        <v>764</v>
      </c>
      <c r="G378" s="3" t="s">
        <v>765</v>
      </c>
      <c r="H378" t="s">
        <v>768</v>
      </c>
      <c r="I378" t="s">
        <v>769</v>
      </c>
      <c r="L378" s="257" t="str">
        <f>M377</f>
        <v>26-208/16:54</v>
      </c>
      <c r="M378" s="257" t="s">
        <v>4268</v>
      </c>
      <c r="N378" t="s">
        <v>4270</v>
      </c>
      <c r="O378" s="263" t="str">
        <f>AI378</f>
        <v>219/10:04</v>
      </c>
      <c r="P378" s="179" t="str">
        <f>MID(AL378,5,5)</f>
        <v>219_1</v>
      </c>
      <c r="Q378" s="237">
        <f>R377-1</f>
        <v>647477188.49812257</v>
      </c>
      <c r="R378" s="104">
        <f>((W378-U378*$V$37)/$V$33)+Q378</f>
        <v>647749391.16353357</v>
      </c>
      <c r="S378" s="104">
        <f t="shared" ref="S378:S381" si="213">R378-Q378</f>
        <v>272202.66541099548</v>
      </c>
      <c r="T378" s="104">
        <f>S378*$V$33</f>
        <v>1344811.1250000887</v>
      </c>
      <c r="U378" s="3">
        <v>0</v>
      </c>
      <c r="V378" s="97">
        <f>T378+U378*$V$33</f>
        <v>1344811.1250000887</v>
      </c>
      <c r="W378" s="97">
        <f t="shared" ref="W378:W379" si="214">AA378*1000000/8</f>
        <v>1344811.125</v>
      </c>
      <c r="X378" s="266">
        <f t="shared" ref="X378:X381" si="215">W378-V378</f>
        <v>-8.8708475232124329E-8</v>
      </c>
      <c r="Y378" s="318"/>
      <c r="Z378" s="319"/>
      <c r="AA378" s="256">
        <f>AQ378</f>
        <v>10.758489000000001</v>
      </c>
      <c r="AC378" s="297">
        <f>AC377+AK378</f>
        <v>34.199255999999011</v>
      </c>
      <c r="AH378" s="391" t="str">
        <f>AL378</f>
        <v>TRK_219_1</v>
      </c>
      <c r="AI378" t="s">
        <v>4235</v>
      </c>
      <c r="AJ378" s="232">
        <f t="shared" si="167"/>
        <v>-7.0966780185699461E-13</v>
      </c>
      <c r="AK378" s="232">
        <f t="shared" si="168"/>
        <v>10.75848900000071</v>
      </c>
      <c r="AL378" s="418" t="s">
        <v>673</v>
      </c>
      <c r="AM378" s="418" t="s">
        <v>4211</v>
      </c>
      <c r="AN378" s="418">
        <v>0.35693000000000003</v>
      </c>
      <c r="AO378" s="418">
        <v>1.5794859999999999</v>
      </c>
      <c r="AP378" s="418">
        <v>1.222556</v>
      </c>
      <c r="AQ378" s="419">
        <v>10.758489000000001</v>
      </c>
      <c r="AR378">
        <f t="shared" si="169"/>
        <v>9.6826401000000004</v>
      </c>
      <c r="AS378" t="e">
        <f>AS377+AR378</f>
        <v>#REF!</v>
      </c>
    </row>
    <row r="379" spans="3:45" ht="13.5" customHeight="1">
      <c r="C379" s="3">
        <v>103</v>
      </c>
      <c r="D379" s="3">
        <v>109</v>
      </c>
      <c r="E379" t="s">
        <v>766</v>
      </c>
      <c r="F379" t="s">
        <v>764</v>
      </c>
      <c r="G379" s="3" t="s">
        <v>765</v>
      </c>
      <c r="H379" t="s">
        <v>768</v>
      </c>
      <c r="I379" t="s">
        <v>769</v>
      </c>
      <c r="L379" s="257" t="str">
        <f>M378</f>
        <v>26-211/20:31</v>
      </c>
      <c r="M379" s="257" t="s">
        <v>4269</v>
      </c>
      <c r="N379" t="s">
        <v>4270</v>
      </c>
      <c r="O379" s="263" t="str">
        <f>AI379</f>
        <v>220/03:04</v>
      </c>
      <c r="P379" s="179" t="str">
        <f>MID(AL379,5,5)</f>
        <v>220_1</v>
      </c>
      <c r="Q379" s="237">
        <f>R378-1</f>
        <v>647749390.16353357</v>
      </c>
      <c r="R379" s="104">
        <f>((W379-U379*$V$37)/$V$33)+Q379</f>
        <v>648431949.04522061</v>
      </c>
      <c r="S379" s="104">
        <f t="shared" si="213"/>
        <v>682558.8816870451</v>
      </c>
      <c r="T379" s="104">
        <f>S379*$V$33</f>
        <v>3372166.7500000866</v>
      </c>
      <c r="U379" s="3">
        <v>0</v>
      </c>
      <c r="V379" s="97">
        <f>T379+U379*$V$33</f>
        <v>3372166.7500000866</v>
      </c>
      <c r="W379" s="97">
        <f t="shared" si="214"/>
        <v>3372166.75</v>
      </c>
      <c r="X379" s="266">
        <f t="shared" si="215"/>
        <v>-8.6612999439239502E-8</v>
      </c>
      <c r="Y379" s="318"/>
      <c r="Z379" s="319"/>
      <c r="AA379" s="256">
        <f>AQ379</f>
        <v>26.977333999999999</v>
      </c>
      <c r="AC379" s="297">
        <f>AC378+AK379</f>
        <v>61.176589999999706</v>
      </c>
      <c r="AH379" s="391" t="str">
        <f>AL379</f>
        <v>TRK_220_1</v>
      </c>
      <c r="AI379" t="s">
        <v>4236</v>
      </c>
      <c r="AJ379" s="232">
        <f t="shared" si="167"/>
        <v>-6.92903995513916E-13</v>
      </c>
      <c r="AK379" s="232">
        <f t="shared" si="168"/>
        <v>26.977334000000692</v>
      </c>
      <c r="AL379" s="418" t="s">
        <v>4212</v>
      </c>
      <c r="AM379" s="418" t="s">
        <v>4213</v>
      </c>
      <c r="AN379" s="418">
        <v>0.22890099999999999</v>
      </c>
      <c r="AO379" s="418">
        <v>3.2945069999999999</v>
      </c>
      <c r="AP379" s="418">
        <v>3.0656059999999998</v>
      </c>
      <c r="AQ379" s="419">
        <v>26.977333999999999</v>
      </c>
      <c r="AR379">
        <f t="shared" si="169"/>
        <v>24.279600599999998</v>
      </c>
      <c r="AS379" t="e">
        <f>AS378+AR379</f>
        <v>#REF!</v>
      </c>
    </row>
    <row r="380" spans="3:45" ht="13.5" customHeight="1">
      <c r="J380" s="3" t="s">
        <v>943</v>
      </c>
      <c r="K380" s="3" t="s">
        <v>1540</v>
      </c>
      <c r="L380" s="226" t="str">
        <f>M369</f>
        <v>25-332/12:45</v>
      </c>
      <c r="M380" s="226" t="s">
        <v>4352</v>
      </c>
      <c r="N380" t="s">
        <v>4339</v>
      </c>
      <c r="O380" s="263" t="str">
        <f>AI380</f>
        <v>221/03:04</v>
      </c>
      <c r="P380" s="179" t="str">
        <f>MID(AL380,5,5)</f>
        <v>221_1</v>
      </c>
      <c r="Q380" s="237">
        <f>R369-3</f>
        <v>626639845.34333825</v>
      </c>
      <c r="R380" s="104">
        <f>((W380)/$S$2)+Q380</f>
        <v>628472214.09533131</v>
      </c>
      <c r="S380" s="104">
        <f t="shared" si="213"/>
        <v>1832368.7519930601</v>
      </c>
      <c r="T380" s="104">
        <f>S380*$S$2</f>
        <v>926567.54999999795</v>
      </c>
      <c r="U380" s="3">
        <v>0</v>
      </c>
      <c r="V380" s="97">
        <f t="shared" ref="V380:V381" si="216">T380+U380*$V$37</f>
        <v>926567.54999999795</v>
      </c>
      <c r="W380" s="97">
        <f>AA380*1000000/8</f>
        <v>926567.54999999993</v>
      </c>
      <c r="X380" s="266">
        <f t="shared" si="215"/>
        <v>1.9790604710578918E-9</v>
      </c>
      <c r="Y380" s="318"/>
      <c r="Z380" s="319"/>
      <c r="AA380" s="256">
        <f>AR380</f>
        <v>7.4125403999999993</v>
      </c>
      <c r="AC380" s="308">
        <f>AK380+AC369</f>
        <v>130.41747278654506</v>
      </c>
      <c r="AH380" s="391" t="str">
        <f>AL380</f>
        <v>TRK_221_1</v>
      </c>
      <c r="AI380" t="s">
        <v>4237</v>
      </c>
      <c r="AJ380" s="232">
        <f t="shared" si="167"/>
        <v>1.5832483768463135E-14</v>
      </c>
      <c r="AK380" s="232">
        <f t="shared" si="168"/>
        <v>7.4125403999999833</v>
      </c>
      <c r="AL380" t="s">
        <v>4214</v>
      </c>
      <c r="AM380" t="s">
        <v>4215</v>
      </c>
      <c r="AN380">
        <v>0.27500799999999997</v>
      </c>
      <c r="AO380">
        <v>1.2109350000000001</v>
      </c>
      <c r="AP380">
        <v>0.93592699999999995</v>
      </c>
      <c r="AQ380" s="416">
        <v>8.2361559999999994</v>
      </c>
      <c r="AR380">
        <f t="shared" si="169"/>
        <v>7.4125403999999993</v>
      </c>
      <c r="AS380" t="e">
        <f>AS379+AR380</f>
        <v>#REF!</v>
      </c>
    </row>
    <row r="381" spans="3:45" ht="13.5" customHeight="1">
      <c r="J381" s="3" t="s">
        <v>943</v>
      </c>
      <c r="K381" s="3" t="s">
        <v>1540</v>
      </c>
      <c r="L381" s="226" t="str">
        <f t="shared" ref="L381" si="217">M380</f>
        <v>25-342/17:45</v>
      </c>
      <c r="M381" s="226" t="s">
        <v>4353</v>
      </c>
      <c r="N381" t="s">
        <v>8536</v>
      </c>
      <c r="O381" s="263" t="str">
        <f>AI381</f>
        <v>221/09:44</v>
      </c>
      <c r="P381" s="179" t="str">
        <f>MID(AL381,5,5)</f>
        <v>221_2</v>
      </c>
      <c r="Q381" s="237">
        <f>R380-3</f>
        <v>628472211.09533131</v>
      </c>
      <c r="R381" s="104">
        <f>((W381)/$S$2)+Q381</f>
        <v>631293449.32854342</v>
      </c>
      <c r="S381" s="104">
        <f t="shared" si="213"/>
        <v>2821238.2332121134</v>
      </c>
      <c r="T381" s="104">
        <f>S381*$S$2</f>
        <v>1426605.7500000256</v>
      </c>
      <c r="U381" s="3">
        <v>0</v>
      </c>
      <c r="V381" s="97">
        <f t="shared" si="216"/>
        <v>1426605.7500000256</v>
      </c>
      <c r="W381" s="97">
        <f>AA381*1000000/8</f>
        <v>1426605.75</v>
      </c>
      <c r="X381" s="266">
        <f t="shared" si="215"/>
        <v>-2.5611370801925659E-8</v>
      </c>
      <c r="Y381" s="318"/>
      <c r="Z381" s="319"/>
      <c r="AA381" s="256">
        <f>AR381</f>
        <v>11.412846</v>
      </c>
      <c r="AC381" s="308">
        <f>AK381+AC380</f>
        <v>141.83031878654526</v>
      </c>
      <c r="AD381" s="278"/>
      <c r="AH381" s="391" t="str">
        <f>AL381</f>
        <v>TRK_221_2</v>
      </c>
      <c r="AI381" t="s">
        <v>4238</v>
      </c>
      <c r="AJ381" s="232">
        <f t="shared" si="167"/>
        <v>-2.0489096641540528E-13</v>
      </c>
      <c r="AK381" s="232">
        <f>V381*8/1000000</f>
        <v>11.412846000000204</v>
      </c>
      <c r="AL381" t="s">
        <v>4216</v>
      </c>
      <c r="AM381" t="s">
        <v>4217</v>
      </c>
      <c r="AN381">
        <v>0.179698</v>
      </c>
      <c r="AO381">
        <v>1.620714</v>
      </c>
      <c r="AP381">
        <v>1.4410160000000001</v>
      </c>
      <c r="AQ381" s="416">
        <v>12.68094</v>
      </c>
      <c r="AR381">
        <f t="shared" si="169"/>
        <v>11.412846</v>
      </c>
      <c r="AS381" s="417" t="e">
        <f>AS380+AR381</f>
        <v>#REF!</v>
      </c>
    </row>
    <row r="382" spans="3:45" ht="13.5" customHeight="1">
      <c r="M382" s="460" t="str" cm="1">
        <f t="array" aca="1" ref="M382" ca="1">MID(MET2UTC(R381),3,12)</f>
        <v>26-021/09:25</v>
      </c>
      <c r="AK382" s="232"/>
      <c r="AQ382" s="416">
        <f>SUM(AQ311:AQ381)</f>
        <v>292.98139800000007</v>
      </c>
      <c r="AR382" s="417">
        <f>SUM(AR311:AR381)</f>
        <v>263.68325820000001</v>
      </c>
    </row>
    <row r="384" spans="3:45" ht="13.5" customHeight="1">
      <c r="J384" t="s">
        <v>943</v>
      </c>
      <c r="K384" t="s">
        <v>1540</v>
      </c>
      <c r="L384" s="226" t="str">
        <f>M381</f>
        <v>26-021/09:25</v>
      </c>
      <c r="M384" s="226" t="s">
        <v>4364</v>
      </c>
      <c r="N384" t="s">
        <v>8536</v>
      </c>
      <c r="O384" s="263" t="s">
        <v>4366</v>
      </c>
      <c r="P384" s="179" t="s">
        <v>4363</v>
      </c>
      <c r="Q384" s="237">
        <f>R381-3</f>
        <v>631293446.32854342</v>
      </c>
      <c r="R384" s="104">
        <f>((W384)/$S$2)+Q384</f>
        <v>634259828.14063001</v>
      </c>
      <c r="S384" s="104">
        <f t="shared" ref="S384" si="218">R384-Q384</f>
        <v>2966381.8120865822</v>
      </c>
      <c r="T384" s="104">
        <f>S384*$S$2</f>
        <v>1500000.0000000156</v>
      </c>
      <c r="U384" s="3">
        <v>0</v>
      </c>
      <c r="V384" s="97">
        <f t="shared" ref="V384" si="219">T384+U384*$V$37</f>
        <v>1500000.0000000156</v>
      </c>
      <c r="W384" s="97">
        <f>AA384*1000000/8</f>
        <v>1500000</v>
      </c>
      <c r="X384" s="266">
        <f t="shared" ref="X384" si="220">W384-V384</f>
        <v>-1.5599653124809265E-8</v>
      </c>
      <c r="Y384" s="318"/>
      <c r="Z384" s="319"/>
      <c r="AA384" s="256">
        <v>12</v>
      </c>
    </row>
    <row r="385" spans="13:37" ht="13.5" customHeight="1">
      <c r="M385" s="460" t="str" cm="1">
        <f t="array" aca="1" ref="M385" ca="1">MID(MET2UTC(R384),3,12)</f>
        <v>26-055/17:25</v>
      </c>
      <c r="O385" s="263" t="s">
        <v>4365</v>
      </c>
    </row>
    <row r="391" spans="13:37" ht="13.5" customHeight="1" thickBot="1"/>
    <row r="392" spans="13:37" ht="13.5" customHeight="1">
      <c r="P392" s="59">
        <v>26222</v>
      </c>
      <c r="T392" s="3"/>
      <c r="V392" s="93"/>
      <c r="X392" t="s">
        <v>1010</v>
      </c>
    </row>
    <row r="393" spans="13:37" ht="13.5" customHeight="1">
      <c r="P393" s="73" t="s">
        <v>837</v>
      </c>
      <c r="Q393" s="72" t="s">
        <v>65</v>
      </c>
      <c r="R393" s="73" t="s">
        <v>66</v>
      </c>
      <c r="S393" s="73" t="s">
        <v>67</v>
      </c>
      <c r="T393" s="74" t="s">
        <v>68</v>
      </c>
      <c r="U393" s="3" t="s">
        <v>176</v>
      </c>
      <c r="V393" s="74" t="s">
        <v>265</v>
      </c>
      <c r="W393" s="73" t="s">
        <v>266</v>
      </c>
      <c r="X393" s="73" t="s">
        <v>70</v>
      </c>
      <c r="Y393" t="s">
        <v>4243</v>
      </c>
      <c r="AA393" t="s">
        <v>21</v>
      </c>
      <c r="AD393" t="s">
        <v>8502</v>
      </c>
      <c r="AE393" t="s">
        <v>8503</v>
      </c>
      <c r="AF393" t="s">
        <v>8504</v>
      </c>
      <c r="AG393" t="s">
        <v>8505</v>
      </c>
      <c r="AJ393" s="3"/>
      <c r="AK393" s="3"/>
    </row>
    <row r="394" spans="13:37" ht="13.5" customHeight="1">
      <c r="O394" t="s">
        <v>8538</v>
      </c>
      <c r="P394" s="392" t="s">
        <v>8410</v>
      </c>
      <c r="Q394" s="392" t="s">
        <v>8411</v>
      </c>
      <c r="R394" s="469">
        <v>616843136</v>
      </c>
      <c r="S394" s="392">
        <v>7</v>
      </c>
      <c r="T394" s="392" t="s">
        <v>373</v>
      </c>
      <c r="U394" s="392" t="s">
        <v>4133</v>
      </c>
      <c r="V394" s="392" t="s">
        <v>866</v>
      </c>
      <c r="W394" s="392" t="s">
        <v>867</v>
      </c>
      <c r="X394" s="392" t="s">
        <v>8412</v>
      </c>
      <c r="Y394" s="464"/>
      <c r="Z394" s="464"/>
      <c r="AA394" s="464"/>
      <c r="AJ394" s="3"/>
      <c r="AK394" s="3"/>
    </row>
    <row r="395" spans="13:37" ht="13.5" customHeight="1">
      <c r="O395" t="s">
        <v>8413</v>
      </c>
      <c r="P395" s="392" t="s">
        <v>8414</v>
      </c>
      <c r="Q395" s="392" t="s">
        <v>8415</v>
      </c>
      <c r="R395" s="468">
        <v>616844816</v>
      </c>
      <c r="S395" s="392">
        <v>0</v>
      </c>
      <c r="T395" s="392" t="s">
        <v>1124</v>
      </c>
      <c r="U395" s="392" t="s">
        <v>1082</v>
      </c>
      <c r="V395" s="392" t="s">
        <v>1517</v>
      </c>
      <c r="W395" s="392"/>
      <c r="X395" s="392" t="s">
        <v>8412</v>
      </c>
      <c r="Y395" s="464"/>
      <c r="Z395" s="464"/>
      <c r="AA395" s="464"/>
      <c r="AJ395" s="3"/>
      <c r="AK395" s="3"/>
    </row>
    <row r="396" spans="13:37" ht="13.5" customHeight="1">
      <c r="O396" t="s">
        <v>8416</v>
      </c>
      <c r="P396" s="392" t="s">
        <v>8417</v>
      </c>
      <c r="Q396" s="392" t="s">
        <v>8418</v>
      </c>
      <c r="R396" s="392">
        <v>616844819</v>
      </c>
      <c r="S396" s="392">
        <v>0</v>
      </c>
      <c r="T396" s="392" t="s">
        <v>1124</v>
      </c>
      <c r="U396" s="392" t="s">
        <v>1082</v>
      </c>
      <c r="V396" s="392" t="s">
        <v>1523</v>
      </c>
      <c r="W396" s="392"/>
      <c r="X396" s="465" t="s">
        <v>8412</v>
      </c>
      <c r="Y396" s="464"/>
      <c r="Z396" s="464"/>
      <c r="AA396" s="464"/>
      <c r="AJ396" s="3"/>
      <c r="AK396" s="3"/>
    </row>
    <row r="397" spans="13:37" ht="13.5" customHeight="1">
      <c r="O397" t="s">
        <v>8419</v>
      </c>
      <c r="P397" s="392" t="s">
        <v>8420</v>
      </c>
      <c r="Q397" s="392" t="s">
        <v>8421</v>
      </c>
      <c r="R397" s="392">
        <v>616844822</v>
      </c>
      <c r="S397" s="392">
        <v>0</v>
      </c>
      <c r="T397" s="392" t="s">
        <v>1124</v>
      </c>
      <c r="U397" s="392" t="s">
        <v>1082</v>
      </c>
      <c r="V397" s="392" t="s">
        <v>1528</v>
      </c>
      <c r="W397" s="392"/>
      <c r="X397" s="392" t="s">
        <v>8412</v>
      </c>
      <c r="Y397" s="464"/>
      <c r="Z397" s="464"/>
      <c r="AA397" s="464"/>
      <c r="AJ397" s="3"/>
      <c r="AK397" s="3"/>
    </row>
    <row r="398" spans="13:37" ht="13.5" customHeight="1">
      <c r="O398" t="s">
        <v>8422</v>
      </c>
      <c r="P398" s="392" t="s">
        <v>8423</v>
      </c>
      <c r="Q398" s="392" t="s">
        <v>8424</v>
      </c>
      <c r="R398" s="392">
        <v>616844825</v>
      </c>
      <c r="S398" s="392">
        <v>0</v>
      </c>
      <c r="T398" s="392" t="s">
        <v>1124</v>
      </c>
      <c r="U398" s="392" t="s">
        <v>1082</v>
      </c>
      <c r="V398" s="392" t="s">
        <v>1164</v>
      </c>
      <c r="W398" s="392"/>
      <c r="X398" s="392" t="s">
        <v>8412</v>
      </c>
      <c r="Y398" s="464"/>
      <c r="Z398" s="464"/>
      <c r="AA398" s="464"/>
      <c r="AJ398" s="3"/>
      <c r="AK398" s="3"/>
    </row>
    <row r="399" spans="13:37" ht="13.5" customHeight="1">
      <c r="O399" t="s">
        <v>8425</v>
      </c>
      <c r="P399" s="392" t="s">
        <v>8426</v>
      </c>
      <c r="Q399" s="392" t="s">
        <v>8427</v>
      </c>
      <c r="R399" s="392">
        <v>616844876</v>
      </c>
      <c r="S399" s="392">
        <v>0</v>
      </c>
      <c r="T399" s="392" t="s">
        <v>1124</v>
      </c>
      <c r="U399" s="392" t="s">
        <v>1082</v>
      </c>
      <c r="V399" s="392" t="s">
        <v>2583</v>
      </c>
      <c r="W399" s="392"/>
      <c r="X399" s="392" t="s">
        <v>8412</v>
      </c>
      <c r="Y399" s="464"/>
      <c r="Z399" s="464"/>
      <c r="AA399" s="464"/>
      <c r="AB399" t="s">
        <v>8568</v>
      </c>
      <c r="AJ399" s="3"/>
      <c r="AK399" s="3"/>
    </row>
    <row r="400" spans="13:37" ht="13.5" customHeight="1">
      <c r="O400" t="s">
        <v>8428</v>
      </c>
      <c r="P400" s="392" t="s">
        <v>8429</v>
      </c>
      <c r="Q400" s="392" t="s">
        <v>8430</v>
      </c>
      <c r="R400" s="392">
        <v>616845476</v>
      </c>
      <c r="S400" s="392">
        <v>0</v>
      </c>
      <c r="T400" s="392" t="s">
        <v>1124</v>
      </c>
      <c r="U400" s="392" t="s">
        <v>2195</v>
      </c>
      <c r="V400" s="392" t="s">
        <v>1533</v>
      </c>
      <c r="W400" s="392"/>
      <c r="X400" s="392" t="s">
        <v>8412</v>
      </c>
      <c r="Y400" s="464"/>
      <c r="Z400" s="464"/>
      <c r="AA400" s="464"/>
      <c r="AB400" t="s">
        <v>8569</v>
      </c>
      <c r="AJ400" s="3"/>
      <c r="AK400" s="3"/>
    </row>
    <row r="401" spans="3:41" ht="13.5" customHeight="1">
      <c r="O401" t="s">
        <v>8431</v>
      </c>
      <c r="P401" s="392" t="s">
        <v>8432</v>
      </c>
      <c r="Q401" s="392" t="s">
        <v>8433</v>
      </c>
      <c r="R401" s="392">
        <v>616846076</v>
      </c>
      <c r="S401" s="392">
        <v>0</v>
      </c>
      <c r="T401" s="392" t="s">
        <v>1124</v>
      </c>
      <c r="U401" s="392" t="s">
        <v>2205</v>
      </c>
      <c r="V401" s="392" t="s">
        <v>4066</v>
      </c>
      <c r="W401" s="392"/>
      <c r="X401" s="392" t="s">
        <v>8412</v>
      </c>
      <c r="Y401" s="464"/>
      <c r="Z401" s="464"/>
      <c r="AA401" s="464"/>
      <c r="AJ401" s="3"/>
      <c r="AK401" s="3"/>
    </row>
    <row r="402" spans="3:41" ht="13.5" customHeight="1">
      <c r="AJ402" s="3"/>
      <c r="AK402" s="3"/>
    </row>
    <row r="403" spans="3:41" ht="14.25">
      <c r="L403" t="s">
        <v>8434</v>
      </c>
      <c r="M403" t="s">
        <v>8435</v>
      </c>
      <c r="T403" s="538" t="s">
        <v>8587</v>
      </c>
      <c r="U403" s="3"/>
      <c r="V403" s="538" t="s">
        <v>8587</v>
      </c>
      <c r="W403" t="s">
        <v>8436</v>
      </c>
      <c r="X403" s="537" t="s">
        <v>4116</v>
      </c>
      <c r="AH403" t="s">
        <v>8406</v>
      </c>
      <c r="AI403" t="s">
        <v>8407</v>
      </c>
      <c r="AJ403" t="s">
        <v>8408</v>
      </c>
      <c r="AK403" t="s">
        <v>1457</v>
      </c>
      <c r="AL403" t="s">
        <v>1458</v>
      </c>
      <c r="AM403" t="s">
        <v>1460</v>
      </c>
      <c r="AN403" s="463" t="s">
        <v>8409</v>
      </c>
    </row>
    <row r="404" spans="3:41" ht="13.5" customHeight="1">
      <c r="C404" s="3">
        <v>104</v>
      </c>
      <c r="D404" s="3">
        <v>105</v>
      </c>
      <c r="E404" t="s">
        <v>766</v>
      </c>
      <c r="F404" t="s">
        <v>764</v>
      </c>
      <c r="G404" t="s">
        <v>765</v>
      </c>
      <c r="H404" t="s">
        <v>768</v>
      </c>
      <c r="I404" t="s">
        <v>769</v>
      </c>
      <c r="L404" s="257" t="str" cm="1">
        <f t="array" aca="1" ref="L404" ca="1">MID(MET2UTC(Q404),3,12)</f>
        <v>25-219/03:26</v>
      </c>
      <c r="M404" s="257" t="str" cm="1">
        <f t="array" aca="1" ref="M404" ca="1">MID(MET2UTC(R404),3,12)</f>
        <v>25-219/03:55</v>
      </c>
      <c r="N404" t="s">
        <v>8589</v>
      </c>
      <c r="O404" s="471" t="str">
        <f>AG404</f>
        <v>222/21:49</v>
      </c>
      <c r="P404" s="179" t="str">
        <f>MID(AH404,5,5)</f>
        <v>222_2</v>
      </c>
      <c r="Q404" s="413">
        <f>R394-5</f>
        <v>616843131</v>
      </c>
      <c r="R404" s="413">
        <f>R395</f>
        <v>616844816</v>
      </c>
      <c r="S404" s="104">
        <f t="shared" ref="S404:S405" si="221">R404-Q404</f>
        <v>1685</v>
      </c>
      <c r="T404" s="104">
        <f>$V$37</f>
        <v>197375</v>
      </c>
      <c r="U404" s="3">
        <v>1</v>
      </c>
      <c r="V404" s="97">
        <f t="shared" ref="V404:V407" si="222">T404</f>
        <v>197375</v>
      </c>
      <c r="W404" s="97">
        <f>AA404*1000000/8</f>
        <v>1540429.8</v>
      </c>
      <c r="X404" s="450">
        <f t="shared" ref="X404:X406" si="223">W404-V404</f>
        <v>1343054.8</v>
      </c>
      <c r="Y404" s="466"/>
      <c r="Z404" s="467"/>
      <c r="AA404" s="256">
        <f>AN404</f>
        <v>12.323438400000001</v>
      </c>
      <c r="AC404" s="297">
        <f>AE404</f>
        <v>1.579</v>
      </c>
      <c r="AD404" s="3">
        <f t="shared" ref="AD404:AD413" si="224">X404*8/1000000</f>
        <v>10.7444384</v>
      </c>
      <c r="AE404" s="3">
        <f t="shared" ref="AE404:AE413" si="225">V404*8/1000000</f>
        <v>1.579</v>
      </c>
      <c r="AF404" s="470" t="str">
        <f>AH404</f>
        <v>TRK_222_2</v>
      </c>
      <c r="AG404" s="391" t="s">
        <v>8501</v>
      </c>
      <c r="AH404" t="s">
        <v>8437</v>
      </c>
      <c r="AI404" t="s">
        <v>8438</v>
      </c>
      <c r="AJ404">
        <v>0.79937899999999995</v>
      </c>
      <c r="AK404">
        <v>2.2664550000000001</v>
      </c>
      <c r="AL404">
        <v>1.467076</v>
      </c>
      <c r="AM404">
        <v>12.910265000000001</v>
      </c>
      <c r="AN404" s="463">
        <f t="shared" ref="AN404:AN433" si="226">AL404*8*1.05</f>
        <v>12.323438400000001</v>
      </c>
    </row>
    <row r="405" spans="3:41" ht="13.5" customHeight="1">
      <c r="C405" s="3">
        <v>104</v>
      </c>
      <c r="D405" s="3">
        <v>105</v>
      </c>
      <c r="E405" t="s">
        <v>766</v>
      </c>
      <c r="F405" t="s">
        <v>764</v>
      </c>
      <c r="G405" t="s">
        <v>765</v>
      </c>
      <c r="H405" t="s">
        <v>768</v>
      </c>
      <c r="I405" t="s">
        <v>769</v>
      </c>
      <c r="L405" s="257" t="str" cm="1">
        <f t="array" aca="1" ref="L405" ca="1">MID(MET2UTC(Q405),3,12)</f>
        <v>25-219/03:54</v>
      </c>
      <c r="M405" s="257" t="str" cm="1">
        <f t="array" aca="1" ref="M405" ca="1">MID(MET2UTC(R405),3,12)</f>
        <v>25-221/09:57</v>
      </c>
      <c r="N405" t="s">
        <v>8588</v>
      </c>
      <c r="P405" s="179" t="s">
        <v>8591</v>
      </c>
      <c r="Q405" s="413">
        <f t="shared" ref="Q405:Q407" si="227">R404-1</f>
        <v>616844815</v>
      </c>
      <c r="R405" s="104">
        <f t="shared" ref="R405:R407" si="228">W405/$V$31+Q405</f>
        <v>617039347.06783485</v>
      </c>
      <c r="S405" s="104">
        <f t="shared" si="221"/>
        <v>194532.06783485413</v>
      </c>
      <c r="T405" s="104">
        <f t="shared" ref="T405:T407" si="229">S405*$V$31</f>
        <v>1343054.8000003838</v>
      </c>
      <c r="U405" s="3">
        <v>0</v>
      </c>
      <c r="V405" s="97">
        <f t="shared" si="222"/>
        <v>1343054.8000003838</v>
      </c>
      <c r="W405" s="422">
        <f>X404</f>
        <v>1343054.8</v>
      </c>
      <c r="X405" s="266">
        <f t="shared" si="223"/>
        <v>-3.8370490074157715E-7</v>
      </c>
      <c r="Y405" s="466"/>
      <c r="Z405" s="467"/>
      <c r="AA405" s="256"/>
      <c r="AC405" s="297">
        <f t="shared" ref="AC405:AC407" si="230">AE405+AC404</f>
        <v>12.32343840000307</v>
      </c>
      <c r="AD405" s="3">
        <f t="shared" si="224"/>
        <v>-3.0696392059326171E-12</v>
      </c>
      <c r="AE405" s="3">
        <f t="shared" si="225"/>
        <v>10.744438400003069</v>
      </c>
      <c r="AF405" s="470"/>
      <c r="AG405" s="391"/>
      <c r="AN405" s="463"/>
    </row>
    <row r="406" spans="3:41" ht="13.5" customHeight="1">
      <c r="C406" s="3">
        <v>104</v>
      </c>
      <c r="D406" s="3">
        <v>105</v>
      </c>
      <c r="E406" t="s">
        <v>766</v>
      </c>
      <c r="F406" t="s">
        <v>764</v>
      </c>
      <c r="G406" t="s">
        <v>765</v>
      </c>
      <c r="H406" t="s">
        <v>768</v>
      </c>
      <c r="I406" t="s">
        <v>769</v>
      </c>
      <c r="L406" s="257" t="str" cm="1">
        <f t="array" aca="1" ref="L406" ca="1">MID(MET2UTC(Q406),3,12)</f>
        <v>25-221/09:57</v>
      </c>
      <c r="M406" s="257" t="str" cm="1">
        <f t="array" aca="1" ref="M406" ca="1">MID(MET2UTC(R406),3,12)</f>
        <v>25-221/13:51</v>
      </c>
      <c r="N406" t="s">
        <v>8588</v>
      </c>
      <c r="O406" s="471" t="str">
        <f t="shared" ref="O406:O427" si="231">AG406</f>
        <v>225/02:08</v>
      </c>
      <c r="P406" s="179" t="str">
        <f t="shared" ref="P406:P427" si="232">MID(AH406,5,5)</f>
        <v>225_1</v>
      </c>
      <c r="Q406" s="104">
        <f t="shared" si="227"/>
        <v>617039346.06783485</v>
      </c>
      <c r="R406" s="104">
        <f t="shared" si="228"/>
        <v>617053419.26584733</v>
      </c>
      <c r="S406" s="104">
        <f t="shared" ref="S406:S407" si="233">R406-Q406</f>
        <v>14073.198012471199</v>
      </c>
      <c r="T406" s="104">
        <f t="shared" si="229"/>
        <v>97161.750000268163</v>
      </c>
      <c r="U406" s="3">
        <v>0</v>
      </c>
      <c r="V406" s="97">
        <f t="shared" si="222"/>
        <v>97161.750000268163</v>
      </c>
      <c r="W406" s="97">
        <f t="shared" ref="W406:W417" si="234">AA406*1000000/8</f>
        <v>97161.75</v>
      </c>
      <c r="X406" s="266">
        <f t="shared" si="223"/>
        <v>-2.6816269382834435E-7</v>
      </c>
      <c r="Y406" s="466"/>
      <c r="Z406" s="467"/>
      <c r="AA406" s="256">
        <f>AN406</f>
        <v>0.77729400000000004</v>
      </c>
      <c r="AB406">
        <f>AA406</f>
        <v>0.77729400000000004</v>
      </c>
      <c r="AC406" s="297">
        <f t="shared" si="230"/>
        <v>13.100732400005215</v>
      </c>
      <c r="AD406" s="3">
        <f t="shared" si="224"/>
        <v>-2.1453015506267548E-12</v>
      </c>
      <c r="AE406" s="3">
        <f t="shared" si="225"/>
        <v>0.77729400000214532</v>
      </c>
      <c r="AF406" s="470" t="str">
        <f>AH406</f>
        <v>TRK_225_1</v>
      </c>
      <c r="AG406" s="391" t="s">
        <v>8507</v>
      </c>
      <c r="AH406" t="s">
        <v>8439</v>
      </c>
      <c r="AI406" t="s">
        <v>8440</v>
      </c>
      <c r="AJ406">
        <v>1.2552970000000001</v>
      </c>
      <c r="AK406">
        <v>1.3478319999999999</v>
      </c>
      <c r="AL406">
        <v>9.2535000000000006E-2</v>
      </c>
      <c r="AM406">
        <v>0.81430400000000003</v>
      </c>
      <c r="AN406" s="463">
        <f t="shared" si="226"/>
        <v>0.77729400000000004</v>
      </c>
    </row>
    <row r="407" spans="3:41" ht="13.5" customHeight="1">
      <c r="C407" s="3">
        <v>104</v>
      </c>
      <c r="D407" s="3">
        <v>105</v>
      </c>
      <c r="E407" t="s">
        <v>766</v>
      </c>
      <c r="F407" t="s">
        <v>764</v>
      </c>
      <c r="G407" t="s">
        <v>765</v>
      </c>
      <c r="H407" t="s">
        <v>768</v>
      </c>
      <c r="I407" t="s">
        <v>769</v>
      </c>
      <c r="L407" s="257" t="str" cm="1">
        <f t="array" aca="1" ref="L407" ca="1">MID(MET2UTC(Q407),3,12)</f>
        <v>25-221/13:51</v>
      </c>
      <c r="M407" s="257" t="str" cm="1">
        <f t="array" aca="1" ref="M407" ca="1">MID(MET2UTC(R407),3,12)</f>
        <v>25-223/08:41</v>
      </c>
      <c r="N407" t="s">
        <v>8588</v>
      </c>
      <c r="O407" s="471" t="str">
        <f t="shared" si="231"/>
        <v>225/11:18</v>
      </c>
      <c r="P407" s="179" t="str">
        <f t="shared" si="232"/>
        <v>225_2</v>
      </c>
      <c r="Q407" s="104">
        <f t="shared" si="227"/>
        <v>617053418.26584733</v>
      </c>
      <c r="R407" s="104">
        <f t="shared" si="228"/>
        <v>617207598.67824745</v>
      </c>
      <c r="S407" s="104">
        <f t="shared" si="233"/>
        <v>154180.41240012646</v>
      </c>
      <c r="T407" s="104">
        <f t="shared" si="229"/>
        <v>1064465.8499997063</v>
      </c>
      <c r="U407" s="478">
        <v>0</v>
      </c>
      <c r="V407" s="479">
        <f t="shared" si="222"/>
        <v>1064465.8499997063</v>
      </c>
      <c r="W407" s="97">
        <f t="shared" si="234"/>
        <v>1064465.8499999999</v>
      </c>
      <c r="X407" s="266">
        <f t="shared" ref="X407" si="235">W407-V407</f>
        <v>2.935994416475296E-7</v>
      </c>
      <c r="Y407" s="466"/>
      <c r="Z407" s="467" t="s">
        <v>8590</v>
      </c>
      <c r="AA407" s="256">
        <f t="shared" ref="AA407:AA433" si="236">AN407</f>
        <v>8.5157267999999995</v>
      </c>
      <c r="AB407">
        <f>AB406+AA407</f>
        <v>9.293020799999999</v>
      </c>
      <c r="AC407" s="297">
        <f t="shared" si="230"/>
        <v>21.616459200002865</v>
      </c>
      <c r="AD407" s="3">
        <f t="shared" si="224"/>
        <v>2.3487955331802368E-12</v>
      </c>
      <c r="AE407" s="3">
        <f t="shared" si="225"/>
        <v>8.5157267999976494</v>
      </c>
      <c r="AF407" s="470" t="str">
        <f t="shared" ref="AF407:AF433" si="237">AH407</f>
        <v>TRK_225_2</v>
      </c>
      <c r="AG407" s="391" t="s">
        <v>8508</v>
      </c>
      <c r="AH407" t="s">
        <v>8441</v>
      </c>
      <c r="AI407" t="s">
        <v>8442</v>
      </c>
      <c r="AJ407">
        <v>0.195578</v>
      </c>
      <c r="AK407">
        <v>1.209355</v>
      </c>
      <c r="AL407">
        <v>1.0137769999999999</v>
      </c>
      <c r="AM407">
        <v>8.9212340000000001</v>
      </c>
      <c r="AN407" s="463">
        <f t="shared" si="226"/>
        <v>8.5157267999999995</v>
      </c>
    </row>
    <row r="408" spans="3:41" ht="13.5" customHeight="1">
      <c r="C408" s="3">
        <v>104</v>
      </c>
      <c r="D408" s="3">
        <v>105</v>
      </c>
      <c r="E408" t="s">
        <v>766</v>
      </c>
      <c r="F408" t="s">
        <v>764</v>
      </c>
      <c r="G408" t="s">
        <v>765</v>
      </c>
      <c r="H408" t="s">
        <v>768</v>
      </c>
      <c r="I408" t="s">
        <v>769</v>
      </c>
      <c r="L408" s="531"/>
      <c r="M408" s="531"/>
      <c r="N408" t="s">
        <v>8584</v>
      </c>
      <c r="O408" s="471"/>
      <c r="P408" s="179"/>
      <c r="Q408" s="438"/>
      <c r="R408" s="438"/>
      <c r="S408" s="438"/>
      <c r="T408" s="438"/>
      <c r="U408" s="414"/>
      <c r="V408" s="522"/>
      <c r="W408" s="522"/>
      <c r="X408" s="523"/>
      <c r="Y408" s="466">
        <f>W408*8/1000000</f>
        <v>0</v>
      </c>
      <c r="Z408" s="476">
        <f>AA408</f>
        <v>17.080744799999998</v>
      </c>
      <c r="AA408" s="256">
        <f t="shared" si="236"/>
        <v>17.080744799999998</v>
      </c>
      <c r="AB408">
        <f>AB407+AA408</f>
        <v>26.373765599999999</v>
      </c>
      <c r="AC408" s="530">
        <f>AA408</f>
        <v>17.080744799999998</v>
      </c>
      <c r="AD408" s="3">
        <f t="shared" si="224"/>
        <v>0</v>
      </c>
      <c r="AE408" s="3">
        <f t="shared" si="225"/>
        <v>0</v>
      </c>
      <c r="AF408" s="475" t="str">
        <f t="shared" si="237"/>
        <v>TRK_225_3</v>
      </c>
      <c r="AG408" s="391" t="s">
        <v>8509</v>
      </c>
      <c r="AH408" t="s">
        <v>8443</v>
      </c>
      <c r="AI408" t="s">
        <v>8444</v>
      </c>
      <c r="AJ408">
        <v>0.33697700000000003</v>
      </c>
      <c r="AK408">
        <v>2.3703989999999999</v>
      </c>
      <c r="AL408">
        <v>2.0334219999999998</v>
      </c>
      <c r="AM408">
        <v>17.894114999999999</v>
      </c>
      <c r="AN408" s="463">
        <f t="shared" si="226"/>
        <v>17.080744799999998</v>
      </c>
    </row>
    <row r="409" spans="3:41" ht="13.5" customHeight="1">
      <c r="C409" s="3">
        <v>104</v>
      </c>
      <c r="D409" s="3">
        <v>105</v>
      </c>
      <c r="E409" t="s">
        <v>766</v>
      </c>
      <c r="F409" t="s">
        <v>764</v>
      </c>
      <c r="G409" t="s">
        <v>765</v>
      </c>
      <c r="H409" t="s">
        <v>768</v>
      </c>
      <c r="I409" t="s">
        <v>769</v>
      </c>
      <c r="L409" s="531"/>
      <c r="M409" s="531"/>
      <c r="N409" t="s">
        <v>8584</v>
      </c>
      <c r="O409" s="471"/>
      <c r="P409" s="179"/>
      <c r="Q409" s="438"/>
      <c r="R409" s="438"/>
      <c r="S409" s="438"/>
      <c r="T409" s="438"/>
      <c r="U409" s="414"/>
      <c r="V409" s="522"/>
      <c r="W409" s="522"/>
      <c r="X409" s="527"/>
      <c r="Y409" s="318"/>
      <c r="Z409" s="477">
        <f>Z408+AA409</f>
        <v>27.389569199999997</v>
      </c>
      <c r="AA409" s="256">
        <f t="shared" si="236"/>
        <v>10.308824400000001</v>
      </c>
      <c r="AB409">
        <f>AB408+AA409</f>
        <v>36.682589999999998</v>
      </c>
      <c r="AC409" s="530">
        <f>AC408+AA409</f>
        <v>27.389569199999997</v>
      </c>
      <c r="AD409" s="3">
        <f t="shared" si="224"/>
        <v>0</v>
      </c>
      <c r="AE409" s="3">
        <f t="shared" si="225"/>
        <v>0</v>
      </c>
      <c r="AF409" s="475" t="str">
        <f t="shared" si="237"/>
        <v>TRK_226_1</v>
      </c>
      <c r="AG409" s="391" t="s">
        <v>8510</v>
      </c>
      <c r="AH409" t="s">
        <v>8446</v>
      </c>
      <c r="AI409" t="s">
        <v>8447</v>
      </c>
      <c r="AJ409">
        <v>6.2488000000000002E-2</v>
      </c>
      <c r="AK409">
        <v>1.2897289999999999</v>
      </c>
      <c r="AL409">
        <v>1.227241</v>
      </c>
      <c r="AM409">
        <v>10.799721999999999</v>
      </c>
      <c r="AN409" s="463">
        <f t="shared" si="226"/>
        <v>10.308824400000001</v>
      </c>
    </row>
    <row r="410" spans="3:41" ht="13.5" customHeight="1">
      <c r="C410" s="3">
        <v>104</v>
      </c>
      <c r="D410" s="3">
        <v>105</v>
      </c>
      <c r="E410" t="s">
        <v>766</v>
      </c>
      <c r="F410" t="s">
        <v>764</v>
      </c>
      <c r="G410" t="s">
        <v>765</v>
      </c>
      <c r="H410" t="s">
        <v>768</v>
      </c>
      <c r="I410" t="s">
        <v>769</v>
      </c>
      <c r="L410" s="531"/>
      <c r="M410" s="531"/>
      <c r="N410" t="s">
        <v>8584</v>
      </c>
      <c r="O410" s="471"/>
      <c r="P410" s="179"/>
      <c r="Q410" s="438">
        <v>645951790</v>
      </c>
      <c r="R410" s="438">
        <v>645952407</v>
      </c>
      <c r="S410" s="438"/>
      <c r="T410" s="438">
        <v>4081250</v>
      </c>
      <c r="U410" s="414"/>
      <c r="V410" s="525">
        <f>T410</f>
        <v>4081250</v>
      </c>
      <c r="W410" s="525">
        <f>Z410*1000000/8</f>
        <v>4081486.4999999995</v>
      </c>
      <c r="X410" s="526">
        <f t="shared" ref="X410" si="238">W410-V410</f>
        <v>236.49999999953434</v>
      </c>
      <c r="Y410" s="466">
        <f>W410*8/1000000</f>
        <v>32.651891999999997</v>
      </c>
      <c r="Z410" s="480">
        <f>Z409+AA410</f>
        <v>32.651891999999997</v>
      </c>
      <c r="AA410" s="256">
        <f t="shared" si="236"/>
        <v>5.2623228000000006</v>
      </c>
      <c r="AC410" s="530">
        <f>AC409+AA410</f>
        <v>32.651891999999997</v>
      </c>
      <c r="AD410" s="3">
        <f t="shared" si="224"/>
        <v>1.8919999999962747E-3</v>
      </c>
      <c r="AE410" s="3">
        <f t="shared" si="225"/>
        <v>32.65</v>
      </c>
      <c r="AF410" s="475" t="str">
        <f t="shared" si="237"/>
        <v>TRK_227_1_</v>
      </c>
      <c r="AG410" s="391" t="s">
        <v>8511</v>
      </c>
      <c r="AH410" t="s">
        <v>8449</v>
      </c>
      <c r="AI410" t="s">
        <v>8450</v>
      </c>
      <c r="AJ410">
        <v>0.41222799999999998</v>
      </c>
      <c r="AK410">
        <v>1.0386949999999999</v>
      </c>
      <c r="AL410">
        <v>0.626467</v>
      </c>
      <c r="AM410">
        <v>5.5129089999999996</v>
      </c>
      <c r="AN410" s="463">
        <f t="shared" si="226"/>
        <v>5.2623228000000006</v>
      </c>
    </row>
    <row r="411" spans="3:41" ht="13.5" customHeight="1">
      <c r="C411" s="3">
        <v>104</v>
      </c>
      <c r="D411" s="3">
        <v>105</v>
      </c>
      <c r="E411" t="s">
        <v>766</v>
      </c>
      <c r="F411" t="s">
        <v>764</v>
      </c>
      <c r="G411" t="s">
        <v>765</v>
      </c>
      <c r="H411" t="s">
        <v>768</v>
      </c>
      <c r="I411" t="s">
        <v>769</v>
      </c>
      <c r="L411" s="257" t="str" cm="1">
        <f t="array" aca="1" ref="L411" ca="1">MID(MET2UTC(Q411),3,12)</f>
        <v>25-223/08:41</v>
      </c>
      <c r="M411" s="257" t="str" cm="1">
        <f t="array" aca="1" ref="M411" ca="1">MID(MET2UTC(R411),3,12)</f>
        <v>25-225/23:55</v>
      </c>
      <c r="N411" t="s">
        <v>8588</v>
      </c>
      <c r="O411" s="471" t="str">
        <f t="shared" si="231"/>
        <v>228/21:48</v>
      </c>
      <c r="P411" s="179" t="str">
        <f t="shared" si="232"/>
        <v>228_1</v>
      </c>
      <c r="Q411" s="104">
        <f>R407-1</f>
        <v>617207597.67824745</v>
      </c>
      <c r="R411" s="104">
        <f>W411/$V$31+Q411</f>
        <v>617435248.7466656</v>
      </c>
      <c r="S411" s="104">
        <f t="shared" ref="S411" si="239">R411-Q411</f>
        <v>227651.06841814518</v>
      </c>
      <c r="T411" s="104">
        <f>S411*$V$31</f>
        <v>1571709.2999996636</v>
      </c>
      <c r="U411" s="3">
        <v>0</v>
      </c>
      <c r="V411" s="97">
        <f>T411</f>
        <v>1571709.2999996636</v>
      </c>
      <c r="W411" s="97">
        <f t="shared" si="234"/>
        <v>1571709.3000000003</v>
      </c>
      <c r="X411" s="266">
        <f t="shared" ref="X411:X412" si="240">W411-V411</f>
        <v>3.3667311072349548E-7</v>
      </c>
      <c r="Y411" s="466"/>
      <c r="Z411" s="467"/>
      <c r="AA411" s="256">
        <f t="shared" si="236"/>
        <v>12.573674400000002</v>
      </c>
      <c r="AC411" s="297">
        <f>AE411+AC410</f>
        <v>45.225566399997305</v>
      </c>
      <c r="AD411" s="3">
        <f t="shared" si="224"/>
        <v>2.6933848857879639E-12</v>
      </c>
      <c r="AE411" s="3">
        <f t="shared" si="225"/>
        <v>12.573674399997309</v>
      </c>
      <c r="AF411" s="470" t="str">
        <f t="shared" si="237"/>
        <v>TRK_228_1</v>
      </c>
      <c r="AG411" s="391" t="s">
        <v>8512</v>
      </c>
      <c r="AH411" t="s">
        <v>8452</v>
      </c>
      <c r="AI411" t="s">
        <v>8453</v>
      </c>
      <c r="AJ411">
        <v>0.49110900000000002</v>
      </c>
      <c r="AK411">
        <v>1.987975</v>
      </c>
      <c r="AL411">
        <v>1.496866</v>
      </c>
      <c r="AM411">
        <v>13.172416999999999</v>
      </c>
      <c r="AN411" s="463">
        <f t="shared" si="226"/>
        <v>12.573674400000002</v>
      </c>
    </row>
    <row r="412" spans="3:41" ht="13.5" customHeight="1">
      <c r="J412" t="s">
        <v>943</v>
      </c>
      <c r="K412" t="s">
        <v>1540</v>
      </c>
      <c r="L412" s="273" t="str" cm="1">
        <f t="array" aca="1" ref="L412" ca="1">MID(MET2UTC(Q412),3,12)</f>
        <v>26-055/17:25</v>
      </c>
      <c r="M412" s="273" t="str" cm="1">
        <f t="array" aca="1" ref="M412" ca="1">MID(MET2UTC(R412),3,12)</f>
        <v>26-081/05:08</v>
      </c>
      <c r="N412" t="s">
        <v>8536</v>
      </c>
      <c r="O412" s="471" t="str">
        <f t="shared" si="231"/>
        <v>229/10:58</v>
      </c>
      <c r="P412" s="179" t="str">
        <f t="shared" si="232"/>
        <v>229_1</v>
      </c>
      <c r="Q412" s="237">
        <f>R384-3</f>
        <v>634259825.14063001</v>
      </c>
      <c r="R412" s="104">
        <f t="shared" ref="R412:R417" si="241">W412/$S$2+Q412</f>
        <v>636462037.03746676</v>
      </c>
      <c r="S412" s="104">
        <f t="shared" ref="S412" si="242">R412-Q412</f>
        <v>2202211.8968367577</v>
      </c>
      <c r="T412" s="104">
        <f t="shared" ref="T412:T417" si="243">S412*$S$2</f>
        <v>1113584.850000002</v>
      </c>
      <c r="U412" s="3">
        <v>0</v>
      </c>
      <c r="V412" s="97">
        <f t="shared" ref="V412" si="244">T412+U412*$V$37</f>
        <v>1113584.850000002</v>
      </c>
      <c r="W412" s="97">
        <f t="shared" si="234"/>
        <v>1113584.8500000001</v>
      </c>
      <c r="X412" s="266">
        <f t="shared" si="240"/>
        <v>-1.862645149230957E-9</v>
      </c>
      <c r="Y412" s="318"/>
      <c r="Z412" s="319"/>
      <c r="AA412" s="256">
        <f t="shared" si="236"/>
        <v>8.9086788000000006</v>
      </c>
      <c r="AC412" s="308">
        <f>AE412</f>
        <v>8.9086788000000148</v>
      </c>
      <c r="AD412" s="3">
        <f t="shared" si="224"/>
        <v>-1.4901161193847656E-14</v>
      </c>
      <c r="AE412" s="3">
        <f t="shared" si="225"/>
        <v>8.9086788000000148</v>
      </c>
      <c r="AF412" s="470" t="str">
        <f t="shared" si="237"/>
        <v>TRK_229_1</v>
      </c>
      <c r="AG412" s="391" t="s">
        <v>8514</v>
      </c>
      <c r="AH412" t="s">
        <v>8455</v>
      </c>
      <c r="AI412" t="s">
        <v>8456</v>
      </c>
      <c r="AJ412">
        <v>6.9262000000000004E-2</v>
      </c>
      <c r="AK412">
        <v>1.1298189999999999</v>
      </c>
      <c r="AL412">
        <v>1.060557</v>
      </c>
      <c r="AM412">
        <v>9.3329039999999992</v>
      </c>
      <c r="AN412" s="463">
        <f t="shared" si="226"/>
        <v>8.9086788000000006</v>
      </c>
    </row>
    <row r="413" spans="3:41" ht="13.5" customHeight="1">
      <c r="J413" t="s">
        <v>943</v>
      </c>
      <c r="K413" t="s">
        <v>1540</v>
      </c>
      <c r="L413" s="273" t="str" cm="1">
        <f t="array" aca="1" ref="L413" ca="1">MID(MET2UTC(Q413),3,12)</f>
        <v>26-081/05:08</v>
      </c>
      <c r="M413" s="273" t="str" cm="1">
        <f t="array" aca="1" ref="M413" ca="1">MID(MET2UTC(R413),3,12)</f>
        <v>26-106/15:00</v>
      </c>
      <c r="N413" t="s">
        <v>8536</v>
      </c>
      <c r="O413" s="471" t="str">
        <f t="shared" si="231"/>
        <v>229/21:48</v>
      </c>
      <c r="P413" s="179" t="str">
        <f t="shared" si="232"/>
        <v>229_2</v>
      </c>
      <c r="Q413" s="237">
        <f>R412-3</f>
        <v>636462034.03746676</v>
      </c>
      <c r="R413" s="104">
        <f t="shared" si="241"/>
        <v>638657557.63323176</v>
      </c>
      <c r="S413" s="104">
        <f t="shared" ref="S413" si="245">R413-Q413</f>
        <v>2195523.5957649946</v>
      </c>
      <c r="T413" s="104">
        <f t="shared" si="243"/>
        <v>1110202.7999999758</v>
      </c>
      <c r="U413" s="3">
        <v>0</v>
      </c>
      <c r="V413" s="97">
        <f t="shared" ref="V413" si="246">T413+U413*$V$37</f>
        <v>1110202.7999999758</v>
      </c>
      <c r="W413" s="97">
        <f t="shared" si="234"/>
        <v>1110202.8</v>
      </c>
      <c r="X413" s="266">
        <f t="shared" ref="X413" si="247">W413-V413</f>
        <v>2.4214386940002441E-8</v>
      </c>
      <c r="Y413" s="318"/>
      <c r="Z413" s="319"/>
      <c r="AA413" s="256">
        <f t="shared" si="236"/>
        <v>8.8816224000000012</v>
      </c>
      <c r="AC413" s="308">
        <f>AE413+AC412</f>
        <v>17.790301199999821</v>
      </c>
      <c r="AD413" s="3">
        <f t="shared" si="224"/>
        <v>1.9371509552001952E-13</v>
      </c>
      <c r="AE413" s="3">
        <f t="shared" si="225"/>
        <v>8.8816223999998059</v>
      </c>
      <c r="AF413" s="470" t="str">
        <f t="shared" si="237"/>
        <v>TRK_229_2</v>
      </c>
      <c r="AG413" s="391" t="s">
        <v>8513</v>
      </c>
      <c r="AH413" t="s">
        <v>8458</v>
      </c>
      <c r="AI413" t="s">
        <v>8459</v>
      </c>
      <c r="AJ413">
        <v>6.1191000000000002E-2</v>
      </c>
      <c r="AK413">
        <v>1.118527</v>
      </c>
      <c r="AL413">
        <v>1.0573360000000001</v>
      </c>
      <c r="AM413">
        <v>9.3045550000000006</v>
      </c>
      <c r="AN413" s="463">
        <f t="shared" si="226"/>
        <v>8.8816224000000012</v>
      </c>
    </row>
    <row r="414" spans="3:41" ht="13.5" customHeight="1">
      <c r="J414" t="s">
        <v>943</v>
      </c>
      <c r="K414" t="s">
        <v>1540</v>
      </c>
      <c r="L414" s="273" t="str" cm="1">
        <f t="array" aca="1" ref="L414" ca="1">MID(MET2UTC(Q414),3,12)</f>
        <v>26-106/15:00</v>
      </c>
      <c r="M414" s="273" t="str" cm="1">
        <f t="array" aca="1" ref="M414" ca="1">MID(MET2UTC(R414),3,12)</f>
        <v>26-130/04:11</v>
      </c>
      <c r="N414" t="s">
        <v>8536</v>
      </c>
      <c r="O414" s="471" t="str">
        <f t="shared" si="231"/>
        <v>230/10:58</v>
      </c>
      <c r="P414" s="179" t="str">
        <f t="shared" si="232"/>
        <v>230_1</v>
      </c>
      <c r="Q414" s="237">
        <f>R413-3</f>
        <v>638657554.63323176</v>
      </c>
      <c r="R414" s="104">
        <f t="shared" si="241"/>
        <v>640692212.23324192</v>
      </c>
      <c r="S414" s="104">
        <f t="shared" ref="S414:S417" si="248">R414-Q414</f>
        <v>2034657.6000101566</v>
      </c>
      <c r="T414" s="104">
        <f t="shared" si="243"/>
        <v>1028858.2500000123</v>
      </c>
      <c r="U414" s="3">
        <v>0</v>
      </c>
      <c r="V414" s="97">
        <f t="shared" ref="V414:V417" si="249">T414+U414*$V$37</f>
        <v>1028858.2500000123</v>
      </c>
      <c r="W414" s="97">
        <f t="shared" si="234"/>
        <v>1028858.2500000001</v>
      </c>
      <c r="X414" s="266">
        <f t="shared" ref="X414:X417" si="250">W414-V414</f>
        <v>-1.2223608791828156E-8</v>
      </c>
      <c r="Y414" s="318"/>
      <c r="Z414" s="319"/>
      <c r="AA414" s="256">
        <f t="shared" si="236"/>
        <v>8.2308660000000007</v>
      </c>
      <c r="AC414" s="308">
        <f>AE414+AC413</f>
        <v>26.021167199999919</v>
      </c>
      <c r="AD414" s="3">
        <f t="shared" ref="AD414:AD433" si="251">X414*8/1000000</f>
        <v>-9.7788870334625248E-14</v>
      </c>
      <c r="AE414" s="3">
        <f t="shared" ref="AE414:AE433" si="252">V414*8/1000000</f>
        <v>8.2308660000000984</v>
      </c>
      <c r="AF414" s="470" t="str">
        <f t="shared" si="237"/>
        <v>TRK_230_1</v>
      </c>
      <c r="AG414" s="391" t="s">
        <v>8515</v>
      </c>
      <c r="AH414" t="s">
        <v>8461</v>
      </c>
      <c r="AI414" t="s">
        <v>8462</v>
      </c>
      <c r="AJ414">
        <v>0.22567200000000001</v>
      </c>
      <c r="AK414">
        <v>1.2055370000000001</v>
      </c>
      <c r="AL414">
        <v>0.97986499999999999</v>
      </c>
      <c r="AM414">
        <v>8.6228119999999997</v>
      </c>
      <c r="AN414" s="463">
        <f t="shared" si="226"/>
        <v>8.2308660000000007</v>
      </c>
    </row>
    <row r="415" spans="3:41" ht="13.5" customHeight="1">
      <c r="J415" t="s">
        <v>943</v>
      </c>
      <c r="K415" t="s">
        <v>1540</v>
      </c>
      <c r="L415" s="273" t="str" cm="1">
        <f t="array" aca="1" ref="L415" ca="1">MID(MET2UTC(Q415),3,12)</f>
        <v>26-130/04:11</v>
      </c>
      <c r="M415" s="273" t="str" cm="1">
        <f t="array" aca="1" ref="M415" ca="1">MID(MET2UTC(R415),3,12)</f>
        <v>26-152/11:31</v>
      </c>
      <c r="N415" t="s">
        <v>8536</v>
      </c>
      <c r="O415" s="471" t="str">
        <f t="shared" si="231"/>
        <v>231/10:07</v>
      </c>
      <c r="P415" s="179" t="str">
        <f t="shared" si="232"/>
        <v>231_1</v>
      </c>
      <c r="Q415" s="237">
        <f>R414-3</f>
        <v>640692209.23324192</v>
      </c>
      <c r="R415" s="104">
        <f t="shared" si="241"/>
        <v>642619403.42270744</v>
      </c>
      <c r="S415" s="104">
        <f t="shared" si="248"/>
        <v>1927194.1894655228</v>
      </c>
      <c r="T415" s="104">
        <f t="shared" si="243"/>
        <v>974517.60000001581</v>
      </c>
      <c r="U415" s="3">
        <v>0</v>
      </c>
      <c r="V415" s="97">
        <f t="shared" si="249"/>
        <v>974517.60000001581</v>
      </c>
      <c r="W415" s="97">
        <f t="shared" si="234"/>
        <v>974517.60000000009</v>
      </c>
      <c r="X415" s="266">
        <f t="shared" si="250"/>
        <v>-1.57160684466362E-8</v>
      </c>
      <c r="Y415" s="318"/>
      <c r="Z415" s="319"/>
      <c r="AA415" s="256">
        <f t="shared" si="236"/>
        <v>7.7961408000000008</v>
      </c>
      <c r="AC415" s="308">
        <f>AE415+AC414</f>
        <v>33.817308000000047</v>
      </c>
      <c r="AD415" s="3">
        <f t="shared" si="251"/>
        <v>-1.257285475730896E-13</v>
      </c>
      <c r="AE415" s="3">
        <f t="shared" si="252"/>
        <v>7.7961408000001269</v>
      </c>
      <c r="AF415" s="470" t="str">
        <f t="shared" si="237"/>
        <v>TRK_231_1_</v>
      </c>
      <c r="AG415" s="391" t="s">
        <v>8516</v>
      </c>
      <c r="AH415" t="s">
        <v>8463</v>
      </c>
      <c r="AI415" t="s">
        <v>8464</v>
      </c>
      <c r="AJ415">
        <v>0.44786999999999999</v>
      </c>
      <c r="AK415">
        <v>1.375982</v>
      </c>
      <c r="AL415">
        <v>0.92811200000000005</v>
      </c>
      <c r="AM415">
        <v>8.1673880000000008</v>
      </c>
      <c r="AN415" s="463">
        <f t="shared" si="226"/>
        <v>7.7961408000000008</v>
      </c>
      <c r="AO415">
        <f>SUM(AN404:AN415)</f>
        <v>100.65933360000001</v>
      </c>
    </row>
    <row r="416" spans="3:41" ht="13.5" customHeight="1">
      <c r="J416" t="s">
        <v>943</v>
      </c>
      <c r="K416" t="s">
        <v>1540</v>
      </c>
      <c r="L416" s="273" t="str" cm="1">
        <f t="array" aca="1" ref="L416" ca="1">MID(MET2UTC(Q416),3,12)</f>
        <v>26-152/11:31</v>
      </c>
      <c r="M416" s="273" t="str" cm="1">
        <f t="array" aca="1" ref="M416" ca="1">MID(MET2UTC(R416),3,12)</f>
        <v>26-172/04:55</v>
      </c>
      <c r="N416" t="s">
        <v>8536</v>
      </c>
      <c r="O416" s="471" t="str">
        <f t="shared" si="231"/>
        <v>232/02:47</v>
      </c>
      <c r="P416" s="179" t="str">
        <f t="shared" si="232"/>
        <v>232_1</v>
      </c>
      <c r="Q416" s="237">
        <f>R415-3</f>
        <v>642619400.42270744</v>
      </c>
      <c r="R416" s="104">
        <f t="shared" si="241"/>
        <v>644323671.31563282</v>
      </c>
      <c r="S416" s="104">
        <f t="shared" si="248"/>
        <v>1704270.8929253817</v>
      </c>
      <c r="T416" s="104">
        <f t="shared" si="243"/>
        <v>861792.75000000675</v>
      </c>
      <c r="U416" s="3">
        <v>0</v>
      </c>
      <c r="V416" s="97">
        <f t="shared" si="249"/>
        <v>861792.75000000675</v>
      </c>
      <c r="W416" s="97">
        <f t="shared" si="234"/>
        <v>861792.75</v>
      </c>
      <c r="X416" s="266">
        <f t="shared" si="250"/>
        <v>-6.7520886659622192E-9</v>
      </c>
      <c r="Y416" s="318"/>
      <c r="Z416" s="319"/>
      <c r="AA416" s="256">
        <f t="shared" si="236"/>
        <v>6.894342</v>
      </c>
      <c r="AB416" s="278"/>
      <c r="AC416" s="308">
        <f>AE416+AC415</f>
        <v>40.711650000000098</v>
      </c>
      <c r="AD416" s="3">
        <f t="shared" si="251"/>
        <v>-5.4016709327697754E-14</v>
      </c>
      <c r="AE416" s="3">
        <f t="shared" si="252"/>
        <v>6.8943420000000541</v>
      </c>
      <c r="AF416" s="470" t="str">
        <f t="shared" si="237"/>
        <v>TRK_232_1</v>
      </c>
      <c r="AG416" s="391" t="s">
        <v>8517</v>
      </c>
      <c r="AH416" t="s">
        <v>8465</v>
      </c>
      <c r="AI416" t="s">
        <v>8466</v>
      </c>
      <c r="AJ416">
        <v>0.24752199999999999</v>
      </c>
      <c r="AK416">
        <v>1.0682769999999999</v>
      </c>
      <c r="AL416">
        <v>0.82075500000000001</v>
      </c>
      <c r="AM416">
        <v>7.2226429999999997</v>
      </c>
      <c r="AN416" s="388">
        <f t="shared" si="226"/>
        <v>6.894342</v>
      </c>
    </row>
    <row r="417" spans="1:41" ht="13.5" customHeight="1">
      <c r="J417" t="s">
        <v>943</v>
      </c>
      <c r="K417" t="s">
        <v>1540</v>
      </c>
      <c r="L417" s="273" t="str" cm="1">
        <f t="array" aca="1" ref="L417" ca="1">MID(MET2UTC(Q417),3,12)</f>
        <v>26-172/04:55</v>
      </c>
      <c r="M417" s="273" t="str" cm="1">
        <f t="array" aca="1" ref="M417" ca="1">MID(MET2UTC(R417),3,12)</f>
        <v>26-188/18:08</v>
      </c>
      <c r="N417" t="s">
        <v>8535</v>
      </c>
      <c r="O417" s="471" t="str">
        <f t="shared" si="231"/>
        <v>232/11:17</v>
      </c>
      <c r="P417" s="179" t="str">
        <f t="shared" si="232"/>
        <v>232_2</v>
      </c>
      <c r="Q417" s="237">
        <f>R416-3</f>
        <v>644323668.31563282</v>
      </c>
      <c r="R417" s="104">
        <f t="shared" si="241"/>
        <v>645753615.04125464</v>
      </c>
      <c r="S417" s="104">
        <f t="shared" si="248"/>
        <v>1429946.7256218195</v>
      </c>
      <c r="T417" s="104">
        <f t="shared" si="243"/>
        <v>723076.20000002405</v>
      </c>
      <c r="U417" s="3">
        <v>0</v>
      </c>
      <c r="V417" s="97">
        <f t="shared" si="249"/>
        <v>723076.20000002405</v>
      </c>
      <c r="W417" s="97">
        <f t="shared" si="234"/>
        <v>723076.20000000007</v>
      </c>
      <c r="X417" s="266">
        <f t="shared" si="250"/>
        <v>-2.3981556296348572E-8</v>
      </c>
      <c r="Y417" s="318"/>
      <c r="Z417" s="319"/>
      <c r="AA417" s="256">
        <f t="shared" si="236"/>
        <v>5.7846096000000005</v>
      </c>
      <c r="AC417" s="308">
        <f>AE417+AC416</f>
        <v>46.496259600000293</v>
      </c>
      <c r="AD417" s="3">
        <f t="shared" si="251"/>
        <v>-1.9185245037078857E-13</v>
      </c>
      <c r="AE417" s="3">
        <f t="shared" si="252"/>
        <v>5.7846096000001923</v>
      </c>
      <c r="AF417" s="470" t="str">
        <f t="shared" si="237"/>
        <v>TRK_232_2</v>
      </c>
      <c r="AG417" s="391" t="s">
        <v>8518</v>
      </c>
      <c r="AH417" t="s">
        <v>8467</v>
      </c>
      <c r="AI417" t="s">
        <v>8468</v>
      </c>
      <c r="AJ417">
        <v>0.19355900000000001</v>
      </c>
      <c r="AK417">
        <v>0.88220299999999996</v>
      </c>
      <c r="AL417">
        <v>0.68864400000000003</v>
      </c>
      <c r="AM417">
        <v>6.0600639999999997</v>
      </c>
      <c r="AN417" s="388">
        <f t="shared" si="226"/>
        <v>5.7846096000000005</v>
      </c>
    </row>
    <row r="418" spans="1:41" ht="13.5" customHeight="1">
      <c r="L418" s="415"/>
      <c r="M418" s="415"/>
      <c r="O418" s="471" t="str">
        <f t="shared" si="231"/>
        <v>232/22:57</v>
      </c>
      <c r="P418" s="179" t="str">
        <f t="shared" si="232"/>
        <v>232_3</v>
      </c>
      <c r="Q418" s="414"/>
      <c r="R418" s="414"/>
      <c r="S418" s="415"/>
      <c r="T418" s="414"/>
      <c r="U418" s="415"/>
      <c r="V418" s="415"/>
      <c r="W418" s="415"/>
      <c r="X418" s="415"/>
      <c r="Y418" s="318"/>
      <c r="Z418" s="481">
        <f>AA418</f>
        <v>19.9636332</v>
      </c>
      <c r="AA418" s="256">
        <f t="shared" si="236"/>
        <v>19.9636332</v>
      </c>
      <c r="AB418">
        <f>AA418</f>
        <v>19.9636332</v>
      </c>
      <c r="AC418" s="539">
        <f>AC410+Z418</f>
        <v>52.615525199999993</v>
      </c>
      <c r="AD418" s="3">
        <f t="shared" si="251"/>
        <v>0</v>
      </c>
      <c r="AE418" s="3">
        <f t="shared" si="252"/>
        <v>0</v>
      </c>
      <c r="AF418" s="475" t="str">
        <f t="shared" si="237"/>
        <v>TRK_232_3</v>
      </c>
      <c r="AG418" s="391" t="s">
        <v>8519</v>
      </c>
      <c r="AH418" t="s">
        <v>8469</v>
      </c>
      <c r="AI418" t="s">
        <v>8470</v>
      </c>
      <c r="AJ418">
        <v>6.3396999999999995E-2</v>
      </c>
      <c r="AK418">
        <v>2.4400200000000001</v>
      </c>
      <c r="AL418">
        <v>2.3766229999999999</v>
      </c>
      <c r="AM418">
        <v>20.914285</v>
      </c>
      <c r="AN418" s="388">
        <f t="shared" si="226"/>
        <v>19.9636332</v>
      </c>
    </row>
    <row r="419" spans="1:41" ht="13.5" customHeight="1">
      <c r="L419" s="415"/>
      <c r="M419" s="415"/>
      <c r="O419" s="471" t="str">
        <f t="shared" si="231"/>
        <v>233/12:02</v>
      </c>
      <c r="P419" s="179" t="str">
        <f t="shared" si="232"/>
        <v>233_1</v>
      </c>
      <c r="Q419" s="415"/>
      <c r="R419" s="415"/>
      <c r="S419" s="415"/>
      <c r="T419" s="415"/>
      <c r="U419" s="415"/>
      <c r="V419" s="415"/>
      <c r="W419" s="415"/>
      <c r="X419" s="415"/>
      <c r="Y419" s="318"/>
      <c r="Z419" s="481">
        <f>AA419+AA418</f>
        <v>31.822946399999999</v>
      </c>
      <c r="AA419" s="256">
        <f t="shared" si="236"/>
        <v>11.859313200000001</v>
      </c>
      <c r="AB419">
        <f>AB418+AA419</f>
        <v>31.822946399999999</v>
      </c>
      <c r="AC419" s="539">
        <f>AC418+AA419</f>
        <v>64.474838399999996</v>
      </c>
      <c r="AD419" s="3">
        <f t="shared" si="251"/>
        <v>0</v>
      </c>
      <c r="AE419" s="3">
        <f t="shared" si="252"/>
        <v>0</v>
      </c>
      <c r="AF419" s="475" t="str">
        <f t="shared" si="237"/>
        <v>TRK_233_1</v>
      </c>
      <c r="AG419" s="391" t="s">
        <v>8520</v>
      </c>
      <c r="AH419" t="s">
        <v>8471</v>
      </c>
      <c r="AI419" t="s">
        <v>8472</v>
      </c>
      <c r="AJ419">
        <v>0.21144499999999999</v>
      </c>
      <c r="AK419">
        <v>1.6232679999999999</v>
      </c>
      <c r="AL419">
        <v>1.4118230000000001</v>
      </c>
      <c r="AM419">
        <v>12.424046000000001</v>
      </c>
      <c r="AN419" s="388">
        <f t="shared" si="226"/>
        <v>11.859313200000001</v>
      </c>
    </row>
    <row r="420" spans="1:41" ht="13.5" customHeight="1">
      <c r="L420" s="415"/>
      <c r="M420" s="415"/>
      <c r="O420" s="471" t="str">
        <f t="shared" si="231"/>
        <v>234/02:32</v>
      </c>
      <c r="P420" s="179" t="str">
        <f t="shared" si="232"/>
        <v>234_1</v>
      </c>
      <c r="Q420" s="414">
        <v>645952406</v>
      </c>
      <c r="R420" s="414">
        <v>645953459</v>
      </c>
      <c r="S420" s="415"/>
      <c r="T420" s="414">
        <v>6971250</v>
      </c>
      <c r="U420" s="415"/>
      <c r="V420" s="415">
        <f>T420</f>
        <v>6971250</v>
      </c>
      <c r="W420" s="415">
        <f>Z420*1000000/8</f>
        <v>6971209.3500000006</v>
      </c>
      <c r="X420" s="415">
        <f>W420-V420</f>
        <v>-40.649999999441206</v>
      </c>
      <c r="Y420" s="318"/>
      <c r="Z420" s="481">
        <f>AA420+Z419</f>
        <v>55.769674800000004</v>
      </c>
      <c r="AA420" s="256">
        <f t="shared" si="236"/>
        <v>23.946728400000001</v>
      </c>
      <c r="AB420">
        <f>AB419+AA420</f>
        <v>55.769674800000004</v>
      </c>
      <c r="AC420" s="539">
        <f>AC419+AA420</f>
        <v>88.421566799999994</v>
      </c>
      <c r="AD420" s="3">
        <f t="shared" si="251"/>
        <v>-3.2519999999552966E-4</v>
      </c>
      <c r="AE420" s="3">
        <f t="shared" si="252"/>
        <v>55.77</v>
      </c>
      <c r="AF420" s="475" t="str">
        <f t="shared" si="237"/>
        <v>TRK_234_1</v>
      </c>
      <c r="AG420" s="391" t="s">
        <v>8521</v>
      </c>
      <c r="AH420" t="s">
        <v>8473</v>
      </c>
      <c r="AI420" t="s">
        <v>8474</v>
      </c>
      <c r="AJ420">
        <v>7.4108999999999994E-2</v>
      </c>
      <c r="AK420">
        <v>2.9249100000000001</v>
      </c>
      <c r="AL420">
        <v>2.8508010000000001</v>
      </c>
      <c r="AM420">
        <v>25.087050000000001</v>
      </c>
      <c r="AN420" s="388">
        <f t="shared" si="226"/>
        <v>23.946728400000001</v>
      </c>
    </row>
    <row r="421" spans="1:41" ht="13.5" customHeight="1">
      <c r="C421" s="3">
        <v>104</v>
      </c>
      <c r="D421" s="3">
        <v>105</v>
      </c>
      <c r="E421" t="s">
        <v>766</v>
      </c>
      <c r="F421" t="s">
        <v>764</v>
      </c>
      <c r="G421" t="s">
        <v>765</v>
      </c>
      <c r="H421" t="s">
        <v>768</v>
      </c>
      <c r="I421" t="s">
        <v>769</v>
      </c>
      <c r="L421" s="257" t="str" cm="1">
        <f t="array" aca="1" ref="L421" ca="1">MID(MET2UTC(Q421),3,12)</f>
        <v>25-225/23:55</v>
      </c>
      <c r="M421" s="257" t="str" cm="1">
        <f t="array" aca="1" ref="M421" ca="1">MID(MET2UTC(R421),3,12)</f>
        <v>25-226/20:49</v>
      </c>
      <c r="N421" t="s">
        <v>8588</v>
      </c>
      <c r="O421" s="471" t="str">
        <f t="shared" ref="O421:O422" si="253">AG421</f>
        <v>235/04:27</v>
      </c>
      <c r="P421" s="179" t="str">
        <f t="shared" ref="P421:P422" si="254">MID(AH421,5,5)</f>
        <v>235_1</v>
      </c>
      <c r="Q421" s="104">
        <f>R411-1</f>
        <v>617435247.7466656</v>
      </c>
      <c r="R421" s="104">
        <f>W421/$V$31+Q421</f>
        <v>617510491.71536338</v>
      </c>
      <c r="S421" s="104">
        <f t="shared" ref="S421" si="255">R421-Q421</f>
        <v>75243.968697786331</v>
      </c>
      <c r="T421" s="104">
        <f>S421*$V$31</f>
        <v>519486.44999975839</v>
      </c>
      <c r="U421" s="3">
        <v>0</v>
      </c>
      <c r="V421" s="97">
        <f>T421</f>
        <v>519486.44999975839</v>
      </c>
      <c r="W421" s="97">
        <f t="shared" ref="W421:W422" si="256">AA421*1000000/8</f>
        <v>519486.45000000007</v>
      </c>
      <c r="X421" s="266">
        <f t="shared" ref="X421:X422" si="257">W421-V421</f>
        <v>2.4167820811271667E-7</v>
      </c>
      <c r="Y421" s="318"/>
      <c r="Z421" s="319"/>
      <c r="AA421" s="256">
        <f t="shared" si="236"/>
        <v>4.1558916000000004</v>
      </c>
      <c r="AC421" s="297">
        <f>AA421+AC411</f>
        <v>49.381457999997309</v>
      </c>
      <c r="AD421" s="3">
        <f t="shared" si="251"/>
        <v>1.9334256649017335E-12</v>
      </c>
      <c r="AE421" s="3">
        <f t="shared" si="252"/>
        <v>4.1558915999980668</v>
      </c>
      <c r="AF421" s="470" t="str">
        <f t="shared" si="237"/>
        <v>TRK_235_1_</v>
      </c>
      <c r="AG421" s="391" t="s">
        <v>8534</v>
      </c>
      <c r="AH421" t="s">
        <v>8475</v>
      </c>
      <c r="AI421" t="s">
        <v>8476</v>
      </c>
      <c r="AJ421">
        <v>0.43607800000000002</v>
      </c>
      <c r="AK421">
        <v>0.93082699999999996</v>
      </c>
      <c r="AL421">
        <v>0.49474899999999999</v>
      </c>
      <c r="AM421">
        <v>4.3537949999999999</v>
      </c>
      <c r="AN421" s="388">
        <f t="shared" si="226"/>
        <v>4.1558916000000004</v>
      </c>
    </row>
    <row r="422" spans="1:41" ht="13.5" customHeight="1">
      <c r="C422" s="3">
        <v>104</v>
      </c>
      <c r="D422" s="3">
        <v>105</v>
      </c>
      <c r="E422" t="s">
        <v>766</v>
      </c>
      <c r="F422" t="s">
        <v>764</v>
      </c>
      <c r="G422" s="3" t="s">
        <v>765</v>
      </c>
      <c r="H422" t="s">
        <v>768</v>
      </c>
      <c r="I422" t="s">
        <v>769</v>
      </c>
      <c r="L422" s="257" t="str" cm="1">
        <f t="array" aca="1" ref="L422" ca="1">MID(MET2UTC(Q422),3,12)</f>
        <v>25-226/20:49</v>
      </c>
      <c r="M422" s="257" t="str" cm="1">
        <f t="array" aca="1" ref="M422" ca="1">MID(MET2UTC(R422),3,12)</f>
        <v>25-227/23:14</v>
      </c>
      <c r="N422" t="s">
        <v>8588</v>
      </c>
      <c r="O422" s="471" t="str">
        <f t="shared" si="253"/>
        <v>235/12:12</v>
      </c>
      <c r="P422" s="179" t="str">
        <f t="shared" si="254"/>
        <v>235_2</v>
      </c>
      <c r="Q422" s="237">
        <f>R421-1</f>
        <v>617510490.71536338</v>
      </c>
      <c r="R422" s="104">
        <f>W422/$V$31+Q422</f>
        <v>617605586.66096675</v>
      </c>
      <c r="S422" s="104">
        <f t="shared" ref="S422" si="258">R422-Q422</f>
        <v>95095.945603370667</v>
      </c>
      <c r="T422" s="104">
        <f>S422*$V$31</f>
        <v>656545.04999971564</v>
      </c>
      <c r="U422" s="3">
        <v>0</v>
      </c>
      <c r="V422" s="97">
        <f>T422</f>
        <v>656545.04999971564</v>
      </c>
      <c r="W422" s="97">
        <f t="shared" si="256"/>
        <v>656545.04999999993</v>
      </c>
      <c r="X422" s="266">
        <f t="shared" si="257"/>
        <v>2.8428621590137482E-7</v>
      </c>
      <c r="Y422" s="318"/>
      <c r="Z422" s="319"/>
      <c r="AA422" s="256">
        <f t="shared" si="236"/>
        <v>5.2523603999999997</v>
      </c>
      <c r="AC422" s="297">
        <f>AC421+AA422</f>
        <v>54.63381839999731</v>
      </c>
      <c r="AD422" s="3">
        <f t="shared" si="251"/>
        <v>2.2742897272109987E-12</v>
      </c>
      <c r="AE422" s="3">
        <f t="shared" si="252"/>
        <v>5.2523603999977251</v>
      </c>
      <c r="AF422" s="470" t="str">
        <f t="shared" si="237"/>
        <v>TRK_235_2</v>
      </c>
      <c r="AG422" s="391" t="s">
        <v>8533</v>
      </c>
      <c r="AH422" t="s">
        <v>8477</v>
      </c>
      <c r="AI422" t="s">
        <v>8478</v>
      </c>
      <c r="AJ422">
        <v>0.187865</v>
      </c>
      <c r="AK422">
        <v>0.81314600000000004</v>
      </c>
      <c r="AL422">
        <v>0.62528099999999998</v>
      </c>
      <c r="AM422">
        <v>5.5024699999999998</v>
      </c>
      <c r="AN422" s="388">
        <f t="shared" si="226"/>
        <v>5.2523603999999997</v>
      </c>
      <c r="AO422">
        <f>SUM(AN416:AN422)</f>
        <v>77.856878400000014</v>
      </c>
    </row>
    <row r="423" spans="1:41" ht="13.5" customHeight="1">
      <c r="C423" s="3">
        <v>104</v>
      </c>
      <c r="D423" s="3">
        <v>105</v>
      </c>
      <c r="E423" t="s">
        <v>766</v>
      </c>
      <c r="F423" t="s">
        <v>764</v>
      </c>
      <c r="G423" s="3" t="s">
        <v>765</v>
      </c>
      <c r="H423" t="s">
        <v>768</v>
      </c>
      <c r="I423" t="s">
        <v>769</v>
      </c>
      <c r="L423" s="257" t="str" cm="1">
        <f t="array" aca="1" ref="L423" ca="1">MID(MET2UTC(Q423),3,12)</f>
        <v>25-227/23:14</v>
      </c>
      <c r="M423" s="257" t="str" cm="1">
        <f t="array" aca="1" ref="M423" ca="1">MID(MET2UTC(R423),3,12)</f>
        <v>25-230/07:06</v>
      </c>
      <c r="N423" t="s">
        <v>8588</v>
      </c>
      <c r="O423" s="471" t="str">
        <f t="shared" ref="O423" si="259">AG423</f>
        <v>235/21:07</v>
      </c>
      <c r="P423" s="179" t="str">
        <f t="shared" ref="P423" si="260">MID(AH423,5,5)</f>
        <v>235_3</v>
      </c>
      <c r="Q423" s="237">
        <f>R422-1</f>
        <v>617605585.66096675</v>
      </c>
      <c r="R423" s="104">
        <f>W423/$V$31+Q423</f>
        <v>617806707.60669088</v>
      </c>
      <c r="S423" s="104">
        <f t="shared" ref="S423:S424" si="261">R423-Q423</f>
        <v>201121.94572412968</v>
      </c>
      <c r="T423" s="104">
        <f>S423*$V$31</f>
        <v>1388551.5000001057</v>
      </c>
      <c r="U423" s="3">
        <v>0</v>
      </c>
      <c r="V423" s="97">
        <f>T423</f>
        <v>1388551.5000001057</v>
      </c>
      <c r="W423" s="97">
        <f t="shared" ref="W423:W424" si="262">AA423*1000000/8</f>
        <v>1388551.5000000002</v>
      </c>
      <c r="X423" s="266">
        <f t="shared" ref="X423:X424" si="263">W423-V423</f>
        <v>-1.0547228157520294E-7</v>
      </c>
      <c r="Y423" s="318"/>
      <c r="Z423" s="319"/>
      <c r="AA423" s="256">
        <f t="shared" si="236"/>
        <v>11.108412000000001</v>
      </c>
      <c r="AC423" s="297">
        <f>AC422+AA423</f>
        <v>65.742230399997311</v>
      </c>
      <c r="AD423" s="3">
        <f t="shared" si="251"/>
        <v>-8.4377825260162355E-13</v>
      </c>
      <c r="AE423" s="3">
        <f t="shared" si="252"/>
        <v>11.108412000000845</v>
      </c>
      <c r="AF423" s="470" t="str">
        <f t="shared" si="237"/>
        <v>TRK_235_3</v>
      </c>
      <c r="AG423" s="391" t="s">
        <v>8532</v>
      </c>
      <c r="AH423" t="s">
        <v>8479</v>
      </c>
      <c r="AI423" t="s">
        <v>8480</v>
      </c>
      <c r="AJ423">
        <v>0.19467000000000001</v>
      </c>
      <c r="AK423">
        <v>1.5170999999999999</v>
      </c>
      <c r="AL423">
        <v>1.32243</v>
      </c>
      <c r="AM423">
        <v>11.637388</v>
      </c>
      <c r="AN423" s="463">
        <f t="shared" si="226"/>
        <v>11.108412000000001</v>
      </c>
    </row>
    <row r="424" spans="1:41" ht="13.5" customHeight="1">
      <c r="A424" t="s">
        <v>8585</v>
      </c>
      <c r="C424" s="3">
        <v>104</v>
      </c>
      <c r="D424" s="3">
        <v>105</v>
      </c>
      <c r="E424" t="s">
        <v>766</v>
      </c>
      <c r="F424" t="s">
        <v>764</v>
      </c>
      <c r="G424" s="3" t="s">
        <v>765</v>
      </c>
      <c r="H424" t="s">
        <v>768</v>
      </c>
      <c r="I424" t="s">
        <v>769</v>
      </c>
      <c r="L424" s="257" t="str" cm="1">
        <f t="array" aca="1" ref="L424" ca="1">MID(MET2UTC(Q424),3,12)</f>
        <v>25-230/07:06</v>
      </c>
      <c r="M424" s="257" t="str" cm="1">
        <f t="array" aca="1" ref="M424" ca="1">MID(MET2UTC(R424),3,12)</f>
        <v>25-231/17:06</v>
      </c>
      <c r="N424" t="s">
        <v>8588</v>
      </c>
      <c r="O424" s="471" t="str">
        <f t="shared" ref="O424" si="264">AG424</f>
        <v>236/11:17</v>
      </c>
      <c r="P424" s="179" t="str">
        <f t="shared" ref="P424" si="265">MID(AH424,5,5)</f>
        <v>236_1</v>
      </c>
      <c r="Q424" s="237">
        <f>R423-1</f>
        <v>617806706.60669088</v>
      </c>
      <c r="R424" s="104">
        <f>W424/$V$31+Q424</f>
        <v>617929087.23394144</v>
      </c>
      <c r="S424" s="104">
        <f t="shared" si="261"/>
        <v>122380.62725055218</v>
      </c>
      <c r="T424" s="104">
        <f>S424*$V$31</f>
        <v>844919.24999968021</v>
      </c>
      <c r="U424" s="3">
        <v>0</v>
      </c>
      <c r="V424" s="97">
        <f>T424</f>
        <v>844919.24999968021</v>
      </c>
      <c r="W424" s="97">
        <f t="shared" si="262"/>
        <v>844919.25</v>
      </c>
      <c r="X424" s="266">
        <f t="shared" si="263"/>
        <v>3.1979288905858994E-7</v>
      </c>
      <c r="Y424" s="318"/>
      <c r="Z424" s="319"/>
      <c r="AA424" s="256">
        <f t="shared" si="236"/>
        <v>6.7593540000000001</v>
      </c>
      <c r="AC424" s="297">
        <f>AC423+AA424</f>
        <v>72.501584399997313</v>
      </c>
      <c r="AD424" s="3">
        <f t="shared" si="251"/>
        <v>2.5583431124687194E-12</v>
      </c>
      <c r="AE424" s="3">
        <f t="shared" si="252"/>
        <v>6.7593539999974412</v>
      </c>
      <c r="AF424" s="470" t="str">
        <f t="shared" si="237"/>
        <v>TRK_236_1</v>
      </c>
      <c r="AG424" s="391" t="s">
        <v>8522</v>
      </c>
      <c r="AH424" t="s">
        <v>8481</v>
      </c>
      <c r="AI424" t="s">
        <v>8482</v>
      </c>
      <c r="AJ424">
        <v>0.22892599999999999</v>
      </c>
      <c r="AK424">
        <v>1.0336110000000001</v>
      </c>
      <c r="AL424">
        <v>0.80468499999999998</v>
      </c>
      <c r="AM424">
        <v>7.0812299999999997</v>
      </c>
      <c r="AN424" s="463">
        <f t="shared" si="226"/>
        <v>6.7593540000000001</v>
      </c>
    </row>
    <row r="425" spans="1:41" ht="13.5" customHeight="1">
      <c r="J425" t="s">
        <v>943</v>
      </c>
      <c r="K425" t="s">
        <v>1540</v>
      </c>
      <c r="L425" s="273" t="str" cm="1">
        <f t="array" aca="1" ref="L425" ca="1">MID(MET2UTC(Q425),3,12)</f>
        <v>26-188/18:08</v>
      </c>
      <c r="M425" s="273" t="str" cm="1">
        <f t="array" aca="1" ref="M425" ca="1">MID(MET2UTC(R425),3,12)</f>
        <v>26-211/00:47</v>
      </c>
      <c r="N425" t="s">
        <v>4339</v>
      </c>
      <c r="O425" s="471" t="str">
        <f t="shared" si="231"/>
        <v>237/00:31</v>
      </c>
      <c r="P425" s="179" t="str">
        <f t="shared" si="232"/>
        <v>237_1</v>
      </c>
      <c r="Q425" s="237">
        <f>R417-3</f>
        <v>645753612.04125464</v>
      </c>
      <c r="R425" s="104">
        <f>W425/$S$2+Q425</f>
        <v>647678380.91695058</v>
      </c>
      <c r="S425" s="104">
        <f t="shared" ref="S425" si="266">R425-Q425</f>
        <v>1924768.8756959438</v>
      </c>
      <c r="T425" s="104">
        <f>S425*$S$2</f>
        <v>973291.20000000729</v>
      </c>
      <c r="U425" s="3">
        <v>0</v>
      </c>
      <c r="V425" s="97">
        <f>T425+U425*$V$33</f>
        <v>973291.20000000729</v>
      </c>
      <c r="W425" s="97">
        <f>AA425*1000000/8</f>
        <v>973291.20000000007</v>
      </c>
      <c r="X425" s="266">
        <f t="shared" ref="X425" si="267">W425-V425</f>
        <v>-7.2177499532699585E-9</v>
      </c>
      <c r="Y425" s="318"/>
      <c r="Z425" s="319"/>
      <c r="AA425" s="256">
        <f t="shared" si="236"/>
        <v>7.7863296000000002</v>
      </c>
      <c r="AC425" s="308">
        <f>AC417+AE425</f>
        <v>54.282589200000352</v>
      </c>
      <c r="AD425" s="3">
        <f t="shared" si="251"/>
        <v>-5.774199962615967E-14</v>
      </c>
      <c r="AE425" s="3">
        <f t="shared" si="252"/>
        <v>7.7863296000000579</v>
      </c>
      <c r="AF425" s="470" t="str">
        <f t="shared" si="237"/>
        <v>TRK_237_1</v>
      </c>
      <c r="AG425" s="391" t="s">
        <v>8523</v>
      </c>
      <c r="AH425" t="s">
        <v>8483</v>
      </c>
      <c r="AI425" t="s">
        <v>8484</v>
      </c>
      <c r="AJ425">
        <v>0.22267700000000001</v>
      </c>
      <c r="AK425">
        <v>1.149621</v>
      </c>
      <c r="AL425">
        <v>0.92694399999999999</v>
      </c>
      <c r="AM425">
        <v>8.1571119999999997</v>
      </c>
      <c r="AN425" s="463">
        <f t="shared" si="226"/>
        <v>7.7863296000000002</v>
      </c>
    </row>
    <row r="426" spans="1:41" ht="13.5" customHeight="1">
      <c r="J426" t="s">
        <v>943</v>
      </c>
      <c r="K426" t="s">
        <v>1540</v>
      </c>
      <c r="L426" s="273" t="str" cm="1">
        <f t="array" aca="1" ref="L426" ca="1">MID(MET2UTC(Q426),3,12)</f>
        <v>26-211/00:47</v>
      </c>
      <c r="M426" s="273" t="str" cm="1">
        <f t="array" aca="1" ref="M426" ca="1">MID(MET2UTC(R426),3,12)</f>
        <v>26-218/23:58</v>
      </c>
      <c r="N426" t="s">
        <v>4339</v>
      </c>
      <c r="O426" s="471" t="str">
        <f t="shared" si="231"/>
        <v>237/13:01</v>
      </c>
      <c r="P426" s="179" t="str">
        <f t="shared" si="232"/>
        <v>237_2</v>
      </c>
      <c r="Q426" s="237">
        <f>R425-3</f>
        <v>647678377.91695058</v>
      </c>
      <c r="R426" s="104">
        <f>W426/$S$2+Q426</f>
        <v>648366612.61074555</v>
      </c>
      <c r="S426" s="104">
        <f t="shared" ref="S426" si="268">R426-Q426</f>
        <v>688234.69379496574</v>
      </c>
      <c r="T426" s="104">
        <f>S426*$S$2</f>
        <v>348017.25000002369</v>
      </c>
      <c r="U426" s="3">
        <v>0</v>
      </c>
      <c r="V426" s="97">
        <f>T426+U426*$V$33</f>
        <v>348017.25000002369</v>
      </c>
      <c r="W426" s="97">
        <f>AA426*1000000/8</f>
        <v>348017.25</v>
      </c>
      <c r="X426" s="266">
        <f t="shared" ref="X426" si="269">W426-V426</f>
        <v>-2.3690517991781235E-8</v>
      </c>
      <c r="Y426" s="318"/>
      <c r="Z426" s="319"/>
      <c r="AA426" s="256">
        <f t="shared" si="236"/>
        <v>2.784138</v>
      </c>
      <c r="AC426" s="308">
        <f>AE426+AC425</f>
        <v>57.066727200000543</v>
      </c>
      <c r="AD426" s="3">
        <f t="shared" si="251"/>
        <v>-1.8952414393424989E-13</v>
      </c>
      <c r="AE426" s="3">
        <f t="shared" si="252"/>
        <v>2.7841380000001896</v>
      </c>
      <c r="AF426" s="470" t="str">
        <f t="shared" si="237"/>
        <v>TRK_237_2</v>
      </c>
      <c r="AG426" s="391" t="s">
        <v>8524</v>
      </c>
      <c r="AH426" t="s">
        <v>8485</v>
      </c>
      <c r="AI426" t="s">
        <v>8486</v>
      </c>
      <c r="AJ426">
        <v>0.220665</v>
      </c>
      <c r="AK426">
        <v>0.55210999999999999</v>
      </c>
      <c r="AL426">
        <v>0.33144499999999999</v>
      </c>
      <c r="AM426">
        <v>2.9167139999999998</v>
      </c>
      <c r="AN426" s="463">
        <f t="shared" si="226"/>
        <v>2.784138</v>
      </c>
    </row>
    <row r="427" spans="1:41" ht="13.5" customHeight="1">
      <c r="L427" s="524"/>
      <c r="M427" s="524"/>
      <c r="O427" s="471" t="str">
        <f t="shared" si="231"/>
        <v>237/21:31</v>
      </c>
      <c r="P427" s="179" t="str">
        <f t="shared" si="232"/>
        <v>237_3</v>
      </c>
      <c r="Q427" s="521">
        <v>645953458</v>
      </c>
      <c r="R427" s="415">
        <v>645953885</v>
      </c>
      <c r="S427" s="438"/>
      <c r="T427" s="438">
        <v>2821250</v>
      </c>
      <c r="U427" s="414"/>
      <c r="V427" s="522">
        <f>T427</f>
        <v>2821250</v>
      </c>
      <c r="W427" s="415">
        <f>AA427*1000000/8</f>
        <v>2821305.9000000004</v>
      </c>
      <c r="X427" s="415">
        <f>W427-V427</f>
        <v>55.900000000372529</v>
      </c>
      <c r="Y427" s="318"/>
      <c r="Z427" s="481">
        <f>AA427</f>
        <v>22.570447200000004</v>
      </c>
      <c r="AA427" s="256">
        <f t="shared" si="236"/>
        <v>22.570447200000004</v>
      </c>
      <c r="AC427" s="539">
        <f>AC420+AA427</f>
        <v>110.992014</v>
      </c>
      <c r="AD427" s="3">
        <f t="shared" si="251"/>
        <v>4.4720000000298023E-4</v>
      </c>
      <c r="AE427" s="3">
        <f t="shared" si="252"/>
        <v>22.57</v>
      </c>
      <c r="AF427" s="475" t="str">
        <f t="shared" si="237"/>
        <v>TRK_237_3</v>
      </c>
      <c r="AG427" s="391" t="s">
        <v>8525</v>
      </c>
      <c r="AH427" t="s">
        <v>8487</v>
      </c>
      <c r="AI427" t="s">
        <v>8488</v>
      </c>
      <c r="AJ427">
        <v>0.19519500000000001</v>
      </c>
      <c r="AK427">
        <v>2.8821530000000002</v>
      </c>
      <c r="AL427">
        <v>2.6869580000000002</v>
      </c>
      <c r="AM427">
        <v>23.645235</v>
      </c>
      <c r="AN427" s="463">
        <f t="shared" si="226"/>
        <v>22.570447200000004</v>
      </c>
    </row>
    <row r="428" spans="1:41" ht="13.5" customHeight="1">
      <c r="J428" t="s">
        <v>943</v>
      </c>
      <c r="K428" t="s">
        <v>1540</v>
      </c>
      <c r="L428" s="273" t="str" cm="1">
        <f t="array" aca="1" ref="L428" ca="1">MID(MET2UTC(Q428),3,12)</f>
        <v>26-218/23:58</v>
      </c>
      <c r="M428" s="273" t="str" cm="1">
        <f t="array" aca="1" ref="M428" ca="1">MID(MET2UTC(R428),3,12)</f>
        <v>26-230/18:29</v>
      </c>
      <c r="N428" t="s">
        <v>4339</v>
      </c>
      <c r="O428" s="471" t="str">
        <f t="shared" ref="O428:O429" si="270">AG428</f>
        <v>238/12:21</v>
      </c>
      <c r="P428" s="179" t="str">
        <f t="shared" ref="P428:P429" si="271">MID(AH428,5,5)</f>
        <v>238_1</v>
      </c>
      <c r="Q428" s="237">
        <f>R426-3</f>
        <v>648366609.61074555</v>
      </c>
      <c r="R428" s="104">
        <f>W428/$S$2+Q428</f>
        <v>649383686.11997747</v>
      </c>
      <c r="S428" s="104">
        <f t="shared" ref="S428:S431" si="272">R428-Q428</f>
        <v>1017076.509231925</v>
      </c>
      <c r="T428" s="104">
        <f>S428*$S$2</f>
        <v>514301.54999998835</v>
      </c>
      <c r="U428" s="3">
        <v>0</v>
      </c>
      <c r="V428" s="97">
        <f t="shared" ref="V428" si="273">T428+U428*$V$37</f>
        <v>514301.54999998835</v>
      </c>
      <c r="W428" s="97">
        <f>AA428*1000000/8</f>
        <v>514301.55</v>
      </c>
      <c r="X428" s="266">
        <f t="shared" ref="X428:X429" si="274">W428-V428</f>
        <v>1.1641532182693481E-8</v>
      </c>
      <c r="Y428" s="318"/>
      <c r="Z428" s="319"/>
      <c r="AA428" s="256">
        <f t="shared" si="236"/>
        <v>4.1144124</v>
      </c>
      <c r="AC428" s="308">
        <f>AC426+AE428</f>
        <v>61.181139600000449</v>
      </c>
      <c r="AD428" s="3">
        <f t="shared" si="251"/>
        <v>9.3132257461547856E-14</v>
      </c>
      <c r="AE428" s="3">
        <f t="shared" si="252"/>
        <v>4.1144123999999067</v>
      </c>
      <c r="AF428" s="470" t="str">
        <f t="shared" si="237"/>
        <v>TRK_238_1</v>
      </c>
      <c r="AG428" s="391" t="s">
        <v>8526</v>
      </c>
      <c r="AH428" t="s">
        <v>8489</v>
      </c>
      <c r="AI428" t="s">
        <v>8490</v>
      </c>
      <c r="AJ428">
        <v>0.21891099999999999</v>
      </c>
      <c r="AK428">
        <v>0.70872199999999996</v>
      </c>
      <c r="AL428">
        <v>0.489811</v>
      </c>
      <c r="AM428">
        <v>4.3103360000000004</v>
      </c>
      <c r="AN428" s="463">
        <f t="shared" si="226"/>
        <v>4.1144124</v>
      </c>
    </row>
    <row r="429" spans="1:41" ht="13.5" customHeight="1">
      <c r="C429" s="3">
        <v>104</v>
      </c>
      <c r="D429" s="3">
        <v>105</v>
      </c>
      <c r="E429" t="s">
        <v>766</v>
      </c>
      <c r="F429" t="s">
        <v>764</v>
      </c>
      <c r="G429" s="3" t="s">
        <v>765</v>
      </c>
      <c r="H429" t="s">
        <v>768</v>
      </c>
      <c r="I429" t="s">
        <v>769</v>
      </c>
      <c r="L429" s="257" t="str" cm="1">
        <f t="array" aca="1" ref="L429" ca="1">MID(MET2UTC(Q429),3,12)</f>
        <v>25-231/17:06</v>
      </c>
      <c r="M429" s="257" t="str" cm="1">
        <f t="array" aca="1" ref="M429" ca="1">MID(MET2UTC(R429),3,12)</f>
        <v>25-234/20:09</v>
      </c>
      <c r="N429" t="s">
        <v>8588</v>
      </c>
      <c r="O429" s="471" t="str">
        <f t="shared" si="270"/>
        <v>239/21:26</v>
      </c>
      <c r="P429" s="179" t="str">
        <f t="shared" si="271"/>
        <v>239_1</v>
      </c>
      <c r="Q429" s="237">
        <f>R424-1</f>
        <v>617929086.23394144</v>
      </c>
      <c r="R429" s="104">
        <f>W429/$V$31+Q429</f>
        <v>618199294.06914234</v>
      </c>
      <c r="S429" s="104">
        <f t="shared" si="272"/>
        <v>270207.8352009058</v>
      </c>
      <c r="T429" s="104">
        <f>S429*$V$31</f>
        <v>1865522.4000002535</v>
      </c>
      <c r="U429" s="3">
        <v>0</v>
      </c>
      <c r="V429" s="97">
        <f>T429+U429*$V$33</f>
        <v>1865522.4000002535</v>
      </c>
      <c r="W429" s="97">
        <f t="shared" ref="W429" si="275">AA429*1000000/8</f>
        <v>1865522.4000000001</v>
      </c>
      <c r="X429" s="266">
        <f t="shared" si="274"/>
        <v>-2.5331974029541016E-7</v>
      </c>
      <c r="Y429" s="318"/>
      <c r="Z429" s="319"/>
      <c r="AA429" s="256">
        <f t="shared" si="236"/>
        <v>14.924179200000001</v>
      </c>
      <c r="AC429" s="297">
        <f>AE429+AC424</f>
        <v>87.425763599999343</v>
      </c>
      <c r="AD429" s="3">
        <f t="shared" si="251"/>
        <v>-2.0265579223632812E-12</v>
      </c>
      <c r="AE429" s="3">
        <f t="shared" si="252"/>
        <v>14.924179200002028</v>
      </c>
      <c r="AF429" s="470" t="str">
        <f t="shared" si="237"/>
        <v>TRK_239_1_</v>
      </c>
      <c r="AG429" s="391" t="s">
        <v>8531</v>
      </c>
      <c r="AH429" t="s">
        <v>8491</v>
      </c>
      <c r="AI429" t="s">
        <v>8492</v>
      </c>
      <c r="AJ429">
        <v>0.52125299999999997</v>
      </c>
      <c r="AK429">
        <v>2.2979409999999998</v>
      </c>
      <c r="AL429">
        <v>1.776688</v>
      </c>
      <c r="AM429">
        <v>15.634855</v>
      </c>
      <c r="AN429" s="463">
        <f t="shared" si="226"/>
        <v>14.924179200000001</v>
      </c>
    </row>
    <row r="430" spans="1:41" ht="13.5" customHeight="1">
      <c r="C430" s="3">
        <v>103</v>
      </c>
      <c r="D430" s="3">
        <v>109</v>
      </c>
      <c r="E430" t="s">
        <v>766</v>
      </c>
      <c r="F430" t="s">
        <v>764</v>
      </c>
      <c r="G430" s="3" t="s">
        <v>765</v>
      </c>
      <c r="H430" t="s">
        <v>768</v>
      </c>
      <c r="I430" t="s">
        <v>769</v>
      </c>
      <c r="L430" s="257" t="str" cm="1">
        <f t="array" aca="1" ref="L430" ca="1">MID(MET2UTC(Q430),3,12)</f>
        <v>26-219/18:07</v>
      </c>
      <c r="M430" s="257" t="str" cm="1">
        <f t="array" aca="1" ref="M430" ca="1">MID(MET2UTC(R430),3,12)</f>
        <v>26-222/04:44</v>
      </c>
      <c r="N430" t="s">
        <v>8586</v>
      </c>
      <c r="O430" s="471" t="str">
        <f t="shared" ref="O430" si="276">AG430</f>
        <v>240/09:21</v>
      </c>
      <c r="P430" s="179" t="str">
        <f t="shared" ref="P430" si="277">MID(AH430,5,5)</f>
        <v>240_1</v>
      </c>
      <c r="Q430" s="237">
        <f>R379-1</f>
        <v>648431948.04522061</v>
      </c>
      <c r="R430" s="104">
        <f>W430/$V$34+Q430</f>
        <v>648642990.40925944</v>
      </c>
      <c r="S430" s="104">
        <f t="shared" si="272"/>
        <v>211042.36403882504</v>
      </c>
      <c r="T430" s="104">
        <f>S430*$V$34</f>
        <v>1112427.7500002065</v>
      </c>
      <c r="U430" s="3">
        <v>0</v>
      </c>
      <c r="V430" s="97">
        <f>T430+U430*$V$33</f>
        <v>1112427.7500002065</v>
      </c>
      <c r="W430" s="97">
        <f t="shared" ref="W430" si="278">AA430*1000000/8</f>
        <v>1112427.7500000002</v>
      </c>
      <c r="X430" s="266">
        <f t="shared" ref="X430" si="279">W430-V430</f>
        <v>-2.0628795027732849E-7</v>
      </c>
      <c r="Y430" s="318"/>
      <c r="Z430" s="319"/>
      <c r="AA430" s="256">
        <f t="shared" si="236"/>
        <v>8.8994220000000013</v>
      </c>
      <c r="AC430" s="297">
        <f>AC429+AA430</f>
        <v>96.325185599999344</v>
      </c>
      <c r="AD430" s="3">
        <f t="shared" si="251"/>
        <v>-1.6503036022186279E-12</v>
      </c>
      <c r="AE430" s="3">
        <f t="shared" si="252"/>
        <v>8.8994220000016515</v>
      </c>
      <c r="AF430" s="470" t="str">
        <f t="shared" si="237"/>
        <v>TRK_240_1</v>
      </c>
      <c r="AG430" s="391" t="s">
        <v>8527</v>
      </c>
      <c r="AH430" t="s">
        <v>8493</v>
      </c>
      <c r="AI430" t="s">
        <v>8494</v>
      </c>
      <c r="AJ430">
        <v>0.20555799999999999</v>
      </c>
      <c r="AK430">
        <v>1.2650129999999999</v>
      </c>
      <c r="AL430">
        <v>1.059455</v>
      </c>
      <c r="AM430">
        <v>9.3232040000000005</v>
      </c>
      <c r="AN430" s="463">
        <f t="shared" si="226"/>
        <v>8.8994220000000013</v>
      </c>
    </row>
    <row r="431" spans="1:41" ht="13.5" customHeight="1">
      <c r="C431" s="3">
        <v>103</v>
      </c>
      <c r="D431" s="3">
        <v>109</v>
      </c>
      <c r="E431" t="s">
        <v>766</v>
      </c>
      <c r="F431" t="s">
        <v>764</v>
      </c>
      <c r="G431" s="3" t="s">
        <v>765</v>
      </c>
      <c r="H431" t="s">
        <v>768</v>
      </c>
      <c r="I431" t="s">
        <v>769</v>
      </c>
      <c r="L431" s="257" t="str" cm="1">
        <f t="array" aca="1" ref="L431" ca="1">MID(MET2UTC(Q431),3,12)</f>
        <v>26-222/04:44</v>
      </c>
      <c r="M431" s="257" t="str" cm="1">
        <f t="array" aca="1" ref="M431" ca="1">MID(MET2UTC(R431),3,12)</f>
        <v>26-227/19:05</v>
      </c>
      <c r="N431" t="s">
        <v>8586</v>
      </c>
      <c r="O431" s="471" t="str">
        <f t="shared" ref="O431" si="280">AG431</f>
        <v>241/02:26</v>
      </c>
      <c r="P431" s="179" t="str">
        <f t="shared" ref="P431" si="281">MID(AH431,5,5)</f>
        <v>241_1</v>
      </c>
      <c r="Q431" s="237">
        <f>R430-1</f>
        <v>648642989.40925944</v>
      </c>
      <c r="R431" s="104">
        <f>W431/$V$34+Q431</f>
        <v>649126649.13417506</v>
      </c>
      <c r="S431" s="104">
        <f t="shared" si="272"/>
        <v>483659.72491562366</v>
      </c>
      <c r="T431" s="104">
        <f>S431*$V$34</f>
        <v>2549424.1499996874</v>
      </c>
      <c r="U431" s="3">
        <v>0</v>
      </c>
      <c r="V431" s="97">
        <f>T431+U431*$V$33</f>
        <v>2549424.1499996874</v>
      </c>
      <c r="W431" s="97">
        <f t="shared" ref="W431" si="282">AA431*1000000/8</f>
        <v>2549424.15</v>
      </c>
      <c r="X431" s="266">
        <f t="shared" ref="X431" si="283">W431-V431</f>
        <v>3.1245872378349304E-7</v>
      </c>
      <c r="Y431" s="318"/>
      <c r="Z431" s="319"/>
      <c r="AA431" s="256">
        <f t="shared" si="236"/>
        <v>20.395393200000001</v>
      </c>
      <c r="AC431" s="297">
        <f>AC430+AA431</f>
        <v>116.72057879999934</v>
      </c>
      <c r="AD431" s="3">
        <f t="shared" si="251"/>
        <v>2.4996697902679445E-12</v>
      </c>
      <c r="AE431" s="3">
        <f t="shared" si="252"/>
        <v>20.3953931999975</v>
      </c>
      <c r="AF431" s="470" t="str">
        <f t="shared" si="237"/>
        <v>TRK_241_1</v>
      </c>
      <c r="AG431" s="391" t="s">
        <v>8528</v>
      </c>
      <c r="AH431" t="s">
        <v>8495</v>
      </c>
      <c r="AI431" t="s">
        <v>8496</v>
      </c>
      <c r="AJ431">
        <v>0.224053</v>
      </c>
      <c r="AK431">
        <v>2.6520760000000001</v>
      </c>
      <c r="AL431">
        <v>2.428023</v>
      </c>
      <c r="AM431">
        <v>21.366603999999999</v>
      </c>
      <c r="AN431" s="463">
        <f t="shared" si="226"/>
        <v>20.395393200000001</v>
      </c>
    </row>
    <row r="432" spans="1:41" ht="13.5" customHeight="1">
      <c r="C432" s="3">
        <v>103</v>
      </c>
      <c r="D432" s="3">
        <v>109</v>
      </c>
      <c r="E432" t="s">
        <v>766</v>
      </c>
      <c r="F432" t="s">
        <v>764</v>
      </c>
      <c r="G432" s="3" t="s">
        <v>765</v>
      </c>
      <c r="H432" t="s">
        <v>768</v>
      </c>
      <c r="I432" t="s">
        <v>769</v>
      </c>
      <c r="L432" s="257" t="str" cm="1">
        <f t="array" aca="1" ref="L432" ca="1">MID(MET2UTC(Q432),3,12)</f>
        <v>26-227/19:05</v>
      </c>
      <c r="M432" s="257" t="str" cm="1">
        <f t="array" aca="1" ref="M432" ca="1">MID(MET2UTC(R432),3,12)</f>
        <v>26-230/03:37</v>
      </c>
      <c r="N432" t="s">
        <v>8586</v>
      </c>
      <c r="O432" s="471" t="str">
        <f t="shared" ref="O432:O433" si="284">AG432</f>
        <v>242/09:01</v>
      </c>
      <c r="P432" s="179" t="str">
        <f t="shared" ref="P432:P433" si="285">MID(AH432,5,5)</f>
        <v>242_1</v>
      </c>
      <c r="Q432" s="237">
        <f>R431-1</f>
        <v>649126648.13417506</v>
      </c>
      <c r="R432" s="104">
        <f>W432/$V$34+Q432</f>
        <v>649330163.56524587</v>
      </c>
      <c r="S432" s="104">
        <f t="shared" ref="S432:S433" si="286">R432-Q432</f>
        <v>203515.4310708046</v>
      </c>
      <c r="T432" s="104">
        <f>S432*$V$34</f>
        <v>1072752.4499998854</v>
      </c>
      <c r="U432" s="3">
        <v>0</v>
      </c>
      <c r="V432" s="97">
        <f>T432+U432*$V$33</f>
        <v>1072752.4499998854</v>
      </c>
      <c r="W432" s="97">
        <f t="shared" ref="W432:W433" si="287">AA432*1000000/8</f>
        <v>1072752.4500000002</v>
      </c>
      <c r="X432" s="266">
        <f t="shared" ref="X432:X433" si="288">W432-V432</f>
        <v>1.1478550732135773E-7</v>
      </c>
      <c r="Y432" s="318"/>
      <c r="Z432" s="319"/>
      <c r="AA432" s="256">
        <f t="shared" si="236"/>
        <v>8.5820196000000006</v>
      </c>
      <c r="AC432" s="297">
        <f>AC431+AA432</f>
        <v>125.30259839999934</v>
      </c>
      <c r="AD432" s="3">
        <f t="shared" si="251"/>
        <v>9.1828405857086172E-13</v>
      </c>
      <c r="AE432" s="3">
        <f t="shared" si="252"/>
        <v>8.582019599999084</v>
      </c>
      <c r="AF432" s="470" t="str">
        <f t="shared" si="237"/>
        <v>TRK_242_1</v>
      </c>
      <c r="AG432" s="391" t="s">
        <v>8529</v>
      </c>
      <c r="AH432" t="s">
        <v>8497</v>
      </c>
      <c r="AI432" t="s">
        <v>8498</v>
      </c>
      <c r="AJ432">
        <v>0.31891399999999998</v>
      </c>
      <c r="AK432">
        <v>1.3405830000000001</v>
      </c>
      <c r="AL432">
        <v>1.0216689999999999</v>
      </c>
      <c r="AM432">
        <v>8.9906830000000006</v>
      </c>
      <c r="AN432" s="463">
        <f t="shared" si="226"/>
        <v>8.5820196000000006</v>
      </c>
    </row>
    <row r="433" spans="3:41" ht="13.5" customHeight="1">
      <c r="C433" s="3">
        <v>103</v>
      </c>
      <c r="D433" s="3">
        <v>109</v>
      </c>
      <c r="E433" t="s">
        <v>766</v>
      </c>
      <c r="F433" t="s">
        <v>764</v>
      </c>
      <c r="G433" s="3" t="s">
        <v>765</v>
      </c>
      <c r="H433" t="s">
        <v>768</v>
      </c>
      <c r="I433" t="s">
        <v>769</v>
      </c>
      <c r="L433" s="257" t="str" cm="1">
        <f t="array" aca="1" ref="L433" ca="1">MID(MET2UTC(Q433),3,12)</f>
        <v>26-230/03:37</v>
      </c>
      <c r="M433" s="257" t="str" cm="1">
        <f t="array" aca="1" ref="M433" ca="1">MID(MET2UTC(R433),3,12)</f>
        <v>26-233/13:54</v>
      </c>
      <c r="N433" t="s">
        <v>8586</v>
      </c>
      <c r="O433" s="471" t="str">
        <f t="shared" si="284"/>
        <v>243/00:10</v>
      </c>
      <c r="P433" s="179" t="str">
        <f t="shared" si="285"/>
        <v>243_1</v>
      </c>
      <c r="Q433" s="237">
        <f>R432-1</f>
        <v>649330162.56524587</v>
      </c>
      <c r="R433" s="104">
        <f>W433/$V$34+Q433</f>
        <v>649626379.62785125</v>
      </c>
      <c r="S433" s="104">
        <f t="shared" si="286"/>
        <v>296217.06260538101</v>
      </c>
      <c r="T433" s="104">
        <f>S433*$V$34</f>
        <v>1561393.0499999195</v>
      </c>
      <c r="U433" s="3">
        <v>0</v>
      </c>
      <c r="V433" s="97">
        <f>T433+U433*$V$33</f>
        <v>1561393.0499999195</v>
      </c>
      <c r="W433" s="97">
        <f t="shared" si="287"/>
        <v>1561393.0500000003</v>
      </c>
      <c r="X433" s="266">
        <f t="shared" si="288"/>
        <v>8.0792233347892761E-8</v>
      </c>
      <c r="Y433" s="318"/>
      <c r="Z433" s="319"/>
      <c r="AA433" s="256">
        <f t="shared" si="236"/>
        <v>12.491144400000001</v>
      </c>
      <c r="AB433">
        <f>SUM(AA423:AA433)</f>
        <v>120.4152516</v>
      </c>
      <c r="AC433" s="297">
        <f>AC432+AA433</f>
        <v>137.79374279999934</v>
      </c>
      <c r="AD433" s="3">
        <f t="shared" si="251"/>
        <v>6.4633786678314205E-13</v>
      </c>
      <c r="AE433" s="3">
        <f t="shared" si="252"/>
        <v>12.491144399999357</v>
      </c>
      <c r="AF433" s="470" t="str">
        <f t="shared" si="237"/>
        <v>TRK_243_1_</v>
      </c>
      <c r="AG433" s="391" t="s">
        <v>8530</v>
      </c>
      <c r="AH433" t="s">
        <v>8499</v>
      </c>
      <c r="AI433" t="s">
        <v>8500</v>
      </c>
      <c r="AJ433">
        <v>0.38433699999999998</v>
      </c>
      <c r="AK433">
        <v>1.871378</v>
      </c>
      <c r="AL433">
        <v>1.4870410000000001</v>
      </c>
      <c r="AM433">
        <v>13.08596</v>
      </c>
      <c r="AN433" s="463">
        <f t="shared" si="226"/>
        <v>12.491144400000001</v>
      </c>
      <c r="AO433">
        <f>SUM(AN423:AN433)</f>
        <v>120.4152516</v>
      </c>
    </row>
    <row r="434" spans="3:41" ht="13.5" customHeight="1">
      <c r="AN434">
        <f>SUM(AN404:AN433)</f>
        <v>298.93146359999997</v>
      </c>
    </row>
    <row r="444" spans="3:41" ht="13.5" customHeight="1">
      <c r="Q444" t="s">
        <v>8445</v>
      </c>
    </row>
    <row r="445" spans="3:41" ht="13.5" customHeight="1">
      <c r="Q445" t="s">
        <v>8448</v>
      </c>
    </row>
    <row r="446" spans="3:41" ht="13.5" customHeight="1">
      <c r="Q446" t="s">
        <v>8451</v>
      </c>
    </row>
    <row r="447" spans="3:41" ht="13.5" customHeight="1">
      <c r="Q447" t="s">
        <v>8454</v>
      </c>
    </row>
    <row r="448" spans="3:41" ht="13.5" customHeight="1">
      <c r="Q448" t="s">
        <v>8457</v>
      </c>
    </row>
    <row r="449" spans="17:17" ht="13.5" customHeight="1">
      <c r="Q449" t="s">
        <v>8460</v>
      </c>
    </row>
  </sheetData>
  <phoneticPr fontId="59" type="noConversion"/>
  <conditionalFormatting sqref="C64:H64 J64:K64 C1:K45 C48:K63 C46:J47 C65:K198 C199:J199 N241:N242 C200:K1048571">
    <cfRule type="expression" dxfId="26" priority="4" stopIfTrue="1">
      <formula>IF(_xlfn.TEXTJOIN("",FALSE,$E1:$K1)="HSK3DT1DT2DT3DT4SDT1HSK4",TRUE)</formula>
    </cfRule>
    <cfRule type="expression" dxfId="25" priority="6">
      <formula>IF(_xlfn.TEXTJOIN("",FALSE,$E1:$I1) &lt;&gt;"",IF(_xlfn.TEXTJOIN("",FALSE,$J1:$K1) &lt;&gt; "",TRUE),FALSE)</formula>
    </cfRule>
  </conditionalFormatting>
  <conditionalFormatting sqref="E64:H64 J64:K64 E1:K45 E48:K63 E46:J47 E65:K198 E199:J199 N241:N242 E200:K1048576">
    <cfRule type="expression" dxfId="24" priority="10">
      <formula>IF(E1 &lt;&gt;"",IF(E1 &lt;&gt; E$1,TRUE),FALSE)</formula>
    </cfRule>
  </conditionalFormatting>
  <conditionalFormatting sqref="C1048572:K1048576">
    <cfRule type="expression" dxfId="23" priority="48" stopIfTrue="1">
      <formula>IF(_xlfn.TEXTJOIN("",FALSE,$E1048572:$K1048573)="HSK3DT1DT2DT3DT4SDT1HSK4",TRUE)</formula>
    </cfRule>
    <cfRule type="expression" dxfId="22" priority="49">
      <formula>IF(_xlfn.TEXTJOIN("",FALSE,$E1048572:$I1048573) &lt;&gt;"",IF(_xlfn.TEXTJOIN("",FALSE,$J1048572:$K1048573) &lt;&gt; "",TRUE),FALSE)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T35"/>
  <sheetViews>
    <sheetView workbookViewId="0"/>
  </sheetViews>
  <sheetFormatPr defaultColWidth="9" defaultRowHeight="14.25"/>
  <cols>
    <col min="1" max="2" width="9" style="3"/>
    <col min="3" max="3" width="21.3984375" style="3" customWidth="1"/>
    <col min="4" max="4" width="18.59765625" style="3" customWidth="1"/>
    <col min="5" max="5" width="15.73046875" style="3" customWidth="1"/>
    <col min="6" max="6" width="9" style="3"/>
    <col min="7" max="7" width="10" style="3" bestFit="1" customWidth="1"/>
    <col min="8" max="8" width="15.1328125" style="3" customWidth="1"/>
    <col min="9" max="9" width="9" style="3"/>
    <col min="10" max="10" width="12" style="3" bestFit="1" customWidth="1"/>
    <col min="11" max="11" width="12.265625" style="3" customWidth="1"/>
    <col min="12" max="12" width="13" style="3" customWidth="1"/>
    <col min="13" max="13" width="13.19921875" style="3" customWidth="1"/>
    <col min="14" max="16384" width="9" style="3"/>
  </cols>
  <sheetData>
    <row r="3" spans="1:11">
      <c r="B3" s="3" t="s">
        <v>4173</v>
      </c>
    </row>
    <row r="4" spans="1:11">
      <c r="A4" s="3">
        <f>G9+G6</f>
        <v>222.648</v>
      </c>
      <c r="B4" s="93" t="s">
        <v>4173</v>
      </c>
    </row>
    <row r="5" spans="1:11">
      <c r="A5" s="3" t="s">
        <v>4175</v>
      </c>
      <c r="C5" s="3" t="s">
        <v>4174</v>
      </c>
      <c r="D5" s="3" t="s">
        <v>416</v>
      </c>
      <c r="F5" s="3" t="s">
        <v>4176</v>
      </c>
      <c r="G5" s="3" t="s">
        <v>4177</v>
      </c>
      <c r="J5" s="3" t="s">
        <v>4179</v>
      </c>
    </row>
    <row r="6" spans="1:11">
      <c r="A6" s="3">
        <v>27</v>
      </c>
      <c r="B6" s="3" t="s">
        <v>640</v>
      </c>
      <c r="C6" s="3">
        <v>645951158</v>
      </c>
      <c r="D6" s="3">
        <v>645951767</v>
      </c>
      <c r="F6" s="3">
        <v>26.763999999999999</v>
      </c>
      <c r="G6" s="414">
        <v>28.626000000000001</v>
      </c>
    </row>
    <row r="7" spans="1:11">
      <c r="G7" s="3">
        <f>G6*1000000/8</f>
        <v>3578250</v>
      </c>
    </row>
    <row r="8" spans="1:11">
      <c r="C8" s="3" t="s">
        <v>4174</v>
      </c>
      <c r="D8" s="3" t="s">
        <v>416</v>
      </c>
      <c r="H8" s="3" t="s">
        <v>4178</v>
      </c>
    </row>
    <row r="9" spans="1:11">
      <c r="A9" s="3">
        <v>183</v>
      </c>
      <c r="B9" s="3" t="s">
        <v>4181</v>
      </c>
      <c r="C9" s="3">
        <v>645951790</v>
      </c>
      <c r="D9" s="3">
        <v>645955455</v>
      </c>
      <c r="E9" s="3">
        <f>D9-C9</f>
        <v>3665</v>
      </c>
      <c r="F9" s="3">
        <v>174.619</v>
      </c>
      <c r="G9" s="3">
        <v>194.02199999999999</v>
      </c>
      <c r="H9" s="414">
        <f>58.7-G6</f>
        <v>30.074000000000002</v>
      </c>
      <c r="I9" s="3">
        <f>H9/G9</f>
        <v>0.15500304089226996</v>
      </c>
      <c r="J9" s="145">
        <f>C9+I9*E9</f>
        <v>645952358.08614492</v>
      </c>
      <c r="K9" s="93" t="s">
        <v>4180</v>
      </c>
    </row>
    <row r="10" spans="1:11">
      <c r="C10" s="3" t="s">
        <v>4380</v>
      </c>
      <c r="D10" s="3" t="s">
        <v>4381</v>
      </c>
      <c r="G10" s="3">
        <f>G9*1000000/8</f>
        <v>24252750</v>
      </c>
      <c r="H10" s="3">
        <f>H9*1000000/8</f>
        <v>3759250</v>
      </c>
    </row>
    <row r="11" spans="1:11">
      <c r="F11" s="3" t="s">
        <v>8539</v>
      </c>
    </row>
    <row r="12" spans="1:11">
      <c r="F12" s="3" t="s">
        <v>8540</v>
      </c>
    </row>
    <row r="15" spans="1:11">
      <c r="I15" s="3" t="s">
        <v>8555</v>
      </c>
      <c r="J15" s="3" t="s">
        <v>8558</v>
      </c>
      <c r="K15" s="3" t="s">
        <v>8566</v>
      </c>
    </row>
    <row r="16" spans="1:11">
      <c r="C16" s="3" t="s">
        <v>8542</v>
      </c>
      <c r="E16" s="3" t="s">
        <v>8543</v>
      </c>
      <c r="F16" s="3" t="s">
        <v>8546</v>
      </c>
      <c r="G16" s="3" t="s">
        <v>8548</v>
      </c>
      <c r="H16" s="3" t="s">
        <v>8552</v>
      </c>
      <c r="I16" s="3" t="s">
        <v>8556</v>
      </c>
      <c r="J16" s="3" t="s">
        <v>8559</v>
      </c>
      <c r="K16" s="3" t="s">
        <v>8554</v>
      </c>
    </row>
    <row r="17" spans="1:20">
      <c r="C17" s="3" t="s">
        <v>4380</v>
      </c>
      <c r="D17" s="3" t="s">
        <v>8541</v>
      </c>
      <c r="E17" s="3" t="s">
        <v>8544</v>
      </c>
      <c r="F17" s="3" t="s">
        <v>8545</v>
      </c>
      <c r="G17" s="3" t="s">
        <v>8547</v>
      </c>
      <c r="H17" s="3" t="s">
        <v>8553</v>
      </c>
      <c r="I17" s="3" t="s">
        <v>8557</v>
      </c>
      <c r="J17" s="3" t="s">
        <v>8560</v>
      </c>
      <c r="Q17" s="3" t="s">
        <v>4178</v>
      </c>
    </row>
    <row r="18" spans="1:20">
      <c r="A18" s="3">
        <v>183</v>
      </c>
      <c r="B18" s="3" t="s">
        <v>4181</v>
      </c>
      <c r="C18" s="3">
        <v>645951790</v>
      </c>
      <c r="D18" s="3">
        <v>645955455</v>
      </c>
      <c r="E18" s="3">
        <f>D18-C18</f>
        <v>3665</v>
      </c>
      <c r="F18" s="3">
        <v>174.619</v>
      </c>
      <c r="G18" s="3">
        <v>194.02199999999999</v>
      </c>
      <c r="H18" s="3">
        <v>30.074000000000002</v>
      </c>
      <c r="I18" s="3">
        <f>H18/G18</f>
        <v>0.15500304089226996</v>
      </c>
      <c r="J18" s="3">
        <f>I18*E18</f>
        <v>568.08614487016939</v>
      </c>
      <c r="K18" s="3">
        <f>C18+J18</f>
        <v>645952358.08614492</v>
      </c>
      <c r="Q18" s="414">
        <f>58.7-G6</f>
        <v>30.074000000000002</v>
      </c>
      <c r="R18" s="3">
        <f>Q18/G18</f>
        <v>0.15500304089226996</v>
      </c>
      <c r="S18" s="145">
        <f>C18+R18*E18</f>
        <v>645952358.08614492</v>
      </c>
      <c r="T18" s="93" t="s">
        <v>4180</v>
      </c>
    </row>
    <row r="19" spans="1:20">
      <c r="F19" s="3">
        <f>F18*1000000/8</f>
        <v>21827375</v>
      </c>
      <c r="G19" s="3">
        <f>G18*1000000/8</f>
        <v>24252750</v>
      </c>
      <c r="Q19" s="3">
        <f>Q18*1000000/8</f>
        <v>3759250</v>
      </c>
    </row>
    <row r="20" spans="1:20">
      <c r="J20" s="3" t="s">
        <v>8555</v>
      </c>
      <c r="K20" s="3" t="s">
        <v>8558</v>
      </c>
      <c r="L20" s="3" t="s">
        <v>8572</v>
      </c>
      <c r="M20" s="3" t="s">
        <v>8566</v>
      </c>
      <c r="Q20" s="3">
        <f>G18*1000000/8</f>
        <v>24252750</v>
      </c>
    </row>
    <row r="21" spans="1:20">
      <c r="C21" s="3" t="s">
        <v>8542</v>
      </c>
      <c r="E21" s="3" t="s">
        <v>8543</v>
      </c>
      <c r="F21" s="3" t="s">
        <v>8546</v>
      </c>
      <c r="G21" s="3" t="s">
        <v>8548</v>
      </c>
      <c r="H21" s="3" t="s">
        <v>8552</v>
      </c>
      <c r="I21" s="3" t="s">
        <v>8573</v>
      </c>
      <c r="J21" s="3" t="s">
        <v>8556</v>
      </c>
      <c r="K21" s="3" t="s">
        <v>8559</v>
      </c>
      <c r="L21" s="3" t="s">
        <v>8554</v>
      </c>
      <c r="M21" s="3" t="s">
        <v>8554</v>
      </c>
    </row>
    <row r="22" spans="1:20">
      <c r="C22" s="3" t="s">
        <v>4380</v>
      </c>
      <c r="D22" s="3" t="s">
        <v>8541</v>
      </c>
      <c r="E22" s="3" t="s">
        <v>8544</v>
      </c>
      <c r="F22" s="3" t="s">
        <v>8545</v>
      </c>
      <c r="G22" s="3" t="s">
        <v>8547</v>
      </c>
      <c r="H22" s="3" t="s">
        <v>8553</v>
      </c>
      <c r="I22" s="3" t="s">
        <v>8574</v>
      </c>
      <c r="J22" s="3" t="s">
        <v>8557</v>
      </c>
      <c r="K22" s="3" t="s">
        <v>8560</v>
      </c>
    </row>
    <row r="23" spans="1:20">
      <c r="A23" s="3">
        <v>183</v>
      </c>
      <c r="B23" s="3" t="s">
        <v>8443</v>
      </c>
      <c r="C23" s="3">
        <v>645951790</v>
      </c>
      <c r="D23" s="3">
        <v>645955455</v>
      </c>
      <c r="E23" s="3">
        <f>D23-C23</f>
        <v>3665</v>
      </c>
      <c r="F23" s="3">
        <v>174.619</v>
      </c>
      <c r="G23" s="3">
        <v>194.02199999999999</v>
      </c>
      <c r="H23" s="3">
        <v>30.074000000000002</v>
      </c>
      <c r="I23" s="3">
        <f>H23*1000000/8</f>
        <v>3759250</v>
      </c>
      <c r="J23" s="3">
        <f>H23/G23</f>
        <v>0.15500304089226996</v>
      </c>
      <c r="K23" s="3">
        <f>J23*E23</f>
        <v>568.08614487016939</v>
      </c>
      <c r="L23" s="3">
        <f>C23</f>
        <v>645951790</v>
      </c>
      <c r="M23" s="3">
        <f>C23+K23</f>
        <v>645952358.08614492</v>
      </c>
    </row>
    <row r="24" spans="1:20">
      <c r="B24" s="3" t="s">
        <v>8469</v>
      </c>
      <c r="C24" s="3">
        <v>645951790</v>
      </c>
      <c r="D24" s="3">
        <v>645955455</v>
      </c>
      <c r="E24" s="3">
        <f>D24-C24</f>
        <v>3665</v>
      </c>
      <c r="F24" s="3">
        <v>174.619</v>
      </c>
      <c r="G24" s="3">
        <v>194.02199999999999</v>
      </c>
      <c r="H24" s="3">
        <v>56</v>
      </c>
      <c r="I24" s="3">
        <f>H24*1000000/8</f>
        <v>7000000</v>
      </c>
      <c r="J24" s="3">
        <f>H24/G24</f>
        <v>0.28862706291039164</v>
      </c>
      <c r="K24" s="3">
        <f>J24*E24</f>
        <v>1057.8181855665853</v>
      </c>
      <c r="L24" s="3">
        <f>M23-1</f>
        <v>645952357.08614492</v>
      </c>
      <c r="M24" s="3">
        <f>M23-1+N24</f>
        <v>645952357.08614492</v>
      </c>
    </row>
    <row r="25" spans="1:20">
      <c r="C25" s="3">
        <v>645951790</v>
      </c>
      <c r="D25" s="3">
        <v>645955455</v>
      </c>
      <c r="E25" s="3">
        <f>D25-C25</f>
        <v>3665</v>
      </c>
      <c r="F25" s="3">
        <v>174.619</v>
      </c>
      <c r="G25" s="3">
        <v>194.02199999999999</v>
      </c>
      <c r="H25" s="3">
        <v>22.6</v>
      </c>
      <c r="I25" s="3">
        <f>H25*1000000/8</f>
        <v>2825000</v>
      </c>
      <c r="J25" s="3">
        <f>H25/G25</f>
        <v>0.11648163610312234</v>
      </c>
      <c r="K25" s="3">
        <f>J25*E25</f>
        <v>426.90519631794336</v>
      </c>
      <c r="L25" s="3">
        <f>M24-1</f>
        <v>645952356.08614492</v>
      </c>
      <c r="M25" s="3">
        <f>M24-1+N25</f>
        <v>645952356.08614492</v>
      </c>
    </row>
    <row r="27" spans="1:20">
      <c r="E27" s="3" t="s">
        <v>8549</v>
      </c>
    </row>
    <row r="28" spans="1:20">
      <c r="E28" t="s">
        <v>8550</v>
      </c>
    </row>
    <row r="29" spans="1:20">
      <c r="E29" t="s">
        <v>8551</v>
      </c>
    </row>
    <row r="30" spans="1:20">
      <c r="E30" s="3" t="s">
        <v>8567</v>
      </c>
    </row>
    <row r="31" spans="1:20">
      <c r="E31" t="s">
        <v>8561</v>
      </c>
    </row>
    <row r="32" spans="1:20">
      <c r="E32" t="s">
        <v>8562</v>
      </c>
    </row>
    <row r="33" spans="5:5">
      <c r="E33" t="s">
        <v>8563</v>
      </c>
    </row>
    <row r="34" spans="5:5">
      <c r="E34" s="93" t="s">
        <v>8564</v>
      </c>
    </row>
    <row r="35" spans="5:5">
      <c r="E35" s="93" t="s">
        <v>8565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workbookViewId="0"/>
  </sheetViews>
  <sheetFormatPr defaultColWidth="8.86328125" defaultRowHeight="15" customHeight="1"/>
  <cols>
    <col min="2" max="2" width="18.1328125" customWidth="1"/>
    <col min="3" max="3" width="26.73046875" customWidth="1"/>
    <col min="4" max="4" width="26.86328125" customWidth="1"/>
    <col min="5" max="5" width="22.86328125" customWidth="1"/>
    <col min="6" max="6" width="21.73046875" customWidth="1"/>
    <col min="7" max="7" width="11.1328125" customWidth="1"/>
    <col min="8" max="8" width="20" customWidth="1"/>
    <col min="9" max="10" width="17.73046875" customWidth="1"/>
    <col min="11" max="11" width="11.86328125" customWidth="1"/>
    <col min="12" max="12" width="37.1328125" customWidth="1"/>
    <col min="13" max="13" width="15.59765625" customWidth="1"/>
    <col min="14" max="14" width="21.3984375" customWidth="1"/>
    <col min="15" max="15" width="21.73046875" customWidth="1"/>
    <col min="16" max="16" width="12" customWidth="1"/>
    <col min="17" max="17" width="15.59765625" customWidth="1"/>
    <col min="18" max="18" width="11.3984375" customWidth="1"/>
    <col min="23" max="23" width="11.3984375" customWidth="1"/>
  </cols>
  <sheetData>
    <row r="2" spans="2:22" ht="28.5">
      <c r="B2" s="336" t="s">
        <v>1738</v>
      </c>
      <c r="C2" s="336" t="s">
        <v>1739</v>
      </c>
      <c r="D2" s="336" t="s">
        <v>1740</v>
      </c>
      <c r="E2" s="336" t="s">
        <v>1741</v>
      </c>
      <c r="F2" s="336" t="s">
        <v>1742</v>
      </c>
      <c r="H2" s="337" t="s">
        <v>1743</v>
      </c>
      <c r="I2" s="338" t="s">
        <v>1744</v>
      </c>
      <c r="J2" s="336" t="s">
        <v>1745</v>
      </c>
      <c r="K2" s="3"/>
      <c r="L2" s="336" t="s">
        <v>1746</v>
      </c>
      <c r="M2" s="336" t="s">
        <v>1747</v>
      </c>
      <c r="N2" s="336" t="s">
        <v>1745</v>
      </c>
    </row>
    <row r="3" spans="2:22" ht="14.25">
      <c r="B3" s="339" t="s">
        <v>1748</v>
      </c>
      <c r="C3" s="339" t="s">
        <v>1749</v>
      </c>
      <c r="D3" s="339">
        <v>75</v>
      </c>
      <c r="E3" s="339">
        <f t="shared" ref="E3:E8" si="0">D3*8</f>
        <v>600</v>
      </c>
      <c r="F3" s="339">
        <v>1</v>
      </c>
      <c r="H3" s="339" t="s">
        <v>1750</v>
      </c>
      <c r="I3" s="339">
        <v>0</v>
      </c>
      <c r="J3" s="339"/>
      <c r="L3" s="339" t="s">
        <v>1750</v>
      </c>
      <c r="M3" s="339">
        <v>0</v>
      </c>
      <c r="N3" s="339">
        <v>0</v>
      </c>
    </row>
    <row r="4" spans="2:22" ht="14.25">
      <c r="B4" s="339" t="s">
        <v>1751</v>
      </c>
      <c r="C4" s="339" t="s">
        <v>1752</v>
      </c>
      <c r="D4" s="339">
        <v>33</v>
      </c>
      <c r="E4" s="339">
        <f t="shared" si="0"/>
        <v>264</v>
      </c>
      <c r="F4" s="340" t="s">
        <v>1753</v>
      </c>
      <c r="H4" s="339" t="s">
        <v>1754</v>
      </c>
      <c r="I4" s="339">
        <f>1/(24*60*60)</f>
        <v>1.1574074074074073E-5</v>
      </c>
      <c r="J4" s="339">
        <v>86400</v>
      </c>
      <c r="L4" s="339" t="s">
        <v>1754</v>
      </c>
      <c r="M4" s="339">
        <f t="shared" ref="M4:M15" si="1">1/N4</f>
        <v>1.1574074074074073E-5</v>
      </c>
      <c r="N4" s="339">
        <v>86400</v>
      </c>
    </row>
    <row r="5" spans="2:22" ht="14.25">
      <c r="B5" s="339" t="s">
        <v>1755</v>
      </c>
      <c r="C5" s="339" t="s">
        <v>1756</v>
      </c>
      <c r="D5" s="339">
        <v>35</v>
      </c>
      <c r="E5" s="339">
        <f t="shared" si="0"/>
        <v>280</v>
      </c>
      <c r="F5" s="339">
        <v>64</v>
      </c>
      <c r="H5" s="339" t="s">
        <v>1757</v>
      </c>
      <c r="I5" s="339">
        <f>1/(12*60*60)</f>
        <v>2.3148148148148147E-5</v>
      </c>
      <c r="J5" s="339">
        <v>43200</v>
      </c>
      <c r="L5" s="339" t="s">
        <v>1757</v>
      </c>
      <c r="M5" s="339">
        <f t="shared" si="1"/>
        <v>2.3148148148148147E-5</v>
      </c>
      <c r="N5" s="339">
        <v>43200</v>
      </c>
    </row>
    <row r="6" spans="2:22" ht="14.25">
      <c r="B6" s="339" t="s">
        <v>1758</v>
      </c>
      <c r="C6" s="339" t="s">
        <v>1759</v>
      </c>
      <c r="D6" s="339">
        <v>87</v>
      </c>
      <c r="E6" s="339">
        <f t="shared" si="0"/>
        <v>696</v>
      </c>
      <c r="F6" s="339">
        <v>1</v>
      </c>
      <c r="H6" s="339" t="s">
        <v>1760</v>
      </c>
      <c r="I6" s="339">
        <f>1/(6*60*60)</f>
        <v>4.6296296296296294E-5</v>
      </c>
      <c r="J6" s="339">
        <v>21600</v>
      </c>
      <c r="L6" s="339" t="s">
        <v>1760</v>
      </c>
      <c r="M6" s="339">
        <f t="shared" si="1"/>
        <v>4.6227810650887573E-5</v>
      </c>
      <c r="N6" s="339">
        <v>21632</v>
      </c>
    </row>
    <row r="7" spans="2:22" ht="14.25">
      <c r="B7" s="339" t="s">
        <v>1761</v>
      </c>
      <c r="C7" s="339" t="s">
        <v>1762</v>
      </c>
      <c r="D7" s="339">
        <v>216</v>
      </c>
      <c r="E7" s="339">
        <f t="shared" si="0"/>
        <v>1728</v>
      </c>
      <c r="F7" s="339">
        <v>1</v>
      </c>
      <c r="H7" s="339" t="s">
        <v>1763</v>
      </c>
      <c r="I7" s="339">
        <f>1/(3*60*60)</f>
        <v>9.2592592592592588E-5</v>
      </c>
      <c r="J7" s="339">
        <v>10800</v>
      </c>
      <c r="L7" s="339" t="s">
        <v>1763</v>
      </c>
      <c r="M7" s="339">
        <f t="shared" si="1"/>
        <v>9.2455621301775146E-5</v>
      </c>
      <c r="N7" s="339">
        <v>10816</v>
      </c>
    </row>
    <row r="8" spans="2:22" ht="14.25">
      <c r="B8" s="339" t="s">
        <v>1764</v>
      </c>
      <c r="C8" s="339" t="s">
        <v>1765</v>
      </c>
      <c r="D8" s="339">
        <v>204</v>
      </c>
      <c r="E8" s="339">
        <f t="shared" si="0"/>
        <v>1632</v>
      </c>
      <c r="F8" s="339">
        <v>63</v>
      </c>
      <c r="H8" s="339" t="s">
        <v>1766</v>
      </c>
      <c r="I8" s="339">
        <f>1/(2*60*60)</f>
        <v>1.3888888888888889E-4</v>
      </c>
      <c r="J8" s="339">
        <v>7200</v>
      </c>
      <c r="L8" s="339" t="s">
        <v>1766</v>
      </c>
      <c r="M8" s="339">
        <f t="shared" si="1"/>
        <v>1.3827433628318584E-4</v>
      </c>
      <c r="N8" s="339">
        <v>7232</v>
      </c>
    </row>
    <row r="9" spans="2:22" ht="14.25">
      <c r="H9" s="339" t="s">
        <v>1767</v>
      </c>
      <c r="I9" s="339">
        <f>1/(60*60)</f>
        <v>2.7777777777777778E-4</v>
      </c>
      <c r="J9" s="339">
        <v>3600</v>
      </c>
      <c r="L9" s="339" t="s">
        <v>1767</v>
      </c>
      <c r="M9" s="339">
        <f t="shared" si="1"/>
        <v>2.7412280701754384E-4</v>
      </c>
      <c r="N9" s="339">
        <v>3648</v>
      </c>
    </row>
    <row r="10" spans="2:22" ht="14.25">
      <c r="H10" s="339" t="s">
        <v>1768</v>
      </c>
      <c r="I10" s="339">
        <f>1/(30*60)</f>
        <v>5.5555555555555556E-4</v>
      </c>
      <c r="J10" s="339">
        <v>1800</v>
      </c>
      <c r="L10" s="339" t="s">
        <v>1768</v>
      </c>
      <c r="M10" s="339">
        <f t="shared" si="1"/>
        <v>5.3879310344827585E-4</v>
      </c>
      <c r="N10" s="339">
        <f>1856</f>
        <v>1856</v>
      </c>
    </row>
    <row r="11" spans="2:22" ht="14.25">
      <c r="H11" s="339" t="s">
        <v>1769</v>
      </c>
      <c r="I11" s="339">
        <f>1/(20*60)</f>
        <v>8.3333333333333339E-4</v>
      </c>
      <c r="J11" s="339">
        <f>1200</f>
        <v>1200</v>
      </c>
      <c r="L11" s="339" t="s">
        <v>1769</v>
      </c>
      <c r="M11" s="339">
        <f t="shared" si="1"/>
        <v>7.8125000000000004E-4</v>
      </c>
      <c r="N11" s="339">
        <f>20*64</f>
        <v>1280</v>
      </c>
    </row>
    <row r="12" spans="2:22" ht="14.25">
      <c r="H12" s="339" t="s">
        <v>1770</v>
      </c>
      <c r="I12" s="339">
        <f>1/(10*60)</f>
        <v>1.6666666666666668E-3</v>
      </c>
      <c r="J12" s="339">
        <v>600</v>
      </c>
      <c r="L12" s="339" t="s">
        <v>1770</v>
      </c>
      <c r="M12" s="339">
        <f t="shared" si="1"/>
        <v>1.5625000000000001E-3</v>
      </c>
      <c r="N12" s="339">
        <f>10*64</f>
        <v>640</v>
      </c>
    </row>
    <row r="13" spans="2:22" ht="14.25">
      <c r="H13" s="339" t="s">
        <v>1771</v>
      </c>
      <c r="I13" s="339">
        <f>1/(5*60)</f>
        <v>3.3333333333333335E-3</v>
      </c>
      <c r="J13" s="339">
        <v>300</v>
      </c>
      <c r="L13" s="339" t="s">
        <v>1771</v>
      </c>
      <c r="M13" s="339">
        <f t="shared" si="1"/>
        <v>3.1250000000000002E-3</v>
      </c>
      <c r="N13" s="339">
        <f>5*64</f>
        <v>320</v>
      </c>
    </row>
    <row r="14" spans="2:22" ht="14.25">
      <c r="H14" s="339" t="s">
        <v>1772</v>
      </c>
      <c r="I14" s="339">
        <f>1/(2*60)</f>
        <v>8.3333333333333332E-3</v>
      </c>
      <c r="J14" s="339">
        <v>120</v>
      </c>
      <c r="L14" s="339" t="s">
        <v>1772</v>
      </c>
      <c r="M14" s="339">
        <f t="shared" si="1"/>
        <v>7.8125E-3</v>
      </c>
      <c r="N14" s="339">
        <f>2*64</f>
        <v>128</v>
      </c>
    </row>
    <row r="15" spans="2:22" ht="14.25">
      <c r="H15" s="339" t="s">
        <v>1773</v>
      </c>
      <c r="I15" s="339">
        <f>1/64</f>
        <v>1.5625E-2</v>
      </c>
      <c r="J15" s="339">
        <v>64</v>
      </c>
      <c r="L15" s="339" t="s">
        <v>1773</v>
      </c>
      <c r="M15" s="339">
        <f t="shared" si="1"/>
        <v>1.5625E-2</v>
      </c>
      <c r="N15" s="339">
        <v>64</v>
      </c>
      <c r="T15" s="5"/>
      <c r="V15" s="278"/>
    </row>
    <row r="16" spans="2:22" ht="14.25">
      <c r="H16" s="339" t="s">
        <v>1774</v>
      </c>
      <c r="I16" s="339">
        <f>1/32</f>
        <v>3.125E-2</v>
      </c>
      <c r="J16" s="339">
        <v>32</v>
      </c>
      <c r="T16" s="5"/>
      <c r="V16" s="278"/>
    </row>
    <row r="17" spans="2:22" ht="14.25">
      <c r="H17" s="339" t="s">
        <v>1775</v>
      </c>
      <c r="I17" s="339">
        <f>1/16</f>
        <v>6.25E-2</v>
      </c>
      <c r="J17" s="339">
        <v>16</v>
      </c>
      <c r="P17" s="183"/>
      <c r="T17" s="5"/>
      <c r="V17" s="278"/>
    </row>
    <row r="18" spans="2:22" ht="14.25">
      <c r="H18" s="339" t="s">
        <v>1776</v>
      </c>
      <c r="I18" s="339">
        <f>1/8</f>
        <v>0.125</v>
      </c>
      <c r="J18" s="339">
        <v>8</v>
      </c>
      <c r="P18" s="183"/>
    </row>
    <row r="19" spans="2:22" ht="14.25">
      <c r="H19" s="339" t="s">
        <v>1777</v>
      </c>
      <c r="I19" s="339">
        <f>1/4</f>
        <v>0.25</v>
      </c>
      <c r="J19" s="339">
        <v>4</v>
      </c>
    </row>
    <row r="20" spans="2:22" ht="14.25">
      <c r="H20" s="339" t="s">
        <v>1778</v>
      </c>
      <c r="I20" s="339">
        <f>1/2</f>
        <v>0.5</v>
      </c>
      <c r="J20" s="339">
        <v>2</v>
      </c>
    </row>
    <row r="21" spans="2:22" ht="14.25">
      <c r="H21" s="339" t="s">
        <v>1779</v>
      </c>
      <c r="I21" s="339">
        <f>1</f>
        <v>1</v>
      </c>
      <c r="J21" s="339">
        <v>1</v>
      </c>
    </row>
    <row r="25" spans="2:22" ht="18">
      <c r="B25" s="548" t="s">
        <v>1780</v>
      </c>
      <c r="C25" s="548"/>
      <c r="D25" s="548"/>
      <c r="E25" s="548"/>
      <c r="F25" s="548"/>
      <c r="G25" s="548"/>
      <c r="H25" s="548"/>
      <c r="I25" s="548"/>
      <c r="J25" s="91"/>
    </row>
    <row r="26" spans="2:22" ht="14.25">
      <c r="B26" s="341"/>
      <c r="C26" s="342" t="s">
        <v>1739</v>
      </c>
      <c r="D26" s="342" t="s">
        <v>1781</v>
      </c>
      <c r="E26" s="342" t="s">
        <v>1782</v>
      </c>
      <c r="F26" s="342" t="s">
        <v>1783</v>
      </c>
      <c r="G26" s="342" t="s">
        <v>1784</v>
      </c>
      <c r="H26" s="342" t="s">
        <v>1785</v>
      </c>
      <c r="I26" s="342" t="s">
        <v>1786</v>
      </c>
      <c r="J26" s="91"/>
    </row>
    <row r="27" spans="2:22" ht="14.25">
      <c r="B27" s="339" t="s">
        <v>1787</v>
      </c>
      <c r="C27" s="339" t="s">
        <v>1749</v>
      </c>
      <c r="D27" s="339">
        <f>$E$3</f>
        <v>600</v>
      </c>
      <c r="E27" s="339" t="s">
        <v>1767</v>
      </c>
      <c r="F27" s="339">
        <f>$I$9*$F$3</f>
        <v>2.7777777777777778E-4</v>
      </c>
      <c r="G27" s="339">
        <f>D27*F27</f>
        <v>0.16666666666666666</v>
      </c>
      <c r="H27" s="339">
        <v>86400</v>
      </c>
      <c r="I27" s="339">
        <f>G27*H27/1000000</f>
        <v>1.44E-2</v>
      </c>
      <c r="J27" s="91"/>
    </row>
    <row r="28" spans="2:22" ht="14.25">
      <c r="B28" s="339" t="s">
        <v>1788</v>
      </c>
      <c r="C28" s="339" t="s">
        <v>1756</v>
      </c>
      <c r="D28" s="339">
        <f>$E$5</f>
        <v>280</v>
      </c>
      <c r="E28" s="343" t="s">
        <v>1773</v>
      </c>
      <c r="F28" s="339">
        <f>$M$15*$F$5</f>
        <v>1</v>
      </c>
      <c r="G28" s="339">
        <f>D28*F28</f>
        <v>280</v>
      </c>
      <c r="H28" s="339">
        <v>86400</v>
      </c>
      <c r="I28" s="339">
        <f>G28*H28/1000000</f>
        <v>24.192</v>
      </c>
      <c r="J28" s="91"/>
    </row>
    <row r="29" spans="2:22" ht="14.25">
      <c r="B29" s="339" t="s">
        <v>1758</v>
      </c>
      <c r="C29" s="339" t="s">
        <v>1759</v>
      </c>
      <c r="D29" s="339">
        <f>$E$6</f>
        <v>696</v>
      </c>
      <c r="E29" s="339" t="s">
        <v>1767</v>
      </c>
      <c r="F29" s="339">
        <f>$M$9*$F$6</f>
        <v>2.7412280701754384E-4</v>
      </c>
      <c r="G29" s="339">
        <f>D29*F29</f>
        <v>0.19078947368421051</v>
      </c>
      <c r="H29" s="339">
        <v>86400</v>
      </c>
      <c r="I29" s="339">
        <f>G29*H29/1000000</f>
        <v>1.6484210526315785E-2</v>
      </c>
      <c r="J29" s="91"/>
    </row>
    <row r="30" spans="2:22" ht="15" customHeight="1">
      <c r="B30" s="339" t="s">
        <v>1761</v>
      </c>
      <c r="C30" s="339" t="s">
        <v>1762</v>
      </c>
      <c r="D30" s="339">
        <f>$E$7</f>
        <v>1728</v>
      </c>
      <c r="E30" s="339" t="s">
        <v>1789</v>
      </c>
      <c r="F30" s="339">
        <v>0</v>
      </c>
      <c r="G30" s="339">
        <f>D30*F30</f>
        <v>0</v>
      </c>
      <c r="H30" s="339">
        <v>0</v>
      </c>
      <c r="I30" s="339">
        <f>G30*H30/1000000</f>
        <v>0</v>
      </c>
      <c r="J30" s="553" t="s">
        <v>1790</v>
      </c>
      <c r="K30" s="553"/>
      <c r="L30" s="553"/>
      <c r="M30" s="553"/>
      <c r="N30" s="553"/>
    </row>
    <row r="31" spans="2:22" ht="14.25">
      <c r="B31" s="339" t="s">
        <v>1764</v>
      </c>
      <c r="C31" s="339" t="s">
        <v>1765</v>
      </c>
      <c r="D31" s="339">
        <f>$E$8</f>
        <v>1632</v>
      </c>
      <c r="E31" s="339" t="s">
        <v>1789</v>
      </c>
      <c r="F31" s="339">
        <v>0</v>
      </c>
      <c r="G31" s="339">
        <f>D31*F31</f>
        <v>0</v>
      </c>
      <c r="H31" s="339">
        <v>0</v>
      </c>
      <c r="I31" s="339">
        <f>G31*H31/1000000</f>
        <v>0</v>
      </c>
      <c r="J31" s="553"/>
      <c r="K31" s="553"/>
      <c r="L31" s="553"/>
      <c r="M31" s="553"/>
      <c r="N31" s="553"/>
    </row>
    <row r="32" spans="2:22" ht="15.4">
      <c r="B32" s="552"/>
      <c r="C32" s="552"/>
      <c r="D32" s="552"/>
      <c r="E32" s="552"/>
      <c r="F32" s="552"/>
      <c r="G32" s="552"/>
      <c r="H32" s="343" t="s">
        <v>1791</v>
      </c>
      <c r="I32" s="343">
        <f>SUM(I27:I31)</f>
        <v>24.222884210526313</v>
      </c>
      <c r="J32" s="344"/>
      <c r="K32" s="345"/>
      <c r="L32" s="345"/>
      <c r="M32" s="345"/>
      <c r="N32" s="345"/>
    </row>
    <row r="33" spans="2:16" ht="15.4">
      <c r="J33" s="345"/>
      <c r="K33" s="345"/>
      <c r="L33" s="345"/>
      <c r="M33" s="345"/>
      <c r="N33" s="345"/>
    </row>
    <row r="34" spans="2:16" ht="15.4">
      <c r="J34" s="345"/>
      <c r="K34" s="345"/>
      <c r="L34" s="345"/>
      <c r="M34" s="345"/>
      <c r="N34" s="345"/>
    </row>
    <row r="35" spans="2:16" ht="15.4">
      <c r="J35" s="345"/>
      <c r="K35" s="345"/>
      <c r="L35" s="345"/>
      <c r="M35" s="345"/>
      <c r="N35" s="345"/>
    </row>
    <row r="36" spans="2:16" ht="15.4">
      <c r="J36" s="345"/>
      <c r="K36" s="345"/>
      <c r="L36" s="345"/>
      <c r="M36" s="345"/>
      <c r="N36" s="345"/>
    </row>
    <row r="37" spans="2:16" ht="15.4">
      <c r="J37" s="345"/>
      <c r="K37" s="345"/>
      <c r="L37" s="345"/>
      <c r="M37" s="345"/>
      <c r="N37" s="345"/>
    </row>
    <row r="38" spans="2:16" ht="18">
      <c r="B38" s="548" t="s">
        <v>1792</v>
      </c>
      <c r="C38" s="548"/>
      <c r="D38" s="548"/>
      <c r="E38" s="548"/>
      <c r="F38" s="548"/>
      <c r="G38" s="548"/>
      <c r="H38" s="548"/>
      <c r="I38" s="548"/>
      <c r="J38" s="346"/>
      <c r="K38" s="345"/>
      <c r="L38" s="345"/>
      <c r="M38" s="345"/>
      <c r="N38" s="345"/>
      <c r="P38" t="s">
        <v>204</v>
      </c>
    </row>
    <row r="39" spans="2:16" ht="15.4">
      <c r="B39" s="341"/>
      <c r="C39" s="342" t="s">
        <v>1739</v>
      </c>
      <c r="D39" s="342" t="s">
        <v>1781</v>
      </c>
      <c r="E39" s="342" t="s">
        <v>1782</v>
      </c>
      <c r="F39" s="342" t="s">
        <v>1783</v>
      </c>
      <c r="G39" s="342" t="s">
        <v>1784</v>
      </c>
      <c r="H39" s="342" t="s">
        <v>1785</v>
      </c>
      <c r="I39" s="342" t="s">
        <v>1786</v>
      </c>
      <c r="J39" s="346"/>
      <c r="K39" s="345"/>
      <c r="L39" s="345"/>
      <c r="M39" s="345"/>
      <c r="N39" s="345"/>
    </row>
    <row r="40" spans="2:16" ht="15.4">
      <c r="B40" s="339" t="s">
        <v>1787</v>
      </c>
      <c r="C40" s="339" t="s">
        <v>1749</v>
      </c>
      <c r="D40" s="339">
        <f>$E$3</f>
        <v>600</v>
      </c>
      <c r="E40" s="339" t="s">
        <v>1767</v>
      </c>
      <c r="F40" s="339">
        <f>$I$9*$F$3</f>
        <v>2.7777777777777778E-4</v>
      </c>
      <c r="G40" s="339">
        <f>D40*F40</f>
        <v>0.16666666666666666</v>
      </c>
      <c r="H40" s="339">
        <v>86400</v>
      </c>
      <c r="I40" s="339">
        <f>G40*H40/1000000</f>
        <v>1.44E-2</v>
      </c>
      <c r="J40" s="345"/>
      <c r="K40" s="345"/>
      <c r="L40" s="345"/>
      <c r="M40" s="345"/>
      <c r="N40" s="345"/>
    </row>
    <row r="41" spans="2:16" ht="15.4">
      <c r="B41" s="339" t="s">
        <v>1788</v>
      </c>
      <c r="C41" s="339" t="s">
        <v>1756</v>
      </c>
      <c r="D41" s="339">
        <f>$E$5</f>
        <v>280</v>
      </c>
      <c r="E41" s="343" t="s">
        <v>1773</v>
      </c>
      <c r="F41" s="339">
        <f>$M$15*$F$5</f>
        <v>1</v>
      </c>
      <c r="G41" s="339">
        <f>D41*F41</f>
        <v>280</v>
      </c>
      <c r="H41" s="339">
        <v>86400</v>
      </c>
      <c r="I41" s="339">
        <f>G41*H41/1000000</f>
        <v>24.192</v>
      </c>
      <c r="J41" s="345"/>
      <c r="K41" s="345"/>
      <c r="L41" s="345"/>
      <c r="M41" s="345"/>
      <c r="N41" s="345"/>
    </row>
    <row r="42" spans="2:16" ht="15.4">
      <c r="B42" s="339" t="s">
        <v>1758</v>
      </c>
      <c r="C42" s="339" t="s">
        <v>1759</v>
      </c>
      <c r="D42" s="339">
        <f>$E$6</f>
        <v>696</v>
      </c>
      <c r="E42" s="339" t="s">
        <v>1767</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1761</v>
      </c>
      <c r="C43" s="339" t="s">
        <v>1762</v>
      </c>
      <c r="D43" s="339">
        <f>$E$7</f>
        <v>1728</v>
      </c>
      <c r="E43" s="339" t="s">
        <v>1754</v>
      </c>
      <c r="F43" s="339">
        <f>$M$4*$F$7</f>
        <v>1.1574074074074073E-5</v>
      </c>
      <c r="G43" s="339">
        <f>D43*F43</f>
        <v>0.02</v>
      </c>
      <c r="H43" s="339">
        <v>86400</v>
      </c>
      <c r="I43" s="339">
        <f>G43*H43/1000000</f>
        <v>1.7279999999999999E-3</v>
      </c>
      <c r="J43" s="554" t="s">
        <v>1793</v>
      </c>
      <c r="K43" s="554"/>
      <c r="L43" s="554"/>
      <c r="M43" s="554"/>
      <c r="N43" s="554"/>
      <c r="O43" s="276"/>
    </row>
    <row r="44" spans="2:16" ht="14.25">
      <c r="B44" s="339" t="s">
        <v>1764</v>
      </c>
      <c r="C44" s="339" t="s">
        <v>1765</v>
      </c>
      <c r="D44" s="339">
        <f>$E$8</f>
        <v>1632</v>
      </c>
      <c r="E44" s="339" t="s">
        <v>1754</v>
      </c>
      <c r="F44" s="339">
        <f>$M$4*$F$8</f>
        <v>7.2916666666666659E-4</v>
      </c>
      <c r="G44" s="339">
        <f>D44*F44</f>
        <v>1.19</v>
      </c>
      <c r="H44" s="339">
        <v>86400</v>
      </c>
      <c r="I44" s="339">
        <f>G44*H44/1000000</f>
        <v>0.102816</v>
      </c>
      <c r="J44" s="554"/>
      <c r="K44" s="554"/>
      <c r="L44" s="554"/>
      <c r="M44" s="554"/>
      <c r="N44" s="554"/>
      <c r="O44" s="276"/>
    </row>
    <row r="45" spans="2:16" ht="14.25">
      <c r="B45" s="552"/>
      <c r="C45" s="552"/>
      <c r="D45" s="552"/>
      <c r="E45" s="552"/>
      <c r="F45" s="552"/>
      <c r="G45" s="552"/>
      <c r="H45" s="343" t="s">
        <v>1791</v>
      </c>
      <c r="I45" s="343">
        <f>SUM(I40:I44)</f>
        <v>24.327428210526314</v>
      </c>
      <c r="J45" s="91">
        <f>I45*1000000/86400</f>
        <v>281.56745614035083</v>
      </c>
      <c r="K45">
        <f>J45/8</f>
        <v>35.195932017543853</v>
      </c>
    </row>
    <row r="46" spans="2:16" ht="14.25">
      <c r="B46" s="3"/>
      <c r="C46" s="3"/>
      <c r="D46" s="3"/>
      <c r="E46" s="3"/>
      <c r="F46" s="3"/>
      <c r="G46" s="3"/>
      <c r="H46" s="91"/>
      <c r="I46" s="91"/>
      <c r="J46" s="3" t="s">
        <v>6</v>
      </c>
      <c r="K46" s="3" t="s">
        <v>4118</v>
      </c>
    </row>
    <row r="47" spans="2:16" ht="18">
      <c r="B47" s="548" t="s">
        <v>1794</v>
      </c>
      <c r="C47" s="548"/>
      <c r="D47" s="548"/>
      <c r="E47" s="548"/>
      <c r="F47" s="548"/>
      <c r="G47" s="548"/>
      <c r="H47" s="548"/>
      <c r="I47" s="548"/>
      <c r="J47" s="347"/>
    </row>
    <row r="48" spans="2:16" ht="14.25">
      <c r="B48" s="341"/>
      <c r="C48" s="342" t="s">
        <v>1739</v>
      </c>
      <c r="D48" s="342" t="s">
        <v>1781</v>
      </c>
      <c r="E48" s="342" t="s">
        <v>1782</v>
      </c>
      <c r="F48" s="342" t="s">
        <v>1783</v>
      </c>
      <c r="G48" s="342" t="s">
        <v>1784</v>
      </c>
      <c r="H48" s="342" t="s">
        <v>1785</v>
      </c>
      <c r="I48" s="342" t="s">
        <v>1786</v>
      </c>
      <c r="J48" s="145"/>
    </row>
    <row r="49" spans="2:11" ht="14.25">
      <c r="B49" s="339" t="s">
        <v>1787</v>
      </c>
      <c r="C49" s="339" t="s">
        <v>1749</v>
      </c>
      <c r="D49" s="339">
        <f>$E$3</f>
        <v>600</v>
      </c>
      <c r="E49" s="339" t="s">
        <v>1767</v>
      </c>
      <c r="F49" s="339">
        <f>$I$9*$F$3</f>
        <v>2.7777777777777778E-4</v>
      </c>
      <c r="G49" s="339">
        <f>D49*F49</f>
        <v>0.16666666666666666</v>
      </c>
      <c r="H49" s="339">
        <v>86400</v>
      </c>
      <c r="I49" s="339">
        <f>G49*H49/1000000</f>
        <v>1.44E-2</v>
      </c>
    </row>
    <row r="50" spans="2:11" ht="14.25">
      <c r="B50" s="339" t="s">
        <v>1788</v>
      </c>
      <c r="C50" s="339" t="s">
        <v>1756</v>
      </c>
      <c r="D50" s="339">
        <f>$E$5</f>
        <v>280</v>
      </c>
      <c r="E50" s="343" t="s">
        <v>1772</v>
      </c>
      <c r="F50" s="339">
        <f>$M$14*$F$5</f>
        <v>0.5</v>
      </c>
      <c r="G50" s="339">
        <f>D50*F50</f>
        <v>140</v>
      </c>
      <c r="H50" s="339">
        <v>86400</v>
      </c>
      <c r="I50" s="339">
        <f>G50*H50/1000000</f>
        <v>12.096</v>
      </c>
    </row>
    <row r="51" spans="2:11" ht="14.25">
      <c r="B51" s="339" t="s">
        <v>1758</v>
      </c>
      <c r="C51" s="339" t="s">
        <v>1759</v>
      </c>
      <c r="D51" s="339">
        <f>$E$6</f>
        <v>696</v>
      </c>
      <c r="E51" s="339" t="s">
        <v>1767</v>
      </c>
      <c r="F51" s="339">
        <f>$M$9*$F$6</f>
        <v>2.7412280701754384E-4</v>
      </c>
      <c r="G51" s="339">
        <f>D51*F51</f>
        <v>0.19078947368421051</v>
      </c>
      <c r="H51" s="339">
        <v>86400</v>
      </c>
      <c r="I51" s="339">
        <f>G51*H51/1000000</f>
        <v>1.6484210526315785E-2</v>
      </c>
    </row>
    <row r="52" spans="2:11" ht="14.25">
      <c r="B52" s="339" t="s">
        <v>1761</v>
      </c>
      <c r="C52" s="339" t="s">
        <v>1762</v>
      </c>
      <c r="D52" s="339">
        <f>$E$7</f>
        <v>1728</v>
      </c>
      <c r="E52" s="339" t="s">
        <v>1754</v>
      </c>
      <c r="F52" s="339">
        <f>$M$4*$F$7</f>
        <v>1.1574074074074073E-5</v>
      </c>
      <c r="G52" s="339">
        <f>D52*F52</f>
        <v>0.02</v>
      </c>
      <c r="H52" s="339">
        <v>86400</v>
      </c>
      <c r="I52" s="339">
        <f>G52*H52/1000000</f>
        <v>1.7279999999999999E-3</v>
      </c>
    </row>
    <row r="53" spans="2:11" ht="14.25">
      <c r="B53" s="339" t="s">
        <v>1764</v>
      </c>
      <c r="C53" s="339" t="s">
        <v>1765</v>
      </c>
      <c r="D53" s="339">
        <f>$E$8</f>
        <v>1632</v>
      </c>
      <c r="E53" s="339" t="s">
        <v>1754</v>
      </c>
      <c r="F53" s="339">
        <f>$M$4*$F$8</f>
        <v>7.2916666666666659E-4</v>
      </c>
      <c r="G53" s="339">
        <f>D53*F53</f>
        <v>1.19</v>
      </c>
      <c r="H53" s="339">
        <v>86400</v>
      </c>
      <c r="I53" s="339">
        <f>G53*H53/1000000</f>
        <v>0.102816</v>
      </c>
    </row>
    <row r="54" spans="2:11" ht="14.25">
      <c r="B54" s="552"/>
      <c r="C54" s="552"/>
      <c r="D54" s="552"/>
      <c r="E54" s="552"/>
      <c r="F54" s="552"/>
      <c r="G54" s="552"/>
      <c r="H54" s="343" t="s">
        <v>1791</v>
      </c>
      <c r="I54" s="343">
        <f>SUM(I49:I53)</f>
        <v>12.231428210526317</v>
      </c>
      <c r="J54" s="91">
        <f>I54*1000000/86400</f>
        <v>141.56745614035088</v>
      </c>
      <c r="K54">
        <f>J54/8</f>
        <v>17.695932017543861</v>
      </c>
    </row>
    <row r="55" spans="2:11" ht="14.25">
      <c r="I55" s="91"/>
      <c r="J55" s="3" t="s">
        <v>6</v>
      </c>
      <c r="K55" s="3" t="s">
        <v>4118</v>
      </c>
    </row>
    <row r="56" spans="2:11" ht="18">
      <c r="B56" s="548" t="s">
        <v>1795</v>
      </c>
      <c r="C56" s="548"/>
      <c r="D56" s="548"/>
      <c r="E56" s="548"/>
      <c r="F56" s="548"/>
      <c r="G56" s="548"/>
      <c r="H56" s="548"/>
      <c r="I56" s="548"/>
      <c r="J56" s="347"/>
    </row>
    <row r="57" spans="2:11" ht="14.25">
      <c r="B57" s="341"/>
      <c r="C57" s="342" t="s">
        <v>1739</v>
      </c>
      <c r="D57" s="342" t="s">
        <v>1781</v>
      </c>
      <c r="E57" s="342" t="s">
        <v>1782</v>
      </c>
      <c r="F57" s="342" t="s">
        <v>1783</v>
      </c>
      <c r="G57" s="342" t="s">
        <v>1784</v>
      </c>
      <c r="H57" s="342" t="s">
        <v>1785</v>
      </c>
      <c r="I57" s="342" t="s">
        <v>1786</v>
      </c>
      <c r="J57" s="145"/>
    </row>
    <row r="58" spans="2:11" ht="14.25">
      <c r="B58" s="339" t="s">
        <v>1787</v>
      </c>
      <c r="C58" s="339" t="s">
        <v>1749</v>
      </c>
      <c r="D58" s="339">
        <f>$E$3</f>
        <v>600</v>
      </c>
      <c r="E58" s="339" t="s">
        <v>1767</v>
      </c>
      <c r="F58" s="339">
        <f>$I$9*$F$3</f>
        <v>2.7777777777777778E-4</v>
      </c>
      <c r="G58" s="339">
        <f>D58*F58</f>
        <v>0.16666666666666666</v>
      </c>
      <c r="H58" s="339">
        <v>86400</v>
      </c>
      <c r="I58" s="339">
        <f>G58*H58/1000000</f>
        <v>1.44E-2</v>
      </c>
    </row>
    <row r="59" spans="2:11" ht="14.25">
      <c r="B59" s="339" t="s">
        <v>1788</v>
      </c>
      <c r="C59" s="339" t="s">
        <v>1756</v>
      </c>
      <c r="D59" s="339">
        <f>$E$5</f>
        <v>280</v>
      </c>
      <c r="E59" s="343" t="s">
        <v>1771</v>
      </c>
      <c r="F59" s="339">
        <f>$M$13*$F$5</f>
        <v>0.2</v>
      </c>
      <c r="G59" s="339">
        <f>D59*F59</f>
        <v>56</v>
      </c>
      <c r="H59" s="339">
        <v>86400</v>
      </c>
      <c r="I59" s="339">
        <f>G59*H59/1000000</f>
        <v>4.8384</v>
      </c>
    </row>
    <row r="60" spans="2:11" ht="14.25">
      <c r="B60" s="339" t="s">
        <v>1758</v>
      </c>
      <c r="C60" s="339" t="s">
        <v>1759</v>
      </c>
      <c r="D60" s="339">
        <f>$E$6</f>
        <v>696</v>
      </c>
      <c r="E60" s="339" t="s">
        <v>1767</v>
      </c>
      <c r="F60" s="339">
        <f>$M$9*$F$6</f>
        <v>2.7412280701754384E-4</v>
      </c>
      <c r="G60" s="339">
        <f>D60*F60</f>
        <v>0.19078947368421051</v>
      </c>
      <c r="H60" s="339">
        <v>86400</v>
      </c>
      <c r="I60" s="339">
        <f>G60*H60/1000000</f>
        <v>1.6484210526315785E-2</v>
      </c>
    </row>
    <row r="61" spans="2:11" ht="14.25">
      <c r="B61" s="339" t="s">
        <v>1761</v>
      </c>
      <c r="C61" s="339" t="s">
        <v>1762</v>
      </c>
      <c r="D61" s="339">
        <f>$E$7</f>
        <v>1728</v>
      </c>
      <c r="E61" s="339" t="s">
        <v>1754</v>
      </c>
      <c r="F61" s="339">
        <f>$M$4*$F$7</f>
        <v>1.1574074074074073E-5</v>
      </c>
      <c r="G61" s="339">
        <f>D61*F61</f>
        <v>0.02</v>
      </c>
      <c r="H61" s="339">
        <v>86400</v>
      </c>
      <c r="I61" s="339">
        <f>G61*H61/1000000</f>
        <v>1.7279999999999999E-3</v>
      </c>
    </row>
    <row r="62" spans="2:11" ht="14.25">
      <c r="B62" s="339" t="s">
        <v>1764</v>
      </c>
      <c r="C62" s="339" t="s">
        <v>1765</v>
      </c>
      <c r="D62" s="339">
        <f>$E$8</f>
        <v>1632</v>
      </c>
      <c r="E62" s="339" t="s">
        <v>1754</v>
      </c>
      <c r="F62" s="339">
        <f>$M$4*$F$8</f>
        <v>7.2916666666666659E-4</v>
      </c>
      <c r="G62" s="339">
        <f>D62*F62</f>
        <v>1.19</v>
      </c>
      <c r="H62" s="339">
        <v>86400</v>
      </c>
      <c r="I62" s="339">
        <f>G62*H62/1000000</f>
        <v>0.102816</v>
      </c>
    </row>
    <row r="63" spans="2:11" ht="14.25">
      <c r="B63" s="552"/>
      <c r="C63" s="552"/>
      <c r="D63" s="552"/>
      <c r="E63" s="552"/>
      <c r="F63" s="552"/>
      <c r="G63" s="552"/>
      <c r="H63" s="343" t="s">
        <v>1791</v>
      </c>
      <c r="I63" s="343">
        <f>SUM(I58:I62)</f>
        <v>4.9738282105263156</v>
      </c>
      <c r="J63" s="91">
        <f>I63*1000000/86400</f>
        <v>57.56745614035087</v>
      </c>
      <c r="K63">
        <f>J63/8</f>
        <v>7.1959320175438588</v>
      </c>
    </row>
    <row r="64" spans="2:11" ht="14.25">
      <c r="I64" s="91"/>
      <c r="J64" s="3" t="s">
        <v>6</v>
      </c>
      <c r="K64" s="3" t="s">
        <v>4118</v>
      </c>
    </row>
    <row r="65" spans="2:11" ht="18">
      <c r="B65" s="548" t="s">
        <v>1796</v>
      </c>
      <c r="C65" s="548"/>
      <c r="D65" s="548"/>
      <c r="E65" s="548"/>
      <c r="F65" s="548"/>
      <c r="G65" s="548"/>
      <c r="H65" s="548"/>
      <c r="I65" s="548"/>
      <c r="J65" s="347"/>
    </row>
    <row r="66" spans="2:11" ht="14.25">
      <c r="B66" s="341"/>
      <c r="C66" s="342" t="s">
        <v>1739</v>
      </c>
      <c r="D66" s="342" t="s">
        <v>1781</v>
      </c>
      <c r="E66" s="342" t="s">
        <v>1782</v>
      </c>
      <c r="F66" s="342" t="s">
        <v>1783</v>
      </c>
      <c r="G66" s="342" t="s">
        <v>1784</v>
      </c>
      <c r="H66" s="342" t="s">
        <v>1785</v>
      </c>
      <c r="I66" s="342" t="s">
        <v>1786</v>
      </c>
      <c r="J66" s="145"/>
    </row>
    <row r="67" spans="2:11" ht="14.25">
      <c r="B67" s="339" t="s">
        <v>1787</v>
      </c>
      <c r="C67" s="339" t="s">
        <v>1749</v>
      </c>
      <c r="D67" s="339">
        <f>$E$3</f>
        <v>600</v>
      </c>
      <c r="E67" s="339" t="s">
        <v>1767</v>
      </c>
      <c r="F67" s="339">
        <f>$I$9*$F$3</f>
        <v>2.7777777777777778E-4</v>
      </c>
      <c r="G67" s="339">
        <f>D67*F67</f>
        <v>0.16666666666666666</v>
      </c>
      <c r="H67" s="339">
        <v>86400</v>
      </c>
      <c r="I67" s="339">
        <f>G67*H67/1000000</f>
        <v>1.44E-2</v>
      </c>
    </row>
    <row r="68" spans="2:11" ht="14.25">
      <c r="B68" s="339" t="s">
        <v>1788</v>
      </c>
      <c r="C68" s="339" t="s">
        <v>1756</v>
      </c>
      <c r="D68" s="339">
        <f>$E$5</f>
        <v>280</v>
      </c>
      <c r="E68" s="343" t="s">
        <v>1770</v>
      </c>
      <c r="F68" s="339">
        <f>$M$12*$F$5</f>
        <v>0.1</v>
      </c>
      <c r="G68" s="339">
        <f>D68*F68</f>
        <v>28</v>
      </c>
      <c r="H68" s="339">
        <v>86400</v>
      </c>
      <c r="I68" s="339">
        <f>G68*H68/1000000</f>
        <v>2.4192</v>
      </c>
    </row>
    <row r="69" spans="2:11" ht="14.25">
      <c r="B69" s="339" t="s">
        <v>1758</v>
      </c>
      <c r="C69" s="339" t="s">
        <v>1759</v>
      </c>
      <c r="D69" s="339">
        <f>$E$6</f>
        <v>696</v>
      </c>
      <c r="E69" s="339" t="s">
        <v>1767</v>
      </c>
      <c r="F69" s="339">
        <f>$M$9*$F$6</f>
        <v>2.7412280701754384E-4</v>
      </c>
      <c r="G69" s="339">
        <f>D69*F69</f>
        <v>0.19078947368421051</v>
      </c>
      <c r="H69" s="339">
        <v>86400</v>
      </c>
      <c r="I69" s="339">
        <f>G69*H69/1000000</f>
        <v>1.6484210526315785E-2</v>
      </c>
    </row>
    <row r="70" spans="2:11" ht="14.25">
      <c r="B70" s="339" t="s">
        <v>1761</v>
      </c>
      <c r="C70" s="339" t="s">
        <v>1762</v>
      </c>
      <c r="D70" s="339">
        <f>$E$7</f>
        <v>1728</v>
      </c>
      <c r="E70" s="339" t="s">
        <v>1754</v>
      </c>
      <c r="F70" s="339">
        <f>$M$4*$F$7</f>
        <v>1.1574074074074073E-5</v>
      </c>
      <c r="G70" s="339">
        <f>D70*F70</f>
        <v>0.02</v>
      </c>
      <c r="H70" s="339">
        <v>86400</v>
      </c>
      <c r="I70" s="339">
        <f>G70*H70/1000000</f>
        <v>1.7279999999999999E-3</v>
      </c>
    </row>
    <row r="71" spans="2:11" ht="14.25">
      <c r="B71" s="339" t="s">
        <v>1764</v>
      </c>
      <c r="C71" s="339" t="s">
        <v>1765</v>
      </c>
      <c r="D71" s="339">
        <f>$E$8</f>
        <v>1632</v>
      </c>
      <c r="E71" s="339" t="s">
        <v>1754</v>
      </c>
      <c r="F71" s="339">
        <f>$M$4*$F$8</f>
        <v>7.2916666666666659E-4</v>
      </c>
      <c r="G71" s="339">
        <f>D71*F71</f>
        <v>1.19</v>
      </c>
      <c r="H71" s="339">
        <v>86400</v>
      </c>
      <c r="I71" s="339">
        <f>G71*H71/1000000</f>
        <v>0.102816</v>
      </c>
      <c r="K71" t="s">
        <v>4119</v>
      </c>
    </row>
    <row r="72" spans="2:11" ht="14.25">
      <c r="B72" s="552"/>
      <c r="C72" s="552"/>
      <c r="D72" s="552"/>
      <c r="E72" s="552"/>
      <c r="F72" s="552"/>
      <c r="G72" s="552"/>
      <c r="H72" s="343" t="s">
        <v>1791</v>
      </c>
      <c r="I72" s="343">
        <f>SUM(I67:I71)</f>
        <v>2.5546282105263156</v>
      </c>
      <c r="J72" s="91">
        <f>I72*1000000/86400</f>
        <v>29.567456140350874</v>
      </c>
      <c r="K72" s="397">
        <f>J72/8</f>
        <v>3.6959320175438592</v>
      </c>
    </row>
    <row r="73" spans="2:11" ht="14.25">
      <c r="J73" s="3" t="s">
        <v>6</v>
      </c>
      <c r="K73" s="3" t="s">
        <v>4118</v>
      </c>
    </row>
    <row r="74" spans="2:11" ht="18">
      <c r="B74" s="548" t="s">
        <v>1797</v>
      </c>
      <c r="C74" s="548"/>
      <c r="D74" s="548"/>
      <c r="E74" s="548"/>
      <c r="F74" s="548"/>
      <c r="G74" s="548"/>
      <c r="H74" s="548"/>
      <c r="I74" s="548"/>
      <c r="J74" s="347"/>
    </row>
    <row r="75" spans="2:11" ht="14.25">
      <c r="B75" s="341"/>
      <c r="C75" s="342" t="s">
        <v>1739</v>
      </c>
      <c r="D75" s="342" t="s">
        <v>1781</v>
      </c>
      <c r="E75" s="342" t="s">
        <v>1782</v>
      </c>
      <c r="F75" s="342" t="s">
        <v>1783</v>
      </c>
      <c r="G75" s="342" t="s">
        <v>1784</v>
      </c>
      <c r="H75" s="342" t="s">
        <v>1785</v>
      </c>
      <c r="I75" s="342" t="s">
        <v>1786</v>
      </c>
      <c r="J75" s="145"/>
    </row>
    <row r="76" spans="2:11" ht="14.25">
      <c r="B76" s="339" t="s">
        <v>1787</v>
      </c>
      <c r="C76" s="339" t="s">
        <v>1749</v>
      </c>
      <c r="D76" s="339">
        <f>$E$3</f>
        <v>600</v>
      </c>
      <c r="E76" s="339" t="s">
        <v>1767</v>
      </c>
      <c r="F76" s="339">
        <f>$I$9*$F$3</f>
        <v>2.7777777777777778E-4</v>
      </c>
      <c r="G76" s="339">
        <f>D76*F76</f>
        <v>0.16666666666666666</v>
      </c>
      <c r="H76" s="339">
        <v>86400</v>
      </c>
      <c r="I76" s="339">
        <f>G76*H76/1000000</f>
        <v>1.44E-2</v>
      </c>
    </row>
    <row r="77" spans="2:11" ht="14.25">
      <c r="B77" s="339" t="s">
        <v>1788</v>
      </c>
      <c r="C77" s="339" t="s">
        <v>1756</v>
      </c>
      <c r="D77" s="339">
        <f>$E$5</f>
        <v>280</v>
      </c>
      <c r="E77" s="343" t="s">
        <v>1769</v>
      </c>
      <c r="F77" s="339">
        <f>$M$11*$F$5</f>
        <v>0.05</v>
      </c>
      <c r="G77" s="339">
        <f>D77*F77</f>
        <v>14</v>
      </c>
      <c r="H77" s="339">
        <v>86400</v>
      </c>
      <c r="I77" s="339">
        <f>G77*H77/1000000</f>
        <v>1.2096</v>
      </c>
    </row>
    <row r="78" spans="2:11" ht="14.25">
      <c r="B78" s="339" t="s">
        <v>1758</v>
      </c>
      <c r="C78" s="339" t="s">
        <v>1759</v>
      </c>
      <c r="D78" s="339">
        <f>$E$6</f>
        <v>696</v>
      </c>
      <c r="E78" s="339" t="s">
        <v>1767</v>
      </c>
      <c r="F78" s="339">
        <f>$M$9*$F$6</f>
        <v>2.7412280701754384E-4</v>
      </c>
      <c r="G78" s="339">
        <f>D78*F78</f>
        <v>0.19078947368421051</v>
      </c>
      <c r="H78" s="339">
        <v>86400</v>
      </c>
      <c r="I78" s="339">
        <f>G78*H78/1000000</f>
        <v>1.6484210526315785E-2</v>
      </c>
    </row>
    <row r="79" spans="2:11" ht="14.25">
      <c r="B79" s="339" t="s">
        <v>1761</v>
      </c>
      <c r="C79" s="339" t="s">
        <v>1762</v>
      </c>
      <c r="D79" s="339">
        <f>$E$7</f>
        <v>1728</v>
      </c>
      <c r="E79" s="339" t="s">
        <v>1754</v>
      </c>
      <c r="F79" s="339">
        <f>$M$4*$F$7</f>
        <v>1.1574074074074073E-5</v>
      </c>
      <c r="G79" s="339">
        <f>D79*F79</f>
        <v>0.02</v>
      </c>
      <c r="H79" s="339">
        <v>86400</v>
      </c>
      <c r="I79" s="339">
        <f>G79*H79/1000000</f>
        <v>1.7279999999999999E-3</v>
      </c>
    </row>
    <row r="80" spans="2:11" ht="14.25">
      <c r="B80" s="339" t="s">
        <v>1764</v>
      </c>
      <c r="C80" s="339" t="s">
        <v>1765</v>
      </c>
      <c r="D80" s="339">
        <f>$E$8</f>
        <v>1632</v>
      </c>
      <c r="E80" s="339" t="s">
        <v>1754</v>
      </c>
      <c r="F80" s="339">
        <f>$M$4*$F$8</f>
        <v>7.2916666666666659E-4</v>
      </c>
      <c r="G80" s="339">
        <f>D80*F80</f>
        <v>1.19</v>
      </c>
      <c r="H80" s="339">
        <v>86400</v>
      </c>
      <c r="I80" s="339">
        <f>G80*H80/1000000</f>
        <v>0.102816</v>
      </c>
    </row>
    <row r="81" spans="2:11" ht="14.25">
      <c r="B81" s="552"/>
      <c r="C81" s="552"/>
      <c r="D81" s="552"/>
      <c r="E81" s="552"/>
      <c r="F81" s="552"/>
      <c r="G81" s="552"/>
      <c r="H81" s="343" t="s">
        <v>1791</v>
      </c>
      <c r="I81" s="343">
        <f>SUM(I76:I80)</f>
        <v>1.3450282105263158</v>
      </c>
      <c r="J81" s="91">
        <f>I81*1000000/86400</f>
        <v>15.567456140350876</v>
      </c>
      <c r="K81">
        <f>J81/8</f>
        <v>1.9459320175438595</v>
      </c>
    </row>
    <row r="82" spans="2:11" ht="14.25">
      <c r="I82" s="91"/>
      <c r="J82" s="3" t="s">
        <v>6</v>
      </c>
      <c r="K82" s="3" t="s">
        <v>4118</v>
      </c>
    </row>
    <row r="83" spans="2:11" ht="18">
      <c r="B83" s="548" t="s">
        <v>1798</v>
      </c>
      <c r="C83" s="548"/>
      <c r="D83" s="548"/>
      <c r="E83" s="548"/>
      <c r="F83" s="548"/>
      <c r="G83" s="548"/>
      <c r="H83" s="548"/>
      <c r="I83" s="548"/>
      <c r="J83" s="347"/>
    </row>
    <row r="84" spans="2:11" ht="14.25">
      <c r="B84" s="341"/>
      <c r="C84" s="342" t="s">
        <v>1739</v>
      </c>
      <c r="D84" s="342" t="s">
        <v>1781</v>
      </c>
      <c r="E84" s="342" t="s">
        <v>1782</v>
      </c>
      <c r="F84" s="342" t="s">
        <v>1783</v>
      </c>
      <c r="G84" s="342" t="s">
        <v>1784</v>
      </c>
      <c r="H84" s="342" t="s">
        <v>1785</v>
      </c>
      <c r="I84" s="342" t="s">
        <v>1786</v>
      </c>
      <c r="J84" s="145"/>
    </row>
    <row r="85" spans="2:11" ht="14.25">
      <c r="B85" s="339" t="s">
        <v>1787</v>
      </c>
      <c r="C85" s="339" t="s">
        <v>1749</v>
      </c>
      <c r="D85" s="339">
        <f>$E$3</f>
        <v>600</v>
      </c>
      <c r="E85" s="339" t="s">
        <v>1767</v>
      </c>
      <c r="F85" s="339">
        <f>$I$9*$F$3</f>
        <v>2.7777777777777778E-4</v>
      </c>
      <c r="G85" s="339">
        <f>D85*F85</f>
        <v>0.16666666666666666</v>
      </c>
      <c r="H85" s="339">
        <v>86400</v>
      </c>
      <c r="I85" s="339">
        <f>G85*H85/1000000</f>
        <v>1.44E-2</v>
      </c>
    </row>
    <row r="86" spans="2:11" ht="14.25">
      <c r="B86" s="339" t="s">
        <v>1788</v>
      </c>
      <c r="C86" s="339" t="s">
        <v>1756</v>
      </c>
      <c r="D86" s="339">
        <f>$E$5</f>
        <v>280</v>
      </c>
      <c r="E86" s="343" t="s">
        <v>1768</v>
      </c>
      <c r="F86" s="339">
        <f>$M$10*$F$5</f>
        <v>3.4482758620689655E-2</v>
      </c>
      <c r="G86" s="339">
        <f>D86*F86</f>
        <v>9.6551724137931032</v>
      </c>
      <c r="H86" s="339">
        <v>86400</v>
      </c>
      <c r="I86" s="339">
        <f>G86*H86/1000000</f>
        <v>0.8342068965517242</v>
      </c>
    </row>
    <row r="87" spans="2:11" ht="14.25">
      <c r="B87" s="339" t="s">
        <v>1758</v>
      </c>
      <c r="C87" s="339" t="s">
        <v>1759</v>
      </c>
      <c r="D87" s="339">
        <f>$E$6</f>
        <v>696</v>
      </c>
      <c r="E87" s="339" t="s">
        <v>1767</v>
      </c>
      <c r="F87" s="339">
        <f>$M$9*$F$6</f>
        <v>2.7412280701754384E-4</v>
      </c>
      <c r="G87" s="339">
        <f>D87*F87</f>
        <v>0.19078947368421051</v>
      </c>
      <c r="H87" s="339">
        <v>86400</v>
      </c>
      <c r="I87" s="339">
        <f>G87*H87/1000000</f>
        <v>1.6484210526315785E-2</v>
      </c>
    </row>
    <row r="88" spans="2:11" ht="14.25">
      <c r="B88" s="339" t="s">
        <v>1761</v>
      </c>
      <c r="C88" s="339" t="s">
        <v>1762</v>
      </c>
      <c r="D88" s="339">
        <f>$E$7</f>
        <v>1728</v>
      </c>
      <c r="E88" s="339" t="s">
        <v>1754</v>
      </c>
      <c r="F88" s="339">
        <f>$M$4*$F$7</f>
        <v>1.1574074074074073E-5</v>
      </c>
      <c r="G88" s="339">
        <f>D88*F88</f>
        <v>0.02</v>
      </c>
      <c r="H88" s="339">
        <v>86400</v>
      </c>
      <c r="I88" s="339">
        <f>G88*H88/1000000</f>
        <v>1.7279999999999999E-3</v>
      </c>
    </row>
    <row r="89" spans="2:11" ht="14.25">
      <c r="B89" s="339" t="s">
        <v>1764</v>
      </c>
      <c r="C89" s="339" t="s">
        <v>1765</v>
      </c>
      <c r="D89" s="339">
        <f>$E$8</f>
        <v>1632</v>
      </c>
      <c r="E89" s="339" t="s">
        <v>1754</v>
      </c>
      <c r="F89" s="339">
        <f>$M$4*$F$8</f>
        <v>7.2916666666666659E-4</v>
      </c>
      <c r="G89" s="339">
        <f>D89*F89</f>
        <v>1.19</v>
      </c>
      <c r="H89" s="339">
        <v>86400</v>
      </c>
      <c r="I89" s="339">
        <f>G89*H89/1000000</f>
        <v>0.102816</v>
      </c>
    </row>
    <row r="90" spans="2:11" ht="14.25">
      <c r="B90" s="339"/>
      <c r="C90" s="339"/>
      <c r="D90" s="339"/>
      <c r="E90" s="339"/>
      <c r="F90" s="339"/>
      <c r="G90" s="339"/>
      <c r="H90" s="343" t="s">
        <v>1791</v>
      </c>
      <c r="I90" s="343">
        <f>SUM(I85:I89)</f>
        <v>0.9696351070780399</v>
      </c>
      <c r="J90" s="91">
        <f>I90*1000000/86400</f>
        <v>11.222628554143981</v>
      </c>
      <c r="K90">
        <f>J90/8</f>
        <v>1.4028285692679976</v>
      </c>
    </row>
    <row r="91" spans="2:11" ht="15" customHeight="1">
      <c r="J91" s="3" t="s">
        <v>6</v>
      </c>
      <c r="K91" s="3" t="s">
        <v>4118</v>
      </c>
    </row>
    <row r="92" spans="2:11" ht="18">
      <c r="B92" s="548" t="s">
        <v>1799</v>
      </c>
      <c r="C92" s="548"/>
      <c r="D92" s="548"/>
      <c r="E92" s="548"/>
      <c r="F92" s="548"/>
      <c r="G92" s="548"/>
      <c r="H92" s="548"/>
      <c r="I92" s="548"/>
      <c r="J92" s="347"/>
    </row>
    <row r="93" spans="2:11" ht="14.25">
      <c r="B93" s="341"/>
      <c r="C93" s="342" t="s">
        <v>1739</v>
      </c>
      <c r="D93" s="342" t="s">
        <v>1781</v>
      </c>
      <c r="E93" s="342" t="s">
        <v>1782</v>
      </c>
      <c r="F93" s="342" t="s">
        <v>1783</v>
      </c>
      <c r="G93" s="342" t="s">
        <v>1784</v>
      </c>
      <c r="H93" s="342" t="s">
        <v>1785</v>
      </c>
      <c r="I93" s="342" t="s">
        <v>1786</v>
      </c>
      <c r="J93" s="145"/>
    </row>
    <row r="94" spans="2:11" ht="14.25">
      <c r="B94" s="339" t="s">
        <v>1787</v>
      </c>
      <c r="C94" s="339" t="s">
        <v>1749</v>
      </c>
      <c r="D94" s="339">
        <f>$E$3</f>
        <v>600</v>
      </c>
      <c r="E94" s="339" t="s">
        <v>1767</v>
      </c>
      <c r="F94" s="339">
        <f>$I$9*$F$3</f>
        <v>2.7777777777777778E-4</v>
      </c>
      <c r="G94" s="339">
        <f>D94*F94</f>
        <v>0.16666666666666666</v>
      </c>
      <c r="H94" s="339">
        <v>86400</v>
      </c>
      <c r="I94" s="339">
        <f>G94*H94/1000000</f>
        <v>1.44E-2</v>
      </c>
    </row>
    <row r="95" spans="2:11" ht="14.25">
      <c r="B95" s="339" t="s">
        <v>1788</v>
      </c>
      <c r="C95" s="339" t="s">
        <v>1756</v>
      </c>
      <c r="D95" s="339">
        <f>$E$5</f>
        <v>280</v>
      </c>
      <c r="E95" s="348" t="s">
        <v>1767</v>
      </c>
      <c r="F95" s="339">
        <f>$M$9*$F$5</f>
        <v>1.7543859649122806E-2</v>
      </c>
      <c r="G95" s="339">
        <f>D95*F95</f>
        <v>4.9122807017543852</v>
      </c>
      <c r="H95" s="339">
        <v>86400</v>
      </c>
      <c r="I95" s="339">
        <f>G95*H95/1000000</f>
        <v>0.42442105263157887</v>
      </c>
    </row>
    <row r="96" spans="2:11" ht="14.25">
      <c r="B96" s="339" t="s">
        <v>1758</v>
      </c>
      <c r="C96" s="339" t="s">
        <v>1759</v>
      </c>
      <c r="D96" s="339">
        <f>$E$6</f>
        <v>696</v>
      </c>
      <c r="E96" s="339" t="s">
        <v>1767</v>
      </c>
      <c r="F96" s="339">
        <f>$M$9*$F$6</f>
        <v>2.7412280701754384E-4</v>
      </c>
      <c r="G96" s="339">
        <f>D96*F96</f>
        <v>0.19078947368421051</v>
      </c>
      <c r="H96" s="339">
        <v>86400</v>
      </c>
      <c r="I96" s="339">
        <f>G96*H96/1000000</f>
        <v>1.6484210526315785E-2</v>
      </c>
    </row>
    <row r="97" spans="2:12" ht="14.25">
      <c r="B97" s="339" t="s">
        <v>1761</v>
      </c>
      <c r="C97" s="339" t="s">
        <v>1762</v>
      </c>
      <c r="D97" s="339">
        <f>$E$7</f>
        <v>1728</v>
      </c>
      <c r="E97" s="339" t="s">
        <v>1754</v>
      </c>
      <c r="F97" s="339">
        <f>$M$4*$F$7</f>
        <v>1.1574074074074073E-5</v>
      </c>
      <c r="G97" s="339">
        <f>D97*F97</f>
        <v>0.02</v>
      </c>
      <c r="H97" s="339">
        <v>86400</v>
      </c>
      <c r="I97" s="339">
        <f>G97*H97/1000000</f>
        <v>1.7279999999999999E-3</v>
      </c>
    </row>
    <row r="98" spans="2:12" ht="14.25">
      <c r="B98" s="339" t="s">
        <v>1764</v>
      </c>
      <c r="C98" s="339" t="s">
        <v>1765</v>
      </c>
      <c r="D98" s="339">
        <f>$E$8</f>
        <v>1632</v>
      </c>
      <c r="E98" s="339" t="s">
        <v>1754</v>
      </c>
      <c r="F98" s="339">
        <f>$M$4*$F$8</f>
        <v>7.2916666666666659E-4</v>
      </c>
      <c r="G98" s="339">
        <f>D98*F98</f>
        <v>1.19</v>
      </c>
      <c r="H98" s="339">
        <v>86400</v>
      </c>
      <c r="I98" s="339">
        <f>G98*H98/1000000</f>
        <v>0.102816</v>
      </c>
    </row>
    <row r="99" spans="2:12" ht="14.25">
      <c r="B99" s="552"/>
      <c r="C99" s="552"/>
      <c r="D99" s="552"/>
      <c r="E99" s="552"/>
      <c r="F99" s="552"/>
      <c r="G99" s="552"/>
      <c r="H99" s="343" t="s">
        <v>1791</v>
      </c>
      <c r="I99" s="343">
        <f>SUM(I94:I98)</f>
        <v>0.55984926315789463</v>
      </c>
      <c r="J99" s="91">
        <f>I99*1000000/86400</f>
        <v>6.4797368421052619</v>
      </c>
      <c r="K99">
        <f>J99/8</f>
        <v>0.80996710526315774</v>
      </c>
    </row>
    <row r="100" spans="2:12" ht="15" customHeight="1">
      <c r="J100" s="3" t="s">
        <v>6</v>
      </c>
      <c r="K100" s="3" t="s">
        <v>4118</v>
      </c>
    </row>
    <row r="101" spans="2:12" ht="18">
      <c r="B101" s="548" t="s">
        <v>1800</v>
      </c>
      <c r="C101" s="548"/>
      <c r="D101" s="548"/>
      <c r="E101" s="548"/>
      <c r="F101" s="548"/>
      <c r="G101" s="548"/>
      <c r="H101" s="548"/>
      <c r="I101" s="548"/>
      <c r="J101" s="347"/>
    </row>
    <row r="102" spans="2:12" ht="14.25">
      <c r="B102" s="341"/>
      <c r="C102" s="342" t="s">
        <v>1739</v>
      </c>
      <c r="D102" s="342" t="s">
        <v>1781</v>
      </c>
      <c r="E102" s="342" t="s">
        <v>1782</v>
      </c>
      <c r="F102" s="342" t="s">
        <v>1783</v>
      </c>
      <c r="G102" s="342" t="s">
        <v>1784</v>
      </c>
      <c r="H102" s="342" t="s">
        <v>1785</v>
      </c>
      <c r="I102" s="342" t="s">
        <v>1786</v>
      </c>
      <c r="J102" s="145"/>
    </row>
    <row r="103" spans="2:12" ht="14.25">
      <c r="B103" s="339" t="s">
        <v>1787</v>
      </c>
      <c r="C103" s="339" t="s">
        <v>1749</v>
      </c>
      <c r="D103" s="339">
        <f>$E$3</f>
        <v>600</v>
      </c>
      <c r="E103" s="339" t="s">
        <v>1767</v>
      </c>
      <c r="F103" s="339">
        <f>$I$9*$F$3</f>
        <v>2.7777777777777778E-4</v>
      </c>
      <c r="G103" s="339">
        <f>D103*F103</f>
        <v>0.16666666666666666</v>
      </c>
      <c r="H103" s="339">
        <v>86400</v>
      </c>
      <c r="I103" s="339">
        <f>G103*H103/1000000</f>
        <v>1.44E-2</v>
      </c>
    </row>
    <row r="104" spans="2:12" ht="14.25">
      <c r="B104" s="339" t="s">
        <v>1788</v>
      </c>
      <c r="C104" s="339" t="s">
        <v>1756</v>
      </c>
      <c r="D104" s="339">
        <f>$E$5</f>
        <v>280</v>
      </c>
      <c r="E104" s="348" t="s">
        <v>1766</v>
      </c>
      <c r="F104" s="339">
        <f>$M$8*$F$5</f>
        <v>8.8495575221238937E-3</v>
      </c>
      <c r="G104" s="339">
        <f>D104*F104</f>
        <v>2.4778761061946901</v>
      </c>
      <c r="H104" s="339">
        <v>86400</v>
      </c>
      <c r="I104" s="339">
        <f>G104*H104/1000000</f>
        <v>0.21408849557522122</v>
      </c>
    </row>
    <row r="105" spans="2:12" ht="14.25">
      <c r="B105" s="339" t="s">
        <v>1758</v>
      </c>
      <c r="C105" s="339" t="s">
        <v>1759</v>
      </c>
      <c r="D105" s="339">
        <f>$E$6</f>
        <v>696</v>
      </c>
      <c r="E105" s="339" t="s">
        <v>1767</v>
      </c>
      <c r="F105" s="339">
        <f>$M$9*$F$6</f>
        <v>2.7412280701754384E-4</v>
      </c>
      <c r="G105" s="339">
        <f>D105*F105</f>
        <v>0.19078947368421051</v>
      </c>
      <c r="H105" s="339">
        <v>86400</v>
      </c>
      <c r="I105" s="339">
        <f>G105*H105/1000000</f>
        <v>1.6484210526315785E-2</v>
      </c>
    </row>
    <row r="106" spans="2:12" ht="14.25">
      <c r="B106" s="339" t="s">
        <v>1761</v>
      </c>
      <c r="C106" s="339" t="s">
        <v>1762</v>
      </c>
      <c r="D106" s="339">
        <f>$E$7</f>
        <v>1728</v>
      </c>
      <c r="E106" s="339" t="s">
        <v>1754</v>
      </c>
      <c r="F106" s="339">
        <f>$M$4*$F$7</f>
        <v>1.1574074074074073E-5</v>
      </c>
      <c r="G106" s="339">
        <f>D106*F106</f>
        <v>0.02</v>
      </c>
      <c r="H106" s="339">
        <v>86400</v>
      </c>
      <c r="I106" s="339">
        <f>G106*H106/1000000</f>
        <v>1.7279999999999999E-3</v>
      </c>
    </row>
    <row r="107" spans="2:12" ht="14.25">
      <c r="B107" s="339" t="s">
        <v>1764</v>
      </c>
      <c r="C107" s="339" t="s">
        <v>1765</v>
      </c>
      <c r="D107" s="339">
        <f>$E$8</f>
        <v>1632</v>
      </c>
      <c r="E107" s="339" t="s">
        <v>1754</v>
      </c>
      <c r="F107" s="339">
        <f>$M$4*$F$8</f>
        <v>7.2916666666666659E-4</v>
      </c>
      <c r="G107" s="339">
        <f>D107*F107</f>
        <v>1.19</v>
      </c>
      <c r="H107" s="339">
        <v>86400</v>
      </c>
      <c r="I107" s="339">
        <f>G107*H107/1000000</f>
        <v>0.102816</v>
      </c>
      <c r="K107" t="s">
        <v>4127</v>
      </c>
    </row>
    <row r="108" spans="2:12" ht="14.25">
      <c r="B108" s="552"/>
      <c r="C108" s="552"/>
      <c r="D108" s="552"/>
      <c r="E108" s="552"/>
      <c r="F108" s="552"/>
      <c r="G108" s="552"/>
      <c r="H108" s="343" t="s">
        <v>1791</v>
      </c>
      <c r="I108" s="343">
        <f>SUM(I103:I107)</f>
        <v>0.34951670610153701</v>
      </c>
      <c r="J108" s="91">
        <f>I108*1000000/86400</f>
        <v>4.0453322465455672</v>
      </c>
      <c r="K108" s="397">
        <f>J108/8</f>
        <v>0.5056665308181959</v>
      </c>
      <c r="L108">
        <f>K108*86400*8/1000000</f>
        <v>0.34951670610153701</v>
      </c>
    </row>
    <row r="109" spans="2:12" ht="15" customHeight="1">
      <c r="J109" s="3" t="s">
        <v>6</v>
      </c>
      <c r="K109" s="3" t="s">
        <v>4118</v>
      </c>
    </row>
    <row r="110" spans="2:12" ht="18">
      <c r="B110" s="548" t="s">
        <v>1801</v>
      </c>
      <c r="C110" s="548"/>
      <c r="D110" s="548"/>
      <c r="E110" s="548"/>
      <c r="F110" s="548"/>
      <c r="G110" s="548"/>
      <c r="H110" s="548"/>
      <c r="I110" s="548"/>
      <c r="J110" s="347"/>
    </row>
    <row r="111" spans="2:12" ht="14.25">
      <c r="B111" s="341"/>
      <c r="C111" s="342" t="s">
        <v>1739</v>
      </c>
      <c r="D111" s="342" t="s">
        <v>1781</v>
      </c>
      <c r="E111" s="342" t="s">
        <v>1782</v>
      </c>
      <c r="F111" s="342" t="s">
        <v>1783</v>
      </c>
      <c r="G111" s="342" t="s">
        <v>1784</v>
      </c>
      <c r="H111" s="342" t="s">
        <v>1785</v>
      </c>
      <c r="I111" s="342" t="s">
        <v>1786</v>
      </c>
      <c r="J111" s="145"/>
    </row>
    <row r="112" spans="2:12" ht="14.25">
      <c r="B112" s="339" t="s">
        <v>1787</v>
      </c>
      <c r="C112" s="339" t="s">
        <v>1749</v>
      </c>
      <c r="D112" s="339">
        <f>$E$3</f>
        <v>600</v>
      </c>
      <c r="E112" s="339" t="s">
        <v>1767</v>
      </c>
      <c r="F112" s="339">
        <f>$I$9*$F$3</f>
        <v>2.7777777777777778E-4</v>
      </c>
      <c r="G112" s="339">
        <f>D112*F112</f>
        <v>0.16666666666666666</v>
      </c>
      <c r="H112" s="339">
        <v>86400</v>
      </c>
      <c r="I112" s="339">
        <f>G112*H112/1000000</f>
        <v>1.44E-2</v>
      </c>
    </row>
    <row r="113" spans="2:11" ht="14.25">
      <c r="B113" s="339" t="s">
        <v>1788</v>
      </c>
      <c r="C113" s="339" t="s">
        <v>1756</v>
      </c>
      <c r="D113" s="339">
        <f>$E$5</f>
        <v>280</v>
      </c>
      <c r="E113" s="348" t="s">
        <v>1763</v>
      </c>
      <c r="F113" s="339">
        <f>$M$7*$F$5</f>
        <v>5.9171597633136093E-3</v>
      </c>
      <c r="G113" s="339">
        <f>D113*F113</f>
        <v>1.6568047337278107</v>
      </c>
      <c r="H113" s="339">
        <v>86400</v>
      </c>
      <c r="I113" s="339">
        <f>G113*H113/1000000</f>
        <v>0.14314792899408285</v>
      </c>
    </row>
    <row r="114" spans="2:11" ht="14.25">
      <c r="B114" s="339" t="s">
        <v>1758</v>
      </c>
      <c r="C114" s="339" t="s">
        <v>1759</v>
      </c>
      <c r="D114" s="339">
        <f>$E$6</f>
        <v>696</v>
      </c>
      <c r="E114" s="339" t="s">
        <v>1767</v>
      </c>
      <c r="F114" s="339">
        <f>$M$9*$F$6</f>
        <v>2.7412280701754384E-4</v>
      </c>
      <c r="G114" s="339">
        <f>D114*F114</f>
        <v>0.19078947368421051</v>
      </c>
      <c r="H114" s="339">
        <v>86400</v>
      </c>
      <c r="I114" s="339">
        <f>G114*H114/1000000</f>
        <v>1.6484210526315785E-2</v>
      </c>
    </row>
    <row r="115" spans="2:11" ht="14.25">
      <c r="B115" s="339" t="s">
        <v>1761</v>
      </c>
      <c r="C115" s="339" t="s">
        <v>1762</v>
      </c>
      <c r="D115" s="339">
        <f>$E$7</f>
        <v>1728</v>
      </c>
      <c r="E115" s="339" t="s">
        <v>1754</v>
      </c>
      <c r="F115" s="339">
        <f>$M$4*$F$7</f>
        <v>1.1574074074074073E-5</v>
      </c>
      <c r="G115" s="339">
        <f>D115*F115</f>
        <v>0.02</v>
      </c>
      <c r="H115" s="339">
        <v>86400</v>
      </c>
      <c r="I115" s="339">
        <f>G115*H115/1000000</f>
        <v>1.7279999999999999E-3</v>
      </c>
    </row>
    <row r="116" spans="2:11" ht="14.25">
      <c r="B116" s="339" t="s">
        <v>1764</v>
      </c>
      <c r="C116" s="339" t="s">
        <v>1765</v>
      </c>
      <c r="D116" s="339">
        <f>$E$8</f>
        <v>1632</v>
      </c>
      <c r="E116" s="339" t="s">
        <v>1754</v>
      </c>
      <c r="F116" s="339">
        <f>$M$4*$F$8</f>
        <v>7.2916666666666659E-4</v>
      </c>
      <c r="G116" s="339">
        <f>D116*F116</f>
        <v>1.19</v>
      </c>
      <c r="H116" s="339">
        <v>86400</v>
      </c>
      <c r="I116" s="339">
        <f>G116*H116/1000000</f>
        <v>0.102816</v>
      </c>
    </row>
    <row r="117" spans="2:11" ht="14.25">
      <c r="B117" s="552"/>
      <c r="C117" s="552"/>
      <c r="D117" s="552"/>
      <c r="E117" s="552"/>
      <c r="F117" s="552"/>
      <c r="G117" s="552"/>
      <c r="H117" s="343" t="s">
        <v>1791</v>
      </c>
      <c r="I117" s="343">
        <f>SUM(I112:I116)</f>
        <v>0.27857613952039867</v>
      </c>
      <c r="J117" s="91">
        <f>I117*1000000/86400</f>
        <v>3.2242608740786887</v>
      </c>
      <c r="K117">
        <f>J117/8</f>
        <v>0.40303260925983608</v>
      </c>
    </row>
    <row r="118" spans="2:11" ht="14.25">
      <c r="B118" s="3"/>
      <c r="C118" s="3"/>
      <c r="D118" s="3"/>
      <c r="E118" s="3"/>
      <c r="F118" s="3"/>
      <c r="G118" s="3"/>
      <c r="I118" s="91"/>
      <c r="J118" s="3" t="s">
        <v>6</v>
      </c>
      <c r="K118" s="3" t="s">
        <v>4118</v>
      </c>
    </row>
    <row r="119" spans="2:11" ht="18">
      <c r="B119" s="548" t="s">
        <v>1802</v>
      </c>
      <c r="C119" s="548"/>
      <c r="D119" s="548"/>
      <c r="E119" s="548"/>
      <c r="F119" s="548"/>
      <c r="G119" s="548"/>
      <c r="H119" s="548"/>
      <c r="I119" s="548"/>
      <c r="J119" s="347"/>
    </row>
    <row r="120" spans="2:11" ht="14.25">
      <c r="B120" s="341"/>
      <c r="C120" s="342" t="s">
        <v>1739</v>
      </c>
      <c r="D120" s="342" t="s">
        <v>1781</v>
      </c>
      <c r="E120" s="342" t="s">
        <v>1782</v>
      </c>
      <c r="F120" s="342" t="s">
        <v>1783</v>
      </c>
      <c r="G120" s="342" t="s">
        <v>1784</v>
      </c>
      <c r="H120" s="342" t="s">
        <v>1785</v>
      </c>
      <c r="I120" s="342" t="s">
        <v>1786</v>
      </c>
      <c r="J120" s="145"/>
    </row>
    <row r="121" spans="2:11" ht="14.25">
      <c r="B121" s="339" t="s">
        <v>1787</v>
      </c>
      <c r="C121" s="339" t="s">
        <v>1749</v>
      </c>
      <c r="D121" s="339">
        <f>$E$3</f>
        <v>600</v>
      </c>
      <c r="E121" s="339" t="s">
        <v>1767</v>
      </c>
      <c r="F121" s="339">
        <f>$I$9*$F$3</f>
        <v>2.7777777777777778E-4</v>
      </c>
      <c r="G121" s="339">
        <f>D121*F121</f>
        <v>0.16666666666666666</v>
      </c>
      <c r="H121" s="339">
        <v>86400</v>
      </c>
      <c r="I121" s="339">
        <f>G121*H121/1000000</f>
        <v>1.44E-2</v>
      </c>
    </row>
    <row r="122" spans="2:11" ht="14.25">
      <c r="B122" s="339" t="s">
        <v>1788</v>
      </c>
      <c r="C122" s="339" t="s">
        <v>1756</v>
      </c>
      <c r="D122" s="339">
        <f>$E$5</f>
        <v>280</v>
      </c>
      <c r="E122" s="348" t="s">
        <v>1760</v>
      </c>
      <c r="F122" s="339">
        <f>$M$6*$F$5</f>
        <v>2.9585798816568047E-3</v>
      </c>
      <c r="G122" s="339">
        <f>D122*F122</f>
        <v>0.82840236686390534</v>
      </c>
      <c r="H122" s="339">
        <v>86400</v>
      </c>
      <c r="I122" s="339">
        <f>G122*H122/1000000</f>
        <v>7.1573964497041426E-2</v>
      </c>
    </row>
    <row r="123" spans="2:11" ht="14.25">
      <c r="B123" s="339" t="s">
        <v>1758</v>
      </c>
      <c r="C123" s="339" t="s">
        <v>1759</v>
      </c>
      <c r="D123" s="339">
        <f>$E$6</f>
        <v>696</v>
      </c>
      <c r="E123" s="339" t="s">
        <v>1767</v>
      </c>
      <c r="F123" s="339">
        <f>$M$9*$F$6</f>
        <v>2.7412280701754384E-4</v>
      </c>
      <c r="G123" s="339">
        <f>D123*F123</f>
        <v>0.19078947368421051</v>
      </c>
      <c r="H123" s="339">
        <v>86400</v>
      </c>
      <c r="I123" s="339">
        <f>G123*H123/1000000</f>
        <v>1.6484210526315785E-2</v>
      </c>
    </row>
    <row r="124" spans="2:11" ht="14.25">
      <c r="B124" s="339" t="s">
        <v>1761</v>
      </c>
      <c r="C124" s="339" t="s">
        <v>1762</v>
      </c>
      <c r="D124" s="339">
        <f>$E$7</f>
        <v>1728</v>
      </c>
      <c r="E124" s="339" t="s">
        <v>1754</v>
      </c>
      <c r="F124" s="339">
        <f>$M$4*$F$7</f>
        <v>1.1574074074074073E-5</v>
      </c>
      <c r="G124" s="339">
        <f>D124*F124</f>
        <v>0.02</v>
      </c>
      <c r="H124" s="339">
        <v>86400</v>
      </c>
      <c r="I124" s="339">
        <f>G124*H124/1000000</f>
        <v>1.7279999999999999E-3</v>
      </c>
    </row>
    <row r="125" spans="2:11" ht="14.25">
      <c r="B125" s="339" t="s">
        <v>1764</v>
      </c>
      <c r="C125" s="339" t="s">
        <v>1765</v>
      </c>
      <c r="D125" s="339">
        <f>$E$8</f>
        <v>1632</v>
      </c>
      <c r="E125" s="339" t="s">
        <v>1754</v>
      </c>
      <c r="F125" s="339">
        <f>$M$4*$F$8</f>
        <v>7.2916666666666659E-4</v>
      </c>
      <c r="G125" s="339">
        <f>D125*F125</f>
        <v>1.19</v>
      </c>
      <c r="H125" s="339">
        <v>86400</v>
      </c>
      <c r="I125" s="339">
        <f>G125*H125/1000000</f>
        <v>0.102816</v>
      </c>
    </row>
    <row r="126" spans="2:11" ht="14.25">
      <c r="B126" s="552"/>
      <c r="C126" s="552"/>
      <c r="D126" s="552"/>
      <c r="E126" s="552"/>
      <c r="F126" s="552"/>
      <c r="G126" s="552"/>
      <c r="H126" s="343" t="s">
        <v>1791</v>
      </c>
      <c r="I126" s="343">
        <f>SUM(I121:I125)</f>
        <v>0.20700217502335722</v>
      </c>
      <c r="J126" s="91">
        <f>I126*1000000/86400</f>
        <v>2.3958585072147827</v>
      </c>
      <c r="K126">
        <f>J126/8</f>
        <v>0.29948231340184783</v>
      </c>
    </row>
    <row r="127" spans="2:11" ht="14.25">
      <c r="B127" s="3"/>
      <c r="C127" s="3"/>
      <c r="D127" s="3"/>
      <c r="E127" s="3"/>
      <c r="F127" s="3"/>
      <c r="G127" s="3"/>
      <c r="I127" s="91"/>
      <c r="J127" s="3" t="s">
        <v>6</v>
      </c>
      <c r="K127" s="3" t="s">
        <v>4118</v>
      </c>
    </row>
    <row r="128" spans="2:11" ht="18">
      <c r="B128" s="548" t="s">
        <v>1803</v>
      </c>
      <c r="C128" s="548"/>
      <c r="D128" s="548"/>
      <c r="E128" s="548"/>
      <c r="F128" s="548"/>
      <c r="G128" s="548"/>
      <c r="H128" s="548"/>
      <c r="I128" s="548"/>
      <c r="J128" s="347"/>
    </row>
    <row r="129" spans="2:11" ht="14.25">
      <c r="B129" s="341"/>
      <c r="C129" s="342" t="s">
        <v>1739</v>
      </c>
      <c r="D129" s="342" t="s">
        <v>1781</v>
      </c>
      <c r="E129" s="342" t="s">
        <v>1782</v>
      </c>
      <c r="F129" s="342" t="s">
        <v>1783</v>
      </c>
      <c r="G129" s="342" t="s">
        <v>1784</v>
      </c>
      <c r="H129" s="342" t="s">
        <v>1785</v>
      </c>
      <c r="I129" s="342" t="s">
        <v>1786</v>
      </c>
      <c r="J129" s="145"/>
    </row>
    <row r="130" spans="2:11" ht="14.25">
      <c r="B130" s="339" t="s">
        <v>1787</v>
      </c>
      <c r="C130" s="339" t="s">
        <v>1749</v>
      </c>
      <c r="D130" s="339">
        <f>$E$3</f>
        <v>600</v>
      </c>
      <c r="E130" s="339" t="s">
        <v>1767</v>
      </c>
      <c r="F130" s="339">
        <f>$I$9*$F$3</f>
        <v>2.7777777777777778E-4</v>
      </c>
      <c r="G130" s="339">
        <f>D130*F130</f>
        <v>0.16666666666666666</v>
      </c>
      <c r="H130" s="339">
        <v>86400</v>
      </c>
      <c r="I130" s="339">
        <f>G130*H130/1000000</f>
        <v>1.44E-2</v>
      </c>
    </row>
    <row r="131" spans="2:11" ht="14.25">
      <c r="B131" s="339" t="s">
        <v>1788</v>
      </c>
      <c r="C131" s="339" t="s">
        <v>1756</v>
      </c>
      <c r="D131" s="339">
        <f>$E$5</f>
        <v>280</v>
      </c>
      <c r="E131" s="348" t="s">
        <v>1757</v>
      </c>
      <c r="F131" s="339">
        <f>$M$5*$F$5</f>
        <v>1.4814814814814814E-3</v>
      </c>
      <c r="G131" s="339">
        <f>D131*F131</f>
        <v>0.4148148148148148</v>
      </c>
      <c r="H131" s="339">
        <v>86400</v>
      </c>
      <c r="I131" s="339">
        <f>G131*H131/1000000</f>
        <v>3.5839999999999997E-2</v>
      </c>
    </row>
    <row r="132" spans="2:11" ht="14.25">
      <c r="B132" s="339" t="s">
        <v>1758</v>
      </c>
      <c r="C132" s="339" t="s">
        <v>1759</v>
      </c>
      <c r="D132" s="339">
        <f>$E$6</f>
        <v>696</v>
      </c>
      <c r="E132" s="339" t="s">
        <v>1767</v>
      </c>
      <c r="F132" s="339">
        <f>$M$9*$F$6</f>
        <v>2.7412280701754384E-4</v>
      </c>
      <c r="G132" s="339">
        <f>D132*F132</f>
        <v>0.19078947368421051</v>
      </c>
      <c r="H132" s="339">
        <v>86400</v>
      </c>
      <c r="I132" s="339">
        <f>G132*H132/1000000</f>
        <v>1.6484210526315785E-2</v>
      </c>
    </row>
    <row r="133" spans="2:11" ht="14.25">
      <c r="B133" s="339" t="s">
        <v>1761</v>
      </c>
      <c r="C133" s="339" t="s">
        <v>1762</v>
      </c>
      <c r="D133" s="339">
        <f>$E$7</f>
        <v>1728</v>
      </c>
      <c r="E133" s="339" t="s">
        <v>1754</v>
      </c>
      <c r="F133" s="339">
        <f>$M$4*$F$7</f>
        <v>1.1574074074074073E-5</v>
      </c>
      <c r="G133" s="339">
        <f>D133*F133</f>
        <v>0.02</v>
      </c>
      <c r="H133" s="339">
        <v>86400</v>
      </c>
      <c r="I133" s="339">
        <f>G133*H133/1000000</f>
        <v>1.7279999999999999E-3</v>
      </c>
    </row>
    <row r="134" spans="2:11" ht="14.25">
      <c r="B134" s="339" t="s">
        <v>1764</v>
      </c>
      <c r="C134" s="339" t="s">
        <v>1765</v>
      </c>
      <c r="D134" s="339">
        <f>$E$8</f>
        <v>1632</v>
      </c>
      <c r="E134" s="339" t="s">
        <v>1754</v>
      </c>
      <c r="F134" s="339">
        <f>$M$4*$F$8</f>
        <v>7.2916666666666659E-4</v>
      </c>
      <c r="G134" s="339">
        <f>D134*F134</f>
        <v>1.19</v>
      </c>
      <c r="H134" s="339">
        <v>86400</v>
      </c>
      <c r="I134" s="339">
        <f>G134*H134/1000000</f>
        <v>0.102816</v>
      </c>
    </row>
    <row r="135" spans="2:11" ht="14.25">
      <c r="B135" s="552"/>
      <c r="C135" s="552"/>
      <c r="D135" s="552"/>
      <c r="E135" s="552"/>
      <c r="F135" s="552"/>
      <c r="G135" s="552"/>
      <c r="H135" s="343" t="s">
        <v>1791</v>
      </c>
      <c r="I135" s="343">
        <f>SUM(I130:I134)</f>
        <v>0.17126821052631577</v>
      </c>
      <c r="J135" s="91">
        <f>I135*1000000/86400</f>
        <v>1.9822709551656921</v>
      </c>
      <c r="K135">
        <f>J135/8</f>
        <v>0.24778386939571151</v>
      </c>
    </row>
    <row r="136" spans="2:11" ht="15" customHeight="1">
      <c r="J136" s="3" t="s">
        <v>6</v>
      </c>
      <c r="K136" s="3" t="s">
        <v>4118</v>
      </c>
    </row>
    <row r="137" spans="2:11" ht="18">
      <c r="B137" s="548" t="s">
        <v>1804</v>
      </c>
      <c r="C137" s="548"/>
      <c r="D137" s="548"/>
      <c r="E137" s="548"/>
      <c r="F137" s="548"/>
      <c r="G137" s="548"/>
      <c r="H137" s="548"/>
      <c r="I137" s="548"/>
      <c r="J137" s="347"/>
    </row>
    <row r="138" spans="2:11" ht="14.25">
      <c r="B138" s="341"/>
      <c r="C138" s="342" t="s">
        <v>1739</v>
      </c>
      <c r="D138" s="342" t="s">
        <v>1781</v>
      </c>
      <c r="E138" s="342" t="s">
        <v>1782</v>
      </c>
      <c r="F138" s="342" t="s">
        <v>1783</v>
      </c>
      <c r="G138" s="342" t="s">
        <v>1784</v>
      </c>
      <c r="H138" s="342" t="s">
        <v>1785</v>
      </c>
      <c r="I138" s="342" t="s">
        <v>1786</v>
      </c>
      <c r="J138" s="145"/>
    </row>
    <row r="139" spans="2:11" ht="14.25">
      <c r="B139" s="339" t="s">
        <v>1787</v>
      </c>
      <c r="C139" s="339" t="s">
        <v>1749</v>
      </c>
      <c r="D139" s="339">
        <f>$E$3</f>
        <v>600</v>
      </c>
      <c r="E139" s="339" t="s">
        <v>1767</v>
      </c>
      <c r="F139" s="339">
        <f>$I$9*$F$3</f>
        <v>2.7777777777777778E-4</v>
      </c>
      <c r="G139" s="339">
        <f>D139*F139</f>
        <v>0.16666666666666666</v>
      </c>
      <c r="H139" s="339">
        <v>86400</v>
      </c>
      <c r="I139" s="339">
        <f>G139*H139/1000000</f>
        <v>1.44E-2</v>
      </c>
    </row>
    <row r="140" spans="2:11" ht="14.25">
      <c r="B140" s="339" t="s">
        <v>1788</v>
      </c>
      <c r="C140" s="339" t="s">
        <v>1756</v>
      </c>
      <c r="D140" s="339">
        <f>$E$5</f>
        <v>280</v>
      </c>
      <c r="E140" s="348" t="s">
        <v>1754</v>
      </c>
      <c r="F140" s="339">
        <f>$M$4*$F$5</f>
        <v>7.407407407407407E-4</v>
      </c>
      <c r="G140" s="339">
        <f>D140*F140</f>
        <v>0.2074074074074074</v>
      </c>
      <c r="H140" s="339">
        <v>86400</v>
      </c>
      <c r="I140" s="339">
        <f>G140*H140/1000000</f>
        <v>1.7919999999999998E-2</v>
      </c>
    </row>
    <row r="141" spans="2:11" ht="14.25">
      <c r="B141" s="339" t="s">
        <v>1758</v>
      </c>
      <c r="C141" s="339" t="s">
        <v>1759</v>
      </c>
      <c r="D141" s="339">
        <f>$E$6</f>
        <v>696</v>
      </c>
      <c r="E141" s="339" t="s">
        <v>1767</v>
      </c>
      <c r="F141" s="339">
        <f>$M$9*$F$6</f>
        <v>2.7412280701754384E-4</v>
      </c>
      <c r="G141" s="339">
        <f>D141*F141</f>
        <v>0.19078947368421051</v>
      </c>
      <c r="H141" s="339">
        <v>86400</v>
      </c>
      <c r="I141" s="339">
        <f>G141*H141/1000000</f>
        <v>1.6484210526315785E-2</v>
      </c>
    </row>
    <row r="142" spans="2:11" ht="14.25">
      <c r="B142" s="339" t="s">
        <v>1761</v>
      </c>
      <c r="C142" s="339" t="s">
        <v>1762</v>
      </c>
      <c r="D142" s="339">
        <f>$E$7</f>
        <v>1728</v>
      </c>
      <c r="E142" s="339" t="s">
        <v>1754</v>
      </c>
      <c r="F142" s="339">
        <f>$M$4*$F$7</f>
        <v>1.1574074074074073E-5</v>
      </c>
      <c r="G142" s="339">
        <f>D142*F142</f>
        <v>0.02</v>
      </c>
      <c r="H142" s="339">
        <v>86400</v>
      </c>
      <c r="I142" s="339">
        <f>G142*H142/1000000</f>
        <v>1.7279999999999999E-3</v>
      </c>
    </row>
    <row r="143" spans="2:11" ht="14.25">
      <c r="B143" s="339" t="s">
        <v>1764</v>
      </c>
      <c r="C143" s="339" t="s">
        <v>1765</v>
      </c>
      <c r="D143" s="339">
        <f>$E$8</f>
        <v>1632</v>
      </c>
      <c r="E143" s="339" t="s">
        <v>1754</v>
      </c>
      <c r="F143" s="339">
        <f>$M$4*$F$8</f>
        <v>7.2916666666666659E-4</v>
      </c>
      <c r="G143" s="339">
        <f>D143*F143</f>
        <v>1.19</v>
      </c>
      <c r="H143" s="339">
        <v>86400</v>
      </c>
      <c r="I143" s="339">
        <f>G143*H143/1000000</f>
        <v>0.102816</v>
      </c>
    </row>
    <row r="144" spans="2:11" ht="14.25">
      <c r="B144" s="549"/>
      <c r="C144" s="549"/>
      <c r="D144" s="549"/>
      <c r="E144" s="549"/>
      <c r="F144" s="549"/>
      <c r="G144" s="549"/>
      <c r="H144" s="343" t="s">
        <v>1791</v>
      </c>
      <c r="I144" s="343">
        <f>SUM(I139:I143)</f>
        <v>0.15334821052631578</v>
      </c>
      <c r="J144" s="91">
        <f>I144*1000000/86400</f>
        <v>1.7748635477582846</v>
      </c>
      <c r="K144">
        <f>J144/8</f>
        <v>0.22185794346978557</v>
      </c>
    </row>
    <row r="145" spans="2:13" ht="14.25">
      <c r="B145" s="3"/>
      <c r="C145" s="3"/>
      <c r="D145" s="3"/>
      <c r="E145" s="3"/>
      <c r="F145" s="3"/>
      <c r="G145" s="3"/>
      <c r="I145" s="91"/>
      <c r="J145" s="3" t="s">
        <v>6</v>
      </c>
      <c r="K145" s="3" t="s">
        <v>4118</v>
      </c>
    </row>
    <row r="146" spans="2:13" ht="14.25">
      <c r="B146" s="3"/>
      <c r="C146" s="3"/>
      <c r="D146" s="3"/>
      <c r="E146" s="3"/>
      <c r="F146" s="3"/>
      <c r="G146" s="3"/>
      <c r="I146" s="91"/>
      <c r="J146" s="91"/>
    </row>
    <row r="147" spans="2:13" ht="14.25">
      <c r="B147" s="3"/>
      <c r="C147" s="3"/>
      <c r="D147" s="3"/>
      <c r="E147" s="3"/>
      <c r="F147" s="3"/>
      <c r="G147" s="3"/>
      <c r="I147" s="91"/>
      <c r="J147" s="91"/>
    </row>
    <row r="148" spans="2:13" ht="14.25">
      <c r="B148" s="3"/>
      <c r="C148" s="3"/>
      <c r="D148" s="3"/>
      <c r="E148" s="3"/>
      <c r="F148" s="3"/>
      <c r="G148" s="3"/>
      <c r="I148" s="91"/>
      <c r="J148" s="91"/>
    </row>
    <row r="149" spans="2:13" ht="18.75" customHeight="1">
      <c r="B149" s="550" t="s">
        <v>1805</v>
      </c>
      <c r="C149" s="550"/>
      <c r="D149" s="550"/>
      <c r="E149" s="550"/>
      <c r="F149" s="550"/>
      <c r="G149" s="550"/>
      <c r="H149" s="550"/>
      <c r="I149" s="550"/>
      <c r="J149" s="551" t="s">
        <v>1806</v>
      </c>
      <c r="K149" s="551"/>
      <c r="L149" s="551"/>
      <c r="M149" s="551"/>
    </row>
    <row r="150" spans="2:13" ht="14.25">
      <c r="B150" s="341"/>
      <c r="C150" s="342" t="s">
        <v>1739</v>
      </c>
      <c r="D150" s="342" t="s">
        <v>1781</v>
      </c>
      <c r="E150" s="342" t="s">
        <v>1782</v>
      </c>
      <c r="F150" s="342" t="s">
        <v>1783</v>
      </c>
      <c r="G150" s="342" t="s">
        <v>1784</v>
      </c>
      <c r="H150" s="342" t="s">
        <v>1785</v>
      </c>
      <c r="I150" s="342" t="s">
        <v>1786</v>
      </c>
      <c r="J150" s="145"/>
    </row>
    <row r="151" spans="2:13" ht="14.25">
      <c r="B151" s="339" t="s">
        <v>1787</v>
      </c>
      <c r="C151" s="339" t="s">
        <v>1749</v>
      </c>
      <c r="D151" s="339">
        <f>$E$3</f>
        <v>600</v>
      </c>
      <c r="E151" s="339" t="s">
        <v>1779</v>
      </c>
      <c r="F151" s="339">
        <f>$I$21*$F$3</f>
        <v>1</v>
      </c>
      <c r="G151" s="339">
        <f>D151*F151</f>
        <v>600</v>
      </c>
      <c r="H151" s="339">
        <v>7200</v>
      </c>
      <c r="I151" s="339">
        <f>G151*H151/1000000</f>
        <v>4.32</v>
      </c>
    </row>
    <row r="152" spans="2:13" ht="14.25">
      <c r="B152" s="339" t="s">
        <v>1788</v>
      </c>
      <c r="C152" s="339" t="s">
        <v>1756</v>
      </c>
      <c r="D152" s="339">
        <f>$E$5</f>
        <v>280</v>
      </c>
      <c r="E152" s="339" t="s">
        <v>1773</v>
      </c>
      <c r="F152" s="339">
        <f>$M$15*$F$5</f>
        <v>1</v>
      </c>
      <c r="G152" s="339">
        <f>D152*F152</f>
        <v>280</v>
      </c>
      <c r="H152" s="339">
        <v>7200</v>
      </c>
      <c r="I152" s="339">
        <f>G152*H152/1000000</f>
        <v>2.016</v>
      </c>
    </row>
    <row r="153" spans="2:13" ht="14.25">
      <c r="B153" s="339" t="s">
        <v>1758</v>
      </c>
      <c r="C153" s="339" t="s">
        <v>1759</v>
      </c>
      <c r="D153" s="339">
        <f>$E$6</f>
        <v>696</v>
      </c>
      <c r="E153" s="339" t="s">
        <v>1750</v>
      </c>
      <c r="F153" s="339">
        <f>$M$3*$F$6</f>
        <v>0</v>
      </c>
      <c r="G153" s="339">
        <f>D153*F153</f>
        <v>0</v>
      </c>
      <c r="H153" s="339">
        <v>0</v>
      </c>
      <c r="I153" s="339">
        <f>G153*H153/1000000</f>
        <v>0</v>
      </c>
    </row>
    <row r="154" spans="2:13" ht="14.25">
      <c r="B154" s="339" t="s">
        <v>1761</v>
      </c>
      <c r="C154" s="339" t="s">
        <v>1762</v>
      </c>
      <c r="D154" s="339">
        <f>$E$7</f>
        <v>1728</v>
      </c>
      <c r="E154" s="339" t="s">
        <v>1750</v>
      </c>
      <c r="F154" s="339">
        <v>0</v>
      </c>
      <c r="G154" s="339">
        <f>D154*F154</f>
        <v>0</v>
      </c>
      <c r="H154" s="339">
        <v>0</v>
      </c>
      <c r="I154" s="339">
        <f>G154*H154/1000000</f>
        <v>0</v>
      </c>
    </row>
    <row r="155" spans="2:13" ht="14.25">
      <c r="B155" s="339" t="s">
        <v>1764</v>
      </c>
      <c r="C155" s="339" t="s">
        <v>1765</v>
      </c>
      <c r="D155" s="339">
        <f>$E$8</f>
        <v>1632</v>
      </c>
      <c r="E155" s="339" t="s">
        <v>1750</v>
      </c>
      <c r="F155" s="339">
        <v>0</v>
      </c>
      <c r="G155" s="339">
        <f>D155*F155</f>
        <v>0</v>
      </c>
      <c r="H155" s="339">
        <v>0</v>
      </c>
      <c r="I155" s="339">
        <f>G155*H155/1000000</f>
        <v>0</v>
      </c>
    </row>
    <row r="156" spans="2:13" ht="14.25">
      <c r="B156" s="552"/>
      <c r="C156" s="552"/>
      <c r="D156" s="552"/>
      <c r="E156" s="552"/>
      <c r="F156" s="552"/>
      <c r="G156" s="552"/>
      <c r="H156" s="343" t="s">
        <v>1791</v>
      </c>
      <c r="I156" s="343">
        <f>SUM(I151:I155)+(15000/1000000)</f>
        <v>6.351</v>
      </c>
      <c r="J156" s="91"/>
    </row>
    <row r="162" spans="2:7" ht="72" customHeight="1">
      <c r="B162" s="545" t="s">
        <v>1807</v>
      </c>
      <c r="C162" s="349" t="s">
        <v>1808</v>
      </c>
      <c r="D162" s="350" t="s">
        <v>1809</v>
      </c>
      <c r="E162" s="546" t="s">
        <v>1810</v>
      </c>
      <c r="F162" s="546"/>
      <c r="G162" s="546"/>
    </row>
    <row r="163" spans="2:7" ht="78.75" customHeight="1">
      <c r="B163" s="545"/>
      <c r="C163" s="1" t="s">
        <v>1811</v>
      </c>
      <c r="D163" s="350" t="s">
        <v>1812</v>
      </c>
    </row>
    <row r="164" spans="2:7" ht="17.649999999999999">
      <c r="B164" s="351" t="s">
        <v>1750</v>
      </c>
      <c r="C164" s="352">
        <v>0</v>
      </c>
      <c r="D164" s="353">
        <f t="shared" ref="D164:D176" si="2">C164*365.25/1000</f>
        <v>0</v>
      </c>
    </row>
    <row r="165" spans="2:7" ht="17.649999999999999">
      <c r="B165" s="351" t="s">
        <v>1754</v>
      </c>
      <c r="C165" s="354">
        <f>$I$144</f>
        <v>0.15334821052631578</v>
      </c>
      <c r="D165" s="355">
        <f t="shared" si="2"/>
        <v>5.6010433894736839E-2</v>
      </c>
    </row>
    <row r="166" spans="2:7" ht="17.649999999999999">
      <c r="B166" s="351" t="s">
        <v>1757</v>
      </c>
      <c r="C166" s="354">
        <f>$I$135</f>
        <v>0.17126821052631577</v>
      </c>
      <c r="D166" s="355">
        <f t="shared" si="2"/>
        <v>6.2555713894736839E-2</v>
      </c>
    </row>
    <row r="167" spans="2:7" ht="17.649999999999999">
      <c r="B167" s="351" t="s">
        <v>1760</v>
      </c>
      <c r="C167" s="354">
        <f>$I$126</f>
        <v>0.20700217502335722</v>
      </c>
      <c r="D167" s="355">
        <f t="shared" si="2"/>
        <v>7.5607544427281223E-2</v>
      </c>
    </row>
    <row r="168" spans="2:7" ht="17.649999999999999">
      <c r="B168" s="351" t="s">
        <v>1763</v>
      </c>
      <c r="C168" s="354">
        <f>$I$117</f>
        <v>0.27857613952039867</v>
      </c>
      <c r="D168" s="355">
        <f t="shared" si="2"/>
        <v>0.10174993495982561</v>
      </c>
    </row>
    <row r="169" spans="2:7" ht="17.649999999999999">
      <c r="B169" s="351" t="s">
        <v>1766</v>
      </c>
      <c r="C169" s="354">
        <f>$I$108</f>
        <v>0.34951670610153701</v>
      </c>
      <c r="D169" s="355">
        <f t="shared" si="2"/>
        <v>0.12766097690358638</v>
      </c>
    </row>
    <row r="170" spans="2:7" ht="17.649999999999999">
      <c r="B170" s="351" t="s">
        <v>1767</v>
      </c>
      <c r="C170" s="354">
        <f>$I$99</f>
        <v>0.55984926315789463</v>
      </c>
      <c r="D170" s="355">
        <f t="shared" si="2"/>
        <v>0.20448494336842099</v>
      </c>
    </row>
    <row r="171" spans="2:7" ht="17.649999999999999">
      <c r="B171" s="351" t="s">
        <v>1768</v>
      </c>
      <c r="C171" s="354">
        <f>$I$90</f>
        <v>0.9696351070780399</v>
      </c>
      <c r="D171" s="355">
        <f t="shared" si="2"/>
        <v>0.35415922286025409</v>
      </c>
    </row>
    <row r="172" spans="2:7" ht="17.649999999999999">
      <c r="B172" s="351" t="s">
        <v>1769</v>
      </c>
      <c r="C172" s="354">
        <f>$I$81</f>
        <v>1.3450282105263158</v>
      </c>
      <c r="D172" s="355">
        <f t="shared" si="2"/>
        <v>0.49127155389473687</v>
      </c>
    </row>
    <row r="173" spans="2:7" ht="17.649999999999999">
      <c r="B173" s="351" t="s">
        <v>1770</v>
      </c>
      <c r="C173" s="354">
        <f>$I$72</f>
        <v>2.5546282105263156</v>
      </c>
      <c r="D173" s="355">
        <f t="shared" si="2"/>
        <v>0.9330779538947368</v>
      </c>
    </row>
    <row r="174" spans="2:7" ht="17.649999999999999">
      <c r="B174" s="351" t="s">
        <v>1771</v>
      </c>
      <c r="C174" s="354">
        <f>$I$63</f>
        <v>4.9738282105263156</v>
      </c>
      <c r="D174" s="355">
        <f t="shared" si="2"/>
        <v>1.8166907538947368</v>
      </c>
    </row>
    <row r="175" spans="2:7" ht="17.649999999999999">
      <c r="B175" s="351" t="s">
        <v>1772</v>
      </c>
      <c r="C175" s="354">
        <f>$I$54</f>
        <v>12.231428210526317</v>
      </c>
      <c r="D175" s="355">
        <f t="shared" si="2"/>
        <v>4.4675291538947377</v>
      </c>
    </row>
    <row r="176" spans="2:7" ht="17.649999999999999">
      <c r="B176" s="351" t="s">
        <v>1773</v>
      </c>
      <c r="C176" s="354">
        <f>$I$45</f>
        <v>24.327428210526314</v>
      </c>
      <c r="D176" s="355">
        <f t="shared" si="2"/>
        <v>8.885593153894737</v>
      </c>
    </row>
    <row r="179" spans="2:11" ht="32.25" customHeight="1">
      <c r="B179" s="545" t="s">
        <v>1807</v>
      </c>
      <c r="C179" s="349" t="s">
        <v>1808</v>
      </c>
      <c r="D179" s="350" t="s">
        <v>1809</v>
      </c>
    </row>
    <row r="180" spans="2:11" ht="35.25">
      <c r="B180" s="545"/>
      <c r="C180" s="1" t="s">
        <v>1813</v>
      </c>
      <c r="D180" s="350" t="s">
        <v>1814</v>
      </c>
    </row>
    <row r="181" spans="2:11" ht="35.25">
      <c r="B181" s="351" t="s">
        <v>1815</v>
      </c>
      <c r="C181" s="356">
        <f>$I$32</f>
        <v>24.222884210526313</v>
      </c>
      <c r="D181" s="356">
        <f>C181*365.25/1000</f>
        <v>8.847408457894737</v>
      </c>
    </row>
    <row r="189" spans="2:11" ht="21" customHeight="1">
      <c r="B189" s="547" t="s">
        <v>1816</v>
      </c>
      <c r="C189" s="547"/>
      <c r="D189" s="547"/>
      <c r="E189" s="547"/>
      <c r="F189" s="547"/>
      <c r="G189" s="547"/>
      <c r="H189" s="547"/>
      <c r="I189" s="357"/>
      <c r="J189" s="357"/>
      <c r="K189" s="357"/>
    </row>
    <row r="190" spans="2:11" ht="15.75" customHeight="1"/>
    <row r="191" spans="2:11" ht="15.75">
      <c r="B191" s="358"/>
      <c r="C191" s="359" t="s">
        <v>1782</v>
      </c>
      <c r="D191" s="360" t="s">
        <v>1817</v>
      </c>
      <c r="F191" s="358"/>
      <c r="G191" s="359" t="s">
        <v>1782</v>
      </c>
      <c r="H191" s="360" t="s">
        <v>1817</v>
      </c>
    </row>
    <row r="192" spans="2:11" ht="15.75">
      <c r="B192" s="361"/>
      <c r="C192" s="362" t="s">
        <v>1773</v>
      </c>
      <c r="D192" s="363">
        <f>$C$176</f>
        <v>24.327428210526314</v>
      </c>
      <c r="F192" s="361"/>
      <c r="G192" s="362" t="s">
        <v>1773</v>
      </c>
      <c r="H192" s="363">
        <f>$C$176</f>
        <v>24.327428210526314</v>
      </c>
    </row>
    <row r="193" spans="1:8" ht="15.75">
      <c r="B193" s="361"/>
      <c r="C193" s="362" t="s">
        <v>1772</v>
      </c>
      <c r="D193" s="363">
        <f>$C$175</f>
        <v>12.231428210526317</v>
      </c>
      <c r="F193" s="361"/>
      <c r="G193" s="362" t="s">
        <v>1772</v>
      </c>
      <c r="H193" s="363">
        <f>$C$175</f>
        <v>12.231428210526317</v>
      </c>
    </row>
    <row r="194" spans="1:8" ht="15.75">
      <c r="B194" s="361"/>
      <c r="C194" s="362" t="s">
        <v>1771</v>
      </c>
      <c r="D194" s="363">
        <f>$C$174</f>
        <v>4.9738282105263156</v>
      </c>
      <c r="F194" s="361"/>
      <c r="G194" s="362" t="s">
        <v>1771</v>
      </c>
      <c r="H194" s="363">
        <f>$C$174</f>
        <v>4.9738282105263156</v>
      </c>
    </row>
    <row r="195" spans="1:8" ht="15.75">
      <c r="B195" s="361"/>
      <c r="C195" s="362" t="s">
        <v>1770</v>
      </c>
      <c r="D195" s="363">
        <f>$C$173</f>
        <v>2.5546282105263156</v>
      </c>
      <c r="F195" s="361"/>
      <c r="G195" s="362" t="s">
        <v>1770</v>
      </c>
      <c r="H195" s="363">
        <f>$C$173</f>
        <v>2.5546282105263156</v>
      </c>
    </row>
    <row r="196" spans="1:8" ht="15.75">
      <c r="B196" s="361"/>
      <c r="C196" s="362"/>
      <c r="D196" s="363"/>
      <c r="F196" s="361"/>
      <c r="G196" s="362"/>
      <c r="H196" s="364"/>
    </row>
    <row r="197" spans="1:8" ht="15.75">
      <c r="A197" s="365"/>
      <c r="B197" s="544" t="s">
        <v>1818</v>
      </c>
      <c r="C197" s="544"/>
      <c r="D197" s="544"/>
      <c r="F197" s="544" t="s">
        <v>1818</v>
      </c>
      <c r="G197" s="544"/>
      <c r="H197" s="544"/>
    </row>
    <row r="198" spans="1:8" ht="15.75">
      <c r="B198" s="361" t="s">
        <v>1819</v>
      </c>
      <c r="C198" s="362" t="s">
        <v>1572</v>
      </c>
      <c r="D198" s="364" t="s">
        <v>1820</v>
      </c>
      <c r="F198" s="361" t="s">
        <v>1819</v>
      </c>
      <c r="G198" s="362" t="s">
        <v>1572</v>
      </c>
      <c r="H198" s="364" t="s">
        <v>1820</v>
      </c>
    </row>
    <row r="199" spans="1:8" ht="15.75">
      <c r="B199" s="361" t="s">
        <v>1821</v>
      </c>
      <c r="C199" s="362">
        <v>48</v>
      </c>
      <c r="D199" s="366">
        <f>C199*D193</f>
        <v>587.10855410526324</v>
      </c>
      <c r="F199" s="361" t="s">
        <v>1822</v>
      </c>
      <c r="G199" s="362">
        <v>5</v>
      </c>
      <c r="H199" s="366">
        <f>G199*H193</f>
        <v>61.157141052631587</v>
      </c>
    </row>
    <row r="200" spans="1:8" ht="15.75">
      <c r="B200" s="361" t="s">
        <v>1823</v>
      </c>
      <c r="C200" s="362">
        <f>365-C199</f>
        <v>317</v>
      </c>
      <c r="D200" s="366">
        <f>C200*D194</f>
        <v>1576.7035427368421</v>
      </c>
      <c r="F200" s="361" t="s">
        <v>1821</v>
      </c>
      <c r="G200" s="362">
        <v>122</v>
      </c>
      <c r="H200" s="366">
        <f>G200*H193</f>
        <v>1492.2342416842107</v>
      </c>
    </row>
    <row r="201" spans="1:8" ht="15.75">
      <c r="B201" s="361"/>
      <c r="C201" s="362">
        <f>SUM(C199:C200)</f>
        <v>365</v>
      </c>
      <c r="D201" s="367">
        <f>SUM(D199:D200)</f>
        <v>2163.8120968421053</v>
      </c>
      <c r="F201" s="361" t="s">
        <v>1824</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44" t="s">
        <v>1825</v>
      </c>
      <c r="C204" s="544"/>
      <c r="D204" s="544"/>
      <c r="F204" s="544" t="s">
        <v>1825</v>
      </c>
      <c r="G204" s="544"/>
      <c r="H204" s="544"/>
    </row>
    <row r="205" spans="1:8" ht="15.75">
      <c r="B205" s="361" t="s">
        <v>1819</v>
      </c>
      <c r="C205" s="362" t="s">
        <v>1572</v>
      </c>
      <c r="D205" s="364" t="s">
        <v>1820</v>
      </c>
      <c r="F205" s="361" t="s">
        <v>1819</v>
      </c>
      <c r="G205" s="362" t="s">
        <v>1572</v>
      </c>
      <c r="H205" s="364" t="s">
        <v>1820</v>
      </c>
    </row>
    <row r="206" spans="1:8" ht="15.75">
      <c r="B206" s="361" t="s">
        <v>1823</v>
      </c>
      <c r="C206" s="362">
        <v>260</v>
      </c>
      <c r="D206" s="366">
        <f>C206*D194</f>
        <v>1293.1953347368421</v>
      </c>
      <c r="F206" s="361" t="s">
        <v>1821</v>
      </c>
      <c r="G206" s="362">
        <v>40</v>
      </c>
      <c r="H206" s="366">
        <f>G206*H193</f>
        <v>489.2571284210527</v>
      </c>
    </row>
    <row r="207" spans="1:8" ht="15.75">
      <c r="B207" s="361"/>
      <c r="C207" s="362"/>
      <c r="D207" s="366"/>
      <c r="F207" s="361" t="s">
        <v>1823</v>
      </c>
      <c r="G207" s="362">
        <v>100</v>
      </c>
      <c r="H207" s="366">
        <f>G207*H194</f>
        <v>497.38282105263158</v>
      </c>
    </row>
    <row r="208" spans="1:8" ht="15.75">
      <c r="B208" s="361" t="s">
        <v>1824</v>
      </c>
      <c r="C208" s="362">
        <f>365-C206</f>
        <v>105</v>
      </c>
      <c r="D208" s="366">
        <f>C208*D195</f>
        <v>268.23596210526313</v>
      </c>
      <c r="F208" s="361" t="s">
        <v>1824</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workbookViewId="0"/>
  </sheetViews>
  <sheetFormatPr defaultColWidth="11.59765625" defaultRowHeight="13.5" customHeight="1"/>
  <cols>
    <col min="1" max="3" width="11.59765625" style="3"/>
    <col min="4" max="4" width="19.1328125" style="3" customWidth="1"/>
    <col min="5" max="5" width="13.3984375" style="3" customWidth="1"/>
    <col min="6" max="11" width="11.59765625" style="3"/>
    <col min="12" max="12" width="17.1328125" style="3" customWidth="1"/>
    <col min="13" max="16384" width="11.59765625" style="3"/>
  </cols>
  <sheetData>
    <row r="1" spans="1:20" ht="13.5" customHeight="1">
      <c r="E1" s="226" t="s">
        <v>1563</v>
      </c>
      <c r="N1" s="323" t="s">
        <v>1564</v>
      </c>
    </row>
    <row r="3" spans="1:20" ht="14.25">
      <c r="D3" s="3" t="s">
        <v>1565</v>
      </c>
      <c r="E3" s="3" t="s">
        <v>1565</v>
      </c>
      <c r="F3" s="3" t="s">
        <v>1566</v>
      </c>
      <c r="G3" s="3" t="s">
        <v>1567</v>
      </c>
      <c r="H3" s="3" t="s">
        <v>1568</v>
      </c>
      <c r="I3" s="3" t="s">
        <v>1568</v>
      </c>
      <c r="K3" s="145" t="s">
        <v>1569</v>
      </c>
      <c r="L3"/>
      <c r="M3" s="3" t="s">
        <v>1565</v>
      </c>
      <c r="N3" s="3" t="s">
        <v>1565</v>
      </c>
      <c r="O3" s="3" t="s">
        <v>1566</v>
      </c>
      <c r="P3" s="145" t="s">
        <v>1569</v>
      </c>
      <c r="Q3" s="145" t="s">
        <v>1569</v>
      </c>
    </row>
    <row r="4" spans="1:20" ht="14.25">
      <c r="D4" s="3" t="s">
        <v>1570</v>
      </c>
      <c r="E4" s="3" t="s">
        <v>1571</v>
      </c>
      <c r="F4" s="3" t="s">
        <v>1572</v>
      </c>
      <c r="G4" s="3" t="s">
        <v>1573</v>
      </c>
      <c r="H4" s="3" t="s">
        <v>1574</v>
      </c>
      <c r="I4" s="3" t="s">
        <v>1575</v>
      </c>
      <c r="J4" s="3" t="s">
        <v>21</v>
      </c>
      <c r="K4" s="145" t="s">
        <v>1576</v>
      </c>
      <c r="L4"/>
      <c r="M4" s="3" t="s">
        <v>1570</v>
      </c>
      <c r="N4" s="3" t="s">
        <v>1571</v>
      </c>
      <c r="O4" s="3" t="s">
        <v>1572</v>
      </c>
      <c r="P4" s="3" t="s">
        <v>21</v>
      </c>
      <c r="Q4" s="145" t="s">
        <v>1576</v>
      </c>
    </row>
    <row r="5" spans="1:20" ht="14.25">
      <c r="B5" s="3">
        <v>25096</v>
      </c>
      <c r="C5" s="324" t="s">
        <v>1577</v>
      </c>
      <c r="D5" s="324" t="s">
        <v>1578</v>
      </c>
      <c r="E5" s="324" t="s">
        <v>932</v>
      </c>
      <c r="F5" s="325">
        <f>107-96</f>
        <v>11</v>
      </c>
      <c r="G5" s="325" t="s">
        <v>1579</v>
      </c>
      <c r="H5" s="324">
        <v>16.32</v>
      </c>
      <c r="I5" s="324">
        <v>0.96960000000000002</v>
      </c>
      <c r="J5" s="324">
        <v>16.32</v>
      </c>
      <c r="K5" s="326">
        <f>H5</f>
        <v>16.32</v>
      </c>
      <c r="L5" s="327" t="s">
        <v>1577</v>
      </c>
      <c r="M5" s="327" t="s">
        <v>873</v>
      </c>
      <c r="N5" s="327" t="s">
        <v>883</v>
      </c>
      <c r="O5" s="327">
        <f>107-96</f>
        <v>11</v>
      </c>
      <c r="P5" s="327">
        <v>36.6</v>
      </c>
      <c r="Q5" s="328">
        <f>P5</f>
        <v>36.6</v>
      </c>
      <c r="R5" s="329" t="s">
        <v>1580</v>
      </c>
      <c r="S5" s="330"/>
      <c r="T5" s="330"/>
    </row>
    <row r="6" spans="1:20" ht="14.25">
      <c r="B6"/>
      <c r="C6"/>
      <c r="D6"/>
      <c r="E6"/>
      <c r="F6" s="18"/>
      <c r="G6" s="18"/>
      <c r="H6"/>
      <c r="I6"/>
      <c r="J6"/>
      <c r="K6"/>
      <c r="L6" s="327" t="s">
        <v>1581</v>
      </c>
      <c r="M6" s="327" t="s">
        <v>1582</v>
      </c>
      <c r="N6" s="327" t="s">
        <v>1583</v>
      </c>
      <c r="O6" s="327">
        <v>21</v>
      </c>
      <c r="P6" s="327"/>
      <c r="Q6" s="331"/>
      <c r="R6" s="329" t="s">
        <v>1584</v>
      </c>
      <c r="S6" s="330"/>
      <c r="T6" s="330"/>
    </row>
    <row r="7" spans="1:20" ht="14.25">
      <c r="B7" s="3">
        <v>25118</v>
      </c>
      <c r="C7" s="324" t="s">
        <v>1577</v>
      </c>
      <c r="D7" s="324" t="s">
        <v>1585</v>
      </c>
      <c r="E7" s="324" t="s">
        <v>1586</v>
      </c>
      <c r="F7" s="325">
        <f>126-107</f>
        <v>19</v>
      </c>
      <c r="G7" s="325" t="s">
        <v>1579</v>
      </c>
      <c r="H7" s="324">
        <v>17.600000000000001</v>
      </c>
      <c r="I7" s="324">
        <v>0.96960000000000002</v>
      </c>
      <c r="J7" s="324">
        <v>17.600000000000001</v>
      </c>
      <c r="K7" s="326">
        <f>H7+H5</f>
        <v>33.92</v>
      </c>
      <c r="L7" s="327" t="s">
        <v>1577</v>
      </c>
      <c r="M7" s="327" t="s">
        <v>883</v>
      </c>
      <c r="N7" s="327" t="s">
        <v>964</v>
      </c>
      <c r="O7" s="327">
        <f>116-107</f>
        <v>9</v>
      </c>
      <c r="P7" s="327">
        <v>41</v>
      </c>
      <c r="Q7" s="328">
        <f>P7+Q5</f>
        <v>77.599999999999994</v>
      </c>
      <c r="R7" s="329" t="s">
        <v>1580</v>
      </c>
      <c r="S7" s="330"/>
      <c r="T7" s="330"/>
    </row>
    <row r="8" spans="1:20" ht="13.5" customHeight="1">
      <c r="F8" s="4"/>
      <c r="G8" s="4"/>
      <c r="L8" s="327" t="s">
        <v>1581</v>
      </c>
      <c r="M8" s="327" t="s">
        <v>1583</v>
      </c>
      <c r="N8" s="327" t="s">
        <v>1587</v>
      </c>
      <c r="O8" s="331">
        <v>172</v>
      </c>
      <c r="P8" s="331">
        <f>5227688*8/1000000</f>
        <v>41.821503999999997</v>
      </c>
      <c r="Q8" s="332">
        <f>Q7+P8</f>
        <v>119.421504</v>
      </c>
      <c r="R8" s="329" t="s">
        <v>1584</v>
      </c>
      <c r="S8" s="330"/>
      <c r="T8" s="330"/>
    </row>
    <row r="9" spans="1:20" ht="13.5" customHeight="1">
      <c r="F9" s="4"/>
      <c r="G9" s="4"/>
      <c r="L9" s="327" t="s">
        <v>1588</v>
      </c>
      <c r="M9" s="327"/>
      <c r="N9" s="327"/>
      <c r="O9" s="331"/>
      <c r="P9" s="331"/>
      <c r="Q9" s="332"/>
      <c r="R9" s="329" t="s">
        <v>1589</v>
      </c>
      <c r="S9" s="330"/>
      <c r="T9" s="330"/>
    </row>
    <row r="10" spans="1:20" ht="14.25">
      <c r="A10" s="91"/>
      <c r="B10" s="3">
        <v>25139</v>
      </c>
      <c r="C10" s="324" t="s">
        <v>762</v>
      </c>
      <c r="D10" s="324" t="s">
        <v>1590</v>
      </c>
      <c r="E10" s="324" t="s">
        <v>1109</v>
      </c>
      <c r="F10" s="325">
        <f>302-276</f>
        <v>26</v>
      </c>
      <c r="G10" s="325" t="s">
        <v>1591</v>
      </c>
      <c r="H10" s="324">
        <v>64.400000000000006</v>
      </c>
      <c r="I10" s="324">
        <v>2.5546000000000002</v>
      </c>
      <c r="J10" s="324">
        <v>64.400000000000006</v>
      </c>
      <c r="K10" s="326">
        <f>K7+H10</f>
        <v>98.320000000000007</v>
      </c>
      <c r="L10" s="327" t="s">
        <v>1577</v>
      </c>
      <c r="M10" s="327" t="s">
        <v>964</v>
      </c>
      <c r="N10" s="327" t="s">
        <v>1062</v>
      </c>
      <c r="O10" s="327">
        <f>135-119</f>
        <v>16</v>
      </c>
      <c r="P10" s="327">
        <v>56.5</v>
      </c>
      <c r="Q10" s="332">
        <f>Q8+P10</f>
        <v>175.921504</v>
      </c>
      <c r="R10" s="329" t="s">
        <v>1592</v>
      </c>
      <c r="S10" s="330"/>
      <c r="T10" s="330"/>
    </row>
    <row r="11" spans="1:20" ht="13.5" customHeight="1">
      <c r="A11"/>
      <c r="B11"/>
      <c r="F11" s="4"/>
      <c r="G11" s="4"/>
      <c r="P11" s="3">
        <f>P10+P7+P5</f>
        <v>134.1</v>
      </c>
    </row>
    <row r="12" spans="1:20" ht="13.5" customHeight="1">
      <c r="A12">
        <v>178</v>
      </c>
      <c r="B12" s="3">
        <v>25159</v>
      </c>
      <c r="C12" s="324" t="s">
        <v>762</v>
      </c>
      <c r="D12" s="324" t="s">
        <v>1593</v>
      </c>
      <c r="E12" s="324" t="s">
        <v>1268</v>
      </c>
      <c r="F12" s="325">
        <f>338-302</f>
        <v>36</v>
      </c>
      <c r="G12" s="325" t="s">
        <v>1591</v>
      </c>
      <c r="H12" s="324">
        <v>90.4</v>
      </c>
      <c r="I12" s="324">
        <v>2.5546000000000002</v>
      </c>
      <c r="J12" s="324">
        <v>90.4</v>
      </c>
      <c r="K12" s="326">
        <f>K10+H12</f>
        <v>188.72000000000003</v>
      </c>
      <c r="L12" s="327" t="s">
        <v>1577</v>
      </c>
      <c r="M12" s="327" t="s">
        <v>1062</v>
      </c>
      <c r="N12" s="327" t="s">
        <v>1274</v>
      </c>
      <c r="O12" s="327">
        <f>178-135</f>
        <v>43</v>
      </c>
      <c r="P12" s="327">
        <v>105.5</v>
      </c>
      <c r="Q12" s="332">
        <f>Q10+P12</f>
        <v>281.42150400000003</v>
      </c>
      <c r="R12" s="329" t="s">
        <v>1594</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1595</v>
      </c>
      <c r="C16"/>
      <c r="D16"/>
      <c r="E16"/>
      <c r="F16"/>
      <c r="G16"/>
      <c r="H16"/>
      <c r="I16"/>
      <c r="J16"/>
      <c r="K16"/>
      <c r="L16"/>
      <c r="M16"/>
      <c r="N16"/>
      <c r="O16"/>
      <c r="P16"/>
      <c r="Q16"/>
    </row>
    <row r="17" spans="1:17" ht="13.5" customHeight="1">
      <c r="A17"/>
      <c r="B17" s="333"/>
      <c r="C17" s="334" t="s">
        <v>1596</v>
      </c>
      <c r="D17" s="324" t="s">
        <v>1597</v>
      </c>
      <c r="E17" s="324" t="s">
        <v>1598</v>
      </c>
      <c r="F17" s="325">
        <f>83+365-302</f>
        <v>146</v>
      </c>
      <c r="G17" s="325" t="s">
        <v>1591</v>
      </c>
      <c r="H17" s="325">
        <f>(F17*86400*8*'2025_pb'!W9)/1000000</f>
        <v>371.78301399999998</v>
      </c>
      <c r="I17" s="324">
        <v>2.5546000000000002</v>
      </c>
      <c r="J17" s="325">
        <f>I17*F17</f>
        <v>372.97160000000002</v>
      </c>
      <c r="K17" s="335">
        <f>H17</f>
        <v>371.78301399999998</v>
      </c>
      <c r="L17" s="3" t="s">
        <v>1599</v>
      </c>
      <c r="M17" s="3" t="s">
        <v>1600</v>
      </c>
      <c r="N17" s="3" t="s">
        <v>1601</v>
      </c>
      <c r="O17" s="3">
        <f>83+365-276</f>
        <v>172</v>
      </c>
      <c r="P17" s="3">
        <f>241+379</f>
        <v>620</v>
      </c>
      <c r="Q17" s="145">
        <f>P17</f>
        <v>620</v>
      </c>
    </row>
    <row r="18" spans="1:17" ht="13.5" customHeight="1">
      <c r="A18"/>
      <c r="B18" s="333"/>
      <c r="C18" s="334" t="s">
        <v>1602</v>
      </c>
      <c r="D18" s="324" t="s">
        <v>1603</v>
      </c>
      <c r="E18" s="324" t="s">
        <v>1604</v>
      </c>
      <c r="F18" s="324">
        <f>219-126</f>
        <v>93</v>
      </c>
      <c r="G18" s="324"/>
      <c r="H18" s="325">
        <f>F18*86400*8*'2025_pb'!S9/1000000</f>
        <v>89.416337999999996</v>
      </c>
      <c r="I18" s="325"/>
      <c r="J18" s="325">
        <f>H18*86400*8*'2025_pb'!T9/1000000</f>
        <v>22.50543686688691</v>
      </c>
      <c r="K18" s="335">
        <f>K17+H18</f>
        <v>461.19935199999998</v>
      </c>
      <c r="L18" s="3" t="s">
        <v>1605</v>
      </c>
      <c r="N18" s="3" t="s">
        <v>1606</v>
      </c>
    </row>
    <row r="19" spans="1:17" ht="13.5" customHeight="1">
      <c r="A19"/>
      <c r="B19" t="s">
        <v>1607</v>
      </c>
      <c r="D19" s="3">
        <v>96</v>
      </c>
      <c r="E19" s="3">
        <v>219</v>
      </c>
      <c r="F19" s="3">
        <f>E19-D19</f>
        <v>123</v>
      </c>
      <c r="I19" s="324">
        <v>0.96960000000000002</v>
      </c>
      <c r="J19" s="3">
        <f>I19*F19</f>
        <v>119.2608</v>
      </c>
    </row>
    <row r="21" spans="1:17" ht="13.5" customHeight="1">
      <c r="M21" s="3">
        <f>296-189</f>
        <v>107</v>
      </c>
    </row>
    <row r="24" spans="1:17" ht="13.5" customHeight="1">
      <c r="D24" s="3" t="s">
        <v>755</v>
      </c>
      <c r="E24" t="s">
        <v>1608</v>
      </c>
      <c r="F24" t="s">
        <v>1609</v>
      </c>
      <c r="G24" t="s">
        <v>621</v>
      </c>
      <c r="H24"/>
      <c r="I24"/>
      <c r="J24" s="17" t="s">
        <v>1610</v>
      </c>
      <c r="K24" s="3">
        <v>150</v>
      </c>
      <c r="L24">
        <v>160</v>
      </c>
      <c r="O24" s="17" t="s">
        <v>1611</v>
      </c>
      <c r="P24" s="3">
        <v>134</v>
      </c>
    </row>
    <row r="25" spans="1:17" ht="13.5" customHeight="1">
      <c r="C25" t="s">
        <v>1612</v>
      </c>
      <c r="D25" s="3">
        <v>274</v>
      </c>
      <c r="E25" s="3">
        <f>16.32+17.6</f>
        <v>33.92</v>
      </c>
      <c r="F25"/>
      <c r="G25" s="3">
        <f>D25-E25</f>
        <v>240.07999999999998</v>
      </c>
      <c r="H25"/>
      <c r="I25"/>
      <c r="J25" s="17" t="s">
        <v>1613</v>
      </c>
      <c r="K25" s="3">
        <v>372</v>
      </c>
      <c r="L25">
        <v>284</v>
      </c>
      <c r="O25" s="17" t="s">
        <v>1614</v>
      </c>
      <c r="P25" s="3">
        <v>42</v>
      </c>
    </row>
    <row r="26" spans="1:17" ht="13.5" customHeight="1">
      <c r="C26" s="3" t="s">
        <v>1615</v>
      </c>
      <c r="D26" s="3">
        <v>439</v>
      </c>
      <c r="F26" s="3">
        <f>64.4+90.4</f>
        <v>154.80000000000001</v>
      </c>
      <c r="G26" s="3">
        <f>D26-F26</f>
        <v>284.2</v>
      </c>
      <c r="H26"/>
      <c r="I26"/>
      <c r="J26" s="17" t="s">
        <v>1616</v>
      </c>
      <c r="K26" s="3">
        <v>89</v>
      </c>
      <c r="L26">
        <v>240</v>
      </c>
      <c r="O26" s="17" t="s">
        <v>1617</v>
      </c>
      <c r="P26" s="3">
        <v>15</v>
      </c>
    </row>
    <row r="27" spans="1:17" ht="13.5" customHeight="1">
      <c r="F27"/>
      <c r="G27"/>
      <c r="H27"/>
      <c r="I27"/>
      <c r="J27" s="17" t="s">
        <v>1618</v>
      </c>
      <c r="K27" s="3">
        <v>620</v>
      </c>
      <c r="L27">
        <v>536</v>
      </c>
      <c r="O27" s="17" t="s">
        <v>1619</v>
      </c>
      <c r="P27" s="3">
        <v>105</v>
      </c>
    </row>
    <row r="28" spans="1:17" ht="13.5" customHeight="1">
      <c r="C28" s="17" t="s">
        <v>1620</v>
      </c>
      <c r="D28" s="3">
        <f>(159-96)*0.24</f>
        <v>15.12</v>
      </c>
      <c r="F28"/>
      <c r="G28"/>
      <c r="H28"/>
      <c r="I28"/>
      <c r="J28" s="17" t="s">
        <v>1621</v>
      </c>
      <c r="K28" s="3">
        <v>461</v>
      </c>
      <c r="L28">
        <f>59.4+36.6</f>
        <v>96</v>
      </c>
      <c r="M28" s="3" t="s">
        <v>1622</v>
      </c>
      <c r="O28" s="17"/>
      <c r="P28" s="3">
        <f>SUM(P24:P27)</f>
        <v>296</v>
      </c>
    </row>
    <row r="29" spans="1:17" ht="13.5" customHeight="1">
      <c r="F29"/>
      <c r="G29"/>
      <c r="H29"/>
      <c r="I29"/>
      <c r="K29" s="3">
        <f>SUM(K24:K28)</f>
        <v>1692</v>
      </c>
      <c r="L29">
        <f>6.3+10.5</f>
        <v>16.8</v>
      </c>
      <c r="M29" s="3" t="s">
        <v>1623</v>
      </c>
      <c r="O29" s="17"/>
    </row>
    <row r="30" spans="1:17" ht="13.5" customHeight="1">
      <c r="O30" s="17" t="s">
        <v>1624</v>
      </c>
      <c r="P30" s="3">
        <v>87</v>
      </c>
    </row>
    <row r="31" spans="1:17" ht="13.5" customHeight="1">
      <c r="O31" s="17" t="s">
        <v>1625</v>
      </c>
      <c r="P31" s="3">
        <v>449</v>
      </c>
    </row>
    <row r="32" spans="1:17" ht="13.5" customHeight="1">
      <c r="I32" s="3">
        <f>96+203+160</f>
        <v>459</v>
      </c>
      <c r="O32" s="17"/>
      <c r="P32" s="3">
        <f>P31+P30</f>
        <v>536</v>
      </c>
    </row>
    <row r="33" spans="1:15" ht="13.5" customHeight="1">
      <c r="B33" s="3" t="s">
        <v>1626</v>
      </c>
      <c r="D33" s="3" t="s">
        <v>1627</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workbookViewId="0"/>
  </sheetViews>
  <sheetFormatPr defaultColWidth="12.1328125" defaultRowHeight="12.75" customHeight="1"/>
  <sheetData>
    <row r="14" spans="4:5" ht="12.75" customHeight="1">
      <c r="E14" t="s">
        <v>1628</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1629</v>
      </c>
    </row>
    <row r="25" spans="3:10" ht="12.75" customHeight="1">
      <c r="E25" t="s">
        <v>1630</v>
      </c>
      <c r="J25" t="s">
        <v>1631</v>
      </c>
    </row>
    <row r="26" spans="3:10" ht="12.75" customHeight="1">
      <c r="C26" t="s">
        <v>1632</v>
      </c>
      <c r="E26" t="s">
        <v>1633</v>
      </c>
      <c r="G26" t="s">
        <v>1634</v>
      </c>
    </row>
    <row r="27" spans="3:10" ht="12.75" customHeight="1">
      <c r="E27" t="s">
        <v>1635</v>
      </c>
      <c r="G27" t="s">
        <v>1636</v>
      </c>
    </row>
    <row r="28" spans="3:10" ht="12.75" customHeight="1">
      <c r="E28" t="s">
        <v>1637</v>
      </c>
      <c r="G28" t="s">
        <v>1638</v>
      </c>
      <c r="I28" t="s">
        <v>1636</v>
      </c>
    </row>
    <row r="29" spans="3:10" ht="12.75" customHeight="1">
      <c r="E29" t="s">
        <v>1639</v>
      </c>
    </row>
    <row r="30" spans="3:10" ht="12.75" customHeight="1">
      <c r="E30" t="s">
        <v>1639</v>
      </c>
      <c r="G30" t="s">
        <v>1640</v>
      </c>
    </row>
    <row r="31" spans="3:10" ht="12.75" customHeight="1">
      <c r="E31" t="s">
        <v>1641</v>
      </c>
      <c r="G31" t="s">
        <v>1642</v>
      </c>
      <c r="J31" t="s">
        <v>204</v>
      </c>
    </row>
    <row r="32" spans="3:10" ht="12.75" customHeight="1">
      <c r="E32" t="s">
        <v>1643</v>
      </c>
      <c r="G32" t="s">
        <v>1644</v>
      </c>
    </row>
    <row r="33" spans="5:9" ht="12.75" customHeight="1">
      <c r="E33" t="s">
        <v>1645</v>
      </c>
      <c r="G33" t="s">
        <v>1646</v>
      </c>
    </row>
    <row r="34" spans="5:9" ht="12.75" customHeight="1">
      <c r="E34" t="s">
        <v>1647</v>
      </c>
      <c r="G34" t="s">
        <v>1648</v>
      </c>
    </row>
    <row r="35" spans="5:9" ht="12.75" customHeight="1">
      <c r="E35" t="s">
        <v>1649</v>
      </c>
      <c r="G35" t="s">
        <v>1650</v>
      </c>
    </row>
    <row r="36" spans="5:9" ht="12.75" customHeight="1">
      <c r="E36" t="s">
        <v>1651</v>
      </c>
      <c r="G36" t="s">
        <v>1652</v>
      </c>
    </row>
    <row r="37" spans="5:9" ht="12.75" customHeight="1">
      <c r="E37" t="s">
        <v>1653</v>
      </c>
      <c r="G37" t="s">
        <v>1654</v>
      </c>
    </row>
    <row r="38" spans="5:9" ht="12.75" customHeight="1">
      <c r="E38" t="s">
        <v>1655</v>
      </c>
      <c r="G38" t="s">
        <v>1656</v>
      </c>
    </row>
    <row r="39" spans="5:9" ht="12.75" customHeight="1">
      <c r="E39" t="s">
        <v>1657</v>
      </c>
      <c r="G39" t="s">
        <v>1658</v>
      </c>
      <c r="I39" t="s">
        <v>1659</v>
      </c>
    </row>
    <row r="40" spans="5:9" ht="12.75" customHeight="1">
      <c r="E40" t="s">
        <v>1660</v>
      </c>
      <c r="G40" t="s">
        <v>1661</v>
      </c>
      <c r="I40" t="s">
        <v>1662</v>
      </c>
    </row>
    <row r="41" spans="5:9" ht="12.75" customHeight="1">
      <c r="E41" t="s">
        <v>1663</v>
      </c>
      <c r="I41" t="s">
        <v>1664</v>
      </c>
    </row>
    <row r="42" spans="5:9" ht="12.75" customHeight="1">
      <c r="E42" t="s">
        <v>1665</v>
      </c>
    </row>
    <row r="43" spans="5:9" ht="12.75" customHeight="1">
      <c r="E43" t="s">
        <v>1666</v>
      </c>
      <c r="G43" t="s">
        <v>1667</v>
      </c>
    </row>
    <row r="44" spans="5:9" ht="12.75" customHeight="1">
      <c r="E44" t="s">
        <v>1668</v>
      </c>
      <c r="G44" t="s">
        <v>1669</v>
      </c>
    </row>
    <row r="45" spans="5:9" ht="12.75" customHeight="1">
      <c r="E45" t="s">
        <v>1670</v>
      </c>
      <c r="G45" t="s">
        <v>1671</v>
      </c>
    </row>
    <row r="46" spans="5:9" ht="12.75" customHeight="1">
      <c r="E46" t="s">
        <v>1672</v>
      </c>
      <c r="G46" t="s">
        <v>1673</v>
      </c>
    </row>
    <row r="47" spans="5:9" ht="12.75" customHeight="1">
      <c r="E47" t="s">
        <v>1674</v>
      </c>
      <c r="G47" t="s">
        <v>1675</v>
      </c>
    </row>
    <row r="48" spans="5:9" ht="12.75" customHeight="1">
      <c r="E48" t="s">
        <v>1676</v>
      </c>
      <c r="G48" t="s">
        <v>1675</v>
      </c>
    </row>
    <row r="49" spans="4:7" ht="12.75" customHeight="1">
      <c r="E49" t="s">
        <v>1677</v>
      </c>
      <c r="G49" t="s">
        <v>1678</v>
      </c>
    </row>
    <row r="50" spans="4:7" ht="12.75" customHeight="1">
      <c r="E50" t="s">
        <v>1679</v>
      </c>
      <c r="G50" t="s">
        <v>1680</v>
      </c>
    </row>
    <row r="51" spans="4:7" ht="12.75" customHeight="1">
      <c r="D51" t="s">
        <v>1681</v>
      </c>
      <c r="E51" t="s">
        <v>1682</v>
      </c>
      <c r="G51" t="s">
        <v>1683</v>
      </c>
    </row>
    <row r="52" spans="4:7" ht="12.75" customHeight="1">
      <c r="E52" t="s">
        <v>1684</v>
      </c>
      <c r="G52" t="s">
        <v>1685</v>
      </c>
    </row>
    <row r="53" spans="4:7" ht="12.75" customHeight="1">
      <c r="E53" t="s">
        <v>1686</v>
      </c>
      <c r="G53" t="s">
        <v>1687</v>
      </c>
    </row>
    <row r="54" spans="4:7" ht="12.75" customHeight="1">
      <c r="E54" t="s">
        <v>1688</v>
      </c>
      <c r="G54" t="s">
        <v>1689</v>
      </c>
    </row>
    <row r="55" spans="4:7" ht="12.75" customHeight="1">
      <c r="E55" t="s">
        <v>1690</v>
      </c>
      <c r="G55" t="s">
        <v>1691</v>
      </c>
    </row>
    <row r="56" spans="4:7" ht="12.75" customHeight="1">
      <c r="E56" t="s">
        <v>1692</v>
      </c>
    </row>
    <row r="57" spans="4:7" ht="12.75" customHeight="1">
      <c r="E57" t="s">
        <v>1693</v>
      </c>
    </row>
    <row r="58" spans="4:7" ht="12.75" customHeight="1">
      <c r="E58" t="s">
        <v>1694</v>
      </c>
    </row>
    <row r="59" spans="4:7" ht="12.75" customHeight="1">
      <c r="E59" t="s">
        <v>1695</v>
      </c>
    </row>
    <row r="60" spans="4:7" ht="12.75" customHeight="1">
      <c r="E60" t="s">
        <v>1696</v>
      </c>
    </row>
    <row r="61" spans="4:7" ht="12.75" customHeight="1">
      <c r="E61" t="s">
        <v>1697</v>
      </c>
    </row>
    <row r="62" spans="4:7" ht="12.75" customHeight="1">
      <c r="E62" t="s">
        <v>1698</v>
      </c>
    </row>
    <row r="63" spans="4:7" ht="12.75" customHeight="1">
      <c r="E63" t="s">
        <v>1699</v>
      </c>
    </row>
    <row r="64" spans="4:7" ht="12.75" customHeight="1">
      <c r="E64" t="s">
        <v>1700</v>
      </c>
    </row>
    <row r="65" spans="4:5" ht="12.75" customHeight="1">
      <c r="E65" t="s">
        <v>1701</v>
      </c>
    </row>
    <row r="66" spans="4:5" ht="12.75" customHeight="1">
      <c r="E66" t="s">
        <v>1702</v>
      </c>
    </row>
    <row r="67" spans="4:5" ht="12.75" customHeight="1">
      <c r="E67" t="s">
        <v>1703</v>
      </c>
    </row>
    <row r="68" spans="4:5" ht="12.75" customHeight="1">
      <c r="E68" t="s">
        <v>1704</v>
      </c>
    </row>
    <row r="69" spans="4:5" ht="12.75" customHeight="1">
      <c r="E69" t="s">
        <v>1705</v>
      </c>
    </row>
    <row r="70" spans="4:5" ht="12.75" customHeight="1">
      <c r="D70">
        <v>25139</v>
      </c>
      <c r="E70" t="s">
        <v>1706</v>
      </c>
    </row>
    <row r="72" spans="4:5" ht="12.75" customHeight="1">
      <c r="E72" t="s">
        <v>1707</v>
      </c>
    </row>
    <row r="73" spans="4:5" ht="12.75" customHeight="1">
      <c r="E73" t="s">
        <v>1708</v>
      </c>
    </row>
    <row r="74" spans="4:5" ht="12.75" customHeight="1">
      <c r="E74" t="s">
        <v>1709</v>
      </c>
    </row>
    <row r="75" spans="4:5" ht="12.75" customHeight="1">
      <c r="E75" t="s">
        <v>1710</v>
      </c>
    </row>
    <row r="76" spans="4:5" ht="12.75" customHeight="1">
      <c r="E76" t="s">
        <v>1711</v>
      </c>
    </row>
    <row r="77" spans="4:5" ht="12.75" customHeight="1">
      <c r="E77" t="s">
        <v>1712</v>
      </c>
    </row>
    <row r="78" spans="4:5" ht="12.75" customHeight="1">
      <c r="E78" t="s">
        <v>1713</v>
      </c>
    </row>
    <row r="79" spans="4:5" ht="12.75" customHeight="1">
      <c r="E79" t="s">
        <v>1714</v>
      </c>
    </row>
    <row r="80" spans="4:5" ht="12.75" customHeight="1">
      <c r="E80" t="s">
        <v>1715</v>
      </c>
    </row>
    <row r="81" spans="4:5" ht="12.75" customHeight="1">
      <c r="E81" t="s">
        <v>1716</v>
      </c>
    </row>
    <row r="82" spans="4:5" ht="12.75" customHeight="1">
      <c r="E82" t="s">
        <v>1717</v>
      </c>
    </row>
    <row r="83" spans="4:5" ht="12.75" customHeight="1">
      <c r="E83" t="s">
        <v>1718</v>
      </c>
    </row>
    <row r="84" spans="4:5" ht="12.75" customHeight="1">
      <c r="E84" t="s">
        <v>1719</v>
      </c>
    </row>
    <row r="85" spans="4:5" ht="12.75" customHeight="1">
      <c r="E85" t="s">
        <v>1720</v>
      </c>
    </row>
    <row r="86" spans="4:5" ht="12.75" customHeight="1">
      <c r="E86" t="s">
        <v>1721</v>
      </c>
    </row>
    <row r="87" spans="4:5" ht="12.75" customHeight="1">
      <c r="E87" t="s">
        <v>1722</v>
      </c>
    </row>
    <row r="88" spans="4:5" ht="12.75" customHeight="1">
      <c r="D88">
        <v>23159</v>
      </c>
      <c r="E88" t="s">
        <v>1723</v>
      </c>
    </row>
    <row r="90" spans="4:5" ht="12.75" customHeight="1">
      <c r="E90" t="s">
        <v>1724</v>
      </c>
    </row>
    <row r="91" spans="4:5" ht="12.75" customHeight="1">
      <c r="E91" t="s">
        <v>1725</v>
      </c>
    </row>
    <row r="92" spans="4:5" ht="12.75" customHeight="1">
      <c r="E92" t="s">
        <v>1726</v>
      </c>
    </row>
    <row r="93" spans="4:5" ht="12.75" customHeight="1">
      <c r="E93" t="s">
        <v>1727</v>
      </c>
    </row>
    <row r="94" spans="4:5" ht="12.75" customHeight="1">
      <c r="E94" t="s">
        <v>1728</v>
      </c>
    </row>
    <row r="95" spans="4:5" ht="12.75" customHeight="1">
      <c r="E95" t="s">
        <v>1729</v>
      </c>
    </row>
    <row r="96" spans="4:5" ht="12.75" customHeight="1">
      <c r="E96" t="s">
        <v>1730</v>
      </c>
    </row>
    <row r="97" spans="5:5" ht="12.75" customHeight="1">
      <c r="E97" t="s">
        <v>1731</v>
      </c>
    </row>
    <row r="98" spans="5:5" ht="12.75" customHeight="1">
      <c r="E98" t="s">
        <v>1732</v>
      </c>
    </row>
    <row r="99" spans="5:5" ht="12.75" customHeight="1">
      <c r="E99" t="s">
        <v>1733</v>
      </c>
    </row>
    <row r="100" spans="5:5" ht="12.75" customHeight="1">
      <c r="E100" t="s">
        <v>1734</v>
      </c>
    </row>
    <row r="101" spans="5:5" ht="12.75" customHeight="1">
      <c r="E101" t="s">
        <v>1735</v>
      </c>
    </row>
    <row r="102" spans="5:5" ht="12.75" customHeight="1">
      <c r="E102" t="s">
        <v>1736</v>
      </c>
    </row>
    <row r="103" spans="5:5" ht="12.75" customHeight="1">
      <c r="E103" t="s">
        <v>1737</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workbookViewId="0"/>
  </sheetViews>
  <sheetFormatPr defaultColWidth="11.59765625" defaultRowHeight="13.5" customHeight="1"/>
  <sheetData>
    <row r="2" spans="4:15" ht="13.5" customHeight="1">
      <c r="G2" t="s">
        <v>1826</v>
      </c>
      <c r="H2" t="s">
        <v>1827</v>
      </c>
      <c r="I2" t="s">
        <v>1828</v>
      </c>
      <c r="J2" t="s">
        <v>1829</v>
      </c>
      <c r="K2" t="s">
        <v>1830</v>
      </c>
      <c r="L2" t="s">
        <v>1831</v>
      </c>
      <c r="M2" t="s">
        <v>1832</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1833</v>
      </c>
      <c r="H4" t="s">
        <v>1834</v>
      </c>
    </row>
    <row r="5" spans="4:15" ht="13.5" customHeight="1">
      <c r="G5" s="97">
        <f>H18</f>
        <v>573130071</v>
      </c>
      <c r="H5" s="97">
        <f>I18</f>
        <v>573191571</v>
      </c>
    </row>
    <row r="6" spans="4:15" ht="13.5" customHeight="1">
      <c r="E6" s="224" t="s">
        <v>1835</v>
      </c>
      <c r="F6" s="224" t="s">
        <v>1836</v>
      </c>
      <c r="G6" s="224">
        <v>573166316</v>
      </c>
      <c r="H6" s="224">
        <v>8</v>
      </c>
      <c r="I6" s="224" t="s">
        <v>373</v>
      </c>
      <c r="J6" s="224" t="s">
        <v>1837</v>
      </c>
      <c r="K6" s="224" t="s">
        <v>816</v>
      </c>
      <c r="L6" s="224" t="s">
        <v>817</v>
      </c>
      <c r="M6" s="224" t="s">
        <v>1838</v>
      </c>
      <c r="N6" s="3"/>
      <c r="O6" s="3"/>
    </row>
    <row r="7" spans="4:15" ht="13.5" customHeight="1">
      <c r="D7" s="17" t="s">
        <v>1839</v>
      </c>
      <c r="E7" s="224" t="s">
        <v>1840</v>
      </c>
      <c r="F7" s="224" t="s">
        <v>1841</v>
      </c>
      <c r="G7" s="224">
        <v>573172616</v>
      </c>
      <c r="H7" s="224">
        <v>7</v>
      </c>
      <c r="I7" s="224" t="s">
        <v>373</v>
      </c>
      <c r="J7" s="224" t="s">
        <v>1842</v>
      </c>
      <c r="K7" s="224" t="s">
        <v>816</v>
      </c>
      <c r="L7" s="224" t="s">
        <v>817</v>
      </c>
      <c r="M7" s="224" t="s">
        <v>1843</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1844</v>
      </c>
      <c r="E15" s="3" t="s">
        <v>173</v>
      </c>
      <c r="F15" s="3" t="s">
        <v>21</v>
      </c>
      <c r="G15" s="3"/>
      <c r="J15" t="s">
        <v>1845</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1846</v>
      </c>
      <c r="H17" s="143">
        <f t="shared" ref="H17:H22" si="3">I16</f>
        <v>573102771</v>
      </c>
      <c r="I17" s="143">
        <v>573130071</v>
      </c>
      <c r="J17" s="104">
        <f t="shared" si="1"/>
        <v>27300</v>
      </c>
      <c r="K17" s="104">
        <f t="shared" si="2"/>
        <v>0</v>
      </c>
      <c r="L17" s="3">
        <v>908890</v>
      </c>
    </row>
    <row r="18" spans="2:12" ht="14.2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4.25">
      <c r="B19" t="s">
        <v>1847</v>
      </c>
      <c r="D19" s="183">
        <f>E19/J19</f>
        <v>3.8722222222222222</v>
      </c>
      <c r="E19" s="3">
        <f t="shared" si="0"/>
        <v>174250</v>
      </c>
      <c r="F19" s="3">
        <v>1.3939999999999999</v>
      </c>
      <c r="G19" s="179" t="s">
        <v>1848</v>
      </c>
      <c r="H19" s="143">
        <f t="shared" si="3"/>
        <v>573191571</v>
      </c>
      <c r="I19" s="143">
        <v>573236571</v>
      </c>
      <c r="J19" s="104">
        <f t="shared" si="1"/>
        <v>45000</v>
      </c>
      <c r="K19" s="104">
        <f t="shared" si="2"/>
        <v>0</v>
      </c>
      <c r="L19" s="3">
        <v>908890</v>
      </c>
    </row>
    <row r="20" spans="2:12" ht="14.25">
      <c r="D20" s="183">
        <f>E20/J20</f>
        <v>3.7550080128205128</v>
      </c>
      <c r="E20" s="3">
        <f t="shared" si="0"/>
        <v>468625</v>
      </c>
      <c r="F20" s="3">
        <v>3.7490000000000001</v>
      </c>
      <c r="G20" s="179" t="s">
        <v>1849</v>
      </c>
      <c r="H20" s="143">
        <f t="shared" si="3"/>
        <v>573236571</v>
      </c>
      <c r="I20" s="373">
        <v>573361371</v>
      </c>
      <c r="J20" s="104">
        <f t="shared" si="1"/>
        <v>124800</v>
      </c>
      <c r="K20" s="104">
        <f t="shared" si="2"/>
        <v>0</v>
      </c>
      <c r="L20" s="3">
        <v>908890</v>
      </c>
    </row>
    <row r="21" spans="2:12" ht="14.25">
      <c r="D21" s="183">
        <f>E21/J21</f>
        <v>3.7729166666666667</v>
      </c>
      <c r="E21" s="3">
        <f t="shared" si="0"/>
        <v>226375</v>
      </c>
      <c r="F21" s="3">
        <v>1.8109999999999999</v>
      </c>
      <c r="G21" s="179" t="s">
        <v>1850</v>
      </c>
      <c r="H21" s="143">
        <f t="shared" si="3"/>
        <v>573361371</v>
      </c>
      <c r="I21" s="375">
        <v>573421371</v>
      </c>
      <c r="J21" s="104">
        <f t="shared" si="1"/>
        <v>60000</v>
      </c>
      <c r="K21" s="104">
        <f t="shared" si="2"/>
        <v>0</v>
      </c>
      <c r="L21" s="3">
        <v>908890</v>
      </c>
    </row>
    <row r="22" spans="2:12" ht="14.25">
      <c r="D22" s="183">
        <f>E22/J22</f>
        <v>3.8367052023121389</v>
      </c>
      <c r="E22" s="3">
        <f t="shared" si="0"/>
        <v>199125</v>
      </c>
      <c r="F22" s="3">
        <v>1.593</v>
      </c>
      <c r="G22" s="179" t="s">
        <v>1851</v>
      </c>
      <c r="H22" s="143">
        <f t="shared" si="3"/>
        <v>573421371</v>
      </c>
      <c r="I22" s="375">
        <v>573473271</v>
      </c>
      <c r="J22" s="104">
        <f t="shared" si="1"/>
        <v>51900</v>
      </c>
      <c r="K22" s="104">
        <f t="shared" si="2"/>
        <v>0</v>
      </c>
      <c r="L22" s="3">
        <v>908890</v>
      </c>
    </row>
    <row r="23" spans="2:12" ht="14.25">
      <c r="D23">
        <f>SUM(D19:D22)/4</f>
        <v>3.8092130260053851</v>
      </c>
      <c r="F23" s="3"/>
      <c r="G23" s="3"/>
      <c r="K23" s="4"/>
      <c r="L23" s="3"/>
    </row>
    <row r="24" spans="2:12" ht="14.25">
      <c r="F24" s="3"/>
      <c r="G24" s="3"/>
      <c r="K24" s="4"/>
      <c r="L24" s="3"/>
    </row>
    <row r="25" spans="2:12" ht="14.2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4.25">
      <c r="D26" s="183">
        <f t="shared" si="4"/>
        <v>3.9579967689822295</v>
      </c>
      <c r="E26" s="3">
        <f t="shared" si="5"/>
        <v>147000</v>
      </c>
      <c r="F26" s="3">
        <v>1.1759999999999999</v>
      </c>
      <c r="G26" s="179" t="s">
        <v>1852</v>
      </c>
      <c r="H26" s="375">
        <v>589408851</v>
      </c>
      <c r="I26" s="375">
        <v>589445991</v>
      </c>
      <c r="J26" s="104">
        <f t="shared" si="6"/>
        <v>37140</v>
      </c>
      <c r="K26" s="104">
        <f t="shared" si="7"/>
        <v>0</v>
      </c>
      <c r="L26" s="3">
        <v>908890</v>
      </c>
    </row>
    <row r="27" spans="2:12" ht="14.25">
      <c r="D27" s="183">
        <f t="shared" si="4"/>
        <v>3.7918760469011725</v>
      </c>
      <c r="E27" s="3">
        <f t="shared" si="5"/>
        <v>226375</v>
      </c>
      <c r="F27" s="3">
        <v>1.8109999999999999</v>
      </c>
      <c r="G27" s="179" t="s">
        <v>1853</v>
      </c>
      <c r="H27" s="375">
        <v>589445991</v>
      </c>
      <c r="I27" s="375">
        <v>589505691</v>
      </c>
      <c r="J27" s="104">
        <f t="shared" si="6"/>
        <v>59700</v>
      </c>
      <c r="K27" s="104">
        <f t="shared" si="7"/>
        <v>0</v>
      </c>
      <c r="L27" s="3">
        <v>908890</v>
      </c>
    </row>
    <row r="28" spans="2:12" ht="14.25">
      <c r="D28" s="183">
        <f t="shared" si="4"/>
        <v>3.7168560606060606</v>
      </c>
      <c r="E28" s="3">
        <f t="shared" si="5"/>
        <v>294375</v>
      </c>
      <c r="F28" s="3">
        <v>2.355</v>
      </c>
      <c r="G28" s="179" t="s">
        <v>1854</v>
      </c>
      <c r="H28" s="375">
        <v>589505691</v>
      </c>
      <c r="I28" s="375">
        <v>589584891</v>
      </c>
      <c r="J28" s="104">
        <f t="shared" si="6"/>
        <v>79200</v>
      </c>
      <c r="K28" s="104">
        <f t="shared" si="7"/>
        <v>0</v>
      </c>
      <c r="L28" s="3">
        <v>908890</v>
      </c>
    </row>
    <row r="29" spans="2:12" ht="14.2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4.25">
      <c r="D30" s="183">
        <f t="shared" si="4"/>
        <v>3.8356050531914891</v>
      </c>
      <c r="E30" s="3">
        <f t="shared" si="5"/>
        <v>346125</v>
      </c>
      <c r="F30" s="3">
        <v>2.7690000000000001</v>
      </c>
      <c r="G30" s="179" t="s">
        <v>1855</v>
      </c>
      <c r="H30" s="375">
        <v>589672191</v>
      </c>
      <c r="I30" s="375">
        <v>589762431</v>
      </c>
      <c r="J30" s="104">
        <f t="shared" si="6"/>
        <v>90240</v>
      </c>
      <c r="K30" s="104">
        <f t="shared" si="7"/>
        <v>0</v>
      </c>
      <c r="L30" s="3">
        <v>908890</v>
      </c>
    </row>
    <row r="31" spans="2:12" ht="14.25">
      <c r="D31" s="183">
        <f t="shared" si="4"/>
        <v>3.7087578845220768</v>
      </c>
      <c r="E31" s="3">
        <f t="shared" si="5"/>
        <v>305750</v>
      </c>
      <c r="F31" s="3">
        <v>2.4460000000000002</v>
      </c>
      <c r="G31" s="179" t="s">
        <v>1856</v>
      </c>
      <c r="H31" s="375">
        <v>589762431</v>
      </c>
      <c r="I31" s="375">
        <v>589844871</v>
      </c>
      <c r="J31" s="104">
        <f t="shared" si="6"/>
        <v>82440</v>
      </c>
      <c r="K31" s="104">
        <f t="shared" si="7"/>
        <v>0</v>
      </c>
      <c r="L31" s="3">
        <v>908890</v>
      </c>
    </row>
    <row r="32" spans="2:12" ht="14.2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workbookViewId="0"/>
  </sheetViews>
  <sheetFormatPr defaultColWidth="11.59765625" defaultRowHeight="13.5" customHeight="1"/>
  <sheetData>
    <row r="2" spans="2:15" ht="13.5" customHeight="1">
      <c r="G2" s="143">
        <f>H15</f>
        <v>573130071</v>
      </c>
    </row>
    <row r="3" spans="2:15" ht="13.5" customHeight="1">
      <c r="E3" s="224" t="s">
        <v>1835</v>
      </c>
      <c r="F3" s="224" t="s">
        <v>1836</v>
      </c>
      <c r="G3" s="224">
        <v>573166316</v>
      </c>
      <c r="H3" s="224">
        <v>8</v>
      </c>
      <c r="I3" s="224" t="s">
        <v>373</v>
      </c>
      <c r="J3" s="224" t="s">
        <v>1837</v>
      </c>
      <c r="K3" s="224" t="s">
        <v>816</v>
      </c>
      <c r="L3" s="224" t="s">
        <v>817</v>
      </c>
      <c r="M3" s="224" t="s">
        <v>1838</v>
      </c>
      <c r="N3" s="3"/>
      <c r="O3" s="3"/>
    </row>
    <row r="4" spans="2:15" ht="13.5" customHeight="1">
      <c r="D4" s="17" t="s">
        <v>1839</v>
      </c>
      <c r="E4" s="224" t="s">
        <v>1840</v>
      </c>
      <c r="F4" s="224" t="s">
        <v>1841</v>
      </c>
      <c r="G4" s="224">
        <v>573172616</v>
      </c>
      <c r="H4" s="224">
        <v>7</v>
      </c>
      <c r="I4" s="224" t="s">
        <v>373</v>
      </c>
      <c r="J4" s="224" t="s">
        <v>1842</v>
      </c>
      <c r="K4" s="224" t="s">
        <v>816</v>
      </c>
      <c r="L4" s="224" t="s">
        <v>817</v>
      </c>
      <c r="M4" s="224" t="s">
        <v>1843</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1857</v>
      </c>
      <c r="H6" t="s">
        <v>1858</v>
      </c>
      <c r="I6" t="s">
        <v>1859</v>
      </c>
      <c r="J6" t="s">
        <v>1860</v>
      </c>
      <c r="K6" t="s">
        <v>1832</v>
      </c>
    </row>
    <row r="7" spans="2:15" ht="13.5" customHeight="1">
      <c r="D7" s="17"/>
      <c r="J7" t="s">
        <v>1861</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1844</v>
      </c>
      <c r="E12" s="3" t="s">
        <v>173</v>
      </c>
      <c r="F12" s="3" t="s">
        <v>21</v>
      </c>
      <c r="G12" s="3"/>
      <c r="J12" t="s">
        <v>1845</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1846</v>
      </c>
      <c r="H14" s="143">
        <f t="shared" ref="H14:H19" si="4">I13</f>
        <v>573102771</v>
      </c>
      <c r="I14" s="143">
        <v>573130071</v>
      </c>
      <c r="J14" s="104">
        <f t="shared" si="2"/>
        <v>27300</v>
      </c>
      <c r="K14" s="104">
        <f t="shared" si="3"/>
        <v>0</v>
      </c>
      <c r="L14" s="3">
        <v>908890</v>
      </c>
    </row>
    <row r="15" spans="2:15" ht="14.2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4.25">
      <c r="B16" t="s">
        <v>1847</v>
      </c>
      <c r="D16" s="183">
        <f t="shared" si="0"/>
        <v>3.8722222222222222</v>
      </c>
      <c r="E16" s="3">
        <f t="shared" si="1"/>
        <v>174250</v>
      </c>
      <c r="F16" s="3">
        <v>1.3939999999999999</v>
      </c>
      <c r="G16" s="179" t="s">
        <v>1848</v>
      </c>
      <c r="H16" s="143">
        <f t="shared" si="4"/>
        <v>573191571</v>
      </c>
      <c r="I16" s="143">
        <v>573236571</v>
      </c>
      <c r="J16" s="104">
        <f t="shared" si="2"/>
        <v>45000</v>
      </c>
      <c r="K16" s="104">
        <f t="shared" si="3"/>
        <v>0</v>
      </c>
      <c r="L16" s="3">
        <v>908890</v>
      </c>
    </row>
    <row r="17" spans="4:12" ht="14.25">
      <c r="D17" s="183">
        <f t="shared" si="0"/>
        <v>3.7550080128205128</v>
      </c>
      <c r="E17" s="3">
        <f t="shared" si="1"/>
        <v>468625</v>
      </c>
      <c r="F17" s="3">
        <v>3.7490000000000001</v>
      </c>
      <c r="G17" s="179" t="s">
        <v>1849</v>
      </c>
      <c r="H17" s="143">
        <f t="shared" si="4"/>
        <v>573236571</v>
      </c>
      <c r="I17" s="373">
        <v>573361371</v>
      </c>
      <c r="J17" s="104">
        <f t="shared" si="2"/>
        <v>124800</v>
      </c>
      <c r="K17" s="104">
        <f t="shared" si="3"/>
        <v>0</v>
      </c>
      <c r="L17" s="3">
        <v>908890</v>
      </c>
    </row>
    <row r="18" spans="4:12" ht="14.25">
      <c r="D18" s="183">
        <f t="shared" si="0"/>
        <v>3.7729166666666667</v>
      </c>
      <c r="E18" s="3">
        <f t="shared" si="1"/>
        <v>226375</v>
      </c>
      <c r="F18" s="3">
        <v>1.8109999999999999</v>
      </c>
      <c r="G18" s="179" t="s">
        <v>1850</v>
      </c>
      <c r="H18" s="143">
        <f t="shared" si="4"/>
        <v>573361371</v>
      </c>
      <c r="I18" s="375">
        <v>573421371</v>
      </c>
      <c r="J18" s="104">
        <f t="shared" si="2"/>
        <v>60000</v>
      </c>
      <c r="K18" s="104">
        <f t="shared" si="3"/>
        <v>0</v>
      </c>
      <c r="L18" s="3">
        <v>908890</v>
      </c>
    </row>
    <row r="19" spans="4:12" ht="14.25">
      <c r="D19" s="183">
        <f t="shared" si="0"/>
        <v>3.8367052023121389</v>
      </c>
      <c r="E19" s="3">
        <f t="shared" si="1"/>
        <v>199125</v>
      </c>
      <c r="F19" s="3">
        <v>1.593</v>
      </c>
      <c r="G19" s="179" t="s">
        <v>1851</v>
      </c>
      <c r="H19" s="143">
        <f t="shared" si="4"/>
        <v>573421371</v>
      </c>
      <c r="I19" s="375">
        <v>573473271</v>
      </c>
      <c r="J19" s="104">
        <f t="shared" si="2"/>
        <v>51900</v>
      </c>
      <c r="K19" s="104">
        <f t="shared" si="3"/>
        <v>0</v>
      </c>
      <c r="L19" s="3">
        <v>908890</v>
      </c>
    </row>
    <row r="20" spans="4:12" ht="14.25">
      <c r="D20">
        <f>SUM(D16:D19)/4</f>
        <v>3.8092130260053851</v>
      </c>
      <c r="F20" s="3"/>
      <c r="G20" s="3"/>
      <c r="K20" s="4"/>
      <c r="L20" s="3"/>
    </row>
    <row r="21" spans="4:12" ht="14.25">
      <c r="F21" s="3"/>
      <c r="G21" s="3"/>
      <c r="K21" s="4"/>
      <c r="L21" s="3"/>
    </row>
    <row r="22" spans="4:12" ht="14.2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4.25">
      <c r="D23" s="183">
        <f t="shared" si="5"/>
        <v>3.9579967689822295</v>
      </c>
      <c r="E23" s="3">
        <f t="shared" si="6"/>
        <v>147000</v>
      </c>
      <c r="F23" s="3">
        <v>1.1759999999999999</v>
      </c>
      <c r="G23" s="179" t="s">
        <v>1852</v>
      </c>
      <c r="H23" s="375">
        <v>589408851</v>
      </c>
      <c r="I23" s="375">
        <v>589445991</v>
      </c>
      <c r="J23" s="104">
        <f t="shared" si="7"/>
        <v>37140</v>
      </c>
      <c r="K23" s="104">
        <f t="shared" si="8"/>
        <v>0</v>
      </c>
      <c r="L23" s="3">
        <v>908890</v>
      </c>
    </row>
    <row r="24" spans="4:12" ht="14.25">
      <c r="D24" s="183">
        <f t="shared" si="5"/>
        <v>3.7918760469011725</v>
      </c>
      <c r="E24" s="3">
        <f t="shared" si="6"/>
        <v>226375</v>
      </c>
      <c r="F24" s="3">
        <v>1.8109999999999999</v>
      </c>
      <c r="G24" s="179" t="s">
        <v>1853</v>
      </c>
      <c r="H24" s="375">
        <v>589445991</v>
      </c>
      <c r="I24" s="375">
        <v>589505691</v>
      </c>
      <c r="J24" s="104">
        <f t="shared" si="7"/>
        <v>59700</v>
      </c>
      <c r="K24" s="104">
        <f t="shared" si="8"/>
        <v>0</v>
      </c>
      <c r="L24" s="3">
        <v>908890</v>
      </c>
    </row>
    <row r="25" spans="4:12" ht="14.25">
      <c r="D25" s="183">
        <f t="shared" si="5"/>
        <v>3.7168560606060606</v>
      </c>
      <c r="E25" s="3">
        <f t="shared" si="6"/>
        <v>294375</v>
      </c>
      <c r="F25" s="3">
        <v>2.355</v>
      </c>
      <c r="G25" s="179" t="s">
        <v>1854</v>
      </c>
      <c r="H25" s="375">
        <v>589505691</v>
      </c>
      <c r="I25" s="375">
        <v>589584891</v>
      </c>
      <c r="J25" s="104">
        <f t="shared" si="7"/>
        <v>79200</v>
      </c>
      <c r="K25" s="104">
        <f t="shared" si="8"/>
        <v>0</v>
      </c>
      <c r="L25" s="3">
        <v>908890</v>
      </c>
    </row>
    <row r="26" spans="4:12" ht="14.2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4.25">
      <c r="D27" s="183">
        <f t="shared" si="5"/>
        <v>3.8356050531914891</v>
      </c>
      <c r="E27" s="3">
        <f t="shared" si="6"/>
        <v>346125</v>
      </c>
      <c r="F27" s="3">
        <v>2.7690000000000001</v>
      </c>
      <c r="G27" s="179" t="s">
        <v>1855</v>
      </c>
      <c r="H27" s="375">
        <v>589672191</v>
      </c>
      <c r="I27" s="375">
        <v>589762431</v>
      </c>
      <c r="J27" s="104">
        <f t="shared" si="7"/>
        <v>90240</v>
      </c>
      <c r="K27" s="104">
        <f t="shared" si="8"/>
        <v>0</v>
      </c>
      <c r="L27" s="3">
        <v>908890</v>
      </c>
    </row>
    <row r="28" spans="4:12" ht="14.25">
      <c r="D28" s="183">
        <f t="shared" si="5"/>
        <v>3.7087578845220768</v>
      </c>
      <c r="E28" s="3">
        <f t="shared" si="6"/>
        <v>305750</v>
      </c>
      <c r="F28" s="3">
        <v>2.4460000000000002</v>
      </c>
      <c r="G28" s="179" t="s">
        <v>1856</v>
      </c>
      <c r="H28" s="375">
        <v>589762431</v>
      </c>
      <c r="I28" s="375">
        <v>589844871</v>
      </c>
      <c r="J28" s="104">
        <f t="shared" si="7"/>
        <v>82440</v>
      </c>
      <c r="K28" s="104">
        <f t="shared" si="8"/>
        <v>0</v>
      </c>
      <c r="L28" s="3">
        <v>908890</v>
      </c>
    </row>
    <row r="29" spans="4:12" ht="14.2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workbookViewId="0"/>
  </sheetViews>
  <sheetFormatPr defaultColWidth="9" defaultRowHeight="14.25" customHeight="1"/>
  <cols>
    <col min="1" max="3" width="9" style="4"/>
    <col min="4" max="4" width="11.3984375" style="4" customWidth="1"/>
    <col min="5" max="15" width="9" style="4"/>
    <col min="16" max="16" width="9.86328125" style="4" customWidth="1"/>
    <col min="17" max="16384" width="9" style="4"/>
  </cols>
  <sheetData>
    <row r="1" spans="1:26" ht="14.25" customHeight="1">
      <c r="W1" s="4" t="s">
        <v>1862</v>
      </c>
    </row>
    <row r="2" spans="1:26" ht="14.25" customHeight="1">
      <c r="W2" s="4" t="s">
        <v>1863</v>
      </c>
    </row>
    <row r="4" spans="1:26" ht="14.25" customHeight="1">
      <c r="G4" s="4" t="s">
        <v>1864</v>
      </c>
      <c r="H4" s="4" t="s">
        <v>1865</v>
      </c>
      <c r="I4" s="4" t="s">
        <v>1866</v>
      </c>
      <c r="J4" s="4" t="s">
        <v>750</v>
      </c>
      <c r="K4" s="4" t="s">
        <v>1867</v>
      </c>
      <c r="L4" s="4" t="s">
        <v>1868</v>
      </c>
      <c r="M4" s="4" t="s">
        <v>1869</v>
      </c>
      <c r="N4" s="4" t="s">
        <v>1870</v>
      </c>
      <c r="O4" s="4" t="s">
        <v>1871</v>
      </c>
      <c r="P4" s="4" t="s">
        <v>1872</v>
      </c>
      <c r="Q4" s="4" t="s">
        <v>1873</v>
      </c>
      <c r="R4" s="4" t="s">
        <v>1874</v>
      </c>
      <c r="S4" s="4" t="s">
        <v>1875</v>
      </c>
      <c r="T4" s="4" t="s">
        <v>1876</v>
      </c>
      <c r="W4" s="4">
        <f>108*64*20</f>
        <v>138240</v>
      </c>
      <c r="X4" s="4">
        <f>W4/3600</f>
        <v>38.4</v>
      </c>
    </row>
    <row r="6" spans="1:26" ht="14.25" customHeight="1">
      <c r="A6" s="4" t="s">
        <v>1877</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1878</v>
      </c>
      <c r="F7" s="4" t="s">
        <v>1879</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1880</v>
      </c>
      <c r="F8" s="4" t="s">
        <v>1881</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1882</v>
      </c>
      <c r="F9" s="4" t="s">
        <v>1883</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1884</v>
      </c>
      <c r="Z9" s="31">
        <f>8640/(24*10*200)</f>
        <v>0.18</v>
      </c>
    </row>
    <row r="10" spans="1:26" ht="14.25" customHeight="1">
      <c r="E10" s="4" t="s">
        <v>1885</v>
      </c>
      <c r="F10" s="4" t="s">
        <v>1886</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1887</v>
      </c>
      <c r="F11" s="4" t="s">
        <v>1888</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1889</v>
      </c>
      <c r="F12" s="4" t="s">
        <v>1890</v>
      </c>
    </row>
    <row r="15" spans="1:26">
      <c r="F15" s="4" t="s">
        <v>1891</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workbookViewId="0"/>
  </sheetViews>
  <sheetFormatPr defaultColWidth="9" defaultRowHeight="14.25" customHeight="1"/>
  <cols>
    <col min="1" max="15" width="9" style="3"/>
    <col min="16" max="16" width="64" style="93" customWidth="1"/>
    <col min="17" max="16384" width="9" style="3"/>
  </cols>
  <sheetData>
    <row r="3" spans="1:16" ht="14.25" customHeight="1">
      <c r="A3" s="145" t="s">
        <v>1892</v>
      </c>
      <c r="B3" s="145" t="s">
        <v>1893</v>
      </c>
      <c r="C3" s="145" t="s">
        <v>1894</v>
      </c>
      <c r="D3" s="145" t="s">
        <v>1895</v>
      </c>
      <c r="E3" s="145" t="s">
        <v>1896</v>
      </c>
      <c r="F3" s="145" t="s">
        <v>1897</v>
      </c>
      <c r="G3" s="145" t="s">
        <v>1898</v>
      </c>
      <c r="H3" s="145" t="s">
        <v>1896</v>
      </c>
      <c r="I3" s="145" t="s">
        <v>1899</v>
      </c>
      <c r="J3" s="145" t="s">
        <v>1900</v>
      </c>
      <c r="K3" s="145" t="s">
        <v>12</v>
      </c>
      <c r="L3" s="145" t="s">
        <v>776</v>
      </c>
      <c r="M3" s="145" t="s">
        <v>773</v>
      </c>
      <c r="N3" s="145" t="s">
        <v>774</v>
      </c>
      <c r="O3" s="145" t="s">
        <v>1901</v>
      </c>
      <c r="P3" s="91" t="s">
        <v>1902</v>
      </c>
    </row>
    <row r="4" spans="1:16" ht="14.25" customHeight="1">
      <c r="A4" s="145"/>
      <c r="B4" s="145"/>
      <c r="C4" s="145"/>
      <c r="D4" s="145" t="s">
        <v>1903</v>
      </c>
      <c r="E4" s="145" t="s">
        <v>1904</v>
      </c>
      <c r="F4" s="145" t="s">
        <v>1905</v>
      </c>
      <c r="G4" s="145" t="s">
        <v>1906</v>
      </c>
      <c r="H4" s="145" t="s">
        <v>1907</v>
      </c>
      <c r="I4" s="145" t="s">
        <v>1908</v>
      </c>
      <c r="J4" s="145" t="s">
        <v>1565</v>
      </c>
      <c r="K4" s="145"/>
      <c r="L4" s="145"/>
      <c r="M4" s="145"/>
      <c r="N4" s="145"/>
      <c r="O4" s="145"/>
    </row>
    <row r="5" spans="1:16" ht="14.25" customHeight="1">
      <c r="A5" s="3">
        <v>23064</v>
      </c>
      <c r="B5" s="3">
        <v>64</v>
      </c>
      <c r="C5" s="92" t="s">
        <v>1909</v>
      </c>
      <c r="D5" s="378" t="s">
        <v>1910</v>
      </c>
      <c r="E5" s="3">
        <v>0</v>
      </c>
      <c r="F5" s="378">
        <v>6</v>
      </c>
      <c r="K5" s="3">
        <v>180</v>
      </c>
      <c r="L5" s="3">
        <v>180</v>
      </c>
      <c r="M5" s="3">
        <v>7200</v>
      </c>
      <c r="N5" s="3">
        <v>1800</v>
      </c>
      <c r="O5" s="3" t="s">
        <v>1911</v>
      </c>
      <c r="P5" s="93" t="s">
        <v>1912</v>
      </c>
    </row>
    <row r="6" spans="1:16" ht="14.25" customHeight="1">
      <c r="B6" s="3">
        <v>69</v>
      </c>
      <c r="C6" s="3" t="s">
        <v>1913</v>
      </c>
    </row>
    <row r="7" spans="1:16" ht="14.25" customHeight="1">
      <c r="B7" s="3">
        <v>69</v>
      </c>
      <c r="C7" s="92" t="s">
        <v>1909</v>
      </c>
      <c r="D7" s="378" t="s">
        <v>1910</v>
      </c>
      <c r="E7" s="3">
        <v>0</v>
      </c>
      <c r="F7" s="3">
        <v>6</v>
      </c>
      <c r="K7" s="3">
        <v>180</v>
      </c>
      <c r="L7" s="3">
        <v>180</v>
      </c>
      <c r="M7" s="3">
        <v>7200</v>
      </c>
      <c r="N7" s="3">
        <v>1800</v>
      </c>
      <c r="O7" s="3" t="s">
        <v>1911</v>
      </c>
    </row>
    <row r="8" spans="1:16" ht="14.25" customHeight="1">
      <c r="A8" s="3">
        <v>23086</v>
      </c>
      <c r="B8" s="3">
        <v>105</v>
      </c>
      <c r="C8" s="3" t="s">
        <v>1913</v>
      </c>
    </row>
    <row r="9" spans="1:16" ht="14.25" customHeight="1">
      <c r="A9" s="3">
        <v>23107</v>
      </c>
      <c r="B9" s="3">
        <v>109</v>
      </c>
      <c r="C9" s="92" t="s">
        <v>1909</v>
      </c>
      <c r="D9" s="378" t="s">
        <v>1910</v>
      </c>
      <c r="E9" s="3">
        <v>0</v>
      </c>
      <c r="F9" s="3">
        <v>6</v>
      </c>
      <c r="K9" s="3">
        <v>180</v>
      </c>
      <c r="L9" s="3">
        <v>180</v>
      </c>
      <c r="M9" s="3">
        <v>7200</v>
      </c>
      <c r="N9" s="3">
        <v>1800</v>
      </c>
      <c r="O9" s="3" t="s">
        <v>1911</v>
      </c>
    </row>
    <row r="10" spans="1:16" ht="14.25" customHeight="1">
      <c r="A10" s="3">
        <v>23135</v>
      </c>
      <c r="B10" s="3">
        <v>141</v>
      </c>
      <c r="C10" s="3" t="s">
        <v>1913</v>
      </c>
    </row>
    <row r="11" spans="1:16" ht="14.25" customHeight="1">
      <c r="A11" s="3">
        <v>23149</v>
      </c>
      <c r="B11" s="3">
        <v>150</v>
      </c>
      <c r="C11" s="92" t="s">
        <v>1909</v>
      </c>
      <c r="D11" s="378" t="s">
        <v>1910</v>
      </c>
      <c r="E11" s="3">
        <v>0</v>
      </c>
      <c r="F11" s="378">
        <v>3</v>
      </c>
      <c r="G11" s="378">
        <v>0.01</v>
      </c>
      <c r="K11" s="378">
        <v>100</v>
      </c>
      <c r="L11" s="378">
        <v>100</v>
      </c>
      <c r="M11" s="3">
        <v>7200</v>
      </c>
      <c r="N11" s="3">
        <v>1800</v>
      </c>
      <c r="O11" s="3" t="s">
        <v>1911</v>
      </c>
      <c r="P11" s="93" t="s">
        <v>1914</v>
      </c>
    </row>
    <row r="12" spans="1:16" ht="14.25" customHeight="1">
      <c r="B12" s="379">
        <v>151</v>
      </c>
      <c r="E12" s="3">
        <v>1</v>
      </c>
      <c r="F12" s="3">
        <v>3</v>
      </c>
      <c r="G12" s="3">
        <v>0.01</v>
      </c>
      <c r="H12" s="379" t="s">
        <v>1910</v>
      </c>
      <c r="I12" s="379" t="s">
        <v>1910</v>
      </c>
      <c r="J12" s="379" t="s">
        <v>1915</v>
      </c>
      <c r="P12" s="380" t="s">
        <v>1916</v>
      </c>
    </row>
    <row r="13" spans="1:16" ht="14.25" customHeight="1">
      <c r="B13" s="379">
        <v>153</v>
      </c>
      <c r="E13" s="3">
        <v>2</v>
      </c>
      <c r="F13" s="3">
        <v>3</v>
      </c>
      <c r="G13" s="3">
        <v>0.01</v>
      </c>
      <c r="H13" s="379" t="s">
        <v>1910</v>
      </c>
      <c r="I13" s="379" t="s">
        <v>1910</v>
      </c>
      <c r="J13" s="379" t="s">
        <v>1917</v>
      </c>
      <c r="P13" s="380" t="s">
        <v>1918</v>
      </c>
    </row>
    <row r="14" spans="1:16" ht="14.25" customHeight="1">
      <c r="B14" s="379">
        <v>155</v>
      </c>
      <c r="E14" s="3">
        <v>3</v>
      </c>
      <c r="F14" s="3">
        <v>3</v>
      </c>
      <c r="G14" s="3">
        <v>0.01</v>
      </c>
      <c r="H14" s="379" t="s">
        <v>1910</v>
      </c>
      <c r="I14" s="379" t="s">
        <v>1910</v>
      </c>
      <c r="J14" s="379" t="s">
        <v>1919</v>
      </c>
      <c r="P14" s="380" t="s">
        <v>1920</v>
      </c>
    </row>
    <row r="15" spans="1:16" ht="14.25" customHeight="1">
      <c r="B15" s="3">
        <v>157</v>
      </c>
      <c r="E15" s="52">
        <v>4</v>
      </c>
      <c r="F15" s="52">
        <v>3</v>
      </c>
      <c r="H15" s="379" t="s">
        <v>1910</v>
      </c>
      <c r="I15" s="3" t="s">
        <v>1921</v>
      </c>
      <c r="P15" s="93" t="s">
        <v>1922</v>
      </c>
    </row>
    <row r="16" spans="1:16" ht="14.25" customHeight="1">
      <c r="B16" s="3">
        <v>170</v>
      </c>
      <c r="D16" s="3" t="s">
        <v>1921</v>
      </c>
      <c r="F16" s="378">
        <v>6</v>
      </c>
      <c r="G16" s="378">
        <v>0.2</v>
      </c>
      <c r="P16" s="93" t="s">
        <v>1923</v>
      </c>
    </row>
    <row r="17" spans="1:16" ht="14.25" customHeight="1">
      <c r="A17" s="3">
        <v>23170</v>
      </c>
      <c r="B17" s="379">
        <v>182</v>
      </c>
      <c r="D17" s="3" t="s">
        <v>1921</v>
      </c>
      <c r="E17" s="3">
        <v>5</v>
      </c>
      <c r="F17" s="3">
        <v>6</v>
      </c>
      <c r="G17" s="3">
        <v>0.2</v>
      </c>
      <c r="H17" s="379" t="s">
        <v>1910</v>
      </c>
      <c r="I17" s="379" t="s">
        <v>1910</v>
      </c>
      <c r="J17" s="379" t="s">
        <v>1924</v>
      </c>
      <c r="P17" s="380" t="s">
        <v>1925</v>
      </c>
    </row>
    <row r="18" spans="1:16" ht="14.25" customHeight="1">
      <c r="A18" s="3">
        <v>23191</v>
      </c>
      <c r="B18" s="379">
        <v>194</v>
      </c>
      <c r="E18" s="3">
        <v>6</v>
      </c>
      <c r="F18" s="3">
        <v>6</v>
      </c>
      <c r="G18" s="3">
        <v>0.2</v>
      </c>
      <c r="H18" s="379" t="s">
        <v>1910</v>
      </c>
      <c r="I18" s="379" t="s">
        <v>1910</v>
      </c>
      <c r="J18" s="379" t="s">
        <v>1926</v>
      </c>
      <c r="P18" s="380" t="s">
        <v>1927</v>
      </c>
    </row>
    <row r="19" spans="1:16" ht="14.25" customHeight="1">
      <c r="A19" s="3">
        <v>23212</v>
      </c>
      <c r="B19" s="3">
        <v>216</v>
      </c>
      <c r="C19" s="3" t="s">
        <v>1913</v>
      </c>
    </row>
    <row r="20" spans="1:16" ht="14.25" customHeight="1">
      <c r="B20" s="3">
        <v>221</v>
      </c>
      <c r="C20" s="92" t="s">
        <v>1909</v>
      </c>
      <c r="D20" s="3" t="s">
        <v>1921</v>
      </c>
      <c r="F20" s="3">
        <v>6</v>
      </c>
      <c r="G20" s="378">
        <v>1.5</v>
      </c>
      <c r="K20" s="3">
        <v>100</v>
      </c>
      <c r="L20" s="3">
        <v>100</v>
      </c>
      <c r="M20" s="3">
        <v>7200</v>
      </c>
      <c r="N20" s="3">
        <v>1800</v>
      </c>
      <c r="O20" s="378" t="s">
        <v>1928</v>
      </c>
      <c r="P20" s="93" t="s">
        <v>1929</v>
      </c>
    </row>
    <row r="21" spans="1:16" ht="14.25" customHeight="1">
      <c r="A21" s="3">
        <v>23233</v>
      </c>
      <c r="B21" s="3">
        <v>231</v>
      </c>
      <c r="C21" s="3" t="s">
        <v>1913</v>
      </c>
    </row>
    <row r="22" spans="1:16" ht="14.25" customHeight="1">
      <c r="B22" s="3">
        <v>234</v>
      </c>
      <c r="C22" s="92" t="s">
        <v>1909</v>
      </c>
      <c r="D22" s="3" t="s">
        <v>1921</v>
      </c>
      <c r="F22" s="378">
        <v>12</v>
      </c>
      <c r="G22" s="378">
        <v>1.5</v>
      </c>
      <c r="K22" s="3">
        <v>100</v>
      </c>
      <c r="L22" s="3">
        <v>100</v>
      </c>
      <c r="M22" s="3">
        <v>7200</v>
      </c>
      <c r="N22" s="3">
        <v>1800</v>
      </c>
      <c r="O22" s="3" t="s">
        <v>1928</v>
      </c>
      <c r="P22" s="93" t="s">
        <v>1930</v>
      </c>
    </row>
    <row r="23" spans="1:16" ht="14.25" customHeight="1">
      <c r="A23" s="3">
        <v>23245</v>
      </c>
      <c r="B23" s="3">
        <v>254</v>
      </c>
      <c r="C23" s="3" t="s">
        <v>1913</v>
      </c>
    </row>
    <row r="24" spans="1:16" ht="14.25" customHeight="1">
      <c r="B24" s="3">
        <v>247</v>
      </c>
      <c r="C24" s="92" t="s">
        <v>1909</v>
      </c>
      <c r="D24" s="3" t="s">
        <v>1921</v>
      </c>
      <c r="F24" s="3">
        <v>12</v>
      </c>
      <c r="G24" s="378">
        <v>1.5</v>
      </c>
      <c r="K24" s="3">
        <v>100</v>
      </c>
      <c r="L24" s="3">
        <v>100</v>
      </c>
      <c r="M24" s="3">
        <v>7200</v>
      </c>
      <c r="N24" s="3">
        <v>1800</v>
      </c>
      <c r="O24" s="3" t="s">
        <v>1928</v>
      </c>
      <c r="P24" s="93" t="s">
        <v>1930</v>
      </c>
    </row>
    <row r="25" spans="1:16" ht="14.25" customHeight="1">
      <c r="A25" s="3">
        <v>23254</v>
      </c>
      <c r="B25" s="3">
        <v>260</v>
      </c>
      <c r="C25" s="3" t="s">
        <v>1913</v>
      </c>
    </row>
    <row r="26" spans="1:16" ht="14.25" customHeight="1">
      <c r="B26" s="3">
        <v>261</v>
      </c>
      <c r="C26" s="92" t="s">
        <v>1909</v>
      </c>
      <c r="D26" s="3" t="s">
        <v>1921</v>
      </c>
      <c r="F26" s="3">
        <v>12</v>
      </c>
      <c r="G26" s="378">
        <v>1.5</v>
      </c>
      <c r="K26" s="3">
        <v>100</v>
      </c>
      <c r="L26" s="3">
        <v>100</v>
      </c>
      <c r="M26" s="3">
        <v>7200</v>
      </c>
      <c r="N26" s="3">
        <v>1800</v>
      </c>
      <c r="O26" s="3" t="s">
        <v>1928</v>
      </c>
      <c r="P26" s="93" t="s">
        <v>1930</v>
      </c>
    </row>
    <row r="27" spans="1:16" ht="14.25" customHeight="1">
      <c r="B27" s="3">
        <v>263</v>
      </c>
      <c r="C27" s="3" t="s">
        <v>1913</v>
      </c>
    </row>
    <row r="28" spans="1:16" ht="14.25" customHeight="1">
      <c r="B28" s="3">
        <v>266</v>
      </c>
      <c r="C28" s="92" t="s">
        <v>1909</v>
      </c>
      <c r="D28" s="3" t="s">
        <v>1921</v>
      </c>
      <c r="F28" s="3">
        <v>12</v>
      </c>
      <c r="G28" s="378">
        <v>1.5</v>
      </c>
      <c r="K28" s="3">
        <v>100</v>
      </c>
      <c r="L28" s="3">
        <v>100</v>
      </c>
      <c r="M28" s="3">
        <v>7200</v>
      </c>
      <c r="N28" s="3">
        <v>1800</v>
      </c>
      <c r="O28" s="3" t="s">
        <v>1928</v>
      </c>
      <c r="P28" s="93" t="s">
        <v>1930</v>
      </c>
    </row>
    <row r="29" spans="1:16" ht="14.25" customHeight="1">
      <c r="B29" s="3">
        <v>269</v>
      </c>
      <c r="C29" s="3" t="s">
        <v>1913</v>
      </c>
    </row>
    <row r="30" spans="1:16" ht="14.25" customHeight="1">
      <c r="B30" s="3">
        <v>270</v>
      </c>
      <c r="C30" s="92" t="s">
        <v>1909</v>
      </c>
      <c r="D30" s="3" t="s">
        <v>1921</v>
      </c>
      <c r="F30" s="3">
        <v>12</v>
      </c>
      <c r="G30" s="378">
        <v>1.5</v>
      </c>
      <c r="K30" s="3">
        <v>100</v>
      </c>
      <c r="L30" s="3">
        <v>100</v>
      </c>
      <c r="M30" s="3">
        <v>7200</v>
      </c>
      <c r="N30" s="3">
        <v>1800</v>
      </c>
      <c r="O30" s="378" t="s">
        <v>1911</v>
      </c>
      <c r="P30" s="93" t="s">
        <v>1931</v>
      </c>
    </row>
    <row r="31" spans="1:16" ht="14.25" customHeight="1">
      <c r="A31" s="3">
        <v>23275</v>
      </c>
      <c r="B31" s="3">
        <v>275</v>
      </c>
      <c r="G31" s="378">
        <v>0.4</v>
      </c>
      <c r="P31" s="93" t="s">
        <v>1932</v>
      </c>
    </row>
    <row r="32" spans="1:16" ht="14.25" customHeight="1">
      <c r="A32" s="3">
        <v>23296</v>
      </c>
      <c r="B32" s="379">
        <v>311</v>
      </c>
      <c r="E32" s="3">
        <v>7</v>
      </c>
      <c r="F32" s="3">
        <v>12</v>
      </c>
      <c r="H32" s="379" t="s">
        <v>1910</v>
      </c>
      <c r="I32" s="379" t="s">
        <v>1910</v>
      </c>
      <c r="J32" s="379" t="s">
        <v>1933</v>
      </c>
      <c r="P32" s="380" t="s">
        <v>1934</v>
      </c>
    </row>
    <row r="33" spans="1:32" ht="14.25" customHeight="1">
      <c r="A33" s="3">
        <v>24015</v>
      </c>
      <c r="B33" s="3">
        <v>15</v>
      </c>
      <c r="D33" s="3" t="s">
        <v>1921</v>
      </c>
      <c r="F33" s="378">
        <v>13</v>
      </c>
      <c r="G33" s="3">
        <v>0.4</v>
      </c>
      <c r="P33" s="93" t="s">
        <v>1935</v>
      </c>
    </row>
    <row r="34" spans="1:32" ht="14.25" customHeight="1">
      <c r="A34" s="3">
        <v>24036</v>
      </c>
      <c r="B34" s="3">
        <v>41</v>
      </c>
      <c r="C34" s="3" t="s">
        <v>1913</v>
      </c>
      <c r="Q34"/>
      <c r="R34"/>
      <c r="S34"/>
      <c r="T34"/>
    </row>
    <row r="35" spans="1:32" ht="14.25" customHeight="1">
      <c r="A35" s="3">
        <v>24036</v>
      </c>
      <c r="B35" s="3">
        <v>41</v>
      </c>
      <c r="C35" s="92" t="s">
        <v>1909</v>
      </c>
      <c r="D35" s="3" t="s">
        <v>1921</v>
      </c>
      <c r="F35" s="3">
        <v>13</v>
      </c>
      <c r="G35" s="378">
        <v>1.5</v>
      </c>
      <c r="K35" s="3">
        <v>100</v>
      </c>
      <c r="L35" s="3">
        <v>100</v>
      </c>
      <c r="M35" s="3">
        <v>7200</v>
      </c>
      <c r="N35" s="3">
        <v>1800</v>
      </c>
      <c r="O35" s="3" t="s">
        <v>1911</v>
      </c>
      <c r="Q35"/>
      <c r="R35"/>
      <c r="S35"/>
      <c r="T35"/>
      <c r="U35"/>
      <c r="V35"/>
      <c r="W35"/>
      <c r="X35"/>
      <c r="Y35"/>
      <c r="Z35"/>
      <c r="AA35"/>
      <c r="AB35"/>
      <c r="AC35"/>
      <c r="AD35"/>
      <c r="AE35"/>
      <c r="AF35"/>
    </row>
    <row r="36" spans="1:32" ht="14.25" customHeight="1">
      <c r="A36" s="3">
        <v>24036</v>
      </c>
      <c r="B36" s="3">
        <v>48</v>
      </c>
      <c r="C36" s="3" t="s">
        <v>1913</v>
      </c>
      <c r="U36"/>
      <c r="V36"/>
      <c r="W36"/>
      <c r="X36"/>
      <c r="Y36"/>
      <c r="Z36"/>
      <c r="AA36"/>
      <c r="AB36"/>
      <c r="AC36"/>
      <c r="AD36"/>
      <c r="AE36"/>
      <c r="AF36"/>
    </row>
    <row r="37" spans="1:32">
      <c r="A37" s="3">
        <v>24036</v>
      </c>
      <c r="B37" s="3">
        <v>48</v>
      </c>
      <c r="C37" s="92" t="s">
        <v>1909</v>
      </c>
      <c r="D37" s="3" t="s">
        <v>1921</v>
      </c>
      <c r="F37" s="3">
        <v>13</v>
      </c>
      <c r="G37" s="378">
        <v>1.5</v>
      </c>
      <c r="K37" s="3">
        <v>100</v>
      </c>
      <c r="L37" s="3">
        <v>100</v>
      </c>
      <c r="M37" s="3">
        <v>7200</v>
      </c>
      <c r="N37" s="3">
        <v>1800</v>
      </c>
      <c r="O37" s="3" t="s">
        <v>1911</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workbookViewId="0"/>
  </sheetViews>
  <sheetFormatPr defaultColWidth="9" defaultRowHeight="14.25" customHeight="1"/>
  <cols>
    <col min="1" max="3" width="9" style="3"/>
    <col min="4" max="4" width="11.73046875" style="3" customWidth="1"/>
    <col min="5" max="16384" width="9" style="3"/>
  </cols>
  <sheetData>
    <row r="5" spans="1:8" ht="14.25" customHeight="1">
      <c r="C5" s="3" t="s">
        <v>60</v>
      </c>
      <c r="D5" s="3" t="s">
        <v>173</v>
      </c>
    </row>
    <row r="6" spans="1:8" ht="14.25" customHeight="1">
      <c r="A6" s="3" t="s">
        <v>1936</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1937</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1938</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workbookViewId="0"/>
  </sheetViews>
  <sheetFormatPr defaultColWidth="8.265625" defaultRowHeight="14.25" customHeight="1"/>
  <cols>
    <col min="4" max="4" width="12.59765625" customWidth="1"/>
    <col min="5" max="5" width="12.265625" customWidth="1"/>
    <col min="7" max="7" width="20.265625" customWidth="1"/>
    <col min="8" max="8" width="8.59765625" customWidth="1"/>
    <col min="9" max="9" width="9.265625" customWidth="1"/>
    <col min="10" max="10" width="10.59765625" style="3" customWidth="1"/>
    <col min="11" max="11" width="10" customWidth="1"/>
    <col min="12" max="12" width="9.3984375" customWidth="1"/>
    <col min="14" max="14" width="15.265625" style="3" customWidth="1"/>
    <col min="15" max="15" width="9" style="3" customWidth="1"/>
    <col min="16" max="16" width="17.265625" customWidth="1"/>
    <col min="17" max="17" width="22" customWidth="1"/>
    <col min="18" max="18" width="19.3984375" customWidth="1"/>
    <col min="19" max="19" width="21.3984375" customWidth="1"/>
    <col min="20" max="20" width="12.73046875" customWidth="1"/>
  </cols>
  <sheetData>
    <row r="2" spans="3:20">
      <c r="C2" s="6" t="s">
        <v>0</v>
      </c>
      <c r="D2" s="6"/>
      <c r="E2" s="6"/>
      <c r="F2" s="8"/>
      <c r="G2" s="8"/>
      <c r="H2" s="8"/>
      <c r="I2" s="8"/>
      <c r="J2" s="9"/>
      <c r="K2" s="8"/>
      <c r="L2" s="8"/>
      <c r="M2" s="8"/>
      <c r="N2" s="9"/>
      <c r="O2" s="9"/>
      <c r="P2" s="8"/>
    </row>
    <row r="3" spans="3:20">
      <c r="H3" s="541" t="s">
        <v>1</v>
      </c>
      <c r="I3" s="541"/>
    </row>
    <row r="4" spans="3:20" ht="28.5" customHeight="1">
      <c r="F4" s="11"/>
      <c r="G4" s="12"/>
      <c r="H4" s="13" t="s">
        <v>2</v>
      </c>
      <c r="I4" s="13" t="s">
        <v>3</v>
      </c>
      <c r="J4" s="13" t="s">
        <v>4</v>
      </c>
      <c r="K4" s="13" t="s">
        <v>5</v>
      </c>
      <c r="L4" s="13" t="s">
        <v>6</v>
      </c>
      <c r="M4" s="13" t="s">
        <v>7</v>
      </c>
      <c r="N4" s="13" t="s">
        <v>8</v>
      </c>
      <c r="O4" s="13"/>
      <c r="P4" s="13" t="s">
        <v>9</v>
      </c>
      <c r="Q4" s="13" t="s">
        <v>10</v>
      </c>
    </row>
    <row r="5" spans="3:20">
      <c r="F5" s="15" t="s">
        <v>11</v>
      </c>
      <c r="G5" s="16"/>
      <c r="H5" s="3"/>
      <c r="I5" s="3"/>
      <c r="K5" s="3"/>
      <c r="L5" s="3"/>
      <c r="M5" s="3"/>
      <c r="P5" s="3"/>
    </row>
    <row r="6" spans="3:20">
      <c r="G6" s="17" t="s">
        <v>12</v>
      </c>
      <c r="H6">
        <v>5680</v>
      </c>
      <c r="I6">
        <v>2400</v>
      </c>
      <c r="J6" s="3">
        <v>1</v>
      </c>
      <c r="K6">
        <v>3600</v>
      </c>
      <c r="L6" s="18">
        <f>J6*I6/K6</f>
        <v>0.66666666666666663</v>
      </c>
      <c r="M6">
        <f>3600*24</f>
        <v>86400</v>
      </c>
      <c r="N6" s="3">
        <v>22</v>
      </c>
      <c r="P6" s="19">
        <f>L6*M6*N6/1000000</f>
        <v>1.2672000000000001</v>
      </c>
      <c r="Q6" s="20">
        <f>P6</f>
        <v>1.2672000000000001</v>
      </c>
      <c r="T6" s="20"/>
    </row>
    <row r="7" spans="3:20">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c r="G8" s="17" t="s">
        <v>14</v>
      </c>
      <c r="H8">
        <v>64000</v>
      </c>
      <c r="I8">
        <v>20000</v>
      </c>
      <c r="J8" s="3">
        <v>1</v>
      </c>
      <c r="K8">
        <v>7200</v>
      </c>
      <c r="L8" s="18">
        <f>J8*I8/K8</f>
        <v>2.7777777777777777</v>
      </c>
      <c r="M8">
        <f>3600*24</f>
        <v>86400</v>
      </c>
      <c r="N8" s="3">
        <f>N6</f>
        <v>22</v>
      </c>
      <c r="P8" s="19">
        <f>L8*M8*N8/1000000</f>
        <v>5.28</v>
      </c>
      <c r="Q8" s="20">
        <f>P8</f>
        <v>5.28</v>
      </c>
      <c r="T8" s="20"/>
    </row>
    <row r="9" spans="3:20">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c r="G10" s="17"/>
      <c r="K10" s="3" t="str">
        <f>IF(AND( (K6/K7)=INT(K6/K7), (K8/K7)=INT(K8/K7) ), " ", "error")</f>
        <v xml:space="preserve"> </v>
      </c>
      <c r="P10" s="24">
        <f>SUM(P6:P9)</f>
        <v>47.638272000000008</v>
      </c>
      <c r="Q10" s="20">
        <f>SUM(Q6:Q9)</f>
        <v>47.638272000000008</v>
      </c>
      <c r="T10" s="20"/>
    </row>
    <row r="11" spans="3:20">
      <c r="P11" s="3"/>
    </row>
    <row r="12" spans="3:20" ht="28.5" customHeight="1">
      <c r="F12" s="11"/>
      <c r="G12" s="12"/>
      <c r="H12" s="13" t="s">
        <v>2</v>
      </c>
      <c r="I12" s="13" t="s">
        <v>3</v>
      </c>
      <c r="J12" s="13" t="s">
        <v>4</v>
      </c>
      <c r="K12" s="13" t="s">
        <v>5</v>
      </c>
      <c r="L12" s="13" t="s">
        <v>6</v>
      </c>
      <c r="M12" s="13" t="s">
        <v>7</v>
      </c>
      <c r="N12" s="13"/>
      <c r="O12" s="13"/>
      <c r="P12" s="13" t="s">
        <v>9</v>
      </c>
      <c r="Q12" s="13" t="s">
        <v>10</v>
      </c>
    </row>
    <row r="13" spans="3:20">
      <c r="F13" s="15" t="s">
        <v>16</v>
      </c>
      <c r="G13" s="25"/>
      <c r="P13" s="3"/>
    </row>
    <row r="14" spans="3:20">
      <c r="G14" s="17" t="s">
        <v>17</v>
      </c>
      <c r="H14">
        <v>8480</v>
      </c>
      <c r="I14">
        <v>2900</v>
      </c>
      <c r="J14" s="3">
        <v>1</v>
      </c>
      <c r="K14">
        <f>I22*64</f>
        <v>1280</v>
      </c>
      <c r="L14" s="18">
        <f>J14*I14/K14</f>
        <v>2.265625</v>
      </c>
      <c r="M14">
        <f>3600*24</f>
        <v>86400</v>
      </c>
      <c r="P14" s="20">
        <f>L14*M14*I25*((I23+I24))/1000000</f>
        <v>0</v>
      </c>
      <c r="Q14" s="20">
        <f>L14*M14*I26*((I23+I24))/1000000</f>
        <v>0</v>
      </c>
    </row>
    <row r="15" spans="3:20">
      <c r="G15" s="17" t="s">
        <v>18</v>
      </c>
      <c r="H15">
        <v>992</v>
      </c>
      <c r="I15">
        <v>600</v>
      </c>
      <c r="J15" s="3">
        <v>1</v>
      </c>
      <c r="K15">
        <f>I22*64</f>
        <v>1280</v>
      </c>
      <c r="L15" s="18">
        <f>J15*I15/K15</f>
        <v>0.46875</v>
      </c>
      <c r="M15">
        <f>3600*24</f>
        <v>86400</v>
      </c>
      <c r="P15" s="20">
        <f>L15*M15*I25*((I23+I24))/1000000</f>
        <v>0</v>
      </c>
      <c r="Q15" s="20">
        <f>L15*M15*I26*((I23+I24))/1000000</f>
        <v>0</v>
      </c>
    </row>
    <row r="16" spans="3:20">
      <c r="G16" s="17" t="s">
        <v>19</v>
      </c>
      <c r="H16">
        <f>H7</f>
        <v>4928</v>
      </c>
      <c r="I16">
        <v>1400</v>
      </c>
      <c r="J16" s="3">
        <v>1</v>
      </c>
      <c r="K16">
        <f>I22</f>
        <v>20</v>
      </c>
      <c r="L16" s="18">
        <f>J16*I16/K16</f>
        <v>70</v>
      </c>
      <c r="M16">
        <f>3600*24</f>
        <v>86400</v>
      </c>
      <c r="P16" s="22">
        <f>L16*M16*I25*I24/1000000</f>
        <v>0</v>
      </c>
      <c r="Q16" s="22">
        <f>L16*M16*I26*I24/1000000</f>
        <v>0</v>
      </c>
    </row>
    <row r="17" spans="3:25">
      <c r="P17" s="24">
        <f>SUM(P14:P16)</f>
        <v>0</v>
      </c>
      <c r="Q17" s="24">
        <f>SUM(Q14:Q16)</f>
        <v>0</v>
      </c>
    </row>
    <row r="18" spans="3:25">
      <c r="P18" s="26"/>
    </row>
    <row r="19" spans="3:25">
      <c r="F19" s="15" t="s">
        <v>20</v>
      </c>
      <c r="G19" s="27"/>
      <c r="P19" s="28">
        <f>P10+P17</f>
        <v>47.638272000000008</v>
      </c>
      <c r="Q19" s="28">
        <f>Q10+Q17</f>
        <v>47.638272000000008</v>
      </c>
      <c r="R19" t="s">
        <v>21</v>
      </c>
    </row>
    <row r="21" spans="3:25">
      <c r="F21" s="542" t="s">
        <v>22</v>
      </c>
      <c r="G21" s="542"/>
      <c r="H21" s="542"/>
      <c r="I21" s="542"/>
    </row>
    <row r="22" spans="3:25" ht="15.75">
      <c r="F22" s="543" t="s">
        <v>23</v>
      </c>
      <c r="G22" s="543"/>
      <c r="H22" s="543"/>
      <c r="I22" s="29">
        <v>20</v>
      </c>
      <c r="O22" s="30"/>
    </row>
    <row r="23" spans="3:25">
      <c r="F23" s="540" t="s">
        <v>24</v>
      </c>
      <c r="G23" s="540"/>
      <c r="H23" s="540"/>
      <c r="I23" s="29">
        <f>0.7*I22/10</f>
        <v>1.4</v>
      </c>
    </row>
    <row r="24" spans="3:25">
      <c r="F24" s="540" t="s">
        <v>25</v>
      </c>
      <c r="G24" s="540"/>
      <c r="H24" s="540"/>
      <c r="I24" s="29">
        <v>2</v>
      </c>
    </row>
    <row r="25" spans="3:25">
      <c r="F25" s="540" t="s">
        <v>26</v>
      </c>
      <c r="G25" s="540"/>
      <c r="H25" s="540"/>
      <c r="I25" s="29">
        <v>0</v>
      </c>
    </row>
    <row r="26" spans="3:25">
      <c r="F26" s="540" t="s">
        <v>27</v>
      </c>
      <c r="G26" s="540"/>
      <c r="H26" s="540"/>
      <c r="I26" s="29">
        <v>0</v>
      </c>
    </row>
    <row r="27" spans="3:25"/>
    <row r="28" spans="3:25">
      <c r="Y28" t="s">
        <v>28</v>
      </c>
    </row>
    <row r="29" spans="3:25">
      <c r="N29" s="3">
        <f>1/30/24</f>
        <v>1.3888888888888889E-3</v>
      </c>
    </row>
    <row r="32" spans="3:25">
      <c r="C32" s="6" t="s">
        <v>29</v>
      </c>
      <c r="D32" s="6"/>
      <c r="E32" s="6"/>
      <c r="F32" s="8"/>
      <c r="G32" s="8"/>
      <c r="H32" s="8"/>
      <c r="I32" s="8"/>
      <c r="J32" s="9"/>
      <c r="K32" s="8"/>
      <c r="L32" s="8"/>
      <c r="M32" s="8"/>
      <c r="N32" s="9"/>
      <c r="O32" s="9"/>
      <c r="P32" s="8"/>
      <c r="Q32" s="8"/>
    </row>
    <row r="33" spans="3:17">
      <c r="H33" s="541" t="s">
        <v>1</v>
      </c>
      <c r="I33" s="541"/>
    </row>
    <row r="34" spans="3:17" ht="28.5" customHeight="1">
      <c r="F34" s="11"/>
      <c r="G34" s="12"/>
      <c r="H34" s="13" t="s">
        <v>2</v>
      </c>
      <c r="I34" s="13" t="s">
        <v>3</v>
      </c>
      <c r="J34" s="13" t="s">
        <v>4</v>
      </c>
      <c r="K34" s="13" t="s">
        <v>5</v>
      </c>
      <c r="L34" s="13" t="s">
        <v>6</v>
      </c>
      <c r="M34" s="13" t="s">
        <v>7</v>
      </c>
      <c r="N34" s="13" t="s">
        <v>8</v>
      </c>
      <c r="O34" s="13"/>
      <c r="P34" s="13" t="s">
        <v>9</v>
      </c>
      <c r="Q34" s="13" t="s">
        <v>10</v>
      </c>
    </row>
    <row r="35" spans="3:17">
      <c r="F35" s="15" t="s">
        <v>11</v>
      </c>
      <c r="G35" s="16"/>
      <c r="H35" s="3"/>
      <c r="I35" s="3"/>
      <c r="K35" s="3"/>
      <c r="L35" s="3"/>
      <c r="M35" s="3"/>
      <c r="P35" s="3"/>
    </row>
    <row r="36" spans="3:17">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c r="G40" s="17"/>
      <c r="K40" s="3" t="str">
        <f>IF(AND( (K36/K37)=INT(K36/K37), (K38/K37)=INT(K38/K37) ), " ", "error")</f>
        <v xml:space="preserve"> </v>
      </c>
      <c r="P40" s="24">
        <f>SUM(P36:P39)</f>
        <v>1.9392399999999999</v>
      </c>
      <c r="Q40" s="20">
        <f>SUM(Q36:Q39)</f>
        <v>1.9392399999999999</v>
      </c>
    </row>
    <row r="41" spans="3:17">
      <c r="P41" s="3"/>
    </row>
    <row r="42" spans="3:17" ht="28.5" customHeight="1">
      <c r="F42" s="11"/>
      <c r="G42" s="12"/>
      <c r="H42" s="13" t="s">
        <v>2</v>
      </c>
      <c r="I42" s="13" t="s">
        <v>3</v>
      </c>
      <c r="J42" s="13" t="s">
        <v>4</v>
      </c>
      <c r="K42" s="13" t="s">
        <v>5</v>
      </c>
      <c r="L42" s="13" t="s">
        <v>6</v>
      </c>
      <c r="M42" s="13" t="s">
        <v>7</v>
      </c>
      <c r="N42" s="13"/>
      <c r="O42" s="13"/>
      <c r="P42" s="13" t="s">
        <v>9</v>
      </c>
      <c r="Q42" s="13" t="s">
        <v>10</v>
      </c>
    </row>
    <row r="43" spans="3:17">
      <c r="F43" s="15" t="s">
        <v>16</v>
      </c>
      <c r="G43" s="25"/>
      <c r="P43" s="3"/>
    </row>
    <row r="44" spans="3:17">
      <c r="G44" s="17" t="s">
        <v>17</v>
      </c>
      <c r="H44">
        <v>8480</v>
      </c>
      <c r="I44">
        <f>I$14</f>
        <v>2900</v>
      </c>
      <c r="J44" s="3">
        <v>1</v>
      </c>
      <c r="K44">
        <f>I52*64</f>
        <v>1280</v>
      </c>
      <c r="L44" s="18">
        <f>J44*I44/K44</f>
        <v>2.265625</v>
      </c>
      <c r="M44">
        <f>3600*24</f>
        <v>86400</v>
      </c>
      <c r="P44" s="20">
        <f>L44*M44*I55*((I53+I54))/1000000</f>
        <v>0</v>
      </c>
      <c r="Q44" s="20">
        <f>L44*M44*I56*((I53+I54))/1000000</f>
        <v>0</v>
      </c>
    </row>
    <row r="45" spans="3:17">
      <c r="G45" s="17" t="s">
        <v>18</v>
      </c>
      <c r="H45">
        <v>992</v>
      </c>
      <c r="I45">
        <f>I$15</f>
        <v>600</v>
      </c>
      <c r="J45" s="3">
        <v>1</v>
      </c>
      <c r="K45">
        <f>I52*64</f>
        <v>1280</v>
      </c>
      <c r="L45" s="18">
        <f>J45*I45/K45</f>
        <v>0.46875</v>
      </c>
      <c r="M45">
        <f>3600*24</f>
        <v>86400</v>
      </c>
      <c r="P45" s="20">
        <f>L45*M45*I55*((I53+I54))/1000000</f>
        <v>0</v>
      </c>
      <c r="Q45" s="20">
        <f>L45*M45*I56*((I53+I54))/1000000</f>
        <v>0</v>
      </c>
    </row>
    <row r="46" spans="3:17">
      <c r="G46" s="17" t="s">
        <v>19</v>
      </c>
      <c r="H46">
        <f>H37</f>
        <v>4928</v>
      </c>
      <c r="I46">
        <f>I$16</f>
        <v>1400</v>
      </c>
      <c r="J46" s="3">
        <v>1</v>
      </c>
      <c r="K46">
        <f>I52</f>
        <v>20</v>
      </c>
      <c r="L46" s="18">
        <f>J46*I46/K46</f>
        <v>70</v>
      </c>
      <c r="M46">
        <f>3600*24</f>
        <v>86400</v>
      </c>
      <c r="P46" s="22">
        <f>L46*M46*I55*I54/1000000</f>
        <v>0</v>
      </c>
      <c r="Q46" s="22">
        <f>L46*M46*I56*I54/1000000</f>
        <v>0</v>
      </c>
    </row>
    <row r="47" spans="3:17">
      <c r="P47" s="24">
        <f>SUM(P44:P46)</f>
        <v>0</v>
      </c>
      <c r="Q47" s="24">
        <f>SUM(Q44:Q46)</f>
        <v>0</v>
      </c>
    </row>
    <row r="48" spans="3:17">
      <c r="P48" s="26"/>
    </row>
    <row r="49" spans="3:25">
      <c r="F49" s="15" t="s">
        <v>20</v>
      </c>
      <c r="G49" s="27"/>
      <c r="P49" s="28">
        <f>P40+P47</f>
        <v>1.9392399999999999</v>
      </c>
      <c r="Q49" s="28">
        <f>Q40+Q47</f>
        <v>1.9392399999999999</v>
      </c>
      <c r="R49" t="s">
        <v>21</v>
      </c>
    </row>
    <row r="51" spans="3:25">
      <c r="F51" s="542" t="s">
        <v>22</v>
      </c>
      <c r="G51" s="542"/>
      <c r="H51" s="542"/>
      <c r="I51" s="542"/>
      <c r="K51" t="s">
        <v>33</v>
      </c>
      <c r="L51" t="s">
        <v>34</v>
      </c>
    </row>
    <row r="52" spans="3:25" ht="15.75">
      <c r="F52" s="543" t="s">
        <v>23</v>
      </c>
      <c r="G52" s="543"/>
      <c r="H52" s="543"/>
      <c r="I52" s="29">
        <v>20</v>
      </c>
      <c r="K52">
        <v>1</v>
      </c>
      <c r="L52">
        <v>2</v>
      </c>
      <c r="O52" s="30"/>
    </row>
    <row r="53" spans="3:25">
      <c r="F53" s="540" t="s">
        <v>24</v>
      </c>
      <c r="G53" s="540"/>
      <c r="H53" s="540"/>
      <c r="I53" s="29">
        <f>0.7*I52/10</f>
        <v>1.4</v>
      </c>
      <c r="K53">
        <v>3</v>
      </c>
      <c r="L53">
        <v>6</v>
      </c>
      <c r="M53" t="str">
        <f>IF((K53/L53)=INT(K53/L53), "good", "bad")</f>
        <v>bad</v>
      </c>
    </row>
    <row r="54" spans="3:25">
      <c r="F54" s="540" t="s">
        <v>25</v>
      </c>
      <c r="G54" s="540"/>
      <c r="H54" s="540"/>
      <c r="I54" s="29">
        <v>2</v>
      </c>
      <c r="K54">
        <v>1</v>
      </c>
      <c r="L54">
        <v>2</v>
      </c>
      <c r="M54" t="str">
        <f>IF((K54/L54)=INT(K54/L54), "good", "bad")</f>
        <v>bad</v>
      </c>
    </row>
    <row r="55" spans="3:25">
      <c r="F55" s="540" t="s">
        <v>26</v>
      </c>
      <c r="G55" s="540"/>
      <c r="H55" s="540"/>
      <c r="I55" s="29">
        <v>0</v>
      </c>
      <c r="K55">
        <v>1</v>
      </c>
      <c r="L55">
        <v>2</v>
      </c>
      <c r="M55" t="str">
        <f>IF((K55/L55)=INT(K55/L55), "good", "bad")</f>
        <v>bad</v>
      </c>
    </row>
    <row r="56" spans="3:25">
      <c r="F56" s="540" t="s">
        <v>27</v>
      </c>
      <c r="G56" s="540"/>
      <c r="H56" s="540"/>
      <c r="I56" s="29">
        <v>0</v>
      </c>
    </row>
    <row r="57" spans="3:25"/>
    <row r="58" spans="3:25">
      <c r="Y58" t="s">
        <v>28</v>
      </c>
    </row>
    <row r="60" spans="3:25">
      <c r="C60" s="6" t="s">
        <v>35</v>
      </c>
      <c r="D60" s="6"/>
      <c r="E60" s="6"/>
      <c r="F60" s="8"/>
      <c r="G60" s="8"/>
      <c r="H60" s="8"/>
      <c r="I60" s="8"/>
      <c r="J60" s="9"/>
      <c r="K60" s="8"/>
      <c r="L60" s="8"/>
      <c r="M60" s="8"/>
      <c r="N60" s="9"/>
      <c r="O60" s="9"/>
      <c r="P60" s="8"/>
    </row>
    <row r="61" spans="3:25">
      <c r="H61" s="541" t="s">
        <v>1</v>
      </c>
      <c r="I61" s="541"/>
    </row>
    <row r="62" spans="3:25" ht="28.5" customHeight="1">
      <c r="F62" s="11"/>
      <c r="G62" s="12"/>
      <c r="H62" s="13" t="s">
        <v>2</v>
      </c>
      <c r="I62" s="13" t="s">
        <v>3</v>
      </c>
      <c r="J62" s="13" t="s">
        <v>4</v>
      </c>
      <c r="K62" s="13" t="s">
        <v>5</v>
      </c>
      <c r="L62" s="13" t="s">
        <v>6</v>
      </c>
      <c r="M62" s="13" t="s">
        <v>7</v>
      </c>
      <c r="N62" s="13" t="s">
        <v>8</v>
      </c>
      <c r="O62" s="13"/>
      <c r="P62" s="13" t="s">
        <v>9</v>
      </c>
      <c r="Q62" s="13" t="s">
        <v>10</v>
      </c>
    </row>
    <row r="63" spans="3:25">
      <c r="F63" s="15" t="s">
        <v>11</v>
      </c>
      <c r="G63" s="16"/>
      <c r="H63" s="3"/>
      <c r="I63" s="3"/>
      <c r="K63" s="3"/>
      <c r="L63" s="3"/>
      <c r="M63" s="3"/>
      <c r="P63" s="3"/>
    </row>
    <row r="64" spans="3:25">
      <c r="G64" s="17" t="s">
        <v>12</v>
      </c>
      <c r="H64">
        <v>5680</v>
      </c>
      <c r="I64">
        <f>I$6</f>
        <v>2400</v>
      </c>
      <c r="J64" s="3">
        <v>1</v>
      </c>
      <c r="K64">
        <v>180</v>
      </c>
      <c r="L64" s="18">
        <f>J64*I64/K64</f>
        <v>13.333333333333334</v>
      </c>
      <c r="M64">
        <f>3600*24</f>
        <v>86400</v>
      </c>
      <c r="N64" s="31">
        <v>3</v>
      </c>
      <c r="P64" s="19">
        <f>L64*M64*N64/1000000</f>
        <v>3.456</v>
      </c>
      <c r="Q64" s="20">
        <f>P64</f>
        <v>3.456</v>
      </c>
    </row>
    <row r="65" spans="6:18">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c r="G66" s="17" t="s">
        <v>14</v>
      </c>
      <c r="H66">
        <v>64000</v>
      </c>
      <c r="I66">
        <f>I$8</f>
        <v>20000</v>
      </c>
      <c r="J66" s="3">
        <v>1</v>
      </c>
      <c r="K66">
        <v>7200</v>
      </c>
      <c r="L66" s="18">
        <f>J66*I66/K66</f>
        <v>2.7777777777777777</v>
      </c>
      <c r="M66">
        <f>3600*24</f>
        <v>86400</v>
      </c>
      <c r="N66" s="31">
        <f>N64</f>
        <v>3</v>
      </c>
      <c r="P66" s="19">
        <f>L66*M66*N66/1000000</f>
        <v>0.72</v>
      </c>
      <c r="Q66" s="20">
        <f>P66</f>
        <v>0.72</v>
      </c>
    </row>
    <row r="67" spans="6:18">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c r="G68" s="17"/>
      <c r="K68" s="3" t="str">
        <f>IF(AND( (K64/K65)=INT(K64/K65), (K66/K65)=INT(K66/K65) ), " ", "error")</f>
        <v xml:space="preserve"> </v>
      </c>
      <c r="P68" s="24">
        <f>SUM(P64:P67)</f>
        <v>7.0145280000000003</v>
      </c>
      <c r="Q68" s="20">
        <f>SUM(Q64:Q67)</f>
        <v>7.0145280000000003</v>
      </c>
    </row>
    <row r="69" spans="6:18">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c r="F71" s="15" t="s">
        <v>16</v>
      </c>
      <c r="G71" s="25"/>
      <c r="P71" s="3"/>
    </row>
    <row r="72" spans="6:18">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c r="P75" s="24">
        <f>SUM(P72:P74)</f>
        <v>0</v>
      </c>
      <c r="Q75" s="24">
        <f>SUM(Q72:Q74)</f>
        <v>0</v>
      </c>
    </row>
    <row r="76" spans="6:18">
      <c r="P76" s="26"/>
    </row>
    <row r="77" spans="6:18">
      <c r="F77" s="15" t="s">
        <v>20</v>
      </c>
      <c r="G77" s="27"/>
      <c r="P77" s="28">
        <f>P68+P75</f>
        <v>7.0145280000000003</v>
      </c>
      <c r="Q77" s="28">
        <f>Q68+Q75</f>
        <v>7.0145280000000003</v>
      </c>
      <c r="R77" t="s">
        <v>21</v>
      </c>
    </row>
    <row r="79" spans="6:18">
      <c r="F79" s="542" t="s">
        <v>22</v>
      </c>
      <c r="G79" s="542"/>
      <c r="H79" s="542"/>
      <c r="I79" s="542"/>
    </row>
    <row r="80" spans="6:18" ht="15.75">
      <c r="F80" s="543" t="s">
        <v>23</v>
      </c>
      <c r="G80" s="543"/>
      <c r="H80" s="543"/>
      <c r="I80" s="29">
        <v>20</v>
      </c>
      <c r="O80" s="30"/>
    </row>
    <row r="81" spans="3:25">
      <c r="F81" s="540" t="s">
        <v>24</v>
      </c>
      <c r="G81" s="540"/>
      <c r="H81" s="540"/>
      <c r="I81" s="29">
        <f>0.7*I80/10</f>
        <v>1.4</v>
      </c>
    </row>
    <row r="82" spans="3:25">
      <c r="F82" s="540" t="s">
        <v>25</v>
      </c>
      <c r="G82" s="540"/>
      <c r="H82" s="540"/>
      <c r="I82" s="29">
        <v>2</v>
      </c>
    </row>
    <row r="83" spans="3:25">
      <c r="F83" s="540" t="s">
        <v>26</v>
      </c>
      <c r="G83" s="540"/>
      <c r="H83" s="540"/>
      <c r="I83" s="29">
        <v>0</v>
      </c>
    </row>
    <row r="84" spans="3:25">
      <c r="F84" s="540" t="s">
        <v>27</v>
      </c>
      <c r="G84" s="540"/>
      <c r="H84" s="540"/>
      <c r="I84" s="29">
        <v>0</v>
      </c>
    </row>
    <row r="85" spans="3:25"/>
    <row r="86" spans="3:25">
      <c r="Y86" t="s">
        <v>28</v>
      </c>
    </row>
    <row r="90" spans="3:25">
      <c r="C90" s="6" t="s">
        <v>36</v>
      </c>
      <c r="D90" s="6"/>
      <c r="E90" s="6"/>
      <c r="F90" s="8"/>
      <c r="G90" s="8"/>
      <c r="H90" s="8"/>
      <c r="I90" s="8"/>
      <c r="J90" s="9"/>
      <c r="K90" s="8"/>
      <c r="L90" s="8"/>
      <c r="M90" s="8"/>
      <c r="N90" s="9"/>
      <c r="O90" s="9"/>
      <c r="P90" s="8"/>
    </row>
    <row r="91" spans="3:25">
      <c r="H91" s="541" t="s">
        <v>1</v>
      </c>
      <c r="I91" s="541"/>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c r="F93" s="15" t="s">
        <v>11</v>
      </c>
      <c r="G93" s="16"/>
      <c r="H93" s="3"/>
      <c r="I93" s="3"/>
      <c r="K93" s="3"/>
      <c r="L93" s="3"/>
      <c r="M93" s="3"/>
      <c r="P93" s="3"/>
    </row>
    <row r="94" spans="3:2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c r="G95" s="17" t="s">
        <v>13</v>
      </c>
      <c r="H95">
        <v>4928</v>
      </c>
      <c r="I95">
        <f>I$7</f>
        <v>1920</v>
      </c>
      <c r="J95" s="3">
        <v>0</v>
      </c>
      <c r="K95">
        <v>180</v>
      </c>
      <c r="L95" s="18">
        <f>J95*I95/K95</f>
        <v>0</v>
      </c>
      <c r="M95">
        <f>3600*24</f>
        <v>86400</v>
      </c>
      <c r="N95" s="31">
        <f>N94</f>
        <v>19.2</v>
      </c>
      <c r="P95" s="19">
        <f>L95*M95*N95/1000000</f>
        <v>0</v>
      </c>
      <c r="Q95" s="20">
        <f>P95</f>
        <v>0</v>
      </c>
    </row>
    <row r="96" spans="3:2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c r="G98" s="17"/>
      <c r="K98" s="3" t="str">
        <f>IF(AND( (K94/K95)=INT(K94/K95), (K96/K95)=INT(K96/K95) ), " ", "error")</f>
        <v xml:space="preserve"> </v>
      </c>
      <c r="P98" s="24">
        <f>SUM(P94:P97)</f>
        <v>27.198259200000003</v>
      </c>
      <c r="Q98" s="20">
        <f>SUM(Q94:Q97)</f>
        <v>27.198259200000003</v>
      </c>
    </row>
    <row r="99" spans="6:18">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c r="F101" s="15" t="s">
        <v>16</v>
      </c>
      <c r="G101" s="25"/>
      <c r="P101" s="3"/>
    </row>
    <row r="102" spans="6:18">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c r="P105" s="24">
        <f>SUM(P102:P104)</f>
        <v>25.798500000000001</v>
      </c>
      <c r="Q105" s="24">
        <f>SUM(Q102:Q104)</f>
        <v>25.798500000000001</v>
      </c>
    </row>
    <row r="106" spans="6:18">
      <c r="P106" s="26"/>
    </row>
    <row r="107" spans="6:18">
      <c r="F107" s="15" t="s">
        <v>20</v>
      </c>
      <c r="G107" s="27"/>
      <c r="P107" s="28">
        <f>P98+P105</f>
        <v>52.9967592</v>
      </c>
      <c r="Q107" s="28">
        <f>Q98+Q105</f>
        <v>52.9967592</v>
      </c>
      <c r="R107" t="s">
        <v>21</v>
      </c>
    </row>
    <row r="109" spans="6:18">
      <c r="F109" s="542" t="s">
        <v>22</v>
      </c>
      <c r="G109" s="542"/>
      <c r="H109" s="542"/>
      <c r="I109" s="542"/>
    </row>
    <row r="110" spans="6:18" ht="15.75">
      <c r="F110" s="543" t="s">
        <v>23</v>
      </c>
      <c r="G110" s="543"/>
      <c r="H110" s="543"/>
      <c r="I110" s="29">
        <v>20</v>
      </c>
      <c r="O110" s="30"/>
    </row>
    <row r="111" spans="6:18">
      <c r="F111" s="540" t="s">
        <v>24</v>
      </c>
      <c r="G111" s="540"/>
      <c r="H111" s="540"/>
      <c r="I111" s="29">
        <f>0.7*I110/10</f>
        <v>1.4</v>
      </c>
    </row>
    <row r="112" spans="6:18">
      <c r="F112" s="540" t="s">
        <v>25</v>
      </c>
      <c r="G112" s="540"/>
      <c r="H112" s="540"/>
      <c r="I112" s="29">
        <v>2</v>
      </c>
    </row>
    <row r="113" spans="3:17">
      <c r="F113" s="540" t="s">
        <v>26</v>
      </c>
      <c r="G113" s="540"/>
      <c r="H113" s="540"/>
      <c r="I113" s="29">
        <v>2</v>
      </c>
    </row>
    <row r="114" spans="3:17">
      <c r="F114" s="540" t="s">
        <v>27</v>
      </c>
      <c r="G114" s="540"/>
      <c r="H114" s="540"/>
      <c r="I114" s="29">
        <v>2</v>
      </c>
    </row>
    <row r="115" spans="3:17"/>
    <row r="119" spans="3:17">
      <c r="C119" s="6" t="s">
        <v>38</v>
      </c>
      <c r="D119" s="6"/>
      <c r="E119" s="6"/>
      <c r="F119" s="8"/>
      <c r="G119" s="8"/>
      <c r="H119" s="8"/>
      <c r="I119" s="8"/>
      <c r="J119" s="9"/>
      <c r="K119" s="8"/>
      <c r="L119" s="8"/>
      <c r="M119" s="8"/>
      <c r="N119" s="9"/>
      <c r="O119" s="9"/>
      <c r="P119" s="8"/>
    </row>
    <row r="120" spans="3:17">
      <c r="H120" s="541" t="s">
        <v>1</v>
      </c>
      <c r="I120" s="541"/>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c r="F122" s="15" t="s">
        <v>11</v>
      </c>
      <c r="G122" s="16"/>
      <c r="H122" s="3"/>
      <c r="I122" s="3"/>
      <c r="K122" s="3"/>
      <c r="L122" s="3"/>
      <c r="M122" s="3"/>
      <c r="P122" s="3"/>
    </row>
    <row r="123" spans="3:17">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c r="G127" s="17"/>
      <c r="K127" s="3" t="str">
        <f>IF(AND( (K123/K124)=INT(K123/K124), (K125/K124)=INT(K125/K124) ), " ", "error")</f>
        <v xml:space="preserve"> </v>
      </c>
      <c r="P127" s="24">
        <f>SUM(P123:P126)</f>
        <v>4.2497280000000002</v>
      </c>
      <c r="Q127" s="20">
        <f>SUM(Q123:Q126)</f>
        <v>4.2497280000000002</v>
      </c>
    </row>
    <row r="128" spans="3:17">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c r="F130" s="15" t="s">
        <v>16</v>
      </c>
      <c r="G130" s="25"/>
      <c r="P130" s="3"/>
    </row>
    <row r="131" spans="6:18">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c r="P134" s="24">
        <f>SUM(P131:P133)</f>
        <v>12.89925</v>
      </c>
      <c r="Q134" s="24">
        <f>SUM(Q131:Q133)</f>
        <v>12.89925</v>
      </c>
    </row>
    <row r="135" spans="6:18">
      <c r="P135" s="26"/>
    </row>
    <row r="136" spans="6:18">
      <c r="F136" s="15" t="s">
        <v>20</v>
      </c>
      <c r="G136" s="27"/>
      <c r="P136" s="28">
        <f>P127+P134</f>
        <v>17.148978</v>
      </c>
      <c r="Q136" s="28">
        <f>Q127+Q134</f>
        <v>17.148978</v>
      </c>
      <c r="R136" t="s">
        <v>21</v>
      </c>
    </row>
    <row r="138" spans="6:18">
      <c r="F138" s="542" t="s">
        <v>22</v>
      </c>
      <c r="G138" s="542"/>
      <c r="H138" s="542"/>
      <c r="I138" s="542"/>
    </row>
    <row r="139" spans="6:18" ht="15.75">
      <c r="F139" s="543" t="s">
        <v>23</v>
      </c>
      <c r="G139" s="543"/>
      <c r="H139" s="543"/>
      <c r="I139" s="29">
        <v>20</v>
      </c>
      <c r="O139" s="30"/>
    </row>
    <row r="140" spans="6:18">
      <c r="F140" s="540" t="s">
        <v>24</v>
      </c>
      <c r="G140" s="540"/>
      <c r="H140" s="540"/>
      <c r="I140" s="29">
        <f>0.7*I139/10</f>
        <v>1.4</v>
      </c>
    </row>
    <row r="141" spans="6:18">
      <c r="F141" s="540" t="s">
        <v>25</v>
      </c>
      <c r="G141" s="540"/>
      <c r="H141" s="540"/>
      <c r="I141" s="29">
        <v>2</v>
      </c>
    </row>
    <row r="142" spans="6:18">
      <c r="F142" s="540" t="s">
        <v>26</v>
      </c>
      <c r="G142" s="540"/>
      <c r="H142" s="540"/>
      <c r="I142" s="29">
        <v>1</v>
      </c>
    </row>
    <row r="143" spans="6:18">
      <c r="F143" s="540" t="s">
        <v>27</v>
      </c>
      <c r="G143" s="540"/>
      <c r="H143" s="540"/>
      <c r="I143" s="29">
        <v>1</v>
      </c>
    </row>
    <row r="144" spans="6:18"/>
    <row r="149" spans="3:17">
      <c r="C149" s="6" t="s">
        <v>39</v>
      </c>
      <c r="D149" s="6"/>
      <c r="E149" s="6"/>
      <c r="F149" s="8"/>
      <c r="G149" s="8"/>
      <c r="H149" s="8"/>
      <c r="I149" s="8"/>
      <c r="J149" s="9"/>
      <c r="K149" s="8"/>
      <c r="L149" s="8"/>
      <c r="M149" s="8"/>
      <c r="N149" s="9"/>
      <c r="O149" s="9"/>
      <c r="P149" s="8"/>
    </row>
    <row r="150" spans="3:17">
      <c r="H150" s="541" t="s">
        <v>1</v>
      </c>
      <c r="I150" s="541"/>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c r="F152" s="15" t="s">
        <v>11</v>
      </c>
      <c r="G152" s="16"/>
      <c r="H152" s="3"/>
      <c r="I152" s="3"/>
      <c r="K152" s="3"/>
      <c r="L152" s="3"/>
      <c r="M152" s="3"/>
      <c r="P152" s="3"/>
    </row>
    <row r="153" spans="3:17">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c r="G157" s="17"/>
      <c r="K157" s="3" t="str">
        <f>IF(AND( (K153/K154)=INT(K153/K154), (K155/K154)=INT(K155/K154) ), " ", "error")</f>
        <v xml:space="preserve"> </v>
      </c>
      <c r="P157" s="24">
        <f>SUM(P153:P156)</f>
        <v>14.874048</v>
      </c>
      <c r="Q157" s="20">
        <f>SUM(Q153:Q156)</f>
        <v>14.874048</v>
      </c>
    </row>
    <row r="158" spans="3:17">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c r="F160" s="15" t="s">
        <v>16</v>
      </c>
      <c r="G160" s="25"/>
      <c r="P160" s="3"/>
    </row>
    <row r="161" spans="6:18">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c r="P164" s="24">
        <f>SUM(P161:P163)</f>
        <v>12.89925</v>
      </c>
      <c r="Q164" s="24">
        <f>SUM(Q161:Q163)</f>
        <v>12.89925</v>
      </c>
    </row>
    <row r="165" spans="6:18">
      <c r="P165" s="26"/>
    </row>
    <row r="166" spans="6:18">
      <c r="F166" s="15" t="s">
        <v>20</v>
      </c>
      <c r="G166" s="27"/>
      <c r="P166" s="28">
        <f>P157+P164</f>
        <v>27.773298</v>
      </c>
      <c r="Q166" s="28">
        <f>Q157+Q164</f>
        <v>27.773298</v>
      </c>
      <c r="R166" t="s">
        <v>21</v>
      </c>
    </row>
    <row r="168" spans="6:18">
      <c r="F168" s="542" t="s">
        <v>22</v>
      </c>
      <c r="G168" s="542"/>
      <c r="H168" s="542"/>
      <c r="I168" s="542"/>
    </row>
    <row r="169" spans="6:18" ht="15.75">
      <c r="F169" s="543" t="s">
        <v>23</v>
      </c>
      <c r="G169" s="543"/>
      <c r="H169" s="543"/>
      <c r="I169" s="29">
        <v>20</v>
      </c>
      <c r="O169" s="30"/>
    </row>
    <row r="170" spans="6:18">
      <c r="F170" s="540" t="s">
        <v>24</v>
      </c>
      <c r="G170" s="540"/>
      <c r="H170" s="540"/>
      <c r="I170" s="29">
        <f>0.7*I169/10</f>
        <v>1.4</v>
      </c>
    </row>
    <row r="171" spans="6:18">
      <c r="F171" s="540" t="s">
        <v>25</v>
      </c>
      <c r="G171" s="540"/>
      <c r="H171" s="540"/>
      <c r="I171" s="29">
        <v>2</v>
      </c>
    </row>
    <row r="172" spans="6:18">
      <c r="F172" s="540" t="s">
        <v>26</v>
      </c>
      <c r="G172" s="540"/>
      <c r="H172" s="540"/>
      <c r="I172" s="29">
        <v>1</v>
      </c>
    </row>
    <row r="173" spans="6:18">
      <c r="F173" s="540" t="s">
        <v>27</v>
      </c>
      <c r="G173" s="540"/>
      <c r="H173" s="540"/>
      <c r="I173" s="29">
        <v>1</v>
      </c>
    </row>
    <row r="174" spans="6:18"/>
    <row r="178" spans="3:17">
      <c r="C178" s="6" t="s">
        <v>40</v>
      </c>
      <c r="D178" s="6"/>
      <c r="E178" s="6"/>
      <c r="F178" s="8"/>
      <c r="G178" s="8"/>
      <c r="H178" s="8"/>
      <c r="I178" s="8"/>
      <c r="J178" s="9"/>
      <c r="K178" s="8"/>
      <c r="L178" s="8"/>
      <c r="M178" s="8"/>
      <c r="N178" s="9"/>
      <c r="O178" s="9"/>
      <c r="P178" s="8"/>
    </row>
    <row r="179" spans="3:17">
      <c r="H179" s="541" t="s">
        <v>1</v>
      </c>
      <c r="I179" s="541"/>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c r="F181" s="15" t="s">
        <v>11</v>
      </c>
      <c r="G181" s="16"/>
      <c r="H181" s="3"/>
      <c r="I181" s="3"/>
      <c r="K181" s="3"/>
      <c r="L181" s="3"/>
      <c r="M181" s="3"/>
      <c r="P181" s="3"/>
    </row>
    <row r="182" spans="3:17">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c r="G186" s="17"/>
      <c r="K186" s="3" t="str">
        <f>IF(AND( (K182/K183)=INT(K182/K183), (K184/K183)=INT(K184/K183) ), " ", "error")</f>
        <v xml:space="preserve"> </v>
      </c>
      <c r="P186" s="24">
        <f>SUM(P182:P185)</f>
        <v>16.998912000000001</v>
      </c>
      <c r="Q186" s="20">
        <f>SUM(Q182:Q185)</f>
        <v>16.998912000000001</v>
      </c>
    </row>
    <row r="187" spans="3:17">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c r="F189" s="15" t="s">
        <v>16</v>
      </c>
      <c r="G189" s="25"/>
      <c r="P189" s="3"/>
    </row>
    <row r="190" spans="3:17">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c r="P193" s="24">
        <f>SUM(P190:P192)</f>
        <v>12.89925</v>
      </c>
      <c r="Q193" s="24">
        <f>SUM(Q190:Q192)</f>
        <v>12.89925</v>
      </c>
    </row>
    <row r="194" spans="6:19">
      <c r="P194" s="26"/>
    </row>
    <row r="195" spans="6:19">
      <c r="F195" s="15" t="s">
        <v>20</v>
      </c>
      <c r="G195" s="27"/>
      <c r="P195" s="28">
        <f>P186+P193</f>
        <v>29.898161999999999</v>
      </c>
      <c r="Q195" s="28">
        <f>Q186+Q193</f>
        <v>29.898161999999999</v>
      </c>
      <c r="R195" t="s">
        <v>21</v>
      </c>
    </row>
    <row r="197" spans="6:19">
      <c r="F197" s="542" t="s">
        <v>22</v>
      </c>
      <c r="G197" s="542"/>
      <c r="H197" s="542"/>
      <c r="I197" s="542"/>
    </row>
    <row r="198" spans="6:19" ht="15.75">
      <c r="F198" s="543" t="s">
        <v>23</v>
      </c>
      <c r="G198" s="543"/>
      <c r="H198" s="543"/>
      <c r="I198" s="29">
        <v>20</v>
      </c>
      <c r="O198" s="30"/>
    </row>
    <row r="199" spans="6:19">
      <c r="F199" s="540" t="s">
        <v>24</v>
      </c>
      <c r="G199" s="540"/>
      <c r="H199" s="540"/>
      <c r="I199" s="29">
        <f>0.7*I198/10</f>
        <v>1.4</v>
      </c>
    </row>
    <row r="200" spans="6:19">
      <c r="F200" s="540" t="s">
        <v>25</v>
      </c>
      <c r="G200" s="540"/>
      <c r="H200" s="540"/>
      <c r="I200" s="29">
        <v>2</v>
      </c>
    </row>
    <row r="201" spans="6:19">
      <c r="F201" s="540" t="s">
        <v>26</v>
      </c>
      <c r="G201" s="540"/>
      <c r="H201" s="540"/>
      <c r="I201" s="29">
        <v>1</v>
      </c>
    </row>
    <row r="202" spans="6:19">
      <c r="F202" s="540" t="s">
        <v>27</v>
      </c>
      <c r="G202" s="540"/>
      <c r="H202" s="540"/>
      <c r="I202" s="29">
        <v>1</v>
      </c>
    </row>
    <row r="203" spans="6:19"/>
    <row r="205" spans="6:19">
      <c r="P205" s="36" t="s">
        <v>41</v>
      </c>
      <c r="Q205" s="36"/>
      <c r="R205" s="37">
        <f>P19+P49+P77+P107+P136+P166+P195</f>
        <v>184.40923720000001</v>
      </c>
      <c r="S205" s="382" t="s">
        <v>42</v>
      </c>
    </row>
    <row r="208" spans="6:19">
      <c r="Q208" s="3"/>
      <c r="R208" s="30" t="s">
        <v>43</v>
      </c>
      <c r="S208">
        <f>67*2+77</f>
        <v>211</v>
      </c>
    </row>
    <row r="211" spans="3:17">
      <c r="P211" t="s">
        <v>44</v>
      </c>
    </row>
    <row r="212" spans="3:17">
      <c r="P212" t="s">
        <v>45</v>
      </c>
    </row>
    <row r="218" spans="3:17">
      <c r="C218" s="6" t="s">
        <v>46</v>
      </c>
      <c r="D218" s="6"/>
      <c r="E218" s="6"/>
      <c r="F218" s="8"/>
      <c r="G218" s="8"/>
      <c r="H218" s="8"/>
      <c r="I218" s="8"/>
      <c r="J218" s="9"/>
      <c r="K218" s="8"/>
      <c r="L218" s="8"/>
      <c r="M218" s="8"/>
      <c r="N218" s="9"/>
      <c r="O218" s="9"/>
      <c r="P218" s="8"/>
    </row>
    <row r="219" spans="3:17">
      <c r="H219" s="541" t="s">
        <v>1</v>
      </c>
      <c r="I219" s="541"/>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c r="F221" s="15" t="s">
        <v>11</v>
      </c>
      <c r="G221" s="16"/>
      <c r="H221" s="3"/>
      <c r="I221" s="3"/>
      <c r="K221" s="3"/>
      <c r="L221" s="3"/>
      <c r="M221" s="3"/>
      <c r="P221" s="3"/>
    </row>
    <row r="222" spans="3:17">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c r="G226" s="17"/>
      <c r="K226" s="3" t="str">
        <f>IF(AND( (K222/K223)=INT(K222/K223), (K224/K223)=INT(K224/K223) ), " ", "error")</f>
        <v xml:space="preserve"> </v>
      </c>
      <c r="P226" s="24">
        <f>SUM(P222:P225)</f>
        <v>385.0253568</v>
      </c>
      <c r="Q226" s="20">
        <f>SUM(Q222:Q225)</f>
        <v>385.0253568</v>
      </c>
    </row>
    <row r="227" spans="6:19">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c r="F229" s="15" t="s">
        <v>16</v>
      </c>
      <c r="G229" s="25"/>
      <c r="P229" s="3"/>
    </row>
    <row r="230" spans="6:19">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c r="P233" s="24">
        <f>SUM(P230:P232)</f>
        <v>257.98500000000001</v>
      </c>
      <c r="Q233" s="24">
        <f>SUM(Q230:Q232)</f>
        <v>103.194</v>
      </c>
    </row>
    <row r="234" spans="6:19">
      <c r="P234" s="26"/>
    </row>
    <row r="235" spans="6:19">
      <c r="F235" s="15" t="s">
        <v>20</v>
      </c>
      <c r="G235" s="27"/>
      <c r="P235" s="28">
        <f>P226+P233</f>
        <v>643.01035679999995</v>
      </c>
      <c r="Q235" s="28">
        <f>Q226+Q233</f>
        <v>488.21935680000001</v>
      </c>
      <c r="R235" t="s">
        <v>21</v>
      </c>
    </row>
    <row r="237" spans="6:19">
      <c r="F237" s="542" t="s">
        <v>22</v>
      </c>
      <c r="G237" s="542"/>
      <c r="H237" s="542"/>
      <c r="I237" s="542"/>
    </row>
    <row r="238" spans="6:19" ht="15.75">
      <c r="F238" s="543" t="s">
        <v>23</v>
      </c>
      <c r="G238" s="543"/>
      <c r="H238" s="543"/>
      <c r="I238" s="29">
        <v>20</v>
      </c>
      <c r="O238" s="30"/>
      <c r="P238" s="41" t="s">
        <v>47</v>
      </c>
      <c r="Q238" s="41"/>
      <c r="R238" s="42">
        <f>P235</f>
        <v>643.01035679999995</v>
      </c>
      <c r="S238" s="383" t="s">
        <v>42</v>
      </c>
    </row>
    <row r="239" spans="6:19">
      <c r="F239" s="540" t="s">
        <v>24</v>
      </c>
      <c r="G239" s="540"/>
      <c r="H239" s="540"/>
      <c r="I239" s="29">
        <f>0.7*I238/10</f>
        <v>1.4</v>
      </c>
    </row>
    <row r="240" spans="6:19">
      <c r="F240" s="540" t="s">
        <v>25</v>
      </c>
      <c r="G240" s="540"/>
      <c r="H240" s="540"/>
      <c r="I240" s="29">
        <v>2</v>
      </c>
    </row>
    <row r="241" spans="3:20">
      <c r="F241" s="540" t="s">
        <v>26</v>
      </c>
      <c r="G241" s="540"/>
      <c r="H241" s="540"/>
      <c r="I241" s="29">
        <v>20</v>
      </c>
    </row>
    <row r="242" spans="3:20">
      <c r="F242" s="540" t="s">
        <v>27</v>
      </c>
      <c r="G242" s="540"/>
      <c r="H242" s="540"/>
      <c r="I242" s="29">
        <v>8</v>
      </c>
    </row>
    <row r="243" spans="3:20"/>
    <row r="246" spans="3:20">
      <c r="C246" s="6" t="s">
        <v>48</v>
      </c>
      <c r="D246" s="6"/>
      <c r="E246" s="6"/>
      <c r="F246" s="8"/>
      <c r="G246" s="8"/>
      <c r="H246" s="8"/>
      <c r="I246" s="8"/>
      <c r="J246" s="9"/>
      <c r="K246" s="8"/>
      <c r="L246" s="8"/>
      <c r="M246" s="8"/>
      <c r="N246" s="9"/>
      <c r="O246" s="9"/>
      <c r="P246" s="8"/>
    </row>
    <row r="247" spans="3:20">
      <c r="H247" s="541" t="s">
        <v>1</v>
      </c>
      <c r="I247" s="541"/>
    </row>
    <row r="248" spans="3:20" ht="28.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c r="F249" s="15" t="s">
        <v>11</v>
      </c>
      <c r="G249" s="16"/>
      <c r="H249" s="3"/>
      <c r="I249" s="3"/>
      <c r="K249" s="3"/>
      <c r="L249" s="3"/>
      <c r="P249" s="3"/>
    </row>
    <row r="250" spans="3:20">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c r="P255" s="3"/>
    </row>
    <row r="256" spans="3:20" ht="42.7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c r="F257" s="15" t="s">
        <v>16</v>
      </c>
      <c r="G257" s="25"/>
      <c r="N257" s="386">
        <f>135-69</f>
        <v>66</v>
      </c>
      <c r="R257" s="3"/>
    </row>
    <row r="258" spans="6:19">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c r="N261" s="46" t="s">
        <v>56</v>
      </c>
      <c r="O261" s="46"/>
      <c r="P261" s="47">
        <f>SUM(P258:P260)</f>
        <v>1.1726590909090908</v>
      </c>
      <c r="Q261" s="47">
        <f>SUM(Q258:Q260)</f>
        <v>0.78177272727272729</v>
      </c>
      <c r="R261" s="50">
        <f>SUM(R258:R260)</f>
        <v>77.395499999999998</v>
      </c>
      <c r="S261" s="50">
        <f>SUM(S258:S260)</f>
        <v>51.597000000000001</v>
      </c>
    </row>
    <row r="262" spans="6:19">
      <c r="R262" s="26"/>
    </row>
    <row r="263" spans="6:19">
      <c r="F263" s="15" t="s">
        <v>20</v>
      </c>
      <c r="G263" s="27"/>
      <c r="N263" s="387" t="s">
        <v>57</v>
      </c>
      <c r="O263" s="52"/>
      <c r="P263" s="28">
        <f>P254+P261</f>
        <v>2.5892350909090904</v>
      </c>
      <c r="Q263" s="28">
        <f>Q254+Q261</f>
        <v>2.1983487272727271</v>
      </c>
      <c r="R263" s="53">
        <f>R254+R261</f>
        <v>107.143596</v>
      </c>
      <c r="S263" s="53">
        <f>S254+S261</f>
        <v>81.345095999999998</v>
      </c>
    </row>
    <row r="265" spans="6:19">
      <c r="F265" s="542" t="s">
        <v>22</v>
      </c>
      <c r="G265" s="542"/>
      <c r="H265" s="542"/>
      <c r="I265" s="542"/>
    </row>
    <row r="266" spans="6:19" ht="15.75">
      <c r="F266" s="543" t="s">
        <v>23</v>
      </c>
      <c r="G266" s="543"/>
      <c r="H266" s="543"/>
      <c r="I266" s="29">
        <v>20</v>
      </c>
      <c r="O266" s="30"/>
    </row>
    <row r="267" spans="6:19">
      <c r="F267" s="540" t="s">
        <v>24</v>
      </c>
      <c r="G267" s="540"/>
      <c r="H267" s="540"/>
      <c r="I267" s="29">
        <f>0.7*I266/10</f>
        <v>1.4</v>
      </c>
    </row>
    <row r="268" spans="6:19">
      <c r="F268" s="540" t="s">
        <v>25</v>
      </c>
      <c r="G268" s="540"/>
      <c r="H268" s="540"/>
      <c r="I268" s="29">
        <v>2</v>
      </c>
    </row>
    <row r="269" spans="6:19">
      <c r="F269" s="540" t="s">
        <v>63</v>
      </c>
      <c r="G269" s="540"/>
      <c r="H269" s="540"/>
      <c r="I269" s="70">
        <v>6</v>
      </c>
    </row>
    <row r="270" spans="6:19">
      <c r="F270" s="540" t="s">
        <v>71</v>
      </c>
      <c r="G270" s="540"/>
      <c r="H270" s="540"/>
      <c r="I270" s="70">
        <v>4</v>
      </c>
    </row>
    <row r="275" spans="3:20">
      <c r="C275" s="6">
        <v>23149</v>
      </c>
      <c r="D275" s="6"/>
      <c r="E275" s="6"/>
      <c r="F275" s="8"/>
      <c r="G275" s="8"/>
      <c r="H275" s="8"/>
      <c r="I275" s="8"/>
      <c r="J275" s="9"/>
      <c r="K275" s="8"/>
      <c r="L275" s="8"/>
      <c r="M275" s="8"/>
      <c r="N275" s="9"/>
      <c r="O275" s="9"/>
      <c r="P275" s="8"/>
    </row>
    <row r="276" spans="3:20">
      <c r="H276" s="541" t="s">
        <v>1</v>
      </c>
      <c r="I276" s="541"/>
    </row>
    <row r="277" spans="3:20" ht="28.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c r="F278" s="15" t="s">
        <v>11</v>
      </c>
      <c r="G278" s="16"/>
      <c r="H278" s="3"/>
      <c r="I278" s="3"/>
      <c r="K278" s="3"/>
      <c r="L278" s="3"/>
      <c r="P278" s="3"/>
    </row>
    <row r="279" spans="3:20">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c r="P284" s="3"/>
    </row>
    <row r="285" spans="3:20" ht="42.7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c r="F286" s="15" t="s">
        <v>16</v>
      </c>
      <c r="G286" s="25"/>
      <c r="N286" s="386">
        <f>135-69</f>
        <v>66</v>
      </c>
      <c r="R286" s="3"/>
    </row>
    <row r="287" spans="3:20">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c r="N290" s="46" t="s">
        <v>56</v>
      </c>
      <c r="O290" s="46"/>
      <c r="P290" s="47">
        <f>SUM(P287:P289)</f>
        <v>1.1726590909090908</v>
      </c>
      <c r="Q290" s="47">
        <f>SUM(Q287:Q289)</f>
        <v>0.78177272727272729</v>
      </c>
      <c r="R290" s="50">
        <f>SUM(R287:R289)</f>
        <v>77.395499999999998</v>
      </c>
      <c r="S290" s="50">
        <f>SUM(S287:S289)</f>
        <v>51.597000000000001</v>
      </c>
    </row>
    <row r="291" spans="3:21">
      <c r="R291" s="26"/>
    </row>
    <row r="292" spans="3:21">
      <c r="F292" s="15" t="s">
        <v>20</v>
      </c>
      <c r="G292" s="27"/>
      <c r="N292" s="387" t="s">
        <v>57</v>
      </c>
      <c r="O292" s="52"/>
      <c r="P292" s="28">
        <f>P283+P290</f>
        <v>3.5108350909090911</v>
      </c>
      <c r="Q292" s="28">
        <f>Q283+Q290</f>
        <v>3.1199487272727273</v>
      </c>
      <c r="R292" s="53">
        <f>R283+R290</f>
        <v>125.13325999999999</v>
      </c>
      <c r="S292" s="53">
        <f>S283+S290</f>
        <v>99.334759999999989</v>
      </c>
    </row>
    <row r="294" spans="3:21">
      <c r="F294" s="542" t="s">
        <v>22</v>
      </c>
      <c r="G294" s="542"/>
      <c r="H294" s="542"/>
      <c r="I294" s="542"/>
    </row>
    <row r="295" spans="3:21" ht="15.75">
      <c r="F295" s="543" t="s">
        <v>23</v>
      </c>
      <c r="G295" s="543"/>
      <c r="H295" s="543"/>
      <c r="I295" s="29">
        <v>20</v>
      </c>
      <c r="O295" s="30"/>
      <c r="P295">
        <f>1030/60</f>
        <v>17.166666666666668</v>
      </c>
      <c r="Q295">
        <f>12+619/60</f>
        <v>22.316666666666666</v>
      </c>
      <c r="R295">
        <f>17.5+22.32-24</f>
        <v>15.82</v>
      </c>
    </row>
    <row r="296" spans="3:21">
      <c r="F296" s="540" t="s">
        <v>24</v>
      </c>
      <c r="G296" s="540"/>
      <c r="H296" s="540"/>
      <c r="I296" s="29">
        <f>0.7*I295/10</f>
        <v>1.4</v>
      </c>
      <c r="N296" s="3">
        <f>1.6*3+23.4+143</f>
        <v>171.2</v>
      </c>
    </row>
    <row r="297" spans="3:21">
      <c r="F297" s="540" t="s">
        <v>25</v>
      </c>
      <c r="G297" s="540"/>
      <c r="H297" s="540"/>
      <c r="I297" s="29">
        <v>2</v>
      </c>
      <c r="N297" s="3">
        <f>1.6*3+23.4</f>
        <v>28.2</v>
      </c>
      <c r="P297">
        <f>12*13</f>
        <v>156</v>
      </c>
      <c r="Q297">
        <f>15.2+1.6+156</f>
        <v>172.8</v>
      </c>
    </row>
    <row r="298" spans="3:21">
      <c r="F298" s="540" t="s">
        <v>63</v>
      </c>
      <c r="G298" s="540"/>
      <c r="H298" s="540"/>
      <c r="I298" s="70">
        <v>6</v>
      </c>
      <c r="P298">
        <f>12-(2+19.5/24)</f>
        <v>9.1875</v>
      </c>
    </row>
    <row r="299" spans="3:21">
      <c r="F299" s="540" t="s">
        <v>71</v>
      </c>
      <c r="G299" s="540"/>
      <c r="H299" s="540"/>
      <c r="I299" s="70">
        <v>4</v>
      </c>
    </row>
    <row r="301" spans="3:21">
      <c r="C301" s="6">
        <v>23212</v>
      </c>
      <c r="D301" s="6"/>
      <c r="E301" s="6"/>
      <c r="F301" s="8"/>
      <c r="G301" s="8"/>
      <c r="H301" s="8"/>
      <c r="I301" s="8"/>
      <c r="J301" s="9"/>
      <c r="K301" s="8"/>
      <c r="L301" s="8"/>
      <c r="M301" s="8"/>
      <c r="N301" s="9"/>
      <c r="O301" s="9"/>
      <c r="P301" s="8"/>
      <c r="Q301">
        <f>11*13</f>
        <v>143</v>
      </c>
    </row>
    <row r="302" spans="3:21">
      <c r="H302" s="541" t="s">
        <v>1</v>
      </c>
      <c r="I302" s="541"/>
    </row>
    <row r="303" spans="3:21" ht="28.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c r="F304" s="15" t="s">
        <v>11</v>
      </c>
      <c r="G304" s="16"/>
      <c r="H304" s="3"/>
      <c r="I304" s="3"/>
      <c r="K304" s="3"/>
      <c r="L304" s="3"/>
      <c r="P304" s="3"/>
      <c r="U304">
        <f>31.2+1.579+39</f>
        <v>71.778999999999996</v>
      </c>
    </row>
    <row r="305" spans="6:21">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c r="P310" s="3"/>
    </row>
    <row r="311" spans="6:21" ht="42.7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c r="F312" s="15" t="s">
        <v>16</v>
      </c>
      <c r="G312" s="25"/>
      <c r="N312" s="386">
        <f>135-69</f>
        <v>66</v>
      </c>
      <c r="R312" s="3"/>
    </row>
    <row r="313" spans="6:21">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c r="N316" s="46" t="s">
        <v>56</v>
      </c>
      <c r="O316" s="46"/>
      <c r="P316" s="47">
        <f>SUM(P313:P315)</f>
        <v>1.1726590909090908</v>
      </c>
      <c r="Q316" s="47">
        <f>SUM(Q313:Q315)</f>
        <v>0.78177272727272729</v>
      </c>
      <c r="R316" s="50">
        <f>SUM(R313:R315)</f>
        <v>77.395499999999998</v>
      </c>
      <c r="S316" s="50">
        <f>SUM(S313:S315)</f>
        <v>51.597000000000001</v>
      </c>
    </row>
    <row r="317" spans="6:21">
      <c r="R317" s="26"/>
    </row>
    <row r="318" spans="6:21">
      <c r="F318" s="15" t="s">
        <v>20</v>
      </c>
      <c r="G318" s="27"/>
      <c r="N318" s="387" t="s">
        <v>57</v>
      </c>
      <c r="O318" s="52"/>
      <c r="P318" s="28">
        <f>P309+P316</f>
        <v>3.5108350909090911</v>
      </c>
      <c r="Q318" s="28">
        <f>Q309+Q316</f>
        <v>3.1199487272727273</v>
      </c>
      <c r="R318" s="53">
        <f>R309+R316</f>
        <v>108.57118</v>
      </c>
      <c r="S318" s="53">
        <f>S309+S316</f>
        <v>82.772680000000008</v>
      </c>
    </row>
    <row r="320" spans="6:21">
      <c r="F320" s="542" t="s">
        <v>22</v>
      </c>
      <c r="G320" s="542"/>
      <c r="H320" s="542"/>
      <c r="I320" s="542"/>
    </row>
    <row r="321" spans="3:21" ht="15.75">
      <c r="F321" s="543" t="s">
        <v>23</v>
      </c>
      <c r="G321" s="543"/>
      <c r="H321" s="543"/>
      <c r="I321" s="29">
        <v>20</v>
      </c>
      <c r="O321" s="30"/>
    </row>
    <row r="322" spans="3:21">
      <c r="F322" s="540" t="s">
        <v>24</v>
      </c>
      <c r="G322" s="540"/>
      <c r="H322" s="540"/>
      <c r="I322" s="29">
        <f>0.7*I321/10</f>
        <v>1.4</v>
      </c>
    </row>
    <row r="323" spans="3:21">
      <c r="F323" s="540" t="s">
        <v>25</v>
      </c>
      <c r="G323" s="540"/>
      <c r="H323" s="540"/>
      <c r="I323" s="29">
        <v>2</v>
      </c>
    </row>
    <row r="324" spans="3:21">
      <c r="F324" s="540" t="s">
        <v>63</v>
      </c>
      <c r="G324" s="540"/>
      <c r="H324" s="540"/>
      <c r="I324" s="70">
        <v>6</v>
      </c>
    </row>
    <row r="325" spans="3:21">
      <c r="F325" s="540" t="s">
        <v>71</v>
      </c>
      <c r="G325" s="540"/>
      <c r="H325" s="540"/>
      <c r="I325" s="70">
        <v>4</v>
      </c>
    </row>
    <row r="327" spans="3:21">
      <c r="C327" s="6">
        <v>23233</v>
      </c>
      <c r="D327" s="6"/>
      <c r="E327" s="6"/>
      <c r="F327" s="8"/>
      <c r="G327" s="8"/>
      <c r="H327" s="8"/>
      <c r="I327" s="8"/>
      <c r="J327" s="9"/>
      <c r="K327" s="8"/>
      <c r="L327" s="8"/>
      <c r="M327" s="8"/>
      <c r="N327" s="9"/>
      <c r="O327" s="9"/>
      <c r="P327" s="8"/>
      <c r="Q327">
        <f>11*13</f>
        <v>143</v>
      </c>
    </row>
    <row r="328" spans="3:21">
      <c r="H328" s="541" t="s">
        <v>1</v>
      </c>
      <c r="I328" s="541"/>
    </row>
    <row r="329" spans="3:21" ht="28.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c r="F330" s="15" t="s">
        <v>11</v>
      </c>
      <c r="G330" s="16"/>
      <c r="H330" s="3"/>
      <c r="I330" s="3"/>
      <c r="K330" s="3"/>
      <c r="L330" s="3"/>
      <c r="P330" s="3"/>
    </row>
    <row r="331" spans="3:21">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c r="P336" s="3"/>
    </row>
    <row r="337" spans="6:19" ht="42.7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c r="F338" s="15" t="s">
        <v>16</v>
      </c>
      <c r="G338" s="25"/>
      <c r="N338" s="386">
        <f>135-69</f>
        <v>66</v>
      </c>
      <c r="R338" s="3"/>
    </row>
    <row r="339" spans="6:19">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c r="N342" s="46" t="s">
        <v>56</v>
      </c>
      <c r="O342" s="46"/>
      <c r="P342" s="47">
        <f>SUM(P339:P341)</f>
        <v>1.1726590909090908</v>
      </c>
      <c r="Q342" s="47">
        <f>SUM(Q339:Q341)</f>
        <v>0.78177272727272729</v>
      </c>
      <c r="R342" s="50">
        <f>SUM(R339:R341)</f>
        <v>77.395499999999998</v>
      </c>
      <c r="S342" s="50">
        <f>SUM(S339:S341)</f>
        <v>51.597000000000001</v>
      </c>
    </row>
    <row r="343" spans="6:19">
      <c r="R343" s="26"/>
    </row>
    <row r="344" spans="6:19">
      <c r="F344" s="15" t="s">
        <v>20</v>
      </c>
      <c r="G344" s="27"/>
      <c r="N344" s="387" t="s">
        <v>57</v>
      </c>
      <c r="O344" s="52"/>
      <c r="P344" s="28">
        <f>P335+P342</f>
        <v>3.5108350909090911</v>
      </c>
      <c r="Q344" s="28">
        <f>Q335+Q342</f>
        <v>3.1199487272727273</v>
      </c>
      <c r="R344" s="53">
        <f>R335+R342</f>
        <v>103.407708</v>
      </c>
      <c r="S344" s="53">
        <f>S335+S342</f>
        <v>77.609207999999995</v>
      </c>
    </row>
    <row r="346" spans="6:19">
      <c r="F346" s="542" t="s">
        <v>22</v>
      </c>
      <c r="G346" s="542"/>
      <c r="H346" s="542"/>
      <c r="I346" s="542"/>
    </row>
    <row r="347" spans="6:19" ht="15.75">
      <c r="F347" s="543" t="s">
        <v>23</v>
      </c>
      <c r="G347" s="543"/>
      <c r="H347" s="543"/>
      <c r="I347" s="29">
        <v>20</v>
      </c>
      <c r="N347" s="3">
        <f>13*5</f>
        <v>65</v>
      </c>
      <c r="O347" s="30"/>
      <c r="P347">
        <f>26+1.6+78</f>
        <v>105.6</v>
      </c>
    </row>
    <row r="348" spans="6:19">
      <c r="F348" s="540" t="s">
        <v>24</v>
      </c>
      <c r="G348" s="540"/>
      <c r="H348" s="540"/>
      <c r="I348" s="29">
        <f>0.7*I347/10</f>
        <v>1.4</v>
      </c>
      <c r="N348" s="3">
        <f>13*6</f>
        <v>78</v>
      </c>
      <c r="P348">
        <f>13*5</f>
        <v>65</v>
      </c>
    </row>
    <row r="349" spans="6:19">
      <c r="F349" s="540" t="s">
        <v>25</v>
      </c>
      <c r="G349" s="540"/>
      <c r="H349" s="540"/>
      <c r="I349" s="29">
        <v>2</v>
      </c>
    </row>
    <row r="350" spans="6:19">
      <c r="F350" s="540" t="s">
        <v>63</v>
      </c>
      <c r="G350" s="540"/>
      <c r="H350" s="540"/>
      <c r="I350" s="70">
        <v>6</v>
      </c>
    </row>
    <row r="351" spans="6:19">
      <c r="F351" s="540" t="s">
        <v>71</v>
      </c>
      <c r="G351" s="540"/>
      <c r="H351" s="540"/>
      <c r="I351" s="70">
        <v>4</v>
      </c>
    </row>
    <row r="354" spans="3:21">
      <c r="C354" s="6">
        <v>23245</v>
      </c>
      <c r="D354" s="6"/>
      <c r="E354" s="6"/>
      <c r="F354" s="8"/>
      <c r="G354" s="8"/>
      <c r="H354" s="8"/>
      <c r="I354" s="8"/>
      <c r="J354" s="9"/>
      <c r="K354" s="8"/>
      <c r="L354" s="8"/>
      <c r="M354" s="8"/>
      <c r="N354" s="9"/>
      <c r="O354" s="9"/>
      <c r="P354" s="8"/>
      <c r="Q354">
        <f>11*13</f>
        <v>143</v>
      </c>
    </row>
    <row r="355" spans="3:21">
      <c r="H355" s="541" t="s">
        <v>1</v>
      </c>
      <c r="I355" s="541"/>
    </row>
    <row r="356" spans="3:21" ht="28.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c r="F357" s="15" t="s">
        <v>11</v>
      </c>
      <c r="G357" s="16"/>
      <c r="H357" s="3"/>
      <c r="I357" s="3"/>
      <c r="K357" s="3"/>
      <c r="L357" s="3"/>
      <c r="P357" s="3"/>
    </row>
    <row r="358" spans="3:21">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c r="P363" s="3"/>
    </row>
    <row r="364" spans="3:21" ht="42.7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c r="F365" s="15" t="s">
        <v>16</v>
      </c>
      <c r="G365" s="25"/>
      <c r="N365" s="386">
        <f>135-69</f>
        <v>66</v>
      </c>
      <c r="R365" s="3"/>
    </row>
    <row r="366" spans="3:21">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c r="N369" s="46" t="s">
        <v>56</v>
      </c>
      <c r="O369" s="46"/>
      <c r="P369" s="47">
        <f>SUM(P366:P368)</f>
        <v>1.1726590909090908</v>
      </c>
      <c r="Q369" s="47">
        <f>SUM(Q366:Q368)</f>
        <v>0.78177272727272729</v>
      </c>
      <c r="R369" s="50">
        <f>SUM(R366:R368)</f>
        <v>77.395499999999998</v>
      </c>
      <c r="S369" s="50">
        <f>SUM(S366:S368)</f>
        <v>51.597000000000001</v>
      </c>
    </row>
    <row r="370" spans="3:21">
      <c r="R370" s="26"/>
    </row>
    <row r="371" spans="3:21">
      <c r="F371" s="15" t="s">
        <v>20</v>
      </c>
      <c r="G371" s="27"/>
      <c r="N371" s="387" t="s">
        <v>57</v>
      </c>
      <c r="O371" s="52"/>
      <c r="P371" s="28">
        <f>P362+P369</f>
        <v>3.5108350909090911</v>
      </c>
      <c r="Q371" s="28">
        <f>Q362+Q369</f>
        <v>3.1199487272727273</v>
      </c>
      <c r="R371" s="53">
        <f>R362+R369</f>
        <v>99.608171999999996</v>
      </c>
      <c r="S371" s="53">
        <f>S362+S369</f>
        <v>73.809672000000006</v>
      </c>
    </row>
    <row r="373" spans="3:21">
      <c r="F373" s="542" t="s">
        <v>22</v>
      </c>
      <c r="G373" s="542"/>
      <c r="H373" s="542"/>
      <c r="I373" s="542"/>
    </row>
    <row r="374" spans="3:21" ht="15.75">
      <c r="F374" s="543" t="s">
        <v>23</v>
      </c>
      <c r="G374" s="543"/>
      <c r="H374" s="543"/>
      <c r="I374" s="29">
        <v>20</v>
      </c>
      <c r="N374" s="3">
        <f>13*5</f>
        <v>65</v>
      </c>
      <c r="O374" s="30"/>
      <c r="P374">
        <f>26+1.6+78</f>
        <v>105.6</v>
      </c>
    </row>
    <row r="375" spans="3:21">
      <c r="F375" s="540" t="s">
        <v>24</v>
      </c>
      <c r="G375" s="540"/>
      <c r="H375" s="540"/>
      <c r="I375" s="29">
        <f>0.7*I374/10</f>
        <v>1.4</v>
      </c>
      <c r="N375" s="3">
        <f>13*6</f>
        <v>78</v>
      </c>
      <c r="P375">
        <f>13*5</f>
        <v>65</v>
      </c>
    </row>
    <row r="376" spans="3:21">
      <c r="F376" s="540" t="s">
        <v>25</v>
      </c>
      <c r="G376" s="540"/>
      <c r="H376" s="540"/>
      <c r="I376" s="29">
        <v>2</v>
      </c>
    </row>
    <row r="377" spans="3:21">
      <c r="F377" s="540" t="s">
        <v>63</v>
      </c>
      <c r="G377" s="540"/>
      <c r="H377" s="540"/>
      <c r="I377" s="70">
        <v>6</v>
      </c>
    </row>
    <row r="378" spans="3:21">
      <c r="F378" s="540" t="s">
        <v>71</v>
      </c>
      <c r="G378" s="540"/>
      <c r="H378" s="540"/>
      <c r="I378" s="70">
        <v>4</v>
      </c>
    </row>
    <row r="381" spans="3:21">
      <c r="U381">
        <f>275-259</f>
        <v>16</v>
      </c>
    </row>
    <row r="382" spans="3:21">
      <c r="C382" s="6">
        <v>23254</v>
      </c>
      <c r="D382" s="6"/>
      <c r="E382" s="6"/>
      <c r="F382" s="8"/>
      <c r="G382" s="8"/>
      <c r="H382" s="8"/>
      <c r="I382" s="8"/>
      <c r="J382" s="9"/>
      <c r="K382" s="8"/>
      <c r="L382" s="8"/>
      <c r="M382" s="8"/>
      <c r="N382" s="9"/>
      <c r="O382" s="9"/>
      <c r="P382" s="8"/>
      <c r="Q382">
        <f>11*13</f>
        <v>143</v>
      </c>
      <c r="U382">
        <f>(12.75+0.5)/24</f>
        <v>0.55208333333333337</v>
      </c>
    </row>
    <row r="383" spans="3:21">
      <c r="H383" s="541" t="s">
        <v>1</v>
      </c>
      <c r="I383" s="541"/>
    </row>
    <row r="384" spans="3:21" ht="28.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c r="F385" s="15" t="s">
        <v>11</v>
      </c>
      <c r="G385" s="16"/>
      <c r="H385" s="3"/>
      <c r="I385" s="3"/>
      <c r="K385" s="3"/>
      <c r="L385" s="3"/>
      <c r="P385" s="3"/>
      <c r="U385">
        <f>13*6</f>
        <v>78</v>
      </c>
    </row>
    <row r="386" spans="6:21">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c r="P391" s="3"/>
    </row>
    <row r="392" spans="6:21" ht="42.7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c r="F393" s="15" t="s">
        <v>16</v>
      </c>
      <c r="G393" s="25"/>
      <c r="N393" s="386">
        <f>135-69</f>
        <v>66</v>
      </c>
      <c r="R393" s="3"/>
    </row>
    <row r="394" spans="6:21">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c r="N397" s="46" t="s">
        <v>56</v>
      </c>
      <c r="O397" s="46"/>
      <c r="P397" s="47">
        <f>SUM(P394:P396)</f>
        <v>1.1726590909090908</v>
      </c>
      <c r="Q397" s="47">
        <f>SUM(Q394:Q396)</f>
        <v>0.78177272727272729</v>
      </c>
      <c r="R397" s="50">
        <f>SUM(R394:R396)</f>
        <v>77.395499999999998</v>
      </c>
      <c r="S397" s="50">
        <f>SUM(S394:S396)</f>
        <v>51.597000000000001</v>
      </c>
    </row>
    <row r="398" spans="6:21">
      <c r="R398" s="26"/>
    </row>
    <row r="399" spans="6:21">
      <c r="F399" s="15" t="s">
        <v>20</v>
      </c>
      <c r="G399" s="27"/>
      <c r="N399" s="387" t="s">
        <v>57</v>
      </c>
      <c r="O399" s="52"/>
      <c r="P399" s="28">
        <f>P390+P397</f>
        <v>3.5108350909090911</v>
      </c>
      <c r="Q399" s="28">
        <f>Q390+Q397</f>
        <v>3.1199487272727273</v>
      </c>
      <c r="R399" s="53">
        <f>R390+R397</f>
        <v>104.576796</v>
      </c>
      <c r="S399" s="53">
        <f>S390+S397</f>
        <v>78.778295999999997</v>
      </c>
    </row>
    <row r="401" spans="3:19">
      <c r="F401" s="542" t="s">
        <v>22</v>
      </c>
      <c r="G401" s="542"/>
      <c r="H401" s="542"/>
      <c r="I401" s="542"/>
    </row>
    <row r="402" spans="3:19" ht="15.75">
      <c r="F402" s="543" t="s">
        <v>23</v>
      </c>
      <c r="G402" s="543"/>
      <c r="H402" s="543"/>
      <c r="I402" s="29">
        <v>20</v>
      </c>
      <c r="O402" s="30"/>
    </row>
    <row r="403" spans="3:19">
      <c r="F403" s="540" t="s">
        <v>24</v>
      </c>
      <c r="G403" s="540"/>
      <c r="H403" s="540"/>
      <c r="I403" s="29">
        <f>0.7*I402/10</f>
        <v>1.4</v>
      </c>
    </row>
    <row r="404" spans="3:19">
      <c r="F404" s="540" t="s">
        <v>25</v>
      </c>
      <c r="G404" s="540"/>
      <c r="H404" s="540"/>
      <c r="I404" s="29">
        <v>2</v>
      </c>
    </row>
    <row r="405" spans="3:19">
      <c r="F405" s="540" t="s">
        <v>63</v>
      </c>
      <c r="G405" s="540"/>
      <c r="H405" s="540"/>
      <c r="I405" s="70">
        <v>6</v>
      </c>
    </row>
    <row r="406" spans="3:19">
      <c r="F406" s="540" t="s">
        <v>71</v>
      </c>
      <c r="G406" s="540"/>
      <c r="H406" s="540"/>
      <c r="I406" s="70">
        <v>4</v>
      </c>
    </row>
    <row r="413" spans="3:19">
      <c r="C413" s="6">
        <v>23275</v>
      </c>
      <c r="D413" s="6"/>
      <c r="E413" s="6"/>
      <c r="F413" s="8"/>
      <c r="G413" s="8"/>
      <c r="H413" s="8"/>
      <c r="I413" s="8"/>
      <c r="J413" s="9"/>
      <c r="K413" s="8"/>
      <c r="L413" s="8"/>
      <c r="M413" s="8"/>
      <c r="N413" s="9"/>
      <c r="O413" s="9"/>
      <c r="P413" s="8"/>
      <c r="Q413">
        <f>11*13</f>
        <v>143</v>
      </c>
    </row>
    <row r="414" spans="3:19">
      <c r="H414" s="541" t="s">
        <v>1</v>
      </c>
      <c r="I414" s="541"/>
    </row>
    <row r="415" spans="3:19" ht="28.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c r="F416" s="15" t="s">
        <v>11</v>
      </c>
      <c r="G416" s="16"/>
      <c r="H416" s="3"/>
      <c r="I416" s="3"/>
      <c r="K416" s="3"/>
      <c r="L416" s="3"/>
      <c r="P416" s="3"/>
    </row>
    <row r="417" spans="6:21">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c r="P422" s="3"/>
    </row>
    <row r="423" spans="6:21" ht="42.7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c r="F424" s="15" t="s">
        <v>16</v>
      </c>
      <c r="G424" s="25"/>
      <c r="N424" s="386">
        <f>135-69</f>
        <v>66</v>
      </c>
      <c r="R424" s="3"/>
    </row>
    <row r="425" spans="6:21">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c r="N428" s="46" t="s">
        <v>56</v>
      </c>
      <c r="O428" s="46"/>
      <c r="P428" s="47">
        <f>SUM(P425:P427)</f>
        <v>1.1726590909090908</v>
      </c>
      <c r="Q428" s="47">
        <f>SUM(Q425:Q427)</f>
        <v>0.78177272727272729</v>
      </c>
      <c r="R428" s="50">
        <f>SUM(R425:R427)</f>
        <v>77.395499999999998</v>
      </c>
      <c r="S428" s="50">
        <f>SUM(S425:S427)</f>
        <v>51.597000000000001</v>
      </c>
    </row>
    <row r="429" spans="6:21">
      <c r="R429" s="26"/>
    </row>
    <row r="430" spans="6:21">
      <c r="F430" s="15" t="s">
        <v>20</v>
      </c>
      <c r="G430" s="27"/>
      <c r="N430" s="387" t="s">
        <v>57</v>
      </c>
      <c r="O430" s="52"/>
      <c r="P430" s="28">
        <f>P421+P428</f>
        <v>3.5108350909090911</v>
      </c>
      <c r="Q430" s="28">
        <f>Q421+Q428</f>
        <v>3.1199487272727273</v>
      </c>
      <c r="R430" s="53">
        <f>R421+R428</f>
        <v>126.497196</v>
      </c>
      <c r="S430" s="53">
        <f>S421+S428</f>
        <v>100.698696</v>
      </c>
    </row>
    <row r="432" spans="6:21">
      <c r="F432" s="542" t="s">
        <v>22</v>
      </c>
      <c r="G432" s="542"/>
      <c r="H432" s="542"/>
      <c r="I432" s="542"/>
    </row>
    <row r="433" spans="3:21" ht="15.75">
      <c r="F433" s="543" t="s">
        <v>23</v>
      </c>
      <c r="G433" s="543"/>
      <c r="H433" s="543"/>
      <c r="I433" s="29">
        <v>20</v>
      </c>
      <c r="O433" s="30"/>
    </row>
    <row r="434" spans="3:21">
      <c r="F434" s="540" t="s">
        <v>24</v>
      </c>
      <c r="G434" s="540"/>
      <c r="H434" s="540"/>
      <c r="I434" s="29">
        <f>0.7*I433/10</f>
        <v>1.4</v>
      </c>
    </row>
    <row r="435" spans="3:21">
      <c r="F435" s="540" t="s">
        <v>25</v>
      </c>
      <c r="G435" s="540"/>
      <c r="H435" s="540"/>
      <c r="I435" s="29">
        <v>2</v>
      </c>
    </row>
    <row r="436" spans="3:21">
      <c r="F436" s="540" t="s">
        <v>63</v>
      </c>
      <c r="G436" s="540"/>
      <c r="H436" s="540"/>
      <c r="I436" s="70">
        <v>6</v>
      </c>
    </row>
    <row r="437" spans="3:21">
      <c r="F437" s="540" t="s">
        <v>71</v>
      </c>
      <c r="G437" s="540"/>
      <c r="H437" s="540"/>
      <c r="I437" s="70">
        <v>4</v>
      </c>
    </row>
    <row r="442" spans="3:21">
      <c r="C442" s="6">
        <v>23296</v>
      </c>
      <c r="D442" s="6"/>
      <c r="E442" s="6"/>
      <c r="F442" s="8"/>
      <c r="G442" s="8"/>
      <c r="H442" s="8"/>
      <c r="I442" s="8"/>
      <c r="J442" s="9"/>
      <c r="K442" s="8"/>
      <c r="L442" s="8"/>
      <c r="M442" s="8"/>
      <c r="N442" s="9"/>
      <c r="O442" s="9"/>
      <c r="P442" s="8"/>
      <c r="Q442">
        <f>11*13</f>
        <v>143</v>
      </c>
    </row>
    <row r="443" spans="3:21">
      <c r="H443" s="541" t="s">
        <v>1</v>
      </c>
      <c r="I443" s="541"/>
    </row>
    <row r="444" spans="3:21" ht="28.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c r="F445" s="15" t="s">
        <v>11</v>
      </c>
      <c r="G445" s="16"/>
      <c r="H445" s="3"/>
      <c r="I445" s="3"/>
      <c r="K445" s="3"/>
      <c r="L445" s="3"/>
      <c r="P445" s="3"/>
    </row>
    <row r="446" spans="3:21">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c r="P451" s="3"/>
    </row>
    <row r="452" spans="6:20" ht="42.7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c r="F453" s="15" t="s">
        <v>16</v>
      </c>
      <c r="G453" s="25"/>
      <c r="N453" s="386">
        <f>135-69</f>
        <v>66</v>
      </c>
      <c r="R453" s="3"/>
    </row>
    <row r="454" spans="6:20">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c r="N457" s="46" t="s">
        <v>56</v>
      </c>
      <c r="O457" s="46"/>
      <c r="P457" s="47">
        <f>SUM(P454:P456)</f>
        <v>1.1726590909090908</v>
      </c>
      <c r="Q457" s="47">
        <f>SUM(Q454:Q456)</f>
        <v>0.78177272727272729</v>
      </c>
      <c r="R457" s="50">
        <f>SUM(R454:R456)</f>
        <v>77.395499999999998</v>
      </c>
      <c r="S457" s="50">
        <f>SUM(S454:S456)</f>
        <v>51.597000000000001</v>
      </c>
    </row>
    <row r="458" spans="6:20">
      <c r="R458" s="26"/>
    </row>
    <row r="459" spans="6:20">
      <c r="F459" s="15" t="s">
        <v>20</v>
      </c>
      <c r="G459" s="27"/>
      <c r="N459" s="387" t="s">
        <v>57</v>
      </c>
      <c r="O459" s="52"/>
      <c r="P459" s="28">
        <f>P450+P457</f>
        <v>3.5108350909090911</v>
      </c>
      <c r="Q459" s="28">
        <f>Q450+Q457</f>
        <v>3.1199487272727273</v>
      </c>
      <c r="R459" s="53">
        <f>R450+R457</f>
        <v>126.30234799999999</v>
      </c>
      <c r="S459" s="53">
        <f>S450+S457</f>
        <v>100.503848</v>
      </c>
    </row>
    <row r="461" spans="6:20">
      <c r="F461" s="542" t="s">
        <v>22</v>
      </c>
      <c r="G461" s="542"/>
      <c r="H461" s="542"/>
      <c r="I461" s="542"/>
    </row>
    <row r="462" spans="6:20" ht="15.75">
      <c r="F462" s="543" t="s">
        <v>23</v>
      </c>
      <c r="G462" s="543"/>
      <c r="H462" s="543"/>
      <c r="I462" s="29">
        <v>20</v>
      </c>
      <c r="O462" s="30"/>
    </row>
    <row r="463" spans="6:20">
      <c r="F463" s="540" t="s">
        <v>24</v>
      </c>
      <c r="G463" s="540"/>
      <c r="H463" s="540"/>
      <c r="I463" s="29">
        <f>0.7*I462/10</f>
        <v>1.4</v>
      </c>
    </row>
    <row r="464" spans="6:20">
      <c r="F464" s="540" t="s">
        <v>25</v>
      </c>
      <c r="G464" s="540"/>
      <c r="H464" s="540"/>
      <c r="I464" s="29">
        <v>2</v>
      </c>
    </row>
    <row r="465" spans="3:21">
      <c r="F465" s="540" t="s">
        <v>63</v>
      </c>
      <c r="G465" s="540"/>
      <c r="H465" s="540"/>
      <c r="I465" s="70">
        <v>6</v>
      </c>
    </row>
    <row r="466" spans="3:21">
      <c r="F466" s="540" t="s">
        <v>71</v>
      </c>
      <c r="G466" s="540"/>
      <c r="H466" s="540"/>
      <c r="I466" s="70">
        <v>4</v>
      </c>
    </row>
    <row r="470" spans="3:21">
      <c r="C470" s="6">
        <v>23317</v>
      </c>
      <c r="D470" s="6"/>
      <c r="E470" s="6"/>
      <c r="F470" s="8"/>
      <c r="G470" s="8"/>
      <c r="H470" s="8"/>
      <c r="I470" s="8"/>
      <c r="J470" s="9"/>
      <c r="K470" s="8"/>
      <c r="L470" s="8"/>
      <c r="M470" s="8"/>
      <c r="N470" s="9"/>
      <c r="O470" s="9"/>
      <c r="P470" s="8"/>
      <c r="Q470">
        <f>11*13</f>
        <v>143</v>
      </c>
    </row>
    <row r="471" spans="3:21">
      <c r="H471" s="541" t="s">
        <v>1</v>
      </c>
      <c r="I471" s="541"/>
    </row>
    <row r="472" spans="3:21" ht="28.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c r="F473" s="15" t="s">
        <v>11</v>
      </c>
      <c r="G473" s="16"/>
      <c r="H473" s="3"/>
      <c r="I473" s="3"/>
      <c r="K473" s="3"/>
      <c r="L473" s="3"/>
      <c r="P473" s="3"/>
    </row>
    <row r="474" spans="3:21">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c r="P479" s="3"/>
    </row>
    <row r="480" spans="3:21" ht="42.7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c r="F481" s="15" t="s">
        <v>16</v>
      </c>
      <c r="G481" s="25"/>
      <c r="N481" s="386">
        <f>135-69</f>
        <v>66</v>
      </c>
      <c r="R481" s="3"/>
    </row>
    <row r="482" spans="6:19">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c r="N485" s="46" t="s">
        <v>56</v>
      </c>
      <c r="O485" s="46"/>
      <c r="P485" s="47">
        <f>SUM(P482:P484)</f>
        <v>1.1726590909090908</v>
      </c>
      <c r="Q485" s="47">
        <f>SUM(Q482:Q484)</f>
        <v>0.78177272727272729</v>
      </c>
      <c r="R485" s="50">
        <f>SUM(R482:R484)</f>
        <v>77.395499999999998</v>
      </c>
      <c r="S485" s="50">
        <f>SUM(S482:S484)</f>
        <v>51.597000000000001</v>
      </c>
    </row>
    <row r="486" spans="6:19">
      <c r="R486" s="26"/>
    </row>
    <row r="487" spans="6:19">
      <c r="F487" s="15" t="s">
        <v>20</v>
      </c>
      <c r="G487" s="27"/>
      <c r="N487" s="387" t="s">
        <v>57</v>
      </c>
      <c r="O487" s="52"/>
      <c r="P487" s="28">
        <f>P478+P485</f>
        <v>3.5108350909090911</v>
      </c>
      <c r="Q487" s="28">
        <f>Q478+Q485</f>
        <v>3.1199487272727273</v>
      </c>
      <c r="R487" s="53">
        <f>R478+R485</f>
        <v>127.43246640000001</v>
      </c>
      <c r="S487" s="53">
        <f>S478+S485</f>
        <v>101.63396640000001</v>
      </c>
    </row>
    <row r="489" spans="6:19">
      <c r="F489" s="542" t="s">
        <v>22</v>
      </c>
      <c r="G489" s="542"/>
      <c r="H489" s="542"/>
      <c r="I489" s="542"/>
    </row>
    <row r="490" spans="6:19" ht="15.75">
      <c r="F490" s="543" t="s">
        <v>23</v>
      </c>
      <c r="G490" s="543"/>
      <c r="H490" s="543"/>
      <c r="I490" s="29">
        <v>20</v>
      </c>
      <c r="O490" s="30"/>
    </row>
    <row r="491" spans="6:19">
      <c r="F491" s="540" t="s">
        <v>24</v>
      </c>
      <c r="G491" s="540"/>
      <c r="H491" s="540"/>
      <c r="I491" s="29">
        <f>0.7*I490/10</f>
        <v>1.4</v>
      </c>
    </row>
    <row r="492" spans="6:19">
      <c r="F492" s="540" t="s">
        <v>25</v>
      </c>
      <c r="G492" s="540"/>
      <c r="H492" s="540"/>
      <c r="I492" s="29">
        <v>2</v>
      </c>
    </row>
    <row r="493" spans="6:19">
      <c r="F493" s="540" t="s">
        <v>63</v>
      </c>
      <c r="G493" s="540"/>
      <c r="H493" s="540"/>
      <c r="I493" s="70">
        <v>6</v>
      </c>
    </row>
    <row r="494" spans="6:19">
      <c r="F494" s="540" t="s">
        <v>71</v>
      </c>
      <c r="G494" s="540"/>
      <c r="H494" s="540"/>
      <c r="I494" s="70">
        <v>4</v>
      </c>
    </row>
    <row r="498" spans="3:21">
      <c r="C498" s="6">
        <v>23338</v>
      </c>
      <c r="D498" s="6"/>
      <c r="E498" s="6"/>
      <c r="F498" s="8"/>
      <c r="G498" s="8"/>
      <c r="H498" s="8"/>
      <c r="I498" s="8"/>
      <c r="J498" s="9"/>
      <c r="K498" s="8"/>
      <c r="L498" s="8"/>
      <c r="M498" s="8"/>
      <c r="N498" s="9"/>
      <c r="O498" s="9"/>
      <c r="P498" s="8"/>
      <c r="Q498">
        <f>11*13</f>
        <v>143</v>
      </c>
    </row>
    <row r="499" spans="3:21">
      <c r="H499" s="541" t="s">
        <v>1</v>
      </c>
      <c r="I499" s="541"/>
    </row>
    <row r="500" spans="3:21" ht="28.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c r="F501" s="15" t="s">
        <v>11</v>
      </c>
      <c r="G501" s="16"/>
      <c r="H501" s="3"/>
      <c r="I501" s="3"/>
      <c r="K501" s="3"/>
      <c r="L501" s="3"/>
      <c r="P501" s="3"/>
    </row>
    <row r="502" spans="3:21">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c r="P507" s="3"/>
    </row>
    <row r="508" spans="3:21" ht="42.7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c r="F509" s="15" t="s">
        <v>16</v>
      </c>
      <c r="G509" s="25"/>
      <c r="N509" s="386">
        <f>135-69</f>
        <v>66</v>
      </c>
      <c r="R509" s="3"/>
    </row>
    <row r="510" spans="3:21">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c r="N513" s="46" t="s">
        <v>56</v>
      </c>
      <c r="O513" s="46"/>
      <c r="P513" s="47">
        <f>SUM(P510:P512)</f>
        <v>1.1726590909090908</v>
      </c>
      <c r="Q513" s="47">
        <f>SUM(Q510:Q512)</f>
        <v>0.78177272727272729</v>
      </c>
      <c r="R513" s="50">
        <f>SUM(R510:R512)</f>
        <v>77.395499999999998</v>
      </c>
      <c r="S513" s="50">
        <f>SUM(S510:S512)</f>
        <v>51.597000000000001</v>
      </c>
    </row>
    <row r="514" spans="3:19">
      <c r="R514" s="26"/>
    </row>
    <row r="515" spans="3:19">
      <c r="F515" s="15" t="s">
        <v>20</v>
      </c>
      <c r="G515" s="27"/>
      <c r="N515" s="387" t="s">
        <v>57</v>
      </c>
      <c r="O515" s="52"/>
      <c r="P515" s="28">
        <f>P506+P513</f>
        <v>3.5108350909090911</v>
      </c>
      <c r="Q515" s="28">
        <f>Q506+Q513</f>
        <v>3.1199487272727273</v>
      </c>
      <c r="R515" s="53">
        <f>R506+R513</f>
        <v>126.497196</v>
      </c>
      <c r="S515" s="53">
        <f>S506+S513</f>
        <v>100.698696</v>
      </c>
    </row>
    <row r="517" spans="3:19">
      <c r="F517" s="542" t="s">
        <v>22</v>
      </c>
      <c r="G517" s="542"/>
      <c r="H517" s="542"/>
      <c r="I517" s="542"/>
    </row>
    <row r="518" spans="3:19" ht="15.75">
      <c r="F518" s="543" t="s">
        <v>23</v>
      </c>
      <c r="G518" s="543"/>
      <c r="H518" s="543"/>
      <c r="I518" s="29">
        <v>20</v>
      </c>
      <c r="O518" s="30"/>
    </row>
    <row r="519" spans="3:19">
      <c r="F519" s="540" t="s">
        <v>24</v>
      </c>
      <c r="G519" s="540"/>
      <c r="H519" s="540"/>
      <c r="I519" s="29">
        <f>0.7*I518/10</f>
        <v>1.4</v>
      </c>
    </row>
    <row r="520" spans="3:19">
      <c r="F520" s="540" t="s">
        <v>25</v>
      </c>
      <c r="G520" s="540"/>
      <c r="H520" s="540"/>
      <c r="I520" s="29">
        <v>2</v>
      </c>
    </row>
    <row r="521" spans="3:19">
      <c r="F521" s="540" t="s">
        <v>63</v>
      </c>
      <c r="G521" s="540"/>
      <c r="H521" s="540"/>
      <c r="I521" s="70">
        <v>6</v>
      </c>
    </row>
    <row r="522" spans="3:19">
      <c r="F522" s="540" t="s">
        <v>71</v>
      </c>
      <c r="G522" s="540"/>
      <c r="H522" s="540"/>
      <c r="I522" s="70">
        <v>4</v>
      </c>
    </row>
    <row r="527" spans="3:19">
      <c r="C527" s="6">
        <v>24015</v>
      </c>
      <c r="D527" s="6"/>
      <c r="E527" s="6"/>
      <c r="F527" s="8"/>
      <c r="G527" s="8"/>
      <c r="H527" s="8"/>
      <c r="I527" s="8"/>
      <c r="J527" s="9"/>
      <c r="K527" s="8"/>
      <c r="L527" s="8"/>
      <c r="M527" s="8"/>
      <c r="N527" s="9"/>
      <c r="O527" s="9"/>
      <c r="P527" s="8"/>
      <c r="Q527">
        <f>11*13</f>
        <v>143</v>
      </c>
    </row>
    <row r="528" spans="3:19">
      <c r="H528" s="541" t="s">
        <v>1</v>
      </c>
      <c r="I528" s="541"/>
    </row>
    <row r="529" spans="6:21" ht="28.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c r="F530" s="15" t="s">
        <v>11</v>
      </c>
      <c r="G530" s="16"/>
      <c r="H530" s="3"/>
      <c r="I530" s="3"/>
      <c r="K530" s="3"/>
      <c r="L530" s="3"/>
      <c r="P530" s="3"/>
    </row>
    <row r="531" spans="6:21">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c r="P536" s="3"/>
    </row>
    <row r="537" spans="6:21" ht="42.7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c r="F538" s="15" t="s">
        <v>16</v>
      </c>
      <c r="G538" s="25"/>
      <c r="N538" s="386">
        <f>135-69</f>
        <v>66</v>
      </c>
      <c r="R538" s="3"/>
    </row>
    <row r="539" spans="6:21">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c r="N542" s="46" t="s">
        <v>56</v>
      </c>
      <c r="O542" s="46"/>
      <c r="P542" s="47">
        <f>SUM(P539:P541)</f>
        <v>1.1726590909090908</v>
      </c>
      <c r="Q542" s="47">
        <f>SUM(Q539:Q541)</f>
        <v>0.78177272727272729</v>
      </c>
      <c r="R542" s="50">
        <f>SUM(R539:R541)</f>
        <v>77.395499999999998</v>
      </c>
      <c r="S542" s="50">
        <f>SUM(S539:S541)</f>
        <v>51.597000000000001</v>
      </c>
    </row>
    <row r="543" spans="6:21">
      <c r="R543" s="26"/>
    </row>
    <row r="544" spans="6:21">
      <c r="F544" s="15" t="s">
        <v>20</v>
      </c>
      <c r="G544" s="27"/>
      <c r="N544" s="387" t="s">
        <v>57</v>
      </c>
      <c r="O544" s="52"/>
      <c r="P544" s="28">
        <f>P535+P542</f>
        <v>3.5108350909090911</v>
      </c>
      <c r="Q544" s="28">
        <f>Q535+Q542</f>
        <v>3.1199487272727273</v>
      </c>
      <c r="R544" s="53">
        <f>R535+R542</f>
        <v>77.395499999999998</v>
      </c>
      <c r="S544" s="53">
        <f>S535+S542</f>
        <v>51.597000000000001</v>
      </c>
    </row>
    <row r="546" spans="3:19">
      <c r="F546" s="542" t="s">
        <v>22</v>
      </c>
      <c r="G546" s="542"/>
      <c r="H546" s="542"/>
      <c r="I546" s="542"/>
    </row>
    <row r="547" spans="3:19" ht="15.75">
      <c r="F547" s="543" t="s">
        <v>23</v>
      </c>
      <c r="G547" s="543"/>
      <c r="H547" s="543"/>
      <c r="I547" s="29">
        <v>20</v>
      </c>
      <c r="O547" s="30"/>
    </row>
    <row r="548" spans="3:19">
      <c r="F548" s="540" t="s">
        <v>24</v>
      </c>
      <c r="G548" s="540"/>
      <c r="H548" s="540"/>
      <c r="I548" s="29">
        <f>0.7*I547/10</f>
        <v>1.4</v>
      </c>
    </row>
    <row r="549" spans="3:19">
      <c r="F549" s="540" t="s">
        <v>25</v>
      </c>
      <c r="G549" s="540"/>
      <c r="H549" s="540"/>
      <c r="I549" s="29">
        <v>2</v>
      </c>
    </row>
    <row r="550" spans="3:19">
      <c r="F550" s="540" t="s">
        <v>63</v>
      </c>
      <c r="G550" s="540"/>
      <c r="H550" s="540"/>
      <c r="I550" s="70">
        <v>6</v>
      </c>
    </row>
    <row r="551" spans="3:19">
      <c r="F551" s="540" t="s">
        <v>71</v>
      </c>
      <c r="G551" s="540"/>
      <c r="H551" s="540"/>
      <c r="I551" s="70">
        <v>4</v>
      </c>
    </row>
    <row r="557" spans="3:19">
      <c r="C557" s="6">
        <v>24036</v>
      </c>
      <c r="D557" s="6"/>
      <c r="E557" s="6"/>
      <c r="F557" s="8"/>
      <c r="G557" s="8"/>
      <c r="H557" s="8"/>
      <c r="I557" s="8"/>
      <c r="J557" s="9"/>
      <c r="K557" s="8"/>
      <c r="L557" s="8"/>
      <c r="M557" s="8"/>
      <c r="N557" s="9"/>
      <c r="O557" s="9"/>
      <c r="P557" s="8"/>
      <c r="Q557">
        <f>11*13</f>
        <v>143</v>
      </c>
    </row>
    <row r="558" spans="3:19">
      <c r="H558" s="541" t="s">
        <v>1</v>
      </c>
      <c r="I558" s="541"/>
    </row>
    <row r="559" spans="3:19" ht="28.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c r="F560" s="15" t="s">
        <v>11</v>
      </c>
      <c r="G560" s="16"/>
      <c r="H560" s="3"/>
      <c r="I560" s="3"/>
      <c r="K560" s="3"/>
      <c r="L560" s="3"/>
      <c r="P560" s="3"/>
    </row>
    <row r="561" spans="6:21">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c r="P566" s="3"/>
    </row>
    <row r="567" spans="6:21" ht="42.7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c r="F568" s="15" t="s">
        <v>16</v>
      </c>
      <c r="G568" s="25"/>
      <c r="N568" s="386">
        <f>135-69</f>
        <v>66</v>
      </c>
      <c r="R568" s="3"/>
    </row>
    <row r="569" spans="6:21">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c r="N572" s="46" t="s">
        <v>56</v>
      </c>
      <c r="O572" s="46"/>
      <c r="P572" s="47">
        <f>SUM(P569:P571)</f>
        <v>1.1726590909090908</v>
      </c>
      <c r="Q572" s="47">
        <f>SUM(Q569:Q571)</f>
        <v>0.78177272727272729</v>
      </c>
      <c r="R572" s="50">
        <f>SUM(R569:R571)</f>
        <v>77.395499999999998</v>
      </c>
      <c r="S572" s="50">
        <f>SUM(S569:S571)</f>
        <v>51.597000000000001</v>
      </c>
    </row>
    <row r="573" spans="6:21">
      <c r="R573" s="26"/>
    </row>
    <row r="574" spans="6:21">
      <c r="F574" s="15" t="s">
        <v>20</v>
      </c>
      <c r="G574" s="27"/>
      <c r="N574" s="387" t="s">
        <v>57</v>
      </c>
      <c r="O574" s="52"/>
      <c r="P574" s="28">
        <f>P565+P572</f>
        <v>3.5108350909090911</v>
      </c>
      <c r="Q574" s="28">
        <f>Q565+Q572</f>
        <v>3.1199487272727273</v>
      </c>
      <c r="R574" s="53">
        <f>R565+R572</f>
        <v>127.17916399999999</v>
      </c>
      <c r="S574" s="53">
        <f>S565+S572</f>
        <v>101.380664</v>
      </c>
    </row>
    <row r="576" spans="6:21">
      <c r="F576" s="542" t="s">
        <v>22</v>
      </c>
      <c r="G576" s="542"/>
      <c r="H576" s="542"/>
      <c r="I576" s="542"/>
    </row>
    <row r="577" spans="3:20" ht="15.75">
      <c r="F577" s="543" t="s">
        <v>23</v>
      </c>
      <c r="G577" s="543"/>
      <c r="H577" s="543"/>
      <c r="I577" s="29">
        <v>20</v>
      </c>
      <c r="O577" s="30"/>
    </row>
    <row r="578" spans="3:20">
      <c r="F578" s="540" t="s">
        <v>24</v>
      </c>
      <c r="G578" s="540"/>
      <c r="H578" s="540"/>
      <c r="I578" s="29">
        <f>0.7*I577/10</f>
        <v>1.4</v>
      </c>
    </row>
    <row r="579" spans="3:20">
      <c r="F579" s="540" t="s">
        <v>25</v>
      </c>
      <c r="G579" s="540"/>
      <c r="H579" s="540"/>
      <c r="I579" s="29">
        <v>2</v>
      </c>
    </row>
    <row r="580" spans="3:20">
      <c r="F580" s="540" t="s">
        <v>63</v>
      </c>
      <c r="G580" s="540"/>
      <c r="H580" s="540"/>
      <c r="I580" s="70">
        <v>6</v>
      </c>
    </row>
    <row r="581" spans="3:20">
      <c r="F581" s="540" t="s">
        <v>71</v>
      </c>
      <c r="G581" s="540"/>
      <c r="H581" s="540"/>
      <c r="I581" s="70">
        <v>4</v>
      </c>
    </row>
    <row r="587" spans="3:20">
      <c r="C587" s="6">
        <v>24057</v>
      </c>
      <c r="D587" s="6"/>
      <c r="E587" s="6"/>
      <c r="F587" s="8"/>
      <c r="G587" s="8"/>
      <c r="H587" s="8"/>
      <c r="I587" s="8"/>
      <c r="J587" s="9"/>
      <c r="K587" s="8"/>
      <c r="L587" s="8"/>
      <c r="M587" s="8"/>
      <c r="N587" s="9"/>
      <c r="O587" s="9"/>
      <c r="P587" s="8"/>
      <c r="Q587">
        <f>11*13</f>
        <v>143</v>
      </c>
    </row>
    <row r="588" spans="3:20">
      <c r="H588" s="541" t="s">
        <v>1</v>
      </c>
      <c r="I588" s="541"/>
    </row>
    <row r="589" spans="3:20" ht="28.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c r="F590" s="15" t="s">
        <v>11</v>
      </c>
      <c r="G590" s="16"/>
      <c r="H590" s="3"/>
      <c r="I590" s="3"/>
      <c r="K590" s="3"/>
      <c r="L590" s="3"/>
      <c r="P590" s="3"/>
    </row>
    <row r="591" spans="3:20">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c r="P596" s="3"/>
    </row>
    <row r="597" spans="6:21" ht="42.7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c r="F598" s="15" t="s">
        <v>16</v>
      </c>
      <c r="G598" s="25"/>
      <c r="N598" s="386">
        <f>135-69</f>
        <v>66</v>
      </c>
      <c r="R598" s="3"/>
    </row>
    <row r="599" spans="6:21">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c r="N602" s="46" t="s">
        <v>56</v>
      </c>
      <c r="O602" s="46"/>
      <c r="P602" s="47">
        <f>SUM(P599:P601)</f>
        <v>1.1726590909090908</v>
      </c>
      <c r="Q602" s="47">
        <f>SUM(Q599:Q601)</f>
        <v>0.78177272727272729</v>
      </c>
      <c r="R602" s="50">
        <f>SUM(R599:R601)</f>
        <v>77.395499999999998</v>
      </c>
      <c r="S602" s="50">
        <f>SUM(S599:S601)</f>
        <v>51.597000000000001</v>
      </c>
    </row>
    <row r="603" spans="6:21">
      <c r="R603" s="26"/>
    </row>
    <row r="604" spans="6:21">
      <c r="F604" s="15" t="s">
        <v>20</v>
      </c>
      <c r="G604" s="27"/>
      <c r="N604" s="387" t="s">
        <v>57</v>
      </c>
      <c r="O604" s="52"/>
      <c r="P604" s="28">
        <f>P595+P602</f>
        <v>3.5108350909090911</v>
      </c>
      <c r="Q604" s="28">
        <f>Q595+Q602</f>
        <v>3.1199487272727273</v>
      </c>
      <c r="R604" s="53">
        <f>R595+R602</f>
        <v>125.13325999999999</v>
      </c>
      <c r="S604" s="53">
        <f>S595+S602</f>
        <v>99.334759999999989</v>
      </c>
    </row>
    <row r="606" spans="6:21">
      <c r="F606" s="542" t="s">
        <v>22</v>
      </c>
      <c r="G606" s="542"/>
      <c r="H606" s="542"/>
      <c r="I606" s="542"/>
    </row>
    <row r="607" spans="6:21" ht="15.75">
      <c r="F607" s="543" t="s">
        <v>23</v>
      </c>
      <c r="G607" s="543"/>
      <c r="H607" s="543"/>
      <c r="I607" s="29">
        <v>20</v>
      </c>
      <c r="O607" s="30"/>
    </row>
    <row r="608" spans="6:21">
      <c r="F608" s="540" t="s">
        <v>24</v>
      </c>
      <c r="G608" s="540"/>
      <c r="H608" s="540"/>
      <c r="I608" s="29">
        <f>0.7*I607/10</f>
        <v>1.4</v>
      </c>
      <c r="R608">
        <v>78</v>
      </c>
    </row>
    <row r="609" spans="3:23">
      <c r="F609" s="540" t="s">
        <v>25</v>
      </c>
      <c r="G609" s="540"/>
      <c r="H609" s="540"/>
      <c r="I609" s="29">
        <v>2</v>
      </c>
      <c r="P609" t="s">
        <v>1939</v>
      </c>
      <c r="R609">
        <f>10*2.3</f>
        <v>23</v>
      </c>
      <c r="S609">
        <f>R609+R608</f>
        <v>101</v>
      </c>
    </row>
    <row r="610" spans="3:23">
      <c r="F610" s="540" t="s">
        <v>63</v>
      </c>
      <c r="G610" s="540"/>
      <c r="H610" s="540"/>
      <c r="I610" s="70">
        <v>6</v>
      </c>
      <c r="P610">
        <f>366-277.25+83</f>
        <v>171.75</v>
      </c>
      <c r="R610">
        <f>366-276.8</f>
        <v>89.199999999999989</v>
      </c>
    </row>
    <row r="611" spans="3:23">
      <c r="F611" s="540" t="s">
        <v>71</v>
      </c>
      <c r="G611" s="540"/>
      <c r="H611" s="540"/>
      <c r="I611" s="70">
        <v>4</v>
      </c>
      <c r="P611">
        <v>1.6</v>
      </c>
      <c r="Q611">
        <f>P611+P612</f>
        <v>619.90000000000009</v>
      </c>
      <c r="R611">
        <f>83+R610</f>
        <v>172.2</v>
      </c>
    </row>
    <row r="612" spans="3:23">
      <c r="P612">
        <f>P610*(0.6+1.6+1.4)</f>
        <v>618.30000000000007</v>
      </c>
      <c r="Q612">
        <f>Q611+P613+P614</f>
        <v>720.90000000000009</v>
      </c>
      <c r="R612">
        <f>R611*1.4</f>
        <v>241.07999999999996</v>
      </c>
      <c r="S612">
        <f>R612+R613+1.6</f>
        <v>621.52</v>
      </c>
      <c r="U612">
        <f>2.2*168</f>
        <v>369.6</v>
      </c>
    </row>
    <row r="613" spans="3:23">
      <c r="P613">
        <f>23</f>
        <v>23</v>
      </c>
      <c r="R613">
        <f>R611*(1.6+0.6)</f>
        <v>378.84000000000003</v>
      </c>
    </row>
    <row r="614" spans="3:23">
      <c r="C614" s="6">
        <v>24099</v>
      </c>
      <c r="D614" s="6"/>
      <c r="E614" s="6"/>
      <c r="F614" s="8"/>
      <c r="G614" s="8"/>
      <c r="H614" s="8"/>
      <c r="I614" s="8"/>
      <c r="J614" s="9"/>
      <c r="K614" s="8"/>
      <c r="L614" s="8"/>
      <c r="M614" s="8"/>
      <c r="N614" s="9"/>
      <c r="O614" s="9"/>
      <c r="P614" s="8">
        <f>78</f>
        <v>78</v>
      </c>
      <c r="Q614">
        <f>11*13</f>
        <v>143</v>
      </c>
      <c r="U614">
        <f>1.4*168</f>
        <v>235.2</v>
      </c>
    </row>
    <row r="615" spans="3:23">
      <c r="H615" s="541" t="s">
        <v>1</v>
      </c>
      <c r="I615" s="541"/>
    </row>
    <row r="616" spans="3:23" ht="28.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c r="F617" s="15" t="s">
        <v>11</v>
      </c>
      <c r="G617" s="16"/>
      <c r="H617" s="3"/>
      <c r="I617" s="3"/>
      <c r="K617" s="3"/>
      <c r="L617" s="3"/>
      <c r="P617" s="3"/>
    </row>
    <row r="618" spans="3:23">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c r="P623" s="3"/>
      <c r="V623">
        <f>11.5*1.6</f>
        <v>18.400000000000002</v>
      </c>
    </row>
    <row r="624" spans="3:23" ht="42.7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c r="F625" s="15" t="s">
        <v>16</v>
      </c>
      <c r="G625" s="25"/>
      <c r="N625" s="386">
        <f>135-69</f>
        <v>66</v>
      </c>
      <c r="R625" s="3"/>
    </row>
    <row r="626" spans="6:21">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c r="N629" s="46" t="s">
        <v>56</v>
      </c>
      <c r="O629" s="46"/>
      <c r="P629" s="47">
        <f>SUM(P626:P628)</f>
        <v>1.1726590909090908</v>
      </c>
      <c r="Q629" s="47">
        <f>SUM(Q626:Q628)</f>
        <v>0.78177272727272729</v>
      </c>
      <c r="R629" s="50">
        <f>SUM(R626:R628)</f>
        <v>77.395499999999998</v>
      </c>
      <c r="S629" s="50">
        <f>SUM(S626:S628)</f>
        <v>51.597000000000001</v>
      </c>
    </row>
    <row r="630" spans="6:21">
      <c r="R630" s="26"/>
    </row>
    <row r="631" spans="6:21">
      <c r="F631" s="15" t="s">
        <v>20</v>
      </c>
      <c r="G631" s="27"/>
      <c r="N631" s="387" t="s">
        <v>57</v>
      </c>
      <c r="O631" s="52"/>
      <c r="P631" s="28">
        <f>P622+P629</f>
        <v>3.5108350909090911</v>
      </c>
      <c r="Q631" s="28">
        <f>Q622+Q629</f>
        <v>3.1199487272727273</v>
      </c>
      <c r="R631" s="53">
        <f>R622+R629</f>
        <v>122.307964</v>
      </c>
      <c r="S631" s="53">
        <f>S622+S629</f>
        <v>96.509464000000008</v>
      </c>
    </row>
    <row r="633" spans="6:21">
      <c r="F633" s="542" t="s">
        <v>22</v>
      </c>
      <c r="G633" s="542"/>
      <c r="H633" s="542"/>
      <c r="I633" s="542"/>
    </row>
    <row r="634" spans="6:21" ht="15.75">
      <c r="F634" s="543" t="s">
        <v>23</v>
      </c>
      <c r="G634" s="543"/>
      <c r="H634" s="543"/>
      <c r="I634" s="29">
        <v>20</v>
      </c>
      <c r="O634" s="30"/>
    </row>
    <row r="635" spans="6:21">
      <c r="F635" s="540" t="s">
        <v>24</v>
      </c>
      <c r="G635" s="540"/>
      <c r="H635" s="540"/>
      <c r="I635" s="29">
        <f>0.7*I634/10</f>
        <v>1.4</v>
      </c>
    </row>
    <row r="636" spans="6:21">
      <c r="F636" s="540" t="s">
        <v>25</v>
      </c>
      <c r="G636" s="540"/>
      <c r="H636" s="540"/>
      <c r="I636" s="29">
        <v>2</v>
      </c>
    </row>
    <row r="637" spans="6:21">
      <c r="F637" s="540" t="s">
        <v>63</v>
      </c>
      <c r="G637" s="540"/>
      <c r="H637" s="540"/>
      <c r="I637" s="70">
        <v>6</v>
      </c>
    </row>
    <row r="638" spans="6:21">
      <c r="F638" s="540" t="s">
        <v>71</v>
      </c>
      <c r="G638" s="540"/>
      <c r="H638" s="540"/>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workbookViewId="0"/>
  </sheetViews>
  <sheetFormatPr defaultColWidth="11.59765625" defaultRowHeight="13.5" customHeight="1"/>
  <cols>
    <col min="7" max="7" width="37.59765625" customWidth="1"/>
    <col min="8" max="8" width="22.265625" customWidth="1"/>
    <col min="9" max="9" width="33.73046875" customWidth="1"/>
  </cols>
  <sheetData>
    <row r="1" spans="1:9" ht="13.5" customHeight="1">
      <c r="A1" s="153" t="s">
        <v>1940</v>
      </c>
      <c r="B1" s="153" t="s">
        <v>1941</v>
      </c>
      <c r="C1" s="153">
        <v>589408807</v>
      </c>
      <c r="D1" s="153">
        <v>1</v>
      </c>
      <c r="E1" s="153" t="s">
        <v>373</v>
      </c>
      <c r="F1" s="153" t="s">
        <v>1942</v>
      </c>
      <c r="G1" s="153" t="s">
        <v>375</v>
      </c>
      <c r="H1" s="153"/>
      <c r="I1" s="153" t="s">
        <v>1943</v>
      </c>
    </row>
    <row r="2" spans="1:9" ht="13.5" customHeight="1">
      <c r="A2" s="153" t="s">
        <v>1944</v>
      </c>
      <c r="B2" s="153" t="s">
        <v>1945</v>
      </c>
      <c r="C2" s="153">
        <v>589408810</v>
      </c>
      <c r="D2" s="153">
        <v>1</v>
      </c>
      <c r="E2" s="153" t="s">
        <v>373</v>
      </c>
      <c r="F2" s="153" t="s">
        <v>1942</v>
      </c>
      <c r="G2" s="153" t="s">
        <v>382</v>
      </c>
      <c r="H2" s="153"/>
      <c r="I2" s="153" t="s">
        <v>1943</v>
      </c>
    </row>
    <row r="3" spans="1:9" ht="13.5" customHeight="1">
      <c r="A3" s="79" t="s">
        <v>1946</v>
      </c>
      <c r="B3" s="79" t="s">
        <v>1947</v>
      </c>
      <c r="C3" s="79">
        <v>589408830</v>
      </c>
      <c r="D3" s="79">
        <v>1</v>
      </c>
      <c r="E3" s="79" t="s">
        <v>373</v>
      </c>
      <c r="F3" s="79" t="s">
        <v>1948</v>
      </c>
      <c r="G3" s="79" t="s">
        <v>389</v>
      </c>
      <c r="H3" s="79"/>
      <c r="I3" s="79"/>
    </row>
    <row r="4" spans="1:9" ht="13.5" customHeight="1">
      <c r="A4" s="79" t="s">
        <v>1949</v>
      </c>
      <c r="B4" s="79" t="s">
        <v>1950</v>
      </c>
      <c r="C4" s="79">
        <v>589408833</v>
      </c>
      <c r="D4" s="79">
        <v>1</v>
      </c>
      <c r="E4" s="79" t="s">
        <v>373</v>
      </c>
      <c r="F4" s="79" t="s">
        <v>1948</v>
      </c>
      <c r="G4" s="79" t="s">
        <v>395</v>
      </c>
      <c r="H4" s="79"/>
      <c r="I4" s="79"/>
    </row>
    <row r="5" spans="1:9" ht="13.5" customHeight="1">
      <c r="A5" s="153" t="s">
        <v>1951</v>
      </c>
      <c r="B5" s="153" t="s">
        <v>1952</v>
      </c>
      <c r="C5" s="153">
        <v>589445947</v>
      </c>
      <c r="D5" s="153">
        <v>1</v>
      </c>
      <c r="E5" s="153" t="s">
        <v>373</v>
      </c>
      <c r="F5" s="153" t="s">
        <v>1953</v>
      </c>
      <c r="G5" s="153" t="s">
        <v>375</v>
      </c>
      <c r="H5" s="153"/>
      <c r="I5" s="153" t="s">
        <v>1954</v>
      </c>
    </row>
    <row r="6" spans="1:9" ht="13.5" customHeight="1">
      <c r="A6" s="153" t="s">
        <v>1955</v>
      </c>
      <c r="B6" s="153" t="s">
        <v>1956</v>
      </c>
      <c r="C6" s="153">
        <v>589445950</v>
      </c>
      <c r="D6" s="153">
        <v>1</v>
      </c>
      <c r="E6" s="153" t="s">
        <v>373</v>
      </c>
      <c r="F6" s="153" t="s">
        <v>1953</v>
      </c>
      <c r="G6" s="153" t="s">
        <v>382</v>
      </c>
      <c r="H6" s="153"/>
      <c r="I6" s="153" t="s">
        <v>1954</v>
      </c>
    </row>
    <row r="7" spans="1:9" ht="13.5" customHeight="1">
      <c r="A7" s="79" t="s">
        <v>1957</v>
      </c>
      <c r="B7" s="79" t="s">
        <v>1958</v>
      </c>
      <c r="C7" s="79">
        <v>589445970</v>
      </c>
      <c r="D7" s="79">
        <v>1</v>
      </c>
      <c r="E7" s="79" t="s">
        <v>373</v>
      </c>
      <c r="F7" s="79" t="s">
        <v>1959</v>
      </c>
      <c r="G7" s="79" t="s">
        <v>389</v>
      </c>
      <c r="H7" s="79"/>
      <c r="I7" s="79"/>
    </row>
    <row r="8" spans="1:9" ht="13.5" customHeight="1">
      <c r="A8" s="79" t="s">
        <v>1960</v>
      </c>
      <c r="B8" s="79" t="s">
        <v>1961</v>
      </c>
      <c r="C8" s="79">
        <v>589445973</v>
      </c>
      <c r="D8" s="79">
        <v>1</v>
      </c>
      <c r="E8" s="79" t="s">
        <v>373</v>
      </c>
      <c r="F8" s="79" t="s">
        <v>1959</v>
      </c>
      <c r="G8" s="79" t="s">
        <v>395</v>
      </c>
      <c r="H8" s="79"/>
      <c r="I8" s="79"/>
    </row>
    <row r="9" spans="1:9" ht="13.5" customHeight="1">
      <c r="A9" s="79" t="s">
        <v>1962</v>
      </c>
      <c r="B9" s="79" t="s">
        <v>1963</v>
      </c>
      <c r="C9" s="79">
        <v>589456411</v>
      </c>
      <c r="D9" s="79">
        <v>1</v>
      </c>
      <c r="E9" s="79" t="s">
        <v>373</v>
      </c>
      <c r="F9" s="79" t="s">
        <v>1964</v>
      </c>
      <c r="G9" s="79" t="s">
        <v>375</v>
      </c>
      <c r="H9" s="79"/>
      <c r="I9" s="79" t="s">
        <v>1965</v>
      </c>
    </row>
    <row r="10" spans="1:9" ht="13.5" customHeight="1">
      <c r="A10" s="79" t="s">
        <v>1966</v>
      </c>
      <c r="B10" s="79" t="s">
        <v>1967</v>
      </c>
      <c r="C10" s="79">
        <v>589456414</v>
      </c>
      <c r="D10" s="79">
        <v>1</v>
      </c>
      <c r="E10" s="79" t="s">
        <v>373</v>
      </c>
      <c r="F10" s="79" t="s">
        <v>1964</v>
      </c>
      <c r="G10" s="79" t="s">
        <v>375</v>
      </c>
      <c r="H10" s="79"/>
      <c r="I10" s="79" t="s">
        <v>1965</v>
      </c>
    </row>
    <row r="11" spans="1:9" ht="13.5" customHeight="1">
      <c r="A11" s="79" t="s">
        <v>1968</v>
      </c>
      <c r="B11" s="79" t="s">
        <v>1969</v>
      </c>
      <c r="C11" s="79">
        <v>589456465</v>
      </c>
      <c r="D11" s="79">
        <v>1</v>
      </c>
      <c r="E11" s="79" t="s">
        <v>373</v>
      </c>
      <c r="F11" s="79" t="s">
        <v>1964</v>
      </c>
      <c r="G11" s="79" t="s">
        <v>382</v>
      </c>
      <c r="H11" s="79"/>
      <c r="I11" s="79" t="s">
        <v>1965</v>
      </c>
    </row>
    <row r="12" spans="1:9" ht="13.5" customHeight="1">
      <c r="A12" s="79" t="s">
        <v>1970</v>
      </c>
      <c r="B12" s="79" t="s">
        <v>1971</v>
      </c>
      <c r="C12" s="79">
        <v>589456468</v>
      </c>
      <c r="D12" s="79">
        <v>1</v>
      </c>
      <c r="E12" s="79" t="s">
        <v>373</v>
      </c>
      <c r="F12" s="79" t="s">
        <v>1964</v>
      </c>
      <c r="G12" s="79" t="s">
        <v>382</v>
      </c>
      <c r="H12" s="79"/>
      <c r="I12" s="79" t="s">
        <v>1965</v>
      </c>
    </row>
    <row r="13" spans="1:9" ht="13.5" customHeight="1">
      <c r="A13" s="79" t="s">
        <v>1972</v>
      </c>
      <c r="B13" s="79" t="s">
        <v>1973</v>
      </c>
      <c r="C13" s="79">
        <v>589456579</v>
      </c>
      <c r="D13" s="79">
        <v>1</v>
      </c>
      <c r="E13" s="79" t="s">
        <v>373</v>
      </c>
      <c r="F13" s="79" t="s">
        <v>1964</v>
      </c>
      <c r="G13" s="79" t="s">
        <v>389</v>
      </c>
      <c r="H13" s="79"/>
      <c r="I13" s="79" t="s">
        <v>1965</v>
      </c>
    </row>
    <row r="14" spans="1:9" ht="13.5" customHeight="1">
      <c r="A14" s="79" t="s">
        <v>1974</v>
      </c>
      <c r="B14" s="79" t="s">
        <v>1975</v>
      </c>
      <c r="C14" s="79">
        <v>589456582</v>
      </c>
      <c r="D14" s="79">
        <v>1</v>
      </c>
      <c r="E14" s="79" t="s">
        <v>373</v>
      </c>
      <c r="F14" s="79" t="s">
        <v>1964</v>
      </c>
      <c r="G14" s="79" t="s">
        <v>389</v>
      </c>
      <c r="H14" s="79"/>
      <c r="I14" s="79" t="s">
        <v>1965</v>
      </c>
    </row>
    <row r="15" spans="1:9" ht="14.25">
      <c r="A15" s="79" t="s">
        <v>1976</v>
      </c>
      <c r="B15" s="79" t="s">
        <v>1977</v>
      </c>
      <c r="C15" s="79">
        <v>589456585</v>
      </c>
      <c r="D15" s="79">
        <v>1</v>
      </c>
      <c r="E15" s="79" t="s">
        <v>373</v>
      </c>
      <c r="F15" s="79" t="s">
        <v>1964</v>
      </c>
      <c r="G15" s="79" t="s">
        <v>395</v>
      </c>
      <c r="H15" s="79"/>
      <c r="I15" s="79" t="s">
        <v>1965</v>
      </c>
    </row>
    <row r="16" spans="1:9" ht="14.25">
      <c r="A16" s="79" t="s">
        <v>1978</v>
      </c>
      <c r="B16" s="79" t="s">
        <v>1979</v>
      </c>
      <c r="C16" s="79">
        <v>589456588</v>
      </c>
      <c r="D16" s="79">
        <v>1</v>
      </c>
      <c r="E16" s="79" t="s">
        <v>373</v>
      </c>
      <c r="F16" s="79" t="s">
        <v>1964</v>
      </c>
      <c r="G16" s="79" t="s">
        <v>395</v>
      </c>
      <c r="H16" s="79"/>
      <c r="I16" s="79" t="s">
        <v>1965</v>
      </c>
    </row>
    <row r="17" spans="1:9" ht="14.25">
      <c r="A17" s="153" t="s">
        <v>1980</v>
      </c>
      <c r="B17" s="153" t="s">
        <v>1981</v>
      </c>
      <c r="C17" s="153">
        <v>589505647</v>
      </c>
      <c r="D17" s="153">
        <v>1</v>
      </c>
      <c r="E17" s="153" t="s">
        <v>373</v>
      </c>
      <c r="F17" s="153" t="s">
        <v>1982</v>
      </c>
      <c r="G17" s="153" t="s">
        <v>375</v>
      </c>
      <c r="H17" s="153"/>
      <c r="I17" s="153" t="s">
        <v>1983</v>
      </c>
    </row>
    <row r="18" spans="1:9" ht="14.25">
      <c r="A18" s="153" t="s">
        <v>1984</v>
      </c>
      <c r="B18" s="153" t="s">
        <v>1985</v>
      </c>
      <c r="C18" s="153">
        <v>589505650</v>
      </c>
      <c r="D18" s="153">
        <v>1</v>
      </c>
      <c r="E18" s="153" t="s">
        <v>373</v>
      </c>
      <c r="F18" s="153" t="s">
        <v>1982</v>
      </c>
      <c r="G18" s="153" t="s">
        <v>382</v>
      </c>
      <c r="H18" s="153"/>
      <c r="I18" s="153" t="s">
        <v>1983</v>
      </c>
    </row>
    <row r="19" spans="1:9" ht="14.25">
      <c r="A19" s="79" t="s">
        <v>1986</v>
      </c>
      <c r="B19" s="79" t="s">
        <v>1987</v>
      </c>
      <c r="C19" s="79">
        <v>589505670</v>
      </c>
      <c r="D19" s="79">
        <v>1</v>
      </c>
      <c r="E19" s="79" t="s">
        <v>373</v>
      </c>
      <c r="F19" s="79" t="s">
        <v>1988</v>
      </c>
      <c r="G19" s="79" t="s">
        <v>389</v>
      </c>
      <c r="H19" s="79"/>
      <c r="I19" s="79"/>
    </row>
    <row r="20" spans="1:9" ht="14.25">
      <c r="A20" s="79" t="s">
        <v>1989</v>
      </c>
      <c r="B20" s="79" t="s">
        <v>1990</v>
      </c>
      <c r="C20" s="79">
        <v>589505673</v>
      </c>
      <c r="D20" s="79">
        <v>1</v>
      </c>
      <c r="E20" s="79" t="s">
        <v>373</v>
      </c>
      <c r="F20" s="79" t="s">
        <v>1988</v>
      </c>
      <c r="G20" s="79" t="s">
        <v>395</v>
      </c>
      <c r="H20" s="79"/>
      <c r="I20" s="79"/>
    </row>
    <row r="21" spans="1:9" ht="14.25">
      <c r="A21" s="153" t="s">
        <v>1991</v>
      </c>
      <c r="B21" s="153" t="s">
        <v>1992</v>
      </c>
      <c r="C21" s="153">
        <v>589584847</v>
      </c>
      <c r="D21" s="153">
        <v>1</v>
      </c>
      <c r="E21" s="153" t="s">
        <v>373</v>
      </c>
      <c r="F21" s="153" t="s">
        <v>1993</v>
      </c>
      <c r="G21" s="153" t="s">
        <v>375</v>
      </c>
      <c r="H21" s="153"/>
      <c r="I21" s="153" t="s">
        <v>727</v>
      </c>
    </row>
    <row r="22" spans="1:9" ht="14.25">
      <c r="A22" s="153" t="s">
        <v>1994</v>
      </c>
      <c r="B22" s="153" t="s">
        <v>1995</v>
      </c>
      <c r="C22" s="153">
        <v>589584850</v>
      </c>
      <c r="D22" s="153">
        <v>1</v>
      </c>
      <c r="E22" s="153" t="s">
        <v>373</v>
      </c>
      <c r="F22" s="153" t="s">
        <v>1993</v>
      </c>
      <c r="G22" s="153" t="s">
        <v>382</v>
      </c>
      <c r="H22" s="153"/>
      <c r="I22" s="153" t="s">
        <v>727</v>
      </c>
    </row>
    <row r="23" spans="1:9" ht="14.25">
      <c r="A23" s="79" t="s">
        <v>1996</v>
      </c>
      <c r="B23" s="79" t="s">
        <v>1997</v>
      </c>
      <c r="C23" s="79">
        <v>589584870</v>
      </c>
      <c r="D23" s="79">
        <v>1</v>
      </c>
      <c r="E23" s="79" t="s">
        <v>373</v>
      </c>
      <c r="F23" s="79" t="s">
        <v>1998</v>
      </c>
      <c r="G23" s="79" t="s">
        <v>389</v>
      </c>
      <c r="H23" s="79"/>
      <c r="I23" s="79"/>
    </row>
    <row r="24" spans="1:9" ht="14.25">
      <c r="A24" s="79" t="s">
        <v>1999</v>
      </c>
      <c r="B24" s="79" t="s">
        <v>2000</v>
      </c>
      <c r="C24" s="79">
        <v>589584873</v>
      </c>
      <c r="D24" s="79">
        <v>1</v>
      </c>
      <c r="E24" s="79" t="s">
        <v>373</v>
      </c>
      <c r="F24" s="79" t="s">
        <v>1998</v>
      </c>
      <c r="G24" s="79" t="s">
        <v>395</v>
      </c>
      <c r="H24" s="79"/>
      <c r="I24" s="79"/>
    </row>
    <row r="25" spans="1:9" ht="14.25">
      <c r="A25" s="153" t="s">
        <v>2001</v>
      </c>
      <c r="B25" s="153" t="s">
        <v>2002</v>
      </c>
      <c r="C25" s="153">
        <v>589672147</v>
      </c>
      <c r="D25" s="153">
        <v>1</v>
      </c>
      <c r="E25" s="153" t="s">
        <v>373</v>
      </c>
      <c r="F25" s="153" t="s">
        <v>2003</v>
      </c>
      <c r="G25" s="153" t="s">
        <v>375</v>
      </c>
      <c r="H25" s="153"/>
      <c r="I25" s="153" t="s">
        <v>2004</v>
      </c>
    </row>
    <row r="26" spans="1:9" ht="14.25">
      <c r="A26" s="153" t="s">
        <v>2005</v>
      </c>
      <c r="B26" s="153" t="s">
        <v>2006</v>
      </c>
      <c r="C26" s="153">
        <v>589672150</v>
      </c>
      <c r="D26" s="153">
        <v>1</v>
      </c>
      <c r="E26" s="153" t="s">
        <v>373</v>
      </c>
      <c r="F26" s="153" t="s">
        <v>2003</v>
      </c>
      <c r="G26" s="153" t="s">
        <v>382</v>
      </c>
      <c r="H26" s="153"/>
      <c r="I26" s="153" t="s">
        <v>2004</v>
      </c>
    </row>
    <row r="27" spans="1:9" ht="14.25">
      <c r="A27" s="79" t="s">
        <v>2007</v>
      </c>
      <c r="B27" s="79" t="s">
        <v>2008</v>
      </c>
      <c r="C27" s="79">
        <v>589672170</v>
      </c>
      <c r="D27" s="79">
        <v>1</v>
      </c>
      <c r="E27" s="79" t="s">
        <v>373</v>
      </c>
      <c r="F27" s="79" t="s">
        <v>1034</v>
      </c>
      <c r="G27" s="79" t="s">
        <v>389</v>
      </c>
      <c r="H27" s="79"/>
      <c r="I27" s="79"/>
    </row>
    <row r="28" spans="1:9" ht="14.25">
      <c r="A28" s="79" t="s">
        <v>2009</v>
      </c>
      <c r="B28" s="79" t="s">
        <v>2010</v>
      </c>
      <c r="C28" s="79">
        <v>589672173</v>
      </c>
      <c r="D28" s="79">
        <v>1</v>
      </c>
      <c r="E28" s="79" t="s">
        <v>373</v>
      </c>
      <c r="F28" s="79" t="s">
        <v>1034</v>
      </c>
      <c r="G28" s="79" t="s">
        <v>395</v>
      </c>
      <c r="H28" s="79"/>
      <c r="I28" s="79"/>
    </row>
    <row r="29" spans="1:9" ht="14.25">
      <c r="A29" s="153" t="s">
        <v>2011</v>
      </c>
      <c r="B29" s="153" t="s">
        <v>2012</v>
      </c>
      <c r="C29" s="153">
        <v>589762387</v>
      </c>
      <c r="D29" s="153">
        <v>1</v>
      </c>
      <c r="E29" s="153" t="s">
        <v>373</v>
      </c>
      <c r="F29" s="153" t="s">
        <v>2013</v>
      </c>
      <c r="G29" s="153" t="s">
        <v>375</v>
      </c>
      <c r="H29" s="153"/>
      <c r="I29" s="153" t="s">
        <v>2014</v>
      </c>
    </row>
    <row r="30" spans="1:9" ht="14.25">
      <c r="A30" s="153" t="s">
        <v>2015</v>
      </c>
      <c r="B30" s="153" t="s">
        <v>2016</v>
      </c>
      <c r="C30" s="153">
        <v>589762390</v>
      </c>
      <c r="D30" s="153">
        <v>1</v>
      </c>
      <c r="E30" s="153" t="s">
        <v>373</v>
      </c>
      <c r="F30" s="153" t="s">
        <v>2013</v>
      </c>
      <c r="G30" s="153" t="s">
        <v>382</v>
      </c>
      <c r="H30" s="153"/>
      <c r="I30" s="153" t="s">
        <v>2014</v>
      </c>
    </row>
    <row r="31" spans="1:9" ht="14.25">
      <c r="A31" s="79" t="s">
        <v>2017</v>
      </c>
      <c r="B31" s="79" t="s">
        <v>2018</v>
      </c>
      <c r="C31" s="79">
        <v>589762410</v>
      </c>
      <c r="D31" s="79">
        <v>1</v>
      </c>
      <c r="E31" s="79" t="s">
        <v>373</v>
      </c>
      <c r="F31" s="79" t="s">
        <v>2019</v>
      </c>
      <c r="G31" s="79" t="s">
        <v>389</v>
      </c>
      <c r="H31" s="79"/>
      <c r="I31" s="79"/>
    </row>
    <row r="32" spans="1:9" ht="14.25">
      <c r="A32" s="79" t="s">
        <v>2020</v>
      </c>
      <c r="B32" s="79" t="s">
        <v>2021</v>
      </c>
      <c r="C32" s="79">
        <v>589762413</v>
      </c>
      <c r="D32" s="79">
        <v>1</v>
      </c>
      <c r="E32" s="79" t="s">
        <v>373</v>
      </c>
      <c r="F32" s="79" t="s">
        <v>2019</v>
      </c>
      <c r="G32" s="79" t="s">
        <v>395</v>
      </c>
      <c r="H32" s="79"/>
      <c r="I32" s="79"/>
    </row>
    <row r="33" spans="1:9" ht="14.25">
      <c r="A33" s="153" t="s">
        <v>2022</v>
      </c>
      <c r="B33" s="153" t="s">
        <v>2023</v>
      </c>
      <c r="C33" s="153">
        <v>589844827</v>
      </c>
      <c r="D33" s="153">
        <v>1</v>
      </c>
      <c r="E33" s="153" t="s">
        <v>373</v>
      </c>
      <c r="F33" s="153" t="s">
        <v>2024</v>
      </c>
      <c r="G33" s="153" t="s">
        <v>375</v>
      </c>
      <c r="H33" s="153"/>
      <c r="I33" s="153" t="s">
        <v>2025</v>
      </c>
    </row>
    <row r="34" spans="1:9" ht="14.25">
      <c r="A34" s="153" t="s">
        <v>2026</v>
      </c>
      <c r="B34" s="153" t="s">
        <v>2027</v>
      </c>
      <c r="C34" s="153">
        <v>589844830</v>
      </c>
      <c r="D34" s="153">
        <v>1</v>
      </c>
      <c r="E34" s="153" t="s">
        <v>373</v>
      </c>
      <c r="F34" s="153" t="s">
        <v>2024</v>
      </c>
      <c r="G34" s="153" t="s">
        <v>382</v>
      </c>
      <c r="H34" s="153"/>
      <c r="I34" s="153" t="s">
        <v>2025</v>
      </c>
    </row>
    <row r="35" spans="1:9" ht="14.25">
      <c r="A35" s="79" t="s">
        <v>2028</v>
      </c>
      <c r="B35" s="79" t="s">
        <v>2029</v>
      </c>
      <c r="C35" s="79">
        <v>589844850</v>
      </c>
      <c r="D35" s="79">
        <v>1</v>
      </c>
      <c r="E35" s="79" t="s">
        <v>373</v>
      </c>
      <c r="F35" s="79" t="s">
        <v>2030</v>
      </c>
      <c r="G35" s="79" t="s">
        <v>389</v>
      </c>
      <c r="H35" s="79"/>
      <c r="I35" s="79"/>
    </row>
    <row r="36" spans="1:9" ht="14.25">
      <c r="A36" s="79" t="s">
        <v>2031</v>
      </c>
      <c r="B36" s="79" t="s">
        <v>2032</v>
      </c>
      <c r="C36" s="79">
        <v>589844853</v>
      </c>
      <c r="D36" s="79">
        <v>1</v>
      </c>
      <c r="E36" s="79" t="s">
        <v>373</v>
      </c>
      <c r="F36" s="79" t="s">
        <v>2030</v>
      </c>
      <c r="G36" s="79" t="s">
        <v>395</v>
      </c>
      <c r="H36" s="79"/>
      <c r="I36" s="79"/>
    </row>
    <row r="37" spans="1:9" ht="14.25">
      <c r="A37" s="153" t="s">
        <v>2033</v>
      </c>
      <c r="B37" s="153" t="s">
        <v>2034</v>
      </c>
      <c r="C37" s="153">
        <v>589882387</v>
      </c>
      <c r="D37" s="153">
        <v>1</v>
      </c>
      <c r="E37" s="153" t="s">
        <v>373</v>
      </c>
      <c r="F37" s="153" t="s">
        <v>2035</v>
      </c>
      <c r="G37" s="153" t="s">
        <v>375</v>
      </c>
      <c r="H37" s="153"/>
      <c r="I37" s="153" t="s">
        <v>731</v>
      </c>
    </row>
    <row r="38" spans="1:9" ht="14.25">
      <c r="A38" s="153" t="s">
        <v>2036</v>
      </c>
      <c r="B38" s="153" t="s">
        <v>2037</v>
      </c>
      <c r="C38" s="153">
        <v>589882390</v>
      </c>
      <c r="D38" s="153">
        <v>1</v>
      </c>
      <c r="E38" s="153" t="s">
        <v>373</v>
      </c>
      <c r="F38" s="153" t="s">
        <v>2035</v>
      </c>
      <c r="G38" s="153" t="s">
        <v>382</v>
      </c>
      <c r="H38" s="153"/>
      <c r="I38" s="153" t="s">
        <v>731</v>
      </c>
    </row>
    <row r="39" spans="1:9" ht="14.25">
      <c r="A39" s="79" t="s">
        <v>2038</v>
      </c>
      <c r="B39" s="79" t="s">
        <v>2039</v>
      </c>
      <c r="C39" s="79">
        <v>589882410</v>
      </c>
      <c r="D39" s="79">
        <v>1</v>
      </c>
      <c r="E39" s="79" t="s">
        <v>373</v>
      </c>
      <c r="F39" s="79" t="s">
        <v>1000</v>
      </c>
      <c r="G39" s="79" t="s">
        <v>389</v>
      </c>
      <c r="H39" s="79"/>
      <c r="I39" s="79"/>
    </row>
    <row r="40" spans="1:9" ht="14.25">
      <c r="A40" s="79" t="s">
        <v>2040</v>
      </c>
      <c r="B40" s="79" t="s">
        <v>2041</v>
      </c>
      <c r="C40" s="79">
        <v>589882413</v>
      </c>
      <c r="D40" s="79">
        <v>1</v>
      </c>
      <c r="E40" s="79" t="s">
        <v>373</v>
      </c>
      <c r="F40" s="79" t="s">
        <v>1000</v>
      </c>
      <c r="G40" s="79" t="s">
        <v>395</v>
      </c>
      <c r="H40" s="79"/>
      <c r="I40" s="79"/>
    </row>
    <row r="41" spans="1:9" ht="14.25">
      <c r="A41" s="153" t="s">
        <v>2042</v>
      </c>
      <c r="B41" s="153" t="s">
        <v>2043</v>
      </c>
      <c r="C41" s="153">
        <v>589937887</v>
      </c>
      <c r="D41" s="153">
        <v>1</v>
      </c>
      <c r="E41" s="153" t="s">
        <v>373</v>
      </c>
      <c r="F41" s="153" t="s">
        <v>2044</v>
      </c>
      <c r="G41" s="153" t="s">
        <v>375</v>
      </c>
      <c r="H41" s="153"/>
      <c r="I41" s="153" t="s">
        <v>2045</v>
      </c>
    </row>
    <row r="42" spans="1:9" ht="14.25">
      <c r="A42" s="153" t="s">
        <v>2046</v>
      </c>
      <c r="B42" s="153" t="s">
        <v>2047</v>
      </c>
      <c r="C42" s="153">
        <v>589937890</v>
      </c>
      <c r="D42" s="153">
        <v>1</v>
      </c>
      <c r="E42" s="153" t="s">
        <v>373</v>
      </c>
      <c r="F42" s="153" t="s">
        <v>2044</v>
      </c>
      <c r="G42" s="153" t="s">
        <v>382</v>
      </c>
      <c r="H42" s="153"/>
      <c r="I42" s="153" t="s">
        <v>2045</v>
      </c>
    </row>
    <row r="43" spans="1:9" ht="14.25">
      <c r="A43" s="79" t="s">
        <v>2048</v>
      </c>
      <c r="B43" s="79" t="s">
        <v>2049</v>
      </c>
      <c r="C43" s="79">
        <v>589937910</v>
      </c>
      <c r="D43" s="79">
        <v>1</v>
      </c>
      <c r="E43" s="79" t="s">
        <v>373</v>
      </c>
      <c r="F43" s="79" t="s">
        <v>2050</v>
      </c>
      <c r="G43" s="79" t="s">
        <v>389</v>
      </c>
      <c r="H43" s="79"/>
      <c r="I43" s="79"/>
    </row>
    <row r="44" spans="1:9" ht="14.25">
      <c r="A44" s="79" t="s">
        <v>2051</v>
      </c>
      <c r="B44" s="79" t="s">
        <v>2052</v>
      </c>
      <c r="C44" s="79">
        <v>589937913</v>
      </c>
      <c r="D44" s="79">
        <v>1</v>
      </c>
      <c r="E44" s="79" t="s">
        <v>373</v>
      </c>
      <c r="F44" s="79" t="s">
        <v>2050</v>
      </c>
      <c r="G44" s="79" t="s">
        <v>395</v>
      </c>
      <c r="H44" s="79"/>
      <c r="I44" s="79"/>
    </row>
    <row r="45" spans="1:9" ht="14.25">
      <c r="A45" s="153" t="s">
        <v>2053</v>
      </c>
      <c r="B45" s="153" t="s">
        <v>2054</v>
      </c>
      <c r="C45" s="153">
        <v>590020087</v>
      </c>
      <c r="D45" s="153">
        <v>1</v>
      </c>
      <c r="E45" s="153" t="s">
        <v>373</v>
      </c>
      <c r="F45" s="153" t="s">
        <v>2055</v>
      </c>
      <c r="G45" s="153" t="s">
        <v>375</v>
      </c>
      <c r="H45" s="153"/>
      <c r="I45" s="153" t="s">
        <v>2056</v>
      </c>
    </row>
    <row r="46" spans="1:9" ht="14.25">
      <c r="A46" s="153" t="s">
        <v>2057</v>
      </c>
      <c r="B46" s="153" t="s">
        <v>2058</v>
      </c>
      <c r="C46" s="153">
        <v>590020090</v>
      </c>
      <c r="D46" s="153">
        <v>1</v>
      </c>
      <c r="E46" s="153" t="s">
        <v>373</v>
      </c>
      <c r="F46" s="153" t="s">
        <v>2055</v>
      </c>
      <c r="G46" s="153" t="s">
        <v>382</v>
      </c>
      <c r="H46" s="153"/>
      <c r="I46" s="153" t="s">
        <v>2056</v>
      </c>
    </row>
    <row r="47" spans="1:9" ht="14.25">
      <c r="A47" s="79" t="s">
        <v>2059</v>
      </c>
      <c r="B47" s="79" t="s">
        <v>2060</v>
      </c>
      <c r="C47" s="79">
        <v>590020110</v>
      </c>
      <c r="D47" s="79">
        <v>1</v>
      </c>
      <c r="E47" s="79" t="s">
        <v>373</v>
      </c>
      <c r="F47" s="79" t="s">
        <v>2061</v>
      </c>
      <c r="G47" s="79" t="s">
        <v>389</v>
      </c>
      <c r="H47" s="79"/>
      <c r="I47" s="79"/>
    </row>
    <row r="48" spans="1:9" ht="14.25">
      <c r="A48" s="79" t="s">
        <v>2062</v>
      </c>
      <c r="B48" s="79" t="s">
        <v>2063</v>
      </c>
      <c r="C48" s="79">
        <v>590020113</v>
      </c>
      <c r="D48" s="79">
        <v>1</v>
      </c>
      <c r="E48" s="79" t="s">
        <v>373</v>
      </c>
      <c r="F48" s="79" t="s">
        <v>2061</v>
      </c>
      <c r="G48" s="79" t="s">
        <v>395</v>
      </c>
      <c r="H48" s="79"/>
      <c r="I48" s="79"/>
    </row>
    <row r="49" spans="1:9" ht="14.25">
      <c r="A49" s="153" t="s">
        <v>2064</v>
      </c>
      <c r="B49" s="153" t="s">
        <v>2065</v>
      </c>
      <c r="C49" s="153">
        <v>590052787</v>
      </c>
      <c r="D49" s="153">
        <v>1</v>
      </c>
      <c r="E49" s="153" t="s">
        <v>373</v>
      </c>
      <c r="F49" s="153" t="s">
        <v>2066</v>
      </c>
      <c r="G49" s="153" t="s">
        <v>375</v>
      </c>
      <c r="H49" s="153"/>
      <c r="I49" s="153" t="s">
        <v>735</v>
      </c>
    </row>
    <row r="50" spans="1:9" ht="14.25">
      <c r="A50" s="153" t="s">
        <v>2067</v>
      </c>
      <c r="B50" s="153" t="s">
        <v>2068</v>
      </c>
      <c r="C50" s="153">
        <v>590052790</v>
      </c>
      <c r="D50" s="153">
        <v>1</v>
      </c>
      <c r="E50" s="153" t="s">
        <v>373</v>
      </c>
      <c r="F50" s="153" t="s">
        <v>2066</v>
      </c>
      <c r="G50" s="153" t="s">
        <v>382</v>
      </c>
      <c r="H50" s="153"/>
      <c r="I50" s="153" t="s">
        <v>735</v>
      </c>
    </row>
    <row r="51" spans="1:9" ht="14.25">
      <c r="A51" s="79" t="s">
        <v>2069</v>
      </c>
      <c r="B51" s="79" t="s">
        <v>2070</v>
      </c>
      <c r="C51" s="79">
        <v>590052810</v>
      </c>
      <c r="D51" s="79">
        <v>1</v>
      </c>
      <c r="E51" s="79" t="s">
        <v>373</v>
      </c>
      <c r="F51" s="79" t="s">
        <v>2071</v>
      </c>
      <c r="G51" s="79" t="s">
        <v>389</v>
      </c>
      <c r="H51" s="79"/>
      <c r="I51" s="79"/>
    </row>
    <row r="52" spans="1:9" ht="14.25">
      <c r="A52" s="79" t="s">
        <v>2072</v>
      </c>
      <c r="B52" s="79" t="s">
        <v>2073</v>
      </c>
      <c r="C52" s="79">
        <v>590052813</v>
      </c>
      <c r="D52" s="79">
        <v>1</v>
      </c>
      <c r="E52" s="79" t="s">
        <v>373</v>
      </c>
      <c r="F52" s="79" t="s">
        <v>2071</v>
      </c>
      <c r="G52" s="79" t="s">
        <v>395</v>
      </c>
      <c r="H52" s="79"/>
      <c r="I52" s="79"/>
    </row>
    <row r="53" spans="1:9" ht="14.25">
      <c r="A53" s="153" t="s">
        <v>2074</v>
      </c>
      <c r="B53" s="153" t="s">
        <v>2075</v>
      </c>
      <c r="C53" s="153">
        <v>590107687</v>
      </c>
      <c r="D53" s="153">
        <v>1</v>
      </c>
      <c r="E53" s="153" t="s">
        <v>373</v>
      </c>
      <c r="F53" s="153" t="s">
        <v>2076</v>
      </c>
      <c r="G53" s="153" t="s">
        <v>375</v>
      </c>
      <c r="H53" s="153"/>
      <c r="I53" s="153" t="s">
        <v>2077</v>
      </c>
    </row>
    <row r="54" spans="1:9" ht="14.25">
      <c r="A54" s="153" t="s">
        <v>2078</v>
      </c>
      <c r="B54" s="153" t="s">
        <v>2079</v>
      </c>
      <c r="C54" s="153">
        <v>590107690</v>
      </c>
      <c r="D54" s="153">
        <v>1</v>
      </c>
      <c r="E54" s="153" t="s">
        <v>373</v>
      </c>
      <c r="F54" s="153" t="s">
        <v>2076</v>
      </c>
      <c r="G54" s="153" t="s">
        <v>382</v>
      </c>
      <c r="H54" s="153"/>
      <c r="I54" s="153" t="s">
        <v>2077</v>
      </c>
    </row>
    <row r="55" spans="1:9" ht="14.25">
      <c r="A55" s="79" t="s">
        <v>2080</v>
      </c>
      <c r="B55" s="79" t="s">
        <v>2081</v>
      </c>
      <c r="C55" s="79">
        <v>590107710</v>
      </c>
      <c r="D55" s="79">
        <v>1</v>
      </c>
      <c r="E55" s="79" t="s">
        <v>373</v>
      </c>
      <c r="F55" s="79" t="s">
        <v>2082</v>
      </c>
      <c r="G55" s="79" t="s">
        <v>389</v>
      </c>
      <c r="H55" s="79"/>
      <c r="I55" s="79"/>
    </row>
    <row r="56" spans="1:9" ht="14.25">
      <c r="A56" s="79" t="s">
        <v>2083</v>
      </c>
      <c r="B56" s="79" t="s">
        <v>2084</v>
      </c>
      <c r="C56" s="79">
        <v>590107713</v>
      </c>
      <c r="D56" s="79">
        <v>1</v>
      </c>
      <c r="E56" s="79" t="s">
        <v>373</v>
      </c>
      <c r="F56" s="79" t="s">
        <v>2082</v>
      </c>
      <c r="G56" s="79" t="s">
        <v>395</v>
      </c>
      <c r="H56" s="79"/>
      <c r="I56" s="79"/>
    </row>
    <row r="57" spans="1:9" ht="14.25">
      <c r="A57" s="153" t="s">
        <v>2085</v>
      </c>
      <c r="B57" s="153" t="s">
        <v>2086</v>
      </c>
      <c r="C57" s="153">
        <v>590138707</v>
      </c>
      <c r="D57" s="153">
        <v>1</v>
      </c>
      <c r="E57" s="153" t="s">
        <v>373</v>
      </c>
      <c r="F57" s="153" t="s">
        <v>2087</v>
      </c>
      <c r="G57" s="153" t="s">
        <v>375</v>
      </c>
      <c r="H57" s="153"/>
      <c r="I57" s="153" t="s">
        <v>739</v>
      </c>
    </row>
    <row r="58" spans="1:9" ht="14.25">
      <c r="A58" s="153" t="s">
        <v>2088</v>
      </c>
      <c r="B58" s="153" t="s">
        <v>2089</v>
      </c>
      <c r="C58" s="153">
        <v>590138710</v>
      </c>
      <c r="D58" s="153">
        <v>1</v>
      </c>
      <c r="E58" s="153" t="s">
        <v>373</v>
      </c>
      <c r="F58" s="153" t="s">
        <v>2087</v>
      </c>
      <c r="G58" s="153" t="s">
        <v>382</v>
      </c>
      <c r="H58" s="153"/>
      <c r="I58" s="153" t="s">
        <v>739</v>
      </c>
    </row>
    <row r="59" spans="1:9" ht="14.25">
      <c r="A59" s="79" t="s">
        <v>2090</v>
      </c>
      <c r="B59" s="79" t="s">
        <v>2091</v>
      </c>
      <c r="C59" s="79">
        <v>590138730</v>
      </c>
      <c r="D59" s="79">
        <v>1</v>
      </c>
      <c r="E59" s="79" t="s">
        <v>373</v>
      </c>
      <c r="F59" s="79" t="s">
        <v>2092</v>
      </c>
      <c r="G59" s="79" t="s">
        <v>389</v>
      </c>
      <c r="H59" s="79"/>
      <c r="I59" s="79"/>
    </row>
    <row r="60" spans="1:9" ht="14.25">
      <c r="A60" s="79" t="s">
        <v>2093</v>
      </c>
      <c r="B60" s="79" t="s">
        <v>2094</v>
      </c>
      <c r="C60" s="79">
        <v>590138733</v>
      </c>
      <c r="D60" s="79">
        <v>1</v>
      </c>
      <c r="E60" s="79" t="s">
        <v>373</v>
      </c>
      <c r="F60" s="79" t="s">
        <v>2092</v>
      </c>
      <c r="G60" s="79" t="s">
        <v>395</v>
      </c>
      <c r="H60" s="79"/>
      <c r="I60" s="79"/>
    </row>
    <row r="61" spans="1:9" ht="14.25">
      <c r="A61" s="81" t="s">
        <v>2095</v>
      </c>
      <c r="B61" s="81" t="s">
        <v>2096</v>
      </c>
      <c r="C61" s="81">
        <v>590206916</v>
      </c>
      <c r="D61" s="81">
        <v>0</v>
      </c>
      <c r="E61" s="81" t="s">
        <v>1124</v>
      </c>
      <c r="F61" s="81" t="s">
        <v>2097</v>
      </c>
      <c r="G61" s="81" t="s">
        <v>2098</v>
      </c>
      <c r="H61" s="81"/>
      <c r="I61" s="81" t="s">
        <v>2099</v>
      </c>
    </row>
    <row r="62" spans="1:9" ht="14.25">
      <c r="A62" s="79" t="s">
        <v>2095</v>
      </c>
      <c r="B62" s="79" t="s">
        <v>2096</v>
      </c>
      <c r="C62" s="79">
        <v>590206916</v>
      </c>
      <c r="D62" s="79">
        <v>0</v>
      </c>
      <c r="E62" s="79" t="s">
        <v>1124</v>
      </c>
      <c r="F62" s="79" t="s">
        <v>2100</v>
      </c>
      <c r="G62" s="79" t="s">
        <v>2101</v>
      </c>
      <c r="H62" s="79"/>
      <c r="I62" s="79"/>
    </row>
    <row r="63" spans="1:9" ht="14.25">
      <c r="A63" s="79" t="s">
        <v>2095</v>
      </c>
      <c r="B63" s="79" t="s">
        <v>2096</v>
      </c>
      <c r="C63" s="79">
        <v>590206916</v>
      </c>
      <c r="D63" s="79">
        <v>0</v>
      </c>
      <c r="E63" s="79" t="s">
        <v>1124</v>
      </c>
      <c r="F63" s="79" t="s">
        <v>2100</v>
      </c>
      <c r="G63" s="79" t="s">
        <v>2102</v>
      </c>
      <c r="H63" s="79"/>
      <c r="I63" s="79"/>
    </row>
    <row r="64" spans="1:9" ht="14.25">
      <c r="A64" s="79" t="s">
        <v>2103</v>
      </c>
      <c r="B64" s="79" t="s">
        <v>2104</v>
      </c>
      <c r="C64" s="79">
        <v>590206917</v>
      </c>
      <c r="D64" s="79">
        <v>0</v>
      </c>
      <c r="E64" s="79" t="s">
        <v>1124</v>
      </c>
      <c r="F64" s="79" t="s">
        <v>2100</v>
      </c>
      <c r="G64" s="79" t="s">
        <v>2105</v>
      </c>
      <c r="H64" s="79"/>
      <c r="I64" s="79"/>
    </row>
    <row r="65" spans="1:9" ht="14.25">
      <c r="A65" s="79" t="s">
        <v>2103</v>
      </c>
      <c r="B65" s="79" t="s">
        <v>2104</v>
      </c>
      <c r="C65" s="79">
        <v>590206917</v>
      </c>
      <c r="D65" s="79">
        <v>0</v>
      </c>
      <c r="E65" s="79" t="s">
        <v>1124</v>
      </c>
      <c r="F65" s="79" t="s">
        <v>2100</v>
      </c>
      <c r="G65" s="79" t="s">
        <v>2106</v>
      </c>
      <c r="H65" s="79"/>
      <c r="I65" s="79"/>
    </row>
    <row r="66" spans="1:9" ht="14.25">
      <c r="A66" s="79" t="s">
        <v>2103</v>
      </c>
      <c r="B66" s="79" t="s">
        <v>2104</v>
      </c>
      <c r="C66" s="79">
        <v>590206917</v>
      </c>
      <c r="D66" s="79">
        <v>0</v>
      </c>
      <c r="E66" s="79" t="s">
        <v>1124</v>
      </c>
      <c r="F66" s="79" t="s">
        <v>2100</v>
      </c>
      <c r="G66" s="79" t="s">
        <v>2107</v>
      </c>
      <c r="H66" s="79"/>
      <c r="I66" s="79"/>
    </row>
    <row r="67" spans="1:9" ht="14.25">
      <c r="A67" s="79" t="s">
        <v>2108</v>
      </c>
      <c r="B67" s="79" t="s">
        <v>2109</v>
      </c>
      <c r="C67" s="79">
        <v>590206920</v>
      </c>
      <c r="D67" s="79">
        <v>0</v>
      </c>
      <c r="E67" s="79" t="s">
        <v>1124</v>
      </c>
      <c r="F67" s="79" t="s">
        <v>2100</v>
      </c>
      <c r="G67" s="79" t="s">
        <v>2110</v>
      </c>
      <c r="H67" s="79"/>
      <c r="I67" s="79"/>
    </row>
    <row r="68" spans="1:9" ht="14.25">
      <c r="A68" s="79" t="s">
        <v>2108</v>
      </c>
      <c r="B68" s="79" t="s">
        <v>2109</v>
      </c>
      <c r="C68" s="79">
        <v>590206920</v>
      </c>
      <c r="D68" s="79">
        <v>0</v>
      </c>
      <c r="E68" s="79" t="s">
        <v>1124</v>
      </c>
      <c r="F68" s="79" t="s">
        <v>2100</v>
      </c>
      <c r="G68" s="79" t="s">
        <v>2111</v>
      </c>
      <c r="H68" s="79"/>
      <c r="I68" s="79"/>
    </row>
    <row r="69" spans="1:9" ht="14.25">
      <c r="A69" s="79" t="s">
        <v>2108</v>
      </c>
      <c r="B69" s="79" t="s">
        <v>2109</v>
      </c>
      <c r="C69" s="79">
        <v>590206920</v>
      </c>
      <c r="D69" s="79">
        <v>0</v>
      </c>
      <c r="E69" s="79" t="s">
        <v>1124</v>
      </c>
      <c r="F69" s="79" t="s">
        <v>2100</v>
      </c>
      <c r="G69" s="79" t="s">
        <v>2107</v>
      </c>
      <c r="H69" s="79"/>
      <c r="I69" s="79"/>
    </row>
    <row r="70" spans="1:9" ht="14.25">
      <c r="A70" s="79" t="s">
        <v>2112</v>
      </c>
      <c r="B70" s="79" t="s">
        <v>2113</v>
      </c>
      <c r="C70" s="79">
        <v>590206923</v>
      </c>
      <c r="D70" s="79">
        <v>0</v>
      </c>
      <c r="E70" s="79" t="s">
        <v>1124</v>
      </c>
      <c r="F70" s="79" t="s">
        <v>2100</v>
      </c>
      <c r="G70" s="79" t="s">
        <v>2114</v>
      </c>
      <c r="H70" s="79"/>
      <c r="I70" s="79"/>
    </row>
    <row r="71" spans="1:9" ht="14.25">
      <c r="A71" s="79" t="s">
        <v>2112</v>
      </c>
      <c r="B71" s="79" t="s">
        <v>2113</v>
      </c>
      <c r="C71" s="79">
        <v>590206923</v>
      </c>
      <c r="D71" s="79">
        <v>0</v>
      </c>
      <c r="E71" s="79" t="s">
        <v>1124</v>
      </c>
      <c r="F71" s="79" t="s">
        <v>2100</v>
      </c>
      <c r="G71" s="79" t="s">
        <v>2115</v>
      </c>
      <c r="H71" s="79"/>
      <c r="I71" s="79"/>
    </row>
    <row r="72" spans="1:9" ht="14.25">
      <c r="A72" s="79" t="s">
        <v>2112</v>
      </c>
      <c r="B72" s="79" t="s">
        <v>2113</v>
      </c>
      <c r="C72" s="79">
        <v>590206923</v>
      </c>
      <c r="D72" s="79">
        <v>0</v>
      </c>
      <c r="E72" s="79" t="s">
        <v>1124</v>
      </c>
      <c r="F72" s="79" t="s">
        <v>2100</v>
      </c>
      <c r="G72" s="79" t="s">
        <v>2107</v>
      </c>
      <c r="H72" s="79"/>
      <c r="I72" s="79"/>
    </row>
    <row r="73" spans="1:9" ht="14.25">
      <c r="A73" s="79" t="s">
        <v>2116</v>
      </c>
      <c r="B73" s="79" t="s">
        <v>2117</v>
      </c>
      <c r="C73" s="79">
        <v>590206926</v>
      </c>
      <c r="D73" s="79">
        <v>0</v>
      </c>
      <c r="E73" s="79" t="s">
        <v>1124</v>
      </c>
      <c r="F73" s="79" t="s">
        <v>2100</v>
      </c>
      <c r="G73" s="79" t="s">
        <v>2118</v>
      </c>
      <c r="H73" s="79"/>
      <c r="I73" s="79"/>
    </row>
    <row r="74" spans="1:9" ht="14.25">
      <c r="A74" s="79" t="s">
        <v>2116</v>
      </c>
      <c r="B74" s="79" t="s">
        <v>2117</v>
      </c>
      <c r="C74" s="79">
        <v>590206926</v>
      </c>
      <c r="D74" s="79">
        <v>0</v>
      </c>
      <c r="E74" s="79" t="s">
        <v>1124</v>
      </c>
      <c r="F74" s="79" t="s">
        <v>2100</v>
      </c>
      <c r="G74" s="79" t="s">
        <v>2119</v>
      </c>
      <c r="H74" s="79"/>
      <c r="I74" s="79"/>
    </row>
    <row r="75" spans="1:9" ht="14.25">
      <c r="A75" s="79" t="s">
        <v>2116</v>
      </c>
      <c r="B75" s="79" t="s">
        <v>2117</v>
      </c>
      <c r="C75" s="79">
        <v>590206926</v>
      </c>
      <c r="D75" s="79">
        <v>0</v>
      </c>
      <c r="E75" s="79" t="s">
        <v>1124</v>
      </c>
      <c r="F75" s="79" t="s">
        <v>2100</v>
      </c>
      <c r="G75" s="79" t="s">
        <v>2107</v>
      </c>
      <c r="H75" s="79"/>
      <c r="I75" s="79"/>
    </row>
    <row r="76" spans="1:9" ht="14.25">
      <c r="A76" s="79" t="s">
        <v>2120</v>
      </c>
      <c r="B76" s="79" t="s">
        <v>2121</v>
      </c>
      <c r="C76" s="79">
        <v>590206929</v>
      </c>
      <c r="D76" s="79">
        <v>0</v>
      </c>
      <c r="E76" s="79" t="s">
        <v>1124</v>
      </c>
      <c r="F76" s="79" t="s">
        <v>2100</v>
      </c>
      <c r="G76" s="79" t="s">
        <v>2122</v>
      </c>
      <c r="H76" s="79"/>
      <c r="I76" s="79"/>
    </row>
    <row r="77" spans="1:9" ht="14.25">
      <c r="A77" s="79" t="s">
        <v>2120</v>
      </c>
      <c r="B77" s="79" t="s">
        <v>2121</v>
      </c>
      <c r="C77" s="79">
        <v>590206929</v>
      </c>
      <c r="D77" s="79">
        <v>0</v>
      </c>
      <c r="E77" s="79" t="s">
        <v>1124</v>
      </c>
      <c r="F77" s="79" t="s">
        <v>2100</v>
      </c>
      <c r="G77" s="79" t="s">
        <v>2123</v>
      </c>
      <c r="H77" s="79"/>
      <c r="I77" s="79"/>
    </row>
    <row r="78" spans="1:9" ht="14.25">
      <c r="A78" s="79" t="s">
        <v>2120</v>
      </c>
      <c r="B78" s="79" t="s">
        <v>2121</v>
      </c>
      <c r="C78" s="79">
        <v>590206929</v>
      </c>
      <c r="D78" s="79">
        <v>0</v>
      </c>
      <c r="E78" s="79" t="s">
        <v>1124</v>
      </c>
      <c r="F78" s="79" t="s">
        <v>2100</v>
      </c>
      <c r="G78" s="79" t="s">
        <v>2107</v>
      </c>
      <c r="H78" s="79"/>
      <c r="I78" s="79"/>
    </row>
    <row r="79" spans="1:9" ht="14.25">
      <c r="A79" s="79" t="s">
        <v>2124</v>
      </c>
      <c r="B79" s="79" t="s">
        <v>2125</v>
      </c>
      <c r="C79" s="79">
        <v>590206932</v>
      </c>
      <c r="D79" s="79">
        <v>0</v>
      </c>
      <c r="E79" s="79" t="s">
        <v>1124</v>
      </c>
      <c r="F79" s="79" t="s">
        <v>2100</v>
      </c>
      <c r="G79" s="79" t="s">
        <v>2126</v>
      </c>
      <c r="H79" s="79"/>
      <c r="I79" s="79"/>
    </row>
    <row r="80" spans="1:9" ht="14.25">
      <c r="A80" s="79" t="s">
        <v>2124</v>
      </c>
      <c r="B80" s="79" t="s">
        <v>2125</v>
      </c>
      <c r="C80" s="79">
        <v>590206932</v>
      </c>
      <c r="D80" s="79">
        <v>0</v>
      </c>
      <c r="E80" s="79" t="s">
        <v>1124</v>
      </c>
      <c r="F80" s="79" t="s">
        <v>2100</v>
      </c>
      <c r="G80" s="79" t="s">
        <v>2127</v>
      </c>
      <c r="H80" s="79"/>
      <c r="I80" s="79"/>
    </row>
    <row r="81" spans="1:9" ht="14.25">
      <c r="A81" s="79" t="s">
        <v>2124</v>
      </c>
      <c r="B81" s="79" t="s">
        <v>2125</v>
      </c>
      <c r="C81" s="79">
        <v>590206932</v>
      </c>
      <c r="D81" s="79">
        <v>0</v>
      </c>
      <c r="E81" s="79" t="s">
        <v>1124</v>
      </c>
      <c r="F81" s="79" t="s">
        <v>2100</v>
      </c>
      <c r="G81" s="79" t="s">
        <v>2107</v>
      </c>
      <c r="H81" s="79"/>
      <c r="I81" s="79"/>
    </row>
    <row r="82" spans="1:9" ht="14.25">
      <c r="A82" s="79" t="s">
        <v>2128</v>
      </c>
      <c r="B82" s="79" t="s">
        <v>2129</v>
      </c>
      <c r="C82" s="79">
        <v>590206935</v>
      </c>
      <c r="D82" s="79">
        <v>0</v>
      </c>
      <c r="E82" s="79" t="s">
        <v>1124</v>
      </c>
      <c r="F82" s="79" t="s">
        <v>2100</v>
      </c>
      <c r="G82" s="79" t="s">
        <v>2130</v>
      </c>
      <c r="H82" s="79"/>
      <c r="I82" s="79"/>
    </row>
    <row r="83" spans="1:9" ht="14.25">
      <c r="A83" s="79" t="s">
        <v>2128</v>
      </c>
      <c r="B83" s="79" t="s">
        <v>2129</v>
      </c>
      <c r="C83" s="79">
        <v>590206935</v>
      </c>
      <c r="D83" s="79">
        <v>0</v>
      </c>
      <c r="E83" s="79" t="s">
        <v>1124</v>
      </c>
      <c r="F83" s="79" t="s">
        <v>2100</v>
      </c>
      <c r="G83" s="79" t="s">
        <v>2131</v>
      </c>
      <c r="H83" s="79"/>
      <c r="I83" s="79"/>
    </row>
    <row r="84" spans="1:9" ht="14.25">
      <c r="A84" s="79" t="s">
        <v>2128</v>
      </c>
      <c r="B84" s="79" t="s">
        <v>2129</v>
      </c>
      <c r="C84" s="79">
        <v>590206935</v>
      </c>
      <c r="D84" s="79">
        <v>0</v>
      </c>
      <c r="E84" s="79" t="s">
        <v>1124</v>
      </c>
      <c r="F84" s="79" t="s">
        <v>2100</v>
      </c>
      <c r="G84" s="79" t="s">
        <v>2107</v>
      </c>
      <c r="H84" s="79"/>
      <c r="I84" s="79"/>
    </row>
    <row r="85" spans="1:9" ht="14.25">
      <c r="A85" s="79" t="s">
        <v>2132</v>
      </c>
      <c r="B85" s="79" t="s">
        <v>2133</v>
      </c>
      <c r="C85" s="79">
        <v>590206938</v>
      </c>
      <c r="D85" s="79">
        <v>0</v>
      </c>
      <c r="E85" s="79" t="s">
        <v>1124</v>
      </c>
      <c r="F85" s="79" t="s">
        <v>2100</v>
      </c>
      <c r="G85" s="79" t="s">
        <v>2134</v>
      </c>
      <c r="H85" s="79"/>
      <c r="I85" s="79"/>
    </row>
    <row r="86" spans="1:9" ht="14.25">
      <c r="A86" s="79" t="s">
        <v>2132</v>
      </c>
      <c r="B86" s="79" t="s">
        <v>2133</v>
      </c>
      <c r="C86" s="79">
        <v>590206938</v>
      </c>
      <c r="D86" s="79">
        <v>0</v>
      </c>
      <c r="E86" s="79" t="s">
        <v>1124</v>
      </c>
      <c r="F86" s="79" t="s">
        <v>2100</v>
      </c>
      <c r="G86" s="79" t="s">
        <v>2135</v>
      </c>
      <c r="H86" s="79"/>
      <c r="I86" s="79"/>
    </row>
    <row r="87" spans="1:9" ht="14.25">
      <c r="A87" s="79" t="s">
        <v>2132</v>
      </c>
      <c r="B87" s="79" t="s">
        <v>2133</v>
      </c>
      <c r="C87" s="79">
        <v>590206938</v>
      </c>
      <c r="D87" s="79">
        <v>0</v>
      </c>
      <c r="E87" s="79" t="s">
        <v>1124</v>
      </c>
      <c r="F87" s="79" t="s">
        <v>2100</v>
      </c>
      <c r="G87" s="79" t="s">
        <v>2107</v>
      </c>
      <c r="H87" s="79"/>
      <c r="I87" s="79"/>
    </row>
    <row r="88" spans="1:9" ht="14.25">
      <c r="A88" s="79" t="s">
        <v>2136</v>
      </c>
      <c r="B88" s="79" t="s">
        <v>2137</v>
      </c>
      <c r="C88" s="79">
        <v>590206941</v>
      </c>
      <c r="D88" s="79">
        <v>0</v>
      </c>
      <c r="E88" s="79" t="s">
        <v>1124</v>
      </c>
      <c r="F88" s="79" t="s">
        <v>2100</v>
      </c>
      <c r="G88" s="79" t="s">
        <v>2138</v>
      </c>
      <c r="H88" s="79"/>
      <c r="I88" s="79"/>
    </row>
    <row r="89" spans="1:9" ht="14.25">
      <c r="A89" s="79" t="s">
        <v>2136</v>
      </c>
      <c r="B89" s="79" t="s">
        <v>2137</v>
      </c>
      <c r="C89" s="79">
        <v>590206941</v>
      </c>
      <c r="D89" s="79">
        <v>0</v>
      </c>
      <c r="E89" s="79" t="s">
        <v>1124</v>
      </c>
      <c r="F89" s="79" t="s">
        <v>2100</v>
      </c>
      <c r="G89" s="79" t="s">
        <v>2139</v>
      </c>
      <c r="H89" s="79"/>
      <c r="I89" s="79"/>
    </row>
    <row r="90" spans="1:9" ht="14.25">
      <c r="A90" s="79" t="s">
        <v>2136</v>
      </c>
      <c r="B90" s="79" t="s">
        <v>2137</v>
      </c>
      <c r="C90" s="79">
        <v>590206941</v>
      </c>
      <c r="D90" s="79">
        <v>0</v>
      </c>
      <c r="E90" s="79" t="s">
        <v>1124</v>
      </c>
      <c r="F90" s="79" t="s">
        <v>2100</v>
      </c>
      <c r="G90" s="79" t="s">
        <v>2107</v>
      </c>
      <c r="H90" s="79"/>
      <c r="I90" s="79"/>
    </row>
    <row r="91" spans="1:9" ht="14.25">
      <c r="A91" s="79" t="s">
        <v>2140</v>
      </c>
      <c r="B91" s="79" t="s">
        <v>2141</v>
      </c>
      <c r="C91" s="79">
        <v>590206944</v>
      </c>
      <c r="D91" s="79">
        <v>0</v>
      </c>
      <c r="E91" s="79" t="s">
        <v>1124</v>
      </c>
      <c r="F91" s="79" t="s">
        <v>2100</v>
      </c>
      <c r="G91" s="79" t="s">
        <v>2142</v>
      </c>
      <c r="H91" s="79"/>
      <c r="I91" s="79"/>
    </row>
    <row r="92" spans="1:9" ht="14.25">
      <c r="A92" s="79" t="s">
        <v>2140</v>
      </c>
      <c r="B92" s="79" t="s">
        <v>2141</v>
      </c>
      <c r="C92" s="79">
        <v>590206944</v>
      </c>
      <c r="D92" s="79">
        <v>0</v>
      </c>
      <c r="E92" s="79" t="s">
        <v>1124</v>
      </c>
      <c r="F92" s="79" t="s">
        <v>2100</v>
      </c>
      <c r="G92" s="79" t="s">
        <v>2143</v>
      </c>
      <c r="H92" s="79"/>
      <c r="I92" s="79"/>
    </row>
    <row r="93" spans="1:9" ht="14.25">
      <c r="A93" s="79" t="s">
        <v>2140</v>
      </c>
      <c r="B93" s="79" t="s">
        <v>2141</v>
      </c>
      <c r="C93" s="79">
        <v>590206944</v>
      </c>
      <c r="D93" s="79">
        <v>0</v>
      </c>
      <c r="E93" s="79" t="s">
        <v>1124</v>
      </c>
      <c r="F93" s="79" t="s">
        <v>2100</v>
      </c>
      <c r="G93" s="79" t="s">
        <v>2107</v>
      </c>
      <c r="H93" s="79"/>
      <c r="I93" s="79"/>
    </row>
    <row r="94" spans="1:9" ht="14.25">
      <c r="A94" s="79" t="s">
        <v>2144</v>
      </c>
      <c r="B94" s="79" t="s">
        <v>2145</v>
      </c>
      <c r="C94" s="79">
        <v>590206947</v>
      </c>
      <c r="D94" s="79">
        <v>0</v>
      </c>
      <c r="E94" s="79" t="s">
        <v>1124</v>
      </c>
      <c r="F94" s="79" t="s">
        <v>2100</v>
      </c>
      <c r="G94" s="79" t="s">
        <v>2146</v>
      </c>
      <c r="H94" s="79"/>
      <c r="I94" s="79"/>
    </row>
    <row r="95" spans="1:9" ht="14.25">
      <c r="A95" s="79" t="s">
        <v>2144</v>
      </c>
      <c r="B95" s="79" t="s">
        <v>2145</v>
      </c>
      <c r="C95" s="79">
        <v>590206947</v>
      </c>
      <c r="D95" s="79">
        <v>0</v>
      </c>
      <c r="E95" s="79" t="s">
        <v>1124</v>
      </c>
      <c r="F95" s="79" t="s">
        <v>2100</v>
      </c>
      <c r="G95" s="79" t="s">
        <v>2147</v>
      </c>
      <c r="H95" s="79"/>
      <c r="I95" s="79"/>
    </row>
    <row r="96" spans="1:9" ht="14.25">
      <c r="A96" s="79" t="s">
        <v>2144</v>
      </c>
      <c r="B96" s="79" t="s">
        <v>2145</v>
      </c>
      <c r="C96" s="79">
        <v>590206947</v>
      </c>
      <c r="D96" s="79">
        <v>0</v>
      </c>
      <c r="E96" s="79" t="s">
        <v>1124</v>
      </c>
      <c r="F96" s="79" t="s">
        <v>2100</v>
      </c>
      <c r="G96" s="79" t="s">
        <v>2107</v>
      </c>
      <c r="H96" s="79"/>
      <c r="I96" s="79"/>
    </row>
    <row r="97" spans="1:9" ht="14.25">
      <c r="A97" s="79" t="s">
        <v>2148</v>
      </c>
      <c r="B97" s="79" t="s">
        <v>2149</v>
      </c>
      <c r="C97" s="79">
        <v>590206950</v>
      </c>
      <c r="D97" s="79">
        <v>0</v>
      </c>
      <c r="E97" s="79" t="s">
        <v>1124</v>
      </c>
      <c r="F97" s="79" t="s">
        <v>2100</v>
      </c>
      <c r="G97" s="79" t="s">
        <v>2150</v>
      </c>
      <c r="H97" s="79"/>
      <c r="I97" s="79"/>
    </row>
    <row r="98" spans="1:9" ht="14.25">
      <c r="A98" s="79" t="s">
        <v>2148</v>
      </c>
      <c r="B98" s="79" t="s">
        <v>2149</v>
      </c>
      <c r="C98" s="79">
        <v>590206950</v>
      </c>
      <c r="D98" s="79">
        <v>0</v>
      </c>
      <c r="E98" s="79" t="s">
        <v>1124</v>
      </c>
      <c r="F98" s="79" t="s">
        <v>2100</v>
      </c>
      <c r="G98" s="79" t="s">
        <v>2107</v>
      </c>
      <c r="H98" s="79"/>
      <c r="I98" s="79"/>
    </row>
    <row r="99" spans="1:9" ht="14.25">
      <c r="A99" s="79" t="s">
        <v>2151</v>
      </c>
      <c r="B99" s="79" t="s">
        <v>2152</v>
      </c>
      <c r="C99" s="79">
        <v>590206953</v>
      </c>
      <c r="D99" s="79">
        <v>0</v>
      </c>
      <c r="E99" s="79" t="s">
        <v>1124</v>
      </c>
      <c r="F99" s="79" t="s">
        <v>2100</v>
      </c>
      <c r="G99" s="79" t="s">
        <v>2153</v>
      </c>
      <c r="H99" s="79"/>
      <c r="I99" s="79"/>
    </row>
    <row r="100" spans="1:9" ht="14.25">
      <c r="A100" s="79" t="s">
        <v>2151</v>
      </c>
      <c r="B100" s="79" t="s">
        <v>2152</v>
      </c>
      <c r="C100" s="79">
        <v>590206953</v>
      </c>
      <c r="D100" s="79">
        <v>0</v>
      </c>
      <c r="E100" s="79" t="s">
        <v>1124</v>
      </c>
      <c r="F100" s="79" t="s">
        <v>2100</v>
      </c>
      <c r="G100" s="79" t="s">
        <v>2107</v>
      </c>
      <c r="H100" s="79"/>
      <c r="I100" s="79"/>
    </row>
    <row r="101" spans="1:9" ht="14.25">
      <c r="A101" s="79" t="s">
        <v>2154</v>
      </c>
      <c r="B101" s="79" t="s">
        <v>2155</v>
      </c>
      <c r="C101" s="79">
        <v>590206956</v>
      </c>
      <c r="D101" s="79">
        <v>0</v>
      </c>
      <c r="E101" s="79" t="s">
        <v>1124</v>
      </c>
      <c r="F101" s="79" t="s">
        <v>2100</v>
      </c>
      <c r="G101" s="79" t="s">
        <v>2156</v>
      </c>
      <c r="H101" s="79"/>
      <c r="I101" s="79"/>
    </row>
    <row r="102" spans="1:9" ht="14.25">
      <c r="A102" s="79" t="s">
        <v>2154</v>
      </c>
      <c r="B102" s="79" t="s">
        <v>2155</v>
      </c>
      <c r="C102" s="79">
        <v>590206956</v>
      </c>
      <c r="D102" s="79">
        <v>0</v>
      </c>
      <c r="E102" s="79" t="s">
        <v>1124</v>
      </c>
      <c r="F102" s="79" t="s">
        <v>2100</v>
      </c>
      <c r="G102" s="79" t="s">
        <v>2157</v>
      </c>
      <c r="H102" s="79"/>
      <c r="I102" s="79"/>
    </row>
    <row r="103" spans="1:9" ht="14.25">
      <c r="A103" s="79" t="s">
        <v>2154</v>
      </c>
      <c r="B103" s="79" t="s">
        <v>2155</v>
      </c>
      <c r="C103" s="79">
        <v>590206956</v>
      </c>
      <c r="D103" s="79">
        <v>0</v>
      </c>
      <c r="E103" s="79" t="s">
        <v>1124</v>
      </c>
      <c r="F103" s="79" t="s">
        <v>2100</v>
      </c>
      <c r="G103" s="79" t="s">
        <v>2158</v>
      </c>
      <c r="H103" s="79"/>
      <c r="I103" s="79"/>
    </row>
    <row r="104" spans="1:9" ht="14.25">
      <c r="A104" s="79" t="s">
        <v>2154</v>
      </c>
      <c r="B104" s="79" t="s">
        <v>2155</v>
      </c>
      <c r="C104" s="79">
        <v>590206956</v>
      </c>
      <c r="D104" s="79">
        <v>0</v>
      </c>
      <c r="E104" s="79" t="s">
        <v>1124</v>
      </c>
      <c r="F104" s="79" t="s">
        <v>2100</v>
      </c>
      <c r="G104" s="79" t="s">
        <v>2159</v>
      </c>
      <c r="H104" s="79"/>
      <c r="I104" s="79"/>
    </row>
    <row r="105" spans="1:9" ht="14.25">
      <c r="A105" s="79" t="s">
        <v>2154</v>
      </c>
      <c r="B105" s="79" t="s">
        <v>2155</v>
      </c>
      <c r="C105" s="79">
        <v>590206956</v>
      </c>
      <c r="D105" s="79">
        <v>0</v>
      </c>
      <c r="E105" s="79" t="s">
        <v>1124</v>
      </c>
      <c r="F105" s="79" t="s">
        <v>2100</v>
      </c>
      <c r="G105" s="79" t="s">
        <v>2160</v>
      </c>
      <c r="H105" s="79"/>
      <c r="I105" s="79"/>
    </row>
    <row r="106" spans="1:9" ht="14.25">
      <c r="A106" s="79" t="s">
        <v>2154</v>
      </c>
      <c r="B106" s="79" t="s">
        <v>2155</v>
      </c>
      <c r="C106" s="79">
        <v>590206956</v>
      </c>
      <c r="D106" s="79">
        <v>0</v>
      </c>
      <c r="E106" s="79" t="s">
        <v>1124</v>
      </c>
      <c r="F106" s="79" t="s">
        <v>2100</v>
      </c>
      <c r="G106" s="79" t="s">
        <v>1294</v>
      </c>
      <c r="H106" s="79"/>
      <c r="I106" s="79"/>
    </row>
    <row r="107" spans="1:9" ht="14.25">
      <c r="A107" s="81" t="s">
        <v>2161</v>
      </c>
      <c r="B107" s="81" t="s">
        <v>2162</v>
      </c>
      <c r="C107" s="81">
        <v>590206986</v>
      </c>
      <c r="D107" s="81">
        <v>7</v>
      </c>
      <c r="E107" s="81" t="s">
        <v>373</v>
      </c>
      <c r="F107" s="81" t="s">
        <v>2097</v>
      </c>
      <c r="G107" s="81" t="s">
        <v>2163</v>
      </c>
      <c r="H107" s="81" t="s">
        <v>2164</v>
      </c>
      <c r="I107" s="81" t="s">
        <v>2099</v>
      </c>
    </row>
    <row r="108" spans="1:9" ht="14.25">
      <c r="A108" s="81" t="s">
        <v>2165</v>
      </c>
      <c r="B108" s="81" t="s">
        <v>2166</v>
      </c>
      <c r="C108" s="81">
        <v>590206991</v>
      </c>
      <c r="D108" s="81">
        <v>1</v>
      </c>
      <c r="E108" s="81" t="s">
        <v>373</v>
      </c>
      <c r="F108" s="81" t="s">
        <v>2097</v>
      </c>
      <c r="G108" s="81" t="s">
        <v>389</v>
      </c>
      <c r="H108" s="81"/>
      <c r="I108" s="81" t="s">
        <v>2099</v>
      </c>
    </row>
    <row r="109" spans="1:9" ht="14.25">
      <c r="A109" s="81" t="s">
        <v>2167</v>
      </c>
      <c r="B109" s="81" t="s">
        <v>2168</v>
      </c>
      <c r="C109" s="81">
        <v>590206995</v>
      </c>
      <c r="D109" s="81">
        <v>1</v>
      </c>
      <c r="E109" s="81" t="s">
        <v>373</v>
      </c>
      <c r="F109" s="81" t="s">
        <v>2097</v>
      </c>
      <c r="G109" s="81" t="s">
        <v>389</v>
      </c>
      <c r="H109" s="81"/>
      <c r="I109" s="81" t="s">
        <v>2099</v>
      </c>
    </row>
    <row r="110" spans="1:9" ht="14.25">
      <c r="A110" s="81" t="s">
        <v>2169</v>
      </c>
      <c r="B110" s="81" t="s">
        <v>2170</v>
      </c>
      <c r="C110" s="81">
        <v>590207000</v>
      </c>
      <c r="D110" s="81">
        <v>1</v>
      </c>
      <c r="E110" s="81" t="s">
        <v>373</v>
      </c>
      <c r="F110" s="81" t="s">
        <v>2097</v>
      </c>
      <c r="G110" s="81" t="s">
        <v>395</v>
      </c>
      <c r="H110" s="81"/>
      <c r="I110" s="81" t="s">
        <v>2099</v>
      </c>
    </row>
    <row r="111" spans="1:9" ht="14.25">
      <c r="A111" s="81" t="s">
        <v>2171</v>
      </c>
      <c r="B111" s="81" t="s">
        <v>2172</v>
      </c>
      <c r="C111" s="81">
        <v>590207004</v>
      </c>
      <c r="D111" s="81">
        <v>1</v>
      </c>
      <c r="E111" s="81" t="s">
        <v>373</v>
      </c>
      <c r="F111" s="81" t="s">
        <v>2097</v>
      </c>
      <c r="G111" s="81" t="s">
        <v>395</v>
      </c>
      <c r="H111" s="81"/>
      <c r="I111" s="81" t="s">
        <v>2099</v>
      </c>
    </row>
    <row r="112" spans="1:9" ht="14.25">
      <c r="A112" s="81" t="s">
        <v>2173</v>
      </c>
      <c r="B112" s="81" t="s">
        <v>2174</v>
      </c>
      <c r="C112" s="81">
        <v>590207009</v>
      </c>
      <c r="D112" s="81">
        <v>2</v>
      </c>
      <c r="E112" s="81" t="s">
        <v>373</v>
      </c>
      <c r="F112" s="81" t="s">
        <v>2175</v>
      </c>
      <c r="G112" s="81" t="s">
        <v>375</v>
      </c>
      <c r="H112" s="81"/>
      <c r="I112" s="81" t="s">
        <v>2099</v>
      </c>
    </row>
    <row r="113" spans="1:9" ht="14.25">
      <c r="A113" s="81" t="s">
        <v>2176</v>
      </c>
      <c r="B113" s="81" t="s">
        <v>2177</v>
      </c>
      <c r="C113" s="81">
        <v>590207013</v>
      </c>
      <c r="D113" s="81">
        <v>1</v>
      </c>
      <c r="E113" s="81" t="s">
        <v>373</v>
      </c>
      <c r="F113" s="81" t="s">
        <v>2175</v>
      </c>
      <c r="G113" s="81" t="s">
        <v>375</v>
      </c>
      <c r="H113" s="81"/>
      <c r="I113" s="81" t="s">
        <v>2099</v>
      </c>
    </row>
    <row r="114" spans="1:9" ht="14.25">
      <c r="A114" s="81" t="s">
        <v>2178</v>
      </c>
      <c r="B114" s="81" t="s">
        <v>2179</v>
      </c>
      <c r="C114" s="81">
        <v>590207018</v>
      </c>
      <c r="D114" s="81">
        <v>1</v>
      </c>
      <c r="E114" s="81" t="s">
        <v>373</v>
      </c>
      <c r="F114" s="81" t="s">
        <v>2175</v>
      </c>
      <c r="G114" s="81" t="s">
        <v>382</v>
      </c>
      <c r="H114" s="81"/>
      <c r="I114" s="81" t="s">
        <v>2099</v>
      </c>
    </row>
    <row r="115" spans="1:9" ht="14.25">
      <c r="A115" s="81" t="s">
        <v>2180</v>
      </c>
      <c r="B115" s="81" t="s">
        <v>2181</v>
      </c>
      <c r="C115" s="81">
        <v>590207022</v>
      </c>
      <c r="D115" s="81">
        <v>1</v>
      </c>
      <c r="E115" s="81" t="s">
        <v>373</v>
      </c>
      <c r="F115" s="81" t="s">
        <v>2175</v>
      </c>
      <c r="G115" s="81" t="s">
        <v>382</v>
      </c>
      <c r="H115" s="81"/>
      <c r="I115" s="81" t="s">
        <v>2099</v>
      </c>
    </row>
    <row r="116" spans="1:9" ht="14.25">
      <c r="A116" s="153" t="s">
        <v>2182</v>
      </c>
      <c r="B116" s="153" t="s">
        <v>2183</v>
      </c>
      <c r="C116" s="153">
        <v>590222827</v>
      </c>
      <c r="D116" s="153">
        <v>1</v>
      </c>
      <c r="E116" s="153" t="s">
        <v>373</v>
      </c>
      <c r="F116" s="153" t="s">
        <v>2184</v>
      </c>
      <c r="G116" s="153" t="s">
        <v>375</v>
      </c>
      <c r="H116" s="153"/>
      <c r="I116" s="153" t="s">
        <v>2185</v>
      </c>
    </row>
    <row r="117" spans="1:9" ht="14.25">
      <c r="A117" s="153" t="s">
        <v>2186</v>
      </c>
      <c r="B117" s="153" t="s">
        <v>2187</v>
      </c>
      <c r="C117" s="153">
        <v>590222830</v>
      </c>
      <c r="D117" s="153">
        <v>1</v>
      </c>
      <c r="E117" s="153" t="s">
        <v>373</v>
      </c>
      <c r="F117" s="153" t="s">
        <v>2184</v>
      </c>
      <c r="G117" s="153" t="s">
        <v>382</v>
      </c>
      <c r="H117" s="153"/>
      <c r="I117" s="153" t="s">
        <v>2185</v>
      </c>
    </row>
    <row r="118" spans="1:9" ht="14.25">
      <c r="A118" s="79" t="s">
        <v>2188</v>
      </c>
      <c r="B118" s="79" t="s">
        <v>2189</v>
      </c>
      <c r="C118" s="79">
        <v>590222850</v>
      </c>
      <c r="D118" s="79">
        <v>1</v>
      </c>
      <c r="E118" s="79" t="s">
        <v>373</v>
      </c>
      <c r="F118" s="79" t="s">
        <v>2190</v>
      </c>
      <c r="G118" s="79" t="s">
        <v>389</v>
      </c>
      <c r="H118" s="79"/>
      <c r="I118" s="79"/>
    </row>
    <row r="119" spans="1:9" ht="14.25">
      <c r="A119" s="79" t="s">
        <v>2191</v>
      </c>
      <c r="B119" s="79" t="s">
        <v>2192</v>
      </c>
      <c r="C119" s="79">
        <v>590222853</v>
      </c>
      <c r="D119" s="79">
        <v>1</v>
      </c>
      <c r="E119" s="79" t="s">
        <v>373</v>
      </c>
      <c r="F119" s="79" t="s">
        <v>2190</v>
      </c>
      <c r="G119" s="79" t="s">
        <v>395</v>
      </c>
      <c r="H119" s="79"/>
      <c r="I119" s="79"/>
    </row>
    <row r="120" spans="1:9" ht="14.25">
      <c r="A120" s="81" t="s">
        <v>2193</v>
      </c>
      <c r="B120" s="81" t="s">
        <v>2194</v>
      </c>
      <c r="C120" s="81">
        <v>590247716</v>
      </c>
      <c r="D120" s="81">
        <v>7</v>
      </c>
      <c r="E120" s="81" t="s">
        <v>373</v>
      </c>
      <c r="F120" s="81" t="s">
        <v>2195</v>
      </c>
      <c r="G120" s="81" t="s">
        <v>866</v>
      </c>
      <c r="H120" s="81" t="s">
        <v>867</v>
      </c>
      <c r="I120" s="81" t="s">
        <v>2196</v>
      </c>
    </row>
    <row r="121" spans="1:9" ht="14.25">
      <c r="A121" s="81" t="s">
        <v>2197</v>
      </c>
      <c r="B121" s="81" t="s">
        <v>2198</v>
      </c>
      <c r="C121" s="81">
        <v>590247726</v>
      </c>
      <c r="D121" s="81">
        <v>0</v>
      </c>
      <c r="E121" s="81" t="s">
        <v>1124</v>
      </c>
      <c r="F121" s="81" t="s">
        <v>2195</v>
      </c>
      <c r="G121" s="81" t="s">
        <v>2199</v>
      </c>
      <c r="H121" s="81"/>
      <c r="I121" s="81" t="s">
        <v>2196</v>
      </c>
    </row>
    <row r="122" spans="1:9" ht="14.25">
      <c r="A122" s="81" t="s">
        <v>2200</v>
      </c>
      <c r="B122" s="81" t="s">
        <v>2201</v>
      </c>
      <c r="C122" s="81">
        <v>590247731</v>
      </c>
      <c r="D122" s="81">
        <v>0</v>
      </c>
      <c r="E122" s="81" t="s">
        <v>1124</v>
      </c>
      <c r="F122" s="81" t="s">
        <v>2195</v>
      </c>
      <c r="G122" s="81" t="s">
        <v>2202</v>
      </c>
      <c r="H122" s="81"/>
      <c r="I122" s="81" t="s">
        <v>2196</v>
      </c>
    </row>
    <row r="123" spans="1:9" ht="14.25">
      <c r="A123" s="81" t="s">
        <v>2203</v>
      </c>
      <c r="B123" s="81" t="s">
        <v>2204</v>
      </c>
      <c r="C123" s="81">
        <v>590247741</v>
      </c>
      <c r="D123" s="81">
        <v>0</v>
      </c>
      <c r="E123" s="81" t="s">
        <v>1124</v>
      </c>
      <c r="F123" s="81" t="s">
        <v>2205</v>
      </c>
      <c r="G123" s="81" t="s">
        <v>2206</v>
      </c>
      <c r="H123" s="81"/>
      <c r="I123" s="81" t="s">
        <v>2196</v>
      </c>
    </row>
    <row r="124" spans="1:9" ht="14.25">
      <c r="A124" s="81" t="s">
        <v>2207</v>
      </c>
      <c r="B124" s="81" t="s">
        <v>2208</v>
      </c>
      <c r="C124" s="81">
        <v>590247751</v>
      </c>
      <c r="D124" s="81">
        <v>0</v>
      </c>
      <c r="E124" s="81" t="s">
        <v>1124</v>
      </c>
      <c r="F124" s="81" t="s">
        <v>2205</v>
      </c>
      <c r="G124" s="81" t="s">
        <v>2209</v>
      </c>
      <c r="H124" s="81"/>
      <c r="I124" s="81" t="s">
        <v>2196</v>
      </c>
    </row>
    <row r="125" spans="1:9" ht="14.25">
      <c r="A125" s="81" t="s">
        <v>2210</v>
      </c>
      <c r="B125" s="81" t="s">
        <v>2211</v>
      </c>
      <c r="C125" s="81">
        <v>590247761</v>
      </c>
      <c r="D125" s="81">
        <v>0</v>
      </c>
      <c r="E125" s="81" t="s">
        <v>1124</v>
      </c>
      <c r="F125" s="81" t="s">
        <v>2205</v>
      </c>
      <c r="G125" s="81" t="s">
        <v>2212</v>
      </c>
      <c r="H125" s="81"/>
      <c r="I125" s="81" t="s">
        <v>2196</v>
      </c>
    </row>
    <row r="126" spans="1:9" ht="14.25">
      <c r="A126" s="79" t="s">
        <v>2210</v>
      </c>
      <c r="B126" s="79" t="s">
        <v>2211</v>
      </c>
      <c r="C126" s="79">
        <v>590247761</v>
      </c>
      <c r="D126" s="79">
        <v>0</v>
      </c>
      <c r="E126" s="79" t="s">
        <v>1124</v>
      </c>
      <c r="F126" s="79" t="s">
        <v>2213</v>
      </c>
      <c r="G126" s="79" t="s">
        <v>2214</v>
      </c>
      <c r="H126" s="79"/>
      <c r="I126" s="79"/>
    </row>
    <row r="127" spans="1:9" ht="14.25">
      <c r="A127" s="79" t="s">
        <v>2210</v>
      </c>
      <c r="B127" s="79" t="s">
        <v>2211</v>
      </c>
      <c r="C127" s="79">
        <v>590247761</v>
      </c>
      <c r="D127" s="79">
        <v>0</v>
      </c>
      <c r="E127" s="79" t="s">
        <v>1124</v>
      </c>
      <c r="F127" s="79" t="s">
        <v>2213</v>
      </c>
      <c r="G127" s="79" t="s">
        <v>2102</v>
      </c>
      <c r="H127" s="79"/>
      <c r="I127" s="79"/>
    </row>
    <row r="128" spans="1:9" ht="14.25">
      <c r="A128" s="79" t="s">
        <v>2215</v>
      </c>
      <c r="B128" s="79" t="s">
        <v>2216</v>
      </c>
      <c r="C128" s="79">
        <v>590247762</v>
      </c>
      <c r="D128" s="79">
        <v>0</v>
      </c>
      <c r="E128" s="79" t="s">
        <v>1124</v>
      </c>
      <c r="F128" s="79" t="s">
        <v>2213</v>
      </c>
      <c r="G128" s="79" t="s">
        <v>2217</v>
      </c>
      <c r="H128" s="79"/>
      <c r="I128" s="79"/>
    </row>
    <row r="129" spans="1:9" ht="14.25">
      <c r="A129" s="79" t="s">
        <v>2215</v>
      </c>
      <c r="B129" s="79" t="s">
        <v>2216</v>
      </c>
      <c r="C129" s="79">
        <v>590247762</v>
      </c>
      <c r="D129" s="79">
        <v>0</v>
      </c>
      <c r="E129" s="79" t="s">
        <v>1124</v>
      </c>
      <c r="F129" s="79" t="s">
        <v>2213</v>
      </c>
      <c r="G129" s="79" t="s">
        <v>2102</v>
      </c>
      <c r="H129" s="79"/>
      <c r="I129" s="79"/>
    </row>
    <row r="130" spans="1:9" ht="14.25">
      <c r="A130" s="79" t="s">
        <v>2218</v>
      </c>
      <c r="B130" s="79" t="s">
        <v>2219</v>
      </c>
      <c r="C130" s="79">
        <v>590247763</v>
      </c>
      <c r="D130" s="79">
        <v>0</v>
      </c>
      <c r="E130" s="79" t="s">
        <v>1124</v>
      </c>
      <c r="F130" s="79" t="s">
        <v>2213</v>
      </c>
      <c r="G130" s="79" t="s">
        <v>2220</v>
      </c>
      <c r="H130" s="79"/>
      <c r="I130" s="79"/>
    </row>
    <row r="131" spans="1:9" ht="14.25">
      <c r="A131" s="79" t="s">
        <v>2218</v>
      </c>
      <c r="B131" s="79" t="s">
        <v>2219</v>
      </c>
      <c r="C131" s="79">
        <v>590247763</v>
      </c>
      <c r="D131" s="79">
        <v>0</v>
      </c>
      <c r="E131" s="79" t="s">
        <v>1124</v>
      </c>
      <c r="F131" s="79" t="s">
        <v>2213</v>
      </c>
      <c r="G131" s="79" t="s">
        <v>2102</v>
      </c>
      <c r="H131" s="79"/>
      <c r="I131" s="79"/>
    </row>
    <row r="132" spans="1:9" ht="14.25">
      <c r="A132" s="79" t="s">
        <v>2221</v>
      </c>
      <c r="B132" s="79" t="s">
        <v>2222</v>
      </c>
      <c r="C132" s="79">
        <v>590247764</v>
      </c>
      <c r="D132" s="79">
        <v>0</v>
      </c>
      <c r="E132" s="79" t="s">
        <v>1124</v>
      </c>
      <c r="F132" s="79" t="s">
        <v>2213</v>
      </c>
      <c r="G132" s="79" t="s">
        <v>2223</v>
      </c>
      <c r="H132" s="79"/>
      <c r="I132" s="79"/>
    </row>
    <row r="133" spans="1:9" ht="14.25">
      <c r="A133" s="79" t="s">
        <v>2221</v>
      </c>
      <c r="B133" s="79" t="s">
        <v>2222</v>
      </c>
      <c r="C133" s="79">
        <v>590247764</v>
      </c>
      <c r="D133" s="79">
        <v>0</v>
      </c>
      <c r="E133" s="79" t="s">
        <v>1124</v>
      </c>
      <c r="F133" s="79" t="s">
        <v>2213</v>
      </c>
      <c r="G133" s="79" t="s">
        <v>2224</v>
      </c>
      <c r="H133" s="79"/>
      <c r="I133" s="79"/>
    </row>
    <row r="134" spans="1:9" ht="14.25">
      <c r="A134" s="79" t="s">
        <v>2221</v>
      </c>
      <c r="B134" s="79" t="s">
        <v>2222</v>
      </c>
      <c r="C134" s="79">
        <v>590247764</v>
      </c>
      <c r="D134" s="79">
        <v>0</v>
      </c>
      <c r="E134" s="79" t="s">
        <v>1124</v>
      </c>
      <c r="F134" s="79" t="s">
        <v>2213</v>
      </c>
      <c r="G134" s="79" t="s">
        <v>2102</v>
      </c>
      <c r="H134" s="79"/>
      <c r="I134" s="79"/>
    </row>
    <row r="135" spans="1:9" ht="14.25">
      <c r="A135" s="79" t="s">
        <v>2225</v>
      </c>
      <c r="B135" s="79" t="s">
        <v>2226</v>
      </c>
      <c r="C135" s="79">
        <v>590247765</v>
      </c>
      <c r="D135" s="79">
        <v>0</v>
      </c>
      <c r="E135" s="79" t="s">
        <v>1124</v>
      </c>
      <c r="F135" s="79" t="s">
        <v>2213</v>
      </c>
      <c r="G135" s="79" t="s">
        <v>2227</v>
      </c>
      <c r="H135" s="79"/>
      <c r="I135" s="79"/>
    </row>
    <row r="136" spans="1:9" ht="14.25">
      <c r="A136" s="79" t="s">
        <v>2225</v>
      </c>
      <c r="B136" s="79" t="s">
        <v>2226</v>
      </c>
      <c r="C136" s="79">
        <v>590247765</v>
      </c>
      <c r="D136" s="79">
        <v>0</v>
      </c>
      <c r="E136" s="79" t="s">
        <v>1124</v>
      </c>
      <c r="F136" s="79" t="s">
        <v>2213</v>
      </c>
      <c r="G136" s="79" t="s">
        <v>2102</v>
      </c>
      <c r="H136" s="79"/>
      <c r="I136" s="79"/>
    </row>
    <row r="137" spans="1:9" ht="14.25">
      <c r="A137" s="79" t="s">
        <v>2228</v>
      </c>
      <c r="B137" s="79" t="s">
        <v>2229</v>
      </c>
      <c r="C137" s="79">
        <v>590247766</v>
      </c>
      <c r="D137" s="79">
        <v>0</v>
      </c>
      <c r="E137" s="79" t="s">
        <v>1124</v>
      </c>
      <c r="F137" s="79" t="s">
        <v>2213</v>
      </c>
      <c r="G137" s="79" t="s">
        <v>2230</v>
      </c>
      <c r="H137" s="79"/>
      <c r="I137" s="79"/>
    </row>
    <row r="138" spans="1:9" ht="14.25">
      <c r="A138" s="79" t="s">
        <v>2228</v>
      </c>
      <c r="B138" s="79" t="s">
        <v>2229</v>
      </c>
      <c r="C138" s="79">
        <v>590247766</v>
      </c>
      <c r="D138" s="79">
        <v>0</v>
      </c>
      <c r="E138" s="79" t="s">
        <v>1124</v>
      </c>
      <c r="F138" s="79" t="s">
        <v>2213</v>
      </c>
      <c r="G138" s="79" t="s">
        <v>2231</v>
      </c>
      <c r="H138" s="79"/>
      <c r="I138" s="79"/>
    </row>
    <row r="139" spans="1:9" ht="14.25">
      <c r="A139" s="79" t="s">
        <v>2228</v>
      </c>
      <c r="B139" s="79" t="s">
        <v>2229</v>
      </c>
      <c r="C139" s="79">
        <v>590247766</v>
      </c>
      <c r="D139" s="79">
        <v>0</v>
      </c>
      <c r="E139" s="79" t="s">
        <v>1124</v>
      </c>
      <c r="F139" s="79" t="s">
        <v>2213</v>
      </c>
      <c r="G139" s="79" t="s">
        <v>2232</v>
      </c>
      <c r="H139" s="79"/>
      <c r="I139" s="79"/>
    </row>
    <row r="140" spans="1:9" ht="14.25">
      <c r="A140" s="79" t="s">
        <v>2228</v>
      </c>
      <c r="B140" s="79" t="s">
        <v>2229</v>
      </c>
      <c r="C140" s="79">
        <v>590247766</v>
      </c>
      <c r="D140" s="79">
        <v>0</v>
      </c>
      <c r="E140" s="79" t="s">
        <v>1124</v>
      </c>
      <c r="F140" s="79" t="s">
        <v>2213</v>
      </c>
      <c r="G140" s="79" t="s">
        <v>2233</v>
      </c>
      <c r="H140" s="79"/>
      <c r="I140" s="79"/>
    </row>
    <row r="141" spans="1:9" ht="14.25">
      <c r="A141" s="79" t="s">
        <v>2228</v>
      </c>
      <c r="B141" s="79" t="s">
        <v>2229</v>
      </c>
      <c r="C141" s="79">
        <v>590247766</v>
      </c>
      <c r="D141" s="79">
        <v>0</v>
      </c>
      <c r="E141" s="79" t="s">
        <v>1124</v>
      </c>
      <c r="F141" s="79" t="s">
        <v>2213</v>
      </c>
      <c r="G141" s="79" t="s">
        <v>2234</v>
      </c>
      <c r="H141" s="79"/>
      <c r="I141" s="79"/>
    </row>
    <row r="142" spans="1:9" ht="14.25">
      <c r="A142" s="79" t="s">
        <v>2228</v>
      </c>
      <c r="B142" s="79" t="s">
        <v>2229</v>
      </c>
      <c r="C142" s="79">
        <v>590247766</v>
      </c>
      <c r="D142" s="79">
        <v>0</v>
      </c>
      <c r="E142" s="79" t="s">
        <v>1124</v>
      </c>
      <c r="F142" s="79" t="s">
        <v>2213</v>
      </c>
      <c r="G142" s="79" t="s">
        <v>2102</v>
      </c>
      <c r="H142" s="79"/>
      <c r="I142" s="79"/>
    </row>
    <row r="143" spans="1:9" ht="14.25">
      <c r="A143" s="79" t="s">
        <v>2235</v>
      </c>
      <c r="B143" s="79" t="s">
        <v>2236</v>
      </c>
      <c r="C143" s="79">
        <v>590247767</v>
      </c>
      <c r="D143" s="79">
        <v>0</v>
      </c>
      <c r="E143" s="79" t="s">
        <v>1124</v>
      </c>
      <c r="F143" s="79" t="s">
        <v>2213</v>
      </c>
      <c r="G143" s="79" t="s">
        <v>2237</v>
      </c>
      <c r="H143" s="79"/>
      <c r="I143" s="79"/>
    </row>
    <row r="144" spans="1:9" ht="14.25">
      <c r="A144" s="79" t="s">
        <v>2235</v>
      </c>
      <c r="B144" s="79" t="s">
        <v>2236</v>
      </c>
      <c r="C144" s="79">
        <v>590247767</v>
      </c>
      <c r="D144" s="79">
        <v>0</v>
      </c>
      <c r="E144" s="79" t="s">
        <v>1124</v>
      </c>
      <c r="F144" s="79" t="s">
        <v>2213</v>
      </c>
      <c r="G144" s="79" t="s">
        <v>2102</v>
      </c>
      <c r="H144" s="79"/>
      <c r="I144" s="79"/>
    </row>
    <row r="145" spans="1:9" ht="14.25">
      <c r="A145" s="79" t="s">
        <v>2238</v>
      </c>
      <c r="B145" s="79" t="s">
        <v>2239</v>
      </c>
      <c r="C145" s="79">
        <v>590247768</v>
      </c>
      <c r="D145" s="79">
        <v>0</v>
      </c>
      <c r="E145" s="79" t="s">
        <v>1124</v>
      </c>
      <c r="F145" s="79" t="s">
        <v>2213</v>
      </c>
      <c r="G145" s="79" t="s">
        <v>2240</v>
      </c>
      <c r="H145" s="79"/>
      <c r="I145" s="79"/>
    </row>
    <row r="146" spans="1:9" ht="14.25">
      <c r="A146" s="79" t="s">
        <v>2238</v>
      </c>
      <c r="B146" s="79" t="s">
        <v>2239</v>
      </c>
      <c r="C146" s="79">
        <v>590247768</v>
      </c>
      <c r="D146" s="79">
        <v>0</v>
      </c>
      <c r="E146" s="79" t="s">
        <v>1124</v>
      </c>
      <c r="F146" s="79" t="s">
        <v>2213</v>
      </c>
      <c r="G146" s="79" t="s">
        <v>2102</v>
      </c>
      <c r="H146" s="79"/>
      <c r="I146" s="79"/>
    </row>
    <row r="147" spans="1:9" ht="14.25">
      <c r="A147" s="79" t="s">
        <v>2241</v>
      </c>
      <c r="B147" s="79" t="s">
        <v>2242</v>
      </c>
      <c r="C147" s="79">
        <v>590247769</v>
      </c>
      <c r="D147" s="79">
        <v>0</v>
      </c>
      <c r="E147" s="79" t="s">
        <v>1124</v>
      </c>
      <c r="F147" s="79" t="s">
        <v>2213</v>
      </c>
      <c r="G147" s="79" t="s">
        <v>2243</v>
      </c>
      <c r="H147" s="79"/>
      <c r="I147" s="79"/>
    </row>
    <row r="148" spans="1:9" ht="14.25">
      <c r="A148" s="79" t="s">
        <v>2241</v>
      </c>
      <c r="B148" s="79" t="s">
        <v>2242</v>
      </c>
      <c r="C148" s="79">
        <v>590247769</v>
      </c>
      <c r="D148" s="79">
        <v>0</v>
      </c>
      <c r="E148" s="79" t="s">
        <v>1124</v>
      </c>
      <c r="F148" s="79" t="s">
        <v>2213</v>
      </c>
      <c r="G148" s="79" t="s">
        <v>2102</v>
      </c>
      <c r="H148" s="79"/>
      <c r="I148" s="79"/>
    </row>
    <row r="149" spans="1:9" ht="14.25">
      <c r="A149" s="79" t="s">
        <v>2244</v>
      </c>
      <c r="B149" s="79" t="s">
        <v>2245</v>
      </c>
      <c r="C149" s="79">
        <v>590247770</v>
      </c>
      <c r="D149" s="79">
        <v>0</v>
      </c>
      <c r="E149" s="79" t="s">
        <v>1124</v>
      </c>
      <c r="F149" s="79" t="s">
        <v>2213</v>
      </c>
      <c r="G149" s="79" t="s">
        <v>2158</v>
      </c>
      <c r="H149" s="79"/>
      <c r="I149" s="79"/>
    </row>
    <row r="150" spans="1:9" ht="14.25">
      <c r="A150" s="79" t="s">
        <v>2244</v>
      </c>
      <c r="B150" s="79" t="s">
        <v>2245</v>
      </c>
      <c r="C150" s="79">
        <v>590247770</v>
      </c>
      <c r="D150" s="79">
        <v>0</v>
      </c>
      <c r="E150" s="79" t="s">
        <v>1124</v>
      </c>
      <c r="F150" s="79" t="s">
        <v>2213</v>
      </c>
      <c r="G150" s="79" t="s">
        <v>2102</v>
      </c>
      <c r="H150" s="79"/>
      <c r="I150" s="79"/>
    </row>
    <row r="151" spans="1:9" ht="14.25">
      <c r="A151" s="79" t="s">
        <v>2246</v>
      </c>
      <c r="B151" s="79" t="s">
        <v>2247</v>
      </c>
      <c r="C151" s="79">
        <v>590247771</v>
      </c>
      <c r="D151" s="79">
        <v>0</v>
      </c>
      <c r="E151" s="79" t="s">
        <v>1124</v>
      </c>
      <c r="F151" s="79" t="s">
        <v>2213</v>
      </c>
      <c r="G151" s="79" t="s">
        <v>2248</v>
      </c>
      <c r="H151" s="79"/>
      <c r="I151" s="79"/>
    </row>
    <row r="152" spans="1:9" ht="14.25">
      <c r="A152" s="79" t="s">
        <v>2246</v>
      </c>
      <c r="B152" s="79" t="s">
        <v>2247</v>
      </c>
      <c r="C152" s="79">
        <v>590247771</v>
      </c>
      <c r="D152" s="79">
        <v>0</v>
      </c>
      <c r="E152" s="79" t="s">
        <v>1124</v>
      </c>
      <c r="F152" s="79" t="s">
        <v>2213</v>
      </c>
      <c r="G152" s="79" t="s">
        <v>2249</v>
      </c>
      <c r="H152" s="79"/>
      <c r="I152" s="79"/>
    </row>
    <row r="153" spans="1:9" ht="14.25">
      <c r="A153" s="79" t="s">
        <v>2246</v>
      </c>
      <c r="B153" s="79" t="s">
        <v>2247</v>
      </c>
      <c r="C153" s="79">
        <v>590247771</v>
      </c>
      <c r="D153" s="79">
        <v>0</v>
      </c>
      <c r="E153" s="79" t="s">
        <v>1124</v>
      </c>
      <c r="F153" s="79" t="s">
        <v>2213</v>
      </c>
      <c r="G153" s="79" t="s">
        <v>2250</v>
      </c>
      <c r="H153" s="79"/>
      <c r="I153" s="79"/>
    </row>
    <row r="154" spans="1:9" ht="14.25">
      <c r="A154" s="79" t="s">
        <v>2246</v>
      </c>
      <c r="B154" s="79" t="s">
        <v>2247</v>
      </c>
      <c r="C154" s="79">
        <v>590247771</v>
      </c>
      <c r="D154" s="79">
        <v>0</v>
      </c>
      <c r="E154" s="79" t="s">
        <v>1124</v>
      </c>
      <c r="F154" s="79" t="s">
        <v>2213</v>
      </c>
      <c r="G154" s="79" t="s">
        <v>2251</v>
      </c>
      <c r="H154" s="79"/>
      <c r="I154" s="79"/>
    </row>
    <row r="155" spans="1:9" ht="14.25">
      <c r="A155" s="79" t="s">
        <v>2246</v>
      </c>
      <c r="B155" s="79" t="s">
        <v>2247</v>
      </c>
      <c r="C155" s="79">
        <v>590247771</v>
      </c>
      <c r="D155" s="79">
        <v>0</v>
      </c>
      <c r="E155" s="79" t="s">
        <v>1124</v>
      </c>
      <c r="F155" s="79" t="s">
        <v>2213</v>
      </c>
      <c r="G155" s="79" t="s">
        <v>2252</v>
      </c>
      <c r="H155" s="79"/>
      <c r="I155" s="79"/>
    </row>
    <row r="156" spans="1:9" ht="14.25">
      <c r="A156" s="79" t="s">
        <v>2246</v>
      </c>
      <c r="B156" s="79" t="s">
        <v>2247</v>
      </c>
      <c r="C156" s="79">
        <v>590247771</v>
      </c>
      <c r="D156" s="79">
        <v>0</v>
      </c>
      <c r="E156" s="79" t="s">
        <v>1124</v>
      </c>
      <c r="F156" s="79" t="s">
        <v>2213</v>
      </c>
      <c r="G156" s="79" t="s">
        <v>2102</v>
      </c>
      <c r="H156" s="79"/>
      <c r="I156" s="79"/>
    </row>
    <row r="157" spans="1:9" ht="14.25">
      <c r="A157" s="79" t="s">
        <v>2253</v>
      </c>
      <c r="B157" s="79" t="s">
        <v>2254</v>
      </c>
      <c r="C157" s="79">
        <v>590247772</v>
      </c>
      <c r="D157" s="79">
        <v>0</v>
      </c>
      <c r="E157" s="79" t="s">
        <v>1124</v>
      </c>
      <c r="F157" s="79" t="s">
        <v>2213</v>
      </c>
      <c r="G157" s="79" t="s">
        <v>2255</v>
      </c>
      <c r="H157" s="79"/>
      <c r="I157" s="79"/>
    </row>
    <row r="158" spans="1:9" ht="14.25">
      <c r="A158" s="79" t="s">
        <v>2253</v>
      </c>
      <c r="B158" s="79" t="s">
        <v>2254</v>
      </c>
      <c r="C158" s="79">
        <v>590247772</v>
      </c>
      <c r="D158" s="79">
        <v>0</v>
      </c>
      <c r="E158" s="79" t="s">
        <v>1124</v>
      </c>
      <c r="F158" s="79" t="s">
        <v>2213</v>
      </c>
      <c r="G158" s="79" t="s">
        <v>2256</v>
      </c>
      <c r="H158" s="79"/>
      <c r="I158" s="79"/>
    </row>
    <row r="159" spans="1:9" ht="14.25">
      <c r="A159" s="79" t="s">
        <v>2253</v>
      </c>
      <c r="B159" s="79" t="s">
        <v>2254</v>
      </c>
      <c r="C159" s="79">
        <v>590247772</v>
      </c>
      <c r="D159" s="79">
        <v>0</v>
      </c>
      <c r="E159" s="79" t="s">
        <v>1124</v>
      </c>
      <c r="F159" s="79" t="s">
        <v>2213</v>
      </c>
      <c r="G159" s="79" t="s">
        <v>2257</v>
      </c>
      <c r="H159" s="79"/>
      <c r="I159" s="79"/>
    </row>
    <row r="160" spans="1:9" ht="14.25">
      <c r="A160" s="79" t="s">
        <v>2253</v>
      </c>
      <c r="B160" s="79" t="s">
        <v>2254</v>
      </c>
      <c r="C160" s="79">
        <v>590247772</v>
      </c>
      <c r="D160" s="79">
        <v>0</v>
      </c>
      <c r="E160" s="79" t="s">
        <v>1124</v>
      </c>
      <c r="F160" s="79" t="s">
        <v>2213</v>
      </c>
      <c r="G160" s="79" t="s">
        <v>2258</v>
      </c>
      <c r="H160" s="79"/>
      <c r="I160" s="79"/>
    </row>
    <row r="161" spans="1:9" ht="14.25">
      <c r="A161" s="79" t="s">
        <v>2253</v>
      </c>
      <c r="B161" s="79" t="s">
        <v>2254</v>
      </c>
      <c r="C161" s="79">
        <v>590247772</v>
      </c>
      <c r="D161" s="79">
        <v>0</v>
      </c>
      <c r="E161" s="79" t="s">
        <v>1124</v>
      </c>
      <c r="F161" s="79" t="s">
        <v>2213</v>
      </c>
      <c r="G161" s="79" t="s">
        <v>2259</v>
      </c>
      <c r="H161" s="79"/>
      <c r="I161" s="79"/>
    </row>
    <row r="162" spans="1:9" ht="14.25">
      <c r="A162" s="79" t="s">
        <v>2253</v>
      </c>
      <c r="B162" s="79" t="s">
        <v>2254</v>
      </c>
      <c r="C162" s="79">
        <v>590247772</v>
      </c>
      <c r="D162" s="79">
        <v>0</v>
      </c>
      <c r="E162" s="79" t="s">
        <v>1124</v>
      </c>
      <c r="F162" s="79" t="s">
        <v>2213</v>
      </c>
      <c r="G162" s="79" t="s">
        <v>2102</v>
      </c>
      <c r="H162" s="79"/>
      <c r="I162" s="79"/>
    </row>
    <row r="163" spans="1:9" ht="14.25">
      <c r="A163" s="79" t="s">
        <v>2260</v>
      </c>
      <c r="B163" s="79" t="s">
        <v>2261</v>
      </c>
      <c r="C163" s="79">
        <v>590247773</v>
      </c>
      <c r="D163" s="79">
        <v>0</v>
      </c>
      <c r="E163" s="79" t="s">
        <v>1124</v>
      </c>
      <c r="F163" s="79" t="s">
        <v>2213</v>
      </c>
      <c r="G163" s="79" t="s">
        <v>2262</v>
      </c>
      <c r="H163" s="79"/>
      <c r="I163" s="79"/>
    </row>
    <row r="164" spans="1:9" ht="14.25">
      <c r="A164" s="79" t="s">
        <v>2260</v>
      </c>
      <c r="B164" s="79" t="s">
        <v>2261</v>
      </c>
      <c r="C164" s="79">
        <v>590247773</v>
      </c>
      <c r="D164" s="79">
        <v>0</v>
      </c>
      <c r="E164" s="79" t="s">
        <v>1124</v>
      </c>
      <c r="F164" s="79" t="s">
        <v>2213</v>
      </c>
      <c r="G164" s="79" t="s">
        <v>2263</v>
      </c>
      <c r="H164" s="79"/>
      <c r="I164" s="79"/>
    </row>
    <row r="165" spans="1:9" ht="14.25">
      <c r="A165" s="79" t="s">
        <v>2260</v>
      </c>
      <c r="B165" s="79" t="s">
        <v>2261</v>
      </c>
      <c r="C165" s="79">
        <v>590247773</v>
      </c>
      <c r="D165" s="79">
        <v>0</v>
      </c>
      <c r="E165" s="79" t="s">
        <v>1124</v>
      </c>
      <c r="F165" s="79" t="s">
        <v>2213</v>
      </c>
      <c r="G165" s="79" t="s">
        <v>2264</v>
      </c>
      <c r="H165" s="79"/>
      <c r="I165" s="79"/>
    </row>
    <row r="166" spans="1:9" ht="14.25">
      <c r="A166" s="79" t="s">
        <v>2260</v>
      </c>
      <c r="B166" s="79" t="s">
        <v>2261</v>
      </c>
      <c r="C166" s="79">
        <v>590247773</v>
      </c>
      <c r="D166" s="79">
        <v>0</v>
      </c>
      <c r="E166" s="79" t="s">
        <v>1124</v>
      </c>
      <c r="F166" s="79" t="s">
        <v>2213</v>
      </c>
      <c r="G166" s="79" t="s">
        <v>2265</v>
      </c>
      <c r="H166" s="79"/>
      <c r="I166" s="79"/>
    </row>
    <row r="167" spans="1:9" ht="14.25">
      <c r="A167" s="79" t="s">
        <v>2260</v>
      </c>
      <c r="B167" s="79" t="s">
        <v>2261</v>
      </c>
      <c r="C167" s="79">
        <v>590247773</v>
      </c>
      <c r="D167" s="79">
        <v>0</v>
      </c>
      <c r="E167" s="79" t="s">
        <v>1124</v>
      </c>
      <c r="F167" s="79" t="s">
        <v>2213</v>
      </c>
      <c r="G167" s="79" t="s">
        <v>2102</v>
      </c>
      <c r="H167" s="79"/>
      <c r="I167" s="79"/>
    </row>
    <row r="168" spans="1:9" ht="14.25">
      <c r="A168" s="79" t="s">
        <v>2266</v>
      </c>
      <c r="B168" s="79" t="s">
        <v>2267</v>
      </c>
      <c r="C168" s="79">
        <v>590247774</v>
      </c>
      <c r="D168" s="79">
        <v>0</v>
      </c>
      <c r="E168" s="79" t="s">
        <v>1124</v>
      </c>
      <c r="F168" s="79" t="s">
        <v>2213</v>
      </c>
      <c r="G168" s="79" t="s">
        <v>2268</v>
      </c>
      <c r="H168" s="79"/>
      <c r="I168" s="79"/>
    </row>
    <row r="169" spans="1:9" ht="14.25">
      <c r="A169" s="79" t="s">
        <v>2266</v>
      </c>
      <c r="B169" s="79" t="s">
        <v>2267</v>
      </c>
      <c r="C169" s="79">
        <v>590247774</v>
      </c>
      <c r="D169" s="79">
        <v>0</v>
      </c>
      <c r="E169" s="79" t="s">
        <v>1124</v>
      </c>
      <c r="F169" s="79" t="s">
        <v>2213</v>
      </c>
      <c r="G169" s="79" t="s">
        <v>2269</v>
      </c>
      <c r="H169" s="79"/>
      <c r="I169" s="79"/>
    </row>
    <row r="170" spans="1:9" ht="14.25">
      <c r="A170" s="79" t="s">
        <v>2266</v>
      </c>
      <c r="B170" s="79" t="s">
        <v>2267</v>
      </c>
      <c r="C170" s="79">
        <v>590247774</v>
      </c>
      <c r="D170" s="79">
        <v>0</v>
      </c>
      <c r="E170" s="79" t="s">
        <v>1124</v>
      </c>
      <c r="F170" s="79" t="s">
        <v>2213</v>
      </c>
      <c r="G170" s="79" t="s">
        <v>2270</v>
      </c>
      <c r="H170" s="79"/>
      <c r="I170" s="79"/>
    </row>
    <row r="171" spans="1:9" ht="14.25">
      <c r="A171" s="79" t="s">
        <v>2266</v>
      </c>
      <c r="B171" s="79" t="s">
        <v>2267</v>
      </c>
      <c r="C171" s="79">
        <v>590247774</v>
      </c>
      <c r="D171" s="79">
        <v>0</v>
      </c>
      <c r="E171" s="79" t="s">
        <v>1124</v>
      </c>
      <c r="F171" s="79" t="s">
        <v>2213</v>
      </c>
      <c r="G171" s="79" t="s">
        <v>2271</v>
      </c>
      <c r="H171" s="79"/>
      <c r="I171" s="79"/>
    </row>
    <row r="172" spans="1:9" ht="14.25">
      <c r="A172" s="79" t="s">
        <v>2266</v>
      </c>
      <c r="B172" s="79" t="s">
        <v>2267</v>
      </c>
      <c r="C172" s="79">
        <v>590247774</v>
      </c>
      <c r="D172" s="79">
        <v>0</v>
      </c>
      <c r="E172" s="79" t="s">
        <v>1124</v>
      </c>
      <c r="F172" s="79" t="s">
        <v>2213</v>
      </c>
      <c r="G172" s="79" t="s">
        <v>2102</v>
      </c>
      <c r="H172" s="79"/>
      <c r="I172" s="79"/>
    </row>
    <row r="173" spans="1:9" ht="14.25">
      <c r="A173" s="79" t="s">
        <v>2272</v>
      </c>
      <c r="B173" s="79" t="s">
        <v>2273</v>
      </c>
      <c r="C173" s="79">
        <v>590247775</v>
      </c>
      <c r="D173" s="79">
        <v>0</v>
      </c>
      <c r="E173" s="79" t="s">
        <v>1124</v>
      </c>
      <c r="F173" s="79" t="s">
        <v>2213</v>
      </c>
      <c r="G173" s="79" t="s">
        <v>2274</v>
      </c>
      <c r="H173" s="79"/>
      <c r="I173" s="79"/>
    </row>
    <row r="174" spans="1:9" ht="14.25">
      <c r="A174" s="79" t="s">
        <v>2272</v>
      </c>
      <c r="B174" s="79" t="s">
        <v>2273</v>
      </c>
      <c r="C174" s="79">
        <v>590247775</v>
      </c>
      <c r="D174" s="79">
        <v>0</v>
      </c>
      <c r="E174" s="79" t="s">
        <v>1124</v>
      </c>
      <c r="F174" s="79" t="s">
        <v>2213</v>
      </c>
      <c r="G174" s="79" t="s">
        <v>2275</v>
      </c>
      <c r="H174" s="79"/>
      <c r="I174" s="79"/>
    </row>
    <row r="175" spans="1:9" ht="14.25">
      <c r="A175" s="79" t="s">
        <v>2272</v>
      </c>
      <c r="B175" s="79" t="s">
        <v>2273</v>
      </c>
      <c r="C175" s="79">
        <v>590247775</v>
      </c>
      <c r="D175" s="79">
        <v>0</v>
      </c>
      <c r="E175" s="79" t="s">
        <v>1124</v>
      </c>
      <c r="F175" s="79" t="s">
        <v>2213</v>
      </c>
      <c r="G175" s="79" t="s">
        <v>2276</v>
      </c>
      <c r="H175" s="79"/>
      <c r="I175" s="79"/>
    </row>
    <row r="176" spans="1:9" ht="14.25">
      <c r="A176" s="79" t="s">
        <v>2272</v>
      </c>
      <c r="B176" s="79" t="s">
        <v>2273</v>
      </c>
      <c r="C176" s="79">
        <v>590247775</v>
      </c>
      <c r="D176" s="79">
        <v>0</v>
      </c>
      <c r="E176" s="79" t="s">
        <v>1124</v>
      </c>
      <c r="F176" s="79" t="s">
        <v>2213</v>
      </c>
      <c r="G176" s="79" t="s">
        <v>2277</v>
      </c>
      <c r="H176" s="79"/>
      <c r="I176" s="79"/>
    </row>
    <row r="177" spans="1:9" ht="14.25">
      <c r="A177" s="79" t="s">
        <v>2272</v>
      </c>
      <c r="B177" s="79" t="s">
        <v>2273</v>
      </c>
      <c r="C177" s="79">
        <v>590247775</v>
      </c>
      <c r="D177" s="79">
        <v>0</v>
      </c>
      <c r="E177" s="79" t="s">
        <v>1124</v>
      </c>
      <c r="F177" s="79" t="s">
        <v>2213</v>
      </c>
      <c r="G177" s="79" t="s">
        <v>2102</v>
      </c>
      <c r="H177" s="79"/>
      <c r="I177" s="79"/>
    </row>
    <row r="178" spans="1:9" ht="14.25">
      <c r="A178" s="79" t="s">
        <v>2278</v>
      </c>
      <c r="B178" s="79" t="s">
        <v>2279</v>
      </c>
      <c r="C178" s="79">
        <v>590247776</v>
      </c>
      <c r="D178" s="79">
        <v>0</v>
      </c>
      <c r="E178" s="79" t="s">
        <v>1124</v>
      </c>
      <c r="F178" s="79" t="s">
        <v>2213</v>
      </c>
      <c r="G178" s="79" t="s">
        <v>2280</v>
      </c>
      <c r="H178" s="79"/>
      <c r="I178" s="79"/>
    </row>
    <row r="179" spans="1:9" ht="14.25">
      <c r="A179" s="79" t="s">
        <v>2278</v>
      </c>
      <c r="B179" s="79" t="s">
        <v>2279</v>
      </c>
      <c r="C179" s="79">
        <v>590247776</v>
      </c>
      <c r="D179" s="79">
        <v>0</v>
      </c>
      <c r="E179" s="79" t="s">
        <v>1124</v>
      </c>
      <c r="F179" s="79" t="s">
        <v>2213</v>
      </c>
      <c r="G179" s="79" t="s">
        <v>2281</v>
      </c>
      <c r="H179" s="79"/>
      <c r="I179" s="79"/>
    </row>
    <row r="180" spans="1:9" ht="14.25">
      <c r="A180" s="79" t="s">
        <v>2278</v>
      </c>
      <c r="B180" s="79" t="s">
        <v>2279</v>
      </c>
      <c r="C180" s="79">
        <v>590247776</v>
      </c>
      <c r="D180" s="79">
        <v>0</v>
      </c>
      <c r="E180" s="79" t="s">
        <v>1124</v>
      </c>
      <c r="F180" s="79" t="s">
        <v>2213</v>
      </c>
      <c r="G180" s="79" t="s">
        <v>2102</v>
      </c>
      <c r="H180" s="79"/>
      <c r="I180" s="79"/>
    </row>
    <row r="181" spans="1:9" ht="14.25">
      <c r="A181" s="79" t="s">
        <v>2282</v>
      </c>
      <c r="B181" s="79" t="s">
        <v>2283</v>
      </c>
      <c r="C181" s="79">
        <v>590247777</v>
      </c>
      <c r="D181" s="79">
        <v>0</v>
      </c>
      <c r="E181" s="79" t="s">
        <v>1124</v>
      </c>
      <c r="F181" s="79" t="s">
        <v>2213</v>
      </c>
      <c r="G181" s="79" t="s">
        <v>2284</v>
      </c>
      <c r="H181" s="79"/>
      <c r="I181" s="79"/>
    </row>
    <row r="182" spans="1:9" ht="14.25">
      <c r="A182" s="79" t="s">
        <v>2282</v>
      </c>
      <c r="B182" s="79" t="s">
        <v>2283</v>
      </c>
      <c r="C182" s="79">
        <v>590247777</v>
      </c>
      <c r="D182" s="79">
        <v>0</v>
      </c>
      <c r="E182" s="79" t="s">
        <v>1124</v>
      </c>
      <c r="F182" s="79" t="s">
        <v>2213</v>
      </c>
      <c r="G182" s="79" t="s">
        <v>2285</v>
      </c>
      <c r="H182" s="79"/>
      <c r="I182" s="79"/>
    </row>
    <row r="183" spans="1:9" ht="14.25">
      <c r="A183" s="79" t="s">
        <v>2282</v>
      </c>
      <c r="B183" s="79" t="s">
        <v>2283</v>
      </c>
      <c r="C183" s="79">
        <v>590247777</v>
      </c>
      <c r="D183" s="79">
        <v>0</v>
      </c>
      <c r="E183" s="79" t="s">
        <v>1124</v>
      </c>
      <c r="F183" s="79" t="s">
        <v>2213</v>
      </c>
      <c r="G183" s="79" t="s">
        <v>2286</v>
      </c>
      <c r="H183" s="79"/>
      <c r="I183" s="79"/>
    </row>
    <row r="184" spans="1:9" ht="14.25">
      <c r="A184" s="79" t="s">
        <v>2282</v>
      </c>
      <c r="B184" s="79" t="s">
        <v>2283</v>
      </c>
      <c r="C184" s="79">
        <v>590247777</v>
      </c>
      <c r="D184" s="79">
        <v>0</v>
      </c>
      <c r="E184" s="79" t="s">
        <v>1124</v>
      </c>
      <c r="F184" s="79" t="s">
        <v>2213</v>
      </c>
      <c r="G184" s="79" t="s">
        <v>2287</v>
      </c>
      <c r="H184" s="79"/>
      <c r="I184" s="79"/>
    </row>
    <row r="185" spans="1:9" ht="14.25">
      <c r="A185" s="79" t="s">
        <v>2282</v>
      </c>
      <c r="B185" s="79" t="s">
        <v>2283</v>
      </c>
      <c r="C185" s="79">
        <v>590247777</v>
      </c>
      <c r="D185" s="79">
        <v>0</v>
      </c>
      <c r="E185" s="79" t="s">
        <v>1124</v>
      </c>
      <c r="F185" s="79" t="s">
        <v>2288</v>
      </c>
      <c r="G185" s="79" t="s">
        <v>2289</v>
      </c>
      <c r="H185" s="79"/>
      <c r="I185" s="79"/>
    </row>
    <row r="186" spans="1:9" ht="14.25">
      <c r="A186" s="79" t="s">
        <v>2282</v>
      </c>
      <c r="B186" s="79" t="s">
        <v>2283</v>
      </c>
      <c r="C186" s="79">
        <v>590247777</v>
      </c>
      <c r="D186" s="79">
        <v>0</v>
      </c>
      <c r="E186" s="79" t="s">
        <v>1124</v>
      </c>
      <c r="F186" s="79" t="s">
        <v>2288</v>
      </c>
      <c r="G186" s="79" t="s">
        <v>2107</v>
      </c>
      <c r="H186" s="79"/>
      <c r="I186" s="79"/>
    </row>
    <row r="187" spans="1:9" ht="14.25">
      <c r="A187" s="79" t="s">
        <v>2282</v>
      </c>
      <c r="B187" s="79" t="s">
        <v>2283</v>
      </c>
      <c r="C187" s="79">
        <v>590247777</v>
      </c>
      <c r="D187" s="79">
        <v>0</v>
      </c>
      <c r="E187" s="79" t="s">
        <v>1124</v>
      </c>
      <c r="F187" s="79" t="s">
        <v>2290</v>
      </c>
      <c r="G187" s="79" t="s">
        <v>2291</v>
      </c>
      <c r="H187" s="79"/>
      <c r="I187" s="79"/>
    </row>
    <row r="188" spans="1:9" ht="14.25">
      <c r="A188" s="79" t="s">
        <v>2282</v>
      </c>
      <c r="B188" s="79" t="s">
        <v>2283</v>
      </c>
      <c r="C188" s="79">
        <v>590247777</v>
      </c>
      <c r="D188" s="79">
        <v>0</v>
      </c>
      <c r="E188" s="79" t="s">
        <v>1124</v>
      </c>
      <c r="F188" s="79" t="s">
        <v>2290</v>
      </c>
      <c r="G188" s="79" t="s">
        <v>2101</v>
      </c>
      <c r="H188" s="79"/>
      <c r="I188" s="79"/>
    </row>
    <row r="189" spans="1:9" ht="14.25">
      <c r="A189" s="79" t="s">
        <v>2282</v>
      </c>
      <c r="B189" s="79" t="s">
        <v>2283</v>
      </c>
      <c r="C189" s="79">
        <v>590247777</v>
      </c>
      <c r="D189" s="79">
        <v>0</v>
      </c>
      <c r="E189" s="79" t="s">
        <v>1124</v>
      </c>
      <c r="F189" s="79" t="s">
        <v>2290</v>
      </c>
      <c r="G189" s="79" t="s">
        <v>2292</v>
      </c>
      <c r="H189" s="79"/>
      <c r="I189" s="79"/>
    </row>
    <row r="190" spans="1:9" ht="14.25">
      <c r="A190" s="79" t="s">
        <v>2282</v>
      </c>
      <c r="B190" s="79" t="s">
        <v>2283</v>
      </c>
      <c r="C190" s="79">
        <v>590247777</v>
      </c>
      <c r="D190" s="79">
        <v>0</v>
      </c>
      <c r="E190" s="79" t="s">
        <v>1124</v>
      </c>
      <c r="F190" s="79" t="s">
        <v>2290</v>
      </c>
      <c r="G190" s="79" t="s">
        <v>2293</v>
      </c>
      <c r="H190" s="79"/>
      <c r="I190" s="79"/>
    </row>
    <row r="191" spans="1:9" ht="14.25">
      <c r="A191" s="79" t="s">
        <v>2294</v>
      </c>
      <c r="B191" s="79" t="s">
        <v>2295</v>
      </c>
      <c r="C191" s="79">
        <v>590247779</v>
      </c>
      <c r="D191" s="79">
        <v>0</v>
      </c>
      <c r="E191" s="79" t="s">
        <v>1124</v>
      </c>
      <c r="F191" s="79" t="s">
        <v>2290</v>
      </c>
      <c r="G191" s="79" t="s">
        <v>2296</v>
      </c>
      <c r="H191" s="79"/>
      <c r="I191" s="79"/>
    </row>
    <row r="192" spans="1:9" ht="14.25">
      <c r="A192" s="79" t="s">
        <v>2294</v>
      </c>
      <c r="B192" s="79" t="s">
        <v>2295</v>
      </c>
      <c r="C192" s="79">
        <v>590247779</v>
      </c>
      <c r="D192" s="79">
        <v>0</v>
      </c>
      <c r="E192" s="79" t="s">
        <v>1124</v>
      </c>
      <c r="F192" s="79" t="s">
        <v>2290</v>
      </c>
      <c r="G192" s="79" t="s">
        <v>1294</v>
      </c>
      <c r="H192" s="79"/>
      <c r="I192" s="79"/>
    </row>
    <row r="193" spans="1:9" ht="14.25">
      <c r="A193" s="79" t="s">
        <v>2297</v>
      </c>
      <c r="B193" s="79" t="s">
        <v>2298</v>
      </c>
      <c r="C193" s="79">
        <v>590247780</v>
      </c>
      <c r="D193" s="79">
        <v>0</v>
      </c>
      <c r="E193" s="79" t="s">
        <v>1124</v>
      </c>
      <c r="F193" s="79" t="s">
        <v>2288</v>
      </c>
      <c r="G193" s="79" t="s">
        <v>2299</v>
      </c>
      <c r="H193" s="79"/>
      <c r="I193" s="79"/>
    </row>
    <row r="194" spans="1:9" ht="14.25">
      <c r="A194" s="79" t="s">
        <v>2297</v>
      </c>
      <c r="B194" s="79" t="s">
        <v>2298</v>
      </c>
      <c r="C194" s="79">
        <v>590247780</v>
      </c>
      <c r="D194" s="79">
        <v>0</v>
      </c>
      <c r="E194" s="79" t="s">
        <v>1124</v>
      </c>
      <c r="F194" s="79" t="s">
        <v>2288</v>
      </c>
      <c r="G194" s="79" t="s">
        <v>2300</v>
      </c>
      <c r="H194" s="79"/>
      <c r="I194" s="79"/>
    </row>
    <row r="195" spans="1:9" ht="14.25">
      <c r="A195" s="79" t="s">
        <v>2297</v>
      </c>
      <c r="B195" s="79" t="s">
        <v>2298</v>
      </c>
      <c r="C195" s="79">
        <v>590247780</v>
      </c>
      <c r="D195" s="79">
        <v>0</v>
      </c>
      <c r="E195" s="79" t="s">
        <v>1124</v>
      </c>
      <c r="F195" s="79" t="s">
        <v>2288</v>
      </c>
      <c r="G195" s="79" t="s">
        <v>2107</v>
      </c>
      <c r="H195" s="79"/>
      <c r="I195" s="79"/>
    </row>
    <row r="196" spans="1:9" ht="14.25">
      <c r="A196" s="79" t="s">
        <v>2301</v>
      </c>
      <c r="B196" s="79" t="s">
        <v>2302</v>
      </c>
      <c r="C196" s="79">
        <v>590247783</v>
      </c>
      <c r="D196" s="79">
        <v>0</v>
      </c>
      <c r="E196" s="79" t="s">
        <v>1124</v>
      </c>
      <c r="F196" s="79" t="s">
        <v>2288</v>
      </c>
      <c r="G196" s="79" t="s">
        <v>2303</v>
      </c>
      <c r="H196" s="79"/>
      <c r="I196" s="79"/>
    </row>
    <row r="197" spans="1:9" ht="14.25">
      <c r="A197" s="79" t="s">
        <v>2301</v>
      </c>
      <c r="B197" s="79" t="s">
        <v>2302</v>
      </c>
      <c r="C197" s="79">
        <v>590247783</v>
      </c>
      <c r="D197" s="79">
        <v>0</v>
      </c>
      <c r="E197" s="79" t="s">
        <v>1124</v>
      </c>
      <c r="F197" s="79" t="s">
        <v>2288</v>
      </c>
      <c r="G197" s="79" t="s">
        <v>2304</v>
      </c>
      <c r="H197" s="79"/>
      <c r="I197" s="79"/>
    </row>
    <row r="198" spans="1:9" ht="14.25">
      <c r="A198" s="79" t="s">
        <v>2301</v>
      </c>
      <c r="B198" s="79" t="s">
        <v>2302</v>
      </c>
      <c r="C198" s="79">
        <v>590247783</v>
      </c>
      <c r="D198" s="79">
        <v>0</v>
      </c>
      <c r="E198" s="79" t="s">
        <v>1124</v>
      </c>
      <c r="F198" s="79" t="s">
        <v>2288</v>
      </c>
      <c r="G198" s="79" t="s">
        <v>2107</v>
      </c>
      <c r="H198" s="79"/>
      <c r="I198" s="79"/>
    </row>
    <row r="199" spans="1:9" ht="14.25">
      <c r="A199" s="79" t="s">
        <v>2305</v>
      </c>
      <c r="B199" s="79" t="s">
        <v>2306</v>
      </c>
      <c r="C199" s="79">
        <v>590247786</v>
      </c>
      <c r="D199" s="79">
        <v>0</v>
      </c>
      <c r="E199" s="79" t="s">
        <v>1124</v>
      </c>
      <c r="F199" s="79" t="s">
        <v>2288</v>
      </c>
      <c r="G199" s="79" t="s">
        <v>2307</v>
      </c>
      <c r="H199" s="79"/>
      <c r="I199" s="79"/>
    </row>
    <row r="200" spans="1:9" ht="14.25">
      <c r="A200" s="79" t="s">
        <v>2305</v>
      </c>
      <c r="B200" s="79" t="s">
        <v>2306</v>
      </c>
      <c r="C200" s="79">
        <v>590247786</v>
      </c>
      <c r="D200" s="79">
        <v>0</v>
      </c>
      <c r="E200" s="79" t="s">
        <v>1124</v>
      </c>
      <c r="F200" s="79" t="s">
        <v>2288</v>
      </c>
      <c r="G200" s="79" t="s">
        <v>2308</v>
      </c>
      <c r="H200" s="79"/>
      <c r="I200" s="79"/>
    </row>
    <row r="201" spans="1:9" ht="14.25">
      <c r="A201" s="79" t="s">
        <v>2305</v>
      </c>
      <c r="B201" s="79" t="s">
        <v>2306</v>
      </c>
      <c r="C201" s="79">
        <v>590247786</v>
      </c>
      <c r="D201" s="79">
        <v>0</v>
      </c>
      <c r="E201" s="79" t="s">
        <v>1124</v>
      </c>
      <c r="F201" s="79" t="s">
        <v>2288</v>
      </c>
      <c r="G201" s="79" t="s">
        <v>2107</v>
      </c>
      <c r="H201" s="79"/>
      <c r="I201" s="79"/>
    </row>
    <row r="202" spans="1:9" ht="14.25">
      <c r="A202" s="79" t="s">
        <v>2309</v>
      </c>
      <c r="B202" s="79" t="s">
        <v>2310</v>
      </c>
      <c r="C202" s="79">
        <v>590247789</v>
      </c>
      <c r="D202" s="79">
        <v>0</v>
      </c>
      <c r="E202" s="79" t="s">
        <v>1124</v>
      </c>
      <c r="F202" s="79" t="s">
        <v>2288</v>
      </c>
      <c r="G202" s="79" t="s">
        <v>2311</v>
      </c>
      <c r="H202" s="79"/>
      <c r="I202" s="79"/>
    </row>
    <row r="203" spans="1:9" ht="14.25">
      <c r="A203" s="79" t="s">
        <v>2309</v>
      </c>
      <c r="B203" s="79" t="s">
        <v>2310</v>
      </c>
      <c r="C203" s="79">
        <v>590247789</v>
      </c>
      <c r="D203" s="79">
        <v>0</v>
      </c>
      <c r="E203" s="79" t="s">
        <v>1124</v>
      </c>
      <c r="F203" s="79" t="s">
        <v>2288</v>
      </c>
      <c r="G203" s="79" t="s">
        <v>2312</v>
      </c>
      <c r="H203" s="79"/>
      <c r="I203" s="79"/>
    </row>
    <row r="204" spans="1:9" ht="14.25">
      <c r="A204" s="79" t="s">
        <v>2309</v>
      </c>
      <c r="B204" s="79" t="s">
        <v>2310</v>
      </c>
      <c r="C204" s="79">
        <v>590247789</v>
      </c>
      <c r="D204" s="79">
        <v>0</v>
      </c>
      <c r="E204" s="79" t="s">
        <v>1124</v>
      </c>
      <c r="F204" s="79" t="s">
        <v>2288</v>
      </c>
      <c r="G204" s="79" t="s">
        <v>2107</v>
      </c>
      <c r="H204" s="79"/>
      <c r="I204" s="79"/>
    </row>
    <row r="205" spans="1:9" ht="14.25">
      <c r="A205" s="79" t="s">
        <v>2313</v>
      </c>
      <c r="B205" s="79" t="s">
        <v>2314</v>
      </c>
      <c r="C205" s="79">
        <v>590247792</v>
      </c>
      <c r="D205" s="79">
        <v>0</v>
      </c>
      <c r="E205" s="79" t="s">
        <v>1124</v>
      </c>
      <c r="F205" s="79" t="s">
        <v>2288</v>
      </c>
      <c r="G205" s="79" t="s">
        <v>2156</v>
      </c>
      <c r="H205" s="79"/>
      <c r="I205" s="79"/>
    </row>
    <row r="206" spans="1:9" ht="14.25">
      <c r="A206" s="79" t="s">
        <v>2313</v>
      </c>
      <c r="B206" s="79" t="s">
        <v>2314</v>
      </c>
      <c r="C206" s="79">
        <v>590247792</v>
      </c>
      <c r="D206" s="79">
        <v>0</v>
      </c>
      <c r="E206" s="79" t="s">
        <v>1124</v>
      </c>
      <c r="F206" s="79" t="s">
        <v>2288</v>
      </c>
      <c r="G206" s="79" t="s">
        <v>2147</v>
      </c>
      <c r="H206" s="79"/>
      <c r="I206" s="79"/>
    </row>
    <row r="207" spans="1:9" ht="14.25">
      <c r="A207" s="79" t="s">
        <v>2313</v>
      </c>
      <c r="B207" s="79" t="s">
        <v>2314</v>
      </c>
      <c r="C207" s="79">
        <v>590247792</v>
      </c>
      <c r="D207" s="79">
        <v>0</v>
      </c>
      <c r="E207" s="79" t="s">
        <v>1124</v>
      </c>
      <c r="F207" s="79" t="s">
        <v>2288</v>
      </c>
      <c r="G207" s="79" t="s">
        <v>2107</v>
      </c>
      <c r="H207" s="79"/>
      <c r="I207" s="79"/>
    </row>
    <row r="208" spans="1:9" ht="14.25">
      <c r="A208" s="79" t="s">
        <v>2315</v>
      </c>
      <c r="B208" s="79" t="s">
        <v>2316</v>
      </c>
      <c r="C208" s="79">
        <v>590247795</v>
      </c>
      <c r="D208" s="79">
        <v>0</v>
      </c>
      <c r="E208" s="79" t="s">
        <v>1124</v>
      </c>
      <c r="F208" s="79" t="s">
        <v>2288</v>
      </c>
      <c r="G208" s="79" t="s">
        <v>2317</v>
      </c>
      <c r="H208" s="79"/>
      <c r="I208" s="79"/>
    </row>
    <row r="209" spans="1:9" ht="14.25">
      <c r="A209" s="79" t="s">
        <v>2315</v>
      </c>
      <c r="B209" s="79" t="s">
        <v>2316</v>
      </c>
      <c r="C209" s="79">
        <v>590247795</v>
      </c>
      <c r="D209" s="79">
        <v>0</v>
      </c>
      <c r="E209" s="79" t="s">
        <v>1124</v>
      </c>
      <c r="F209" s="79" t="s">
        <v>2288</v>
      </c>
      <c r="G209" s="79" t="s">
        <v>2143</v>
      </c>
      <c r="H209" s="79"/>
      <c r="I209" s="79"/>
    </row>
    <row r="210" spans="1:9" ht="14.25">
      <c r="A210" s="79" t="s">
        <v>2315</v>
      </c>
      <c r="B210" s="79" t="s">
        <v>2316</v>
      </c>
      <c r="C210" s="79">
        <v>590247795</v>
      </c>
      <c r="D210" s="79">
        <v>0</v>
      </c>
      <c r="E210" s="79" t="s">
        <v>1124</v>
      </c>
      <c r="F210" s="79" t="s">
        <v>2288</v>
      </c>
      <c r="G210" s="79" t="s">
        <v>2107</v>
      </c>
      <c r="H210" s="79"/>
      <c r="I210" s="79"/>
    </row>
    <row r="211" spans="1:9" ht="14.25">
      <c r="A211" s="79" t="s">
        <v>2318</v>
      </c>
      <c r="B211" s="79" t="s">
        <v>2319</v>
      </c>
      <c r="C211" s="79">
        <v>590247798</v>
      </c>
      <c r="D211" s="79">
        <v>0</v>
      </c>
      <c r="E211" s="79" t="s">
        <v>1124</v>
      </c>
      <c r="F211" s="79" t="s">
        <v>2288</v>
      </c>
      <c r="G211" s="79" t="s">
        <v>2320</v>
      </c>
      <c r="H211" s="79"/>
      <c r="I211" s="79"/>
    </row>
    <row r="212" spans="1:9" ht="14.25">
      <c r="A212" s="79" t="s">
        <v>2318</v>
      </c>
      <c r="B212" s="79" t="s">
        <v>2319</v>
      </c>
      <c r="C212" s="79">
        <v>590247798</v>
      </c>
      <c r="D212" s="79">
        <v>0</v>
      </c>
      <c r="E212" s="79" t="s">
        <v>1124</v>
      </c>
      <c r="F212" s="79" t="s">
        <v>2288</v>
      </c>
      <c r="G212" s="79" t="s">
        <v>2139</v>
      </c>
      <c r="H212" s="79"/>
      <c r="I212" s="79"/>
    </row>
    <row r="213" spans="1:9" ht="14.25">
      <c r="A213" s="79" t="s">
        <v>2318</v>
      </c>
      <c r="B213" s="79" t="s">
        <v>2319</v>
      </c>
      <c r="C213" s="79">
        <v>590247798</v>
      </c>
      <c r="D213" s="79">
        <v>0</v>
      </c>
      <c r="E213" s="79" t="s">
        <v>1124</v>
      </c>
      <c r="F213" s="79" t="s">
        <v>2288</v>
      </c>
      <c r="G213" s="79" t="s">
        <v>2107</v>
      </c>
      <c r="H213" s="79"/>
      <c r="I213" s="79"/>
    </row>
    <row r="214" spans="1:9" ht="14.25">
      <c r="A214" s="79" t="s">
        <v>2321</v>
      </c>
      <c r="B214" s="79" t="s">
        <v>2322</v>
      </c>
      <c r="C214" s="79">
        <v>590247801</v>
      </c>
      <c r="D214" s="79">
        <v>0</v>
      </c>
      <c r="E214" s="79" t="s">
        <v>1124</v>
      </c>
      <c r="F214" s="79" t="s">
        <v>2288</v>
      </c>
      <c r="G214" s="79" t="s">
        <v>2323</v>
      </c>
      <c r="H214" s="79"/>
      <c r="I214" s="79"/>
    </row>
    <row r="215" spans="1:9" ht="14.25">
      <c r="A215" s="79" t="s">
        <v>2321</v>
      </c>
      <c r="B215" s="79" t="s">
        <v>2322</v>
      </c>
      <c r="C215" s="79">
        <v>590247801</v>
      </c>
      <c r="D215" s="79">
        <v>0</v>
      </c>
      <c r="E215" s="79" t="s">
        <v>1124</v>
      </c>
      <c r="F215" s="79" t="s">
        <v>2288</v>
      </c>
      <c r="G215" s="79" t="s">
        <v>2135</v>
      </c>
      <c r="H215" s="79"/>
      <c r="I215" s="79"/>
    </row>
    <row r="216" spans="1:9" ht="14.25">
      <c r="A216" s="79" t="s">
        <v>2321</v>
      </c>
      <c r="B216" s="79" t="s">
        <v>2322</v>
      </c>
      <c r="C216" s="79">
        <v>590247801</v>
      </c>
      <c r="D216" s="79">
        <v>0</v>
      </c>
      <c r="E216" s="79" t="s">
        <v>1124</v>
      </c>
      <c r="F216" s="79" t="s">
        <v>2288</v>
      </c>
      <c r="G216" s="79" t="s">
        <v>2107</v>
      </c>
      <c r="H216" s="79"/>
      <c r="I216" s="79"/>
    </row>
    <row r="217" spans="1:9" ht="14.25">
      <c r="A217" s="79" t="s">
        <v>2324</v>
      </c>
      <c r="B217" s="79" t="s">
        <v>2325</v>
      </c>
      <c r="C217" s="79">
        <v>590247804</v>
      </c>
      <c r="D217" s="79">
        <v>0</v>
      </c>
      <c r="E217" s="79" t="s">
        <v>1124</v>
      </c>
      <c r="F217" s="79" t="s">
        <v>2288</v>
      </c>
      <c r="G217" s="79" t="s">
        <v>2326</v>
      </c>
      <c r="H217" s="79"/>
      <c r="I217" s="79"/>
    </row>
    <row r="218" spans="1:9" ht="14.25">
      <c r="A218" s="79" t="s">
        <v>2324</v>
      </c>
      <c r="B218" s="79" t="s">
        <v>2325</v>
      </c>
      <c r="C218" s="79">
        <v>590247804</v>
      </c>
      <c r="D218" s="79">
        <v>0</v>
      </c>
      <c r="E218" s="79" t="s">
        <v>1124</v>
      </c>
      <c r="F218" s="79" t="s">
        <v>2288</v>
      </c>
      <c r="G218" s="79" t="s">
        <v>2131</v>
      </c>
      <c r="H218" s="79"/>
      <c r="I218" s="79"/>
    </row>
    <row r="219" spans="1:9" ht="14.25">
      <c r="A219" s="79" t="s">
        <v>2324</v>
      </c>
      <c r="B219" s="79" t="s">
        <v>2325</v>
      </c>
      <c r="C219" s="79">
        <v>590247804</v>
      </c>
      <c r="D219" s="79">
        <v>0</v>
      </c>
      <c r="E219" s="79" t="s">
        <v>1124</v>
      </c>
      <c r="F219" s="79" t="s">
        <v>2288</v>
      </c>
      <c r="G219" s="79" t="s">
        <v>2107</v>
      </c>
      <c r="H219" s="79"/>
      <c r="I219" s="79"/>
    </row>
    <row r="220" spans="1:9" ht="14.25">
      <c r="A220" s="79" t="s">
        <v>2327</v>
      </c>
      <c r="B220" s="79" t="s">
        <v>2328</v>
      </c>
      <c r="C220" s="79">
        <v>590247807</v>
      </c>
      <c r="D220" s="79">
        <v>0</v>
      </c>
      <c r="E220" s="79" t="s">
        <v>1124</v>
      </c>
      <c r="F220" s="79" t="s">
        <v>2213</v>
      </c>
      <c r="G220" s="79" t="s">
        <v>2329</v>
      </c>
      <c r="H220" s="79"/>
      <c r="I220" s="79"/>
    </row>
    <row r="221" spans="1:9" ht="14.25">
      <c r="A221" s="79" t="s">
        <v>2327</v>
      </c>
      <c r="B221" s="79" t="s">
        <v>2328</v>
      </c>
      <c r="C221" s="79">
        <v>590247807</v>
      </c>
      <c r="D221" s="79">
        <v>0</v>
      </c>
      <c r="E221" s="79" t="s">
        <v>1124</v>
      </c>
      <c r="F221" s="79" t="s">
        <v>2213</v>
      </c>
      <c r="G221" s="79" t="s">
        <v>2287</v>
      </c>
      <c r="H221" s="79"/>
      <c r="I221" s="79"/>
    </row>
    <row r="222" spans="1:9" ht="14.25">
      <c r="A222" s="79" t="s">
        <v>2327</v>
      </c>
      <c r="B222" s="79" t="s">
        <v>2328</v>
      </c>
      <c r="C222" s="79">
        <v>590247807</v>
      </c>
      <c r="D222" s="79">
        <v>0</v>
      </c>
      <c r="E222" s="79" t="s">
        <v>1124</v>
      </c>
      <c r="F222" s="79" t="s">
        <v>2288</v>
      </c>
      <c r="G222" s="79" t="s">
        <v>2330</v>
      </c>
      <c r="H222" s="79"/>
      <c r="I222" s="79"/>
    </row>
    <row r="223" spans="1:9" ht="14.25">
      <c r="A223" s="79" t="s">
        <v>2327</v>
      </c>
      <c r="B223" s="79" t="s">
        <v>2328</v>
      </c>
      <c r="C223" s="79">
        <v>590247807</v>
      </c>
      <c r="D223" s="79">
        <v>0</v>
      </c>
      <c r="E223" s="79" t="s">
        <v>1124</v>
      </c>
      <c r="F223" s="79" t="s">
        <v>2288</v>
      </c>
      <c r="G223" s="79" t="s">
        <v>2127</v>
      </c>
      <c r="H223" s="79"/>
      <c r="I223" s="79"/>
    </row>
    <row r="224" spans="1:9" ht="14.25">
      <c r="A224" s="79" t="s">
        <v>2327</v>
      </c>
      <c r="B224" s="79" t="s">
        <v>2328</v>
      </c>
      <c r="C224" s="79">
        <v>590247807</v>
      </c>
      <c r="D224" s="79">
        <v>0</v>
      </c>
      <c r="E224" s="79" t="s">
        <v>1124</v>
      </c>
      <c r="F224" s="79" t="s">
        <v>2288</v>
      </c>
      <c r="G224" s="79" t="s">
        <v>2107</v>
      </c>
      <c r="H224" s="79"/>
      <c r="I224" s="79"/>
    </row>
    <row r="225" spans="1:9" ht="14.25">
      <c r="A225" s="79" t="s">
        <v>2327</v>
      </c>
      <c r="B225" s="79" t="s">
        <v>2328</v>
      </c>
      <c r="C225" s="79">
        <v>590247807</v>
      </c>
      <c r="D225" s="79">
        <v>0</v>
      </c>
      <c r="E225" s="79" t="s">
        <v>1124</v>
      </c>
      <c r="F225" s="79" t="s">
        <v>2331</v>
      </c>
      <c r="G225" s="79" t="s">
        <v>2332</v>
      </c>
      <c r="H225" s="79"/>
      <c r="I225" s="79"/>
    </row>
    <row r="226" spans="1:9" ht="14.25">
      <c r="A226" s="79" t="s">
        <v>2327</v>
      </c>
      <c r="B226" s="79" t="s">
        <v>2328</v>
      </c>
      <c r="C226" s="79">
        <v>590247807</v>
      </c>
      <c r="D226" s="79">
        <v>0</v>
      </c>
      <c r="E226" s="79" t="s">
        <v>1124</v>
      </c>
      <c r="F226" s="79" t="s">
        <v>2331</v>
      </c>
      <c r="G226" s="79" t="s">
        <v>2101</v>
      </c>
      <c r="H226" s="79"/>
      <c r="I226" s="79"/>
    </row>
    <row r="227" spans="1:9" ht="14.25">
      <c r="A227" s="79" t="s">
        <v>2327</v>
      </c>
      <c r="B227" s="79" t="s">
        <v>2328</v>
      </c>
      <c r="C227" s="79">
        <v>590247807</v>
      </c>
      <c r="D227" s="79">
        <v>0</v>
      </c>
      <c r="E227" s="79" t="s">
        <v>1124</v>
      </c>
      <c r="F227" s="79" t="s">
        <v>2331</v>
      </c>
      <c r="G227" s="79" t="s">
        <v>2333</v>
      </c>
      <c r="H227" s="79"/>
      <c r="I227" s="79"/>
    </row>
    <row r="228" spans="1:9" ht="14.25">
      <c r="A228" s="79" t="s">
        <v>2327</v>
      </c>
      <c r="B228" s="79" t="s">
        <v>2328</v>
      </c>
      <c r="C228" s="79">
        <v>590247807</v>
      </c>
      <c r="D228" s="79">
        <v>0</v>
      </c>
      <c r="E228" s="79" t="s">
        <v>1124</v>
      </c>
      <c r="F228" s="79" t="s">
        <v>2331</v>
      </c>
      <c r="G228" s="79" t="s">
        <v>2293</v>
      </c>
      <c r="H228" s="79"/>
      <c r="I228" s="79"/>
    </row>
    <row r="229" spans="1:9" ht="14.25">
      <c r="A229" s="79" t="s">
        <v>2334</v>
      </c>
      <c r="B229" s="79" t="s">
        <v>2335</v>
      </c>
      <c r="C229" s="79">
        <v>590247809</v>
      </c>
      <c r="D229" s="79">
        <v>0</v>
      </c>
      <c r="E229" s="79" t="s">
        <v>1124</v>
      </c>
      <c r="F229" s="79" t="s">
        <v>2331</v>
      </c>
      <c r="G229" s="79" t="s">
        <v>2296</v>
      </c>
      <c r="H229" s="79"/>
      <c r="I229" s="79"/>
    </row>
    <row r="230" spans="1:9" ht="14.25">
      <c r="A230" s="79" t="s">
        <v>2334</v>
      </c>
      <c r="B230" s="79" t="s">
        <v>2335</v>
      </c>
      <c r="C230" s="79">
        <v>590247809</v>
      </c>
      <c r="D230" s="79">
        <v>0</v>
      </c>
      <c r="E230" s="79" t="s">
        <v>1124</v>
      </c>
      <c r="F230" s="79" t="s">
        <v>2331</v>
      </c>
      <c r="G230" s="79" t="s">
        <v>1294</v>
      </c>
      <c r="H230" s="79"/>
      <c r="I230" s="79"/>
    </row>
    <row r="231" spans="1:9" ht="14.25">
      <c r="A231" s="79" t="s">
        <v>2336</v>
      </c>
      <c r="B231" s="79" t="s">
        <v>2337</v>
      </c>
      <c r="C231" s="79">
        <v>590247810</v>
      </c>
      <c r="D231" s="79">
        <v>0</v>
      </c>
      <c r="E231" s="79" t="s">
        <v>1124</v>
      </c>
      <c r="F231" s="79" t="s">
        <v>2288</v>
      </c>
      <c r="G231" s="79" t="s">
        <v>2338</v>
      </c>
      <c r="H231" s="79"/>
      <c r="I231" s="79"/>
    </row>
    <row r="232" spans="1:9" ht="14.25">
      <c r="A232" s="79" t="s">
        <v>2336</v>
      </c>
      <c r="B232" s="79" t="s">
        <v>2337</v>
      </c>
      <c r="C232" s="79">
        <v>590247810</v>
      </c>
      <c r="D232" s="79">
        <v>0</v>
      </c>
      <c r="E232" s="79" t="s">
        <v>1124</v>
      </c>
      <c r="F232" s="79" t="s">
        <v>2288</v>
      </c>
      <c r="G232" s="79" t="s">
        <v>2123</v>
      </c>
      <c r="H232" s="79"/>
      <c r="I232" s="79"/>
    </row>
    <row r="233" spans="1:9" ht="14.25">
      <c r="A233" s="79" t="s">
        <v>2336</v>
      </c>
      <c r="B233" s="79" t="s">
        <v>2337</v>
      </c>
      <c r="C233" s="79">
        <v>590247810</v>
      </c>
      <c r="D233" s="79">
        <v>0</v>
      </c>
      <c r="E233" s="79" t="s">
        <v>1124</v>
      </c>
      <c r="F233" s="79" t="s">
        <v>2288</v>
      </c>
      <c r="G233" s="79" t="s">
        <v>2107</v>
      </c>
      <c r="H233" s="79"/>
      <c r="I233" s="79"/>
    </row>
    <row r="234" spans="1:9" ht="14.25">
      <c r="A234" s="79" t="s">
        <v>2339</v>
      </c>
      <c r="B234" s="79" t="s">
        <v>2340</v>
      </c>
      <c r="C234" s="79">
        <v>590247813</v>
      </c>
      <c r="D234" s="79">
        <v>0</v>
      </c>
      <c r="E234" s="79" t="s">
        <v>1124</v>
      </c>
      <c r="F234" s="79" t="s">
        <v>2288</v>
      </c>
      <c r="G234" s="79" t="s">
        <v>2341</v>
      </c>
      <c r="H234" s="79"/>
      <c r="I234" s="79"/>
    </row>
    <row r="235" spans="1:9" ht="14.25">
      <c r="A235" s="79" t="s">
        <v>2339</v>
      </c>
      <c r="B235" s="79" t="s">
        <v>2340</v>
      </c>
      <c r="C235" s="79">
        <v>590247813</v>
      </c>
      <c r="D235" s="79">
        <v>0</v>
      </c>
      <c r="E235" s="79" t="s">
        <v>1124</v>
      </c>
      <c r="F235" s="79" t="s">
        <v>2288</v>
      </c>
      <c r="G235" s="79" t="s">
        <v>2119</v>
      </c>
      <c r="H235" s="79"/>
      <c r="I235" s="79"/>
    </row>
    <row r="236" spans="1:9" ht="14.25">
      <c r="A236" s="79" t="s">
        <v>2339</v>
      </c>
      <c r="B236" s="79" t="s">
        <v>2340</v>
      </c>
      <c r="C236" s="79">
        <v>590247813</v>
      </c>
      <c r="D236" s="79">
        <v>0</v>
      </c>
      <c r="E236" s="79" t="s">
        <v>1124</v>
      </c>
      <c r="F236" s="79" t="s">
        <v>2288</v>
      </c>
      <c r="G236" s="79" t="s">
        <v>2107</v>
      </c>
      <c r="H236" s="79"/>
      <c r="I236" s="79"/>
    </row>
    <row r="237" spans="1:9" ht="14.25">
      <c r="A237" s="79" t="s">
        <v>2342</v>
      </c>
      <c r="B237" s="79" t="s">
        <v>2343</v>
      </c>
      <c r="C237" s="79">
        <v>590247816</v>
      </c>
      <c r="D237" s="79">
        <v>0</v>
      </c>
      <c r="E237" s="79" t="s">
        <v>1124</v>
      </c>
      <c r="F237" s="79" t="s">
        <v>2288</v>
      </c>
      <c r="G237" s="79" t="s">
        <v>2344</v>
      </c>
      <c r="H237" s="79"/>
      <c r="I237" s="79"/>
    </row>
    <row r="238" spans="1:9" ht="14.25">
      <c r="A238" s="79" t="s">
        <v>2342</v>
      </c>
      <c r="B238" s="79" t="s">
        <v>2343</v>
      </c>
      <c r="C238" s="79">
        <v>590247816</v>
      </c>
      <c r="D238" s="79">
        <v>0</v>
      </c>
      <c r="E238" s="79" t="s">
        <v>1124</v>
      </c>
      <c r="F238" s="79" t="s">
        <v>2288</v>
      </c>
      <c r="G238" s="79" t="s">
        <v>2115</v>
      </c>
      <c r="H238" s="79"/>
      <c r="I238" s="79"/>
    </row>
    <row r="239" spans="1:9" ht="14.25">
      <c r="A239" s="79" t="s">
        <v>2342</v>
      </c>
      <c r="B239" s="79" t="s">
        <v>2343</v>
      </c>
      <c r="C239" s="79">
        <v>590247816</v>
      </c>
      <c r="D239" s="79">
        <v>0</v>
      </c>
      <c r="E239" s="79" t="s">
        <v>1124</v>
      </c>
      <c r="F239" s="79" t="s">
        <v>2288</v>
      </c>
      <c r="G239" s="79" t="s">
        <v>2107</v>
      </c>
      <c r="H239" s="79"/>
      <c r="I239" s="79"/>
    </row>
    <row r="240" spans="1:9" ht="14.25">
      <c r="A240" s="79" t="s">
        <v>2345</v>
      </c>
      <c r="B240" s="79" t="s">
        <v>2346</v>
      </c>
      <c r="C240" s="79">
        <v>590247819</v>
      </c>
      <c r="D240" s="79">
        <v>0</v>
      </c>
      <c r="E240" s="79" t="s">
        <v>1124</v>
      </c>
      <c r="F240" s="79" t="s">
        <v>2288</v>
      </c>
      <c r="G240" s="79" t="s">
        <v>2347</v>
      </c>
      <c r="H240" s="79"/>
      <c r="I240" s="79"/>
    </row>
    <row r="241" spans="1:9" ht="14.25">
      <c r="A241" s="79" t="s">
        <v>2345</v>
      </c>
      <c r="B241" s="79" t="s">
        <v>2346</v>
      </c>
      <c r="C241" s="79">
        <v>590247819</v>
      </c>
      <c r="D241" s="79">
        <v>0</v>
      </c>
      <c r="E241" s="79" t="s">
        <v>1124</v>
      </c>
      <c r="F241" s="79" t="s">
        <v>2288</v>
      </c>
      <c r="G241" s="79" t="s">
        <v>2111</v>
      </c>
      <c r="H241" s="79"/>
      <c r="I241" s="79"/>
    </row>
    <row r="242" spans="1:9" ht="14.25">
      <c r="A242" s="79" t="s">
        <v>2345</v>
      </c>
      <c r="B242" s="79" t="s">
        <v>2346</v>
      </c>
      <c r="C242" s="79">
        <v>590247819</v>
      </c>
      <c r="D242" s="79">
        <v>0</v>
      </c>
      <c r="E242" s="79" t="s">
        <v>1124</v>
      </c>
      <c r="F242" s="79" t="s">
        <v>2288</v>
      </c>
      <c r="G242" s="79" t="s">
        <v>2107</v>
      </c>
      <c r="H242" s="79"/>
      <c r="I242" s="79"/>
    </row>
    <row r="243" spans="1:9" ht="14.25">
      <c r="A243" s="79" t="s">
        <v>2348</v>
      </c>
      <c r="B243" s="79" t="s">
        <v>2349</v>
      </c>
      <c r="C243" s="79">
        <v>590247822</v>
      </c>
      <c r="D243" s="79">
        <v>0</v>
      </c>
      <c r="E243" s="79" t="s">
        <v>1124</v>
      </c>
      <c r="F243" s="79" t="s">
        <v>2288</v>
      </c>
      <c r="G243" s="79" t="s">
        <v>2350</v>
      </c>
      <c r="H243" s="79"/>
      <c r="I243" s="79"/>
    </row>
    <row r="244" spans="1:9" ht="14.25">
      <c r="A244" s="79" t="s">
        <v>2348</v>
      </c>
      <c r="B244" s="79" t="s">
        <v>2349</v>
      </c>
      <c r="C244" s="79">
        <v>590247822</v>
      </c>
      <c r="D244" s="79">
        <v>0</v>
      </c>
      <c r="E244" s="79" t="s">
        <v>1124</v>
      </c>
      <c r="F244" s="79" t="s">
        <v>2288</v>
      </c>
      <c r="G244" s="79" t="s">
        <v>2106</v>
      </c>
      <c r="H244" s="79"/>
      <c r="I244" s="79"/>
    </row>
    <row r="245" spans="1:9" ht="14.25">
      <c r="A245" s="79" t="s">
        <v>2348</v>
      </c>
      <c r="B245" s="79" t="s">
        <v>2349</v>
      </c>
      <c r="C245" s="79">
        <v>590247822</v>
      </c>
      <c r="D245" s="79">
        <v>0</v>
      </c>
      <c r="E245" s="79" t="s">
        <v>1124</v>
      </c>
      <c r="F245" s="79" t="s">
        <v>2288</v>
      </c>
      <c r="G245" s="79" t="s">
        <v>2107</v>
      </c>
      <c r="H245" s="79"/>
      <c r="I245" s="79"/>
    </row>
    <row r="246" spans="1:9" ht="14.25">
      <c r="A246" s="79" t="s">
        <v>2351</v>
      </c>
      <c r="B246" s="79" t="s">
        <v>2352</v>
      </c>
      <c r="C246" s="79">
        <v>590247825</v>
      </c>
      <c r="D246" s="79">
        <v>0</v>
      </c>
      <c r="E246" s="79" t="s">
        <v>1124</v>
      </c>
      <c r="F246" s="79" t="s">
        <v>2288</v>
      </c>
      <c r="G246" s="79" t="s">
        <v>2353</v>
      </c>
      <c r="H246" s="79"/>
      <c r="I246" s="79"/>
    </row>
    <row r="247" spans="1:9" ht="14.25">
      <c r="A247" s="79" t="s">
        <v>2351</v>
      </c>
      <c r="B247" s="79" t="s">
        <v>2352</v>
      </c>
      <c r="C247" s="79">
        <v>590247825</v>
      </c>
      <c r="D247" s="79">
        <v>0</v>
      </c>
      <c r="E247" s="79" t="s">
        <v>1124</v>
      </c>
      <c r="F247" s="79" t="s">
        <v>2288</v>
      </c>
      <c r="G247" s="79" t="s">
        <v>2354</v>
      </c>
      <c r="H247" s="79"/>
      <c r="I247" s="79"/>
    </row>
    <row r="248" spans="1:9" ht="14.25">
      <c r="A248" s="79" t="s">
        <v>2351</v>
      </c>
      <c r="B248" s="79" t="s">
        <v>2352</v>
      </c>
      <c r="C248" s="79">
        <v>590247825</v>
      </c>
      <c r="D248" s="79">
        <v>0</v>
      </c>
      <c r="E248" s="79" t="s">
        <v>1124</v>
      </c>
      <c r="F248" s="79" t="s">
        <v>2288</v>
      </c>
      <c r="G248" s="79" t="s">
        <v>2107</v>
      </c>
      <c r="H248" s="79"/>
      <c r="I248" s="79"/>
    </row>
    <row r="249" spans="1:9" ht="14.25">
      <c r="A249" s="79" t="s">
        <v>2355</v>
      </c>
      <c r="B249" s="79" t="s">
        <v>2356</v>
      </c>
      <c r="C249" s="79">
        <v>590247828</v>
      </c>
      <c r="D249" s="79">
        <v>0</v>
      </c>
      <c r="E249" s="79" t="s">
        <v>1124</v>
      </c>
      <c r="F249" s="79" t="s">
        <v>2288</v>
      </c>
      <c r="G249" s="79" t="s">
        <v>2357</v>
      </c>
      <c r="H249" s="79"/>
      <c r="I249" s="79"/>
    </row>
    <row r="250" spans="1:9" ht="14.25">
      <c r="A250" s="79" t="s">
        <v>2355</v>
      </c>
      <c r="B250" s="79" t="s">
        <v>2356</v>
      </c>
      <c r="C250" s="79">
        <v>590247828</v>
      </c>
      <c r="D250" s="79">
        <v>0</v>
      </c>
      <c r="E250" s="79" t="s">
        <v>1124</v>
      </c>
      <c r="F250" s="79" t="s">
        <v>2288</v>
      </c>
      <c r="G250" s="79" t="s">
        <v>2358</v>
      </c>
      <c r="H250" s="79"/>
      <c r="I250" s="79"/>
    </row>
    <row r="251" spans="1:9" ht="14.25">
      <c r="A251" s="79" t="s">
        <v>2355</v>
      </c>
      <c r="B251" s="79" t="s">
        <v>2356</v>
      </c>
      <c r="C251" s="79">
        <v>590247828</v>
      </c>
      <c r="D251" s="79">
        <v>0</v>
      </c>
      <c r="E251" s="79" t="s">
        <v>1124</v>
      </c>
      <c r="F251" s="79" t="s">
        <v>2288</v>
      </c>
      <c r="G251" s="79" t="s">
        <v>1294</v>
      </c>
      <c r="H251" s="79"/>
      <c r="I251" s="79"/>
    </row>
    <row r="252" spans="1:9" ht="14.25">
      <c r="A252" s="79" t="s">
        <v>2359</v>
      </c>
      <c r="B252" s="79" t="s">
        <v>2360</v>
      </c>
      <c r="C252" s="79">
        <v>590247837</v>
      </c>
      <c r="D252" s="79">
        <v>0</v>
      </c>
      <c r="E252" s="79" t="s">
        <v>1124</v>
      </c>
      <c r="F252" s="79" t="s">
        <v>2213</v>
      </c>
      <c r="G252" s="79" t="s">
        <v>2361</v>
      </c>
      <c r="H252" s="79"/>
      <c r="I252" s="79"/>
    </row>
    <row r="253" spans="1:9" ht="14.25">
      <c r="A253" s="79" t="s">
        <v>2359</v>
      </c>
      <c r="B253" s="79" t="s">
        <v>2360</v>
      </c>
      <c r="C253" s="79">
        <v>590247837</v>
      </c>
      <c r="D253" s="79">
        <v>0</v>
      </c>
      <c r="E253" s="79" t="s">
        <v>1124</v>
      </c>
      <c r="F253" s="79" t="s">
        <v>2213</v>
      </c>
      <c r="G253" s="79" t="s">
        <v>2287</v>
      </c>
      <c r="H253" s="79"/>
      <c r="I253" s="79"/>
    </row>
    <row r="254" spans="1:9" ht="14.25">
      <c r="A254" s="79" t="s">
        <v>2359</v>
      </c>
      <c r="B254" s="79" t="s">
        <v>2360</v>
      </c>
      <c r="C254" s="79">
        <v>590247837</v>
      </c>
      <c r="D254" s="79">
        <v>0</v>
      </c>
      <c r="E254" s="79" t="s">
        <v>1124</v>
      </c>
      <c r="F254" s="79" t="s">
        <v>2362</v>
      </c>
      <c r="G254" s="79" t="s">
        <v>2363</v>
      </c>
      <c r="H254" s="79"/>
      <c r="I254" s="79"/>
    </row>
    <row r="255" spans="1:9" ht="14.25">
      <c r="A255" s="79" t="s">
        <v>2359</v>
      </c>
      <c r="B255" s="79" t="s">
        <v>2360</v>
      </c>
      <c r="C255" s="79">
        <v>590247837</v>
      </c>
      <c r="D255" s="79">
        <v>0</v>
      </c>
      <c r="E255" s="79" t="s">
        <v>1124</v>
      </c>
      <c r="F255" s="79" t="s">
        <v>2362</v>
      </c>
      <c r="G255" s="79" t="s">
        <v>2101</v>
      </c>
      <c r="H255" s="79"/>
      <c r="I255" s="79"/>
    </row>
    <row r="256" spans="1:9" ht="14.25">
      <c r="A256" s="79" t="s">
        <v>2359</v>
      </c>
      <c r="B256" s="79" t="s">
        <v>2360</v>
      </c>
      <c r="C256" s="79">
        <v>590247837</v>
      </c>
      <c r="D256" s="79">
        <v>0</v>
      </c>
      <c r="E256" s="79" t="s">
        <v>1124</v>
      </c>
      <c r="F256" s="79" t="s">
        <v>2362</v>
      </c>
      <c r="G256" s="79" t="s">
        <v>2364</v>
      </c>
      <c r="H256" s="79"/>
      <c r="I256" s="79"/>
    </row>
    <row r="257" spans="1:9" ht="14.25">
      <c r="A257" s="79" t="s">
        <v>2359</v>
      </c>
      <c r="B257" s="79" t="s">
        <v>2360</v>
      </c>
      <c r="C257" s="79">
        <v>590247837</v>
      </c>
      <c r="D257" s="79">
        <v>0</v>
      </c>
      <c r="E257" s="79" t="s">
        <v>1124</v>
      </c>
      <c r="F257" s="79" t="s">
        <v>2362</v>
      </c>
      <c r="G257" s="79" t="s">
        <v>2293</v>
      </c>
      <c r="H257" s="79"/>
      <c r="I257" s="79"/>
    </row>
    <row r="258" spans="1:9" ht="14.25">
      <c r="A258" s="79" t="s">
        <v>2365</v>
      </c>
      <c r="B258" s="79" t="s">
        <v>2366</v>
      </c>
      <c r="C258" s="79">
        <v>590247839</v>
      </c>
      <c r="D258" s="79">
        <v>0</v>
      </c>
      <c r="E258" s="79" t="s">
        <v>1124</v>
      </c>
      <c r="F258" s="79" t="s">
        <v>2362</v>
      </c>
      <c r="G258" s="79" t="s">
        <v>2296</v>
      </c>
      <c r="H258" s="79"/>
      <c r="I258" s="79"/>
    </row>
    <row r="259" spans="1:9" ht="14.25">
      <c r="A259" s="79" t="s">
        <v>2365</v>
      </c>
      <c r="B259" s="79" t="s">
        <v>2366</v>
      </c>
      <c r="C259" s="79">
        <v>590247839</v>
      </c>
      <c r="D259" s="79">
        <v>0</v>
      </c>
      <c r="E259" s="79" t="s">
        <v>1124</v>
      </c>
      <c r="F259" s="79" t="s">
        <v>2362</v>
      </c>
      <c r="G259" s="79" t="s">
        <v>1294</v>
      </c>
      <c r="H259" s="79"/>
      <c r="I259" s="79"/>
    </row>
    <row r="260" spans="1:9" ht="14.25">
      <c r="A260" s="79" t="s">
        <v>2367</v>
      </c>
      <c r="B260" s="79" t="s">
        <v>2368</v>
      </c>
      <c r="C260" s="79">
        <v>590247867</v>
      </c>
      <c r="D260" s="79">
        <v>0</v>
      </c>
      <c r="E260" s="79" t="s">
        <v>1124</v>
      </c>
      <c r="F260" s="79" t="s">
        <v>2213</v>
      </c>
      <c r="G260" s="79" t="s">
        <v>2369</v>
      </c>
      <c r="H260" s="79"/>
      <c r="I260" s="79"/>
    </row>
    <row r="261" spans="1:9" ht="14.25">
      <c r="A261" s="79" t="s">
        <v>2367</v>
      </c>
      <c r="B261" s="79" t="s">
        <v>2368</v>
      </c>
      <c r="C261" s="79">
        <v>590247867</v>
      </c>
      <c r="D261" s="79">
        <v>0</v>
      </c>
      <c r="E261" s="79" t="s">
        <v>1124</v>
      </c>
      <c r="F261" s="79" t="s">
        <v>2213</v>
      </c>
      <c r="G261" s="79" t="s">
        <v>2287</v>
      </c>
      <c r="H261" s="79"/>
      <c r="I261" s="79"/>
    </row>
    <row r="262" spans="1:9" ht="14.25">
      <c r="A262" s="79" t="s">
        <v>2367</v>
      </c>
      <c r="B262" s="79" t="s">
        <v>2368</v>
      </c>
      <c r="C262" s="79">
        <v>590247867</v>
      </c>
      <c r="D262" s="79">
        <v>0</v>
      </c>
      <c r="E262" s="79" t="s">
        <v>1124</v>
      </c>
      <c r="F262" s="79" t="s">
        <v>2370</v>
      </c>
      <c r="G262" s="79" t="s">
        <v>2371</v>
      </c>
      <c r="H262" s="79"/>
      <c r="I262" s="79"/>
    </row>
    <row r="263" spans="1:9" ht="14.25">
      <c r="A263" s="79" t="s">
        <v>2367</v>
      </c>
      <c r="B263" s="79" t="s">
        <v>2368</v>
      </c>
      <c r="C263" s="79">
        <v>590247867</v>
      </c>
      <c r="D263" s="79">
        <v>0</v>
      </c>
      <c r="E263" s="79" t="s">
        <v>1124</v>
      </c>
      <c r="F263" s="79" t="s">
        <v>2370</v>
      </c>
      <c r="G263" s="79" t="s">
        <v>2101</v>
      </c>
      <c r="H263" s="79"/>
      <c r="I263" s="79"/>
    </row>
    <row r="264" spans="1:9" ht="14.25">
      <c r="A264" s="79" t="s">
        <v>2367</v>
      </c>
      <c r="B264" s="79" t="s">
        <v>2368</v>
      </c>
      <c r="C264" s="79">
        <v>590247867</v>
      </c>
      <c r="D264" s="79">
        <v>0</v>
      </c>
      <c r="E264" s="79" t="s">
        <v>1124</v>
      </c>
      <c r="F264" s="79" t="s">
        <v>2370</v>
      </c>
      <c r="G264" s="79" t="s">
        <v>2150</v>
      </c>
      <c r="H264" s="79"/>
      <c r="I264" s="79"/>
    </row>
    <row r="265" spans="1:9" ht="14.25">
      <c r="A265" s="79" t="s">
        <v>2367</v>
      </c>
      <c r="B265" s="79" t="s">
        <v>2368</v>
      </c>
      <c r="C265" s="79">
        <v>590247867</v>
      </c>
      <c r="D265" s="79">
        <v>0</v>
      </c>
      <c r="E265" s="79" t="s">
        <v>1124</v>
      </c>
      <c r="F265" s="79" t="s">
        <v>2370</v>
      </c>
      <c r="G265" s="79" t="s">
        <v>2293</v>
      </c>
      <c r="H265" s="79"/>
      <c r="I265" s="79"/>
    </row>
    <row r="266" spans="1:9" ht="14.25">
      <c r="A266" s="79" t="s">
        <v>2372</v>
      </c>
      <c r="B266" s="79" t="s">
        <v>2373</v>
      </c>
      <c r="C266" s="79">
        <v>590247869</v>
      </c>
      <c r="D266" s="79">
        <v>0</v>
      </c>
      <c r="E266" s="79" t="s">
        <v>1124</v>
      </c>
      <c r="F266" s="79" t="s">
        <v>2370</v>
      </c>
      <c r="G266" s="79" t="s">
        <v>2296</v>
      </c>
      <c r="H266" s="79"/>
      <c r="I266" s="79"/>
    </row>
    <row r="267" spans="1:9" ht="14.25">
      <c r="A267" s="79" t="s">
        <v>2372</v>
      </c>
      <c r="B267" s="79" t="s">
        <v>2373</v>
      </c>
      <c r="C267" s="79">
        <v>590247869</v>
      </c>
      <c r="D267" s="79">
        <v>0</v>
      </c>
      <c r="E267" s="79" t="s">
        <v>1124</v>
      </c>
      <c r="F267" s="79" t="s">
        <v>2370</v>
      </c>
      <c r="G267" s="79" t="s">
        <v>1294</v>
      </c>
      <c r="H267" s="79"/>
      <c r="I267" s="79"/>
    </row>
    <row r="268" spans="1:9" ht="14.25">
      <c r="A268" s="79" t="s">
        <v>2374</v>
      </c>
      <c r="B268" s="79" t="s">
        <v>2375</v>
      </c>
      <c r="C268" s="79">
        <v>590247897</v>
      </c>
      <c r="D268" s="79">
        <v>0</v>
      </c>
      <c r="E268" s="79" t="s">
        <v>1124</v>
      </c>
      <c r="F268" s="79" t="s">
        <v>2213</v>
      </c>
      <c r="G268" s="79" t="s">
        <v>2376</v>
      </c>
      <c r="H268" s="79"/>
      <c r="I268" s="79"/>
    </row>
    <row r="269" spans="1:9" ht="14.25">
      <c r="A269" s="79" t="s">
        <v>2374</v>
      </c>
      <c r="B269" s="79" t="s">
        <v>2375</v>
      </c>
      <c r="C269" s="79">
        <v>590247897</v>
      </c>
      <c r="D269" s="79">
        <v>0</v>
      </c>
      <c r="E269" s="79" t="s">
        <v>1124</v>
      </c>
      <c r="F269" s="79" t="s">
        <v>2213</v>
      </c>
      <c r="G269" s="79" t="s">
        <v>2287</v>
      </c>
      <c r="H269" s="79"/>
      <c r="I269" s="79"/>
    </row>
    <row r="270" spans="1:9" ht="14.25">
      <c r="A270" s="79" t="s">
        <v>2374</v>
      </c>
      <c r="B270" s="79" t="s">
        <v>2375</v>
      </c>
      <c r="C270" s="79">
        <v>590247897</v>
      </c>
      <c r="D270" s="79">
        <v>0</v>
      </c>
      <c r="E270" s="79" t="s">
        <v>1124</v>
      </c>
      <c r="F270" s="79" t="s">
        <v>2377</v>
      </c>
      <c r="G270" s="79" t="s">
        <v>2378</v>
      </c>
      <c r="H270" s="79"/>
      <c r="I270" s="79"/>
    </row>
    <row r="271" spans="1:9" ht="14.25">
      <c r="A271" s="79" t="s">
        <v>2374</v>
      </c>
      <c r="B271" s="79" t="s">
        <v>2375</v>
      </c>
      <c r="C271" s="79">
        <v>590247897</v>
      </c>
      <c r="D271" s="79">
        <v>0</v>
      </c>
      <c r="E271" s="79" t="s">
        <v>1124</v>
      </c>
      <c r="F271" s="79" t="s">
        <v>2377</v>
      </c>
      <c r="G271" s="79" t="s">
        <v>2101</v>
      </c>
      <c r="H271" s="79"/>
      <c r="I271" s="79"/>
    </row>
    <row r="272" spans="1:9" ht="14.25">
      <c r="A272" s="79" t="s">
        <v>2374</v>
      </c>
      <c r="B272" s="79" t="s">
        <v>2375</v>
      </c>
      <c r="C272" s="79">
        <v>590247897</v>
      </c>
      <c r="D272" s="79">
        <v>0</v>
      </c>
      <c r="E272" s="79" t="s">
        <v>1124</v>
      </c>
      <c r="F272" s="79" t="s">
        <v>2377</v>
      </c>
      <c r="G272" s="79" t="s">
        <v>2379</v>
      </c>
      <c r="H272" s="79"/>
      <c r="I272" s="79"/>
    </row>
    <row r="273" spans="1:9" ht="14.25">
      <c r="A273" s="79" t="s">
        <v>2374</v>
      </c>
      <c r="B273" s="79" t="s">
        <v>2375</v>
      </c>
      <c r="C273" s="79">
        <v>590247897</v>
      </c>
      <c r="D273" s="79">
        <v>0</v>
      </c>
      <c r="E273" s="79" t="s">
        <v>1124</v>
      </c>
      <c r="F273" s="79" t="s">
        <v>2377</v>
      </c>
      <c r="G273" s="79" t="s">
        <v>2293</v>
      </c>
      <c r="H273" s="79"/>
      <c r="I273" s="79"/>
    </row>
    <row r="274" spans="1:9" ht="14.25">
      <c r="A274" s="79" t="s">
        <v>2380</v>
      </c>
      <c r="B274" s="79" t="s">
        <v>2381</v>
      </c>
      <c r="C274" s="79">
        <v>590247899</v>
      </c>
      <c r="D274" s="79">
        <v>0</v>
      </c>
      <c r="E274" s="79" t="s">
        <v>1124</v>
      </c>
      <c r="F274" s="79" t="s">
        <v>2377</v>
      </c>
      <c r="G274" s="79" t="s">
        <v>2296</v>
      </c>
      <c r="H274" s="79"/>
      <c r="I274" s="79"/>
    </row>
    <row r="275" spans="1:9" ht="14.25">
      <c r="A275" s="79" t="s">
        <v>2380</v>
      </c>
      <c r="B275" s="79" t="s">
        <v>2381</v>
      </c>
      <c r="C275" s="79">
        <v>590247899</v>
      </c>
      <c r="D275" s="79">
        <v>0</v>
      </c>
      <c r="E275" s="79" t="s">
        <v>1124</v>
      </c>
      <c r="F275" s="79" t="s">
        <v>2377</v>
      </c>
      <c r="G275" s="79" t="s">
        <v>1294</v>
      </c>
      <c r="H275" s="79"/>
      <c r="I275" s="79"/>
    </row>
    <row r="276" spans="1:9" ht="14.25">
      <c r="A276" s="79" t="s">
        <v>2382</v>
      </c>
      <c r="B276" s="79" t="s">
        <v>2383</v>
      </c>
      <c r="C276" s="79">
        <v>590247927</v>
      </c>
      <c r="D276" s="79">
        <v>0</v>
      </c>
      <c r="E276" s="79" t="s">
        <v>1124</v>
      </c>
      <c r="F276" s="79" t="s">
        <v>2213</v>
      </c>
      <c r="G276" s="79" t="s">
        <v>2384</v>
      </c>
      <c r="H276" s="79"/>
      <c r="I276" s="79"/>
    </row>
    <row r="277" spans="1:9" ht="14.25">
      <c r="A277" s="79" t="s">
        <v>2382</v>
      </c>
      <c r="B277" s="79" t="s">
        <v>2383</v>
      </c>
      <c r="C277" s="79">
        <v>590247927</v>
      </c>
      <c r="D277" s="79">
        <v>0</v>
      </c>
      <c r="E277" s="79" t="s">
        <v>1124</v>
      </c>
      <c r="F277" s="79" t="s">
        <v>2213</v>
      </c>
      <c r="G277" s="79" t="s">
        <v>2287</v>
      </c>
      <c r="H277" s="79"/>
      <c r="I277" s="79"/>
    </row>
    <row r="278" spans="1:9" ht="14.25">
      <c r="A278" s="79" t="s">
        <v>2382</v>
      </c>
      <c r="B278" s="79" t="s">
        <v>2383</v>
      </c>
      <c r="C278" s="79">
        <v>590247927</v>
      </c>
      <c r="D278" s="79">
        <v>0</v>
      </c>
      <c r="E278" s="79" t="s">
        <v>1124</v>
      </c>
      <c r="F278" s="79" t="s">
        <v>2385</v>
      </c>
      <c r="G278" s="79" t="s">
        <v>2386</v>
      </c>
      <c r="H278" s="79"/>
      <c r="I278" s="79"/>
    </row>
    <row r="279" spans="1:9" ht="14.25">
      <c r="A279" s="79" t="s">
        <v>2382</v>
      </c>
      <c r="B279" s="79" t="s">
        <v>2383</v>
      </c>
      <c r="C279" s="79">
        <v>590247927</v>
      </c>
      <c r="D279" s="79">
        <v>0</v>
      </c>
      <c r="E279" s="79" t="s">
        <v>1124</v>
      </c>
      <c r="F279" s="79" t="s">
        <v>2385</v>
      </c>
      <c r="G279" s="79" t="s">
        <v>2101</v>
      </c>
      <c r="H279" s="79"/>
      <c r="I279" s="79"/>
    </row>
    <row r="280" spans="1:9" ht="14.25">
      <c r="A280" s="79" t="s">
        <v>2382</v>
      </c>
      <c r="B280" s="79" t="s">
        <v>2383</v>
      </c>
      <c r="C280" s="79">
        <v>590247927</v>
      </c>
      <c r="D280" s="79">
        <v>0</v>
      </c>
      <c r="E280" s="79" t="s">
        <v>1124</v>
      </c>
      <c r="F280" s="79" t="s">
        <v>2385</v>
      </c>
      <c r="G280" s="79" t="s">
        <v>2387</v>
      </c>
      <c r="H280" s="79"/>
      <c r="I280" s="79"/>
    </row>
    <row r="281" spans="1:9" ht="14.25">
      <c r="A281" s="79" t="s">
        <v>2382</v>
      </c>
      <c r="B281" s="79" t="s">
        <v>2383</v>
      </c>
      <c r="C281" s="79">
        <v>590247927</v>
      </c>
      <c r="D281" s="79">
        <v>0</v>
      </c>
      <c r="E281" s="79" t="s">
        <v>1124</v>
      </c>
      <c r="F281" s="79" t="s">
        <v>2385</v>
      </c>
      <c r="G281" s="79" t="s">
        <v>2293</v>
      </c>
      <c r="H281" s="79"/>
      <c r="I281" s="79"/>
    </row>
    <row r="282" spans="1:9" ht="14.25">
      <c r="A282" s="79" t="s">
        <v>2388</v>
      </c>
      <c r="B282" s="79" t="s">
        <v>2389</v>
      </c>
      <c r="C282" s="79">
        <v>590247929</v>
      </c>
      <c r="D282" s="79">
        <v>0</v>
      </c>
      <c r="E282" s="79" t="s">
        <v>1124</v>
      </c>
      <c r="F282" s="79" t="s">
        <v>2385</v>
      </c>
      <c r="G282" s="79" t="s">
        <v>2296</v>
      </c>
      <c r="H282" s="79"/>
      <c r="I282" s="79"/>
    </row>
    <row r="283" spans="1:9" ht="14.25">
      <c r="A283" s="79" t="s">
        <v>2388</v>
      </c>
      <c r="B283" s="79" t="s">
        <v>2389</v>
      </c>
      <c r="C283" s="79">
        <v>590247929</v>
      </c>
      <c r="D283" s="79">
        <v>0</v>
      </c>
      <c r="E283" s="79" t="s">
        <v>1124</v>
      </c>
      <c r="F283" s="79" t="s">
        <v>2385</v>
      </c>
      <c r="G283" s="79" t="s">
        <v>1294</v>
      </c>
      <c r="H283" s="79"/>
      <c r="I283" s="79"/>
    </row>
    <row r="284" spans="1:9" ht="14.25">
      <c r="A284" s="79" t="s">
        <v>2390</v>
      </c>
      <c r="B284" s="79" t="s">
        <v>2391</v>
      </c>
      <c r="C284" s="79">
        <v>590247957</v>
      </c>
      <c r="D284" s="79">
        <v>0</v>
      </c>
      <c r="E284" s="79" t="s">
        <v>1124</v>
      </c>
      <c r="F284" s="79" t="s">
        <v>2213</v>
      </c>
      <c r="G284" s="79" t="s">
        <v>2392</v>
      </c>
      <c r="H284" s="79"/>
      <c r="I284" s="79"/>
    </row>
    <row r="285" spans="1:9" ht="14.25">
      <c r="A285" s="79" t="s">
        <v>2390</v>
      </c>
      <c r="B285" s="79" t="s">
        <v>2391</v>
      </c>
      <c r="C285" s="79">
        <v>590247957</v>
      </c>
      <c r="D285" s="79">
        <v>0</v>
      </c>
      <c r="E285" s="79" t="s">
        <v>1124</v>
      </c>
      <c r="F285" s="79" t="s">
        <v>2213</v>
      </c>
      <c r="G285" s="79" t="s">
        <v>2287</v>
      </c>
      <c r="H285" s="79"/>
      <c r="I285" s="79"/>
    </row>
    <row r="286" spans="1:9" ht="14.25">
      <c r="A286" s="79" t="s">
        <v>2390</v>
      </c>
      <c r="B286" s="79" t="s">
        <v>2391</v>
      </c>
      <c r="C286" s="79">
        <v>590247957</v>
      </c>
      <c r="D286" s="79">
        <v>0</v>
      </c>
      <c r="E286" s="79" t="s">
        <v>1124</v>
      </c>
      <c r="F286" s="79" t="s">
        <v>2393</v>
      </c>
      <c r="G286" s="79" t="s">
        <v>2394</v>
      </c>
      <c r="H286" s="79"/>
      <c r="I286" s="79"/>
    </row>
    <row r="287" spans="1:9" ht="14.25">
      <c r="A287" s="79" t="s">
        <v>2390</v>
      </c>
      <c r="B287" s="79" t="s">
        <v>2391</v>
      </c>
      <c r="C287" s="79">
        <v>590247957</v>
      </c>
      <c r="D287" s="79">
        <v>0</v>
      </c>
      <c r="E287" s="79" t="s">
        <v>1124</v>
      </c>
      <c r="F287" s="79" t="s">
        <v>2393</v>
      </c>
      <c r="G287" s="79" t="s">
        <v>2101</v>
      </c>
      <c r="H287" s="79"/>
      <c r="I287" s="79"/>
    </row>
    <row r="288" spans="1:9" ht="14.25">
      <c r="A288" s="79" t="s">
        <v>2390</v>
      </c>
      <c r="B288" s="79" t="s">
        <v>2391</v>
      </c>
      <c r="C288" s="79">
        <v>590247957</v>
      </c>
      <c r="D288" s="79">
        <v>0</v>
      </c>
      <c r="E288" s="79" t="s">
        <v>1124</v>
      </c>
      <c r="F288" s="79" t="s">
        <v>2393</v>
      </c>
      <c r="G288" s="79" t="s">
        <v>2142</v>
      </c>
      <c r="H288" s="79"/>
      <c r="I288" s="79"/>
    </row>
    <row r="289" spans="1:9" ht="14.25">
      <c r="A289" s="79" t="s">
        <v>2390</v>
      </c>
      <c r="B289" s="79" t="s">
        <v>2391</v>
      </c>
      <c r="C289" s="79">
        <v>590247957</v>
      </c>
      <c r="D289" s="79">
        <v>0</v>
      </c>
      <c r="E289" s="79" t="s">
        <v>1124</v>
      </c>
      <c r="F289" s="79" t="s">
        <v>2393</v>
      </c>
      <c r="G289" s="79" t="s">
        <v>2293</v>
      </c>
      <c r="H289" s="79"/>
      <c r="I289" s="79"/>
    </row>
    <row r="290" spans="1:9" ht="14.25">
      <c r="A290" s="79" t="s">
        <v>2395</v>
      </c>
      <c r="B290" s="79" t="s">
        <v>2396</v>
      </c>
      <c r="C290" s="79">
        <v>590247959</v>
      </c>
      <c r="D290" s="79">
        <v>0</v>
      </c>
      <c r="E290" s="79" t="s">
        <v>1124</v>
      </c>
      <c r="F290" s="79" t="s">
        <v>2393</v>
      </c>
      <c r="G290" s="79" t="s">
        <v>2296</v>
      </c>
      <c r="H290" s="79"/>
      <c r="I290" s="79"/>
    </row>
    <row r="291" spans="1:9" ht="14.25">
      <c r="A291" s="79" t="s">
        <v>2395</v>
      </c>
      <c r="B291" s="79" t="s">
        <v>2396</v>
      </c>
      <c r="C291" s="79">
        <v>590247959</v>
      </c>
      <c r="D291" s="79">
        <v>0</v>
      </c>
      <c r="E291" s="79" t="s">
        <v>1124</v>
      </c>
      <c r="F291" s="79" t="s">
        <v>2393</v>
      </c>
      <c r="G291" s="79" t="s">
        <v>1294</v>
      </c>
      <c r="H291" s="79"/>
      <c r="I291" s="79"/>
    </row>
    <row r="292" spans="1:9" ht="14.25">
      <c r="A292" s="79" t="s">
        <v>2397</v>
      </c>
      <c r="B292" s="79" t="s">
        <v>2398</v>
      </c>
      <c r="C292" s="79">
        <v>590247987</v>
      </c>
      <c r="D292" s="79">
        <v>0</v>
      </c>
      <c r="E292" s="79" t="s">
        <v>1124</v>
      </c>
      <c r="F292" s="79" t="s">
        <v>2213</v>
      </c>
      <c r="G292" s="79" t="s">
        <v>2399</v>
      </c>
      <c r="H292" s="79"/>
      <c r="I292" s="79"/>
    </row>
    <row r="293" spans="1:9" ht="14.25">
      <c r="A293" s="79" t="s">
        <v>2397</v>
      </c>
      <c r="B293" s="79" t="s">
        <v>2398</v>
      </c>
      <c r="C293" s="79">
        <v>590247987</v>
      </c>
      <c r="D293" s="79">
        <v>0</v>
      </c>
      <c r="E293" s="79" t="s">
        <v>1124</v>
      </c>
      <c r="F293" s="79" t="s">
        <v>2213</v>
      </c>
      <c r="G293" s="79" t="s">
        <v>2400</v>
      </c>
      <c r="H293" s="79"/>
      <c r="I293" s="79"/>
    </row>
    <row r="294" spans="1:9" ht="14.25">
      <c r="A294" s="79" t="s">
        <v>2397</v>
      </c>
      <c r="B294" s="79" t="s">
        <v>2398</v>
      </c>
      <c r="C294" s="79">
        <v>590247987</v>
      </c>
      <c r="D294" s="79">
        <v>0</v>
      </c>
      <c r="E294" s="79" t="s">
        <v>1124</v>
      </c>
      <c r="F294" s="79" t="s">
        <v>2401</v>
      </c>
      <c r="G294" s="79" t="s">
        <v>2402</v>
      </c>
      <c r="H294" s="79"/>
      <c r="I294" s="79"/>
    </row>
    <row r="295" spans="1:9" ht="14.25">
      <c r="A295" s="79" t="s">
        <v>2397</v>
      </c>
      <c r="B295" s="79" t="s">
        <v>2398</v>
      </c>
      <c r="C295" s="79">
        <v>590247987</v>
      </c>
      <c r="D295" s="79">
        <v>0</v>
      </c>
      <c r="E295" s="79" t="s">
        <v>1124</v>
      </c>
      <c r="F295" s="79" t="s">
        <v>2401</v>
      </c>
      <c r="G295" s="79" t="s">
        <v>2101</v>
      </c>
      <c r="H295" s="79"/>
      <c r="I295" s="79"/>
    </row>
    <row r="296" spans="1:9" ht="14.25">
      <c r="A296" s="79" t="s">
        <v>2397</v>
      </c>
      <c r="B296" s="79" t="s">
        <v>2398</v>
      </c>
      <c r="C296" s="79">
        <v>590247987</v>
      </c>
      <c r="D296" s="79">
        <v>0</v>
      </c>
      <c r="E296" s="79" t="s">
        <v>1124</v>
      </c>
      <c r="F296" s="79" t="s">
        <v>2401</v>
      </c>
      <c r="G296" s="79" t="s">
        <v>2403</v>
      </c>
      <c r="H296" s="79"/>
      <c r="I296" s="79"/>
    </row>
    <row r="297" spans="1:9" ht="14.25">
      <c r="A297" s="79" t="s">
        <v>2397</v>
      </c>
      <c r="B297" s="79" t="s">
        <v>2398</v>
      </c>
      <c r="C297" s="79">
        <v>590247987</v>
      </c>
      <c r="D297" s="79">
        <v>0</v>
      </c>
      <c r="E297" s="79" t="s">
        <v>1124</v>
      </c>
      <c r="F297" s="79" t="s">
        <v>2401</v>
      </c>
      <c r="G297" s="79" t="s">
        <v>2293</v>
      </c>
      <c r="H297" s="79"/>
      <c r="I297" s="79"/>
    </row>
    <row r="298" spans="1:9" ht="14.25">
      <c r="A298" s="79" t="s">
        <v>2404</v>
      </c>
      <c r="B298" s="79" t="s">
        <v>2405</v>
      </c>
      <c r="C298" s="79">
        <v>590247989</v>
      </c>
      <c r="D298" s="79">
        <v>0</v>
      </c>
      <c r="E298" s="79" t="s">
        <v>1124</v>
      </c>
      <c r="F298" s="79" t="s">
        <v>2401</v>
      </c>
      <c r="G298" s="79" t="s">
        <v>2296</v>
      </c>
      <c r="H298" s="79"/>
      <c r="I298" s="79"/>
    </row>
    <row r="299" spans="1:9" ht="14.25">
      <c r="A299" s="79" t="s">
        <v>2404</v>
      </c>
      <c r="B299" s="79" t="s">
        <v>2405</v>
      </c>
      <c r="C299" s="79">
        <v>590247989</v>
      </c>
      <c r="D299" s="79">
        <v>0</v>
      </c>
      <c r="E299" s="79" t="s">
        <v>1124</v>
      </c>
      <c r="F299" s="79" t="s">
        <v>2401</v>
      </c>
      <c r="G299" s="79" t="s">
        <v>1294</v>
      </c>
      <c r="H299" s="79"/>
      <c r="I299" s="79"/>
    </row>
    <row r="300" spans="1:9" ht="14.25">
      <c r="A300" s="79" t="s">
        <v>2406</v>
      </c>
      <c r="B300" s="79" t="s">
        <v>2407</v>
      </c>
      <c r="C300" s="79">
        <v>590248047</v>
      </c>
      <c r="D300" s="79">
        <v>0</v>
      </c>
      <c r="E300" s="79" t="s">
        <v>1124</v>
      </c>
      <c r="F300" s="79" t="s">
        <v>2213</v>
      </c>
      <c r="G300" s="79" t="s">
        <v>2408</v>
      </c>
      <c r="H300" s="79"/>
      <c r="I300" s="79"/>
    </row>
    <row r="301" spans="1:9" ht="14.25">
      <c r="A301" s="79" t="s">
        <v>2406</v>
      </c>
      <c r="B301" s="79" t="s">
        <v>2407</v>
      </c>
      <c r="C301" s="79">
        <v>590248047</v>
      </c>
      <c r="D301" s="79">
        <v>0</v>
      </c>
      <c r="E301" s="79" t="s">
        <v>1124</v>
      </c>
      <c r="F301" s="79" t="s">
        <v>2213</v>
      </c>
      <c r="G301" s="79" t="s">
        <v>2400</v>
      </c>
      <c r="H301" s="79"/>
      <c r="I301" s="79"/>
    </row>
    <row r="302" spans="1:9" ht="14.25">
      <c r="A302" s="79" t="s">
        <v>2406</v>
      </c>
      <c r="B302" s="79" t="s">
        <v>2407</v>
      </c>
      <c r="C302" s="79">
        <v>590248047</v>
      </c>
      <c r="D302" s="79">
        <v>0</v>
      </c>
      <c r="E302" s="79" t="s">
        <v>1124</v>
      </c>
      <c r="F302" s="79" t="s">
        <v>2409</v>
      </c>
      <c r="G302" s="79" t="s">
        <v>2410</v>
      </c>
      <c r="H302" s="79"/>
      <c r="I302" s="79"/>
    </row>
    <row r="303" spans="1:9" ht="14.25">
      <c r="A303" s="79" t="s">
        <v>2406</v>
      </c>
      <c r="B303" s="79" t="s">
        <v>2407</v>
      </c>
      <c r="C303" s="79">
        <v>590248047</v>
      </c>
      <c r="D303" s="79">
        <v>0</v>
      </c>
      <c r="E303" s="79" t="s">
        <v>1124</v>
      </c>
      <c r="F303" s="79" t="s">
        <v>2409</v>
      </c>
      <c r="G303" s="79" t="s">
        <v>2101</v>
      </c>
      <c r="H303" s="79"/>
      <c r="I303" s="79"/>
    </row>
    <row r="304" spans="1:9" ht="14.25">
      <c r="A304" s="79" t="s">
        <v>2406</v>
      </c>
      <c r="B304" s="79" t="s">
        <v>2407</v>
      </c>
      <c r="C304" s="79">
        <v>590248047</v>
      </c>
      <c r="D304" s="79">
        <v>0</v>
      </c>
      <c r="E304" s="79" t="s">
        <v>1124</v>
      </c>
      <c r="F304" s="79" t="s">
        <v>2409</v>
      </c>
      <c r="G304" s="79" t="s">
        <v>2411</v>
      </c>
      <c r="H304" s="79"/>
      <c r="I304" s="79"/>
    </row>
    <row r="305" spans="1:9" ht="14.25">
      <c r="A305" s="79" t="s">
        <v>2406</v>
      </c>
      <c r="B305" s="79" t="s">
        <v>2407</v>
      </c>
      <c r="C305" s="79">
        <v>590248047</v>
      </c>
      <c r="D305" s="79">
        <v>0</v>
      </c>
      <c r="E305" s="79" t="s">
        <v>1124</v>
      </c>
      <c r="F305" s="79" t="s">
        <v>2409</v>
      </c>
      <c r="G305" s="79" t="s">
        <v>2293</v>
      </c>
      <c r="H305" s="79"/>
      <c r="I305" s="79"/>
    </row>
    <row r="306" spans="1:9" ht="14.25">
      <c r="A306" s="79" t="s">
        <v>2412</v>
      </c>
      <c r="B306" s="79" t="s">
        <v>2413</v>
      </c>
      <c r="C306" s="79">
        <v>590248049</v>
      </c>
      <c r="D306" s="79">
        <v>0</v>
      </c>
      <c r="E306" s="79" t="s">
        <v>1124</v>
      </c>
      <c r="F306" s="79" t="s">
        <v>2409</v>
      </c>
      <c r="G306" s="79" t="s">
        <v>2296</v>
      </c>
      <c r="H306" s="79"/>
      <c r="I306" s="79"/>
    </row>
    <row r="307" spans="1:9" ht="14.25">
      <c r="A307" s="79" t="s">
        <v>2412</v>
      </c>
      <c r="B307" s="79" t="s">
        <v>2413</v>
      </c>
      <c r="C307" s="79">
        <v>590248049</v>
      </c>
      <c r="D307" s="79">
        <v>0</v>
      </c>
      <c r="E307" s="79" t="s">
        <v>1124</v>
      </c>
      <c r="F307" s="79" t="s">
        <v>2409</v>
      </c>
      <c r="G307" s="79" t="s">
        <v>1294</v>
      </c>
      <c r="H307" s="79"/>
      <c r="I307" s="79"/>
    </row>
    <row r="308" spans="1:9" ht="14.25">
      <c r="A308" s="79" t="s">
        <v>2414</v>
      </c>
      <c r="B308" s="79" t="s">
        <v>2415</v>
      </c>
      <c r="C308" s="79">
        <v>590248107</v>
      </c>
      <c r="D308" s="79">
        <v>0</v>
      </c>
      <c r="E308" s="79" t="s">
        <v>1124</v>
      </c>
      <c r="F308" s="79" t="s">
        <v>2213</v>
      </c>
      <c r="G308" s="79" t="s">
        <v>2416</v>
      </c>
      <c r="H308" s="79"/>
      <c r="I308" s="79"/>
    </row>
    <row r="309" spans="1:9" ht="14.25">
      <c r="A309" s="79" t="s">
        <v>2414</v>
      </c>
      <c r="B309" s="79" t="s">
        <v>2415</v>
      </c>
      <c r="C309" s="79">
        <v>590248107</v>
      </c>
      <c r="D309" s="79">
        <v>0</v>
      </c>
      <c r="E309" s="79" t="s">
        <v>1124</v>
      </c>
      <c r="F309" s="79" t="s">
        <v>2213</v>
      </c>
      <c r="G309" s="79" t="s">
        <v>2400</v>
      </c>
      <c r="H309" s="79"/>
      <c r="I309" s="79"/>
    </row>
    <row r="310" spans="1:9" ht="14.25">
      <c r="A310" s="79" t="s">
        <v>2414</v>
      </c>
      <c r="B310" s="79" t="s">
        <v>2415</v>
      </c>
      <c r="C310" s="79">
        <v>590248107</v>
      </c>
      <c r="D310" s="79">
        <v>0</v>
      </c>
      <c r="E310" s="79" t="s">
        <v>1124</v>
      </c>
      <c r="F310" s="79" t="s">
        <v>2417</v>
      </c>
      <c r="G310" s="79" t="s">
        <v>2418</v>
      </c>
      <c r="H310" s="79"/>
      <c r="I310" s="79"/>
    </row>
    <row r="311" spans="1:9" ht="14.25">
      <c r="A311" s="79" t="s">
        <v>2414</v>
      </c>
      <c r="B311" s="79" t="s">
        <v>2415</v>
      </c>
      <c r="C311" s="79">
        <v>590248107</v>
      </c>
      <c r="D311" s="79">
        <v>0</v>
      </c>
      <c r="E311" s="79" t="s">
        <v>1124</v>
      </c>
      <c r="F311" s="79" t="s">
        <v>2417</v>
      </c>
      <c r="G311" s="79" t="s">
        <v>2101</v>
      </c>
      <c r="H311" s="79"/>
      <c r="I311" s="79"/>
    </row>
    <row r="312" spans="1:9" ht="14.25">
      <c r="A312" s="79" t="s">
        <v>2414</v>
      </c>
      <c r="B312" s="79" t="s">
        <v>2415</v>
      </c>
      <c r="C312" s="79">
        <v>590248107</v>
      </c>
      <c r="D312" s="79">
        <v>0</v>
      </c>
      <c r="E312" s="79" t="s">
        <v>1124</v>
      </c>
      <c r="F312" s="79" t="s">
        <v>2417</v>
      </c>
      <c r="G312" s="79" t="s">
        <v>2134</v>
      </c>
      <c r="H312" s="79"/>
      <c r="I312" s="79"/>
    </row>
    <row r="313" spans="1:9" ht="14.25">
      <c r="A313" s="79" t="s">
        <v>2414</v>
      </c>
      <c r="B313" s="79" t="s">
        <v>2415</v>
      </c>
      <c r="C313" s="79">
        <v>590248107</v>
      </c>
      <c r="D313" s="79">
        <v>0</v>
      </c>
      <c r="E313" s="79" t="s">
        <v>1124</v>
      </c>
      <c r="F313" s="79" t="s">
        <v>2417</v>
      </c>
      <c r="G313" s="79" t="s">
        <v>2293</v>
      </c>
      <c r="H313" s="79"/>
      <c r="I313" s="79"/>
    </row>
    <row r="314" spans="1:9" ht="14.25">
      <c r="A314" s="79" t="s">
        <v>2419</v>
      </c>
      <c r="B314" s="79" t="s">
        <v>2420</v>
      </c>
      <c r="C314" s="79">
        <v>590248109</v>
      </c>
      <c r="D314" s="79">
        <v>0</v>
      </c>
      <c r="E314" s="79" t="s">
        <v>1124</v>
      </c>
      <c r="F314" s="79" t="s">
        <v>2417</v>
      </c>
      <c r="G314" s="79" t="s">
        <v>2296</v>
      </c>
      <c r="H314" s="79"/>
      <c r="I314" s="79"/>
    </row>
    <row r="315" spans="1:9" ht="14.25">
      <c r="A315" s="79" t="s">
        <v>2419</v>
      </c>
      <c r="B315" s="79" t="s">
        <v>2420</v>
      </c>
      <c r="C315" s="79">
        <v>590248109</v>
      </c>
      <c r="D315" s="79">
        <v>0</v>
      </c>
      <c r="E315" s="79" t="s">
        <v>1124</v>
      </c>
      <c r="F315" s="79" t="s">
        <v>2417</v>
      </c>
      <c r="G315" s="79" t="s">
        <v>1294</v>
      </c>
      <c r="H315" s="79"/>
      <c r="I315" s="79"/>
    </row>
    <row r="316" spans="1:9" ht="14.25">
      <c r="A316" s="79" t="s">
        <v>2421</v>
      </c>
      <c r="B316" s="79" t="s">
        <v>2422</v>
      </c>
      <c r="C316" s="79">
        <v>590248167</v>
      </c>
      <c r="D316" s="79">
        <v>0</v>
      </c>
      <c r="E316" s="79" t="s">
        <v>1124</v>
      </c>
      <c r="F316" s="79" t="s">
        <v>2213</v>
      </c>
      <c r="G316" s="79" t="s">
        <v>2423</v>
      </c>
      <c r="H316" s="79"/>
      <c r="I316" s="79"/>
    </row>
    <row r="317" spans="1:9" ht="14.25">
      <c r="A317" s="79" t="s">
        <v>2421</v>
      </c>
      <c r="B317" s="79" t="s">
        <v>2422</v>
      </c>
      <c r="C317" s="79">
        <v>590248167</v>
      </c>
      <c r="D317" s="79">
        <v>0</v>
      </c>
      <c r="E317" s="79" t="s">
        <v>1124</v>
      </c>
      <c r="F317" s="79" t="s">
        <v>2213</v>
      </c>
      <c r="G317" s="79" t="s">
        <v>2400</v>
      </c>
      <c r="H317" s="79"/>
      <c r="I317" s="79"/>
    </row>
    <row r="318" spans="1:9" ht="14.25">
      <c r="A318" s="79" t="s">
        <v>2421</v>
      </c>
      <c r="B318" s="79" t="s">
        <v>2422</v>
      </c>
      <c r="C318" s="79">
        <v>590248167</v>
      </c>
      <c r="D318" s="79">
        <v>0</v>
      </c>
      <c r="E318" s="79" t="s">
        <v>1124</v>
      </c>
      <c r="F318" s="79" t="s">
        <v>2424</v>
      </c>
      <c r="G318" s="79" t="s">
        <v>2425</v>
      </c>
      <c r="H318" s="79"/>
      <c r="I318" s="79"/>
    </row>
    <row r="319" spans="1:9" ht="14.25">
      <c r="A319" s="79" t="s">
        <v>2421</v>
      </c>
      <c r="B319" s="79" t="s">
        <v>2422</v>
      </c>
      <c r="C319" s="79">
        <v>590248167</v>
      </c>
      <c r="D319" s="79">
        <v>0</v>
      </c>
      <c r="E319" s="79" t="s">
        <v>1124</v>
      </c>
      <c r="F319" s="79" t="s">
        <v>2424</v>
      </c>
      <c r="G319" s="79" t="s">
        <v>2101</v>
      </c>
      <c r="H319" s="79"/>
      <c r="I319" s="79"/>
    </row>
    <row r="320" spans="1:9" ht="14.25">
      <c r="A320" s="79" t="s">
        <v>2421</v>
      </c>
      <c r="B320" s="79" t="s">
        <v>2422</v>
      </c>
      <c r="C320" s="79">
        <v>590248167</v>
      </c>
      <c r="D320" s="79">
        <v>0</v>
      </c>
      <c r="E320" s="79" t="s">
        <v>1124</v>
      </c>
      <c r="F320" s="79" t="s">
        <v>2424</v>
      </c>
      <c r="G320" s="79" t="s">
        <v>2426</v>
      </c>
      <c r="H320" s="79"/>
      <c r="I320" s="79"/>
    </row>
    <row r="321" spans="1:9" ht="14.25">
      <c r="A321" s="79" t="s">
        <v>2421</v>
      </c>
      <c r="B321" s="79" t="s">
        <v>2422</v>
      </c>
      <c r="C321" s="79">
        <v>590248167</v>
      </c>
      <c r="D321" s="79">
        <v>0</v>
      </c>
      <c r="E321" s="79" t="s">
        <v>1124</v>
      </c>
      <c r="F321" s="79" t="s">
        <v>2424</v>
      </c>
      <c r="G321" s="79" t="s">
        <v>2293</v>
      </c>
      <c r="H321" s="79"/>
      <c r="I321" s="79"/>
    </row>
    <row r="322" spans="1:9" ht="14.25">
      <c r="A322" s="79" t="s">
        <v>2427</v>
      </c>
      <c r="B322" s="79" t="s">
        <v>2428</v>
      </c>
      <c r="C322" s="79">
        <v>590248169</v>
      </c>
      <c r="D322" s="79">
        <v>0</v>
      </c>
      <c r="E322" s="79" t="s">
        <v>1124</v>
      </c>
      <c r="F322" s="79" t="s">
        <v>2424</v>
      </c>
      <c r="G322" s="79" t="s">
        <v>2296</v>
      </c>
      <c r="H322" s="79"/>
      <c r="I322" s="79"/>
    </row>
    <row r="323" spans="1:9" ht="14.25">
      <c r="A323" s="79" t="s">
        <v>2427</v>
      </c>
      <c r="B323" s="79" t="s">
        <v>2428</v>
      </c>
      <c r="C323" s="79">
        <v>590248169</v>
      </c>
      <c r="D323" s="79">
        <v>0</v>
      </c>
      <c r="E323" s="79" t="s">
        <v>1124</v>
      </c>
      <c r="F323" s="79" t="s">
        <v>2424</v>
      </c>
      <c r="G323" s="79" t="s">
        <v>1294</v>
      </c>
      <c r="H323" s="79"/>
      <c r="I323" s="79"/>
    </row>
    <row r="324" spans="1:9" ht="14.25">
      <c r="A324" s="79" t="s">
        <v>2429</v>
      </c>
      <c r="B324" s="79" t="s">
        <v>2430</v>
      </c>
      <c r="C324" s="79">
        <v>590248227</v>
      </c>
      <c r="D324" s="79">
        <v>0</v>
      </c>
      <c r="E324" s="79" t="s">
        <v>1124</v>
      </c>
      <c r="F324" s="79" t="s">
        <v>2213</v>
      </c>
      <c r="G324" s="79" t="s">
        <v>2431</v>
      </c>
      <c r="H324" s="79"/>
      <c r="I324" s="79"/>
    </row>
    <row r="325" spans="1:9" ht="14.25">
      <c r="A325" s="79" t="s">
        <v>2429</v>
      </c>
      <c r="B325" s="79" t="s">
        <v>2430</v>
      </c>
      <c r="C325" s="79">
        <v>590248227</v>
      </c>
      <c r="D325" s="79">
        <v>0</v>
      </c>
      <c r="E325" s="79" t="s">
        <v>1124</v>
      </c>
      <c r="F325" s="79" t="s">
        <v>2213</v>
      </c>
      <c r="G325" s="79" t="s">
        <v>2400</v>
      </c>
      <c r="H325" s="79"/>
      <c r="I325" s="79"/>
    </row>
    <row r="326" spans="1:9" ht="14.25">
      <c r="A326" s="79" t="s">
        <v>2429</v>
      </c>
      <c r="B326" s="79" t="s">
        <v>2430</v>
      </c>
      <c r="C326" s="79">
        <v>590248227</v>
      </c>
      <c r="D326" s="79">
        <v>0</v>
      </c>
      <c r="E326" s="79" t="s">
        <v>1124</v>
      </c>
      <c r="F326" s="79" t="s">
        <v>2432</v>
      </c>
      <c r="G326" s="79" t="s">
        <v>2433</v>
      </c>
      <c r="H326" s="79"/>
      <c r="I326" s="79"/>
    </row>
    <row r="327" spans="1:9" ht="14.25">
      <c r="A327" s="79" t="s">
        <v>2429</v>
      </c>
      <c r="B327" s="79" t="s">
        <v>2430</v>
      </c>
      <c r="C327" s="79">
        <v>590248227</v>
      </c>
      <c r="D327" s="79">
        <v>0</v>
      </c>
      <c r="E327" s="79" t="s">
        <v>1124</v>
      </c>
      <c r="F327" s="79" t="s">
        <v>2432</v>
      </c>
      <c r="G327" s="79" t="s">
        <v>2101</v>
      </c>
      <c r="H327" s="79"/>
      <c r="I327" s="79"/>
    </row>
    <row r="328" spans="1:9" ht="14.25">
      <c r="A328" s="79" t="s">
        <v>2429</v>
      </c>
      <c r="B328" s="79" t="s">
        <v>2430</v>
      </c>
      <c r="C328" s="79">
        <v>590248227</v>
      </c>
      <c r="D328" s="79">
        <v>0</v>
      </c>
      <c r="E328" s="79" t="s">
        <v>1124</v>
      </c>
      <c r="F328" s="79" t="s">
        <v>2432</v>
      </c>
      <c r="G328" s="79" t="s">
        <v>2434</v>
      </c>
      <c r="H328" s="79"/>
      <c r="I328" s="79"/>
    </row>
    <row r="329" spans="1:9" ht="14.25">
      <c r="A329" s="79" t="s">
        <v>2429</v>
      </c>
      <c r="B329" s="79" t="s">
        <v>2430</v>
      </c>
      <c r="C329" s="79">
        <v>590248227</v>
      </c>
      <c r="D329" s="79">
        <v>0</v>
      </c>
      <c r="E329" s="79" t="s">
        <v>1124</v>
      </c>
      <c r="F329" s="79" t="s">
        <v>2432</v>
      </c>
      <c r="G329" s="79" t="s">
        <v>2293</v>
      </c>
      <c r="H329" s="79"/>
      <c r="I329" s="79"/>
    </row>
    <row r="330" spans="1:9" ht="14.25">
      <c r="A330" s="79" t="s">
        <v>2435</v>
      </c>
      <c r="B330" s="79" t="s">
        <v>2436</v>
      </c>
      <c r="C330" s="79">
        <v>590248229</v>
      </c>
      <c r="D330" s="79">
        <v>0</v>
      </c>
      <c r="E330" s="79" t="s">
        <v>1124</v>
      </c>
      <c r="F330" s="79" t="s">
        <v>2432</v>
      </c>
      <c r="G330" s="79" t="s">
        <v>2296</v>
      </c>
      <c r="H330" s="79"/>
      <c r="I330" s="79"/>
    </row>
    <row r="331" spans="1:9" ht="14.25">
      <c r="A331" s="79" t="s">
        <v>2435</v>
      </c>
      <c r="B331" s="79" t="s">
        <v>2436</v>
      </c>
      <c r="C331" s="79">
        <v>590248229</v>
      </c>
      <c r="D331" s="79">
        <v>0</v>
      </c>
      <c r="E331" s="79" t="s">
        <v>1124</v>
      </c>
      <c r="F331" s="79" t="s">
        <v>2432</v>
      </c>
      <c r="G331" s="79" t="s">
        <v>1294</v>
      </c>
      <c r="H331" s="79"/>
      <c r="I331" s="79"/>
    </row>
    <row r="332" spans="1:9" ht="14.25">
      <c r="A332" s="79" t="s">
        <v>2437</v>
      </c>
      <c r="B332" s="79" t="s">
        <v>2438</v>
      </c>
      <c r="C332" s="79">
        <v>590248287</v>
      </c>
      <c r="D332" s="79">
        <v>0</v>
      </c>
      <c r="E332" s="79" t="s">
        <v>1124</v>
      </c>
      <c r="F332" s="79" t="s">
        <v>2213</v>
      </c>
      <c r="G332" s="79" t="s">
        <v>2439</v>
      </c>
      <c r="H332" s="79"/>
      <c r="I332" s="79"/>
    </row>
    <row r="333" spans="1:9" ht="14.25">
      <c r="A333" s="79" t="s">
        <v>2437</v>
      </c>
      <c r="B333" s="79" t="s">
        <v>2438</v>
      </c>
      <c r="C333" s="79">
        <v>590248287</v>
      </c>
      <c r="D333" s="79">
        <v>0</v>
      </c>
      <c r="E333" s="79" t="s">
        <v>1124</v>
      </c>
      <c r="F333" s="79" t="s">
        <v>2213</v>
      </c>
      <c r="G333" s="79" t="s">
        <v>2400</v>
      </c>
      <c r="H333" s="79"/>
      <c r="I333" s="79"/>
    </row>
    <row r="334" spans="1:9" ht="14.25">
      <c r="A334" s="79" t="s">
        <v>2437</v>
      </c>
      <c r="B334" s="79" t="s">
        <v>2438</v>
      </c>
      <c r="C334" s="79">
        <v>590248287</v>
      </c>
      <c r="D334" s="79">
        <v>0</v>
      </c>
      <c r="E334" s="79" t="s">
        <v>1124</v>
      </c>
      <c r="F334" s="79" t="s">
        <v>2440</v>
      </c>
      <c r="G334" s="79" t="s">
        <v>2441</v>
      </c>
      <c r="H334" s="79"/>
      <c r="I334" s="79"/>
    </row>
    <row r="335" spans="1:9" ht="14.25">
      <c r="A335" s="79" t="s">
        <v>2437</v>
      </c>
      <c r="B335" s="79" t="s">
        <v>2438</v>
      </c>
      <c r="C335" s="79">
        <v>590248287</v>
      </c>
      <c r="D335" s="79">
        <v>0</v>
      </c>
      <c r="E335" s="79" t="s">
        <v>1124</v>
      </c>
      <c r="F335" s="79" t="s">
        <v>2440</v>
      </c>
      <c r="G335" s="79" t="s">
        <v>2101</v>
      </c>
      <c r="H335" s="79"/>
      <c r="I335" s="79"/>
    </row>
    <row r="336" spans="1:9" ht="14.25">
      <c r="A336" s="79" t="s">
        <v>2437</v>
      </c>
      <c r="B336" s="79" t="s">
        <v>2438</v>
      </c>
      <c r="C336" s="79">
        <v>590248287</v>
      </c>
      <c r="D336" s="79">
        <v>0</v>
      </c>
      <c r="E336" s="79" t="s">
        <v>1124</v>
      </c>
      <c r="F336" s="79" t="s">
        <v>2440</v>
      </c>
      <c r="G336" s="79" t="s">
        <v>2126</v>
      </c>
      <c r="H336" s="79"/>
      <c r="I336" s="79"/>
    </row>
    <row r="337" spans="1:9" ht="14.25">
      <c r="A337" s="79" t="s">
        <v>2437</v>
      </c>
      <c r="B337" s="79" t="s">
        <v>2438</v>
      </c>
      <c r="C337" s="79">
        <v>590248287</v>
      </c>
      <c r="D337" s="79">
        <v>0</v>
      </c>
      <c r="E337" s="79" t="s">
        <v>1124</v>
      </c>
      <c r="F337" s="79" t="s">
        <v>2440</v>
      </c>
      <c r="G337" s="79" t="s">
        <v>2293</v>
      </c>
      <c r="H337" s="79"/>
      <c r="I337" s="79"/>
    </row>
    <row r="338" spans="1:9" ht="14.25">
      <c r="A338" s="79" t="s">
        <v>2442</v>
      </c>
      <c r="B338" s="79" t="s">
        <v>2443</v>
      </c>
      <c r="C338" s="79">
        <v>590248289</v>
      </c>
      <c r="D338" s="79">
        <v>0</v>
      </c>
      <c r="E338" s="79" t="s">
        <v>1124</v>
      </c>
      <c r="F338" s="79" t="s">
        <v>2440</v>
      </c>
      <c r="G338" s="79" t="s">
        <v>2296</v>
      </c>
      <c r="H338" s="79"/>
      <c r="I338" s="79"/>
    </row>
    <row r="339" spans="1:9" ht="14.25">
      <c r="A339" s="79" t="s">
        <v>2442</v>
      </c>
      <c r="B339" s="79" t="s">
        <v>2443</v>
      </c>
      <c r="C339" s="79">
        <v>590248289</v>
      </c>
      <c r="D339" s="79">
        <v>0</v>
      </c>
      <c r="E339" s="79" t="s">
        <v>1124</v>
      </c>
      <c r="F339" s="79" t="s">
        <v>2440</v>
      </c>
      <c r="G339" s="79" t="s">
        <v>1294</v>
      </c>
      <c r="H339" s="79"/>
      <c r="I339" s="79"/>
    </row>
    <row r="340" spans="1:9" ht="14.25">
      <c r="A340" s="79" t="s">
        <v>2444</v>
      </c>
      <c r="B340" s="79" t="s">
        <v>2445</v>
      </c>
      <c r="C340" s="79">
        <v>590248347</v>
      </c>
      <c r="D340" s="79">
        <v>0</v>
      </c>
      <c r="E340" s="79" t="s">
        <v>1124</v>
      </c>
      <c r="F340" s="79" t="s">
        <v>2213</v>
      </c>
      <c r="G340" s="79" t="s">
        <v>2446</v>
      </c>
      <c r="H340" s="79"/>
      <c r="I340" s="79"/>
    </row>
    <row r="341" spans="1:9" ht="14.25">
      <c r="A341" s="79" t="s">
        <v>2444</v>
      </c>
      <c r="B341" s="79" t="s">
        <v>2445</v>
      </c>
      <c r="C341" s="79">
        <v>590248347</v>
      </c>
      <c r="D341" s="79">
        <v>0</v>
      </c>
      <c r="E341" s="79" t="s">
        <v>1124</v>
      </c>
      <c r="F341" s="79" t="s">
        <v>2213</v>
      </c>
      <c r="G341" s="79" t="s">
        <v>2447</v>
      </c>
      <c r="H341" s="79"/>
      <c r="I341" s="79"/>
    </row>
    <row r="342" spans="1:9" ht="14.25">
      <c r="A342" s="79" t="s">
        <v>2444</v>
      </c>
      <c r="B342" s="79" t="s">
        <v>2445</v>
      </c>
      <c r="C342" s="79">
        <v>590248347</v>
      </c>
      <c r="D342" s="79">
        <v>0</v>
      </c>
      <c r="E342" s="79" t="s">
        <v>1124</v>
      </c>
      <c r="F342" s="79" t="s">
        <v>2448</v>
      </c>
      <c r="G342" s="79" t="s">
        <v>2449</v>
      </c>
      <c r="H342" s="79"/>
      <c r="I342" s="79"/>
    </row>
    <row r="343" spans="1:9" ht="14.25">
      <c r="A343" s="79" t="s">
        <v>2444</v>
      </c>
      <c r="B343" s="79" t="s">
        <v>2445</v>
      </c>
      <c r="C343" s="79">
        <v>590248347</v>
      </c>
      <c r="D343" s="79">
        <v>0</v>
      </c>
      <c r="E343" s="79" t="s">
        <v>1124</v>
      </c>
      <c r="F343" s="79" t="s">
        <v>2448</v>
      </c>
      <c r="G343" s="79" t="s">
        <v>2101</v>
      </c>
      <c r="H343" s="79"/>
      <c r="I343" s="79"/>
    </row>
    <row r="344" spans="1:9" ht="14.25">
      <c r="A344" s="79" t="s">
        <v>2444</v>
      </c>
      <c r="B344" s="79" t="s">
        <v>2445</v>
      </c>
      <c r="C344" s="79">
        <v>590248347</v>
      </c>
      <c r="D344" s="79">
        <v>0</v>
      </c>
      <c r="E344" s="79" t="s">
        <v>1124</v>
      </c>
      <c r="F344" s="79" t="s">
        <v>2448</v>
      </c>
      <c r="G344" s="79" t="s">
        <v>2450</v>
      </c>
      <c r="H344" s="79"/>
      <c r="I344" s="79"/>
    </row>
    <row r="345" spans="1:9" ht="14.25">
      <c r="A345" s="79" t="s">
        <v>2444</v>
      </c>
      <c r="B345" s="79" t="s">
        <v>2445</v>
      </c>
      <c r="C345" s="79">
        <v>590248347</v>
      </c>
      <c r="D345" s="79">
        <v>0</v>
      </c>
      <c r="E345" s="79" t="s">
        <v>1124</v>
      </c>
      <c r="F345" s="79" t="s">
        <v>2448</v>
      </c>
      <c r="G345" s="79" t="s">
        <v>2293</v>
      </c>
      <c r="H345" s="79"/>
      <c r="I345" s="79"/>
    </row>
    <row r="346" spans="1:9" ht="14.25">
      <c r="A346" s="79" t="s">
        <v>2451</v>
      </c>
      <c r="B346" s="79" t="s">
        <v>2452</v>
      </c>
      <c r="C346" s="79">
        <v>590248349</v>
      </c>
      <c r="D346" s="79">
        <v>0</v>
      </c>
      <c r="E346" s="79" t="s">
        <v>1124</v>
      </c>
      <c r="F346" s="79" t="s">
        <v>2448</v>
      </c>
      <c r="G346" s="79" t="s">
        <v>2296</v>
      </c>
      <c r="H346" s="79"/>
      <c r="I346" s="79"/>
    </row>
    <row r="347" spans="1:9" ht="14.25">
      <c r="A347" s="79" t="s">
        <v>2451</v>
      </c>
      <c r="B347" s="79" t="s">
        <v>2452</v>
      </c>
      <c r="C347" s="79">
        <v>590248349</v>
      </c>
      <c r="D347" s="79">
        <v>0</v>
      </c>
      <c r="E347" s="79" t="s">
        <v>1124</v>
      </c>
      <c r="F347" s="79" t="s">
        <v>2448</v>
      </c>
      <c r="G347" s="79" t="s">
        <v>1294</v>
      </c>
      <c r="H347" s="79"/>
      <c r="I347" s="79"/>
    </row>
    <row r="348" spans="1:9" ht="14.25">
      <c r="A348" s="79" t="s">
        <v>2453</v>
      </c>
      <c r="B348" s="79" t="s">
        <v>2454</v>
      </c>
      <c r="C348" s="79">
        <v>590248447</v>
      </c>
      <c r="D348" s="79">
        <v>0</v>
      </c>
      <c r="E348" s="79" t="s">
        <v>1124</v>
      </c>
      <c r="F348" s="79" t="s">
        <v>2213</v>
      </c>
      <c r="G348" s="79" t="s">
        <v>2455</v>
      </c>
      <c r="H348" s="79"/>
      <c r="I348" s="79"/>
    </row>
    <row r="349" spans="1:9" ht="14.25">
      <c r="A349" s="79" t="s">
        <v>2453</v>
      </c>
      <c r="B349" s="79" t="s">
        <v>2454</v>
      </c>
      <c r="C349" s="79">
        <v>590248447</v>
      </c>
      <c r="D349" s="79">
        <v>0</v>
      </c>
      <c r="E349" s="79" t="s">
        <v>1124</v>
      </c>
      <c r="F349" s="79" t="s">
        <v>2213</v>
      </c>
      <c r="G349" s="79" t="s">
        <v>2447</v>
      </c>
      <c r="H349" s="79"/>
      <c r="I349" s="79"/>
    </row>
    <row r="350" spans="1:9" ht="14.25">
      <c r="A350" s="79" t="s">
        <v>2453</v>
      </c>
      <c r="B350" s="79" t="s">
        <v>2454</v>
      </c>
      <c r="C350" s="79">
        <v>590248447</v>
      </c>
      <c r="D350" s="79">
        <v>0</v>
      </c>
      <c r="E350" s="79" t="s">
        <v>1124</v>
      </c>
      <c r="F350" s="79" t="s">
        <v>2456</v>
      </c>
      <c r="G350" s="79" t="s">
        <v>2457</v>
      </c>
      <c r="H350" s="79"/>
      <c r="I350" s="79"/>
    </row>
    <row r="351" spans="1:9" ht="14.25">
      <c r="A351" s="79" t="s">
        <v>2453</v>
      </c>
      <c r="B351" s="79" t="s">
        <v>2454</v>
      </c>
      <c r="C351" s="79">
        <v>590248447</v>
      </c>
      <c r="D351" s="79">
        <v>0</v>
      </c>
      <c r="E351" s="79" t="s">
        <v>1124</v>
      </c>
      <c r="F351" s="79" t="s">
        <v>2456</v>
      </c>
      <c r="G351" s="79" t="s">
        <v>2101</v>
      </c>
      <c r="H351" s="79"/>
      <c r="I351" s="79"/>
    </row>
    <row r="352" spans="1:9" ht="14.25">
      <c r="A352" s="79" t="s">
        <v>2453</v>
      </c>
      <c r="B352" s="79" t="s">
        <v>2454</v>
      </c>
      <c r="C352" s="79">
        <v>590248447</v>
      </c>
      <c r="D352" s="79">
        <v>0</v>
      </c>
      <c r="E352" s="79" t="s">
        <v>1124</v>
      </c>
      <c r="F352" s="79" t="s">
        <v>2456</v>
      </c>
      <c r="G352" s="79" t="s">
        <v>2122</v>
      </c>
      <c r="H352" s="79"/>
      <c r="I352" s="79"/>
    </row>
    <row r="353" spans="1:9" ht="14.25">
      <c r="A353" s="79" t="s">
        <v>2453</v>
      </c>
      <c r="B353" s="79" t="s">
        <v>2454</v>
      </c>
      <c r="C353" s="79">
        <v>590248447</v>
      </c>
      <c r="D353" s="79">
        <v>0</v>
      </c>
      <c r="E353" s="79" t="s">
        <v>1124</v>
      </c>
      <c r="F353" s="79" t="s">
        <v>2456</v>
      </c>
      <c r="G353" s="79" t="s">
        <v>2293</v>
      </c>
      <c r="H353" s="79"/>
      <c r="I353" s="79"/>
    </row>
    <row r="354" spans="1:9" ht="14.25">
      <c r="A354" s="79" t="s">
        <v>2458</v>
      </c>
      <c r="B354" s="79" t="s">
        <v>2459</v>
      </c>
      <c r="C354" s="79">
        <v>590248449</v>
      </c>
      <c r="D354" s="79">
        <v>0</v>
      </c>
      <c r="E354" s="79" t="s">
        <v>1124</v>
      </c>
      <c r="F354" s="79" t="s">
        <v>2456</v>
      </c>
      <c r="G354" s="79" t="s">
        <v>2296</v>
      </c>
      <c r="H354" s="79"/>
      <c r="I354" s="79"/>
    </row>
    <row r="355" spans="1:9" ht="14.25">
      <c r="A355" s="79" t="s">
        <v>2458</v>
      </c>
      <c r="B355" s="79" t="s">
        <v>2459</v>
      </c>
      <c r="C355" s="79">
        <v>590248449</v>
      </c>
      <c r="D355" s="79">
        <v>0</v>
      </c>
      <c r="E355" s="79" t="s">
        <v>1124</v>
      </c>
      <c r="F355" s="79" t="s">
        <v>2456</v>
      </c>
      <c r="G355" s="79" t="s">
        <v>1294</v>
      </c>
      <c r="H355" s="79"/>
      <c r="I355" s="79"/>
    </row>
    <row r="356" spans="1:9" ht="14.25">
      <c r="A356" s="79" t="s">
        <v>2460</v>
      </c>
      <c r="B356" s="79" t="s">
        <v>2461</v>
      </c>
      <c r="C356" s="79">
        <v>590248547</v>
      </c>
      <c r="D356" s="79">
        <v>0</v>
      </c>
      <c r="E356" s="79" t="s">
        <v>1124</v>
      </c>
      <c r="F356" s="79" t="s">
        <v>2213</v>
      </c>
      <c r="G356" s="79" t="s">
        <v>2462</v>
      </c>
      <c r="H356" s="79"/>
      <c r="I356" s="79"/>
    </row>
    <row r="357" spans="1:9" ht="14.25">
      <c r="A357" s="79" t="s">
        <v>2460</v>
      </c>
      <c r="B357" s="79" t="s">
        <v>2461</v>
      </c>
      <c r="C357" s="79">
        <v>590248547</v>
      </c>
      <c r="D357" s="79">
        <v>0</v>
      </c>
      <c r="E357" s="79" t="s">
        <v>1124</v>
      </c>
      <c r="F357" s="79" t="s">
        <v>2213</v>
      </c>
      <c r="G357" s="79" t="s">
        <v>2447</v>
      </c>
      <c r="H357" s="79"/>
      <c r="I357" s="79"/>
    </row>
    <row r="358" spans="1:9" ht="14.25">
      <c r="A358" s="79" t="s">
        <v>2460</v>
      </c>
      <c r="B358" s="79" t="s">
        <v>2461</v>
      </c>
      <c r="C358" s="79">
        <v>590248547</v>
      </c>
      <c r="D358" s="79">
        <v>0</v>
      </c>
      <c r="E358" s="79" t="s">
        <v>1124</v>
      </c>
      <c r="F358" s="79" t="s">
        <v>2463</v>
      </c>
      <c r="G358" s="79" t="s">
        <v>2464</v>
      </c>
      <c r="H358" s="79"/>
      <c r="I358" s="79"/>
    </row>
    <row r="359" spans="1:9" ht="14.25">
      <c r="A359" s="79" t="s">
        <v>2460</v>
      </c>
      <c r="B359" s="79" t="s">
        <v>2461</v>
      </c>
      <c r="C359" s="79">
        <v>590248547</v>
      </c>
      <c r="D359" s="79">
        <v>0</v>
      </c>
      <c r="E359" s="79" t="s">
        <v>1124</v>
      </c>
      <c r="F359" s="79" t="s">
        <v>2463</v>
      </c>
      <c r="G359" s="79" t="s">
        <v>2101</v>
      </c>
      <c r="H359" s="79"/>
      <c r="I359" s="79"/>
    </row>
    <row r="360" spans="1:9" ht="14.25">
      <c r="A360" s="79" t="s">
        <v>2460</v>
      </c>
      <c r="B360" s="79" t="s">
        <v>2461</v>
      </c>
      <c r="C360" s="79">
        <v>590248547</v>
      </c>
      <c r="D360" s="79">
        <v>0</v>
      </c>
      <c r="E360" s="79" t="s">
        <v>1124</v>
      </c>
      <c r="F360" s="79" t="s">
        <v>2463</v>
      </c>
      <c r="G360" s="79" t="s">
        <v>2465</v>
      </c>
      <c r="H360" s="79"/>
      <c r="I360" s="79"/>
    </row>
    <row r="361" spans="1:9" ht="14.25">
      <c r="A361" s="79" t="s">
        <v>2460</v>
      </c>
      <c r="B361" s="79" t="s">
        <v>2461</v>
      </c>
      <c r="C361" s="79">
        <v>590248547</v>
      </c>
      <c r="D361" s="79">
        <v>0</v>
      </c>
      <c r="E361" s="79" t="s">
        <v>1124</v>
      </c>
      <c r="F361" s="79" t="s">
        <v>2463</v>
      </c>
      <c r="G361" s="79" t="s">
        <v>2293</v>
      </c>
      <c r="H361" s="79"/>
      <c r="I361" s="79"/>
    </row>
    <row r="362" spans="1:9" ht="14.25">
      <c r="A362" s="79" t="s">
        <v>2466</v>
      </c>
      <c r="B362" s="79" t="s">
        <v>2467</v>
      </c>
      <c r="C362" s="79">
        <v>590248549</v>
      </c>
      <c r="D362" s="79">
        <v>0</v>
      </c>
      <c r="E362" s="79" t="s">
        <v>1124</v>
      </c>
      <c r="F362" s="79" t="s">
        <v>2463</v>
      </c>
      <c r="G362" s="79" t="s">
        <v>2296</v>
      </c>
      <c r="H362" s="79"/>
      <c r="I362" s="79"/>
    </row>
    <row r="363" spans="1:9" ht="14.25">
      <c r="A363" s="79" t="s">
        <v>2466</v>
      </c>
      <c r="B363" s="79" t="s">
        <v>2467</v>
      </c>
      <c r="C363" s="79">
        <v>590248549</v>
      </c>
      <c r="D363" s="79">
        <v>0</v>
      </c>
      <c r="E363" s="79" t="s">
        <v>1124</v>
      </c>
      <c r="F363" s="79" t="s">
        <v>2463</v>
      </c>
      <c r="G363" s="79" t="s">
        <v>1294</v>
      </c>
      <c r="H363" s="79"/>
      <c r="I363" s="79"/>
    </row>
    <row r="364" spans="1:9" ht="14.25">
      <c r="A364" s="79" t="s">
        <v>2468</v>
      </c>
      <c r="B364" s="79" t="s">
        <v>2469</v>
      </c>
      <c r="C364" s="79">
        <v>590248647</v>
      </c>
      <c r="D364" s="79">
        <v>0</v>
      </c>
      <c r="E364" s="79" t="s">
        <v>1124</v>
      </c>
      <c r="F364" s="79" t="s">
        <v>2213</v>
      </c>
      <c r="G364" s="79" t="s">
        <v>2470</v>
      </c>
      <c r="H364" s="79"/>
      <c r="I364" s="79"/>
    </row>
    <row r="365" spans="1:9" ht="14.25">
      <c r="A365" s="79" t="s">
        <v>2468</v>
      </c>
      <c r="B365" s="79" t="s">
        <v>2469</v>
      </c>
      <c r="C365" s="79">
        <v>590248647</v>
      </c>
      <c r="D365" s="79">
        <v>0</v>
      </c>
      <c r="E365" s="79" t="s">
        <v>1124</v>
      </c>
      <c r="F365" s="79" t="s">
        <v>2213</v>
      </c>
      <c r="G365" s="79" t="s">
        <v>2447</v>
      </c>
      <c r="H365" s="79"/>
      <c r="I365" s="79"/>
    </row>
    <row r="366" spans="1:9" ht="14.25">
      <c r="A366" s="79" t="s">
        <v>2468</v>
      </c>
      <c r="B366" s="79" t="s">
        <v>2469</v>
      </c>
      <c r="C366" s="79">
        <v>590248647</v>
      </c>
      <c r="D366" s="79">
        <v>0</v>
      </c>
      <c r="E366" s="79" t="s">
        <v>1124</v>
      </c>
      <c r="F366" s="79" t="s">
        <v>2471</v>
      </c>
      <c r="G366" s="79" t="s">
        <v>2472</v>
      </c>
      <c r="H366" s="79"/>
      <c r="I366" s="79"/>
    </row>
    <row r="367" spans="1:9" ht="14.25">
      <c r="A367" s="79" t="s">
        <v>2468</v>
      </c>
      <c r="B367" s="79" t="s">
        <v>2469</v>
      </c>
      <c r="C367" s="79">
        <v>590248647</v>
      </c>
      <c r="D367" s="79">
        <v>0</v>
      </c>
      <c r="E367" s="79" t="s">
        <v>1124</v>
      </c>
      <c r="F367" s="79" t="s">
        <v>2471</v>
      </c>
      <c r="G367" s="79" t="s">
        <v>2101</v>
      </c>
      <c r="H367" s="79"/>
      <c r="I367" s="79"/>
    </row>
    <row r="368" spans="1:9" ht="14.25">
      <c r="A368" s="79" t="s">
        <v>2468</v>
      </c>
      <c r="B368" s="79" t="s">
        <v>2469</v>
      </c>
      <c r="C368" s="79">
        <v>590248647</v>
      </c>
      <c r="D368" s="79">
        <v>0</v>
      </c>
      <c r="E368" s="79" t="s">
        <v>1124</v>
      </c>
      <c r="F368" s="79" t="s">
        <v>2471</v>
      </c>
      <c r="G368" s="79" t="s">
        <v>2473</v>
      </c>
      <c r="H368" s="79"/>
      <c r="I368" s="79"/>
    </row>
    <row r="369" spans="1:9" ht="14.25">
      <c r="A369" s="79" t="s">
        <v>2468</v>
      </c>
      <c r="B369" s="79" t="s">
        <v>2469</v>
      </c>
      <c r="C369" s="79">
        <v>590248647</v>
      </c>
      <c r="D369" s="79">
        <v>0</v>
      </c>
      <c r="E369" s="79" t="s">
        <v>1124</v>
      </c>
      <c r="F369" s="79" t="s">
        <v>2471</v>
      </c>
      <c r="G369" s="79" t="s">
        <v>2293</v>
      </c>
      <c r="H369" s="79"/>
      <c r="I369" s="79"/>
    </row>
    <row r="370" spans="1:9" ht="14.25">
      <c r="A370" s="79" t="s">
        <v>2474</v>
      </c>
      <c r="B370" s="79" t="s">
        <v>2475</v>
      </c>
      <c r="C370" s="79">
        <v>590248649</v>
      </c>
      <c r="D370" s="79">
        <v>0</v>
      </c>
      <c r="E370" s="79" t="s">
        <v>1124</v>
      </c>
      <c r="F370" s="79" t="s">
        <v>2471</v>
      </c>
      <c r="G370" s="79" t="s">
        <v>2296</v>
      </c>
      <c r="H370" s="79"/>
      <c r="I370" s="79"/>
    </row>
    <row r="371" spans="1:9" ht="14.25">
      <c r="A371" s="79" t="s">
        <v>2474</v>
      </c>
      <c r="B371" s="79" t="s">
        <v>2475</v>
      </c>
      <c r="C371" s="79">
        <v>590248649</v>
      </c>
      <c r="D371" s="79">
        <v>0</v>
      </c>
      <c r="E371" s="79" t="s">
        <v>1124</v>
      </c>
      <c r="F371" s="79" t="s">
        <v>2471</v>
      </c>
      <c r="G371" s="79" t="s">
        <v>1294</v>
      </c>
      <c r="H371" s="79"/>
      <c r="I371" s="79"/>
    </row>
    <row r="372" spans="1:9" ht="14.25">
      <c r="A372" s="79" t="s">
        <v>2476</v>
      </c>
      <c r="B372" s="79" t="s">
        <v>2477</v>
      </c>
      <c r="C372" s="79">
        <v>590248747</v>
      </c>
      <c r="D372" s="79">
        <v>0</v>
      </c>
      <c r="E372" s="79" t="s">
        <v>1124</v>
      </c>
      <c r="F372" s="79" t="s">
        <v>2213</v>
      </c>
      <c r="G372" s="79" t="s">
        <v>2478</v>
      </c>
      <c r="H372" s="79"/>
      <c r="I372" s="79"/>
    </row>
    <row r="373" spans="1:9" ht="14.25">
      <c r="A373" s="79" t="s">
        <v>2476</v>
      </c>
      <c r="B373" s="79" t="s">
        <v>2477</v>
      </c>
      <c r="C373" s="79">
        <v>590248747</v>
      </c>
      <c r="D373" s="79">
        <v>0</v>
      </c>
      <c r="E373" s="79" t="s">
        <v>1124</v>
      </c>
      <c r="F373" s="79" t="s">
        <v>2213</v>
      </c>
      <c r="G373" s="79" t="s">
        <v>2447</v>
      </c>
      <c r="H373" s="79"/>
      <c r="I373" s="79"/>
    </row>
    <row r="374" spans="1:9" ht="14.25">
      <c r="A374" s="79" t="s">
        <v>2476</v>
      </c>
      <c r="B374" s="79" t="s">
        <v>2477</v>
      </c>
      <c r="C374" s="79">
        <v>590248747</v>
      </c>
      <c r="D374" s="79">
        <v>0</v>
      </c>
      <c r="E374" s="79" t="s">
        <v>1124</v>
      </c>
      <c r="F374" s="79" t="s">
        <v>2479</v>
      </c>
      <c r="G374" s="79" t="s">
        <v>2480</v>
      </c>
      <c r="H374" s="79"/>
      <c r="I374" s="79"/>
    </row>
    <row r="375" spans="1:9" ht="14.25">
      <c r="A375" s="79" t="s">
        <v>2476</v>
      </c>
      <c r="B375" s="79" t="s">
        <v>2477</v>
      </c>
      <c r="C375" s="79">
        <v>590248747</v>
      </c>
      <c r="D375" s="79">
        <v>0</v>
      </c>
      <c r="E375" s="79" t="s">
        <v>1124</v>
      </c>
      <c r="F375" s="79" t="s">
        <v>2479</v>
      </c>
      <c r="G375" s="79" t="s">
        <v>2101</v>
      </c>
      <c r="H375" s="79"/>
      <c r="I375" s="79"/>
    </row>
    <row r="376" spans="1:9" ht="14.25">
      <c r="A376" s="79" t="s">
        <v>2476</v>
      </c>
      <c r="B376" s="79" t="s">
        <v>2477</v>
      </c>
      <c r="C376" s="79">
        <v>590248747</v>
      </c>
      <c r="D376" s="79">
        <v>0</v>
      </c>
      <c r="E376" s="79" t="s">
        <v>1124</v>
      </c>
      <c r="F376" s="79" t="s">
        <v>2479</v>
      </c>
      <c r="G376" s="79" t="s">
        <v>2118</v>
      </c>
      <c r="H376" s="79"/>
      <c r="I376" s="79"/>
    </row>
    <row r="377" spans="1:9" ht="14.25">
      <c r="A377" s="79" t="s">
        <v>2476</v>
      </c>
      <c r="B377" s="79" t="s">
        <v>2477</v>
      </c>
      <c r="C377" s="79">
        <v>590248747</v>
      </c>
      <c r="D377" s="79">
        <v>0</v>
      </c>
      <c r="E377" s="79" t="s">
        <v>1124</v>
      </c>
      <c r="F377" s="79" t="s">
        <v>2479</v>
      </c>
      <c r="G377" s="79" t="s">
        <v>2293</v>
      </c>
      <c r="H377" s="79"/>
      <c r="I377" s="79"/>
    </row>
    <row r="378" spans="1:9" ht="14.25">
      <c r="A378" s="79" t="s">
        <v>2481</v>
      </c>
      <c r="B378" s="79" t="s">
        <v>2482</v>
      </c>
      <c r="C378" s="79">
        <v>590248749</v>
      </c>
      <c r="D378" s="79">
        <v>0</v>
      </c>
      <c r="E378" s="79" t="s">
        <v>1124</v>
      </c>
      <c r="F378" s="79" t="s">
        <v>2479</v>
      </c>
      <c r="G378" s="79" t="s">
        <v>2296</v>
      </c>
      <c r="H378" s="79"/>
      <c r="I378" s="79"/>
    </row>
    <row r="379" spans="1:9" ht="14.25">
      <c r="A379" s="79" t="s">
        <v>2481</v>
      </c>
      <c r="B379" s="79" t="s">
        <v>2482</v>
      </c>
      <c r="C379" s="79">
        <v>590248749</v>
      </c>
      <c r="D379" s="79">
        <v>0</v>
      </c>
      <c r="E379" s="79" t="s">
        <v>1124</v>
      </c>
      <c r="F379" s="79" t="s">
        <v>2479</v>
      </c>
      <c r="G379" s="79" t="s">
        <v>1294</v>
      </c>
      <c r="H379" s="79"/>
      <c r="I379" s="79"/>
    </row>
    <row r="380" spans="1:9" ht="14.25">
      <c r="A380" s="79" t="s">
        <v>2483</v>
      </c>
      <c r="B380" s="79" t="s">
        <v>2484</v>
      </c>
      <c r="C380" s="79">
        <v>590248847</v>
      </c>
      <c r="D380" s="79">
        <v>0</v>
      </c>
      <c r="E380" s="79" t="s">
        <v>1124</v>
      </c>
      <c r="F380" s="79" t="s">
        <v>2213</v>
      </c>
      <c r="G380" s="79" t="s">
        <v>2485</v>
      </c>
      <c r="H380" s="79"/>
      <c r="I380" s="79"/>
    </row>
    <row r="381" spans="1:9" ht="14.25">
      <c r="A381" s="79" t="s">
        <v>2483</v>
      </c>
      <c r="B381" s="79" t="s">
        <v>2484</v>
      </c>
      <c r="C381" s="79">
        <v>590248847</v>
      </c>
      <c r="D381" s="79">
        <v>0</v>
      </c>
      <c r="E381" s="79" t="s">
        <v>1124</v>
      </c>
      <c r="F381" s="79" t="s">
        <v>2213</v>
      </c>
      <c r="G381" s="79" t="s">
        <v>2447</v>
      </c>
      <c r="H381" s="79"/>
      <c r="I381" s="79"/>
    </row>
    <row r="382" spans="1:9" ht="14.25">
      <c r="A382" s="79" t="s">
        <v>2483</v>
      </c>
      <c r="B382" s="79" t="s">
        <v>2484</v>
      </c>
      <c r="C382" s="79">
        <v>590248847</v>
      </c>
      <c r="D382" s="79">
        <v>0</v>
      </c>
      <c r="E382" s="79" t="s">
        <v>1124</v>
      </c>
      <c r="F382" s="79" t="s">
        <v>2486</v>
      </c>
      <c r="G382" s="79" t="s">
        <v>2487</v>
      </c>
      <c r="H382" s="79"/>
      <c r="I382" s="79"/>
    </row>
    <row r="383" spans="1:9" ht="14.25">
      <c r="A383" s="79" t="s">
        <v>2483</v>
      </c>
      <c r="B383" s="79" t="s">
        <v>2484</v>
      </c>
      <c r="C383" s="79">
        <v>590248847</v>
      </c>
      <c r="D383" s="79">
        <v>0</v>
      </c>
      <c r="E383" s="79" t="s">
        <v>1124</v>
      </c>
      <c r="F383" s="79" t="s">
        <v>2486</v>
      </c>
      <c r="G383" s="79" t="s">
        <v>2101</v>
      </c>
      <c r="H383" s="79"/>
      <c r="I383" s="79"/>
    </row>
    <row r="384" spans="1:9" ht="14.25">
      <c r="A384" s="79" t="s">
        <v>2483</v>
      </c>
      <c r="B384" s="79" t="s">
        <v>2484</v>
      </c>
      <c r="C384" s="79">
        <v>590248847</v>
      </c>
      <c r="D384" s="79">
        <v>0</v>
      </c>
      <c r="E384" s="79" t="s">
        <v>1124</v>
      </c>
      <c r="F384" s="79" t="s">
        <v>2486</v>
      </c>
      <c r="G384" s="79" t="s">
        <v>2488</v>
      </c>
      <c r="H384" s="79"/>
      <c r="I384" s="79"/>
    </row>
    <row r="385" spans="1:9" ht="14.25">
      <c r="A385" s="79" t="s">
        <v>2483</v>
      </c>
      <c r="B385" s="79" t="s">
        <v>2484</v>
      </c>
      <c r="C385" s="79">
        <v>590248847</v>
      </c>
      <c r="D385" s="79">
        <v>0</v>
      </c>
      <c r="E385" s="79" t="s">
        <v>1124</v>
      </c>
      <c r="F385" s="79" t="s">
        <v>2486</v>
      </c>
      <c r="G385" s="79" t="s">
        <v>2293</v>
      </c>
      <c r="H385" s="79"/>
      <c r="I385" s="79"/>
    </row>
    <row r="386" spans="1:9" ht="14.25">
      <c r="A386" s="79" t="s">
        <v>2489</v>
      </c>
      <c r="B386" s="79" t="s">
        <v>2490</v>
      </c>
      <c r="C386" s="79">
        <v>590248849</v>
      </c>
      <c r="D386" s="79">
        <v>0</v>
      </c>
      <c r="E386" s="79" t="s">
        <v>1124</v>
      </c>
      <c r="F386" s="79" t="s">
        <v>2486</v>
      </c>
      <c r="G386" s="79" t="s">
        <v>2296</v>
      </c>
      <c r="H386" s="79"/>
      <c r="I386" s="79"/>
    </row>
    <row r="387" spans="1:9" ht="14.25">
      <c r="A387" s="79" t="s">
        <v>2489</v>
      </c>
      <c r="B387" s="79" t="s">
        <v>2490</v>
      </c>
      <c r="C387" s="79">
        <v>590248849</v>
      </c>
      <c r="D387" s="79">
        <v>0</v>
      </c>
      <c r="E387" s="79" t="s">
        <v>1124</v>
      </c>
      <c r="F387" s="79" t="s">
        <v>2486</v>
      </c>
      <c r="G387" s="79" t="s">
        <v>1294</v>
      </c>
      <c r="H387" s="79"/>
      <c r="I387" s="79"/>
    </row>
    <row r="388" spans="1:9" ht="14.25">
      <c r="A388" s="79" t="s">
        <v>2491</v>
      </c>
      <c r="B388" s="79" t="s">
        <v>2492</v>
      </c>
      <c r="C388" s="79">
        <v>590248947</v>
      </c>
      <c r="D388" s="79">
        <v>0</v>
      </c>
      <c r="E388" s="79" t="s">
        <v>1124</v>
      </c>
      <c r="F388" s="79" t="s">
        <v>2213</v>
      </c>
      <c r="G388" s="79" t="s">
        <v>2493</v>
      </c>
      <c r="H388" s="79"/>
      <c r="I388" s="79"/>
    </row>
    <row r="389" spans="1:9" ht="14.25">
      <c r="A389" s="79" t="s">
        <v>2491</v>
      </c>
      <c r="B389" s="79" t="s">
        <v>2492</v>
      </c>
      <c r="C389" s="79">
        <v>590248947</v>
      </c>
      <c r="D389" s="79">
        <v>0</v>
      </c>
      <c r="E389" s="79" t="s">
        <v>1124</v>
      </c>
      <c r="F389" s="79" t="s">
        <v>2213</v>
      </c>
      <c r="G389" s="79" t="s">
        <v>2447</v>
      </c>
      <c r="H389" s="79"/>
      <c r="I389" s="79"/>
    </row>
    <row r="390" spans="1:9" ht="14.25">
      <c r="A390" s="79" t="s">
        <v>2491</v>
      </c>
      <c r="B390" s="79" t="s">
        <v>2492</v>
      </c>
      <c r="C390" s="79">
        <v>590248947</v>
      </c>
      <c r="D390" s="79">
        <v>0</v>
      </c>
      <c r="E390" s="79" t="s">
        <v>1124</v>
      </c>
      <c r="F390" s="79" t="s">
        <v>2494</v>
      </c>
      <c r="G390" s="79" t="s">
        <v>2495</v>
      </c>
      <c r="H390" s="79"/>
      <c r="I390" s="79"/>
    </row>
    <row r="391" spans="1:9" ht="14.25">
      <c r="A391" s="79" t="s">
        <v>2491</v>
      </c>
      <c r="B391" s="79" t="s">
        <v>2492</v>
      </c>
      <c r="C391" s="79">
        <v>590248947</v>
      </c>
      <c r="D391" s="79">
        <v>0</v>
      </c>
      <c r="E391" s="79" t="s">
        <v>1124</v>
      </c>
      <c r="F391" s="79" t="s">
        <v>2494</v>
      </c>
      <c r="G391" s="79" t="s">
        <v>2101</v>
      </c>
      <c r="H391" s="79"/>
      <c r="I391" s="79"/>
    </row>
    <row r="392" spans="1:9" ht="14.25">
      <c r="A392" s="79" t="s">
        <v>2491</v>
      </c>
      <c r="B392" s="79" t="s">
        <v>2492</v>
      </c>
      <c r="C392" s="79">
        <v>590248947</v>
      </c>
      <c r="D392" s="79">
        <v>0</v>
      </c>
      <c r="E392" s="79" t="s">
        <v>1124</v>
      </c>
      <c r="F392" s="79" t="s">
        <v>2494</v>
      </c>
      <c r="G392" s="79" t="s">
        <v>2496</v>
      </c>
      <c r="H392" s="79"/>
      <c r="I392" s="79"/>
    </row>
    <row r="393" spans="1:9" ht="14.25">
      <c r="A393" s="79" t="s">
        <v>2491</v>
      </c>
      <c r="B393" s="79" t="s">
        <v>2492</v>
      </c>
      <c r="C393" s="79">
        <v>590248947</v>
      </c>
      <c r="D393" s="79">
        <v>0</v>
      </c>
      <c r="E393" s="79" t="s">
        <v>1124</v>
      </c>
      <c r="F393" s="79" t="s">
        <v>2494</v>
      </c>
      <c r="G393" s="79" t="s">
        <v>2293</v>
      </c>
      <c r="H393" s="79"/>
      <c r="I393" s="79"/>
    </row>
    <row r="394" spans="1:9" ht="14.25">
      <c r="A394" s="79" t="s">
        <v>2497</v>
      </c>
      <c r="B394" s="79" t="s">
        <v>2498</v>
      </c>
      <c r="C394" s="79">
        <v>590248949</v>
      </c>
      <c r="D394" s="79">
        <v>0</v>
      </c>
      <c r="E394" s="79" t="s">
        <v>1124</v>
      </c>
      <c r="F394" s="79" t="s">
        <v>2494</v>
      </c>
      <c r="G394" s="79" t="s">
        <v>2296</v>
      </c>
      <c r="H394" s="79"/>
      <c r="I394" s="79"/>
    </row>
    <row r="395" spans="1:9" ht="14.25">
      <c r="A395" s="79" t="s">
        <v>2497</v>
      </c>
      <c r="B395" s="79" t="s">
        <v>2498</v>
      </c>
      <c r="C395" s="79">
        <v>590248949</v>
      </c>
      <c r="D395" s="79">
        <v>0</v>
      </c>
      <c r="E395" s="79" t="s">
        <v>1124</v>
      </c>
      <c r="F395" s="79" t="s">
        <v>2494</v>
      </c>
      <c r="G395" s="79" t="s">
        <v>1294</v>
      </c>
      <c r="H395" s="79"/>
      <c r="I395" s="79"/>
    </row>
    <row r="396" spans="1:9" ht="14.25">
      <c r="A396" s="79" t="s">
        <v>2499</v>
      </c>
      <c r="B396" s="79" t="s">
        <v>2500</v>
      </c>
      <c r="C396" s="79">
        <v>590249047</v>
      </c>
      <c r="D396" s="79">
        <v>0</v>
      </c>
      <c r="E396" s="79" t="s">
        <v>1124</v>
      </c>
      <c r="F396" s="79" t="s">
        <v>2213</v>
      </c>
      <c r="G396" s="79" t="s">
        <v>2501</v>
      </c>
      <c r="H396" s="79"/>
      <c r="I396" s="79"/>
    </row>
    <row r="397" spans="1:9" ht="14.25">
      <c r="A397" s="79" t="s">
        <v>2499</v>
      </c>
      <c r="B397" s="79" t="s">
        <v>2500</v>
      </c>
      <c r="C397" s="79">
        <v>590249047</v>
      </c>
      <c r="D397" s="79">
        <v>0</v>
      </c>
      <c r="E397" s="79" t="s">
        <v>1124</v>
      </c>
      <c r="F397" s="79" t="s">
        <v>2213</v>
      </c>
      <c r="G397" s="79" t="s">
        <v>2447</v>
      </c>
      <c r="H397" s="79"/>
      <c r="I397" s="79"/>
    </row>
    <row r="398" spans="1:9" ht="14.25">
      <c r="A398" s="79" t="s">
        <v>2499</v>
      </c>
      <c r="B398" s="79" t="s">
        <v>2500</v>
      </c>
      <c r="C398" s="79">
        <v>590249047</v>
      </c>
      <c r="D398" s="79">
        <v>0</v>
      </c>
      <c r="E398" s="79" t="s">
        <v>1124</v>
      </c>
      <c r="F398" s="79" t="s">
        <v>2502</v>
      </c>
      <c r="G398" s="79" t="s">
        <v>2503</v>
      </c>
      <c r="H398" s="79"/>
      <c r="I398" s="79"/>
    </row>
    <row r="399" spans="1:9" ht="14.25">
      <c r="A399" s="79" t="s">
        <v>2499</v>
      </c>
      <c r="B399" s="79" t="s">
        <v>2500</v>
      </c>
      <c r="C399" s="79">
        <v>590249047</v>
      </c>
      <c r="D399" s="79">
        <v>0</v>
      </c>
      <c r="E399" s="79" t="s">
        <v>1124</v>
      </c>
      <c r="F399" s="79" t="s">
        <v>2502</v>
      </c>
      <c r="G399" s="79" t="s">
        <v>2101</v>
      </c>
      <c r="H399" s="79"/>
      <c r="I399" s="79"/>
    </row>
    <row r="400" spans="1:9" ht="14.25">
      <c r="A400" s="79" t="s">
        <v>2499</v>
      </c>
      <c r="B400" s="79" t="s">
        <v>2500</v>
      </c>
      <c r="C400" s="79">
        <v>590249047</v>
      </c>
      <c r="D400" s="79">
        <v>0</v>
      </c>
      <c r="E400" s="79" t="s">
        <v>1124</v>
      </c>
      <c r="F400" s="79" t="s">
        <v>2502</v>
      </c>
      <c r="G400" s="79" t="s">
        <v>2114</v>
      </c>
      <c r="H400" s="79"/>
      <c r="I400" s="79"/>
    </row>
    <row r="401" spans="1:9" ht="14.25">
      <c r="A401" s="79" t="s">
        <v>2499</v>
      </c>
      <c r="B401" s="79" t="s">
        <v>2500</v>
      </c>
      <c r="C401" s="79">
        <v>590249047</v>
      </c>
      <c r="D401" s="79">
        <v>0</v>
      </c>
      <c r="E401" s="79" t="s">
        <v>1124</v>
      </c>
      <c r="F401" s="79" t="s">
        <v>2502</v>
      </c>
      <c r="G401" s="79" t="s">
        <v>2293</v>
      </c>
      <c r="H401" s="79"/>
      <c r="I401" s="79"/>
    </row>
    <row r="402" spans="1:9" ht="14.25">
      <c r="A402" s="79" t="s">
        <v>2504</v>
      </c>
      <c r="B402" s="79" t="s">
        <v>2505</v>
      </c>
      <c r="C402" s="79">
        <v>590249049</v>
      </c>
      <c r="D402" s="79">
        <v>0</v>
      </c>
      <c r="E402" s="79" t="s">
        <v>1124</v>
      </c>
      <c r="F402" s="79" t="s">
        <v>2502</v>
      </c>
      <c r="G402" s="79" t="s">
        <v>2296</v>
      </c>
      <c r="H402" s="79"/>
      <c r="I402" s="79"/>
    </row>
    <row r="403" spans="1:9" ht="14.25">
      <c r="A403" s="79" t="s">
        <v>2504</v>
      </c>
      <c r="B403" s="79" t="s">
        <v>2505</v>
      </c>
      <c r="C403" s="79">
        <v>590249049</v>
      </c>
      <c r="D403" s="79">
        <v>0</v>
      </c>
      <c r="E403" s="79" t="s">
        <v>1124</v>
      </c>
      <c r="F403" s="79" t="s">
        <v>2502</v>
      </c>
      <c r="G403" s="79" t="s">
        <v>1294</v>
      </c>
      <c r="H403" s="79"/>
      <c r="I403" s="79"/>
    </row>
    <row r="404" spans="1:9" ht="14.25">
      <c r="A404" s="79" t="s">
        <v>2506</v>
      </c>
      <c r="B404" s="79" t="s">
        <v>2507</v>
      </c>
      <c r="C404" s="79">
        <v>590249147</v>
      </c>
      <c r="D404" s="79">
        <v>0</v>
      </c>
      <c r="E404" s="79" t="s">
        <v>1124</v>
      </c>
      <c r="F404" s="79" t="s">
        <v>2213</v>
      </c>
      <c r="G404" s="79" t="s">
        <v>2508</v>
      </c>
      <c r="H404" s="79"/>
      <c r="I404" s="79"/>
    </row>
    <row r="405" spans="1:9" ht="14.25">
      <c r="A405" s="79" t="s">
        <v>2506</v>
      </c>
      <c r="B405" s="79" t="s">
        <v>2507</v>
      </c>
      <c r="C405" s="79">
        <v>590249147</v>
      </c>
      <c r="D405" s="79">
        <v>0</v>
      </c>
      <c r="E405" s="79" t="s">
        <v>1124</v>
      </c>
      <c r="F405" s="79" t="s">
        <v>2213</v>
      </c>
      <c r="G405" s="79" t="s">
        <v>2447</v>
      </c>
      <c r="H405" s="79"/>
      <c r="I405" s="79"/>
    </row>
    <row r="406" spans="1:9" ht="14.25">
      <c r="A406" s="79" t="s">
        <v>2506</v>
      </c>
      <c r="B406" s="79" t="s">
        <v>2507</v>
      </c>
      <c r="C406" s="79">
        <v>590249147</v>
      </c>
      <c r="D406" s="79">
        <v>0</v>
      </c>
      <c r="E406" s="79" t="s">
        <v>1124</v>
      </c>
      <c r="F406" s="79" t="s">
        <v>2509</v>
      </c>
      <c r="G406" s="79" t="s">
        <v>2510</v>
      </c>
      <c r="H406" s="79"/>
      <c r="I406" s="79"/>
    </row>
    <row r="407" spans="1:9" ht="14.25">
      <c r="A407" s="79" t="s">
        <v>2506</v>
      </c>
      <c r="B407" s="79" t="s">
        <v>2507</v>
      </c>
      <c r="C407" s="79">
        <v>590249147</v>
      </c>
      <c r="D407" s="79">
        <v>0</v>
      </c>
      <c r="E407" s="79" t="s">
        <v>1124</v>
      </c>
      <c r="F407" s="79" t="s">
        <v>2509</v>
      </c>
      <c r="G407" s="79" t="s">
        <v>2101</v>
      </c>
      <c r="H407" s="79"/>
      <c r="I407" s="79"/>
    </row>
    <row r="408" spans="1:9" ht="14.25">
      <c r="A408" s="79" t="s">
        <v>2506</v>
      </c>
      <c r="B408" s="79" t="s">
        <v>2507</v>
      </c>
      <c r="C408" s="79">
        <v>590249147</v>
      </c>
      <c r="D408" s="79">
        <v>0</v>
      </c>
      <c r="E408" s="79" t="s">
        <v>1124</v>
      </c>
      <c r="F408" s="79" t="s">
        <v>2509</v>
      </c>
      <c r="G408" s="79" t="s">
        <v>2511</v>
      </c>
      <c r="H408" s="79"/>
      <c r="I408" s="79"/>
    </row>
    <row r="409" spans="1:9" ht="14.25">
      <c r="A409" s="79" t="s">
        <v>2506</v>
      </c>
      <c r="B409" s="79" t="s">
        <v>2507</v>
      </c>
      <c r="C409" s="79">
        <v>590249147</v>
      </c>
      <c r="D409" s="79">
        <v>0</v>
      </c>
      <c r="E409" s="79" t="s">
        <v>1124</v>
      </c>
      <c r="F409" s="79" t="s">
        <v>2509</v>
      </c>
      <c r="G409" s="79" t="s">
        <v>2293</v>
      </c>
      <c r="H409" s="79"/>
      <c r="I409" s="79"/>
    </row>
    <row r="410" spans="1:9" ht="14.25">
      <c r="A410" s="79" t="s">
        <v>2512</v>
      </c>
      <c r="B410" s="79" t="s">
        <v>2513</v>
      </c>
      <c r="C410" s="79">
        <v>590249149</v>
      </c>
      <c r="D410" s="79">
        <v>0</v>
      </c>
      <c r="E410" s="79" t="s">
        <v>1124</v>
      </c>
      <c r="F410" s="79" t="s">
        <v>2509</v>
      </c>
      <c r="G410" s="79" t="s">
        <v>2296</v>
      </c>
      <c r="H410" s="79"/>
      <c r="I410" s="79"/>
    </row>
    <row r="411" spans="1:9" ht="14.25">
      <c r="A411" s="79" t="s">
        <v>2512</v>
      </c>
      <c r="B411" s="79" t="s">
        <v>2513</v>
      </c>
      <c r="C411" s="79">
        <v>590249149</v>
      </c>
      <c r="D411" s="79">
        <v>0</v>
      </c>
      <c r="E411" s="79" t="s">
        <v>1124</v>
      </c>
      <c r="F411" s="79" t="s">
        <v>2509</v>
      </c>
      <c r="G411" s="79" t="s">
        <v>1294</v>
      </c>
      <c r="H411" s="79"/>
      <c r="I411" s="79"/>
    </row>
    <row r="412" spans="1:9" ht="14.25">
      <c r="A412" s="79" t="s">
        <v>2514</v>
      </c>
      <c r="B412" s="79" t="s">
        <v>2515</v>
      </c>
      <c r="C412" s="79">
        <v>590249247</v>
      </c>
      <c r="D412" s="79">
        <v>0</v>
      </c>
      <c r="E412" s="79" t="s">
        <v>1124</v>
      </c>
      <c r="F412" s="79" t="s">
        <v>2213</v>
      </c>
      <c r="G412" s="79" t="s">
        <v>2516</v>
      </c>
      <c r="H412" s="79"/>
      <c r="I412" s="79"/>
    </row>
    <row r="413" spans="1:9" ht="14.25">
      <c r="A413" s="79" t="s">
        <v>2514</v>
      </c>
      <c r="B413" s="79" t="s">
        <v>2515</v>
      </c>
      <c r="C413" s="79">
        <v>590249247</v>
      </c>
      <c r="D413" s="79">
        <v>0</v>
      </c>
      <c r="E413" s="79" t="s">
        <v>1124</v>
      </c>
      <c r="F413" s="79" t="s">
        <v>2213</v>
      </c>
      <c r="G413" s="79" t="s">
        <v>2102</v>
      </c>
      <c r="H413" s="79"/>
      <c r="I413" s="79"/>
    </row>
    <row r="414" spans="1:9" ht="14.25">
      <c r="A414" s="79" t="s">
        <v>2517</v>
      </c>
      <c r="B414" s="79" t="s">
        <v>2518</v>
      </c>
      <c r="C414" s="79">
        <v>590249248</v>
      </c>
      <c r="D414" s="79">
        <v>0</v>
      </c>
      <c r="E414" s="79" t="s">
        <v>1124</v>
      </c>
      <c r="F414" s="79" t="s">
        <v>2213</v>
      </c>
      <c r="G414" s="79" t="s">
        <v>1160</v>
      </c>
      <c r="H414" s="79"/>
      <c r="I414" s="79"/>
    </row>
    <row r="415" spans="1:9" ht="14.25">
      <c r="A415" s="79" t="s">
        <v>2517</v>
      </c>
      <c r="B415" s="79" t="s">
        <v>2518</v>
      </c>
      <c r="C415" s="79">
        <v>590249248</v>
      </c>
      <c r="D415" s="79">
        <v>0</v>
      </c>
      <c r="E415" s="79" t="s">
        <v>1124</v>
      </c>
      <c r="F415" s="79" t="s">
        <v>2213</v>
      </c>
      <c r="G415" s="79" t="s">
        <v>2102</v>
      </c>
      <c r="H415" s="79"/>
      <c r="I415" s="79"/>
    </row>
    <row r="416" spans="1:9" ht="14.25">
      <c r="A416" s="79" t="s">
        <v>2519</v>
      </c>
      <c r="B416" s="79" t="s">
        <v>2520</v>
      </c>
      <c r="C416" s="79">
        <v>590249249</v>
      </c>
      <c r="D416" s="79">
        <v>0</v>
      </c>
      <c r="E416" s="79" t="s">
        <v>1124</v>
      </c>
      <c r="F416" s="79" t="s">
        <v>2213</v>
      </c>
      <c r="G416" s="79" t="s">
        <v>2521</v>
      </c>
      <c r="H416" s="79"/>
      <c r="I416" s="79"/>
    </row>
    <row r="417" spans="1:9" ht="14.25">
      <c r="A417" s="79" t="s">
        <v>2519</v>
      </c>
      <c r="B417" s="79" t="s">
        <v>2520</v>
      </c>
      <c r="C417" s="79">
        <v>590249249</v>
      </c>
      <c r="D417" s="79">
        <v>0</v>
      </c>
      <c r="E417" s="79" t="s">
        <v>1124</v>
      </c>
      <c r="F417" s="79" t="s">
        <v>2213</v>
      </c>
      <c r="G417" s="79" t="s">
        <v>2102</v>
      </c>
      <c r="H417" s="79"/>
      <c r="I417" s="79"/>
    </row>
    <row r="418" spans="1:9" ht="14.25">
      <c r="A418" s="79" t="s">
        <v>2522</v>
      </c>
      <c r="B418" s="79" t="s">
        <v>2523</v>
      </c>
      <c r="C418" s="79">
        <v>590249250</v>
      </c>
      <c r="D418" s="79">
        <v>0</v>
      </c>
      <c r="E418" s="79" t="s">
        <v>1124</v>
      </c>
      <c r="F418" s="79" t="s">
        <v>2213</v>
      </c>
      <c r="G418" s="79" t="s">
        <v>2524</v>
      </c>
      <c r="H418" s="79"/>
      <c r="I418" s="79"/>
    </row>
    <row r="419" spans="1:9" ht="14.25">
      <c r="A419" s="79" t="s">
        <v>2522</v>
      </c>
      <c r="B419" s="79" t="s">
        <v>2523</v>
      </c>
      <c r="C419" s="79">
        <v>590249250</v>
      </c>
      <c r="D419" s="79">
        <v>0</v>
      </c>
      <c r="E419" s="79" t="s">
        <v>1124</v>
      </c>
      <c r="F419" s="79" t="s">
        <v>2213</v>
      </c>
      <c r="G419" s="79" t="s">
        <v>1294</v>
      </c>
      <c r="H419" s="79"/>
      <c r="I419" s="79"/>
    </row>
    <row r="420" spans="1:9" ht="14.25">
      <c r="A420" s="81" t="s">
        <v>2525</v>
      </c>
      <c r="B420" s="81" t="s">
        <v>2526</v>
      </c>
      <c r="C420" s="81">
        <v>590249566</v>
      </c>
      <c r="D420" s="81">
        <v>0</v>
      </c>
      <c r="E420" s="81" t="s">
        <v>1124</v>
      </c>
      <c r="F420" s="81" t="s">
        <v>2527</v>
      </c>
      <c r="G420" s="81" t="s">
        <v>1444</v>
      </c>
      <c r="H420" s="81"/>
      <c r="I420" s="81" t="s">
        <v>2196</v>
      </c>
    </row>
    <row r="421" spans="1:9" ht="14.25">
      <c r="A421" s="81" t="s">
        <v>2528</v>
      </c>
      <c r="B421" s="81" t="s">
        <v>2529</v>
      </c>
      <c r="C421" s="81">
        <v>590249569</v>
      </c>
      <c r="D421" s="81">
        <v>0</v>
      </c>
      <c r="E421" s="81" t="s">
        <v>1124</v>
      </c>
      <c r="F421" s="81" t="s">
        <v>2527</v>
      </c>
      <c r="G421" s="81" t="s">
        <v>1447</v>
      </c>
      <c r="H421" s="81"/>
      <c r="I421" s="81" t="s">
        <v>2196</v>
      </c>
    </row>
    <row r="422" spans="1:9" ht="14.25">
      <c r="A422" s="81" t="s">
        <v>2530</v>
      </c>
      <c r="B422" s="81" t="s">
        <v>2531</v>
      </c>
      <c r="C422" s="81">
        <v>590249572</v>
      </c>
      <c r="D422" s="81">
        <v>0</v>
      </c>
      <c r="E422" s="81" t="s">
        <v>1124</v>
      </c>
      <c r="F422" s="81" t="s">
        <v>2527</v>
      </c>
      <c r="G422" s="81" t="s">
        <v>1160</v>
      </c>
      <c r="H422" s="81"/>
      <c r="I422" s="81" t="s">
        <v>2196</v>
      </c>
    </row>
    <row r="423" spans="1:9" ht="14.25">
      <c r="A423" s="81" t="s">
        <v>2532</v>
      </c>
      <c r="B423" s="81" t="s">
        <v>2533</v>
      </c>
      <c r="C423" s="81">
        <v>590249575</v>
      </c>
      <c r="D423" s="81">
        <v>0</v>
      </c>
      <c r="E423" s="81" t="s">
        <v>1124</v>
      </c>
      <c r="F423" s="81" t="s">
        <v>2527</v>
      </c>
      <c r="G423" s="81" t="s">
        <v>1164</v>
      </c>
      <c r="H423" s="81"/>
      <c r="I423" s="81" t="s">
        <v>2196</v>
      </c>
    </row>
    <row r="424" spans="1:9" ht="14.25">
      <c r="A424" s="81" t="s">
        <v>2534</v>
      </c>
      <c r="B424" s="81" t="s">
        <v>2535</v>
      </c>
      <c r="C424" s="81">
        <v>590250176</v>
      </c>
      <c r="D424" s="81">
        <v>0</v>
      </c>
      <c r="E424" s="81" t="s">
        <v>1124</v>
      </c>
      <c r="F424" s="81" t="s">
        <v>2536</v>
      </c>
      <c r="G424" s="81" t="s">
        <v>1169</v>
      </c>
      <c r="H424" s="81"/>
      <c r="I424" s="81" t="s">
        <v>2196</v>
      </c>
    </row>
    <row r="425" spans="1:9" ht="14.25">
      <c r="A425" s="79" t="s">
        <v>2534</v>
      </c>
      <c r="B425" s="79" t="s">
        <v>2535</v>
      </c>
      <c r="C425" s="79">
        <v>590250176</v>
      </c>
      <c r="D425" s="79">
        <v>0</v>
      </c>
      <c r="E425" s="79" t="s">
        <v>1124</v>
      </c>
      <c r="F425" s="79" t="s">
        <v>2537</v>
      </c>
      <c r="G425" s="79" t="s">
        <v>2538</v>
      </c>
      <c r="H425" s="79" t="s">
        <v>2539</v>
      </c>
      <c r="I425" s="79"/>
    </row>
    <row r="426" spans="1:9" ht="14.25">
      <c r="A426" s="79" t="s">
        <v>2534</v>
      </c>
      <c r="B426" s="79" t="s">
        <v>2535</v>
      </c>
      <c r="C426" s="79">
        <v>590250176</v>
      </c>
      <c r="D426" s="79">
        <v>0</v>
      </c>
      <c r="E426" s="79" t="s">
        <v>1124</v>
      </c>
      <c r="F426" s="79" t="s">
        <v>2537</v>
      </c>
      <c r="G426" s="79" t="s">
        <v>2540</v>
      </c>
      <c r="H426" s="79" t="s">
        <v>2541</v>
      </c>
      <c r="I426" s="79"/>
    </row>
    <row r="427" spans="1:9" ht="14.25">
      <c r="A427" s="79" t="s">
        <v>2534</v>
      </c>
      <c r="B427" s="79" t="s">
        <v>2535</v>
      </c>
      <c r="C427" s="79">
        <v>590250176</v>
      </c>
      <c r="D427" s="79">
        <v>0</v>
      </c>
      <c r="E427" s="79" t="s">
        <v>1124</v>
      </c>
      <c r="F427" s="79" t="s">
        <v>2537</v>
      </c>
      <c r="G427" s="79" t="s">
        <v>2542</v>
      </c>
      <c r="H427" s="79" t="s">
        <v>2543</v>
      </c>
      <c r="I427" s="79"/>
    </row>
    <row r="428" spans="1:9" ht="14.25">
      <c r="A428" s="79" t="s">
        <v>2534</v>
      </c>
      <c r="B428" s="79" t="s">
        <v>2535</v>
      </c>
      <c r="C428" s="79">
        <v>590250176</v>
      </c>
      <c r="D428" s="79">
        <v>0</v>
      </c>
      <c r="E428" s="79" t="s">
        <v>1124</v>
      </c>
      <c r="F428" s="79" t="s">
        <v>2537</v>
      </c>
      <c r="G428" s="79" t="s">
        <v>2544</v>
      </c>
      <c r="H428" s="79" t="s">
        <v>2545</v>
      </c>
      <c r="I428" s="79"/>
    </row>
    <row r="429" spans="1:9" ht="14.25">
      <c r="A429" s="79" t="s">
        <v>2534</v>
      </c>
      <c r="B429" s="79" t="s">
        <v>2535</v>
      </c>
      <c r="C429" s="79">
        <v>590250176</v>
      </c>
      <c r="D429" s="79">
        <v>0</v>
      </c>
      <c r="E429" s="79" t="s">
        <v>1124</v>
      </c>
      <c r="F429" s="79" t="s">
        <v>2537</v>
      </c>
      <c r="G429" s="79" t="s">
        <v>2546</v>
      </c>
      <c r="H429" s="79" t="s">
        <v>2547</v>
      </c>
      <c r="I429" s="79"/>
    </row>
    <row r="430" spans="1:9" ht="14.25">
      <c r="A430" s="79" t="s">
        <v>2534</v>
      </c>
      <c r="B430" s="79" t="s">
        <v>2535</v>
      </c>
      <c r="C430" s="79">
        <v>590250176</v>
      </c>
      <c r="D430" s="79">
        <v>0</v>
      </c>
      <c r="E430" s="79" t="s">
        <v>1124</v>
      </c>
      <c r="F430" s="79" t="s">
        <v>2537</v>
      </c>
      <c r="G430" s="79" t="s">
        <v>2548</v>
      </c>
      <c r="H430" s="79" t="s">
        <v>2549</v>
      </c>
      <c r="I430" s="79"/>
    </row>
    <row r="431" spans="1:9" ht="14.25">
      <c r="A431" s="79" t="s">
        <v>2534</v>
      </c>
      <c r="B431" s="79" t="s">
        <v>2535</v>
      </c>
      <c r="C431" s="79">
        <v>590250176</v>
      </c>
      <c r="D431" s="79">
        <v>0</v>
      </c>
      <c r="E431" s="79" t="s">
        <v>1124</v>
      </c>
      <c r="F431" s="79" t="s">
        <v>2537</v>
      </c>
      <c r="G431" s="79" t="s">
        <v>2550</v>
      </c>
      <c r="H431" s="79" t="s">
        <v>2551</v>
      </c>
      <c r="I431" s="79"/>
    </row>
    <row r="432" spans="1:9" ht="14.25">
      <c r="A432" s="79" t="s">
        <v>2534</v>
      </c>
      <c r="B432" s="79" t="s">
        <v>2535</v>
      </c>
      <c r="C432" s="79">
        <v>590250176</v>
      </c>
      <c r="D432" s="79">
        <v>0</v>
      </c>
      <c r="E432" s="79" t="s">
        <v>1124</v>
      </c>
      <c r="F432" s="79" t="s">
        <v>2537</v>
      </c>
      <c r="G432" s="79" t="s">
        <v>2552</v>
      </c>
      <c r="H432" s="79" t="s">
        <v>2553</v>
      </c>
      <c r="I432" s="79"/>
    </row>
    <row r="433" spans="1:9" ht="14.25">
      <c r="A433" s="79" t="s">
        <v>2534</v>
      </c>
      <c r="B433" s="79" t="s">
        <v>2535</v>
      </c>
      <c r="C433" s="79">
        <v>590250176</v>
      </c>
      <c r="D433" s="79">
        <v>0</v>
      </c>
      <c r="E433" s="79" t="s">
        <v>1124</v>
      </c>
      <c r="F433" s="79" t="s">
        <v>2537</v>
      </c>
      <c r="G433" s="79" t="s">
        <v>2554</v>
      </c>
      <c r="H433" s="79" t="s">
        <v>2555</v>
      </c>
      <c r="I433" s="79"/>
    </row>
    <row r="434" spans="1:9" ht="14.25">
      <c r="A434" s="79" t="s">
        <v>2534</v>
      </c>
      <c r="B434" s="79" t="s">
        <v>2535</v>
      </c>
      <c r="C434" s="79">
        <v>590250176</v>
      </c>
      <c r="D434" s="79">
        <v>0</v>
      </c>
      <c r="E434" s="79" t="s">
        <v>1124</v>
      </c>
      <c r="F434" s="79" t="s">
        <v>2537</v>
      </c>
      <c r="G434" s="79" t="s">
        <v>2556</v>
      </c>
      <c r="H434" s="79" t="s">
        <v>2557</v>
      </c>
      <c r="I434" s="79"/>
    </row>
    <row r="435" spans="1:9" ht="14.25">
      <c r="A435" s="79" t="s">
        <v>2534</v>
      </c>
      <c r="B435" s="79" t="s">
        <v>2535</v>
      </c>
      <c r="C435" s="79">
        <v>590250176</v>
      </c>
      <c r="D435" s="79">
        <v>0</v>
      </c>
      <c r="E435" s="79" t="s">
        <v>1124</v>
      </c>
      <c r="F435" s="79" t="s">
        <v>2537</v>
      </c>
      <c r="G435" s="79" t="s">
        <v>2558</v>
      </c>
      <c r="H435" s="79" t="s">
        <v>2559</v>
      </c>
      <c r="I435" s="79"/>
    </row>
    <row r="436" spans="1:9" ht="14.25">
      <c r="A436" s="79" t="s">
        <v>2534</v>
      </c>
      <c r="B436" s="79" t="s">
        <v>2535</v>
      </c>
      <c r="C436" s="79">
        <v>590250176</v>
      </c>
      <c r="D436" s="79">
        <v>0</v>
      </c>
      <c r="E436" s="79" t="s">
        <v>1124</v>
      </c>
      <c r="F436" s="79" t="s">
        <v>2537</v>
      </c>
      <c r="G436" s="79" t="s">
        <v>2560</v>
      </c>
      <c r="H436" s="79" t="s">
        <v>2561</v>
      </c>
      <c r="I436" s="79"/>
    </row>
    <row r="437" spans="1:9" ht="14.25">
      <c r="A437" s="79" t="s">
        <v>2534</v>
      </c>
      <c r="B437" s="79" t="s">
        <v>2535</v>
      </c>
      <c r="C437" s="79">
        <v>590250176</v>
      </c>
      <c r="D437" s="79">
        <v>0</v>
      </c>
      <c r="E437" s="79" t="s">
        <v>1124</v>
      </c>
      <c r="F437" s="79" t="s">
        <v>2537</v>
      </c>
      <c r="G437" s="79" t="s">
        <v>2400</v>
      </c>
      <c r="H437" s="79"/>
      <c r="I437" s="79"/>
    </row>
    <row r="438" spans="1:9" ht="14.25">
      <c r="A438" s="79" t="s">
        <v>2562</v>
      </c>
      <c r="B438" s="79" t="s">
        <v>2563</v>
      </c>
      <c r="C438" s="79">
        <v>590250236</v>
      </c>
      <c r="D438" s="79">
        <v>0</v>
      </c>
      <c r="E438" s="79" t="s">
        <v>1124</v>
      </c>
      <c r="F438" s="79" t="s">
        <v>2537</v>
      </c>
      <c r="G438" s="79" t="s">
        <v>2564</v>
      </c>
      <c r="H438" s="79" t="s">
        <v>2565</v>
      </c>
      <c r="I438" s="79"/>
    </row>
    <row r="439" spans="1:9" ht="14.25">
      <c r="A439" s="79" t="s">
        <v>2562</v>
      </c>
      <c r="B439" s="79" t="s">
        <v>2563</v>
      </c>
      <c r="C439" s="79">
        <v>590250236</v>
      </c>
      <c r="D439" s="79">
        <v>0</v>
      </c>
      <c r="E439" s="79" t="s">
        <v>1124</v>
      </c>
      <c r="F439" s="79" t="s">
        <v>2537</v>
      </c>
      <c r="G439" s="79" t="s">
        <v>2566</v>
      </c>
      <c r="H439" s="79"/>
      <c r="I439" s="79"/>
    </row>
    <row r="440" spans="1:9" ht="14.25">
      <c r="A440" s="79" t="s">
        <v>2567</v>
      </c>
      <c r="B440" s="79" t="s">
        <v>2568</v>
      </c>
      <c r="C440" s="79">
        <v>590250596</v>
      </c>
      <c r="D440" s="79">
        <v>0</v>
      </c>
      <c r="E440" s="79" t="s">
        <v>1124</v>
      </c>
      <c r="F440" s="79" t="s">
        <v>2537</v>
      </c>
      <c r="G440" s="79" t="s">
        <v>2569</v>
      </c>
      <c r="H440" s="79"/>
      <c r="I440" s="79"/>
    </row>
    <row r="441" spans="1:9" ht="14.25">
      <c r="A441" s="79" t="s">
        <v>2567</v>
      </c>
      <c r="B441" s="79" t="s">
        <v>2568</v>
      </c>
      <c r="C441" s="79">
        <v>590250596</v>
      </c>
      <c r="D441" s="79">
        <v>0</v>
      </c>
      <c r="E441" s="79" t="s">
        <v>1124</v>
      </c>
      <c r="F441" s="79" t="s">
        <v>2537</v>
      </c>
      <c r="G441" s="79" t="s">
        <v>2570</v>
      </c>
      <c r="H441" s="79" t="s">
        <v>2571</v>
      </c>
      <c r="I441" s="79"/>
    </row>
    <row r="442" spans="1:9" ht="14.25">
      <c r="A442" s="79" t="s">
        <v>2567</v>
      </c>
      <c r="B442" s="79" t="s">
        <v>2568</v>
      </c>
      <c r="C442" s="79">
        <v>590250596</v>
      </c>
      <c r="D442" s="79">
        <v>0</v>
      </c>
      <c r="E442" s="79" t="s">
        <v>1124</v>
      </c>
      <c r="F442" s="79" t="s">
        <v>2537</v>
      </c>
      <c r="G442" s="79" t="s">
        <v>2566</v>
      </c>
      <c r="H442" s="79"/>
      <c r="I442" s="79"/>
    </row>
    <row r="443" spans="1:9" ht="14.25">
      <c r="A443" s="79" t="s">
        <v>2572</v>
      </c>
      <c r="B443" s="79" t="s">
        <v>2573</v>
      </c>
      <c r="C443" s="79">
        <v>590250956</v>
      </c>
      <c r="D443" s="79">
        <v>0</v>
      </c>
      <c r="E443" s="79" t="s">
        <v>1124</v>
      </c>
      <c r="F443" s="79" t="s">
        <v>2537</v>
      </c>
      <c r="G443" s="79" t="s">
        <v>2574</v>
      </c>
      <c r="H443" s="79"/>
      <c r="I443" s="79"/>
    </row>
    <row r="444" spans="1:9" ht="14.25">
      <c r="A444" s="79" t="s">
        <v>2572</v>
      </c>
      <c r="B444" s="79" t="s">
        <v>2573</v>
      </c>
      <c r="C444" s="79">
        <v>590250956</v>
      </c>
      <c r="D444" s="79">
        <v>0</v>
      </c>
      <c r="E444" s="79" t="s">
        <v>1124</v>
      </c>
      <c r="F444" s="79" t="s">
        <v>2537</v>
      </c>
      <c r="G444" s="79" t="s">
        <v>2575</v>
      </c>
      <c r="H444" s="79"/>
      <c r="I444" s="79"/>
    </row>
    <row r="445" spans="1:9" ht="14.25">
      <c r="A445" s="79" t="s">
        <v>2572</v>
      </c>
      <c r="B445" s="79" t="s">
        <v>2573</v>
      </c>
      <c r="C445" s="79">
        <v>590250956</v>
      </c>
      <c r="D445" s="79">
        <v>0</v>
      </c>
      <c r="E445" s="79" t="s">
        <v>1124</v>
      </c>
      <c r="F445" s="79" t="s">
        <v>2537</v>
      </c>
      <c r="G445" s="79" t="s">
        <v>1131</v>
      </c>
      <c r="H445" s="79" t="s">
        <v>1132</v>
      </c>
      <c r="I445" s="79"/>
    </row>
    <row r="446" spans="1:9" ht="14.25">
      <c r="A446" s="79" t="s">
        <v>2572</v>
      </c>
      <c r="B446" s="79" t="s">
        <v>2573</v>
      </c>
      <c r="C446" s="79">
        <v>590250956</v>
      </c>
      <c r="D446" s="79">
        <v>0</v>
      </c>
      <c r="E446" s="79" t="s">
        <v>1124</v>
      </c>
      <c r="F446" s="79" t="s">
        <v>2537</v>
      </c>
      <c r="G446" s="79" t="s">
        <v>2576</v>
      </c>
      <c r="H446" s="79"/>
      <c r="I446" s="79"/>
    </row>
    <row r="447" spans="1:9" ht="14.25">
      <c r="A447" s="79" t="s">
        <v>2577</v>
      </c>
      <c r="B447" s="79" t="s">
        <v>2578</v>
      </c>
      <c r="C447" s="79">
        <v>590251556</v>
      </c>
      <c r="D447" s="79">
        <v>0</v>
      </c>
      <c r="E447" s="79" t="s">
        <v>1124</v>
      </c>
      <c r="F447" s="79" t="s">
        <v>2537</v>
      </c>
      <c r="G447" s="79" t="s">
        <v>2544</v>
      </c>
      <c r="H447" s="79" t="s">
        <v>2545</v>
      </c>
      <c r="I447" s="79"/>
    </row>
    <row r="448" spans="1:9" ht="14.25">
      <c r="A448" s="79" t="s">
        <v>2577</v>
      </c>
      <c r="B448" s="79" t="s">
        <v>2578</v>
      </c>
      <c r="C448" s="79">
        <v>590251556</v>
      </c>
      <c r="D448" s="79">
        <v>0</v>
      </c>
      <c r="E448" s="79" t="s">
        <v>1124</v>
      </c>
      <c r="F448" s="79" t="s">
        <v>2537</v>
      </c>
      <c r="G448" s="79" t="s">
        <v>2579</v>
      </c>
      <c r="H448" s="79"/>
      <c r="I448" s="79"/>
    </row>
    <row r="449" spans="1:9" ht="14.25">
      <c r="A449" s="81" t="s">
        <v>2580</v>
      </c>
      <c r="B449" s="81" t="s">
        <v>2581</v>
      </c>
      <c r="C449" s="81">
        <v>590253776</v>
      </c>
      <c r="D449" s="81">
        <v>0</v>
      </c>
      <c r="E449" s="81" t="s">
        <v>1124</v>
      </c>
      <c r="F449" s="81" t="s">
        <v>2582</v>
      </c>
      <c r="G449" s="81" t="s">
        <v>2583</v>
      </c>
      <c r="H449" s="81"/>
      <c r="I449" s="81" t="s">
        <v>2196</v>
      </c>
    </row>
    <row r="450" spans="1:9" ht="14.25">
      <c r="A450" s="79" t="s">
        <v>2580</v>
      </c>
      <c r="B450" s="79" t="s">
        <v>2581</v>
      </c>
      <c r="C450" s="79">
        <v>590253776</v>
      </c>
      <c r="D450" s="79">
        <v>0</v>
      </c>
      <c r="E450" s="79" t="s">
        <v>1124</v>
      </c>
      <c r="F450" s="79" t="s">
        <v>2584</v>
      </c>
      <c r="G450" s="79" t="s">
        <v>2585</v>
      </c>
      <c r="H450" s="79"/>
      <c r="I450" s="79"/>
    </row>
    <row r="451" spans="1:9" ht="14.25">
      <c r="A451" s="79" t="s">
        <v>2580</v>
      </c>
      <c r="B451" s="79" t="s">
        <v>2581</v>
      </c>
      <c r="C451" s="79">
        <v>590253776</v>
      </c>
      <c r="D451" s="79">
        <v>0</v>
      </c>
      <c r="E451" s="79" t="s">
        <v>1124</v>
      </c>
      <c r="F451" s="79" t="s">
        <v>2584</v>
      </c>
      <c r="G451" s="79" t="s">
        <v>2586</v>
      </c>
      <c r="H451" s="79"/>
      <c r="I451" s="79"/>
    </row>
    <row r="452" spans="1:9" ht="14.25">
      <c r="A452" s="79" t="s">
        <v>2580</v>
      </c>
      <c r="B452" s="79" t="s">
        <v>2581</v>
      </c>
      <c r="C452" s="79">
        <v>590253776</v>
      </c>
      <c r="D452" s="79">
        <v>0</v>
      </c>
      <c r="E452" s="79" t="s">
        <v>1124</v>
      </c>
      <c r="F452" s="79" t="s">
        <v>2584</v>
      </c>
      <c r="G452" s="79" t="s">
        <v>2587</v>
      </c>
      <c r="H452" s="79"/>
      <c r="I452" s="79"/>
    </row>
    <row r="453" spans="1:9" ht="14.25">
      <c r="A453" s="79" t="s">
        <v>2580</v>
      </c>
      <c r="B453" s="79" t="s">
        <v>2581</v>
      </c>
      <c r="C453" s="79">
        <v>590253776</v>
      </c>
      <c r="D453" s="79">
        <v>0</v>
      </c>
      <c r="E453" s="79" t="s">
        <v>1124</v>
      </c>
      <c r="F453" s="79" t="s">
        <v>2584</v>
      </c>
      <c r="G453" s="79" t="s">
        <v>1294</v>
      </c>
      <c r="H453" s="79"/>
      <c r="I453" s="79"/>
    </row>
    <row r="454" spans="1:9" ht="14.25">
      <c r="A454" s="79" t="s">
        <v>2588</v>
      </c>
      <c r="B454" s="79" t="s">
        <v>2589</v>
      </c>
      <c r="C454" s="79">
        <v>590294156</v>
      </c>
      <c r="D454" s="79">
        <v>0</v>
      </c>
      <c r="E454" s="79" t="s">
        <v>1124</v>
      </c>
      <c r="F454" s="79" t="s">
        <v>2537</v>
      </c>
      <c r="G454" s="79" t="s">
        <v>1130</v>
      </c>
      <c r="H454" s="79"/>
      <c r="I454" s="79"/>
    </row>
    <row r="455" spans="1:9" ht="14.25">
      <c r="A455" s="79" t="s">
        <v>2588</v>
      </c>
      <c r="B455" s="79" t="s">
        <v>2589</v>
      </c>
      <c r="C455" s="79">
        <v>590294156</v>
      </c>
      <c r="D455" s="79">
        <v>0</v>
      </c>
      <c r="E455" s="79" t="s">
        <v>1124</v>
      </c>
      <c r="F455" s="79" t="s">
        <v>2537</v>
      </c>
      <c r="G455" s="79" t="s">
        <v>1131</v>
      </c>
      <c r="H455" s="79" t="s">
        <v>1132</v>
      </c>
      <c r="I455" s="79"/>
    </row>
    <row r="456" spans="1:9" ht="14.25">
      <c r="A456" s="79" t="s">
        <v>2588</v>
      </c>
      <c r="B456" s="79" t="s">
        <v>2589</v>
      </c>
      <c r="C456" s="79">
        <v>590294156</v>
      </c>
      <c r="D456" s="79">
        <v>0</v>
      </c>
      <c r="E456" s="79" t="s">
        <v>1124</v>
      </c>
      <c r="F456" s="79" t="s">
        <v>2537</v>
      </c>
      <c r="G456" s="79" t="s">
        <v>2576</v>
      </c>
      <c r="H456" s="79"/>
      <c r="I456" s="79"/>
    </row>
    <row r="457" spans="1:9" ht="14.25">
      <c r="A457" s="79" t="s">
        <v>2590</v>
      </c>
      <c r="B457" s="79" t="s">
        <v>2591</v>
      </c>
      <c r="C457" s="79">
        <v>590294756</v>
      </c>
      <c r="D457" s="79">
        <v>0</v>
      </c>
      <c r="E457" s="79" t="s">
        <v>1124</v>
      </c>
      <c r="F457" s="79" t="s">
        <v>2537</v>
      </c>
      <c r="G457" s="79" t="s">
        <v>2544</v>
      </c>
      <c r="H457" s="79" t="s">
        <v>2545</v>
      </c>
      <c r="I457" s="79"/>
    </row>
    <row r="458" spans="1:9" ht="14.25">
      <c r="A458" s="79" t="s">
        <v>2590</v>
      </c>
      <c r="B458" s="79" t="s">
        <v>2591</v>
      </c>
      <c r="C458" s="79">
        <v>590294756</v>
      </c>
      <c r="D458" s="79">
        <v>0</v>
      </c>
      <c r="E458" s="79" t="s">
        <v>1124</v>
      </c>
      <c r="F458" s="79" t="s">
        <v>2537</v>
      </c>
      <c r="G458" s="79" t="s">
        <v>2579</v>
      </c>
      <c r="H458" s="79"/>
      <c r="I458" s="79"/>
    </row>
    <row r="459" spans="1:9" ht="14.25">
      <c r="A459" s="79" t="s">
        <v>2592</v>
      </c>
      <c r="B459" s="79" t="s">
        <v>2593</v>
      </c>
      <c r="C459" s="79">
        <v>590337356</v>
      </c>
      <c r="D459" s="79">
        <v>0</v>
      </c>
      <c r="E459" s="79" t="s">
        <v>1124</v>
      </c>
      <c r="F459" s="79" t="s">
        <v>2537</v>
      </c>
      <c r="G459" s="79" t="s">
        <v>1130</v>
      </c>
      <c r="H459" s="79"/>
      <c r="I459" s="79"/>
    </row>
    <row r="460" spans="1:9" ht="14.25">
      <c r="A460" s="79" t="s">
        <v>2592</v>
      </c>
      <c r="B460" s="79" t="s">
        <v>2593</v>
      </c>
      <c r="C460" s="79">
        <v>590337356</v>
      </c>
      <c r="D460" s="79">
        <v>0</v>
      </c>
      <c r="E460" s="79" t="s">
        <v>1124</v>
      </c>
      <c r="F460" s="79" t="s">
        <v>2537</v>
      </c>
      <c r="G460" s="79" t="s">
        <v>1131</v>
      </c>
      <c r="H460" s="79" t="s">
        <v>1132</v>
      </c>
      <c r="I460" s="79"/>
    </row>
    <row r="461" spans="1:9" ht="14.25">
      <c r="A461" s="79" t="s">
        <v>2592</v>
      </c>
      <c r="B461" s="79" t="s">
        <v>2593</v>
      </c>
      <c r="C461" s="79">
        <v>590337356</v>
      </c>
      <c r="D461" s="79">
        <v>0</v>
      </c>
      <c r="E461" s="79" t="s">
        <v>1124</v>
      </c>
      <c r="F461" s="79" t="s">
        <v>2537</v>
      </c>
      <c r="G461" s="79" t="s">
        <v>2576</v>
      </c>
      <c r="H461" s="79"/>
      <c r="I461" s="79"/>
    </row>
    <row r="462" spans="1:9" ht="14.25">
      <c r="A462" s="79" t="s">
        <v>2594</v>
      </c>
      <c r="B462" s="79" t="s">
        <v>2595</v>
      </c>
      <c r="C462" s="79">
        <v>590337956</v>
      </c>
      <c r="D462" s="79">
        <v>0</v>
      </c>
      <c r="E462" s="79" t="s">
        <v>1124</v>
      </c>
      <c r="F462" s="79" t="s">
        <v>2537</v>
      </c>
      <c r="G462" s="79" t="s">
        <v>2544</v>
      </c>
      <c r="H462" s="79" t="s">
        <v>2545</v>
      </c>
      <c r="I462" s="79"/>
    </row>
    <row r="463" spans="1:9" ht="14.25">
      <c r="A463" s="79" t="s">
        <v>2594</v>
      </c>
      <c r="B463" s="79" t="s">
        <v>2595</v>
      </c>
      <c r="C463" s="79">
        <v>590337956</v>
      </c>
      <c r="D463" s="79">
        <v>0</v>
      </c>
      <c r="E463" s="79" t="s">
        <v>1124</v>
      </c>
      <c r="F463" s="79" t="s">
        <v>2537</v>
      </c>
      <c r="G463" s="79" t="s">
        <v>2579</v>
      </c>
      <c r="H463" s="79"/>
      <c r="I463" s="79"/>
    </row>
    <row r="464" spans="1:9" ht="14.25">
      <c r="A464" s="79" t="s">
        <v>2596</v>
      </c>
      <c r="B464" s="79" t="s">
        <v>2597</v>
      </c>
      <c r="C464" s="79">
        <v>590380556</v>
      </c>
      <c r="D464" s="79">
        <v>0</v>
      </c>
      <c r="E464" s="79" t="s">
        <v>1124</v>
      </c>
      <c r="F464" s="79" t="s">
        <v>2537</v>
      </c>
      <c r="G464" s="79" t="s">
        <v>1130</v>
      </c>
      <c r="H464" s="79"/>
      <c r="I464" s="79"/>
    </row>
    <row r="465" spans="1:9" ht="14.25">
      <c r="A465" s="79" t="s">
        <v>2596</v>
      </c>
      <c r="B465" s="79" t="s">
        <v>2597</v>
      </c>
      <c r="C465" s="79">
        <v>590380556</v>
      </c>
      <c r="D465" s="79">
        <v>0</v>
      </c>
      <c r="E465" s="79" t="s">
        <v>1124</v>
      </c>
      <c r="F465" s="79" t="s">
        <v>2537</v>
      </c>
      <c r="G465" s="79" t="s">
        <v>1131</v>
      </c>
      <c r="H465" s="79" t="s">
        <v>1132</v>
      </c>
      <c r="I465" s="79"/>
    </row>
    <row r="466" spans="1:9" ht="14.25">
      <c r="A466" s="79" t="s">
        <v>2596</v>
      </c>
      <c r="B466" s="79" t="s">
        <v>2597</v>
      </c>
      <c r="C466" s="79">
        <v>590380556</v>
      </c>
      <c r="D466" s="79">
        <v>0</v>
      </c>
      <c r="E466" s="79" t="s">
        <v>1124</v>
      </c>
      <c r="F466" s="79" t="s">
        <v>2537</v>
      </c>
      <c r="G466" s="79" t="s">
        <v>2576</v>
      </c>
      <c r="H466" s="79"/>
      <c r="I466" s="79"/>
    </row>
    <row r="467" spans="1:9" ht="14.25">
      <c r="A467" s="79" t="s">
        <v>2598</v>
      </c>
      <c r="B467" s="79" t="s">
        <v>2599</v>
      </c>
      <c r="C467" s="79">
        <v>590381156</v>
      </c>
      <c r="D467" s="79">
        <v>0</v>
      </c>
      <c r="E467" s="79" t="s">
        <v>1124</v>
      </c>
      <c r="F467" s="79" t="s">
        <v>2537</v>
      </c>
      <c r="G467" s="79" t="s">
        <v>2544</v>
      </c>
      <c r="H467" s="79" t="s">
        <v>2545</v>
      </c>
      <c r="I467" s="79"/>
    </row>
    <row r="468" spans="1:9" ht="14.25">
      <c r="A468" s="79" t="s">
        <v>2598</v>
      </c>
      <c r="B468" s="79" t="s">
        <v>2599</v>
      </c>
      <c r="C468" s="79">
        <v>590381156</v>
      </c>
      <c r="D468" s="79">
        <v>0</v>
      </c>
      <c r="E468" s="79" t="s">
        <v>1124</v>
      </c>
      <c r="F468" s="79" t="s">
        <v>2537</v>
      </c>
      <c r="G468" s="79" t="s">
        <v>2579</v>
      </c>
      <c r="H468" s="79"/>
      <c r="I468" s="79"/>
    </row>
    <row r="469" spans="1:9" ht="14.25">
      <c r="A469" s="79" t="s">
        <v>2600</v>
      </c>
      <c r="B469" s="79" t="s">
        <v>2601</v>
      </c>
      <c r="C469" s="79">
        <v>590423756</v>
      </c>
      <c r="D469" s="79">
        <v>0</v>
      </c>
      <c r="E469" s="79" t="s">
        <v>1124</v>
      </c>
      <c r="F469" s="79" t="s">
        <v>2537</v>
      </c>
      <c r="G469" s="79" t="s">
        <v>1130</v>
      </c>
      <c r="H469" s="79"/>
      <c r="I469" s="79"/>
    </row>
    <row r="470" spans="1:9" ht="14.25">
      <c r="A470" s="79" t="s">
        <v>2600</v>
      </c>
      <c r="B470" s="79" t="s">
        <v>2601</v>
      </c>
      <c r="C470" s="79">
        <v>590423756</v>
      </c>
      <c r="D470" s="79">
        <v>0</v>
      </c>
      <c r="E470" s="79" t="s">
        <v>1124</v>
      </c>
      <c r="F470" s="79" t="s">
        <v>2537</v>
      </c>
      <c r="G470" s="79" t="s">
        <v>1131</v>
      </c>
      <c r="H470" s="79" t="s">
        <v>1132</v>
      </c>
      <c r="I470" s="79"/>
    </row>
    <row r="471" spans="1:9" ht="14.25">
      <c r="A471" s="79" t="s">
        <v>2600</v>
      </c>
      <c r="B471" s="79" t="s">
        <v>2601</v>
      </c>
      <c r="C471" s="79">
        <v>590423756</v>
      </c>
      <c r="D471" s="79">
        <v>0</v>
      </c>
      <c r="E471" s="79" t="s">
        <v>1124</v>
      </c>
      <c r="F471" s="79" t="s">
        <v>2537</v>
      </c>
      <c r="G471" s="79" t="s">
        <v>2576</v>
      </c>
      <c r="H471" s="79"/>
      <c r="I471" s="79"/>
    </row>
    <row r="472" spans="1:9" ht="14.25">
      <c r="A472" s="79" t="s">
        <v>2602</v>
      </c>
      <c r="B472" s="79" t="s">
        <v>2603</v>
      </c>
      <c r="C472" s="79">
        <v>590424356</v>
      </c>
      <c r="D472" s="79">
        <v>0</v>
      </c>
      <c r="E472" s="79" t="s">
        <v>1124</v>
      </c>
      <c r="F472" s="79" t="s">
        <v>2537</v>
      </c>
      <c r="G472" s="79" t="s">
        <v>2544</v>
      </c>
      <c r="H472" s="79" t="s">
        <v>2545</v>
      </c>
      <c r="I472" s="79"/>
    </row>
    <row r="473" spans="1:9" ht="14.25">
      <c r="A473" s="79" t="s">
        <v>2602</v>
      </c>
      <c r="B473" s="79" t="s">
        <v>2603</v>
      </c>
      <c r="C473" s="79">
        <v>590424356</v>
      </c>
      <c r="D473" s="79">
        <v>0</v>
      </c>
      <c r="E473" s="79" t="s">
        <v>1124</v>
      </c>
      <c r="F473" s="79" t="s">
        <v>2537</v>
      </c>
      <c r="G473" s="79" t="s">
        <v>2579</v>
      </c>
      <c r="H473" s="79"/>
      <c r="I473" s="79"/>
    </row>
    <row r="474" spans="1:9" ht="14.25">
      <c r="A474" s="79" t="s">
        <v>2604</v>
      </c>
      <c r="B474" s="79" t="s">
        <v>2605</v>
      </c>
      <c r="C474" s="79">
        <v>590466956</v>
      </c>
      <c r="D474" s="79">
        <v>0</v>
      </c>
      <c r="E474" s="79" t="s">
        <v>1124</v>
      </c>
      <c r="F474" s="79" t="s">
        <v>2537</v>
      </c>
      <c r="G474" s="79" t="s">
        <v>1130</v>
      </c>
      <c r="H474" s="79"/>
      <c r="I474" s="79"/>
    </row>
    <row r="475" spans="1:9" ht="14.25">
      <c r="A475" s="79" t="s">
        <v>2604</v>
      </c>
      <c r="B475" s="79" t="s">
        <v>2605</v>
      </c>
      <c r="C475" s="79">
        <v>590466956</v>
      </c>
      <c r="D475" s="79">
        <v>0</v>
      </c>
      <c r="E475" s="79" t="s">
        <v>1124</v>
      </c>
      <c r="F475" s="79" t="s">
        <v>2537</v>
      </c>
      <c r="G475" s="79" t="s">
        <v>1131</v>
      </c>
      <c r="H475" s="79" t="s">
        <v>1132</v>
      </c>
      <c r="I475" s="79"/>
    </row>
    <row r="476" spans="1:9" ht="14.25">
      <c r="A476" s="79" t="s">
        <v>2604</v>
      </c>
      <c r="B476" s="79" t="s">
        <v>2605</v>
      </c>
      <c r="C476" s="79">
        <v>590466956</v>
      </c>
      <c r="D476" s="79">
        <v>0</v>
      </c>
      <c r="E476" s="79" t="s">
        <v>1124</v>
      </c>
      <c r="F476" s="79" t="s">
        <v>2537</v>
      </c>
      <c r="G476" s="79" t="s">
        <v>2576</v>
      </c>
      <c r="H476" s="79"/>
      <c r="I476" s="79"/>
    </row>
    <row r="477" spans="1:9" ht="14.25">
      <c r="A477" s="79" t="s">
        <v>2606</v>
      </c>
      <c r="B477" s="79" t="s">
        <v>2607</v>
      </c>
      <c r="C477" s="79">
        <v>590467556</v>
      </c>
      <c r="D477" s="79">
        <v>0</v>
      </c>
      <c r="E477" s="79" t="s">
        <v>1124</v>
      </c>
      <c r="F477" s="79" t="s">
        <v>2537</v>
      </c>
      <c r="G477" s="79" t="s">
        <v>2544</v>
      </c>
      <c r="H477" s="79" t="s">
        <v>2545</v>
      </c>
      <c r="I477" s="79"/>
    </row>
    <row r="478" spans="1:9" ht="14.25">
      <c r="A478" s="79" t="s">
        <v>2606</v>
      </c>
      <c r="B478" s="79" t="s">
        <v>2607</v>
      </c>
      <c r="C478" s="79">
        <v>590467556</v>
      </c>
      <c r="D478" s="79">
        <v>0</v>
      </c>
      <c r="E478" s="79" t="s">
        <v>1124</v>
      </c>
      <c r="F478" s="79" t="s">
        <v>2537</v>
      </c>
      <c r="G478" s="79" t="s">
        <v>2579</v>
      </c>
      <c r="H478" s="79"/>
      <c r="I478" s="79"/>
    </row>
    <row r="479" spans="1:9" ht="14.25">
      <c r="A479" s="79" t="s">
        <v>2608</v>
      </c>
      <c r="B479" s="79" t="s">
        <v>2609</v>
      </c>
      <c r="C479" s="79">
        <v>590510156</v>
      </c>
      <c r="D479" s="79">
        <v>0</v>
      </c>
      <c r="E479" s="79" t="s">
        <v>1124</v>
      </c>
      <c r="F479" s="79" t="s">
        <v>2537</v>
      </c>
      <c r="G479" s="79" t="s">
        <v>1130</v>
      </c>
      <c r="H479" s="79"/>
      <c r="I479" s="79"/>
    </row>
    <row r="480" spans="1:9" ht="14.25">
      <c r="A480" s="79" t="s">
        <v>2608</v>
      </c>
      <c r="B480" s="79" t="s">
        <v>2609</v>
      </c>
      <c r="C480" s="79">
        <v>590510156</v>
      </c>
      <c r="D480" s="79">
        <v>0</v>
      </c>
      <c r="E480" s="79" t="s">
        <v>1124</v>
      </c>
      <c r="F480" s="79" t="s">
        <v>2537</v>
      </c>
      <c r="G480" s="79" t="s">
        <v>1131</v>
      </c>
      <c r="H480" s="79" t="s">
        <v>1132</v>
      </c>
      <c r="I480" s="79"/>
    </row>
    <row r="481" spans="1:9" ht="14.25">
      <c r="A481" s="79" t="s">
        <v>2608</v>
      </c>
      <c r="B481" s="79" t="s">
        <v>2609</v>
      </c>
      <c r="C481" s="79">
        <v>590510156</v>
      </c>
      <c r="D481" s="79">
        <v>0</v>
      </c>
      <c r="E481" s="79" t="s">
        <v>1124</v>
      </c>
      <c r="F481" s="79" t="s">
        <v>2537</v>
      </c>
      <c r="G481" s="79" t="s">
        <v>2576</v>
      </c>
      <c r="H481" s="79"/>
      <c r="I481" s="79"/>
    </row>
    <row r="482" spans="1:9" ht="14.25">
      <c r="A482" s="79" t="s">
        <v>2610</v>
      </c>
      <c r="B482" s="79" t="s">
        <v>2611</v>
      </c>
      <c r="C482" s="79">
        <v>590510756</v>
      </c>
      <c r="D482" s="79">
        <v>0</v>
      </c>
      <c r="E482" s="79" t="s">
        <v>1124</v>
      </c>
      <c r="F482" s="79" t="s">
        <v>2537</v>
      </c>
      <c r="G482" s="79" t="s">
        <v>2544</v>
      </c>
      <c r="H482" s="79" t="s">
        <v>2545</v>
      </c>
      <c r="I482" s="79"/>
    </row>
    <row r="483" spans="1:9" ht="14.25">
      <c r="A483" s="79" t="s">
        <v>2610</v>
      </c>
      <c r="B483" s="79" t="s">
        <v>2611</v>
      </c>
      <c r="C483" s="79">
        <v>590510756</v>
      </c>
      <c r="D483" s="79">
        <v>0</v>
      </c>
      <c r="E483" s="79" t="s">
        <v>1124</v>
      </c>
      <c r="F483" s="79" t="s">
        <v>2537</v>
      </c>
      <c r="G483" s="79" t="s">
        <v>2579</v>
      </c>
      <c r="H483" s="79"/>
      <c r="I483" s="79"/>
    </row>
    <row r="484" spans="1:9" ht="14.25">
      <c r="A484" s="79" t="s">
        <v>2612</v>
      </c>
      <c r="B484" s="79" t="s">
        <v>2613</v>
      </c>
      <c r="C484" s="79">
        <v>590553356</v>
      </c>
      <c r="D484" s="79">
        <v>0</v>
      </c>
      <c r="E484" s="79" t="s">
        <v>1124</v>
      </c>
      <c r="F484" s="79" t="s">
        <v>2537</v>
      </c>
      <c r="G484" s="79" t="s">
        <v>1130</v>
      </c>
      <c r="H484" s="79"/>
      <c r="I484" s="79"/>
    </row>
    <row r="485" spans="1:9" ht="14.25">
      <c r="A485" s="79" t="s">
        <v>2612</v>
      </c>
      <c r="B485" s="79" t="s">
        <v>2613</v>
      </c>
      <c r="C485" s="79">
        <v>590553356</v>
      </c>
      <c r="D485" s="79">
        <v>0</v>
      </c>
      <c r="E485" s="79" t="s">
        <v>1124</v>
      </c>
      <c r="F485" s="79" t="s">
        <v>2537</v>
      </c>
      <c r="G485" s="79" t="s">
        <v>1131</v>
      </c>
      <c r="H485" s="79" t="s">
        <v>1132</v>
      </c>
      <c r="I485" s="79"/>
    </row>
    <row r="486" spans="1:9" ht="14.25">
      <c r="A486" s="79" t="s">
        <v>2612</v>
      </c>
      <c r="B486" s="79" t="s">
        <v>2613</v>
      </c>
      <c r="C486" s="79">
        <v>590553356</v>
      </c>
      <c r="D486" s="79">
        <v>0</v>
      </c>
      <c r="E486" s="79" t="s">
        <v>1124</v>
      </c>
      <c r="F486" s="79" t="s">
        <v>2537</v>
      </c>
      <c r="G486" s="79" t="s">
        <v>2576</v>
      </c>
      <c r="H486" s="79"/>
      <c r="I486" s="79"/>
    </row>
    <row r="487" spans="1:9" ht="14.25">
      <c r="A487" s="79" t="s">
        <v>2614</v>
      </c>
      <c r="B487" s="79" t="s">
        <v>2615</v>
      </c>
      <c r="C487" s="79">
        <v>590553956</v>
      </c>
      <c r="D487" s="79">
        <v>0</v>
      </c>
      <c r="E487" s="79" t="s">
        <v>1124</v>
      </c>
      <c r="F487" s="79" t="s">
        <v>2537</v>
      </c>
      <c r="G487" s="79" t="s">
        <v>2544</v>
      </c>
      <c r="H487" s="79" t="s">
        <v>2545</v>
      </c>
      <c r="I487" s="79"/>
    </row>
    <row r="488" spans="1:9" ht="14.25">
      <c r="A488" s="79" t="s">
        <v>2614</v>
      </c>
      <c r="B488" s="79" t="s">
        <v>2615</v>
      </c>
      <c r="C488" s="79">
        <v>590553956</v>
      </c>
      <c r="D488" s="79">
        <v>0</v>
      </c>
      <c r="E488" s="79" t="s">
        <v>1124</v>
      </c>
      <c r="F488" s="79" t="s">
        <v>2537</v>
      </c>
      <c r="G488" s="79" t="s">
        <v>2579</v>
      </c>
      <c r="H488" s="79"/>
      <c r="I488" s="79"/>
    </row>
    <row r="489" spans="1:9" ht="14.25">
      <c r="A489" s="79" t="s">
        <v>2616</v>
      </c>
      <c r="B489" s="79" t="s">
        <v>2617</v>
      </c>
      <c r="C489" s="79">
        <v>590596556</v>
      </c>
      <c r="D489" s="79">
        <v>0</v>
      </c>
      <c r="E489" s="79" t="s">
        <v>1124</v>
      </c>
      <c r="F489" s="79" t="s">
        <v>2537</v>
      </c>
      <c r="G489" s="79" t="s">
        <v>1130</v>
      </c>
      <c r="H489" s="79"/>
      <c r="I489" s="79"/>
    </row>
    <row r="490" spans="1:9" ht="14.25">
      <c r="A490" s="79" t="s">
        <v>2616</v>
      </c>
      <c r="B490" s="79" t="s">
        <v>2617</v>
      </c>
      <c r="C490" s="79">
        <v>590596556</v>
      </c>
      <c r="D490" s="79">
        <v>0</v>
      </c>
      <c r="E490" s="79" t="s">
        <v>1124</v>
      </c>
      <c r="F490" s="79" t="s">
        <v>2537</v>
      </c>
      <c r="G490" s="79" t="s">
        <v>1131</v>
      </c>
      <c r="H490" s="79" t="s">
        <v>1132</v>
      </c>
      <c r="I490" s="79"/>
    </row>
    <row r="491" spans="1:9" ht="14.25">
      <c r="A491" s="79" t="s">
        <v>2616</v>
      </c>
      <c r="B491" s="79" t="s">
        <v>2617</v>
      </c>
      <c r="C491" s="79">
        <v>590596556</v>
      </c>
      <c r="D491" s="79">
        <v>0</v>
      </c>
      <c r="E491" s="79" t="s">
        <v>1124</v>
      </c>
      <c r="F491" s="79" t="s">
        <v>2537</v>
      </c>
      <c r="G491" s="79" t="s">
        <v>2576</v>
      </c>
      <c r="H491" s="79"/>
      <c r="I491" s="79"/>
    </row>
    <row r="492" spans="1:9" ht="14.25">
      <c r="A492" s="79" t="s">
        <v>2618</v>
      </c>
      <c r="B492" s="79" t="s">
        <v>2619</v>
      </c>
      <c r="C492" s="79">
        <v>590597156</v>
      </c>
      <c r="D492" s="79">
        <v>0</v>
      </c>
      <c r="E492" s="79" t="s">
        <v>1124</v>
      </c>
      <c r="F492" s="79" t="s">
        <v>2537</v>
      </c>
      <c r="G492" s="79" t="s">
        <v>2544</v>
      </c>
      <c r="H492" s="79" t="s">
        <v>2545</v>
      </c>
      <c r="I492" s="79"/>
    </row>
    <row r="493" spans="1:9" ht="14.25">
      <c r="A493" s="79" t="s">
        <v>2618</v>
      </c>
      <c r="B493" s="79" t="s">
        <v>2619</v>
      </c>
      <c r="C493" s="79">
        <v>590597156</v>
      </c>
      <c r="D493" s="79">
        <v>0</v>
      </c>
      <c r="E493" s="79" t="s">
        <v>1124</v>
      </c>
      <c r="F493" s="79" t="s">
        <v>2537</v>
      </c>
      <c r="G493" s="79" t="s">
        <v>2579</v>
      </c>
      <c r="H493" s="79"/>
      <c r="I493" s="79"/>
    </row>
    <row r="494" spans="1:9" ht="14.25">
      <c r="A494" s="79" t="s">
        <v>2620</v>
      </c>
      <c r="B494" s="79" t="s">
        <v>2621</v>
      </c>
      <c r="C494" s="79">
        <v>590639756</v>
      </c>
      <c r="D494" s="79">
        <v>0</v>
      </c>
      <c r="E494" s="79" t="s">
        <v>1124</v>
      </c>
      <c r="F494" s="79" t="s">
        <v>2537</v>
      </c>
      <c r="G494" s="79" t="s">
        <v>1130</v>
      </c>
      <c r="H494" s="79"/>
      <c r="I494" s="79"/>
    </row>
    <row r="495" spans="1:9" ht="14.25">
      <c r="A495" s="79" t="s">
        <v>2620</v>
      </c>
      <c r="B495" s="79" t="s">
        <v>2621</v>
      </c>
      <c r="C495" s="79">
        <v>590639756</v>
      </c>
      <c r="D495" s="79">
        <v>0</v>
      </c>
      <c r="E495" s="79" t="s">
        <v>1124</v>
      </c>
      <c r="F495" s="79" t="s">
        <v>2537</v>
      </c>
      <c r="G495" s="79" t="s">
        <v>1131</v>
      </c>
      <c r="H495" s="79" t="s">
        <v>1132</v>
      </c>
      <c r="I495" s="79"/>
    </row>
    <row r="496" spans="1:9" ht="14.25">
      <c r="A496" s="79" t="s">
        <v>2620</v>
      </c>
      <c r="B496" s="79" t="s">
        <v>2621</v>
      </c>
      <c r="C496" s="79">
        <v>590639756</v>
      </c>
      <c r="D496" s="79">
        <v>0</v>
      </c>
      <c r="E496" s="79" t="s">
        <v>1124</v>
      </c>
      <c r="F496" s="79" t="s">
        <v>2537</v>
      </c>
      <c r="G496" s="79" t="s">
        <v>2576</v>
      </c>
      <c r="H496" s="79"/>
      <c r="I496" s="79"/>
    </row>
    <row r="497" spans="1:9" ht="14.25">
      <c r="A497" s="79" t="s">
        <v>2622</v>
      </c>
      <c r="B497" s="79" t="s">
        <v>2623</v>
      </c>
      <c r="C497" s="79">
        <v>590640356</v>
      </c>
      <c r="D497" s="79">
        <v>0</v>
      </c>
      <c r="E497" s="79" t="s">
        <v>1124</v>
      </c>
      <c r="F497" s="79" t="s">
        <v>2537</v>
      </c>
      <c r="G497" s="79" t="s">
        <v>2544</v>
      </c>
      <c r="H497" s="79" t="s">
        <v>2545</v>
      </c>
      <c r="I497" s="79"/>
    </row>
    <row r="498" spans="1:9" ht="14.25">
      <c r="A498" s="79" t="s">
        <v>2622</v>
      </c>
      <c r="B498" s="79" t="s">
        <v>2623</v>
      </c>
      <c r="C498" s="79">
        <v>590640356</v>
      </c>
      <c r="D498" s="79">
        <v>0</v>
      </c>
      <c r="E498" s="79" t="s">
        <v>1124</v>
      </c>
      <c r="F498" s="79" t="s">
        <v>2537</v>
      </c>
      <c r="G498" s="79" t="s">
        <v>2579</v>
      </c>
      <c r="H498" s="79"/>
      <c r="I498" s="79"/>
    </row>
    <row r="499" spans="1:9" ht="14.25">
      <c r="A499" s="79" t="s">
        <v>2624</v>
      </c>
      <c r="B499" s="79" t="s">
        <v>2625</v>
      </c>
      <c r="C499" s="79">
        <v>590682956</v>
      </c>
      <c r="D499" s="79">
        <v>0</v>
      </c>
      <c r="E499" s="79" t="s">
        <v>1124</v>
      </c>
      <c r="F499" s="79" t="s">
        <v>2537</v>
      </c>
      <c r="G499" s="79" t="s">
        <v>1130</v>
      </c>
      <c r="H499" s="79"/>
      <c r="I499" s="79"/>
    </row>
    <row r="500" spans="1:9" ht="14.25">
      <c r="A500" s="79" t="s">
        <v>2624</v>
      </c>
      <c r="B500" s="79" t="s">
        <v>2625</v>
      </c>
      <c r="C500" s="79">
        <v>590682956</v>
      </c>
      <c r="D500" s="79">
        <v>0</v>
      </c>
      <c r="E500" s="79" t="s">
        <v>1124</v>
      </c>
      <c r="F500" s="79" t="s">
        <v>2537</v>
      </c>
      <c r="G500" s="79" t="s">
        <v>1131</v>
      </c>
      <c r="H500" s="79" t="s">
        <v>1132</v>
      </c>
      <c r="I500" s="79"/>
    </row>
    <row r="501" spans="1:9" ht="14.25">
      <c r="A501" s="79" t="s">
        <v>2624</v>
      </c>
      <c r="B501" s="79" t="s">
        <v>2625</v>
      </c>
      <c r="C501" s="79">
        <v>590682956</v>
      </c>
      <c r="D501" s="79">
        <v>0</v>
      </c>
      <c r="E501" s="79" t="s">
        <v>1124</v>
      </c>
      <c r="F501" s="79" t="s">
        <v>2537</v>
      </c>
      <c r="G501" s="79" t="s">
        <v>2576</v>
      </c>
      <c r="H501" s="79"/>
      <c r="I501" s="79"/>
    </row>
    <row r="502" spans="1:9" ht="14.25">
      <c r="A502" s="79" t="s">
        <v>2626</v>
      </c>
      <c r="B502" s="79" t="s">
        <v>2627</v>
      </c>
      <c r="C502" s="79">
        <v>590683556</v>
      </c>
      <c r="D502" s="79">
        <v>0</v>
      </c>
      <c r="E502" s="79" t="s">
        <v>1124</v>
      </c>
      <c r="F502" s="79" t="s">
        <v>2537</v>
      </c>
      <c r="G502" s="79" t="s">
        <v>2544</v>
      </c>
      <c r="H502" s="79" t="s">
        <v>2545</v>
      </c>
      <c r="I502" s="79"/>
    </row>
    <row r="503" spans="1:9" ht="14.25">
      <c r="A503" s="79" t="s">
        <v>2626</v>
      </c>
      <c r="B503" s="79" t="s">
        <v>2627</v>
      </c>
      <c r="C503" s="79">
        <v>590683556</v>
      </c>
      <c r="D503" s="79">
        <v>0</v>
      </c>
      <c r="E503" s="79" t="s">
        <v>1124</v>
      </c>
      <c r="F503" s="79" t="s">
        <v>2537</v>
      </c>
      <c r="G503" s="79" t="s">
        <v>2579</v>
      </c>
      <c r="H503" s="79"/>
      <c r="I503" s="79"/>
    </row>
    <row r="504" spans="1:9" ht="14.25">
      <c r="A504" s="79" t="s">
        <v>2628</v>
      </c>
      <c r="B504" s="79" t="s">
        <v>2629</v>
      </c>
      <c r="C504" s="79">
        <v>590726156</v>
      </c>
      <c r="D504" s="79">
        <v>0</v>
      </c>
      <c r="E504" s="79" t="s">
        <v>1124</v>
      </c>
      <c r="F504" s="79" t="s">
        <v>2537</v>
      </c>
      <c r="G504" s="79" t="s">
        <v>1130</v>
      </c>
      <c r="H504" s="79"/>
      <c r="I504" s="79"/>
    </row>
    <row r="505" spans="1:9" ht="14.25">
      <c r="A505" s="79" t="s">
        <v>2628</v>
      </c>
      <c r="B505" s="79" t="s">
        <v>2629</v>
      </c>
      <c r="C505" s="79">
        <v>590726156</v>
      </c>
      <c r="D505" s="79">
        <v>0</v>
      </c>
      <c r="E505" s="79" t="s">
        <v>1124</v>
      </c>
      <c r="F505" s="79" t="s">
        <v>2537</v>
      </c>
      <c r="G505" s="79" t="s">
        <v>1131</v>
      </c>
      <c r="H505" s="79" t="s">
        <v>1132</v>
      </c>
      <c r="I505" s="79"/>
    </row>
    <row r="506" spans="1:9" ht="14.25">
      <c r="A506" s="79" t="s">
        <v>2628</v>
      </c>
      <c r="B506" s="79" t="s">
        <v>2629</v>
      </c>
      <c r="C506" s="79">
        <v>590726156</v>
      </c>
      <c r="D506" s="79">
        <v>0</v>
      </c>
      <c r="E506" s="79" t="s">
        <v>1124</v>
      </c>
      <c r="F506" s="79" t="s">
        <v>2537</v>
      </c>
      <c r="G506" s="79" t="s">
        <v>2576</v>
      </c>
      <c r="H506" s="79"/>
      <c r="I506" s="79"/>
    </row>
    <row r="507" spans="1:9" ht="14.25">
      <c r="A507" s="79" t="s">
        <v>2630</v>
      </c>
      <c r="B507" s="79" t="s">
        <v>2631</v>
      </c>
      <c r="C507" s="79">
        <v>590726756</v>
      </c>
      <c r="D507" s="79">
        <v>0</v>
      </c>
      <c r="E507" s="79" t="s">
        <v>1124</v>
      </c>
      <c r="F507" s="79" t="s">
        <v>2537</v>
      </c>
      <c r="G507" s="79" t="s">
        <v>2544</v>
      </c>
      <c r="H507" s="79" t="s">
        <v>2545</v>
      </c>
      <c r="I507" s="79"/>
    </row>
    <row r="508" spans="1:9" ht="14.25">
      <c r="A508" s="79" t="s">
        <v>2630</v>
      </c>
      <c r="B508" s="79" t="s">
        <v>2631</v>
      </c>
      <c r="C508" s="79">
        <v>590726756</v>
      </c>
      <c r="D508" s="79">
        <v>0</v>
      </c>
      <c r="E508" s="79" t="s">
        <v>1124</v>
      </c>
      <c r="F508" s="79" t="s">
        <v>2537</v>
      </c>
      <c r="G508" s="79" t="s">
        <v>2579</v>
      </c>
      <c r="H508" s="79"/>
      <c r="I508" s="79"/>
    </row>
    <row r="509" spans="1:9" ht="14.25">
      <c r="A509" s="79" t="s">
        <v>2632</v>
      </c>
      <c r="B509" s="79" t="s">
        <v>2633</v>
      </c>
      <c r="C509" s="79">
        <v>590769356</v>
      </c>
      <c r="D509" s="79">
        <v>0</v>
      </c>
      <c r="E509" s="79" t="s">
        <v>1124</v>
      </c>
      <c r="F509" s="79" t="s">
        <v>2537</v>
      </c>
      <c r="G509" s="79" t="s">
        <v>1130</v>
      </c>
      <c r="H509" s="79"/>
      <c r="I509" s="79"/>
    </row>
    <row r="510" spans="1:9" ht="14.25">
      <c r="A510" s="79" t="s">
        <v>2632</v>
      </c>
      <c r="B510" s="79" t="s">
        <v>2633</v>
      </c>
      <c r="C510" s="79">
        <v>590769356</v>
      </c>
      <c r="D510" s="79">
        <v>0</v>
      </c>
      <c r="E510" s="79" t="s">
        <v>1124</v>
      </c>
      <c r="F510" s="79" t="s">
        <v>2537</v>
      </c>
      <c r="G510" s="79" t="s">
        <v>1131</v>
      </c>
      <c r="H510" s="79" t="s">
        <v>1132</v>
      </c>
      <c r="I510" s="79"/>
    </row>
    <row r="511" spans="1:9" ht="14.25">
      <c r="A511" s="79" t="s">
        <v>2632</v>
      </c>
      <c r="B511" s="79" t="s">
        <v>2633</v>
      </c>
      <c r="C511" s="79">
        <v>590769356</v>
      </c>
      <c r="D511" s="79">
        <v>0</v>
      </c>
      <c r="E511" s="79" t="s">
        <v>1124</v>
      </c>
      <c r="F511" s="79" t="s">
        <v>2537</v>
      </c>
      <c r="G511" s="79" t="s">
        <v>2576</v>
      </c>
      <c r="H511" s="79"/>
      <c r="I511" s="79"/>
    </row>
    <row r="512" spans="1:9" ht="14.25">
      <c r="A512" s="79" t="s">
        <v>2634</v>
      </c>
      <c r="B512" s="79" t="s">
        <v>2635</v>
      </c>
      <c r="C512" s="79">
        <v>590769956</v>
      </c>
      <c r="D512" s="79">
        <v>0</v>
      </c>
      <c r="E512" s="79" t="s">
        <v>1124</v>
      </c>
      <c r="F512" s="79" t="s">
        <v>2537</v>
      </c>
      <c r="G512" s="79" t="s">
        <v>2544</v>
      </c>
      <c r="H512" s="79" t="s">
        <v>2545</v>
      </c>
      <c r="I512" s="79"/>
    </row>
    <row r="513" spans="1:9" ht="14.25">
      <c r="A513" s="79" t="s">
        <v>2634</v>
      </c>
      <c r="B513" s="79" t="s">
        <v>2635</v>
      </c>
      <c r="C513" s="79">
        <v>590769956</v>
      </c>
      <c r="D513" s="79">
        <v>0</v>
      </c>
      <c r="E513" s="79" t="s">
        <v>1124</v>
      </c>
      <c r="F513" s="79" t="s">
        <v>2537</v>
      </c>
      <c r="G513" s="79" t="s">
        <v>2579</v>
      </c>
      <c r="H513" s="79"/>
      <c r="I513" s="79"/>
    </row>
    <row r="514" spans="1:9" ht="14.25">
      <c r="A514" s="79" t="s">
        <v>2636</v>
      </c>
      <c r="B514" s="79" t="s">
        <v>2637</v>
      </c>
      <c r="C514" s="79">
        <v>590812556</v>
      </c>
      <c r="D514" s="79">
        <v>0</v>
      </c>
      <c r="E514" s="79" t="s">
        <v>1124</v>
      </c>
      <c r="F514" s="79" t="s">
        <v>2537</v>
      </c>
      <c r="G514" s="79" t="s">
        <v>1130</v>
      </c>
      <c r="H514" s="79"/>
      <c r="I514" s="79"/>
    </row>
    <row r="515" spans="1:9" ht="14.25">
      <c r="A515" s="79" t="s">
        <v>2636</v>
      </c>
      <c r="B515" s="79" t="s">
        <v>2637</v>
      </c>
      <c r="C515" s="79">
        <v>590812556</v>
      </c>
      <c r="D515" s="79">
        <v>0</v>
      </c>
      <c r="E515" s="79" t="s">
        <v>1124</v>
      </c>
      <c r="F515" s="79" t="s">
        <v>2537</v>
      </c>
      <c r="G515" s="79" t="s">
        <v>1131</v>
      </c>
      <c r="H515" s="79" t="s">
        <v>1132</v>
      </c>
      <c r="I515" s="79"/>
    </row>
    <row r="516" spans="1:9" ht="14.25">
      <c r="A516" s="79" t="s">
        <v>2636</v>
      </c>
      <c r="B516" s="79" t="s">
        <v>2637</v>
      </c>
      <c r="C516" s="79">
        <v>590812556</v>
      </c>
      <c r="D516" s="79">
        <v>0</v>
      </c>
      <c r="E516" s="79" t="s">
        <v>1124</v>
      </c>
      <c r="F516" s="79" t="s">
        <v>2537</v>
      </c>
      <c r="G516" s="79" t="s">
        <v>2576</v>
      </c>
      <c r="H516" s="79"/>
      <c r="I516" s="79"/>
    </row>
    <row r="517" spans="1:9" ht="14.25">
      <c r="A517" s="79" t="s">
        <v>2638</v>
      </c>
      <c r="B517" s="79" t="s">
        <v>2639</v>
      </c>
      <c r="C517" s="79">
        <v>590813156</v>
      </c>
      <c r="D517" s="79">
        <v>0</v>
      </c>
      <c r="E517" s="79" t="s">
        <v>1124</v>
      </c>
      <c r="F517" s="79" t="s">
        <v>2537</v>
      </c>
      <c r="G517" s="79" t="s">
        <v>2544</v>
      </c>
      <c r="H517" s="79" t="s">
        <v>2545</v>
      </c>
      <c r="I517" s="79"/>
    </row>
    <row r="518" spans="1:9" ht="14.25">
      <c r="A518" s="79" t="s">
        <v>2638</v>
      </c>
      <c r="B518" s="79" t="s">
        <v>2639</v>
      </c>
      <c r="C518" s="79">
        <v>590813156</v>
      </c>
      <c r="D518" s="79">
        <v>0</v>
      </c>
      <c r="E518" s="79" t="s">
        <v>1124</v>
      </c>
      <c r="F518" s="79" t="s">
        <v>2537</v>
      </c>
      <c r="G518" s="79" t="s">
        <v>2579</v>
      </c>
      <c r="H518" s="79"/>
      <c r="I518" s="79"/>
    </row>
    <row r="519" spans="1:9" ht="14.25">
      <c r="A519" s="79" t="s">
        <v>2640</v>
      </c>
      <c r="B519" s="79" t="s">
        <v>2641</v>
      </c>
      <c r="C519" s="79">
        <v>590855756</v>
      </c>
      <c r="D519" s="79">
        <v>0</v>
      </c>
      <c r="E519" s="79" t="s">
        <v>1124</v>
      </c>
      <c r="F519" s="79" t="s">
        <v>2537</v>
      </c>
      <c r="G519" s="79" t="s">
        <v>1130</v>
      </c>
      <c r="H519" s="79"/>
      <c r="I519" s="79"/>
    </row>
    <row r="520" spans="1:9" ht="14.25">
      <c r="A520" s="79" t="s">
        <v>2640</v>
      </c>
      <c r="B520" s="79" t="s">
        <v>2641</v>
      </c>
      <c r="C520" s="79">
        <v>590855756</v>
      </c>
      <c r="D520" s="79">
        <v>0</v>
      </c>
      <c r="E520" s="79" t="s">
        <v>1124</v>
      </c>
      <c r="F520" s="79" t="s">
        <v>2537</v>
      </c>
      <c r="G520" s="79" t="s">
        <v>1131</v>
      </c>
      <c r="H520" s="79" t="s">
        <v>1132</v>
      </c>
      <c r="I520" s="79"/>
    </row>
    <row r="521" spans="1:9" ht="14.25">
      <c r="A521" s="79" t="s">
        <v>2640</v>
      </c>
      <c r="B521" s="79" t="s">
        <v>2641</v>
      </c>
      <c r="C521" s="79">
        <v>590855756</v>
      </c>
      <c r="D521" s="79">
        <v>0</v>
      </c>
      <c r="E521" s="79" t="s">
        <v>1124</v>
      </c>
      <c r="F521" s="79" t="s">
        <v>2537</v>
      </c>
      <c r="G521" s="79" t="s">
        <v>2576</v>
      </c>
      <c r="H521" s="79"/>
      <c r="I521" s="79"/>
    </row>
    <row r="522" spans="1:9" ht="14.25">
      <c r="A522" s="79" t="s">
        <v>2642</v>
      </c>
      <c r="B522" s="79" t="s">
        <v>2643</v>
      </c>
      <c r="C522" s="79">
        <v>590856356</v>
      </c>
      <c r="D522" s="79">
        <v>0</v>
      </c>
      <c r="E522" s="79" t="s">
        <v>1124</v>
      </c>
      <c r="F522" s="79" t="s">
        <v>2537</v>
      </c>
      <c r="G522" s="79" t="s">
        <v>2544</v>
      </c>
      <c r="H522" s="79" t="s">
        <v>2545</v>
      </c>
      <c r="I522" s="79"/>
    </row>
    <row r="523" spans="1:9" ht="14.25">
      <c r="A523" s="79" t="s">
        <v>2642</v>
      </c>
      <c r="B523" s="79" t="s">
        <v>2643</v>
      </c>
      <c r="C523" s="79">
        <v>590856356</v>
      </c>
      <c r="D523" s="79">
        <v>0</v>
      </c>
      <c r="E523" s="79" t="s">
        <v>1124</v>
      </c>
      <c r="F523" s="79" t="s">
        <v>2537</v>
      </c>
      <c r="G523" s="79" t="s">
        <v>2579</v>
      </c>
      <c r="H523" s="79"/>
      <c r="I523" s="79"/>
    </row>
    <row r="524" spans="1:9" ht="14.25">
      <c r="A524" s="79" t="s">
        <v>2644</v>
      </c>
      <c r="B524" s="79" t="s">
        <v>2645</v>
      </c>
      <c r="C524" s="79">
        <v>590898956</v>
      </c>
      <c r="D524" s="79">
        <v>0</v>
      </c>
      <c r="E524" s="79" t="s">
        <v>1124</v>
      </c>
      <c r="F524" s="79" t="s">
        <v>2537</v>
      </c>
      <c r="G524" s="79" t="s">
        <v>1130</v>
      </c>
      <c r="H524" s="79"/>
      <c r="I524" s="79"/>
    </row>
    <row r="525" spans="1:9" ht="14.25">
      <c r="A525" s="79" t="s">
        <v>2644</v>
      </c>
      <c r="B525" s="79" t="s">
        <v>2645</v>
      </c>
      <c r="C525" s="79">
        <v>590898956</v>
      </c>
      <c r="D525" s="79">
        <v>0</v>
      </c>
      <c r="E525" s="79" t="s">
        <v>1124</v>
      </c>
      <c r="F525" s="79" t="s">
        <v>2537</v>
      </c>
      <c r="G525" s="79" t="s">
        <v>1131</v>
      </c>
      <c r="H525" s="79" t="s">
        <v>1132</v>
      </c>
      <c r="I525" s="79"/>
    </row>
    <row r="526" spans="1:9" ht="14.25">
      <c r="A526" s="79" t="s">
        <v>2644</v>
      </c>
      <c r="B526" s="79" t="s">
        <v>2645</v>
      </c>
      <c r="C526" s="79">
        <v>590898956</v>
      </c>
      <c r="D526" s="79">
        <v>0</v>
      </c>
      <c r="E526" s="79" t="s">
        <v>1124</v>
      </c>
      <c r="F526" s="79" t="s">
        <v>2537</v>
      </c>
      <c r="G526" s="79" t="s">
        <v>2576</v>
      </c>
      <c r="H526" s="79"/>
      <c r="I526" s="79"/>
    </row>
    <row r="527" spans="1:9" ht="14.25">
      <c r="A527" s="79" t="s">
        <v>2646</v>
      </c>
      <c r="B527" s="79" t="s">
        <v>2647</v>
      </c>
      <c r="C527" s="79">
        <v>590899556</v>
      </c>
      <c r="D527" s="79">
        <v>0</v>
      </c>
      <c r="E527" s="79" t="s">
        <v>1124</v>
      </c>
      <c r="F527" s="79" t="s">
        <v>2537</v>
      </c>
      <c r="G527" s="79" t="s">
        <v>2544</v>
      </c>
      <c r="H527" s="79" t="s">
        <v>2545</v>
      </c>
      <c r="I527" s="79"/>
    </row>
    <row r="528" spans="1:9" ht="14.25">
      <c r="A528" s="79" t="s">
        <v>2646</v>
      </c>
      <c r="B528" s="79" t="s">
        <v>2647</v>
      </c>
      <c r="C528" s="79">
        <v>590899556</v>
      </c>
      <c r="D528" s="79">
        <v>0</v>
      </c>
      <c r="E528" s="79" t="s">
        <v>1124</v>
      </c>
      <c r="F528" s="79" t="s">
        <v>2537</v>
      </c>
      <c r="G528" s="79" t="s">
        <v>2579</v>
      </c>
      <c r="H528" s="79"/>
      <c r="I528" s="79"/>
    </row>
    <row r="529" spans="1:9" ht="14.25">
      <c r="A529" s="79" t="s">
        <v>2648</v>
      </c>
      <c r="B529" s="79" t="s">
        <v>2649</v>
      </c>
      <c r="C529" s="79">
        <v>590942156</v>
      </c>
      <c r="D529" s="79">
        <v>0</v>
      </c>
      <c r="E529" s="79" t="s">
        <v>1124</v>
      </c>
      <c r="F529" s="79" t="s">
        <v>2537</v>
      </c>
      <c r="G529" s="79" t="s">
        <v>1130</v>
      </c>
      <c r="H529" s="79"/>
      <c r="I529" s="79"/>
    </row>
    <row r="530" spans="1:9" ht="14.25">
      <c r="A530" s="79" t="s">
        <v>2648</v>
      </c>
      <c r="B530" s="79" t="s">
        <v>2649</v>
      </c>
      <c r="C530" s="79">
        <v>590942156</v>
      </c>
      <c r="D530" s="79">
        <v>0</v>
      </c>
      <c r="E530" s="79" t="s">
        <v>1124</v>
      </c>
      <c r="F530" s="79" t="s">
        <v>2537</v>
      </c>
      <c r="G530" s="79" t="s">
        <v>1131</v>
      </c>
      <c r="H530" s="79" t="s">
        <v>1132</v>
      </c>
      <c r="I530" s="79"/>
    </row>
    <row r="531" spans="1:9" ht="14.25">
      <c r="A531" s="79" t="s">
        <v>2648</v>
      </c>
      <c r="B531" s="79" t="s">
        <v>2649</v>
      </c>
      <c r="C531" s="79">
        <v>590942156</v>
      </c>
      <c r="D531" s="79">
        <v>0</v>
      </c>
      <c r="E531" s="79" t="s">
        <v>1124</v>
      </c>
      <c r="F531" s="79" t="s">
        <v>2537</v>
      </c>
      <c r="G531" s="79" t="s">
        <v>2576</v>
      </c>
      <c r="H531" s="79"/>
      <c r="I531" s="79"/>
    </row>
    <row r="532" spans="1:9" ht="14.25">
      <c r="A532" s="79" t="s">
        <v>2650</v>
      </c>
      <c r="B532" s="79" t="s">
        <v>2651</v>
      </c>
      <c r="C532" s="79">
        <v>590942756</v>
      </c>
      <c r="D532" s="79">
        <v>0</v>
      </c>
      <c r="E532" s="79" t="s">
        <v>1124</v>
      </c>
      <c r="F532" s="79" t="s">
        <v>2537</v>
      </c>
      <c r="G532" s="79" t="s">
        <v>2544</v>
      </c>
      <c r="H532" s="79" t="s">
        <v>2545</v>
      </c>
      <c r="I532" s="79"/>
    </row>
    <row r="533" spans="1:9" ht="14.25">
      <c r="A533" s="79" t="s">
        <v>2650</v>
      </c>
      <c r="B533" s="79" t="s">
        <v>2651</v>
      </c>
      <c r="C533" s="79">
        <v>590942756</v>
      </c>
      <c r="D533" s="79">
        <v>0</v>
      </c>
      <c r="E533" s="79" t="s">
        <v>1124</v>
      </c>
      <c r="F533" s="79" t="s">
        <v>2537</v>
      </c>
      <c r="G533" s="79" t="s">
        <v>2579</v>
      </c>
      <c r="H533" s="79"/>
      <c r="I533" s="79"/>
    </row>
    <row r="534" spans="1:9" ht="14.25">
      <c r="A534" s="79" t="s">
        <v>2652</v>
      </c>
      <c r="B534" s="79" t="s">
        <v>2653</v>
      </c>
      <c r="C534" s="79">
        <v>590985356</v>
      </c>
      <c r="D534" s="79">
        <v>0</v>
      </c>
      <c r="E534" s="79" t="s">
        <v>1124</v>
      </c>
      <c r="F534" s="79" t="s">
        <v>2537</v>
      </c>
      <c r="G534" s="79" t="s">
        <v>1130</v>
      </c>
      <c r="H534" s="79"/>
      <c r="I534" s="79"/>
    </row>
    <row r="535" spans="1:9" ht="14.25">
      <c r="A535" s="79" t="s">
        <v>2652</v>
      </c>
      <c r="B535" s="79" t="s">
        <v>2653</v>
      </c>
      <c r="C535" s="79">
        <v>590985356</v>
      </c>
      <c r="D535" s="79">
        <v>0</v>
      </c>
      <c r="E535" s="79" t="s">
        <v>1124</v>
      </c>
      <c r="F535" s="79" t="s">
        <v>2537</v>
      </c>
      <c r="G535" s="79" t="s">
        <v>1131</v>
      </c>
      <c r="H535" s="79" t="s">
        <v>1132</v>
      </c>
      <c r="I535" s="79"/>
    </row>
    <row r="536" spans="1:9" ht="14.25">
      <c r="A536" s="79" t="s">
        <v>2652</v>
      </c>
      <c r="B536" s="79" t="s">
        <v>2653</v>
      </c>
      <c r="C536" s="79">
        <v>590985356</v>
      </c>
      <c r="D536" s="79">
        <v>0</v>
      </c>
      <c r="E536" s="79" t="s">
        <v>1124</v>
      </c>
      <c r="F536" s="79" t="s">
        <v>2537</v>
      </c>
      <c r="G536" s="79" t="s">
        <v>2576</v>
      </c>
      <c r="H536" s="79"/>
      <c r="I536" s="79"/>
    </row>
    <row r="537" spans="1:9" ht="14.25">
      <c r="A537" s="79" t="s">
        <v>2654</v>
      </c>
      <c r="B537" s="79" t="s">
        <v>2655</v>
      </c>
      <c r="C537" s="79">
        <v>590985956</v>
      </c>
      <c r="D537" s="79">
        <v>0</v>
      </c>
      <c r="E537" s="79" t="s">
        <v>1124</v>
      </c>
      <c r="F537" s="79" t="s">
        <v>2537</v>
      </c>
      <c r="G537" s="79" t="s">
        <v>2544</v>
      </c>
      <c r="H537" s="79" t="s">
        <v>2545</v>
      </c>
      <c r="I537" s="79"/>
    </row>
    <row r="538" spans="1:9" ht="14.25">
      <c r="A538" s="79" t="s">
        <v>2654</v>
      </c>
      <c r="B538" s="79" t="s">
        <v>2655</v>
      </c>
      <c r="C538" s="79">
        <v>590985956</v>
      </c>
      <c r="D538" s="79">
        <v>0</v>
      </c>
      <c r="E538" s="79" t="s">
        <v>1124</v>
      </c>
      <c r="F538" s="79" t="s">
        <v>2537</v>
      </c>
      <c r="G538" s="79" t="s">
        <v>2579</v>
      </c>
      <c r="H538" s="79"/>
      <c r="I538" s="79"/>
    </row>
    <row r="539" spans="1:9" ht="14.25">
      <c r="A539" s="79" t="s">
        <v>2656</v>
      </c>
      <c r="B539" s="79" t="s">
        <v>2657</v>
      </c>
      <c r="C539" s="79">
        <v>591028556</v>
      </c>
      <c r="D539" s="79">
        <v>0</v>
      </c>
      <c r="E539" s="79" t="s">
        <v>1124</v>
      </c>
      <c r="F539" s="79" t="s">
        <v>2537</v>
      </c>
      <c r="G539" s="79" t="s">
        <v>1130</v>
      </c>
      <c r="H539" s="79"/>
      <c r="I539" s="79"/>
    </row>
    <row r="540" spans="1:9" ht="14.25">
      <c r="A540" s="79" t="s">
        <v>2656</v>
      </c>
      <c r="B540" s="79" t="s">
        <v>2657</v>
      </c>
      <c r="C540" s="79">
        <v>591028556</v>
      </c>
      <c r="D540" s="79">
        <v>0</v>
      </c>
      <c r="E540" s="79" t="s">
        <v>1124</v>
      </c>
      <c r="F540" s="79" t="s">
        <v>2537</v>
      </c>
      <c r="G540" s="79" t="s">
        <v>1131</v>
      </c>
      <c r="H540" s="79" t="s">
        <v>1132</v>
      </c>
      <c r="I540" s="79"/>
    </row>
    <row r="541" spans="1:9" ht="14.25">
      <c r="A541" s="79" t="s">
        <v>2656</v>
      </c>
      <c r="B541" s="79" t="s">
        <v>2657</v>
      </c>
      <c r="C541" s="79">
        <v>591028556</v>
      </c>
      <c r="D541" s="79">
        <v>0</v>
      </c>
      <c r="E541" s="79" t="s">
        <v>1124</v>
      </c>
      <c r="F541" s="79" t="s">
        <v>2537</v>
      </c>
      <c r="G541" s="79" t="s">
        <v>2576</v>
      </c>
      <c r="H541" s="79"/>
      <c r="I541" s="79"/>
    </row>
    <row r="542" spans="1:9" ht="14.25">
      <c r="A542" s="79" t="s">
        <v>2658</v>
      </c>
      <c r="B542" s="79" t="s">
        <v>2659</v>
      </c>
      <c r="C542" s="79">
        <v>591029156</v>
      </c>
      <c r="D542" s="79">
        <v>0</v>
      </c>
      <c r="E542" s="79" t="s">
        <v>1124</v>
      </c>
      <c r="F542" s="79" t="s">
        <v>2537</v>
      </c>
      <c r="G542" s="79" t="s">
        <v>2544</v>
      </c>
      <c r="H542" s="79" t="s">
        <v>2545</v>
      </c>
      <c r="I542" s="79"/>
    </row>
    <row r="543" spans="1:9" ht="14.25">
      <c r="A543" s="79" t="s">
        <v>2658</v>
      </c>
      <c r="B543" s="79" t="s">
        <v>2659</v>
      </c>
      <c r="C543" s="79">
        <v>591029156</v>
      </c>
      <c r="D543" s="79">
        <v>0</v>
      </c>
      <c r="E543" s="79" t="s">
        <v>1124</v>
      </c>
      <c r="F543" s="79" t="s">
        <v>2537</v>
      </c>
      <c r="G543" s="79" t="s">
        <v>2579</v>
      </c>
      <c r="H543" s="79"/>
      <c r="I543" s="79"/>
    </row>
    <row r="544" spans="1:9" ht="14.25">
      <c r="A544" s="79" t="s">
        <v>2660</v>
      </c>
      <c r="B544" s="79" t="s">
        <v>2661</v>
      </c>
      <c r="C544" s="79">
        <v>591071756</v>
      </c>
      <c r="D544" s="79">
        <v>0</v>
      </c>
      <c r="E544" s="79" t="s">
        <v>1124</v>
      </c>
      <c r="F544" s="79" t="s">
        <v>2537</v>
      </c>
      <c r="G544" s="79" t="s">
        <v>1130</v>
      </c>
      <c r="H544" s="79"/>
      <c r="I544" s="79"/>
    </row>
    <row r="545" spans="1:9" ht="14.25">
      <c r="A545" s="79" t="s">
        <v>2660</v>
      </c>
      <c r="B545" s="79" t="s">
        <v>2661</v>
      </c>
      <c r="C545" s="79">
        <v>591071756</v>
      </c>
      <c r="D545" s="79">
        <v>0</v>
      </c>
      <c r="E545" s="79" t="s">
        <v>1124</v>
      </c>
      <c r="F545" s="79" t="s">
        <v>2537</v>
      </c>
      <c r="G545" s="79" t="s">
        <v>1131</v>
      </c>
      <c r="H545" s="79" t="s">
        <v>1132</v>
      </c>
      <c r="I545" s="79"/>
    </row>
    <row r="546" spans="1:9" ht="14.25">
      <c r="A546" s="79" t="s">
        <v>2660</v>
      </c>
      <c r="B546" s="79" t="s">
        <v>2661</v>
      </c>
      <c r="C546" s="79">
        <v>591071756</v>
      </c>
      <c r="D546" s="79">
        <v>0</v>
      </c>
      <c r="E546" s="79" t="s">
        <v>1124</v>
      </c>
      <c r="F546" s="79" t="s">
        <v>2537</v>
      </c>
      <c r="G546" s="79" t="s">
        <v>2576</v>
      </c>
      <c r="H546" s="79"/>
      <c r="I546" s="79"/>
    </row>
    <row r="547" spans="1:9" ht="14.25">
      <c r="A547" s="79" t="s">
        <v>2662</v>
      </c>
      <c r="B547" s="79" t="s">
        <v>2663</v>
      </c>
      <c r="C547" s="79">
        <v>591072356</v>
      </c>
      <c r="D547" s="79">
        <v>0</v>
      </c>
      <c r="E547" s="79" t="s">
        <v>1124</v>
      </c>
      <c r="F547" s="79" t="s">
        <v>2537</v>
      </c>
      <c r="G547" s="79" t="s">
        <v>2544</v>
      </c>
      <c r="H547" s="79" t="s">
        <v>2545</v>
      </c>
      <c r="I547" s="79"/>
    </row>
    <row r="548" spans="1:9" ht="14.25">
      <c r="A548" s="79" t="s">
        <v>2662</v>
      </c>
      <c r="B548" s="79" t="s">
        <v>2663</v>
      </c>
      <c r="C548" s="79">
        <v>591072356</v>
      </c>
      <c r="D548" s="79">
        <v>0</v>
      </c>
      <c r="E548" s="79" t="s">
        <v>1124</v>
      </c>
      <c r="F548" s="79" t="s">
        <v>2537</v>
      </c>
      <c r="G548" s="79" t="s">
        <v>2579</v>
      </c>
      <c r="H548" s="79"/>
      <c r="I548" s="79"/>
    </row>
    <row r="549" spans="1:9" ht="14.25">
      <c r="A549" s="79" t="s">
        <v>2664</v>
      </c>
      <c r="B549" s="79" t="s">
        <v>2665</v>
      </c>
      <c r="C549" s="79">
        <v>591114956</v>
      </c>
      <c r="D549" s="79">
        <v>0</v>
      </c>
      <c r="E549" s="79" t="s">
        <v>1124</v>
      </c>
      <c r="F549" s="79" t="s">
        <v>2537</v>
      </c>
      <c r="G549" s="79" t="s">
        <v>1130</v>
      </c>
      <c r="H549" s="79"/>
      <c r="I549" s="79"/>
    </row>
    <row r="550" spans="1:9" ht="14.25">
      <c r="A550" s="79" t="s">
        <v>2664</v>
      </c>
      <c r="B550" s="79" t="s">
        <v>2665</v>
      </c>
      <c r="C550" s="79">
        <v>591114956</v>
      </c>
      <c r="D550" s="79">
        <v>0</v>
      </c>
      <c r="E550" s="79" t="s">
        <v>1124</v>
      </c>
      <c r="F550" s="79" t="s">
        <v>2537</v>
      </c>
      <c r="G550" s="79" t="s">
        <v>1131</v>
      </c>
      <c r="H550" s="79" t="s">
        <v>1132</v>
      </c>
      <c r="I550" s="79"/>
    </row>
    <row r="551" spans="1:9" ht="14.25">
      <c r="A551" s="79" t="s">
        <v>2664</v>
      </c>
      <c r="B551" s="79" t="s">
        <v>2665</v>
      </c>
      <c r="C551" s="79">
        <v>591114956</v>
      </c>
      <c r="D551" s="79">
        <v>0</v>
      </c>
      <c r="E551" s="79" t="s">
        <v>1124</v>
      </c>
      <c r="F551" s="79" t="s">
        <v>2537</v>
      </c>
      <c r="G551" s="79" t="s">
        <v>2576</v>
      </c>
      <c r="H551" s="79"/>
      <c r="I551" s="79"/>
    </row>
    <row r="552" spans="1:9" ht="14.25">
      <c r="A552" s="79" t="s">
        <v>2666</v>
      </c>
      <c r="B552" s="79" t="s">
        <v>2667</v>
      </c>
      <c r="C552" s="79">
        <v>591115556</v>
      </c>
      <c r="D552" s="79">
        <v>0</v>
      </c>
      <c r="E552" s="79" t="s">
        <v>1124</v>
      </c>
      <c r="F552" s="79" t="s">
        <v>2537</v>
      </c>
      <c r="G552" s="79" t="s">
        <v>2544</v>
      </c>
      <c r="H552" s="79" t="s">
        <v>2545</v>
      </c>
      <c r="I552" s="79"/>
    </row>
    <row r="553" spans="1:9" ht="14.25">
      <c r="A553" s="79" t="s">
        <v>2666</v>
      </c>
      <c r="B553" s="79" t="s">
        <v>2667</v>
      </c>
      <c r="C553" s="79">
        <v>591115556</v>
      </c>
      <c r="D553" s="79">
        <v>0</v>
      </c>
      <c r="E553" s="79" t="s">
        <v>1124</v>
      </c>
      <c r="F553" s="79" t="s">
        <v>2537</v>
      </c>
      <c r="G553" s="79" t="s">
        <v>2579</v>
      </c>
      <c r="H553" s="79"/>
      <c r="I553" s="79"/>
    </row>
    <row r="554" spans="1:9" ht="14.25">
      <c r="A554" s="79" t="s">
        <v>2668</v>
      </c>
      <c r="B554" s="79" t="s">
        <v>2669</v>
      </c>
      <c r="C554" s="79">
        <v>591158156</v>
      </c>
      <c r="D554" s="79">
        <v>0</v>
      </c>
      <c r="E554" s="79" t="s">
        <v>1124</v>
      </c>
      <c r="F554" s="79" t="s">
        <v>2537</v>
      </c>
      <c r="G554" s="79" t="s">
        <v>1130</v>
      </c>
      <c r="H554" s="79"/>
      <c r="I554" s="79"/>
    </row>
    <row r="555" spans="1:9" ht="14.25">
      <c r="A555" s="79" t="s">
        <v>2668</v>
      </c>
      <c r="B555" s="79" t="s">
        <v>2669</v>
      </c>
      <c r="C555" s="79">
        <v>591158156</v>
      </c>
      <c r="D555" s="79">
        <v>0</v>
      </c>
      <c r="E555" s="79" t="s">
        <v>1124</v>
      </c>
      <c r="F555" s="79" t="s">
        <v>2537</v>
      </c>
      <c r="G555" s="79" t="s">
        <v>1131</v>
      </c>
      <c r="H555" s="79" t="s">
        <v>1132</v>
      </c>
      <c r="I555" s="79"/>
    </row>
    <row r="556" spans="1:9" ht="14.25">
      <c r="A556" s="79" t="s">
        <v>2668</v>
      </c>
      <c r="B556" s="79" t="s">
        <v>2669</v>
      </c>
      <c r="C556" s="79">
        <v>591158156</v>
      </c>
      <c r="D556" s="79">
        <v>0</v>
      </c>
      <c r="E556" s="79" t="s">
        <v>1124</v>
      </c>
      <c r="F556" s="79" t="s">
        <v>2537</v>
      </c>
      <c r="G556" s="79" t="s">
        <v>2576</v>
      </c>
      <c r="H556" s="79"/>
      <c r="I556" s="79"/>
    </row>
    <row r="557" spans="1:9" ht="14.25">
      <c r="A557" s="79" t="s">
        <v>2670</v>
      </c>
      <c r="B557" s="79" t="s">
        <v>2671</v>
      </c>
      <c r="C557" s="79">
        <v>591158756</v>
      </c>
      <c r="D557" s="79">
        <v>0</v>
      </c>
      <c r="E557" s="79" t="s">
        <v>1124</v>
      </c>
      <c r="F557" s="79" t="s">
        <v>2537</v>
      </c>
      <c r="G557" s="79" t="s">
        <v>2544</v>
      </c>
      <c r="H557" s="79" t="s">
        <v>2545</v>
      </c>
      <c r="I557" s="79"/>
    </row>
    <row r="558" spans="1:9" ht="14.25">
      <c r="A558" s="79" t="s">
        <v>2670</v>
      </c>
      <c r="B558" s="79" t="s">
        <v>2671</v>
      </c>
      <c r="C558" s="79">
        <v>591158756</v>
      </c>
      <c r="D558" s="79">
        <v>0</v>
      </c>
      <c r="E558" s="79" t="s">
        <v>1124</v>
      </c>
      <c r="F558" s="79" t="s">
        <v>2537</v>
      </c>
      <c r="G558" s="79" t="s">
        <v>2579</v>
      </c>
      <c r="H558" s="79"/>
      <c r="I558" s="79"/>
    </row>
    <row r="559" spans="1:9" ht="14.25">
      <c r="A559" s="79" t="s">
        <v>2672</v>
      </c>
      <c r="B559" s="79" t="s">
        <v>2673</v>
      </c>
      <c r="C559" s="79">
        <v>591201356</v>
      </c>
      <c r="D559" s="79">
        <v>0</v>
      </c>
      <c r="E559" s="79" t="s">
        <v>1124</v>
      </c>
      <c r="F559" s="79" t="s">
        <v>2537</v>
      </c>
      <c r="G559" s="79" t="s">
        <v>1130</v>
      </c>
      <c r="H559" s="79"/>
      <c r="I559" s="79"/>
    </row>
    <row r="560" spans="1:9" ht="14.25">
      <c r="A560" s="79" t="s">
        <v>2672</v>
      </c>
      <c r="B560" s="79" t="s">
        <v>2673</v>
      </c>
      <c r="C560" s="79">
        <v>591201356</v>
      </c>
      <c r="D560" s="79">
        <v>0</v>
      </c>
      <c r="E560" s="79" t="s">
        <v>1124</v>
      </c>
      <c r="F560" s="79" t="s">
        <v>2537</v>
      </c>
      <c r="G560" s="79" t="s">
        <v>1131</v>
      </c>
      <c r="H560" s="79" t="s">
        <v>1132</v>
      </c>
      <c r="I560" s="79"/>
    </row>
    <row r="561" spans="1:9" ht="14.25">
      <c r="A561" s="79" t="s">
        <v>2672</v>
      </c>
      <c r="B561" s="79" t="s">
        <v>2673</v>
      </c>
      <c r="C561" s="79">
        <v>591201356</v>
      </c>
      <c r="D561" s="79">
        <v>0</v>
      </c>
      <c r="E561" s="79" t="s">
        <v>1124</v>
      </c>
      <c r="F561" s="79" t="s">
        <v>2537</v>
      </c>
      <c r="G561" s="79" t="s">
        <v>2576</v>
      </c>
      <c r="H561" s="79"/>
      <c r="I561" s="79"/>
    </row>
    <row r="562" spans="1:9" ht="14.25">
      <c r="A562" s="79" t="s">
        <v>2674</v>
      </c>
      <c r="B562" s="79" t="s">
        <v>2675</v>
      </c>
      <c r="C562" s="79">
        <v>591201956</v>
      </c>
      <c r="D562" s="79">
        <v>0</v>
      </c>
      <c r="E562" s="79" t="s">
        <v>1124</v>
      </c>
      <c r="F562" s="79" t="s">
        <v>2537</v>
      </c>
      <c r="G562" s="79" t="s">
        <v>2544</v>
      </c>
      <c r="H562" s="79" t="s">
        <v>2545</v>
      </c>
      <c r="I562" s="79"/>
    </row>
    <row r="563" spans="1:9" ht="14.25">
      <c r="A563" s="79" t="s">
        <v>2674</v>
      </c>
      <c r="B563" s="79" t="s">
        <v>2675</v>
      </c>
      <c r="C563" s="79">
        <v>591201956</v>
      </c>
      <c r="D563" s="79">
        <v>0</v>
      </c>
      <c r="E563" s="79" t="s">
        <v>1124</v>
      </c>
      <c r="F563" s="79" t="s">
        <v>2537</v>
      </c>
      <c r="G563" s="79" t="s">
        <v>2579</v>
      </c>
      <c r="H563" s="79"/>
      <c r="I563" s="79"/>
    </row>
    <row r="564" spans="1:9" ht="14.25">
      <c r="A564" s="79" t="s">
        <v>2676</v>
      </c>
      <c r="B564" s="79" t="s">
        <v>2677</v>
      </c>
      <c r="C564" s="79">
        <v>591244556</v>
      </c>
      <c r="D564" s="79">
        <v>0</v>
      </c>
      <c r="E564" s="79" t="s">
        <v>1124</v>
      </c>
      <c r="F564" s="79" t="s">
        <v>2537</v>
      </c>
      <c r="G564" s="79" t="s">
        <v>1130</v>
      </c>
      <c r="H564" s="79"/>
      <c r="I564" s="79"/>
    </row>
    <row r="565" spans="1:9" ht="14.25">
      <c r="A565" s="79" t="s">
        <v>2676</v>
      </c>
      <c r="B565" s="79" t="s">
        <v>2677</v>
      </c>
      <c r="C565" s="79">
        <v>591244556</v>
      </c>
      <c r="D565" s="79">
        <v>0</v>
      </c>
      <c r="E565" s="79" t="s">
        <v>1124</v>
      </c>
      <c r="F565" s="79" t="s">
        <v>2537</v>
      </c>
      <c r="G565" s="79" t="s">
        <v>1131</v>
      </c>
      <c r="H565" s="79" t="s">
        <v>1132</v>
      </c>
      <c r="I565" s="79"/>
    </row>
    <row r="566" spans="1:9" ht="14.25">
      <c r="A566" s="79" t="s">
        <v>2676</v>
      </c>
      <c r="B566" s="79" t="s">
        <v>2677</v>
      </c>
      <c r="C566" s="79">
        <v>591244556</v>
      </c>
      <c r="D566" s="79">
        <v>0</v>
      </c>
      <c r="E566" s="79" t="s">
        <v>1124</v>
      </c>
      <c r="F566" s="79" t="s">
        <v>2537</v>
      </c>
      <c r="G566" s="79" t="s">
        <v>2576</v>
      </c>
      <c r="H566" s="79"/>
      <c r="I566" s="79"/>
    </row>
    <row r="567" spans="1:9" ht="14.25">
      <c r="A567" s="79" t="s">
        <v>2678</v>
      </c>
      <c r="B567" s="79" t="s">
        <v>2679</v>
      </c>
      <c r="C567" s="79">
        <v>591245156</v>
      </c>
      <c r="D567" s="79">
        <v>0</v>
      </c>
      <c r="E567" s="79" t="s">
        <v>1124</v>
      </c>
      <c r="F567" s="79" t="s">
        <v>2537</v>
      </c>
      <c r="G567" s="79" t="s">
        <v>2544</v>
      </c>
      <c r="H567" s="79" t="s">
        <v>2545</v>
      </c>
      <c r="I567" s="79"/>
    </row>
    <row r="568" spans="1:9" ht="14.25">
      <c r="A568" s="79" t="s">
        <v>2678</v>
      </c>
      <c r="B568" s="79" t="s">
        <v>2679</v>
      </c>
      <c r="C568" s="79">
        <v>591245156</v>
      </c>
      <c r="D568" s="79">
        <v>0</v>
      </c>
      <c r="E568" s="79" t="s">
        <v>1124</v>
      </c>
      <c r="F568" s="79" t="s">
        <v>2537</v>
      </c>
      <c r="G568" s="79" t="s">
        <v>2579</v>
      </c>
      <c r="H568" s="79"/>
      <c r="I568" s="79"/>
    </row>
    <row r="569" spans="1:9" ht="14.25">
      <c r="A569" s="79" t="s">
        <v>2680</v>
      </c>
      <c r="B569" s="79" t="s">
        <v>2681</v>
      </c>
      <c r="C569" s="79">
        <v>591287756</v>
      </c>
      <c r="D569" s="79">
        <v>0</v>
      </c>
      <c r="E569" s="79" t="s">
        <v>1124</v>
      </c>
      <c r="F569" s="79" t="s">
        <v>2537</v>
      </c>
      <c r="G569" s="79" t="s">
        <v>1130</v>
      </c>
      <c r="H569" s="79"/>
      <c r="I569" s="79"/>
    </row>
    <row r="570" spans="1:9" ht="14.25">
      <c r="A570" s="79" t="s">
        <v>2680</v>
      </c>
      <c r="B570" s="79" t="s">
        <v>2681</v>
      </c>
      <c r="C570" s="79">
        <v>591287756</v>
      </c>
      <c r="D570" s="79">
        <v>0</v>
      </c>
      <c r="E570" s="79" t="s">
        <v>1124</v>
      </c>
      <c r="F570" s="79" t="s">
        <v>2537</v>
      </c>
      <c r="G570" s="79" t="s">
        <v>1131</v>
      </c>
      <c r="H570" s="79" t="s">
        <v>1132</v>
      </c>
      <c r="I570" s="79"/>
    </row>
    <row r="571" spans="1:9" ht="14.25">
      <c r="A571" s="79" t="s">
        <v>2680</v>
      </c>
      <c r="B571" s="79" t="s">
        <v>2681</v>
      </c>
      <c r="C571" s="79">
        <v>591287756</v>
      </c>
      <c r="D571" s="79">
        <v>0</v>
      </c>
      <c r="E571" s="79" t="s">
        <v>1124</v>
      </c>
      <c r="F571" s="79" t="s">
        <v>2537</v>
      </c>
      <c r="G571" s="79" t="s">
        <v>2576</v>
      </c>
      <c r="H571" s="79"/>
      <c r="I571" s="79"/>
    </row>
    <row r="572" spans="1:9" ht="14.25">
      <c r="A572" s="79" t="s">
        <v>2682</v>
      </c>
      <c r="B572" s="79" t="s">
        <v>2683</v>
      </c>
      <c r="C572" s="79">
        <v>591288356</v>
      </c>
      <c r="D572" s="79">
        <v>0</v>
      </c>
      <c r="E572" s="79" t="s">
        <v>1124</v>
      </c>
      <c r="F572" s="79" t="s">
        <v>2537</v>
      </c>
      <c r="G572" s="79" t="s">
        <v>2544</v>
      </c>
      <c r="H572" s="79" t="s">
        <v>2545</v>
      </c>
      <c r="I572" s="79"/>
    </row>
    <row r="573" spans="1:9" ht="14.25">
      <c r="A573" s="79" t="s">
        <v>2682</v>
      </c>
      <c r="B573" s="79" t="s">
        <v>2683</v>
      </c>
      <c r="C573" s="79">
        <v>591288356</v>
      </c>
      <c r="D573" s="79">
        <v>0</v>
      </c>
      <c r="E573" s="79" t="s">
        <v>1124</v>
      </c>
      <c r="F573" s="79" t="s">
        <v>2537</v>
      </c>
      <c r="G573" s="79" t="s">
        <v>2579</v>
      </c>
      <c r="H573" s="79"/>
      <c r="I573" s="79"/>
    </row>
    <row r="574" spans="1:9" ht="14.25">
      <c r="A574" s="79" t="s">
        <v>2684</v>
      </c>
      <c r="B574" s="79" t="s">
        <v>2685</v>
      </c>
      <c r="C574" s="79">
        <v>591330956</v>
      </c>
      <c r="D574" s="79">
        <v>0</v>
      </c>
      <c r="E574" s="79" t="s">
        <v>1124</v>
      </c>
      <c r="F574" s="79" t="s">
        <v>2537</v>
      </c>
      <c r="G574" s="79" t="s">
        <v>1130</v>
      </c>
      <c r="H574" s="79"/>
      <c r="I574" s="79"/>
    </row>
    <row r="575" spans="1:9" ht="14.25">
      <c r="A575" s="79" t="s">
        <v>2684</v>
      </c>
      <c r="B575" s="79" t="s">
        <v>2685</v>
      </c>
      <c r="C575" s="79">
        <v>591330956</v>
      </c>
      <c r="D575" s="79">
        <v>0</v>
      </c>
      <c r="E575" s="79" t="s">
        <v>1124</v>
      </c>
      <c r="F575" s="79" t="s">
        <v>2537</v>
      </c>
      <c r="G575" s="79" t="s">
        <v>1131</v>
      </c>
      <c r="H575" s="79" t="s">
        <v>1132</v>
      </c>
      <c r="I575" s="79"/>
    </row>
    <row r="576" spans="1:9" ht="14.25">
      <c r="A576" s="79" t="s">
        <v>2684</v>
      </c>
      <c r="B576" s="79" t="s">
        <v>2685</v>
      </c>
      <c r="C576" s="79">
        <v>591330956</v>
      </c>
      <c r="D576" s="79">
        <v>0</v>
      </c>
      <c r="E576" s="79" t="s">
        <v>1124</v>
      </c>
      <c r="F576" s="79" t="s">
        <v>2537</v>
      </c>
      <c r="G576" s="79" t="s">
        <v>2576</v>
      </c>
      <c r="H576" s="79"/>
      <c r="I576" s="79"/>
    </row>
    <row r="577" spans="1:9" ht="14.25">
      <c r="A577" s="79" t="s">
        <v>2686</v>
      </c>
      <c r="B577" s="79" t="s">
        <v>2687</v>
      </c>
      <c r="C577" s="79">
        <v>591331556</v>
      </c>
      <c r="D577" s="79">
        <v>0</v>
      </c>
      <c r="E577" s="79" t="s">
        <v>1124</v>
      </c>
      <c r="F577" s="79" t="s">
        <v>2537</v>
      </c>
      <c r="G577" s="79" t="s">
        <v>2544</v>
      </c>
      <c r="H577" s="79" t="s">
        <v>2545</v>
      </c>
      <c r="I577" s="79"/>
    </row>
    <row r="578" spans="1:9" ht="14.25">
      <c r="A578" s="79" t="s">
        <v>2686</v>
      </c>
      <c r="B578" s="79" t="s">
        <v>2687</v>
      </c>
      <c r="C578" s="79">
        <v>591331556</v>
      </c>
      <c r="D578" s="79">
        <v>0</v>
      </c>
      <c r="E578" s="79" t="s">
        <v>1124</v>
      </c>
      <c r="F578" s="79" t="s">
        <v>2537</v>
      </c>
      <c r="G578" s="79" t="s">
        <v>2579</v>
      </c>
      <c r="H578" s="79"/>
      <c r="I578" s="79"/>
    </row>
    <row r="579" spans="1:9" ht="14.25">
      <c r="A579" s="79" t="s">
        <v>2688</v>
      </c>
      <c r="B579" s="79" t="s">
        <v>2689</v>
      </c>
      <c r="C579" s="79">
        <v>591374156</v>
      </c>
      <c r="D579" s="79">
        <v>0</v>
      </c>
      <c r="E579" s="79" t="s">
        <v>1124</v>
      </c>
      <c r="F579" s="79" t="s">
        <v>2537</v>
      </c>
      <c r="G579" s="79" t="s">
        <v>1130</v>
      </c>
      <c r="H579" s="79"/>
      <c r="I579" s="79"/>
    </row>
    <row r="580" spans="1:9" ht="14.25">
      <c r="A580" s="79" t="s">
        <v>2688</v>
      </c>
      <c r="B580" s="79" t="s">
        <v>2689</v>
      </c>
      <c r="C580" s="79">
        <v>591374156</v>
      </c>
      <c r="D580" s="79">
        <v>0</v>
      </c>
      <c r="E580" s="79" t="s">
        <v>1124</v>
      </c>
      <c r="F580" s="79" t="s">
        <v>2537</v>
      </c>
      <c r="G580" s="79" t="s">
        <v>1131</v>
      </c>
      <c r="H580" s="79" t="s">
        <v>1132</v>
      </c>
      <c r="I580" s="79"/>
    </row>
    <row r="581" spans="1:9" ht="14.25">
      <c r="A581" s="79" t="s">
        <v>2688</v>
      </c>
      <c r="B581" s="79" t="s">
        <v>2689</v>
      </c>
      <c r="C581" s="79">
        <v>591374156</v>
      </c>
      <c r="D581" s="79">
        <v>0</v>
      </c>
      <c r="E581" s="79" t="s">
        <v>1124</v>
      </c>
      <c r="F581" s="79" t="s">
        <v>2537</v>
      </c>
      <c r="G581" s="79" t="s">
        <v>2576</v>
      </c>
      <c r="H581" s="79"/>
      <c r="I581" s="79"/>
    </row>
    <row r="582" spans="1:9" ht="14.25">
      <c r="A582" s="79" t="s">
        <v>2690</v>
      </c>
      <c r="B582" s="79" t="s">
        <v>2691</v>
      </c>
      <c r="C582" s="79">
        <v>591374756</v>
      </c>
      <c r="D582" s="79">
        <v>0</v>
      </c>
      <c r="E582" s="79" t="s">
        <v>1124</v>
      </c>
      <c r="F582" s="79" t="s">
        <v>2537</v>
      </c>
      <c r="G582" s="79" t="s">
        <v>2544</v>
      </c>
      <c r="H582" s="79" t="s">
        <v>2545</v>
      </c>
      <c r="I582" s="79"/>
    </row>
    <row r="583" spans="1:9" ht="14.25">
      <c r="A583" s="79" t="s">
        <v>2690</v>
      </c>
      <c r="B583" s="79" t="s">
        <v>2691</v>
      </c>
      <c r="C583" s="79">
        <v>591374756</v>
      </c>
      <c r="D583" s="79">
        <v>0</v>
      </c>
      <c r="E583" s="79" t="s">
        <v>1124</v>
      </c>
      <c r="F583" s="79" t="s">
        <v>2537</v>
      </c>
      <c r="G583" s="79" t="s">
        <v>2579</v>
      </c>
      <c r="H583" s="79"/>
      <c r="I583" s="79"/>
    </row>
    <row r="584" spans="1:9" ht="14.25">
      <c r="A584" s="79" t="s">
        <v>2692</v>
      </c>
      <c r="B584" s="79" t="s">
        <v>2693</v>
      </c>
      <c r="C584" s="79">
        <v>591417356</v>
      </c>
      <c r="D584" s="79">
        <v>0</v>
      </c>
      <c r="E584" s="79" t="s">
        <v>1124</v>
      </c>
      <c r="F584" s="79" t="s">
        <v>2537</v>
      </c>
      <c r="G584" s="79" t="s">
        <v>1130</v>
      </c>
      <c r="H584" s="79"/>
      <c r="I584" s="79"/>
    </row>
    <row r="585" spans="1:9" ht="14.25">
      <c r="A585" s="79" t="s">
        <v>2692</v>
      </c>
      <c r="B585" s="79" t="s">
        <v>2693</v>
      </c>
      <c r="C585" s="79">
        <v>591417356</v>
      </c>
      <c r="D585" s="79">
        <v>0</v>
      </c>
      <c r="E585" s="79" t="s">
        <v>1124</v>
      </c>
      <c r="F585" s="79" t="s">
        <v>2537</v>
      </c>
      <c r="G585" s="79" t="s">
        <v>1131</v>
      </c>
      <c r="H585" s="79" t="s">
        <v>1132</v>
      </c>
      <c r="I585" s="79"/>
    </row>
    <row r="586" spans="1:9" ht="14.25">
      <c r="A586" s="79" t="s">
        <v>2692</v>
      </c>
      <c r="B586" s="79" t="s">
        <v>2693</v>
      </c>
      <c r="C586" s="79">
        <v>591417356</v>
      </c>
      <c r="D586" s="79">
        <v>0</v>
      </c>
      <c r="E586" s="79" t="s">
        <v>1124</v>
      </c>
      <c r="F586" s="79" t="s">
        <v>2537</v>
      </c>
      <c r="G586" s="79" t="s">
        <v>2576</v>
      </c>
      <c r="H586" s="79"/>
      <c r="I586" s="79"/>
    </row>
    <row r="587" spans="1:9" ht="14.25">
      <c r="A587" s="79" t="s">
        <v>2694</v>
      </c>
      <c r="B587" s="79" t="s">
        <v>2695</v>
      </c>
      <c r="C587" s="79">
        <v>591417956</v>
      </c>
      <c r="D587" s="79">
        <v>0</v>
      </c>
      <c r="E587" s="79" t="s">
        <v>1124</v>
      </c>
      <c r="F587" s="79" t="s">
        <v>2537</v>
      </c>
      <c r="G587" s="79" t="s">
        <v>2544</v>
      </c>
      <c r="H587" s="79" t="s">
        <v>2545</v>
      </c>
      <c r="I587" s="79"/>
    </row>
    <row r="588" spans="1:9" ht="14.25">
      <c r="A588" s="79" t="s">
        <v>2694</v>
      </c>
      <c r="B588" s="79" t="s">
        <v>2695</v>
      </c>
      <c r="C588" s="79">
        <v>591417956</v>
      </c>
      <c r="D588" s="79">
        <v>0</v>
      </c>
      <c r="E588" s="79" t="s">
        <v>1124</v>
      </c>
      <c r="F588" s="79" t="s">
        <v>2537</v>
      </c>
      <c r="G588" s="79" t="s">
        <v>2579</v>
      </c>
      <c r="H588" s="79"/>
      <c r="I588" s="79"/>
    </row>
    <row r="589" spans="1:9" ht="14.25">
      <c r="A589" s="79" t="s">
        <v>2696</v>
      </c>
      <c r="B589" s="79" t="s">
        <v>2697</v>
      </c>
      <c r="C589" s="79">
        <v>591460556</v>
      </c>
      <c r="D589" s="79">
        <v>0</v>
      </c>
      <c r="E589" s="79" t="s">
        <v>1124</v>
      </c>
      <c r="F589" s="79" t="s">
        <v>2537</v>
      </c>
      <c r="G589" s="79" t="s">
        <v>1130</v>
      </c>
      <c r="H589" s="79"/>
      <c r="I589" s="79"/>
    </row>
    <row r="590" spans="1:9" ht="14.25">
      <c r="A590" s="79" t="s">
        <v>2696</v>
      </c>
      <c r="B590" s="79" t="s">
        <v>2697</v>
      </c>
      <c r="C590" s="79">
        <v>591460556</v>
      </c>
      <c r="D590" s="79">
        <v>0</v>
      </c>
      <c r="E590" s="79" t="s">
        <v>1124</v>
      </c>
      <c r="F590" s="79" t="s">
        <v>2537</v>
      </c>
      <c r="G590" s="79" t="s">
        <v>1131</v>
      </c>
      <c r="H590" s="79" t="s">
        <v>1132</v>
      </c>
      <c r="I590" s="79"/>
    </row>
    <row r="591" spans="1:9" ht="14.25">
      <c r="A591" s="79" t="s">
        <v>2696</v>
      </c>
      <c r="B591" s="79" t="s">
        <v>2697</v>
      </c>
      <c r="C591" s="79">
        <v>591460556</v>
      </c>
      <c r="D591" s="79">
        <v>0</v>
      </c>
      <c r="E591" s="79" t="s">
        <v>1124</v>
      </c>
      <c r="F591" s="79" t="s">
        <v>2537</v>
      </c>
      <c r="G591" s="79" t="s">
        <v>2576</v>
      </c>
      <c r="H591" s="79"/>
      <c r="I591" s="79"/>
    </row>
    <row r="592" spans="1:9" ht="14.25">
      <c r="A592" s="79" t="s">
        <v>2698</v>
      </c>
      <c r="B592" s="79" t="s">
        <v>2699</v>
      </c>
      <c r="C592" s="79">
        <v>591461156</v>
      </c>
      <c r="D592" s="79">
        <v>0</v>
      </c>
      <c r="E592" s="79" t="s">
        <v>1124</v>
      </c>
      <c r="F592" s="79" t="s">
        <v>2537</v>
      </c>
      <c r="G592" s="79" t="s">
        <v>2544</v>
      </c>
      <c r="H592" s="79" t="s">
        <v>2545</v>
      </c>
      <c r="I592" s="79"/>
    </row>
    <row r="593" spans="1:9" ht="14.25">
      <c r="A593" s="79" t="s">
        <v>2698</v>
      </c>
      <c r="B593" s="79" t="s">
        <v>2699</v>
      </c>
      <c r="C593" s="79">
        <v>591461156</v>
      </c>
      <c r="D593" s="79">
        <v>0</v>
      </c>
      <c r="E593" s="79" t="s">
        <v>1124</v>
      </c>
      <c r="F593" s="79" t="s">
        <v>2537</v>
      </c>
      <c r="G593" s="79" t="s">
        <v>2579</v>
      </c>
      <c r="H593" s="79"/>
      <c r="I593" s="79"/>
    </row>
    <row r="594" spans="1:9" ht="14.25">
      <c r="A594" s="79" t="s">
        <v>2700</v>
      </c>
      <c r="B594" s="79" t="s">
        <v>2701</v>
      </c>
      <c r="C594" s="79">
        <v>591503756</v>
      </c>
      <c r="D594" s="79">
        <v>0</v>
      </c>
      <c r="E594" s="79" t="s">
        <v>1124</v>
      </c>
      <c r="F594" s="79" t="s">
        <v>2537</v>
      </c>
      <c r="G594" s="79" t="s">
        <v>1130</v>
      </c>
      <c r="H594" s="79"/>
      <c r="I594" s="79"/>
    </row>
    <row r="595" spans="1:9" ht="14.25">
      <c r="A595" s="79" t="s">
        <v>2700</v>
      </c>
      <c r="B595" s="79" t="s">
        <v>2701</v>
      </c>
      <c r="C595" s="79">
        <v>591503756</v>
      </c>
      <c r="D595" s="79">
        <v>0</v>
      </c>
      <c r="E595" s="79" t="s">
        <v>1124</v>
      </c>
      <c r="F595" s="79" t="s">
        <v>2537</v>
      </c>
      <c r="G595" s="79" t="s">
        <v>1131</v>
      </c>
      <c r="H595" s="79" t="s">
        <v>1132</v>
      </c>
      <c r="I595" s="79"/>
    </row>
    <row r="596" spans="1:9" ht="14.25">
      <c r="A596" s="79" t="s">
        <v>2700</v>
      </c>
      <c r="B596" s="79" t="s">
        <v>2701</v>
      </c>
      <c r="C596" s="79">
        <v>591503756</v>
      </c>
      <c r="D596" s="79">
        <v>0</v>
      </c>
      <c r="E596" s="79" t="s">
        <v>1124</v>
      </c>
      <c r="F596" s="79" t="s">
        <v>2537</v>
      </c>
      <c r="G596" s="79" t="s">
        <v>2576</v>
      </c>
      <c r="H596" s="79"/>
      <c r="I596" s="79"/>
    </row>
    <row r="597" spans="1:9" ht="14.25">
      <c r="A597" s="79" t="s">
        <v>2702</v>
      </c>
      <c r="B597" s="79" t="s">
        <v>2703</v>
      </c>
      <c r="C597" s="79">
        <v>591504356</v>
      </c>
      <c r="D597" s="79">
        <v>0</v>
      </c>
      <c r="E597" s="79" t="s">
        <v>1124</v>
      </c>
      <c r="F597" s="79" t="s">
        <v>2537</v>
      </c>
      <c r="G597" s="79" t="s">
        <v>2544</v>
      </c>
      <c r="H597" s="79" t="s">
        <v>2545</v>
      </c>
      <c r="I597" s="79"/>
    </row>
    <row r="598" spans="1:9" ht="14.25">
      <c r="A598" s="79" t="s">
        <v>2702</v>
      </c>
      <c r="B598" s="79" t="s">
        <v>2703</v>
      </c>
      <c r="C598" s="79">
        <v>591504356</v>
      </c>
      <c r="D598" s="79">
        <v>0</v>
      </c>
      <c r="E598" s="79" t="s">
        <v>1124</v>
      </c>
      <c r="F598" s="79" t="s">
        <v>2537</v>
      </c>
      <c r="G598" s="79" t="s">
        <v>2579</v>
      </c>
      <c r="H598" s="79"/>
      <c r="I598" s="79"/>
    </row>
    <row r="599" spans="1:9" ht="14.25">
      <c r="A599" s="79" t="s">
        <v>2704</v>
      </c>
      <c r="B599" s="79" t="s">
        <v>2705</v>
      </c>
      <c r="C599" s="79">
        <v>591546956</v>
      </c>
      <c r="D599" s="79">
        <v>0</v>
      </c>
      <c r="E599" s="79" t="s">
        <v>1124</v>
      </c>
      <c r="F599" s="79" t="s">
        <v>2537</v>
      </c>
      <c r="G599" s="79" t="s">
        <v>1130</v>
      </c>
      <c r="H599" s="79"/>
      <c r="I599" s="79"/>
    </row>
    <row r="600" spans="1:9" ht="14.25">
      <c r="A600" s="79" t="s">
        <v>2704</v>
      </c>
      <c r="B600" s="79" t="s">
        <v>2705</v>
      </c>
      <c r="C600" s="79">
        <v>591546956</v>
      </c>
      <c r="D600" s="79">
        <v>0</v>
      </c>
      <c r="E600" s="79" t="s">
        <v>1124</v>
      </c>
      <c r="F600" s="79" t="s">
        <v>2537</v>
      </c>
      <c r="G600" s="79" t="s">
        <v>1131</v>
      </c>
      <c r="H600" s="79" t="s">
        <v>1132</v>
      </c>
      <c r="I600" s="79"/>
    </row>
    <row r="601" spans="1:9" ht="14.25">
      <c r="A601" s="79" t="s">
        <v>2704</v>
      </c>
      <c r="B601" s="79" t="s">
        <v>2705</v>
      </c>
      <c r="C601" s="79">
        <v>591546956</v>
      </c>
      <c r="D601" s="79">
        <v>0</v>
      </c>
      <c r="E601" s="79" t="s">
        <v>1124</v>
      </c>
      <c r="F601" s="79" t="s">
        <v>2537</v>
      </c>
      <c r="G601" s="79" t="s">
        <v>2576</v>
      </c>
      <c r="H601" s="79"/>
      <c r="I601" s="79"/>
    </row>
    <row r="602" spans="1:9" ht="14.25">
      <c r="A602" s="79" t="s">
        <v>2706</v>
      </c>
      <c r="B602" s="79" t="s">
        <v>2707</v>
      </c>
      <c r="C602" s="79">
        <v>591547556</v>
      </c>
      <c r="D602" s="79">
        <v>0</v>
      </c>
      <c r="E602" s="79" t="s">
        <v>1124</v>
      </c>
      <c r="F602" s="79" t="s">
        <v>2537</v>
      </c>
      <c r="G602" s="79" t="s">
        <v>2544</v>
      </c>
      <c r="H602" s="79" t="s">
        <v>2545</v>
      </c>
      <c r="I602" s="79"/>
    </row>
    <row r="603" spans="1:9" ht="14.25">
      <c r="A603" s="79" t="s">
        <v>2706</v>
      </c>
      <c r="B603" s="79" t="s">
        <v>2707</v>
      </c>
      <c r="C603" s="79">
        <v>591547556</v>
      </c>
      <c r="D603" s="79">
        <v>0</v>
      </c>
      <c r="E603" s="79" t="s">
        <v>1124</v>
      </c>
      <c r="F603" s="79" t="s">
        <v>2537</v>
      </c>
      <c r="G603" s="79" t="s">
        <v>2579</v>
      </c>
      <c r="H603" s="79"/>
      <c r="I603" s="79"/>
    </row>
    <row r="604" spans="1:9" ht="14.25">
      <c r="A604" s="79" t="s">
        <v>2708</v>
      </c>
      <c r="B604" s="79" t="s">
        <v>2709</v>
      </c>
      <c r="C604" s="79">
        <v>591590156</v>
      </c>
      <c r="D604" s="79">
        <v>0</v>
      </c>
      <c r="E604" s="79" t="s">
        <v>1124</v>
      </c>
      <c r="F604" s="79" t="s">
        <v>2537</v>
      </c>
      <c r="G604" s="79" t="s">
        <v>1130</v>
      </c>
      <c r="H604" s="79"/>
      <c r="I604" s="79"/>
    </row>
    <row r="605" spans="1:9" ht="14.25">
      <c r="A605" s="79" t="s">
        <v>2708</v>
      </c>
      <c r="B605" s="79" t="s">
        <v>2709</v>
      </c>
      <c r="C605" s="79">
        <v>591590156</v>
      </c>
      <c r="D605" s="79">
        <v>0</v>
      </c>
      <c r="E605" s="79" t="s">
        <v>1124</v>
      </c>
      <c r="F605" s="79" t="s">
        <v>2537</v>
      </c>
      <c r="G605" s="79" t="s">
        <v>1131</v>
      </c>
      <c r="H605" s="79" t="s">
        <v>1132</v>
      </c>
      <c r="I605" s="79"/>
    </row>
    <row r="606" spans="1:9" ht="14.25">
      <c r="A606" s="79" t="s">
        <v>2708</v>
      </c>
      <c r="B606" s="79" t="s">
        <v>2709</v>
      </c>
      <c r="C606" s="79">
        <v>591590156</v>
      </c>
      <c r="D606" s="79">
        <v>0</v>
      </c>
      <c r="E606" s="79" t="s">
        <v>1124</v>
      </c>
      <c r="F606" s="79" t="s">
        <v>2537</v>
      </c>
      <c r="G606" s="79" t="s">
        <v>2576</v>
      </c>
      <c r="H606" s="79"/>
      <c r="I606" s="79"/>
    </row>
    <row r="607" spans="1:9" ht="14.25">
      <c r="A607" s="79" t="s">
        <v>2710</v>
      </c>
      <c r="B607" s="79" t="s">
        <v>2711</v>
      </c>
      <c r="C607" s="79">
        <v>591590756</v>
      </c>
      <c r="D607" s="79">
        <v>0</v>
      </c>
      <c r="E607" s="79" t="s">
        <v>1124</v>
      </c>
      <c r="F607" s="79" t="s">
        <v>2537</v>
      </c>
      <c r="G607" s="79" t="s">
        <v>2544</v>
      </c>
      <c r="H607" s="79" t="s">
        <v>2545</v>
      </c>
      <c r="I607" s="79"/>
    </row>
    <row r="608" spans="1:9" ht="14.25">
      <c r="A608" s="79" t="s">
        <v>2710</v>
      </c>
      <c r="B608" s="79" t="s">
        <v>2711</v>
      </c>
      <c r="C608" s="79">
        <v>591590756</v>
      </c>
      <c r="D608" s="79">
        <v>0</v>
      </c>
      <c r="E608" s="79" t="s">
        <v>1124</v>
      </c>
      <c r="F608" s="79" t="s">
        <v>2537</v>
      </c>
      <c r="G608" s="79" t="s">
        <v>2579</v>
      </c>
      <c r="H608" s="79"/>
      <c r="I608" s="79"/>
    </row>
    <row r="609" spans="1:9" ht="14.25">
      <c r="A609" s="79" t="s">
        <v>2712</v>
      </c>
      <c r="B609" s="79" t="s">
        <v>2713</v>
      </c>
      <c r="C609" s="79">
        <v>591633356</v>
      </c>
      <c r="D609" s="79">
        <v>0</v>
      </c>
      <c r="E609" s="79" t="s">
        <v>1124</v>
      </c>
      <c r="F609" s="79" t="s">
        <v>2537</v>
      </c>
      <c r="G609" s="79" t="s">
        <v>1130</v>
      </c>
      <c r="H609" s="79"/>
      <c r="I609" s="79"/>
    </row>
    <row r="610" spans="1:9" ht="14.25">
      <c r="A610" s="79" t="s">
        <v>2712</v>
      </c>
      <c r="B610" s="79" t="s">
        <v>2713</v>
      </c>
      <c r="C610" s="79">
        <v>591633356</v>
      </c>
      <c r="D610" s="79">
        <v>0</v>
      </c>
      <c r="E610" s="79" t="s">
        <v>1124</v>
      </c>
      <c r="F610" s="79" t="s">
        <v>2537</v>
      </c>
      <c r="G610" s="79" t="s">
        <v>1131</v>
      </c>
      <c r="H610" s="79" t="s">
        <v>1132</v>
      </c>
      <c r="I610" s="79"/>
    </row>
    <row r="611" spans="1:9" ht="14.25">
      <c r="A611" s="79" t="s">
        <v>2712</v>
      </c>
      <c r="B611" s="79" t="s">
        <v>2713</v>
      </c>
      <c r="C611" s="79">
        <v>591633356</v>
      </c>
      <c r="D611" s="79">
        <v>0</v>
      </c>
      <c r="E611" s="79" t="s">
        <v>1124</v>
      </c>
      <c r="F611" s="79" t="s">
        <v>2537</v>
      </c>
      <c r="G611" s="79" t="s">
        <v>2576</v>
      </c>
      <c r="H611" s="79"/>
      <c r="I611" s="79"/>
    </row>
    <row r="612" spans="1:9" ht="14.25">
      <c r="A612" s="79" t="s">
        <v>2714</v>
      </c>
      <c r="B612" s="79" t="s">
        <v>2715</v>
      </c>
      <c r="C612" s="79">
        <v>591633956</v>
      </c>
      <c r="D612" s="79">
        <v>0</v>
      </c>
      <c r="E612" s="79" t="s">
        <v>1124</v>
      </c>
      <c r="F612" s="79" t="s">
        <v>2537</v>
      </c>
      <c r="G612" s="79" t="s">
        <v>2544</v>
      </c>
      <c r="H612" s="79" t="s">
        <v>2545</v>
      </c>
      <c r="I612" s="79"/>
    </row>
    <row r="613" spans="1:9" ht="14.25">
      <c r="A613" s="79" t="s">
        <v>2714</v>
      </c>
      <c r="B613" s="79" t="s">
        <v>2715</v>
      </c>
      <c r="C613" s="79">
        <v>591633956</v>
      </c>
      <c r="D613" s="79">
        <v>0</v>
      </c>
      <c r="E613" s="79" t="s">
        <v>1124</v>
      </c>
      <c r="F613" s="79" t="s">
        <v>2537</v>
      </c>
      <c r="G613" s="79" t="s">
        <v>2579</v>
      </c>
      <c r="H613" s="79"/>
      <c r="I613" s="79"/>
    </row>
    <row r="614" spans="1:9" ht="14.25">
      <c r="A614" s="79" t="s">
        <v>2716</v>
      </c>
      <c r="B614" s="79" t="s">
        <v>2717</v>
      </c>
      <c r="C614" s="79">
        <v>591676556</v>
      </c>
      <c r="D614" s="79">
        <v>0</v>
      </c>
      <c r="E614" s="79" t="s">
        <v>1124</v>
      </c>
      <c r="F614" s="79" t="s">
        <v>2537</v>
      </c>
      <c r="G614" s="79" t="s">
        <v>1130</v>
      </c>
      <c r="H614" s="79"/>
      <c r="I614" s="79"/>
    </row>
    <row r="615" spans="1:9" ht="14.25">
      <c r="A615" s="79" t="s">
        <v>2716</v>
      </c>
      <c r="B615" s="79" t="s">
        <v>2717</v>
      </c>
      <c r="C615" s="79">
        <v>591676556</v>
      </c>
      <c r="D615" s="79">
        <v>0</v>
      </c>
      <c r="E615" s="79" t="s">
        <v>1124</v>
      </c>
      <c r="F615" s="79" t="s">
        <v>2537</v>
      </c>
      <c r="G615" s="79" t="s">
        <v>1131</v>
      </c>
      <c r="H615" s="79" t="s">
        <v>1132</v>
      </c>
      <c r="I615" s="79"/>
    </row>
    <row r="616" spans="1:9" ht="14.25">
      <c r="A616" s="79" t="s">
        <v>2716</v>
      </c>
      <c r="B616" s="79" t="s">
        <v>2717</v>
      </c>
      <c r="C616" s="79">
        <v>591676556</v>
      </c>
      <c r="D616" s="79">
        <v>0</v>
      </c>
      <c r="E616" s="79" t="s">
        <v>1124</v>
      </c>
      <c r="F616" s="79" t="s">
        <v>2537</v>
      </c>
      <c r="G616" s="79" t="s">
        <v>2576</v>
      </c>
      <c r="H616" s="79"/>
      <c r="I616" s="79"/>
    </row>
    <row r="617" spans="1:9" ht="14.25">
      <c r="A617" s="79" t="s">
        <v>2718</v>
      </c>
      <c r="B617" s="79" t="s">
        <v>2719</v>
      </c>
      <c r="C617" s="79">
        <v>591677156</v>
      </c>
      <c r="D617" s="79">
        <v>0</v>
      </c>
      <c r="E617" s="79" t="s">
        <v>1124</v>
      </c>
      <c r="F617" s="79" t="s">
        <v>2537</v>
      </c>
      <c r="G617" s="79" t="s">
        <v>2544</v>
      </c>
      <c r="H617" s="79" t="s">
        <v>2545</v>
      </c>
      <c r="I617" s="79"/>
    </row>
    <row r="618" spans="1:9" ht="14.25">
      <c r="A618" s="79" t="s">
        <v>2718</v>
      </c>
      <c r="B618" s="79" t="s">
        <v>2719</v>
      </c>
      <c r="C618" s="79">
        <v>591677156</v>
      </c>
      <c r="D618" s="79">
        <v>0</v>
      </c>
      <c r="E618" s="79" t="s">
        <v>1124</v>
      </c>
      <c r="F618" s="79" t="s">
        <v>2537</v>
      </c>
      <c r="G618" s="79" t="s">
        <v>2579</v>
      </c>
      <c r="H618" s="79"/>
      <c r="I618" s="79"/>
    </row>
    <row r="619" spans="1:9" ht="14.25">
      <c r="A619" s="79" t="s">
        <v>2720</v>
      </c>
      <c r="B619" s="79" t="s">
        <v>2721</v>
      </c>
      <c r="C619" s="79">
        <v>591719756</v>
      </c>
      <c r="D619" s="79">
        <v>0</v>
      </c>
      <c r="E619" s="79" t="s">
        <v>1124</v>
      </c>
      <c r="F619" s="79" t="s">
        <v>2537</v>
      </c>
      <c r="G619" s="79" t="s">
        <v>1130</v>
      </c>
      <c r="H619" s="79"/>
      <c r="I619" s="79"/>
    </row>
    <row r="620" spans="1:9" ht="14.25">
      <c r="A620" s="79" t="s">
        <v>2720</v>
      </c>
      <c r="B620" s="79" t="s">
        <v>2721</v>
      </c>
      <c r="C620" s="79">
        <v>591719756</v>
      </c>
      <c r="D620" s="79">
        <v>0</v>
      </c>
      <c r="E620" s="79" t="s">
        <v>1124</v>
      </c>
      <c r="F620" s="79" t="s">
        <v>2537</v>
      </c>
      <c r="G620" s="79" t="s">
        <v>1131</v>
      </c>
      <c r="H620" s="79" t="s">
        <v>1132</v>
      </c>
      <c r="I620" s="79"/>
    </row>
    <row r="621" spans="1:9" ht="14.25">
      <c r="A621" s="79" t="s">
        <v>2720</v>
      </c>
      <c r="B621" s="79" t="s">
        <v>2721</v>
      </c>
      <c r="C621" s="79">
        <v>591719756</v>
      </c>
      <c r="D621" s="79">
        <v>0</v>
      </c>
      <c r="E621" s="79" t="s">
        <v>1124</v>
      </c>
      <c r="F621" s="79" t="s">
        <v>2537</v>
      </c>
      <c r="G621" s="79" t="s">
        <v>2576</v>
      </c>
      <c r="H621" s="79"/>
      <c r="I621" s="79"/>
    </row>
    <row r="622" spans="1:9" ht="14.25">
      <c r="A622" s="79" t="s">
        <v>2722</v>
      </c>
      <c r="B622" s="79" t="s">
        <v>2723</v>
      </c>
      <c r="C622" s="79">
        <v>591720356</v>
      </c>
      <c r="D622" s="79">
        <v>0</v>
      </c>
      <c r="E622" s="79" t="s">
        <v>1124</v>
      </c>
      <c r="F622" s="79" t="s">
        <v>2537</v>
      </c>
      <c r="G622" s="79" t="s">
        <v>2544</v>
      </c>
      <c r="H622" s="79" t="s">
        <v>2545</v>
      </c>
      <c r="I622" s="79"/>
    </row>
    <row r="623" spans="1:9" ht="14.25">
      <c r="A623" s="79" t="s">
        <v>2722</v>
      </c>
      <c r="B623" s="79" t="s">
        <v>2723</v>
      </c>
      <c r="C623" s="79">
        <v>591720356</v>
      </c>
      <c r="D623" s="79">
        <v>0</v>
      </c>
      <c r="E623" s="79" t="s">
        <v>1124</v>
      </c>
      <c r="F623" s="79" t="s">
        <v>2537</v>
      </c>
      <c r="G623" s="79" t="s">
        <v>2579</v>
      </c>
      <c r="H623" s="79"/>
      <c r="I623" s="79"/>
    </row>
    <row r="624" spans="1:9" ht="14.25">
      <c r="A624" s="79" t="s">
        <v>2724</v>
      </c>
      <c r="B624" s="79" t="s">
        <v>2725</v>
      </c>
      <c r="C624" s="79">
        <v>591762956</v>
      </c>
      <c r="D624" s="79">
        <v>0</v>
      </c>
      <c r="E624" s="79" t="s">
        <v>1124</v>
      </c>
      <c r="F624" s="79" t="s">
        <v>2537</v>
      </c>
      <c r="G624" s="79" t="s">
        <v>1130</v>
      </c>
      <c r="H624" s="79"/>
      <c r="I624" s="79"/>
    </row>
    <row r="625" spans="1:9" ht="14.25">
      <c r="A625" s="79" t="s">
        <v>2724</v>
      </c>
      <c r="B625" s="79" t="s">
        <v>2725</v>
      </c>
      <c r="C625" s="79">
        <v>591762956</v>
      </c>
      <c r="D625" s="79">
        <v>0</v>
      </c>
      <c r="E625" s="79" t="s">
        <v>1124</v>
      </c>
      <c r="F625" s="79" t="s">
        <v>2537</v>
      </c>
      <c r="G625" s="79" t="s">
        <v>1131</v>
      </c>
      <c r="H625" s="79" t="s">
        <v>1132</v>
      </c>
      <c r="I625" s="79"/>
    </row>
    <row r="626" spans="1:9" ht="14.25">
      <c r="A626" s="79" t="s">
        <v>2724</v>
      </c>
      <c r="B626" s="79" t="s">
        <v>2725</v>
      </c>
      <c r="C626" s="79">
        <v>591762956</v>
      </c>
      <c r="D626" s="79">
        <v>0</v>
      </c>
      <c r="E626" s="79" t="s">
        <v>1124</v>
      </c>
      <c r="F626" s="79" t="s">
        <v>2537</v>
      </c>
      <c r="G626" s="79" t="s">
        <v>2576</v>
      </c>
      <c r="H626" s="79"/>
      <c r="I626" s="79"/>
    </row>
    <row r="627" spans="1:9" ht="14.25">
      <c r="A627" s="79" t="s">
        <v>2726</v>
      </c>
      <c r="B627" s="79" t="s">
        <v>2727</v>
      </c>
      <c r="C627" s="79">
        <v>591763556</v>
      </c>
      <c r="D627" s="79">
        <v>0</v>
      </c>
      <c r="E627" s="79" t="s">
        <v>1124</v>
      </c>
      <c r="F627" s="79" t="s">
        <v>2537</v>
      </c>
      <c r="G627" s="79" t="s">
        <v>2544</v>
      </c>
      <c r="H627" s="79" t="s">
        <v>2545</v>
      </c>
      <c r="I627" s="79"/>
    </row>
    <row r="628" spans="1:9" ht="14.25">
      <c r="A628" s="79" t="s">
        <v>2726</v>
      </c>
      <c r="B628" s="79" t="s">
        <v>2727</v>
      </c>
      <c r="C628" s="79">
        <v>591763556</v>
      </c>
      <c r="D628" s="79">
        <v>0</v>
      </c>
      <c r="E628" s="79" t="s">
        <v>1124</v>
      </c>
      <c r="F628" s="79" t="s">
        <v>2537</v>
      </c>
      <c r="G628" s="79" t="s">
        <v>2579</v>
      </c>
      <c r="H628" s="79"/>
      <c r="I628" s="79"/>
    </row>
    <row r="629" spans="1:9" ht="14.25">
      <c r="A629" s="79" t="s">
        <v>2728</v>
      </c>
      <c r="B629" s="79" t="s">
        <v>2729</v>
      </c>
      <c r="C629" s="79">
        <v>591806156</v>
      </c>
      <c r="D629" s="79">
        <v>0</v>
      </c>
      <c r="E629" s="79" t="s">
        <v>1124</v>
      </c>
      <c r="F629" s="79" t="s">
        <v>2537</v>
      </c>
      <c r="G629" s="79" t="s">
        <v>1130</v>
      </c>
      <c r="H629" s="79"/>
      <c r="I629" s="79"/>
    </row>
    <row r="630" spans="1:9" ht="14.25">
      <c r="A630" s="79" t="s">
        <v>2728</v>
      </c>
      <c r="B630" s="79" t="s">
        <v>2729</v>
      </c>
      <c r="C630" s="79">
        <v>591806156</v>
      </c>
      <c r="D630" s="79">
        <v>0</v>
      </c>
      <c r="E630" s="79" t="s">
        <v>1124</v>
      </c>
      <c r="F630" s="79" t="s">
        <v>2537</v>
      </c>
      <c r="G630" s="79" t="s">
        <v>1131</v>
      </c>
      <c r="H630" s="79" t="s">
        <v>1132</v>
      </c>
      <c r="I630" s="79"/>
    </row>
    <row r="631" spans="1:9" ht="14.25">
      <c r="A631" s="79" t="s">
        <v>2728</v>
      </c>
      <c r="B631" s="79" t="s">
        <v>2729</v>
      </c>
      <c r="C631" s="79">
        <v>591806156</v>
      </c>
      <c r="D631" s="79">
        <v>0</v>
      </c>
      <c r="E631" s="79" t="s">
        <v>1124</v>
      </c>
      <c r="F631" s="79" t="s">
        <v>2537</v>
      </c>
      <c r="G631" s="79" t="s">
        <v>2576</v>
      </c>
      <c r="H631" s="79"/>
      <c r="I631" s="79"/>
    </row>
    <row r="632" spans="1:9" ht="14.25">
      <c r="A632" s="79" t="s">
        <v>2730</v>
      </c>
      <c r="B632" s="79" t="s">
        <v>2731</v>
      </c>
      <c r="C632" s="79">
        <v>591806756</v>
      </c>
      <c r="D632" s="79">
        <v>0</v>
      </c>
      <c r="E632" s="79" t="s">
        <v>1124</v>
      </c>
      <c r="F632" s="79" t="s">
        <v>2537</v>
      </c>
      <c r="G632" s="79" t="s">
        <v>2544</v>
      </c>
      <c r="H632" s="79" t="s">
        <v>2545</v>
      </c>
      <c r="I632" s="79"/>
    </row>
    <row r="633" spans="1:9" ht="14.25">
      <c r="A633" s="79" t="s">
        <v>2730</v>
      </c>
      <c r="B633" s="79" t="s">
        <v>2731</v>
      </c>
      <c r="C633" s="79">
        <v>591806756</v>
      </c>
      <c r="D633" s="79">
        <v>0</v>
      </c>
      <c r="E633" s="79" t="s">
        <v>1124</v>
      </c>
      <c r="F633" s="79" t="s">
        <v>2537</v>
      </c>
      <c r="G633" s="79" t="s">
        <v>2579</v>
      </c>
      <c r="H633" s="79"/>
      <c r="I633" s="79"/>
    </row>
    <row r="634" spans="1:9" ht="14.25">
      <c r="A634" s="79" t="s">
        <v>2732</v>
      </c>
      <c r="B634" s="79" t="s">
        <v>2733</v>
      </c>
      <c r="C634" s="79">
        <v>591849356</v>
      </c>
      <c r="D634" s="79">
        <v>0</v>
      </c>
      <c r="E634" s="79" t="s">
        <v>1124</v>
      </c>
      <c r="F634" s="79" t="s">
        <v>2537</v>
      </c>
      <c r="G634" s="79" t="s">
        <v>1130</v>
      </c>
      <c r="H634" s="79"/>
      <c r="I634" s="79"/>
    </row>
    <row r="635" spans="1:9" ht="14.25">
      <c r="A635" s="79" t="s">
        <v>2732</v>
      </c>
      <c r="B635" s="79" t="s">
        <v>2733</v>
      </c>
      <c r="C635" s="79">
        <v>591849356</v>
      </c>
      <c r="D635" s="79">
        <v>0</v>
      </c>
      <c r="E635" s="79" t="s">
        <v>1124</v>
      </c>
      <c r="F635" s="79" t="s">
        <v>2537</v>
      </c>
      <c r="G635" s="79" t="s">
        <v>1131</v>
      </c>
      <c r="H635" s="79" t="s">
        <v>1132</v>
      </c>
      <c r="I635" s="79"/>
    </row>
    <row r="636" spans="1:9" ht="14.25">
      <c r="A636" s="79" t="s">
        <v>2732</v>
      </c>
      <c r="B636" s="79" t="s">
        <v>2733</v>
      </c>
      <c r="C636" s="79">
        <v>591849356</v>
      </c>
      <c r="D636" s="79">
        <v>0</v>
      </c>
      <c r="E636" s="79" t="s">
        <v>1124</v>
      </c>
      <c r="F636" s="79" t="s">
        <v>2537</v>
      </c>
      <c r="G636" s="79" t="s">
        <v>2576</v>
      </c>
      <c r="H636" s="79"/>
      <c r="I636" s="79"/>
    </row>
    <row r="637" spans="1:9" ht="14.25">
      <c r="A637" s="79" t="s">
        <v>2734</v>
      </c>
      <c r="B637" s="79" t="s">
        <v>2735</v>
      </c>
      <c r="C637" s="79">
        <v>591849956</v>
      </c>
      <c r="D637" s="79">
        <v>0</v>
      </c>
      <c r="E637" s="79" t="s">
        <v>1124</v>
      </c>
      <c r="F637" s="79" t="s">
        <v>2537</v>
      </c>
      <c r="G637" s="79" t="s">
        <v>2544</v>
      </c>
      <c r="H637" s="79" t="s">
        <v>2545</v>
      </c>
      <c r="I637" s="79"/>
    </row>
    <row r="638" spans="1:9" ht="14.25">
      <c r="A638" s="79" t="s">
        <v>2734</v>
      </c>
      <c r="B638" s="79" t="s">
        <v>2735</v>
      </c>
      <c r="C638" s="79">
        <v>591849956</v>
      </c>
      <c r="D638" s="79">
        <v>0</v>
      </c>
      <c r="E638" s="79" t="s">
        <v>1124</v>
      </c>
      <c r="F638" s="79" t="s">
        <v>2537</v>
      </c>
      <c r="G638" s="79" t="s">
        <v>2579</v>
      </c>
      <c r="H638" s="79"/>
      <c r="I638" s="79"/>
    </row>
    <row r="639" spans="1:9" ht="14.25">
      <c r="A639" s="79" t="s">
        <v>2736</v>
      </c>
      <c r="B639" s="79" t="s">
        <v>2737</v>
      </c>
      <c r="C639" s="79">
        <v>591892556</v>
      </c>
      <c r="D639" s="79">
        <v>0</v>
      </c>
      <c r="E639" s="79" t="s">
        <v>1124</v>
      </c>
      <c r="F639" s="79" t="s">
        <v>2537</v>
      </c>
      <c r="G639" s="79" t="s">
        <v>1130</v>
      </c>
      <c r="H639" s="79"/>
      <c r="I639" s="79"/>
    </row>
    <row r="640" spans="1:9" ht="14.25">
      <c r="A640" s="79" t="s">
        <v>2736</v>
      </c>
      <c r="B640" s="79" t="s">
        <v>2737</v>
      </c>
      <c r="C640" s="79">
        <v>591892556</v>
      </c>
      <c r="D640" s="79">
        <v>0</v>
      </c>
      <c r="E640" s="79" t="s">
        <v>1124</v>
      </c>
      <c r="F640" s="79" t="s">
        <v>2537</v>
      </c>
      <c r="G640" s="79" t="s">
        <v>1131</v>
      </c>
      <c r="H640" s="79" t="s">
        <v>1132</v>
      </c>
      <c r="I640" s="79"/>
    </row>
    <row r="641" spans="1:9" ht="14.25">
      <c r="A641" s="79" t="s">
        <v>2736</v>
      </c>
      <c r="B641" s="79" t="s">
        <v>2737</v>
      </c>
      <c r="C641" s="79">
        <v>591892556</v>
      </c>
      <c r="D641" s="79">
        <v>0</v>
      </c>
      <c r="E641" s="79" t="s">
        <v>1124</v>
      </c>
      <c r="F641" s="79" t="s">
        <v>2537</v>
      </c>
      <c r="G641" s="79" t="s">
        <v>2576</v>
      </c>
      <c r="H641" s="79"/>
      <c r="I641" s="79"/>
    </row>
    <row r="642" spans="1:9" ht="14.25">
      <c r="A642" s="79" t="s">
        <v>2738</v>
      </c>
      <c r="B642" s="79" t="s">
        <v>2739</v>
      </c>
      <c r="C642" s="79">
        <v>591893156</v>
      </c>
      <c r="D642" s="79">
        <v>0</v>
      </c>
      <c r="E642" s="79" t="s">
        <v>1124</v>
      </c>
      <c r="F642" s="79" t="s">
        <v>2537</v>
      </c>
      <c r="G642" s="79" t="s">
        <v>2544</v>
      </c>
      <c r="H642" s="79" t="s">
        <v>2545</v>
      </c>
      <c r="I642" s="79"/>
    </row>
    <row r="643" spans="1:9" ht="14.25">
      <c r="A643" s="79" t="s">
        <v>2738</v>
      </c>
      <c r="B643" s="79" t="s">
        <v>2739</v>
      </c>
      <c r="C643" s="79">
        <v>591893156</v>
      </c>
      <c r="D643" s="79">
        <v>0</v>
      </c>
      <c r="E643" s="79" t="s">
        <v>1124</v>
      </c>
      <c r="F643" s="79" t="s">
        <v>2537</v>
      </c>
      <c r="G643" s="79" t="s">
        <v>2579</v>
      </c>
      <c r="H643" s="79"/>
      <c r="I643" s="79"/>
    </row>
    <row r="644" spans="1:9" ht="14.25">
      <c r="A644" s="79" t="s">
        <v>2740</v>
      </c>
      <c r="B644" s="79" t="s">
        <v>2741</v>
      </c>
      <c r="C644" s="79">
        <v>591935756</v>
      </c>
      <c r="D644" s="79">
        <v>0</v>
      </c>
      <c r="E644" s="79" t="s">
        <v>1124</v>
      </c>
      <c r="F644" s="79" t="s">
        <v>2537</v>
      </c>
      <c r="G644" s="79" t="s">
        <v>1130</v>
      </c>
      <c r="H644" s="79"/>
      <c r="I644" s="79"/>
    </row>
    <row r="645" spans="1:9" ht="14.25">
      <c r="A645" s="79" t="s">
        <v>2740</v>
      </c>
      <c r="B645" s="79" t="s">
        <v>2741</v>
      </c>
      <c r="C645" s="79">
        <v>591935756</v>
      </c>
      <c r="D645" s="79">
        <v>0</v>
      </c>
      <c r="E645" s="79" t="s">
        <v>1124</v>
      </c>
      <c r="F645" s="79" t="s">
        <v>2537</v>
      </c>
      <c r="G645" s="79" t="s">
        <v>1131</v>
      </c>
      <c r="H645" s="79" t="s">
        <v>1132</v>
      </c>
      <c r="I645" s="79"/>
    </row>
    <row r="646" spans="1:9" ht="14.25">
      <c r="A646" s="79" t="s">
        <v>2740</v>
      </c>
      <c r="B646" s="79" t="s">
        <v>2741</v>
      </c>
      <c r="C646" s="79">
        <v>591935756</v>
      </c>
      <c r="D646" s="79">
        <v>0</v>
      </c>
      <c r="E646" s="79" t="s">
        <v>1124</v>
      </c>
      <c r="F646" s="79" t="s">
        <v>2537</v>
      </c>
      <c r="G646" s="79" t="s">
        <v>2576</v>
      </c>
      <c r="H646" s="79"/>
      <c r="I646" s="79"/>
    </row>
    <row r="647" spans="1:9" ht="14.25">
      <c r="A647" s="79" t="s">
        <v>2742</v>
      </c>
      <c r="B647" s="79" t="s">
        <v>2743</v>
      </c>
      <c r="C647" s="79">
        <v>591936356</v>
      </c>
      <c r="D647" s="79">
        <v>0</v>
      </c>
      <c r="E647" s="79" t="s">
        <v>1124</v>
      </c>
      <c r="F647" s="79" t="s">
        <v>2537</v>
      </c>
      <c r="G647" s="79" t="s">
        <v>2544</v>
      </c>
      <c r="H647" s="79" t="s">
        <v>2545</v>
      </c>
      <c r="I647" s="79"/>
    </row>
    <row r="648" spans="1:9" ht="14.25">
      <c r="A648" s="79" t="s">
        <v>2742</v>
      </c>
      <c r="B648" s="79" t="s">
        <v>2743</v>
      </c>
      <c r="C648" s="79">
        <v>591936356</v>
      </c>
      <c r="D648" s="79">
        <v>0</v>
      </c>
      <c r="E648" s="79" t="s">
        <v>1124</v>
      </c>
      <c r="F648" s="79" t="s">
        <v>2537</v>
      </c>
      <c r="G648" s="79" t="s">
        <v>2579</v>
      </c>
      <c r="H648" s="79"/>
      <c r="I648" s="79"/>
    </row>
    <row r="649" spans="1:9" ht="14.25">
      <c r="A649" s="79" t="s">
        <v>2744</v>
      </c>
      <c r="B649" s="79" t="s">
        <v>2745</v>
      </c>
      <c r="C649" s="79">
        <v>591978956</v>
      </c>
      <c r="D649" s="79">
        <v>0</v>
      </c>
      <c r="E649" s="79" t="s">
        <v>1124</v>
      </c>
      <c r="F649" s="79" t="s">
        <v>2537</v>
      </c>
      <c r="G649" s="79" t="s">
        <v>1130</v>
      </c>
      <c r="H649" s="79"/>
      <c r="I649" s="79"/>
    </row>
    <row r="650" spans="1:9" ht="14.25">
      <c r="A650" s="79" t="s">
        <v>2744</v>
      </c>
      <c r="B650" s="79" t="s">
        <v>2745</v>
      </c>
      <c r="C650" s="79">
        <v>591978956</v>
      </c>
      <c r="D650" s="79">
        <v>0</v>
      </c>
      <c r="E650" s="79" t="s">
        <v>1124</v>
      </c>
      <c r="F650" s="79" t="s">
        <v>2537</v>
      </c>
      <c r="G650" s="79" t="s">
        <v>2107</v>
      </c>
      <c r="H650" s="79"/>
      <c r="I650" s="79"/>
    </row>
    <row r="651" spans="1:9" ht="14.25">
      <c r="A651" s="79" t="s">
        <v>2746</v>
      </c>
      <c r="B651" s="79" t="s">
        <v>2747</v>
      </c>
      <c r="C651" s="79">
        <v>591978959</v>
      </c>
      <c r="D651" s="79">
        <v>0</v>
      </c>
      <c r="E651" s="79" t="s">
        <v>1124</v>
      </c>
      <c r="F651" s="79" t="s">
        <v>2537</v>
      </c>
      <c r="G651" s="79" t="s">
        <v>1130</v>
      </c>
      <c r="H651" s="79"/>
      <c r="I651" s="79"/>
    </row>
    <row r="652" spans="1:9" ht="14.25">
      <c r="A652" s="79" t="s">
        <v>2746</v>
      </c>
      <c r="B652" s="79" t="s">
        <v>2747</v>
      </c>
      <c r="C652" s="79">
        <v>591978959</v>
      </c>
      <c r="D652" s="79">
        <v>0</v>
      </c>
      <c r="E652" s="79" t="s">
        <v>1124</v>
      </c>
      <c r="F652" s="79" t="s">
        <v>2537</v>
      </c>
      <c r="G652" s="79" t="s">
        <v>2570</v>
      </c>
      <c r="H652" s="79" t="s">
        <v>2571</v>
      </c>
      <c r="I652" s="79"/>
    </row>
    <row r="653" spans="1:9" ht="14.25">
      <c r="A653" s="79" t="s">
        <v>2746</v>
      </c>
      <c r="B653" s="79" t="s">
        <v>2747</v>
      </c>
      <c r="C653" s="79">
        <v>591978959</v>
      </c>
      <c r="D653" s="79">
        <v>0</v>
      </c>
      <c r="E653" s="79" t="s">
        <v>1124</v>
      </c>
      <c r="F653" s="79" t="s">
        <v>2537</v>
      </c>
      <c r="G653" s="79" t="s">
        <v>2566</v>
      </c>
      <c r="H653" s="79"/>
      <c r="I653" s="79"/>
    </row>
    <row r="654" spans="1:9" ht="14.25">
      <c r="A654" s="79" t="s">
        <v>2748</v>
      </c>
      <c r="B654" s="79" t="s">
        <v>2749</v>
      </c>
      <c r="C654" s="79">
        <v>591979319</v>
      </c>
      <c r="D654" s="79">
        <v>0</v>
      </c>
      <c r="E654" s="79" t="s">
        <v>1124</v>
      </c>
      <c r="F654" s="79" t="s">
        <v>2537</v>
      </c>
      <c r="G654" s="79" t="s">
        <v>2574</v>
      </c>
      <c r="H654" s="79"/>
      <c r="I654" s="79"/>
    </row>
    <row r="655" spans="1:9" ht="14.25">
      <c r="A655" s="79" t="s">
        <v>2748</v>
      </c>
      <c r="B655" s="79" t="s">
        <v>2749</v>
      </c>
      <c r="C655" s="79">
        <v>591979319</v>
      </c>
      <c r="D655" s="79">
        <v>0</v>
      </c>
      <c r="E655" s="79" t="s">
        <v>1124</v>
      </c>
      <c r="F655" s="79" t="s">
        <v>2537</v>
      </c>
      <c r="G655" s="79" t="s">
        <v>2575</v>
      </c>
      <c r="H655" s="79"/>
      <c r="I655" s="79"/>
    </row>
    <row r="656" spans="1:9" ht="14.25">
      <c r="A656" s="79" t="s">
        <v>2748</v>
      </c>
      <c r="B656" s="79" t="s">
        <v>2749</v>
      </c>
      <c r="C656" s="79">
        <v>591979319</v>
      </c>
      <c r="D656" s="79">
        <v>0</v>
      </c>
      <c r="E656" s="79" t="s">
        <v>1124</v>
      </c>
      <c r="F656" s="79" t="s">
        <v>2537</v>
      </c>
      <c r="G656" s="79" t="s">
        <v>1131</v>
      </c>
      <c r="H656" s="79" t="s">
        <v>1132</v>
      </c>
      <c r="I656" s="79"/>
    </row>
    <row r="657" spans="1:9" ht="14.25">
      <c r="A657" s="79" t="s">
        <v>2748</v>
      </c>
      <c r="B657" s="79" t="s">
        <v>2749</v>
      </c>
      <c r="C657" s="79">
        <v>591979319</v>
      </c>
      <c r="D657" s="79">
        <v>0</v>
      </c>
      <c r="E657" s="79" t="s">
        <v>1124</v>
      </c>
      <c r="F657" s="79" t="s">
        <v>2537</v>
      </c>
      <c r="G657" s="79" t="s">
        <v>2576</v>
      </c>
      <c r="H657" s="79"/>
      <c r="I657" s="79"/>
    </row>
    <row r="658" spans="1:9" ht="14.25">
      <c r="A658" s="79" t="s">
        <v>2750</v>
      </c>
      <c r="B658" s="79" t="s">
        <v>2751</v>
      </c>
      <c r="C658" s="79">
        <v>591979919</v>
      </c>
      <c r="D658" s="79">
        <v>0</v>
      </c>
      <c r="E658" s="79" t="s">
        <v>1124</v>
      </c>
      <c r="F658" s="79" t="s">
        <v>2537</v>
      </c>
      <c r="G658" s="79" t="s">
        <v>2544</v>
      </c>
      <c r="H658" s="79" t="s">
        <v>2545</v>
      </c>
      <c r="I658" s="79"/>
    </row>
    <row r="659" spans="1:9" ht="14.25">
      <c r="A659" s="79" t="s">
        <v>2750</v>
      </c>
      <c r="B659" s="79" t="s">
        <v>2751</v>
      </c>
      <c r="C659" s="79">
        <v>591979919</v>
      </c>
      <c r="D659" s="79">
        <v>0</v>
      </c>
      <c r="E659" s="79" t="s">
        <v>1124</v>
      </c>
      <c r="F659" s="79" t="s">
        <v>2537</v>
      </c>
      <c r="G659" s="79" t="s">
        <v>2579</v>
      </c>
      <c r="H659" s="79"/>
      <c r="I659" s="79"/>
    </row>
    <row r="660" spans="1:9" ht="14.25">
      <c r="A660" s="79" t="s">
        <v>2752</v>
      </c>
      <c r="B660" s="79" t="s">
        <v>2753</v>
      </c>
      <c r="C660" s="79">
        <v>592022519</v>
      </c>
      <c r="D660" s="79">
        <v>0</v>
      </c>
      <c r="E660" s="79" t="s">
        <v>1124</v>
      </c>
      <c r="F660" s="79" t="s">
        <v>2537</v>
      </c>
      <c r="G660" s="79" t="s">
        <v>1130</v>
      </c>
      <c r="H660" s="79"/>
      <c r="I660" s="79"/>
    </row>
    <row r="661" spans="1:9" ht="14.25">
      <c r="A661" s="79" t="s">
        <v>2752</v>
      </c>
      <c r="B661" s="79" t="s">
        <v>2753</v>
      </c>
      <c r="C661" s="79">
        <v>592022519</v>
      </c>
      <c r="D661" s="79">
        <v>0</v>
      </c>
      <c r="E661" s="79" t="s">
        <v>1124</v>
      </c>
      <c r="F661" s="79" t="s">
        <v>2537</v>
      </c>
      <c r="G661" s="79" t="s">
        <v>1131</v>
      </c>
      <c r="H661" s="79" t="s">
        <v>1132</v>
      </c>
      <c r="I661" s="79"/>
    </row>
    <row r="662" spans="1:9" ht="14.25">
      <c r="A662" s="79" t="s">
        <v>2752</v>
      </c>
      <c r="B662" s="79" t="s">
        <v>2753</v>
      </c>
      <c r="C662" s="79">
        <v>592022519</v>
      </c>
      <c r="D662" s="79">
        <v>0</v>
      </c>
      <c r="E662" s="79" t="s">
        <v>1124</v>
      </c>
      <c r="F662" s="79" t="s">
        <v>2537</v>
      </c>
      <c r="G662" s="79" t="s">
        <v>2576</v>
      </c>
      <c r="H662" s="79"/>
      <c r="I662" s="79"/>
    </row>
    <row r="663" spans="1:9" ht="14.25">
      <c r="A663" s="79" t="s">
        <v>2754</v>
      </c>
      <c r="B663" s="79" t="s">
        <v>2755</v>
      </c>
      <c r="C663" s="79">
        <v>592023119</v>
      </c>
      <c r="D663" s="79">
        <v>0</v>
      </c>
      <c r="E663" s="79" t="s">
        <v>1124</v>
      </c>
      <c r="F663" s="79" t="s">
        <v>2537</v>
      </c>
      <c r="G663" s="79" t="s">
        <v>2544</v>
      </c>
      <c r="H663" s="79" t="s">
        <v>2545</v>
      </c>
      <c r="I663" s="79"/>
    </row>
    <row r="664" spans="1:9" ht="14.25">
      <c r="A664" s="79" t="s">
        <v>2754</v>
      </c>
      <c r="B664" s="79" t="s">
        <v>2755</v>
      </c>
      <c r="C664" s="79">
        <v>592023119</v>
      </c>
      <c r="D664" s="79">
        <v>0</v>
      </c>
      <c r="E664" s="79" t="s">
        <v>1124</v>
      </c>
      <c r="F664" s="79" t="s">
        <v>2537</v>
      </c>
      <c r="G664" s="79" t="s">
        <v>2579</v>
      </c>
      <c r="H664" s="79"/>
      <c r="I664" s="79"/>
    </row>
    <row r="665" spans="1:9" ht="14.25">
      <c r="A665" s="79" t="s">
        <v>2756</v>
      </c>
      <c r="B665" s="79" t="s">
        <v>2757</v>
      </c>
      <c r="C665" s="79">
        <v>592065719</v>
      </c>
      <c r="D665" s="79">
        <v>0</v>
      </c>
      <c r="E665" s="79" t="s">
        <v>1124</v>
      </c>
      <c r="F665" s="79" t="s">
        <v>2537</v>
      </c>
      <c r="G665" s="79" t="s">
        <v>1130</v>
      </c>
      <c r="H665" s="79"/>
      <c r="I665" s="79"/>
    </row>
    <row r="666" spans="1:9" ht="14.25">
      <c r="A666" s="79" t="s">
        <v>2756</v>
      </c>
      <c r="B666" s="79" t="s">
        <v>2757</v>
      </c>
      <c r="C666" s="79">
        <v>592065719</v>
      </c>
      <c r="D666" s="79">
        <v>0</v>
      </c>
      <c r="E666" s="79" t="s">
        <v>1124</v>
      </c>
      <c r="F666" s="79" t="s">
        <v>2537</v>
      </c>
      <c r="G666" s="79" t="s">
        <v>1131</v>
      </c>
      <c r="H666" s="79" t="s">
        <v>1132</v>
      </c>
      <c r="I666" s="79"/>
    </row>
    <row r="667" spans="1:9" ht="14.25">
      <c r="A667" s="79" t="s">
        <v>2756</v>
      </c>
      <c r="B667" s="79" t="s">
        <v>2757</v>
      </c>
      <c r="C667" s="79">
        <v>592065719</v>
      </c>
      <c r="D667" s="79">
        <v>0</v>
      </c>
      <c r="E667" s="79" t="s">
        <v>1124</v>
      </c>
      <c r="F667" s="79" t="s">
        <v>2537</v>
      </c>
      <c r="G667" s="79" t="s">
        <v>2576</v>
      </c>
      <c r="H667" s="79"/>
      <c r="I667" s="79"/>
    </row>
    <row r="668" spans="1:9" ht="14.25">
      <c r="A668" s="79" t="s">
        <v>2758</v>
      </c>
      <c r="B668" s="79" t="s">
        <v>2759</v>
      </c>
      <c r="C668" s="79">
        <v>592066319</v>
      </c>
      <c r="D668" s="79">
        <v>0</v>
      </c>
      <c r="E668" s="79" t="s">
        <v>1124</v>
      </c>
      <c r="F668" s="79" t="s">
        <v>2537</v>
      </c>
      <c r="G668" s="79" t="s">
        <v>2544</v>
      </c>
      <c r="H668" s="79" t="s">
        <v>2545</v>
      </c>
      <c r="I668" s="79"/>
    </row>
    <row r="669" spans="1:9" ht="14.25">
      <c r="A669" s="79" t="s">
        <v>2758</v>
      </c>
      <c r="B669" s="79" t="s">
        <v>2759</v>
      </c>
      <c r="C669" s="79">
        <v>592066319</v>
      </c>
      <c r="D669" s="79">
        <v>0</v>
      </c>
      <c r="E669" s="79" t="s">
        <v>1124</v>
      </c>
      <c r="F669" s="79" t="s">
        <v>2537</v>
      </c>
      <c r="G669" s="79" t="s">
        <v>2579</v>
      </c>
      <c r="H669" s="79"/>
      <c r="I669" s="79"/>
    </row>
    <row r="670" spans="1:9" ht="14.25">
      <c r="A670" s="79" t="s">
        <v>2760</v>
      </c>
      <c r="B670" s="79" t="s">
        <v>2761</v>
      </c>
      <c r="C670" s="79">
        <v>592108919</v>
      </c>
      <c r="D670" s="79">
        <v>0</v>
      </c>
      <c r="E670" s="79" t="s">
        <v>1124</v>
      </c>
      <c r="F670" s="79" t="s">
        <v>2537</v>
      </c>
      <c r="G670" s="79" t="s">
        <v>1130</v>
      </c>
      <c r="H670" s="79"/>
      <c r="I670" s="79"/>
    </row>
    <row r="671" spans="1:9" ht="14.25">
      <c r="A671" s="79" t="s">
        <v>2760</v>
      </c>
      <c r="B671" s="79" t="s">
        <v>2761</v>
      </c>
      <c r="C671" s="79">
        <v>592108919</v>
      </c>
      <c r="D671" s="79">
        <v>0</v>
      </c>
      <c r="E671" s="79" t="s">
        <v>1124</v>
      </c>
      <c r="F671" s="79" t="s">
        <v>2537</v>
      </c>
      <c r="G671" s="79" t="s">
        <v>1131</v>
      </c>
      <c r="H671" s="79" t="s">
        <v>1132</v>
      </c>
      <c r="I671" s="79"/>
    </row>
    <row r="672" spans="1:9" ht="14.25">
      <c r="A672" s="79" t="s">
        <v>2760</v>
      </c>
      <c r="B672" s="79" t="s">
        <v>2761</v>
      </c>
      <c r="C672" s="79">
        <v>592108919</v>
      </c>
      <c r="D672" s="79">
        <v>0</v>
      </c>
      <c r="E672" s="79" t="s">
        <v>1124</v>
      </c>
      <c r="F672" s="79" t="s">
        <v>2537</v>
      </c>
      <c r="G672" s="79" t="s">
        <v>2576</v>
      </c>
      <c r="H672" s="79"/>
      <c r="I672" s="79"/>
    </row>
    <row r="673" spans="1:9" ht="14.25">
      <c r="A673" s="79" t="s">
        <v>2762</v>
      </c>
      <c r="B673" s="79" t="s">
        <v>2763</v>
      </c>
      <c r="C673" s="79">
        <v>592109519</v>
      </c>
      <c r="D673" s="79">
        <v>0</v>
      </c>
      <c r="E673" s="79" t="s">
        <v>1124</v>
      </c>
      <c r="F673" s="79" t="s">
        <v>2537</v>
      </c>
      <c r="G673" s="79" t="s">
        <v>2544</v>
      </c>
      <c r="H673" s="79" t="s">
        <v>2545</v>
      </c>
      <c r="I673" s="79"/>
    </row>
    <row r="674" spans="1:9" ht="14.25">
      <c r="A674" s="79" t="s">
        <v>2762</v>
      </c>
      <c r="B674" s="79" t="s">
        <v>2763</v>
      </c>
      <c r="C674" s="79">
        <v>592109519</v>
      </c>
      <c r="D674" s="79">
        <v>0</v>
      </c>
      <c r="E674" s="79" t="s">
        <v>1124</v>
      </c>
      <c r="F674" s="79" t="s">
        <v>2537</v>
      </c>
      <c r="G674" s="79" t="s">
        <v>2579</v>
      </c>
      <c r="H674" s="79"/>
      <c r="I674" s="79"/>
    </row>
    <row r="675" spans="1:9" ht="14.25">
      <c r="A675" s="79" t="s">
        <v>2764</v>
      </c>
      <c r="B675" s="79" t="s">
        <v>2765</v>
      </c>
      <c r="C675" s="79">
        <v>592152119</v>
      </c>
      <c r="D675" s="79">
        <v>0</v>
      </c>
      <c r="E675" s="79" t="s">
        <v>1124</v>
      </c>
      <c r="F675" s="79" t="s">
        <v>2537</v>
      </c>
      <c r="G675" s="79" t="s">
        <v>1130</v>
      </c>
      <c r="H675" s="79"/>
      <c r="I675" s="79"/>
    </row>
    <row r="676" spans="1:9" ht="14.25">
      <c r="A676" s="79" t="s">
        <v>2764</v>
      </c>
      <c r="B676" s="79" t="s">
        <v>2765</v>
      </c>
      <c r="C676" s="79">
        <v>592152119</v>
      </c>
      <c r="D676" s="79">
        <v>0</v>
      </c>
      <c r="E676" s="79" t="s">
        <v>1124</v>
      </c>
      <c r="F676" s="79" t="s">
        <v>2537</v>
      </c>
      <c r="G676" s="79" t="s">
        <v>1131</v>
      </c>
      <c r="H676" s="79" t="s">
        <v>1132</v>
      </c>
      <c r="I676" s="79"/>
    </row>
    <row r="677" spans="1:9" ht="14.25">
      <c r="A677" s="79" t="s">
        <v>2764</v>
      </c>
      <c r="B677" s="79" t="s">
        <v>2765</v>
      </c>
      <c r="C677" s="79">
        <v>592152119</v>
      </c>
      <c r="D677" s="79">
        <v>0</v>
      </c>
      <c r="E677" s="79" t="s">
        <v>1124</v>
      </c>
      <c r="F677" s="79" t="s">
        <v>2537</v>
      </c>
      <c r="G677" s="79" t="s">
        <v>2576</v>
      </c>
      <c r="H677" s="79"/>
      <c r="I677" s="79"/>
    </row>
    <row r="678" spans="1:9" ht="14.25">
      <c r="A678" s="79" t="s">
        <v>2766</v>
      </c>
      <c r="B678" s="79" t="s">
        <v>2767</v>
      </c>
      <c r="C678" s="79">
        <v>592152719</v>
      </c>
      <c r="D678" s="79">
        <v>0</v>
      </c>
      <c r="E678" s="79" t="s">
        <v>1124</v>
      </c>
      <c r="F678" s="79" t="s">
        <v>2537</v>
      </c>
      <c r="G678" s="79" t="s">
        <v>2544</v>
      </c>
      <c r="H678" s="79" t="s">
        <v>2545</v>
      </c>
      <c r="I678" s="79"/>
    </row>
    <row r="679" spans="1:9" ht="14.25">
      <c r="A679" s="79" t="s">
        <v>2766</v>
      </c>
      <c r="B679" s="79" t="s">
        <v>2767</v>
      </c>
      <c r="C679" s="79">
        <v>592152719</v>
      </c>
      <c r="D679" s="79">
        <v>0</v>
      </c>
      <c r="E679" s="79" t="s">
        <v>1124</v>
      </c>
      <c r="F679" s="79" t="s">
        <v>2537</v>
      </c>
      <c r="G679" s="79" t="s">
        <v>2579</v>
      </c>
      <c r="H679" s="79"/>
      <c r="I679" s="79"/>
    </row>
    <row r="680" spans="1:9" ht="14.25">
      <c r="A680" s="79" t="s">
        <v>2768</v>
      </c>
      <c r="B680" s="79" t="s">
        <v>2769</v>
      </c>
      <c r="C680" s="79">
        <v>592195319</v>
      </c>
      <c r="D680" s="79">
        <v>0</v>
      </c>
      <c r="E680" s="79" t="s">
        <v>1124</v>
      </c>
      <c r="F680" s="79" t="s">
        <v>2537</v>
      </c>
      <c r="G680" s="79" t="s">
        <v>1130</v>
      </c>
      <c r="H680" s="79"/>
      <c r="I680" s="79"/>
    </row>
    <row r="681" spans="1:9" ht="14.25">
      <c r="A681" s="79" t="s">
        <v>2768</v>
      </c>
      <c r="B681" s="79" t="s">
        <v>2769</v>
      </c>
      <c r="C681" s="79">
        <v>592195319</v>
      </c>
      <c r="D681" s="79">
        <v>0</v>
      </c>
      <c r="E681" s="79" t="s">
        <v>1124</v>
      </c>
      <c r="F681" s="79" t="s">
        <v>2537</v>
      </c>
      <c r="G681" s="79" t="s">
        <v>1131</v>
      </c>
      <c r="H681" s="79" t="s">
        <v>1132</v>
      </c>
      <c r="I681" s="79"/>
    </row>
    <row r="682" spans="1:9" ht="14.25">
      <c r="A682" s="79" t="s">
        <v>2768</v>
      </c>
      <c r="B682" s="79" t="s">
        <v>2769</v>
      </c>
      <c r="C682" s="79">
        <v>592195319</v>
      </c>
      <c r="D682" s="79">
        <v>0</v>
      </c>
      <c r="E682" s="79" t="s">
        <v>1124</v>
      </c>
      <c r="F682" s="79" t="s">
        <v>2537</v>
      </c>
      <c r="G682" s="79" t="s">
        <v>2576</v>
      </c>
      <c r="H682" s="79"/>
      <c r="I682" s="79"/>
    </row>
    <row r="683" spans="1:9" ht="14.25">
      <c r="A683" s="79" t="s">
        <v>2770</v>
      </c>
      <c r="B683" s="79" t="s">
        <v>2771</v>
      </c>
      <c r="C683" s="79">
        <v>592195919</v>
      </c>
      <c r="D683" s="79">
        <v>0</v>
      </c>
      <c r="E683" s="79" t="s">
        <v>1124</v>
      </c>
      <c r="F683" s="79" t="s">
        <v>2537</v>
      </c>
      <c r="G683" s="79" t="s">
        <v>2544</v>
      </c>
      <c r="H683" s="79" t="s">
        <v>2545</v>
      </c>
      <c r="I683" s="79"/>
    </row>
    <row r="684" spans="1:9" ht="14.25">
      <c r="A684" s="79" t="s">
        <v>2770</v>
      </c>
      <c r="B684" s="79" t="s">
        <v>2771</v>
      </c>
      <c r="C684" s="79">
        <v>592195919</v>
      </c>
      <c r="D684" s="79">
        <v>0</v>
      </c>
      <c r="E684" s="79" t="s">
        <v>1124</v>
      </c>
      <c r="F684" s="79" t="s">
        <v>2537</v>
      </c>
      <c r="G684" s="79" t="s">
        <v>2579</v>
      </c>
      <c r="H684" s="79"/>
      <c r="I684" s="79"/>
    </row>
    <row r="685" spans="1:9" ht="14.25">
      <c r="A685" s="79" t="s">
        <v>2772</v>
      </c>
      <c r="B685" s="79" t="s">
        <v>2773</v>
      </c>
      <c r="C685" s="79">
        <v>592238519</v>
      </c>
      <c r="D685" s="79">
        <v>0</v>
      </c>
      <c r="E685" s="79" t="s">
        <v>1124</v>
      </c>
      <c r="F685" s="79" t="s">
        <v>2537</v>
      </c>
      <c r="G685" s="79" t="s">
        <v>1130</v>
      </c>
      <c r="H685" s="79"/>
      <c r="I685" s="79"/>
    </row>
    <row r="686" spans="1:9" ht="14.25">
      <c r="A686" s="79" t="s">
        <v>2772</v>
      </c>
      <c r="B686" s="79" t="s">
        <v>2773</v>
      </c>
      <c r="C686" s="79">
        <v>592238519</v>
      </c>
      <c r="D686" s="79">
        <v>0</v>
      </c>
      <c r="E686" s="79" t="s">
        <v>1124</v>
      </c>
      <c r="F686" s="79" t="s">
        <v>2537</v>
      </c>
      <c r="G686" s="79" t="s">
        <v>1131</v>
      </c>
      <c r="H686" s="79" t="s">
        <v>1132</v>
      </c>
      <c r="I686" s="79"/>
    </row>
    <row r="687" spans="1:9" ht="14.25">
      <c r="A687" s="79" t="s">
        <v>2772</v>
      </c>
      <c r="B687" s="79" t="s">
        <v>2773</v>
      </c>
      <c r="C687" s="79">
        <v>592238519</v>
      </c>
      <c r="D687" s="79">
        <v>0</v>
      </c>
      <c r="E687" s="79" t="s">
        <v>1124</v>
      </c>
      <c r="F687" s="79" t="s">
        <v>2537</v>
      </c>
      <c r="G687" s="79" t="s">
        <v>2576</v>
      </c>
      <c r="H687" s="79"/>
      <c r="I687" s="79"/>
    </row>
    <row r="688" spans="1:9" ht="14.25">
      <c r="A688" s="79" t="s">
        <v>2774</v>
      </c>
      <c r="B688" s="79" t="s">
        <v>2775</v>
      </c>
      <c r="C688" s="79">
        <v>592239119</v>
      </c>
      <c r="D688" s="79">
        <v>0</v>
      </c>
      <c r="E688" s="79" t="s">
        <v>1124</v>
      </c>
      <c r="F688" s="79" t="s">
        <v>2537</v>
      </c>
      <c r="G688" s="79" t="s">
        <v>2544</v>
      </c>
      <c r="H688" s="79" t="s">
        <v>2545</v>
      </c>
      <c r="I688" s="79"/>
    </row>
    <row r="689" spans="1:9" ht="14.25">
      <c r="A689" s="79" t="s">
        <v>2774</v>
      </c>
      <c r="B689" s="79" t="s">
        <v>2775</v>
      </c>
      <c r="C689" s="79">
        <v>592239119</v>
      </c>
      <c r="D689" s="79">
        <v>0</v>
      </c>
      <c r="E689" s="79" t="s">
        <v>1124</v>
      </c>
      <c r="F689" s="79" t="s">
        <v>2537</v>
      </c>
      <c r="G689" s="79" t="s">
        <v>2579</v>
      </c>
      <c r="H689" s="79"/>
      <c r="I689" s="79"/>
    </row>
    <row r="690" spans="1:9" ht="14.25">
      <c r="A690" s="79" t="s">
        <v>2776</v>
      </c>
      <c r="B690" s="79" t="s">
        <v>2777</v>
      </c>
      <c r="C690" s="79">
        <v>592281719</v>
      </c>
      <c r="D690" s="79">
        <v>0</v>
      </c>
      <c r="E690" s="79" t="s">
        <v>1124</v>
      </c>
      <c r="F690" s="79" t="s">
        <v>2537</v>
      </c>
      <c r="G690" s="79" t="s">
        <v>1130</v>
      </c>
      <c r="H690" s="79"/>
      <c r="I690" s="79"/>
    </row>
    <row r="691" spans="1:9" ht="14.25">
      <c r="A691" s="79" t="s">
        <v>2776</v>
      </c>
      <c r="B691" s="79" t="s">
        <v>2777</v>
      </c>
      <c r="C691" s="79">
        <v>592281719</v>
      </c>
      <c r="D691" s="79">
        <v>0</v>
      </c>
      <c r="E691" s="79" t="s">
        <v>1124</v>
      </c>
      <c r="F691" s="79" t="s">
        <v>2537</v>
      </c>
      <c r="G691" s="79" t="s">
        <v>1131</v>
      </c>
      <c r="H691" s="79" t="s">
        <v>1132</v>
      </c>
      <c r="I691" s="79"/>
    </row>
    <row r="692" spans="1:9" ht="14.25">
      <c r="A692" s="79" t="s">
        <v>2776</v>
      </c>
      <c r="B692" s="79" t="s">
        <v>2777</v>
      </c>
      <c r="C692" s="79">
        <v>592281719</v>
      </c>
      <c r="D692" s="79">
        <v>0</v>
      </c>
      <c r="E692" s="79" t="s">
        <v>1124</v>
      </c>
      <c r="F692" s="79" t="s">
        <v>2537</v>
      </c>
      <c r="G692" s="79" t="s">
        <v>2576</v>
      </c>
      <c r="H692" s="79"/>
      <c r="I692" s="79"/>
    </row>
    <row r="693" spans="1:9" ht="14.25">
      <c r="A693" s="79" t="s">
        <v>2778</v>
      </c>
      <c r="B693" s="79" t="s">
        <v>2779</v>
      </c>
      <c r="C693" s="79">
        <v>592282319</v>
      </c>
      <c r="D693" s="79">
        <v>0</v>
      </c>
      <c r="E693" s="79" t="s">
        <v>1124</v>
      </c>
      <c r="F693" s="79" t="s">
        <v>2537</v>
      </c>
      <c r="G693" s="79" t="s">
        <v>2544</v>
      </c>
      <c r="H693" s="79" t="s">
        <v>2545</v>
      </c>
      <c r="I693" s="79"/>
    </row>
    <row r="694" spans="1:9" ht="14.25">
      <c r="A694" s="79" t="s">
        <v>2778</v>
      </c>
      <c r="B694" s="79" t="s">
        <v>2779</v>
      </c>
      <c r="C694" s="79">
        <v>592282319</v>
      </c>
      <c r="D694" s="79">
        <v>0</v>
      </c>
      <c r="E694" s="79" t="s">
        <v>1124</v>
      </c>
      <c r="F694" s="79" t="s">
        <v>2537</v>
      </c>
      <c r="G694" s="79" t="s">
        <v>2579</v>
      </c>
      <c r="H694" s="79"/>
      <c r="I694" s="79"/>
    </row>
    <row r="695" spans="1:9" ht="14.25">
      <c r="A695" s="79" t="s">
        <v>2780</v>
      </c>
      <c r="B695" s="79" t="s">
        <v>2781</v>
      </c>
      <c r="C695" s="79">
        <v>592324919</v>
      </c>
      <c r="D695" s="79">
        <v>0</v>
      </c>
      <c r="E695" s="79" t="s">
        <v>1124</v>
      </c>
      <c r="F695" s="79" t="s">
        <v>2537</v>
      </c>
      <c r="G695" s="79" t="s">
        <v>1130</v>
      </c>
      <c r="H695" s="79"/>
      <c r="I695" s="79"/>
    </row>
    <row r="696" spans="1:9" ht="14.25">
      <c r="A696" s="79" t="s">
        <v>2780</v>
      </c>
      <c r="B696" s="79" t="s">
        <v>2781</v>
      </c>
      <c r="C696" s="79">
        <v>592324919</v>
      </c>
      <c r="D696" s="79">
        <v>0</v>
      </c>
      <c r="E696" s="79" t="s">
        <v>1124</v>
      </c>
      <c r="F696" s="79" t="s">
        <v>2537</v>
      </c>
      <c r="G696" s="79" t="s">
        <v>1131</v>
      </c>
      <c r="H696" s="79" t="s">
        <v>1132</v>
      </c>
      <c r="I696" s="79"/>
    </row>
    <row r="697" spans="1:9" ht="14.25">
      <c r="A697" s="79" t="s">
        <v>2780</v>
      </c>
      <c r="B697" s="79" t="s">
        <v>2781</v>
      </c>
      <c r="C697" s="79">
        <v>592324919</v>
      </c>
      <c r="D697" s="79">
        <v>0</v>
      </c>
      <c r="E697" s="79" t="s">
        <v>1124</v>
      </c>
      <c r="F697" s="79" t="s">
        <v>2537</v>
      </c>
      <c r="G697" s="79" t="s">
        <v>2576</v>
      </c>
      <c r="H697" s="79"/>
      <c r="I697" s="79"/>
    </row>
    <row r="698" spans="1:9" ht="14.25">
      <c r="A698" s="79" t="s">
        <v>2782</v>
      </c>
      <c r="B698" s="79" t="s">
        <v>2783</v>
      </c>
      <c r="C698" s="79">
        <v>592325519</v>
      </c>
      <c r="D698" s="79">
        <v>0</v>
      </c>
      <c r="E698" s="79" t="s">
        <v>1124</v>
      </c>
      <c r="F698" s="79" t="s">
        <v>2537</v>
      </c>
      <c r="G698" s="79" t="s">
        <v>2544</v>
      </c>
      <c r="H698" s="79" t="s">
        <v>2545</v>
      </c>
      <c r="I698" s="79"/>
    </row>
    <row r="699" spans="1:9" ht="14.25">
      <c r="A699" s="79" t="s">
        <v>2782</v>
      </c>
      <c r="B699" s="79" t="s">
        <v>2783</v>
      </c>
      <c r="C699" s="79">
        <v>592325519</v>
      </c>
      <c r="D699" s="79">
        <v>0</v>
      </c>
      <c r="E699" s="79" t="s">
        <v>1124</v>
      </c>
      <c r="F699" s="79" t="s">
        <v>2537</v>
      </c>
      <c r="G699" s="79" t="s">
        <v>2579</v>
      </c>
      <c r="H699" s="79"/>
      <c r="I699" s="79"/>
    </row>
    <row r="700" spans="1:9" ht="14.25">
      <c r="A700" s="79" t="s">
        <v>2784</v>
      </c>
      <c r="B700" s="79" t="s">
        <v>2785</v>
      </c>
      <c r="C700" s="79">
        <v>592368119</v>
      </c>
      <c r="D700" s="79">
        <v>0</v>
      </c>
      <c r="E700" s="79" t="s">
        <v>1124</v>
      </c>
      <c r="F700" s="79" t="s">
        <v>2537</v>
      </c>
      <c r="G700" s="79" t="s">
        <v>1130</v>
      </c>
      <c r="H700" s="79"/>
      <c r="I700" s="79"/>
    </row>
    <row r="701" spans="1:9" ht="14.25">
      <c r="A701" s="79" t="s">
        <v>2784</v>
      </c>
      <c r="B701" s="79" t="s">
        <v>2785</v>
      </c>
      <c r="C701" s="79">
        <v>592368119</v>
      </c>
      <c r="D701" s="79">
        <v>0</v>
      </c>
      <c r="E701" s="79" t="s">
        <v>1124</v>
      </c>
      <c r="F701" s="79" t="s">
        <v>2537</v>
      </c>
      <c r="G701" s="79" t="s">
        <v>1131</v>
      </c>
      <c r="H701" s="79" t="s">
        <v>1132</v>
      </c>
      <c r="I701" s="79"/>
    </row>
    <row r="702" spans="1:9" ht="14.25">
      <c r="A702" s="79" t="s">
        <v>2784</v>
      </c>
      <c r="B702" s="79" t="s">
        <v>2785</v>
      </c>
      <c r="C702" s="79">
        <v>592368119</v>
      </c>
      <c r="D702" s="79">
        <v>0</v>
      </c>
      <c r="E702" s="79" t="s">
        <v>1124</v>
      </c>
      <c r="F702" s="79" t="s">
        <v>2537</v>
      </c>
      <c r="G702" s="79" t="s">
        <v>2576</v>
      </c>
      <c r="H702" s="79"/>
      <c r="I702" s="79"/>
    </row>
    <row r="703" spans="1:9" ht="14.25">
      <c r="A703" s="79" t="s">
        <v>2786</v>
      </c>
      <c r="B703" s="79" t="s">
        <v>2787</v>
      </c>
      <c r="C703" s="79">
        <v>592368719</v>
      </c>
      <c r="D703" s="79">
        <v>0</v>
      </c>
      <c r="E703" s="79" t="s">
        <v>1124</v>
      </c>
      <c r="F703" s="79" t="s">
        <v>2537</v>
      </c>
      <c r="G703" s="79" t="s">
        <v>2544</v>
      </c>
      <c r="H703" s="79" t="s">
        <v>2545</v>
      </c>
      <c r="I703" s="79"/>
    </row>
    <row r="704" spans="1:9" ht="14.25">
      <c r="A704" s="79" t="s">
        <v>2786</v>
      </c>
      <c r="B704" s="79" t="s">
        <v>2787</v>
      </c>
      <c r="C704" s="79">
        <v>592368719</v>
      </c>
      <c r="D704" s="79">
        <v>0</v>
      </c>
      <c r="E704" s="79" t="s">
        <v>1124</v>
      </c>
      <c r="F704" s="79" t="s">
        <v>2537</v>
      </c>
      <c r="G704" s="79" t="s">
        <v>2579</v>
      </c>
      <c r="H704" s="79"/>
      <c r="I704" s="79"/>
    </row>
    <row r="705" spans="1:9" ht="14.25">
      <c r="A705" s="79" t="s">
        <v>2788</v>
      </c>
      <c r="B705" s="79" t="s">
        <v>2789</v>
      </c>
      <c r="C705" s="79">
        <v>592411319</v>
      </c>
      <c r="D705" s="79">
        <v>0</v>
      </c>
      <c r="E705" s="79" t="s">
        <v>1124</v>
      </c>
      <c r="F705" s="79" t="s">
        <v>2537</v>
      </c>
      <c r="G705" s="79" t="s">
        <v>1130</v>
      </c>
      <c r="H705" s="79"/>
      <c r="I705" s="79"/>
    </row>
    <row r="706" spans="1:9" ht="14.25">
      <c r="A706" s="79" t="s">
        <v>2788</v>
      </c>
      <c r="B706" s="79" t="s">
        <v>2789</v>
      </c>
      <c r="C706" s="79">
        <v>592411319</v>
      </c>
      <c r="D706" s="79">
        <v>0</v>
      </c>
      <c r="E706" s="79" t="s">
        <v>1124</v>
      </c>
      <c r="F706" s="79" t="s">
        <v>2537</v>
      </c>
      <c r="G706" s="79" t="s">
        <v>1131</v>
      </c>
      <c r="H706" s="79" t="s">
        <v>1132</v>
      </c>
      <c r="I706" s="79"/>
    </row>
    <row r="707" spans="1:9" ht="14.25">
      <c r="A707" s="79" t="s">
        <v>2788</v>
      </c>
      <c r="B707" s="79" t="s">
        <v>2789</v>
      </c>
      <c r="C707" s="79">
        <v>592411319</v>
      </c>
      <c r="D707" s="79">
        <v>0</v>
      </c>
      <c r="E707" s="79" t="s">
        <v>1124</v>
      </c>
      <c r="F707" s="79" t="s">
        <v>2537</v>
      </c>
      <c r="G707" s="79" t="s">
        <v>2576</v>
      </c>
      <c r="H707" s="79"/>
      <c r="I707" s="79"/>
    </row>
    <row r="708" spans="1:9" ht="14.25">
      <c r="A708" s="79" t="s">
        <v>2790</v>
      </c>
      <c r="B708" s="79" t="s">
        <v>2791</v>
      </c>
      <c r="C708" s="79">
        <v>592411919</v>
      </c>
      <c r="D708" s="79">
        <v>0</v>
      </c>
      <c r="E708" s="79" t="s">
        <v>1124</v>
      </c>
      <c r="F708" s="79" t="s">
        <v>2537</v>
      </c>
      <c r="G708" s="79" t="s">
        <v>2544</v>
      </c>
      <c r="H708" s="79" t="s">
        <v>2545</v>
      </c>
      <c r="I708" s="79"/>
    </row>
    <row r="709" spans="1:9" ht="14.25">
      <c r="A709" s="79" t="s">
        <v>2790</v>
      </c>
      <c r="B709" s="79" t="s">
        <v>2791</v>
      </c>
      <c r="C709" s="79">
        <v>592411919</v>
      </c>
      <c r="D709" s="79">
        <v>0</v>
      </c>
      <c r="E709" s="79" t="s">
        <v>1124</v>
      </c>
      <c r="F709" s="79" t="s">
        <v>2537</v>
      </c>
      <c r="G709" s="79" t="s">
        <v>2579</v>
      </c>
      <c r="H709" s="79"/>
      <c r="I709" s="79"/>
    </row>
    <row r="710" spans="1:9" ht="14.25">
      <c r="A710" s="79" t="s">
        <v>2792</v>
      </c>
      <c r="B710" s="79" t="s">
        <v>2793</v>
      </c>
      <c r="C710" s="79">
        <v>592454519</v>
      </c>
      <c r="D710" s="79">
        <v>0</v>
      </c>
      <c r="E710" s="79" t="s">
        <v>1124</v>
      </c>
      <c r="F710" s="79" t="s">
        <v>2537</v>
      </c>
      <c r="G710" s="79" t="s">
        <v>1130</v>
      </c>
      <c r="H710" s="79"/>
      <c r="I710" s="79"/>
    </row>
    <row r="711" spans="1:9" ht="14.25">
      <c r="A711" s="79" t="s">
        <v>2792</v>
      </c>
      <c r="B711" s="79" t="s">
        <v>2793</v>
      </c>
      <c r="C711" s="79">
        <v>592454519</v>
      </c>
      <c r="D711" s="79">
        <v>0</v>
      </c>
      <c r="E711" s="79" t="s">
        <v>1124</v>
      </c>
      <c r="F711" s="79" t="s">
        <v>2537</v>
      </c>
      <c r="G711" s="79" t="s">
        <v>1131</v>
      </c>
      <c r="H711" s="79" t="s">
        <v>1132</v>
      </c>
      <c r="I711" s="79"/>
    </row>
    <row r="712" spans="1:9" ht="14.25">
      <c r="A712" s="79" t="s">
        <v>2792</v>
      </c>
      <c r="B712" s="79" t="s">
        <v>2793</v>
      </c>
      <c r="C712" s="79">
        <v>592454519</v>
      </c>
      <c r="D712" s="79">
        <v>0</v>
      </c>
      <c r="E712" s="79" t="s">
        <v>1124</v>
      </c>
      <c r="F712" s="79" t="s">
        <v>2537</v>
      </c>
      <c r="G712" s="79" t="s">
        <v>2576</v>
      </c>
      <c r="H712" s="79"/>
      <c r="I712" s="79"/>
    </row>
    <row r="713" spans="1:9" ht="14.25">
      <c r="A713" s="79" t="s">
        <v>2794</v>
      </c>
      <c r="B713" s="79" t="s">
        <v>2795</v>
      </c>
      <c r="C713" s="79">
        <v>592455119</v>
      </c>
      <c r="D713" s="79">
        <v>0</v>
      </c>
      <c r="E713" s="79" t="s">
        <v>1124</v>
      </c>
      <c r="F713" s="79" t="s">
        <v>2537</v>
      </c>
      <c r="G713" s="79" t="s">
        <v>2544</v>
      </c>
      <c r="H713" s="79" t="s">
        <v>2545</v>
      </c>
      <c r="I713" s="79"/>
    </row>
    <row r="714" spans="1:9" ht="14.25">
      <c r="A714" s="79" t="s">
        <v>2794</v>
      </c>
      <c r="B714" s="79" t="s">
        <v>2795</v>
      </c>
      <c r="C714" s="79">
        <v>592455119</v>
      </c>
      <c r="D714" s="79">
        <v>0</v>
      </c>
      <c r="E714" s="79" t="s">
        <v>1124</v>
      </c>
      <c r="F714" s="79" t="s">
        <v>2537</v>
      </c>
      <c r="G714" s="79" t="s">
        <v>2579</v>
      </c>
      <c r="H714" s="79"/>
      <c r="I714" s="79"/>
    </row>
    <row r="715" spans="1:9" ht="14.25">
      <c r="A715" s="79" t="s">
        <v>2796</v>
      </c>
      <c r="B715" s="79" t="s">
        <v>2797</v>
      </c>
      <c r="C715" s="79">
        <v>592497719</v>
      </c>
      <c r="D715" s="79">
        <v>0</v>
      </c>
      <c r="E715" s="79" t="s">
        <v>1124</v>
      </c>
      <c r="F715" s="79" t="s">
        <v>2537</v>
      </c>
      <c r="G715" s="79" t="s">
        <v>1130</v>
      </c>
      <c r="H715" s="79"/>
      <c r="I715" s="79"/>
    </row>
    <row r="716" spans="1:9" ht="14.25">
      <c r="A716" s="79" t="s">
        <v>2796</v>
      </c>
      <c r="B716" s="79" t="s">
        <v>2797</v>
      </c>
      <c r="C716" s="79">
        <v>592497719</v>
      </c>
      <c r="D716" s="79">
        <v>0</v>
      </c>
      <c r="E716" s="79" t="s">
        <v>1124</v>
      </c>
      <c r="F716" s="79" t="s">
        <v>2537</v>
      </c>
      <c r="G716" s="79" t="s">
        <v>1131</v>
      </c>
      <c r="H716" s="79" t="s">
        <v>1132</v>
      </c>
      <c r="I716" s="79"/>
    </row>
    <row r="717" spans="1:9" ht="14.25">
      <c r="A717" s="79" t="s">
        <v>2796</v>
      </c>
      <c r="B717" s="79" t="s">
        <v>2797</v>
      </c>
      <c r="C717" s="79">
        <v>592497719</v>
      </c>
      <c r="D717" s="79">
        <v>0</v>
      </c>
      <c r="E717" s="79" t="s">
        <v>1124</v>
      </c>
      <c r="F717" s="79" t="s">
        <v>2537</v>
      </c>
      <c r="G717" s="79" t="s">
        <v>2576</v>
      </c>
      <c r="H717" s="79"/>
      <c r="I717" s="79"/>
    </row>
    <row r="718" spans="1:9" ht="14.25">
      <c r="A718" s="79" t="s">
        <v>2798</v>
      </c>
      <c r="B718" s="79" t="s">
        <v>2799</v>
      </c>
      <c r="C718" s="79">
        <v>592498319</v>
      </c>
      <c r="D718" s="79">
        <v>0</v>
      </c>
      <c r="E718" s="79" t="s">
        <v>1124</v>
      </c>
      <c r="F718" s="79" t="s">
        <v>2537</v>
      </c>
      <c r="G718" s="79" t="s">
        <v>2544</v>
      </c>
      <c r="H718" s="79" t="s">
        <v>2545</v>
      </c>
      <c r="I718" s="79"/>
    </row>
    <row r="719" spans="1:9" ht="14.25">
      <c r="A719" s="79" t="s">
        <v>2798</v>
      </c>
      <c r="B719" s="79" t="s">
        <v>2799</v>
      </c>
      <c r="C719" s="79">
        <v>592498319</v>
      </c>
      <c r="D719" s="79">
        <v>0</v>
      </c>
      <c r="E719" s="79" t="s">
        <v>1124</v>
      </c>
      <c r="F719" s="79" t="s">
        <v>2537</v>
      </c>
      <c r="G719" s="79" t="s">
        <v>2579</v>
      </c>
      <c r="H719" s="79"/>
      <c r="I719" s="79"/>
    </row>
    <row r="720" spans="1:9" ht="14.25">
      <c r="A720" s="79" t="s">
        <v>2800</v>
      </c>
      <c r="B720" s="79" t="s">
        <v>2801</v>
      </c>
      <c r="C720" s="79">
        <v>592540919</v>
      </c>
      <c r="D720" s="79">
        <v>0</v>
      </c>
      <c r="E720" s="79" t="s">
        <v>1124</v>
      </c>
      <c r="F720" s="79" t="s">
        <v>2537</v>
      </c>
      <c r="G720" s="79" t="s">
        <v>1130</v>
      </c>
      <c r="H720" s="79"/>
      <c r="I720" s="79"/>
    </row>
    <row r="721" spans="1:9" ht="14.25">
      <c r="A721" s="79" t="s">
        <v>2800</v>
      </c>
      <c r="B721" s="79" t="s">
        <v>2801</v>
      </c>
      <c r="C721" s="79">
        <v>592540919</v>
      </c>
      <c r="D721" s="79">
        <v>0</v>
      </c>
      <c r="E721" s="79" t="s">
        <v>1124</v>
      </c>
      <c r="F721" s="79" t="s">
        <v>2537</v>
      </c>
      <c r="G721" s="79" t="s">
        <v>1131</v>
      </c>
      <c r="H721" s="79" t="s">
        <v>1132</v>
      </c>
      <c r="I721" s="79"/>
    </row>
    <row r="722" spans="1:9" ht="14.25">
      <c r="A722" s="79" t="s">
        <v>2800</v>
      </c>
      <c r="B722" s="79" t="s">
        <v>2801</v>
      </c>
      <c r="C722" s="79">
        <v>592540919</v>
      </c>
      <c r="D722" s="79">
        <v>0</v>
      </c>
      <c r="E722" s="79" t="s">
        <v>1124</v>
      </c>
      <c r="F722" s="79" t="s">
        <v>2537</v>
      </c>
      <c r="G722" s="79" t="s">
        <v>2576</v>
      </c>
      <c r="H722" s="79"/>
      <c r="I722" s="79"/>
    </row>
    <row r="723" spans="1:9" ht="14.25">
      <c r="A723" s="79" t="s">
        <v>2802</v>
      </c>
      <c r="B723" s="79" t="s">
        <v>2803</v>
      </c>
      <c r="C723" s="79">
        <v>592541519</v>
      </c>
      <c r="D723" s="79">
        <v>0</v>
      </c>
      <c r="E723" s="79" t="s">
        <v>1124</v>
      </c>
      <c r="F723" s="79" t="s">
        <v>2537</v>
      </c>
      <c r="G723" s="79" t="s">
        <v>2544</v>
      </c>
      <c r="H723" s="79" t="s">
        <v>2545</v>
      </c>
      <c r="I723" s="79"/>
    </row>
    <row r="724" spans="1:9" ht="14.25">
      <c r="A724" s="79" t="s">
        <v>2802</v>
      </c>
      <c r="B724" s="79" t="s">
        <v>2803</v>
      </c>
      <c r="C724" s="79">
        <v>592541519</v>
      </c>
      <c r="D724" s="79">
        <v>0</v>
      </c>
      <c r="E724" s="79" t="s">
        <v>1124</v>
      </c>
      <c r="F724" s="79" t="s">
        <v>2537</v>
      </c>
      <c r="G724" s="79" t="s">
        <v>2579</v>
      </c>
      <c r="H724" s="79"/>
      <c r="I724" s="79"/>
    </row>
    <row r="725" spans="1:9" ht="14.25">
      <c r="A725" s="79" t="s">
        <v>2804</v>
      </c>
      <c r="B725" s="79" t="s">
        <v>2805</v>
      </c>
      <c r="C725" s="79">
        <v>592584119</v>
      </c>
      <c r="D725" s="79">
        <v>0</v>
      </c>
      <c r="E725" s="79" t="s">
        <v>1124</v>
      </c>
      <c r="F725" s="79" t="s">
        <v>2537</v>
      </c>
      <c r="G725" s="79" t="s">
        <v>1130</v>
      </c>
      <c r="H725" s="79"/>
      <c r="I725" s="79"/>
    </row>
    <row r="726" spans="1:9" ht="14.25">
      <c r="A726" s="79" t="s">
        <v>2804</v>
      </c>
      <c r="B726" s="79" t="s">
        <v>2805</v>
      </c>
      <c r="C726" s="79">
        <v>592584119</v>
      </c>
      <c r="D726" s="79">
        <v>0</v>
      </c>
      <c r="E726" s="79" t="s">
        <v>1124</v>
      </c>
      <c r="F726" s="79" t="s">
        <v>2537</v>
      </c>
      <c r="G726" s="79" t="s">
        <v>1131</v>
      </c>
      <c r="H726" s="79" t="s">
        <v>1132</v>
      </c>
      <c r="I726" s="79"/>
    </row>
    <row r="727" spans="1:9" ht="14.25">
      <c r="A727" s="79" t="s">
        <v>2804</v>
      </c>
      <c r="B727" s="79" t="s">
        <v>2805</v>
      </c>
      <c r="C727" s="79">
        <v>592584119</v>
      </c>
      <c r="D727" s="79">
        <v>0</v>
      </c>
      <c r="E727" s="79" t="s">
        <v>1124</v>
      </c>
      <c r="F727" s="79" t="s">
        <v>2537</v>
      </c>
      <c r="G727" s="79" t="s">
        <v>2576</v>
      </c>
      <c r="H727" s="79"/>
      <c r="I727" s="79"/>
    </row>
    <row r="728" spans="1:9" ht="14.25">
      <c r="A728" s="79" t="s">
        <v>2806</v>
      </c>
      <c r="B728" s="79" t="s">
        <v>2807</v>
      </c>
      <c r="C728" s="79">
        <v>592584719</v>
      </c>
      <c r="D728" s="79">
        <v>0</v>
      </c>
      <c r="E728" s="79" t="s">
        <v>1124</v>
      </c>
      <c r="F728" s="79" t="s">
        <v>2537</v>
      </c>
      <c r="G728" s="79" t="s">
        <v>2544</v>
      </c>
      <c r="H728" s="79" t="s">
        <v>2545</v>
      </c>
      <c r="I728" s="79"/>
    </row>
    <row r="729" spans="1:9" ht="14.25">
      <c r="A729" s="79" t="s">
        <v>2806</v>
      </c>
      <c r="B729" s="79" t="s">
        <v>2807</v>
      </c>
      <c r="C729" s="79">
        <v>592584719</v>
      </c>
      <c r="D729" s="79">
        <v>0</v>
      </c>
      <c r="E729" s="79" t="s">
        <v>1124</v>
      </c>
      <c r="F729" s="79" t="s">
        <v>2537</v>
      </c>
      <c r="G729" s="79" t="s">
        <v>2579</v>
      </c>
      <c r="H729" s="79"/>
      <c r="I729" s="79"/>
    </row>
    <row r="730" spans="1:9" ht="14.25">
      <c r="A730" s="79" t="s">
        <v>2808</v>
      </c>
      <c r="B730" s="79" t="s">
        <v>2809</v>
      </c>
      <c r="C730" s="79">
        <v>592627319</v>
      </c>
      <c r="D730" s="79">
        <v>0</v>
      </c>
      <c r="E730" s="79" t="s">
        <v>1124</v>
      </c>
      <c r="F730" s="79" t="s">
        <v>2537</v>
      </c>
      <c r="G730" s="79" t="s">
        <v>1130</v>
      </c>
      <c r="H730" s="79"/>
      <c r="I730" s="79"/>
    </row>
    <row r="731" spans="1:9" ht="14.25">
      <c r="A731" s="79" t="s">
        <v>2808</v>
      </c>
      <c r="B731" s="79" t="s">
        <v>2809</v>
      </c>
      <c r="C731" s="79">
        <v>592627319</v>
      </c>
      <c r="D731" s="79">
        <v>0</v>
      </c>
      <c r="E731" s="79" t="s">
        <v>1124</v>
      </c>
      <c r="F731" s="79" t="s">
        <v>2537</v>
      </c>
      <c r="G731" s="79" t="s">
        <v>1131</v>
      </c>
      <c r="H731" s="79" t="s">
        <v>1132</v>
      </c>
      <c r="I731" s="79"/>
    </row>
    <row r="732" spans="1:9" ht="14.25">
      <c r="A732" s="79" t="s">
        <v>2808</v>
      </c>
      <c r="B732" s="79" t="s">
        <v>2809</v>
      </c>
      <c r="C732" s="79">
        <v>592627319</v>
      </c>
      <c r="D732" s="79">
        <v>0</v>
      </c>
      <c r="E732" s="79" t="s">
        <v>1124</v>
      </c>
      <c r="F732" s="79" t="s">
        <v>2537</v>
      </c>
      <c r="G732" s="79" t="s">
        <v>2576</v>
      </c>
      <c r="H732" s="79"/>
      <c r="I732" s="79"/>
    </row>
    <row r="733" spans="1:9" ht="14.25">
      <c r="A733" s="79" t="s">
        <v>2810</v>
      </c>
      <c r="B733" s="79" t="s">
        <v>2811</v>
      </c>
      <c r="C733" s="79">
        <v>592627919</v>
      </c>
      <c r="D733" s="79">
        <v>0</v>
      </c>
      <c r="E733" s="79" t="s">
        <v>1124</v>
      </c>
      <c r="F733" s="79" t="s">
        <v>2537</v>
      </c>
      <c r="G733" s="79" t="s">
        <v>2544</v>
      </c>
      <c r="H733" s="79" t="s">
        <v>2545</v>
      </c>
      <c r="I733" s="79"/>
    </row>
    <row r="734" spans="1:9" ht="14.25">
      <c r="A734" s="79" t="s">
        <v>2810</v>
      </c>
      <c r="B734" s="79" t="s">
        <v>2811</v>
      </c>
      <c r="C734" s="79">
        <v>592627919</v>
      </c>
      <c r="D734" s="79">
        <v>0</v>
      </c>
      <c r="E734" s="79" t="s">
        <v>1124</v>
      </c>
      <c r="F734" s="79" t="s">
        <v>2537</v>
      </c>
      <c r="G734" s="79" t="s">
        <v>2579</v>
      </c>
      <c r="H734" s="79"/>
      <c r="I734" s="79"/>
    </row>
    <row r="735" spans="1:9" ht="14.25">
      <c r="A735" s="79" t="s">
        <v>2812</v>
      </c>
      <c r="B735" s="79" t="s">
        <v>2813</v>
      </c>
      <c r="C735" s="79">
        <v>592670519</v>
      </c>
      <c r="D735" s="79">
        <v>0</v>
      </c>
      <c r="E735" s="79" t="s">
        <v>1124</v>
      </c>
      <c r="F735" s="79" t="s">
        <v>2537</v>
      </c>
      <c r="G735" s="79" t="s">
        <v>1130</v>
      </c>
      <c r="H735" s="79"/>
      <c r="I735" s="79"/>
    </row>
    <row r="736" spans="1:9" ht="14.25">
      <c r="A736" s="79" t="s">
        <v>2812</v>
      </c>
      <c r="B736" s="79" t="s">
        <v>2813</v>
      </c>
      <c r="C736" s="79">
        <v>592670519</v>
      </c>
      <c r="D736" s="79">
        <v>0</v>
      </c>
      <c r="E736" s="79" t="s">
        <v>1124</v>
      </c>
      <c r="F736" s="79" t="s">
        <v>2537</v>
      </c>
      <c r="G736" s="79" t="s">
        <v>1131</v>
      </c>
      <c r="H736" s="79" t="s">
        <v>1132</v>
      </c>
      <c r="I736" s="79"/>
    </row>
    <row r="737" spans="1:9" ht="14.25">
      <c r="A737" s="79" t="s">
        <v>2812</v>
      </c>
      <c r="B737" s="79" t="s">
        <v>2813</v>
      </c>
      <c r="C737" s="79">
        <v>592670519</v>
      </c>
      <c r="D737" s="79">
        <v>0</v>
      </c>
      <c r="E737" s="79" t="s">
        <v>1124</v>
      </c>
      <c r="F737" s="79" t="s">
        <v>2537</v>
      </c>
      <c r="G737" s="79" t="s">
        <v>2576</v>
      </c>
      <c r="H737" s="79"/>
      <c r="I737" s="79"/>
    </row>
    <row r="738" spans="1:9" ht="14.25">
      <c r="A738" s="79" t="s">
        <v>2814</v>
      </c>
      <c r="B738" s="79" t="s">
        <v>2815</v>
      </c>
      <c r="C738" s="79">
        <v>592671119</v>
      </c>
      <c r="D738" s="79">
        <v>0</v>
      </c>
      <c r="E738" s="79" t="s">
        <v>1124</v>
      </c>
      <c r="F738" s="79" t="s">
        <v>2537</v>
      </c>
      <c r="G738" s="79" t="s">
        <v>2544</v>
      </c>
      <c r="H738" s="79" t="s">
        <v>2545</v>
      </c>
      <c r="I738" s="79"/>
    </row>
    <row r="739" spans="1:9" ht="14.25">
      <c r="A739" s="79" t="s">
        <v>2814</v>
      </c>
      <c r="B739" s="79" t="s">
        <v>2815</v>
      </c>
      <c r="C739" s="79">
        <v>592671119</v>
      </c>
      <c r="D739" s="79">
        <v>0</v>
      </c>
      <c r="E739" s="79" t="s">
        <v>1124</v>
      </c>
      <c r="F739" s="79" t="s">
        <v>2537</v>
      </c>
      <c r="G739" s="79" t="s">
        <v>2579</v>
      </c>
      <c r="H739" s="79"/>
      <c r="I739" s="79"/>
    </row>
    <row r="740" spans="1:9" ht="14.25">
      <c r="A740" s="79" t="s">
        <v>2816</v>
      </c>
      <c r="B740" s="79" t="s">
        <v>2817</v>
      </c>
      <c r="C740" s="79">
        <v>592713719</v>
      </c>
      <c r="D740" s="79">
        <v>0</v>
      </c>
      <c r="E740" s="79" t="s">
        <v>1124</v>
      </c>
      <c r="F740" s="79" t="s">
        <v>2537</v>
      </c>
      <c r="G740" s="79" t="s">
        <v>1130</v>
      </c>
      <c r="H740" s="79"/>
      <c r="I740" s="79"/>
    </row>
    <row r="741" spans="1:9" ht="14.25">
      <c r="A741" s="79" t="s">
        <v>2816</v>
      </c>
      <c r="B741" s="79" t="s">
        <v>2817</v>
      </c>
      <c r="C741" s="79">
        <v>592713719</v>
      </c>
      <c r="D741" s="79">
        <v>0</v>
      </c>
      <c r="E741" s="79" t="s">
        <v>1124</v>
      </c>
      <c r="F741" s="79" t="s">
        <v>2537</v>
      </c>
      <c r="G741" s="79" t="s">
        <v>1131</v>
      </c>
      <c r="H741" s="79" t="s">
        <v>1132</v>
      </c>
      <c r="I741" s="79"/>
    </row>
    <row r="742" spans="1:9" ht="14.25">
      <c r="A742" s="79" t="s">
        <v>2816</v>
      </c>
      <c r="B742" s="79" t="s">
        <v>2817</v>
      </c>
      <c r="C742" s="79">
        <v>592713719</v>
      </c>
      <c r="D742" s="79">
        <v>0</v>
      </c>
      <c r="E742" s="79" t="s">
        <v>1124</v>
      </c>
      <c r="F742" s="79" t="s">
        <v>2537</v>
      </c>
      <c r="G742" s="79" t="s">
        <v>2576</v>
      </c>
      <c r="H742" s="79"/>
      <c r="I742" s="79"/>
    </row>
    <row r="743" spans="1:9" ht="14.25">
      <c r="A743" s="79" t="s">
        <v>2818</v>
      </c>
      <c r="B743" s="79" t="s">
        <v>2819</v>
      </c>
      <c r="C743" s="79">
        <v>592714319</v>
      </c>
      <c r="D743" s="79">
        <v>0</v>
      </c>
      <c r="E743" s="79" t="s">
        <v>1124</v>
      </c>
      <c r="F743" s="79" t="s">
        <v>2537</v>
      </c>
      <c r="G743" s="79" t="s">
        <v>2544</v>
      </c>
      <c r="H743" s="79" t="s">
        <v>2545</v>
      </c>
      <c r="I743" s="79"/>
    </row>
    <row r="744" spans="1:9" ht="14.25">
      <c r="A744" s="79" t="s">
        <v>2818</v>
      </c>
      <c r="B744" s="79" t="s">
        <v>2819</v>
      </c>
      <c r="C744" s="79">
        <v>592714319</v>
      </c>
      <c r="D744" s="79">
        <v>0</v>
      </c>
      <c r="E744" s="79" t="s">
        <v>1124</v>
      </c>
      <c r="F744" s="79" t="s">
        <v>2537</v>
      </c>
      <c r="G744" s="79" t="s">
        <v>2579</v>
      </c>
      <c r="H744" s="79"/>
      <c r="I744" s="79"/>
    </row>
    <row r="745" spans="1:9" ht="14.25">
      <c r="A745" s="79" t="s">
        <v>2820</v>
      </c>
      <c r="B745" s="79" t="s">
        <v>2821</v>
      </c>
      <c r="C745" s="79">
        <v>592756919</v>
      </c>
      <c r="D745" s="79">
        <v>0</v>
      </c>
      <c r="E745" s="79" t="s">
        <v>1124</v>
      </c>
      <c r="F745" s="79" t="s">
        <v>2537</v>
      </c>
      <c r="G745" s="79" t="s">
        <v>1130</v>
      </c>
      <c r="H745" s="79"/>
      <c r="I745" s="79"/>
    </row>
    <row r="746" spans="1:9" ht="14.25">
      <c r="A746" s="79" t="s">
        <v>2820</v>
      </c>
      <c r="B746" s="79" t="s">
        <v>2821</v>
      </c>
      <c r="C746" s="79">
        <v>592756919</v>
      </c>
      <c r="D746" s="79">
        <v>0</v>
      </c>
      <c r="E746" s="79" t="s">
        <v>1124</v>
      </c>
      <c r="F746" s="79" t="s">
        <v>2537</v>
      </c>
      <c r="G746" s="79" t="s">
        <v>1131</v>
      </c>
      <c r="H746" s="79" t="s">
        <v>1132</v>
      </c>
      <c r="I746" s="79"/>
    </row>
    <row r="747" spans="1:9" ht="14.25">
      <c r="A747" s="79" t="s">
        <v>2820</v>
      </c>
      <c r="B747" s="79" t="s">
        <v>2821</v>
      </c>
      <c r="C747" s="79">
        <v>592756919</v>
      </c>
      <c r="D747" s="79">
        <v>0</v>
      </c>
      <c r="E747" s="79" t="s">
        <v>1124</v>
      </c>
      <c r="F747" s="79" t="s">
        <v>2537</v>
      </c>
      <c r="G747" s="79" t="s">
        <v>2576</v>
      </c>
      <c r="H747" s="79"/>
      <c r="I747" s="79"/>
    </row>
    <row r="748" spans="1:9" ht="14.25">
      <c r="A748" s="79" t="s">
        <v>2822</v>
      </c>
      <c r="B748" s="79" t="s">
        <v>2823</v>
      </c>
      <c r="C748" s="79">
        <v>592757519</v>
      </c>
      <c r="D748" s="79">
        <v>0</v>
      </c>
      <c r="E748" s="79" t="s">
        <v>1124</v>
      </c>
      <c r="F748" s="79" t="s">
        <v>2537</v>
      </c>
      <c r="G748" s="79" t="s">
        <v>2544</v>
      </c>
      <c r="H748" s="79" t="s">
        <v>2545</v>
      </c>
      <c r="I748" s="79"/>
    </row>
    <row r="749" spans="1:9" ht="14.25">
      <c r="A749" s="79" t="s">
        <v>2822</v>
      </c>
      <c r="B749" s="79" t="s">
        <v>2823</v>
      </c>
      <c r="C749" s="79">
        <v>592757519</v>
      </c>
      <c r="D749" s="79">
        <v>0</v>
      </c>
      <c r="E749" s="79" t="s">
        <v>1124</v>
      </c>
      <c r="F749" s="79" t="s">
        <v>2537</v>
      </c>
      <c r="G749" s="79" t="s">
        <v>2579</v>
      </c>
      <c r="H749" s="79"/>
      <c r="I749" s="79"/>
    </row>
    <row r="750" spans="1:9" ht="14.25">
      <c r="A750" s="79" t="s">
        <v>2824</v>
      </c>
      <c r="B750" s="79" t="s">
        <v>2825</v>
      </c>
      <c r="C750" s="79">
        <v>592800119</v>
      </c>
      <c r="D750" s="79">
        <v>0</v>
      </c>
      <c r="E750" s="79" t="s">
        <v>1124</v>
      </c>
      <c r="F750" s="79" t="s">
        <v>2537</v>
      </c>
      <c r="G750" s="79" t="s">
        <v>1130</v>
      </c>
      <c r="H750" s="79"/>
      <c r="I750" s="79"/>
    </row>
    <row r="751" spans="1:9" ht="14.25">
      <c r="A751" s="79" t="s">
        <v>2824</v>
      </c>
      <c r="B751" s="79" t="s">
        <v>2825</v>
      </c>
      <c r="C751" s="79">
        <v>592800119</v>
      </c>
      <c r="D751" s="79">
        <v>0</v>
      </c>
      <c r="E751" s="79" t="s">
        <v>1124</v>
      </c>
      <c r="F751" s="79" t="s">
        <v>2537</v>
      </c>
      <c r="G751" s="79" t="s">
        <v>1131</v>
      </c>
      <c r="H751" s="79" t="s">
        <v>1132</v>
      </c>
      <c r="I751" s="79"/>
    </row>
    <row r="752" spans="1:9" ht="14.25">
      <c r="A752" s="79" t="s">
        <v>2824</v>
      </c>
      <c r="B752" s="79" t="s">
        <v>2825</v>
      </c>
      <c r="C752" s="79">
        <v>592800119</v>
      </c>
      <c r="D752" s="79">
        <v>0</v>
      </c>
      <c r="E752" s="79" t="s">
        <v>1124</v>
      </c>
      <c r="F752" s="79" t="s">
        <v>2537</v>
      </c>
      <c r="G752" s="79" t="s">
        <v>2576</v>
      </c>
      <c r="H752" s="79"/>
      <c r="I752" s="79"/>
    </row>
    <row r="753" spans="1:9" ht="14.25">
      <c r="A753" s="79" t="s">
        <v>2826</v>
      </c>
      <c r="B753" s="79" t="s">
        <v>2827</v>
      </c>
      <c r="C753" s="79">
        <v>592800719</v>
      </c>
      <c r="D753" s="79">
        <v>0</v>
      </c>
      <c r="E753" s="79" t="s">
        <v>1124</v>
      </c>
      <c r="F753" s="79" t="s">
        <v>2537</v>
      </c>
      <c r="G753" s="79" t="s">
        <v>2544</v>
      </c>
      <c r="H753" s="79" t="s">
        <v>2545</v>
      </c>
      <c r="I753" s="79"/>
    </row>
    <row r="754" spans="1:9" ht="14.25">
      <c r="A754" s="79" t="s">
        <v>2826</v>
      </c>
      <c r="B754" s="79" t="s">
        <v>2827</v>
      </c>
      <c r="C754" s="79">
        <v>592800719</v>
      </c>
      <c r="D754" s="79">
        <v>0</v>
      </c>
      <c r="E754" s="79" t="s">
        <v>1124</v>
      </c>
      <c r="F754" s="79" t="s">
        <v>2537</v>
      </c>
      <c r="G754" s="79" t="s">
        <v>2579</v>
      </c>
      <c r="H754" s="79"/>
      <c r="I754" s="79"/>
    </row>
    <row r="755" spans="1:9" ht="14.25">
      <c r="A755" s="79" t="s">
        <v>2828</v>
      </c>
      <c r="B755" s="79" t="s">
        <v>2829</v>
      </c>
      <c r="C755" s="79">
        <v>592843319</v>
      </c>
      <c r="D755" s="79">
        <v>0</v>
      </c>
      <c r="E755" s="79" t="s">
        <v>1124</v>
      </c>
      <c r="F755" s="79" t="s">
        <v>2537</v>
      </c>
      <c r="G755" s="79" t="s">
        <v>1130</v>
      </c>
      <c r="H755" s="79"/>
      <c r="I755" s="79"/>
    </row>
    <row r="756" spans="1:9" ht="14.25">
      <c r="A756" s="79" t="s">
        <v>2828</v>
      </c>
      <c r="B756" s="79" t="s">
        <v>2829</v>
      </c>
      <c r="C756" s="79">
        <v>592843319</v>
      </c>
      <c r="D756" s="79">
        <v>0</v>
      </c>
      <c r="E756" s="79" t="s">
        <v>1124</v>
      </c>
      <c r="F756" s="79" t="s">
        <v>2537</v>
      </c>
      <c r="G756" s="79" t="s">
        <v>1131</v>
      </c>
      <c r="H756" s="79" t="s">
        <v>1132</v>
      </c>
      <c r="I756" s="79"/>
    </row>
    <row r="757" spans="1:9" ht="14.25">
      <c r="A757" s="79" t="s">
        <v>2828</v>
      </c>
      <c r="B757" s="79" t="s">
        <v>2829</v>
      </c>
      <c r="C757" s="79">
        <v>592843319</v>
      </c>
      <c r="D757" s="79">
        <v>0</v>
      </c>
      <c r="E757" s="79" t="s">
        <v>1124</v>
      </c>
      <c r="F757" s="79" t="s">
        <v>2537</v>
      </c>
      <c r="G757" s="79" t="s">
        <v>2576</v>
      </c>
      <c r="H757" s="79"/>
      <c r="I757" s="79"/>
    </row>
    <row r="758" spans="1:9" ht="14.25">
      <c r="A758" s="79" t="s">
        <v>2830</v>
      </c>
      <c r="B758" s="79" t="s">
        <v>2831</v>
      </c>
      <c r="C758" s="79">
        <v>592843919</v>
      </c>
      <c r="D758" s="79">
        <v>0</v>
      </c>
      <c r="E758" s="79" t="s">
        <v>1124</v>
      </c>
      <c r="F758" s="79" t="s">
        <v>2537</v>
      </c>
      <c r="G758" s="79" t="s">
        <v>2544</v>
      </c>
      <c r="H758" s="79" t="s">
        <v>2545</v>
      </c>
      <c r="I758" s="79"/>
    </row>
    <row r="759" spans="1:9" ht="14.25">
      <c r="A759" s="79" t="s">
        <v>2830</v>
      </c>
      <c r="B759" s="79" t="s">
        <v>2831</v>
      </c>
      <c r="C759" s="79">
        <v>592843919</v>
      </c>
      <c r="D759" s="79">
        <v>0</v>
      </c>
      <c r="E759" s="79" t="s">
        <v>1124</v>
      </c>
      <c r="F759" s="79" t="s">
        <v>2537</v>
      </c>
      <c r="G759" s="79" t="s">
        <v>2579</v>
      </c>
      <c r="H759" s="79"/>
      <c r="I759" s="79"/>
    </row>
    <row r="760" spans="1:9" ht="14.25">
      <c r="A760" s="79" t="s">
        <v>2832</v>
      </c>
      <c r="B760" s="79" t="s">
        <v>2833</v>
      </c>
      <c r="C760" s="79">
        <v>592886519</v>
      </c>
      <c r="D760" s="79">
        <v>0</v>
      </c>
      <c r="E760" s="79" t="s">
        <v>1124</v>
      </c>
      <c r="F760" s="79" t="s">
        <v>2537</v>
      </c>
      <c r="G760" s="79" t="s">
        <v>1130</v>
      </c>
      <c r="H760" s="79"/>
      <c r="I760" s="79"/>
    </row>
    <row r="761" spans="1:9" ht="14.25">
      <c r="A761" s="79" t="s">
        <v>2832</v>
      </c>
      <c r="B761" s="79" t="s">
        <v>2833</v>
      </c>
      <c r="C761" s="79">
        <v>592886519</v>
      </c>
      <c r="D761" s="79">
        <v>0</v>
      </c>
      <c r="E761" s="79" t="s">
        <v>1124</v>
      </c>
      <c r="F761" s="79" t="s">
        <v>2537</v>
      </c>
      <c r="G761" s="79" t="s">
        <v>1131</v>
      </c>
      <c r="H761" s="79" t="s">
        <v>1132</v>
      </c>
      <c r="I761" s="79"/>
    </row>
    <row r="762" spans="1:9" ht="14.25">
      <c r="A762" s="79" t="s">
        <v>2832</v>
      </c>
      <c r="B762" s="79" t="s">
        <v>2833</v>
      </c>
      <c r="C762" s="79">
        <v>592886519</v>
      </c>
      <c r="D762" s="79">
        <v>0</v>
      </c>
      <c r="E762" s="79" t="s">
        <v>1124</v>
      </c>
      <c r="F762" s="79" t="s">
        <v>2537</v>
      </c>
      <c r="G762" s="79" t="s">
        <v>2576</v>
      </c>
      <c r="H762" s="79"/>
      <c r="I762" s="79"/>
    </row>
    <row r="763" spans="1:9" ht="14.25">
      <c r="A763" s="79" t="s">
        <v>2834</v>
      </c>
      <c r="B763" s="79" t="s">
        <v>2835</v>
      </c>
      <c r="C763" s="79">
        <v>592887119</v>
      </c>
      <c r="D763" s="79">
        <v>0</v>
      </c>
      <c r="E763" s="79" t="s">
        <v>1124</v>
      </c>
      <c r="F763" s="79" t="s">
        <v>2537</v>
      </c>
      <c r="G763" s="79" t="s">
        <v>2544</v>
      </c>
      <c r="H763" s="79" t="s">
        <v>2545</v>
      </c>
      <c r="I763" s="79"/>
    </row>
    <row r="764" spans="1:9" ht="14.25">
      <c r="A764" s="79" t="s">
        <v>2834</v>
      </c>
      <c r="B764" s="79" t="s">
        <v>2835</v>
      </c>
      <c r="C764" s="79">
        <v>592887119</v>
      </c>
      <c r="D764" s="79">
        <v>0</v>
      </c>
      <c r="E764" s="79" t="s">
        <v>1124</v>
      </c>
      <c r="F764" s="79" t="s">
        <v>2537</v>
      </c>
      <c r="G764" s="79" t="s">
        <v>2579</v>
      </c>
      <c r="H764" s="79"/>
      <c r="I764" s="79"/>
    </row>
    <row r="765" spans="1:9" ht="14.25">
      <c r="A765" s="79" t="s">
        <v>2836</v>
      </c>
      <c r="B765" s="79" t="s">
        <v>2837</v>
      </c>
      <c r="C765" s="79">
        <v>592929719</v>
      </c>
      <c r="D765" s="79">
        <v>0</v>
      </c>
      <c r="E765" s="79" t="s">
        <v>1124</v>
      </c>
      <c r="F765" s="79" t="s">
        <v>2537</v>
      </c>
      <c r="G765" s="79" t="s">
        <v>1130</v>
      </c>
      <c r="H765" s="79"/>
      <c r="I765" s="79"/>
    </row>
    <row r="766" spans="1:9" ht="14.25">
      <c r="A766" s="79" t="s">
        <v>2836</v>
      </c>
      <c r="B766" s="79" t="s">
        <v>2837</v>
      </c>
      <c r="C766" s="79">
        <v>592929719</v>
      </c>
      <c r="D766" s="79">
        <v>0</v>
      </c>
      <c r="E766" s="79" t="s">
        <v>1124</v>
      </c>
      <c r="F766" s="79" t="s">
        <v>2537</v>
      </c>
      <c r="G766" s="79" t="s">
        <v>1131</v>
      </c>
      <c r="H766" s="79" t="s">
        <v>1132</v>
      </c>
      <c r="I766" s="79"/>
    </row>
    <row r="767" spans="1:9" ht="14.25">
      <c r="A767" s="79" t="s">
        <v>2836</v>
      </c>
      <c r="B767" s="79" t="s">
        <v>2837</v>
      </c>
      <c r="C767" s="79">
        <v>592929719</v>
      </c>
      <c r="D767" s="79">
        <v>0</v>
      </c>
      <c r="E767" s="79" t="s">
        <v>1124</v>
      </c>
      <c r="F767" s="79" t="s">
        <v>2537</v>
      </c>
      <c r="G767" s="79" t="s">
        <v>2576</v>
      </c>
      <c r="H767" s="79"/>
      <c r="I767" s="79"/>
    </row>
    <row r="768" spans="1:9" ht="14.25">
      <c r="A768" s="79" t="s">
        <v>2838</v>
      </c>
      <c r="B768" s="79" t="s">
        <v>2839</v>
      </c>
      <c r="C768" s="79">
        <v>592930319</v>
      </c>
      <c r="D768" s="79">
        <v>0</v>
      </c>
      <c r="E768" s="79" t="s">
        <v>1124</v>
      </c>
      <c r="F768" s="79" t="s">
        <v>2537</v>
      </c>
      <c r="G768" s="79" t="s">
        <v>2544</v>
      </c>
      <c r="H768" s="79" t="s">
        <v>2545</v>
      </c>
      <c r="I768" s="79"/>
    </row>
    <row r="769" spans="1:9" ht="14.25">
      <c r="A769" s="79" t="s">
        <v>2838</v>
      </c>
      <c r="B769" s="79" t="s">
        <v>2839</v>
      </c>
      <c r="C769" s="79">
        <v>592930319</v>
      </c>
      <c r="D769" s="79">
        <v>0</v>
      </c>
      <c r="E769" s="79" t="s">
        <v>1124</v>
      </c>
      <c r="F769" s="79" t="s">
        <v>2537</v>
      </c>
      <c r="G769" s="79" t="s">
        <v>2579</v>
      </c>
      <c r="H769" s="79"/>
      <c r="I769" s="79"/>
    </row>
    <row r="770" spans="1:9" ht="14.25">
      <c r="A770" s="79" t="s">
        <v>2840</v>
      </c>
      <c r="B770" s="79" t="s">
        <v>2841</v>
      </c>
      <c r="C770" s="79">
        <v>592972919</v>
      </c>
      <c r="D770" s="79">
        <v>0</v>
      </c>
      <c r="E770" s="79" t="s">
        <v>1124</v>
      </c>
      <c r="F770" s="79" t="s">
        <v>2537</v>
      </c>
      <c r="G770" s="79" t="s">
        <v>1130</v>
      </c>
      <c r="H770" s="79"/>
      <c r="I770" s="79"/>
    </row>
    <row r="771" spans="1:9" ht="14.25">
      <c r="A771" s="79" t="s">
        <v>2840</v>
      </c>
      <c r="B771" s="79" t="s">
        <v>2841</v>
      </c>
      <c r="C771" s="79">
        <v>592972919</v>
      </c>
      <c r="D771" s="79">
        <v>0</v>
      </c>
      <c r="E771" s="79" t="s">
        <v>1124</v>
      </c>
      <c r="F771" s="79" t="s">
        <v>2537</v>
      </c>
      <c r="G771" s="79" t="s">
        <v>1131</v>
      </c>
      <c r="H771" s="79" t="s">
        <v>1132</v>
      </c>
      <c r="I771" s="79"/>
    </row>
    <row r="772" spans="1:9" ht="14.25">
      <c r="A772" s="79" t="s">
        <v>2840</v>
      </c>
      <c r="B772" s="79" t="s">
        <v>2841</v>
      </c>
      <c r="C772" s="79">
        <v>592972919</v>
      </c>
      <c r="D772" s="79">
        <v>0</v>
      </c>
      <c r="E772" s="79" t="s">
        <v>1124</v>
      </c>
      <c r="F772" s="79" t="s">
        <v>2537</v>
      </c>
      <c r="G772" s="79" t="s">
        <v>2576</v>
      </c>
      <c r="H772" s="79"/>
      <c r="I772" s="79"/>
    </row>
    <row r="773" spans="1:9" ht="14.25">
      <c r="A773" s="79" t="s">
        <v>2842</v>
      </c>
      <c r="B773" s="79" t="s">
        <v>2843</v>
      </c>
      <c r="C773" s="79">
        <v>592973519</v>
      </c>
      <c r="D773" s="79">
        <v>0</v>
      </c>
      <c r="E773" s="79" t="s">
        <v>1124</v>
      </c>
      <c r="F773" s="79" t="s">
        <v>2537</v>
      </c>
      <c r="G773" s="79" t="s">
        <v>2544</v>
      </c>
      <c r="H773" s="79" t="s">
        <v>2545</v>
      </c>
      <c r="I773" s="79"/>
    </row>
    <row r="774" spans="1:9" ht="14.25">
      <c r="A774" s="79" t="s">
        <v>2842</v>
      </c>
      <c r="B774" s="79" t="s">
        <v>2843</v>
      </c>
      <c r="C774" s="79">
        <v>592973519</v>
      </c>
      <c r="D774" s="79">
        <v>0</v>
      </c>
      <c r="E774" s="79" t="s">
        <v>1124</v>
      </c>
      <c r="F774" s="79" t="s">
        <v>2537</v>
      </c>
      <c r="G774" s="79" t="s">
        <v>2579</v>
      </c>
      <c r="H774" s="79"/>
      <c r="I774" s="79"/>
    </row>
    <row r="775" spans="1:9" ht="14.25">
      <c r="A775" s="79" t="s">
        <v>2844</v>
      </c>
      <c r="B775" s="79" t="s">
        <v>2845</v>
      </c>
      <c r="C775" s="79">
        <v>593016119</v>
      </c>
      <c r="D775" s="79">
        <v>0</v>
      </c>
      <c r="E775" s="79" t="s">
        <v>1124</v>
      </c>
      <c r="F775" s="79" t="s">
        <v>2537</v>
      </c>
      <c r="G775" s="79" t="s">
        <v>1130</v>
      </c>
      <c r="H775" s="79"/>
      <c r="I775" s="79"/>
    </row>
    <row r="776" spans="1:9" ht="14.25">
      <c r="A776" s="79" t="s">
        <v>2844</v>
      </c>
      <c r="B776" s="79" t="s">
        <v>2845</v>
      </c>
      <c r="C776" s="79">
        <v>593016119</v>
      </c>
      <c r="D776" s="79">
        <v>0</v>
      </c>
      <c r="E776" s="79" t="s">
        <v>1124</v>
      </c>
      <c r="F776" s="79" t="s">
        <v>2537</v>
      </c>
      <c r="G776" s="79" t="s">
        <v>1131</v>
      </c>
      <c r="H776" s="79" t="s">
        <v>1132</v>
      </c>
      <c r="I776" s="79"/>
    </row>
    <row r="777" spans="1:9" ht="14.25">
      <c r="A777" s="79" t="s">
        <v>2844</v>
      </c>
      <c r="B777" s="79" t="s">
        <v>2845</v>
      </c>
      <c r="C777" s="79">
        <v>593016119</v>
      </c>
      <c r="D777" s="79">
        <v>0</v>
      </c>
      <c r="E777" s="79" t="s">
        <v>1124</v>
      </c>
      <c r="F777" s="79" t="s">
        <v>2537</v>
      </c>
      <c r="G777" s="79" t="s">
        <v>2576</v>
      </c>
      <c r="H777" s="79"/>
      <c r="I777" s="79"/>
    </row>
    <row r="778" spans="1:9" ht="14.25">
      <c r="A778" s="79" t="s">
        <v>2846</v>
      </c>
      <c r="B778" s="79" t="s">
        <v>2847</v>
      </c>
      <c r="C778" s="79">
        <v>593016719</v>
      </c>
      <c r="D778" s="79">
        <v>0</v>
      </c>
      <c r="E778" s="79" t="s">
        <v>1124</v>
      </c>
      <c r="F778" s="79" t="s">
        <v>2537</v>
      </c>
      <c r="G778" s="79" t="s">
        <v>2544</v>
      </c>
      <c r="H778" s="79" t="s">
        <v>2545</v>
      </c>
      <c r="I778" s="79"/>
    </row>
    <row r="779" spans="1:9" ht="14.25">
      <c r="A779" s="79" t="s">
        <v>2846</v>
      </c>
      <c r="B779" s="79" t="s">
        <v>2847</v>
      </c>
      <c r="C779" s="79">
        <v>593016719</v>
      </c>
      <c r="D779" s="79">
        <v>0</v>
      </c>
      <c r="E779" s="79" t="s">
        <v>1124</v>
      </c>
      <c r="F779" s="79" t="s">
        <v>2537</v>
      </c>
      <c r="G779" s="79" t="s">
        <v>2579</v>
      </c>
      <c r="H779" s="79"/>
      <c r="I779" s="79"/>
    </row>
    <row r="780" spans="1:9" ht="14.25">
      <c r="A780" s="79" t="s">
        <v>2848</v>
      </c>
      <c r="B780" s="79" t="s">
        <v>2849</v>
      </c>
      <c r="C780" s="79">
        <v>593059319</v>
      </c>
      <c r="D780" s="79">
        <v>0</v>
      </c>
      <c r="E780" s="79" t="s">
        <v>1124</v>
      </c>
      <c r="F780" s="79" t="s">
        <v>2537</v>
      </c>
      <c r="G780" s="79" t="s">
        <v>1130</v>
      </c>
      <c r="H780" s="79"/>
      <c r="I780" s="79"/>
    </row>
    <row r="781" spans="1:9" ht="14.25">
      <c r="A781" s="79" t="s">
        <v>2848</v>
      </c>
      <c r="B781" s="79" t="s">
        <v>2849</v>
      </c>
      <c r="C781" s="79">
        <v>593059319</v>
      </c>
      <c r="D781" s="79">
        <v>0</v>
      </c>
      <c r="E781" s="79" t="s">
        <v>1124</v>
      </c>
      <c r="F781" s="79" t="s">
        <v>2537</v>
      </c>
      <c r="G781" s="79" t="s">
        <v>1131</v>
      </c>
      <c r="H781" s="79" t="s">
        <v>1132</v>
      </c>
      <c r="I781" s="79"/>
    </row>
    <row r="782" spans="1:9" ht="14.25">
      <c r="A782" s="79" t="s">
        <v>2848</v>
      </c>
      <c r="B782" s="79" t="s">
        <v>2849</v>
      </c>
      <c r="C782" s="79">
        <v>593059319</v>
      </c>
      <c r="D782" s="79">
        <v>0</v>
      </c>
      <c r="E782" s="79" t="s">
        <v>1124</v>
      </c>
      <c r="F782" s="79" t="s">
        <v>2537</v>
      </c>
      <c r="G782" s="79" t="s">
        <v>2576</v>
      </c>
      <c r="H782" s="79"/>
      <c r="I782" s="79"/>
    </row>
    <row r="783" spans="1:9" ht="14.25">
      <c r="A783" s="79" t="s">
        <v>2850</v>
      </c>
      <c r="B783" s="79" t="s">
        <v>2851</v>
      </c>
      <c r="C783" s="79">
        <v>593059919</v>
      </c>
      <c r="D783" s="79">
        <v>0</v>
      </c>
      <c r="E783" s="79" t="s">
        <v>1124</v>
      </c>
      <c r="F783" s="79" t="s">
        <v>2537</v>
      </c>
      <c r="G783" s="79" t="s">
        <v>2544</v>
      </c>
      <c r="H783" s="79" t="s">
        <v>2545</v>
      </c>
      <c r="I783" s="79"/>
    </row>
    <row r="784" spans="1:9" ht="14.25">
      <c r="A784" s="79" t="s">
        <v>2850</v>
      </c>
      <c r="B784" s="79" t="s">
        <v>2851</v>
      </c>
      <c r="C784" s="79">
        <v>593059919</v>
      </c>
      <c r="D784" s="79">
        <v>0</v>
      </c>
      <c r="E784" s="79" t="s">
        <v>1124</v>
      </c>
      <c r="F784" s="79" t="s">
        <v>2537</v>
      </c>
      <c r="G784" s="79" t="s">
        <v>2579</v>
      </c>
      <c r="H784" s="79"/>
      <c r="I784" s="79"/>
    </row>
    <row r="785" spans="1:9" ht="14.25">
      <c r="A785" s="79" t="s">
        <v>2852</v>
      </c>
      <c r="B785" s="79" t="s">
        <v>2853</v>
      </c>
      <c r="C785" s="79">
        <v>593102519</v>
      </c>
      <c r="D785" s="79">
        <v>0</v>
      </c>
      <c r="E785" s="79" t="s">
        <v>1124</v>
      </c>
      <c r="F785" s="79" t="s">
        <v>2537</v>
      </c>
      <c r="G785" s="79" t="s">
        <v>1130</v>
      </c>
      <c r="H785" s="79"/>
      <c r="I785" s="79"/>
    </row>
    <row r="786" spans="1:9" ht="14.25">
      <c r="A786" s="79" t="s">
        <v>2852</v>
      </c>
      <c r="B786" s="79" t="s">
        <v>2853</v>
      </c>
      <c r="C786" s="79">
        <v>593102519</v>
      </c>
      <c r="D786" s="79">
        <v>0</v>
      </c>
      <c r="E786" s="79" t="s">
        <v>1124</v>
      </c>
      <c r="F786" s="79" t="s">
        <v>2537</v>
      </c>
      <c r="G786" s="79" t="s">
        <v>1131</v>
      </c>
      <c r="H786" s="79" t="s">
        <v>1132</v>
      </c>
      <c r="I786" s="79"/>
    </row>
    <row r="787" spans="1:9" ht="14.25">
      <c r="A787" s="79" t="s">
        <v>2852</v>
      </c>
      <c r="B787" s="79" t="s">
        <v>2853</v>
      </c>
      <c r="C787" s="79">
        <v>593102519</v>
      </c>
      <c r="D787" s="79">
        <v>0</v>
      </c>
      <c r="E787" s="79" t="s">
        <v>1124</v>
      </c>
      <c r="F787" s="79" t="s">
        <v>2537</v>
      </c>
      <c r="G787" s="79" t="s">
        <v>2576</v>
      </c>
      <c r="H787" s="79"/>
      <c r="I787" s="79"/>
    </row>
    <row r="788" spans="1:9" ht="14.25">
      <c r="A788" s="79" t="s">
        <v>2854</v>
      </c>
      <c r="B788" s="79" t="s">
        <v>2855</v>
      </c>
      <c r="C788" s="79">
        <v>593103119</v>
      </c>
      <c r="D788" s="79">
        <v>0</v>
      </c>
      <c r="E788" s="79" t="s">
        <v>1124</v>
      </c>
      <c r="F788" s="79" t="s">
        <v>2537</v>
      </c>
      <c r="G788" s="79" t="s">
        <v>2544</v>
      </c>
      <c r="H788" s="79" t="s">
        <v>2545</v>
      </c>
      <c r="I788" s="79"/>
    </row>
    <row r="789" spans="1:9" ht="14.25">
      <c r="A789" s="79" t="s">
        <v>2854</v>
      </c>
      <c r="B789" s="79" t="s">
        <v>2855</v>
      </c>
      <c r="C789" s="79">
        <v>593103119</v>
      </c>
      <c r="D789" s="79">
        <v>0</v>
      </c>
      <c r="E789" s="79" t="s">
        <v>1124</v>
      </c>
      <c r="F789" s="79" t="s">
        <v>2537</v>
      </c>
      <c r="G789" s="79" t="s">
        <v>2579</v>
      </c>
      <c r="H789" s="79"/>
      <c r="I789" s="79"/>
    </row>
    <row r="790" spans="1:9" ht="14.25">
      <c r="A790" s="79" t="s">
        <v>2856</v>
      </c>
      <c r="B790" s="79" t="s">
        <v>2857</v>
      </c>
      <c r="C790" s="79">
        <v>593145719</v>
      </c>
      <c r="D790" s="79">
        <v>0</v>
      </c>
      <c r="E790" s="79" t="s">
        <v>1124</v>
      </c>
      <c r="F790" s="79" t="s">
        <v>2537</v>
      </c>
      <c r="G790" s="79" t="s">
        <v>1130</v>
      </c>
      <c r="H790" s="79"/>
      <c r="I790" s="79"/>
    </row>
    <row r="791" spans="1:9" ht="14.25">
      <c r="A791" s="79" t="s">
        <v>2856</v>
      </c>
      <c r="B791" s="79" t="s">
        <v>2857</v>
      </c>
      <c r="C791" s="79">
        <v>593145719</v>
      </c>
      <c r="D791" s="79">
        <v>0</v>
      </c>
      <c r="E791" s="79" t="s">
        <v>1124</v>
      </c>
      <c r="F791" s="79" t="s">
        <v>2537</v>
      </c>
      <c r="G791" s="79" t="s">
        <v>1131</v>
      </c>
      <c r="H791" s="79" t="s">
        <v>1132</v>
      </c>
      <c r="I791" s="79"/>
    </row>
    <row r="792" spans="1:9" ht="14.25">
      <c r="A792" s="79" t="s">
        <v>2856</v>
      </c>
      <c r="B792" s="79" t="s">
        <v>2857</v>
      </c>
      <c r="C792" s="79">
        <v>593145719</v>
      </c>
      <c r="D792" s="79">
        <v>0</v>
      </c>
      <c r="E792" s="79" t="s">
        <v>1124</v>
      </c>
      <c r="F792" s="79" t="s">
        <v>2537</v>
      </c>
      <c r="G792" s="79" t="s">
        <v>2576</v>
      </c>
      <c r="H792" s="79"/>
      <c r="I792" s="79"/>
    </row>
    <row r="793" spans="1:9" ht="14.25">
      <c r="A793" s="79" t="s">
        <v>2858</v>
      </c>
      <c r="B793" s="79" t="s">
        <v>2859</v>
      </c>
      <c r="C793" s="79">
        <v>593146319</v>
      </c>
      <c r="D793" s="79">
        <v>0</v>
      </c>
      <c r="E793" s="79" t="s">
        <v>1124</v>
      </c>
      <c r="F793" s="79" t="s">
        <v>2537</v>
      </c>
      <c r="G793" s="79" t="s">
        <v>2544</v>
      </c>
      <c r="H793" s="79" t="s">
        <v>2545</v>
      </c>
      <c r="I793" s="79"/>
    </row>
    <row r="794" spans="1:9" ht="14.25">
      <c r="A794" s="79" t="s">
        <v>2858</v>
      </c>
      <c r="B794" s="79" t="s">
        <v>2859</v>
      </c>
      <c r="C794" s="79">
        <v>593146319</v>
      </c>
      <c r="D794" s="79">
        <v>0</v>
      </c>
      <c r="E794" s="79" t="s">
        <v>1124</v>
      </c>
      <c r="F794" s="79" t="s">
        <v>2537</v>
      </c>
      <c r="G794" s="79" t="s">
        <v>2579</v>
      </c>
      <c r="H794" s="79"/>
      <c r="I794" s="79"/>
    </row>
    <row r="795" spans="1:9" ht="14.25">
      <c r="A795" s="79" t="s">
        <v>2860</v>
      </c>
      <c r="B795" s="79" t="s">
        <v>2861</v>
      </c>
      <c r="C795" s="79">
        <v>593188919</v>
      </c>
      <c r="D795" s="79">
        <v>0</v>
      </c>
      <c r="E795" s="79" t="s">
        <v>1124</v>
      </c>
      <c r="F795" s="79" t="s">
        <v>2537</v>
      </c>
      <c r="G795" s="79" t="s">
        <v>1130</v>
      </c>
      <c r="H795" s="79"/>
      <c r="I795" s="79"/>
    </row>
    <row r="796" spans="1:9" ht="14.25">
      <c r="A796" s="79" t="s">
        <v>2860</v>
      </c>
      <c r="B796" s="79" t="s">
        <v>2861</v>
      </c>
      <c r="C796" s="79">
        <v>593188919</v>
      </c>
      <c r="D796" s="79">
        <v>0</v>
      </c>
      <c r="E796" s="79" t="s">
        <v>1124</v>
      </c>
      <c r="F796" s="79" t="s">
        <v>2537</v>
      </c>
      <c r="G796" s="79" t="s">
        <v>1131</v>
      </c>
      <c r="H796" s="79" t="s">
        <v>1132</v>
      </c>
      <c r="I796" s="79"/>
    </row>
    <row r="797" spans="1:9" ht="14.25">
      <c r="A797" s="79" t="s">
        <v>2860</v>
      </c>
      <c r="B797" s="79" t="s">
        <v>2861</v>
      </c>
      <c r="C797" s="79">
        <v>593188919</v>
      </c>
      <c r="D797" s="79">
        <v>0</v>
      </c>
      <c r="E797" s="79" t="s">
        <v>1124</v>
      </c>
      <c r="F797" s="79" t="s">
        <v>2537</v>
      </c>
      <c r="G797" s="79" t="s">
        <v>2576</v>
      </c>
      <c r="H797" s="79"/>
      <c r="I797" s="79"/>
    </row>
    <row r="798" spans="1:9" ht="14.25">
      <c r="A798" s="79" t="s">
        <v>2862</v>
      </c>
      <c r="B798" s="79" t="s">
        <v>2863</v>
      </c>
      <c r="C798" s="79">
        <v>593189519</v>
      </c>
      <c r="D798" s="79">
        <v>0</v>
      </c>
      <c r="E798" s="79" t="s">
        <v>1124</v>
      </c>
      <c r="F798" s="79" t="s">
        <v>2537</v>
      </c>
      <c r="G798" s="79" t="s">
        <v>2544</v>
      </c>
      <c r="H798" s="79" t="s">
        <v>2545</v>
      </c>
      <c r="I798" s="79"/>
    </row>
    <row r="799" spans="1:9" ht="14.25">
      <c r="A799" s="79" t="s">
        <v>2862</v>
      </c>
      <c r="B799" s="79" t="s">
        <v>2863</v>
      </c>
      <c r="C799" s="79">
        <v>593189519</v>
      </c>
      <c r="D799" s="79">
        <v>0</v>
      </c>
      <c r="E799" s="79" t="s">
        <v>1124</v>
      </c>
      <c r="F799" s="79" t="s">
        <v>2537</v>
      </c>
      <c r="G799" s="79" t="s">
        <v>2579</v>
      </c>
      <c r="H799" s="79"/>
      <c r="I799" s="79"/>
    </row>
    <row r="800" spans="1:9" ht="14.25">
      <c r="A800" s="79" t="s">
        <v>2864</v>
      </c>
      <c r="B800" s="79" t="s">
        <v>2865</v>
      </c>
      <c r="C800" s="79">
        <v>593232119</v>
      </c>
      <c r="D800" s="79">
        <v>0</v>
      </c>
      <c r="E800" s="79" t="s">
        <v>1124</v>
      </c>
      <c r="F800" s="79" t="s">
        <v>2537</v>
      </c>
      <c r="G800" s="79" t="s">
        <v>1130</v>
      </c>
      <c r="H800" s="79"/>
      <c r="I800" s="79"/>
    </row>
    <row r="801" spans="1:9" ht="14.25">
      <c r="A801" s="79" t="s">
        <v>2864</v>
      </c>
      <c r="B801" s="79" t="s">
        <v>2865</v>
      </c>
      <c r="C801" s="79">
        <v>593232119</v>
      </c>
      <c r="D801" s="79">
        <v>0</v>
      </c>
      <c r="E801" s="79" t="s">
        <v>1124</v>
      </c>
      <c r="F801" s="79" t="s">
        <v>2537</v>
      </c>
      <c r="G801" s="79" t="s">
        <v>1131</v>
      </c>
      <c r="H801" s="79" t="s">
        <v>1132</v>
      </c>
      <c r="I801" s="79"/>
    </row>
    <row r="802" spans="1:9" ht="14.25">
      <c r="A802" s="79" t="s">
        <v>2864</v>
      </c>
      <c r="B802" s="79" t="s">
        <v>2865</v>
      </c>
      <c r="C802" s="79">
        <v>593232119</v>
      </c>
      <c r="D802" s="79">
        <v>0</v>
      </c>
      <c r="E802" s="79" t="s">
        <v>1124</v>
      </c>
      <c r="F802" s="79" t="s">
        <v>2537</v>
      </c>
      <c r="G802" s="79" t="s">
        <v>2576</v>
      </c>
      <c r="H802" s="79"/>
      <c r="I802" s="79"/>
    </row>
    <row r="803" spans="1:9" ht="14.25">
      <c r="A803" s="79" t="s">
        <v>2866</v>
      </c>
      <c r="B803" s="79" t="s">
        <v>2867</v>
      </c>
      <c r="C803" s="79">
        <v>593232719</v>
      </c>
      <c r="D803" s="79">
        <v>0</v>
      </c>
      <c r="E803" s="79" t="s">
        <v>1124</v>
      </c>
      <c r="F803" s="79" t="s">
        <v>2537</v>
      </c>
      <c r="G803" s="79" t="s">
        <v>2544</v>
      </c>
      <c r="H803" s="79" t="s">
        <v>2545</v>
      </c>
      <c r="I803" s="79"/>
    </row>
    <row r="804" spans="1:9" ht="14.25">
      <c r="A804" s="79" t="s">
        <v>2866</v>
      </c>
      <c r="B804" s="79" t="s">
        <v>2867</v>
      </c>
      <c r="C804" s="79">
        <v>593232719</v>
      </c>
      <c r="D804" s="79">
        <v>0</v>
      </c>
      <c r="E804" s="79" t="s">
        <v>1124</v>
      </c>
      <c r="F804" s="79" t="s">
        <v>2537</v>
      </c>
      <c r="G804" s="79" t="s">
        <v>2579</v>
      </c>
      <c r="H804" s="79"/>
      <c r="I804" s="79"/>
    </row>
    <row r="805" spans="1:9" ht="14.25">
      <c r="A805" s="79" t="s">
        <v>2868</v>
      </c>
      <c r="B805" s="79" t="s">
        <v>2869</v>
      </c>
      <c r="C805" s="79">
        <v>593275319</v>
      </c>
      <c r="D805" s="79">
        <v>0</v>
      </c>
      <c r="E805" s="79" t="s">
        <v>1124</v>
      </c>
      <c r="F805" s="79" t="s">
        <v>2537</v>
      </c>
      <c r="G805" s="79" t="s">
        <v>1130</v>
      </c>
      <c r="H805" s="79"/>
      <c r="I805" s="79"/>
    </row>
    <row r="806" spans="1:9" ht="14.25">
      <c r="A806" s="79" t="s">
        <v>2868</v>
      </c>
      <c r="B806" s="79" t="s">
        <v>2869</v>
      </c>
      <c r="C806" s="79">
        <v>593275319</v>
      </c>
      <c r="D806" s="79">
        <v>0</v>
      </c>
      <c r="E806" s="79" t="s">
        <v>1124</v>
      </c>
      <c r="F806" s="79" t="s">
        <v>2537</v>
      </c>
      <c r="G806" s="79" t="s">
        <v>1131</v>
      </c>
      <c r="H806" s="79" t="s">
        <v>1132</v>
      </c>
      <c r="I806" s="79"/>
    </row>
    <row r="807" spans="1:9" ht="14.25">
      <c r="A807" s="79" t="s">
        <v>2868</v>
      </c>
      <c r="B807" s="79" t="s">
        <v>2869</v>
      </c>
      <c r="C807" s="79">
        <v>593275319</v>
      </c>
      <c r="D807" s="79">
        <v>0</v>
      </c>
      <c r="E807" s="79" t="s">
        <v>1124</v>
      </c>
      <c r="F807" s="79" t="s">
        <v>2537</v>
      </c>
      <c r="G807" s="79" t="s">
        <v>2576</v>
      </c>
      <c r="H807" s="79"/>
      <c r="I807" s="79"/>
    </row>
    <row r="808" spans="1:9" ht="14.25">
      <c r="A808" s="79" t="s">
        <v>2870</v>
      </c>
      <c r="B808" s="79" t="s">
        <v>2871</v>
      </c>
      <c r="C808" s="79">
        <v>593275919</v>
      </c>
      <c r="D808" s="79">
        <v>0</v>
      </c>
      <c r="E808" s="79" t="s">
        <v>1124</v>
      </c>
      <c r="F808" s="79" t="s">
        <v>2537</v>
      </c>
      <c r="G808" s="79" t="s">
        <v>2544</v>
      </c>
      <c r="H808" s="79" t="s">
        <v>2545</v>
      </c>
      <c r="I808" s="79"/>
    </row>
    <row r="809" spans="1:9" ht="14.25">
      <c r="A809" s="79" t="s">
        <v>2870</v>
      </c>
      <c r="B809" s="79" t="s">
        <v>2871</v>
      </c>
      <c r="C809" s="79">
        <v>593275919</v>
      </c>
      <c r="D809" s="79">
        <v>0</v>
      </c>
      <c r="E809" s="79" t="s">
        <v>1124</v>
      </c>
      <c r="F809" s="79" t="s">
        <v>2537</v>
      </c>
      <c r="G809" s="79" t="s">
        <v>2579</v>
      </c>
      <c r="H809" s="79"/>
      <c r="I809" s="79"/>
    </row>
    <row r="810" spans="1:9" ht="14.25">
      <c r="A810" s="79" t="s">
        <v>2872</v>
      </c>
      <c r="B810" s="79" t="s">
        <v>2873</v>
      </c>
      <c r="C810" s="79">
        <v>593318519</v>
      </c>
      <c r="D810" s="79">
        <v>0</v>
      </c>
      <c r="E810" s="79" t="s">
        <v>1124</v>
      </c>
      <c r="F810" s="79" t="s">
        <v>2537</v>
      </c>
      <c r="G810" s="79" t="s">
        <v>1130</v>
      </c>
      <c r="H810" s="79"/>
      <c r="I810" s="79"/>
    </row>
    <row r="811" spans="1:9" ht="14.25">
      <c r="A811" s="79" t="s">
        <v>2872</v>
      </c>
      <c r="B811" s="79" t="s">
        <v>2873</v>
      </c>
      <c r="C811" s="79">
        <v>593318519</v>
      </c>
      <c r="D811" s="79">
        <v>0</v>
      </c>
      <c r="E811" s="79" t="s">
        <v>1124</v>
      </c>
      <c r="F811" s="79" t="s">
        <v>2537</v>
      </c>
      <c r="G811" s="79" t="s">
        <v>1131</v>
      </c>
      <c r="H811" s="79" t="s">
        <v>1132</v>
      </c>
      <c r="I811" s="79"/>
    </row>
    <row r="812" spans="1:9" ht="14.25">
      <c r="A812" s="79" t="s">
        <v>2872</v>
      </c>
      <c r="B812" s="79" t="s">
        <v>2873</v>
      </c>
      <c r="C812" s="79">
        <v>593318519</v>
      </c>
      <c r="D812" s="79">
        <v>0</v>
      </c>
      <c r="E812" s="79" t="s">
        <v>1124</v>
      </c>
      <c r="F812" s="79" t="s">
        <v>2537</v>
      </c>
      <c r="G812" s="79" t="s">
        <v>2576</v>
      </c>
      <c r="H812" s="79"/>
      <c r="I812" s="79"/>
    </row>
    <row r="813" spans="1:9" ht="14.25">
      <c r="A813" s="79" t="s">
        <v>2874</v>
      </c>
      <c r="B813" s="79" t="s">
        <v>2875</v>
      </c>
      <c r="C813" s="79">
        <v>593319119</v>
      </c>
      <c r="D813" s="79">
        <v>0</v>
      </c>
      <c r="E813" s="79" t="s">
        <v>1124</v>
      </c>
      <c r="F813" s="79" t="s">
        <v>2537</v>
      </c>
      <c r="G813" s="79" t="s">
        <v>2544</v>
      </c>
      <c r="H813" s="79" t="s">
        <v>2545</v>
      </c>
      <c r="I813" s="79"/>
    </row>
    <row r="814" spans="1:9" ht="14.25">
      <c r="A814" s="79" t="s">
        <v>2874</v>
      </c>
      <c r="B814" s="79" t="s">
        <v>2875</v>
      </c>
      <c r="C814" s="79">
        <v>593319119</v>
      </c>
      <c r="D814" s="79">
        <v>0</v>
      </c>
      <c r="E814" s="79" t="s">
        <v>1124</v>
      </c>
      <c r="F814" s="79" t="s">
        <v>2537</v>
      </c>
      <c r="G814" s="79" t="s">
        <v>2579</v>
      </c>
      <c r="H814" s="79"/>
      <c r="I814" s="79"/>
    </row>
    <row r="815" spans="1:9" ht="14.25">
      <c r="A815" s="79" t="s">
        <v>2876</v>
      </c>
      <c r="B815" s="79" t="s">
        <v>2877</v>
      </c>
      <c r="C815" s="79">
        <v>593361719</v>
      </c>
      <c r="D815" s="79">
        <v>0</v>
      </c>
      <c r="E815" s="79" t="s">
        <v>1124</v>
      </c>
      <c r="F815" s="79" t="s">
        <v>2537</v>
      </c>
      <c r="G815" s="79" t="s">
        <v>1130</v>
      </c>
      <c r="H815" s="79"/>
      <c r="I815" s="79"/>
    </row>
    <row r="816" spans="1:9" ht="14.25">
      <c r="A816" s="79" t="s">
        <v>2876</v>
      </c>
      <c r="B816" s="79" t="s">
        <v>2877</v>
      </c>
      <c r="C816" s="79">
        <v>593361719</v>
      </c>
      <c r="D816" s="79">
        <v>0</v>
      </c>
      <c r="E816" s="79" t="s">
        <v>1124</v>
      </c>
      <c r="F816" s="79" t="s">
        <v>2537</v>
      </c>
      <c r="G816" s="79" t="s">
        <v>1131</v>
      </c>
      <c r="H816" s="79" t="s">
        <v>1132</v>
      </c>
      <c r="I816" s="79"/>
    </row>
    <row r="817" spans="1:9" ht="14.25">
      <c r="A817" s="79" t="s">
        <v>2876</v>
      </c>
      <c r="B817" s="79" t="s">
        <v>2877</v>
      </c>
      <c r="C817" s="79">
        <v>593361719</v>
      </c>
      <c r="D817" s="79">
        <v>0</v>
      </c>
      <c r="E817" s="79" t="s">
        <v>1124</v>
      </c>
      <c r="F817" s="79" t="s">
        <v>2537</v>
      </c>
      <c r="G817" s="79" t="s">
        <v>2576</v>
      </c>
      <c r="H817" s="79"/>
      <c r="I817" s="79"/>
    </row>
    <row r="818" spans="1:9" ht="14.25">
      <c r="A818" s="79" t="s">
        <v>2878</v>
      </c>
      <c r="B818" s="79" t="s">
        <v>2879</v>
      </c>
      <c r="C818" s="79">
        <v>593362319</v>
      </c>
      <c r="D818" s="79">
        <v>0</v>
      </c>
      <c r="E818" s="79" t="s">
        <v>1124</v>
      </c>
      <c r="F818" s="79" t="s">
        <v>2537</v>
      </c>
      <c r="G818" s="79" t="s">
        <v>2544</v>
      </c>
      <c r="H818" s="79" t="s">
        <v>2545</v>
      </c>
      <c r="I818" s="79"/>
    </row>
    <row r="819" spans="1:9" ht="14.25">
      <c r="A819" s="79" t="s">
        <v>2878</v>
      </c>
      <c r="B819" s="79" t="s">
        <v>2879</v>
      </c>
      <c r="C819" s="79">
        <v>593362319</v>
      </c>
      <c r="D819" s="79">
        <v>0</v>
      </c>
      <c r="E819" s="79" t="s">
        <v>1124</v>
      </c>
      <c r="F819" s="79" t="s">
        <v>2537</v>
      </c>
      <c r="G819" s="79" t="s">
        <v>2579</v>
      </c>
      <c r="H819" s="79"/>
      <c r="I819" s="79"/>
    </row>
    <row r="820" spans="1:9" ht="14.25">
      <c r="A820" s="79" t="s">
        <v>2880</v>
      </c>
      <c r="B820" s="79" t="s">
        <v>2881</v>
      </c>
      <c r="C820" s="79">
        <v>593404919</v>
      </c>
      <c r="D820" s="79">
        <v>0</v>
      </c>
      <c r="E820" s="79" t="s">
        <v>1124</v>
      </c>
      <c r="F820" s="79" t="s">
        <v>2537</v>
      </c>
      <c r="G820" s="79" t="s">
        <v>1130</v>
      </c>
      <c r="H820" s="79"/>
      <c r="I820" s="79"/>
    </row>
    <row r="821" spans="1:9" ht="14.25">
      <c r="A821" s="79" t="s">
        <v>2880</v>
      </c>
      <c r="B821" s="79" t="s">
        <v>2881</v>
      </c>
      <c r="C821" s="79">
        <v>593404919</v>
      </c>
      <c r="D821" s="79">
        <v>0</v>
      </c>
      <c r="E821" s="79" t="s">
        <v>1124</v>
      </c>
      <c r="F821" s="79" t="s">
        <v>2537</v>
      </c>
      <c r="G821" s="79" t="s">
        <v>1131</v>
      </c>
      <c r="H821" s="79" t="s">
        <v>1132</v>
      </c>
      <c r="I821" s="79"/>
    </row>
    <row r="822" spans="1:9" ht="14.25">
      <c r="A822" s="79" t="s">
        <v>2880</v>
      </c>
      <c r="B822" s="79" t="s">
        <v>2881</v>
      </c>
      <c r="C822" s="79">
        <v>593404919</v>
      </c>
      <c r="D822" s="79">
        <v>0</v>
      </c>
      <c r="E822" s="79" t="s">
        <v>1124</v>
      </c>
      <c r="F822" s="79" t="s">
        <v>2537</v>
      </c>
      <c r="G822" s="79" t="s">
        <v>2576</v>
      </c>
      <c r="H822" s="79"/>
      <c r="I822" s="79"/>
    </row>
    <row r="823" spans="1:9" ht="14.25">
      <c r="A823" s="79" t="s">
        <v>2882</v>
      </c>
      <c r="B823" s="79" t="s">
        <v>2883</v>
      </c>
      <c r="C823" s="79">
        <v>593405519</v>
      </c>
      <c r="D823" s="79">
        <v>0</v>
      </c>
      <c r="E823" s="79" t="s">
        <v>1124</v>
      </c>
      <c r="F823" s="79" t="s">
        <v>2537</v>
      </c>
      <c r="G823" s="79" t="s">
        <v>2544</v>
      </c>
      <c r="H823" s="79" t="s">
        <v>2545</v>
      </c>
      <c r="I823" s="79"/>
    </row>
    <row r="824" spans="1:9" ht="14.25">
      <c r="A824" s="79" t="s">
        <v>2882</v>
      </c>
      <c r="B824" s="79" t="s">
        <v>2883</v>
      </c>
      <c r="C824" s="79">
        <v>593405519</v>
      </c>
      <c r="D824" s="79">
        <v>0</v>
      </c>
      <c r="E824" s="79" t="s">
        <v>1124</v>
      </c>
      <c r="F824" s="79" t="s">
        <v>2537</v>
      </c>
      <c r="G824" s="79" t="s">
        <v>2579</v>
      </c>
      <c r="H824" s="79"/>
      <c r="I824" s="79"/>
    </row>
    <row r="825" spans="1:9" ht="14.25">
      <c r="A825" s="79" t="s">
        <v>2884</v>
      </c>
      <c r="B825" s="79" t="s">
        <v>2885</v>
      </c>
      <c r="C825" s="79">
        <v>593448119</v>
      </c>
      <c r="D825" s="79">
        <v>0</v>
      </c>
      <c r="E825" s="79" t="s">
        <v>1124</v>
      </c>
      <c r="F825" s="79" t="s">
        <v>2537</v>
      </c>
      <c r="G825" s="79" t="s">
        <v>1130</v>
      </c>
      <c r="H825" s="79"/>
      <c r="I825" s="79"/>
    </row>
    <row r="826" spans="1:9" ht="14.25">
      <c r="A826" s="79" t="s">
        <v>2884</v>
      </c>
      <c r="B826" s="79" t="s">
        <v>2885</v>
      </c>
      <c r="C826" s="79">
        <v>593448119</v>
      </c>
      <c r="D826" s="79">
        <v>0</v>
      </c>
      <c r="E826" s="79" t="s">
        <v>1124</v>
      </c>
      <c r="F826" s="79" t="s">
        <v>2537</v>
      </c>
      <c r="G826" s="79" t="s">
        <v>1131</v>
      </c>
      <c r="H826" s="79" t="s">
        <v>1132</v>
      </c>
      <c r="I826" s="79"/>
    </row>
    <row r="827" spans="1:9" ht="14.25">
      <c r="A827" s="79" t="s">
        <v>2884</v>
      </c>
      <c r="B827" s="79" t="s">
        <v>2885</v>
      </c>
      <c r="C827" s="79">
        <v>593448119</v>
      </c>
      <c r="D827" s="79">
        <v>0</v>
      </c>
      <c r="E827" s="79" t="s">
        <v>1124</v>
      </c>
      <c r="F827" s="79" t="s">
        <v>2537</v>
      </c>
      <c r="G827" s="79" t="s">
        <v>2576</v>
      </c>
      <c r="H827" s="79"/>
      <c r="I827" s="79"/>
    </row>
    <row r="828" spans="1:9" ht="14.25">
      <c r="A828" s="79" t="s">
        <v>2886</v>
      </c>
      <c r="B828" s="79" t="s">
        <v>2887</v>
      </c>
      <c r="C828" s="79">
        <v>593448719</v>
      </c>
      <c r="D828" s="79">
        <v>0</v>
      </c>
      <c r="E828" s="79" t="s">
        <v>1124</v>
      </c>
      <c r="F828" s="79" t="s">
        <v>2537</v>
      </c>
      <c r="G828" s="79" t="s">
        <v>2544</v>
      </c>
      <c r="H828" s="79" t="s">
        <v>2545</v>
      </c>
      <c r="I828" s="79"/>
    </row>
    <row r="829" spans="1:9" ht="14.25">
      <c r="A829" s="79" t="s">
        <v>2886</v>
      </c>
      <c r="B829" s="79" t="s">
        <v>2887</v>
      </c>
      <c r="C829" s="79">
        <v>593448719</v>
      </c>
      <c r="D829" s="79">
        <v>0</v>
      </c>
      <c r="E829" s="79" t="s">
        <v>1124</v>
      </c>
      <c r="F829" s="79" t="s">
        <v>2537</v>
      </c>
      <c r="G829" s="79" t="s">
        <v>2579</v>
      </c>
      <c r="H829" s="79"/>
      <c r="I829" s="79"/>
    </row>
    <row r="830" spans="1:9" ht="14.25">
      <c r="A830" s="79" t="s">
        <v>2888</v>
      </c>
      <c r="B830" s="79" t="s">
        <v>2889</v>
      </c>
      <c r="C830" s="79">
        <v>593491319</v>
      </c>
      <c r="D830" s="79">
        <v>0</v>
      </c>
      <c r="E830" s="79" t="s">
        <v>1124</v>
      </c>
      <c r="F830" s="79" t="s">
        <v>2537</v>
      </c>
      <c r="G830" s="79" t="s">
        <v>1130</v>
      </c>
      <c r="H830" s="79"/>
      <c r="I830" s="79"/>
    </row>
    <row r="831" spans="1:9" ht="14.25">
      <c r="A831" s="79" t="s">
        <v>2888</v>
      </c>
      <c r="B831" s="79" t="s">
        <v>2889</v>
      </c>
      <c r="C831" s="79">
        <v>593491319</v>
      </c>
      <c r="D831" s="79">
        <v>0</v>
      </c>
      <c r="E831" s="79" t="s">
        <v>1124</v>
      </c>
      <c r="F831" s="79" t="s">
        <v>2537</v>
      </c>
      <c r="G831" s="79" t="s">
        <v>1131</v>
      </c>
      <c r="H831" s="79" t="s">
        <v>1132</v>
      </c>
      <c r="I831" s="79"/>
    </row>
    <row r="832" spans="1:9" ht="14.25">
      <c r="A832" s="79" t="s">
        <v>2888</v>
      </c>
      <c r="B832" s="79" t="s">
        <v>2889</v>
      </c>
      <c r="C832" s="79">
        <v>593491319</v>
      </c>
      <c r="D832" s="79">
        <v>0</v>
      </c>
      <c r="E832" s="79" t="s">
        <v>1124</v>
      </c>
      <c r="F832" s="79" t="s">
        <v>2537</v>
      </c>
      <c r="G832" s="79" t="s">
        <v>2576</v>
      </c>
      <c r="H832" s="79"/>
      <c r="I832" s="79"/>
    </row>
    <row r="833" spans="1:9" ht="14.25">
      <c r="A833" s="79" t="s">
        <v>2890</v>
      </c>
      <c r="B833" s="79" t="s">
        <v>2891</v>
      </c>
      <c r="C833" s="79">
        <v>593491919</v>
      </c>
      <c r="D833" s="79">
        <v>0</v>
      </c>
      <c r="E833" s="79" t="s">
        <v>1124</v>
      </c>
      <c r="F833" s="79" t="s">
        <v>2537</v>
      </c>
      <c r="G833" s="79" t="s">
        <v>2544</v>
      </c>
      <c r="H833" s="79" t="s">
        <v>2545</v>
      </c>
      <c r="I833" s="79"/>
    </row>
    <row r="834" spans="1:9" ht="14.25">
      <c r="A834" s="79" t="s">
        <v>2890</v>
      </c>
      <c r="B834" s="79" t="s">
        <v>2891</v>
      </c>
      <c r="C834" s="79">
        <v>593491919</v>
      </c>
      <c r="D834" s="79">
        <v>0</v>
      </c>
      <c r="E834" s="79" t="s">
        <v>1124</v>
      </c>
      <c r="F834" s="79" t="s">
        <v>2537</v>
      </c>
      <c r="G834" s="79" t="s">
        <v>2579</v>
      </c>
      <c r="H834" s="79"/>
      <c r="I834" s="79"/>
    </row>
    <row r="835" spans="1:9" ht="14.25">
      <c r="A835" s="79" t="s">
        <v>2892</v>
      </c>
      <c r="B835" s="79" t="s">
        <v>2893</v>
      </c>
      <c r="C835" s="79">
        <v>593534519</v>
      </c>
      <c r="D835" s="79">
        <v>0</v>
      </c>
      <c r="E835" s="79" t="s">
        <v>1124</v>
      </c>
      <c r="F835" s="79" t="s">
        <v>2537</v>
      </c>
      <c r="G835" s="79" t="s">
        <v>1130</v>
      </c>
      <c r="H835" s="79"/>
      <c r="I835" s="79"/>
    </row>
    <row r="836" spans="1:9" ht="14.25">
      <c r="A836" s="79" t="s">
        <v>2892</v>
      </c>
      <c r="B836" s="79" t="s">
        <v>2893</v>
      </c>
      <c r="C836" s="79">
        <v>593534519</v>
      </c>
      <c r="D836" s="79">
        <v>0</v>
      </c>
      <c r="E836" s="79" t="s">
        <v>1124</v>
      </c>
      <c r="F836" s="79" t="s">
        <v>2537</v>
      </c>
      <c r="G836" s="79" t="s">
        <v>1131</v>
      </c>
      <c r="H836" s="79" t="s">
        <v>1132</v>
      </c>
      <c r="I836" s="79"/>
    </row>
    <row r="837" spans="1:9" ht="14.25">
      <c r="A837" s="79" t="s">
        <v>2892</v>
      </c>
      <c r="B837" s="79" t="s">
        <v>2893</v>
      </c>
      <c r="C837" s="79">
        <v>593534519</v>
      </c>
      <c r="D837" s="79">
        <v>0</v>
      </c>
      <c r="E837" s="79" t="s">
        <v>1124</v>
      </c>
      <c r="F837" s="79" t="s">
        <v>2537</v>
      </c>
      <c r="G837" s="79" t="s">
        <v>2576</v>
      </c>
      <c r="H837" s="79"/>
      <c r="I837" s="79"/>
    </row>
    <row r="838" spans="1:9" ht="14.25">
      <c r="A838" s="79" t="s">
        <v>2894</v>
      </c>
      <c r="B838" s="79" t="s">
        <v>2895</v>
      </c>
      <c r="C838" s="79">
        <v>593535119</v>
      </c>
      <c r="D838" s="79">
        <v>0</v>
      </c>
      <c r="E838" s="79" t="s">
        <v>1124</v>
      </c>
      <c r="F838" s="79" t="s">
        <v>2537</v>
      </c>
      <c r="G838" s="79" t="s">
        <v>2544</v>
      </c>
      <c r="H838" s="79" t="s">
        <v>2545</v>
      </c>
      <c r="I838" s="79"/>
    </row>
    <row r="839" spans="1:9" ht="14.25">
      <c r="A839" s="79" t="s">
        <v>2894</v>
      </c>
      <c r="B839" s="79" t="s">
        <v>2895</v>
      </c>
      <c r="C839" s="79">
        <v>593535119</v>
      </c>
      <c r="D839" s="79">
        <v>0</v>
      </c>
      <c r="E839" s="79" t="s">
        <v>1124</v>
      </c>
      <c r="F839" s="79" t="s">
        <v>2537</v>
      </c>
      <c r="G839" s="79" t="s">
        <v>2579</v>
      </c>
      <c r="H839" s="79"/>
      <c r="I839" s="79"/>
    </row>
    <row r="840" spans="1:9" ht="14.25">
      <c r="A840" s="79" t="s">
        <v>2896</v>
      </c>
      <c r="B840" s="79" t="s">
        <v>2897</v>
      </c>
      <c r="C840" s="79">
        <v>593577719</v>
      </c>
      <c r="D840" s="79">
        <v>0</v>
      </c>
      <c r="E840" s="79" t="s">
        <v>1124</v>
      </c>
      <c r="F840" s="79" t="s">
        <v>2537</v>
      </c>
      <c r="G840" s="79" t="s">
        <v>1130</v>
      </c>
      <c r="H840" s="79"/>
      <c r="I840" s="79"/>
    </row>
    <row r="841" spans="1:9" ht="14.25">
      <c r="A841" s="79" t="s">
        <v>2896</v>
      </c>
      <c r="B841" s="79" t="s">
        <v>2897</v>
      </c>
      <c r="C841" s="79">
        <v>593577719</v>
      </c>
      <c r="D841" s="79">
        <v>0</v>
      </c>
      <c r="E841" s="79" t="s">
        <v>1124</v>
      </c>
      <c r="F841" s="79" t="s">
        <v>2537</v>
      </c>
      <c r="G841" s="79" t="s">
        <v>1131</v>
      </c>
      <c r="H841" s="79" t="s">
        <v>1132</v>
      </c>
      <c r="I841" s="79"/>
    </row>
    <row r="842" spans="1:9" ht="14.25">
      <c r="A842" s="79" t="s">
        <v>2896</v>
      </c>
      <c r="B842" s="79" t="s">
        <v>2897</v>
      </c>
      <c r="C842" s="79">
        <v>593577719</v>
      </c>
      <c r="D842" s="79">
        <v>0</v>
      </c>
      <c r="E842" s="79" t="s">
        <v>1124</v>
      </c>
      <c r="F842" s="79" t="s">
        <v>2537</v>
      </c>
      <c r="G842" s="79" t="s">
        <v>2576</v>
      </c>
      <c r="H842" s="79"/>
      <c r="I842" s="79"/>
    </row>
    <row r="843" spans="1:9" ht="14.25">
      <c r="A843" s="79" t="s">
        <v>2898</v>
      </c>
      <c r="B843" s="79" t="s">
        <v>2899</v>
      </c>
      <c r="C843" s="79">
        <v>593578319</v>
      </c>
      <c r="D843" s="79">
        <v>0</v>
      </c>
      <c r="E843" s="79" t="s">
        <v>1124</v>
      </c>
      <c r="F843" s="79" t="s">
        <v>2537</v>
      </c>
      <c r="G843" s="79" t="s">
        <v>2544</v>
      </c>
      <c r="H843" s="79" t="s">
        <v>2545</v>
      </c>
      <c r="I843" s="79"/>
    </row>
    <row r="844" spans="1:9" ht="14.25">
      <c r="A844" s="79" t="s">
        <v>2898</v>
      </c>
      <c r="B844" s="79" t="s">
        <v>2899</v>
      </c>
      <c r="C844" s="79">
        <v>593578319</v>
      </c>
      <c r="D844" s="79">
        <v>0</v>
      </c>
      <c r="E844" s="79" t="s">
        <v>1124</v>
      </c>
      <c r="F844" s="79" t="s">
        <v>2537</v>
      </c>
      <c r="G844" s="79" t="s">
        <v>2579</v>
      </c>
      <c r="H844" s="79"/>
      <c r="I844" s="79"/>
    </row>
    <row r="845" spans="1:9" ht="14.25">
      <c r="A845" s="79" t="s">
        <v>2900</v>
      </c>
      <c r="B845" s="79" t="s">
        <v>2901</v>
      </c>
      <c r="C845" s="79">
        <v>593620919</v>
      </c>
      <c r="D845" s="79">
        <v>0</v>
      </c>
      <c r="E845" s="79" t="s">
        <v>1124</v>
      </c>
      <c r="F845" s="79" t="s">
        <v>2537</v>
      </c>
      <c r="G845" s="79" t="s">
        <v>1130</v>
      </c>
      <c r="H845" s="79"/>
      <c r="I845" s="79"/>
    </row>
    <row r="846" spans="1:9" ht="14.25">
      <c r="A846" s="79" t="s">
        <v>2900</v>
      </c>
      <c r="B846" s="79" t="s">
        <v>2901</v>
      </c>
      <c r="C846" s="79">
        <v>593620919</v>
      </c>
      <c r="D846" s="79">
        <v>0</v>
      </c>
      <c r="E846" s="79" t="s">
        <v>1124</v>
      </c>
      <c r="F846" s="79" t="s">
        <v>2537</v>
      </c>
      <c r="G846" s="79" t="s">
        <v>1131</v>
      </c>
      <c r="H846" s="79" t="s">
        <v>1132</v>
      </c>
      <c r="I846" s="79"/>
    </row>
    <row r="847" spans="1:9" ht="14.25">
      <c r="A847" s="79" t="s">
        <v>2900</v>
      </c>
      <c r="B847" s="79" t="s">
        <v>2901</v>
      </c>
      <c r="C847" s="79">
        <v>593620919</v>
      </c>
      <c r="D847" s="79">
        <v>0</v>
      </c>
      <c r="E847" s="79" t="s">
        <v>1124</v>
      </c>
      <c r="F847" s="79" t="s">
        <v>2537</v>
      </c>
      <c r="G847" s="79" t="s">
        <v>2576</v>
      </c>
      <c r="H847" s="79"/>
      <c r="I847" s="79"/>
    </row>
    <row r="848" spans="1:9" ht="14.25">
      <c r="A848" s="79" t="s">
        <v>2902</v>
      </c>
      <c r="B848" s="79" t="s">
        <v>2903</v>
      </c>
      <c r="C848" s="79">
        <v>593621519</v>
      </c>
      <c r="D848" s="79">
        <v>0</v>
      </c>
      <c r="E848" s="79" t="s">
        <v>1124</v>
      </c>
      <c r="F848" s="79" t="s">
        <v>2537</v>
      </c>
      <c r="G848" s="79" t="s">
        <v>2544</v>
      </c>
      <c r="H848" s="79" t="s">
        <v>2545</v>
      </c>
      <c r="I848" s="79"/>
    </row>
    <row r="849" spans="1:9" ht="14.25">
      <c r="A849" s="79" t="s">
        <v>2902</v>
      </c>
      <c r="B849" s="79" t="s">
        <v>2903</v>
      </c>
      <c r="C849" s="79">
        <v>593621519</v>
      </c>
      <c r="D849" s="79">
        <v>0</v>
      </c>
      <c r="E849" s="79" t="s">
        <v>1124</v>
      </c>
      <c r="F849" s="79" t="s">
        <v>2537</v>
      </c>
      <c r="G849" s="79" t="s">
        <v>2579</v>
      </c>
      <c r="H849" s="79"/>
      <c r="I849" s="79"/>
    </row>
    <row r="850" spans="1:9" ht="14.25">
      <c r="A850" s="79" t="s">
        <v>2904</v>
      </c>
      <c r="B850" s="79" t="s">
        <v>2905</v>
      </c>
      <c r="C850" s="79">
        <v>593664119</v>
      </c>
      <c r="D850" s="79">
        <v>0</v>
      </c>
      <c r="E850" s="79" t="s">
        <v>1124</v>
      </c>
      <c r="F850" s="79" t="s">
        <v>2537</v>
      </c>
      <c r="G850" s="79" t="s">
        <v>1130</v>
      </c>
      <c r="H850" s="79"/>
      <c r="I850" s="79"/>
    </row>
    <row r="851" spans="1:9" ht="14.25">
      <c r="A851" s="79" t="s">
        <v>2904</v>
      </c>
      <c r="B851" s="79" t="s">
        <v>2905</v>
      </c>
      <c r="C851" s="79">
        <v>593664119</v>
      </c>
      <c r="D851" s="79">
        <v>0</v>
      </c>
      <c r="E851" s="79" t="s">
        <v>1124</v>
      </c>
      <c r="F851" s="79" t="s">
        <v>2537</v>
      </c>
      <c r="G851" s="79" t="s">
        <v>1131</v>
      </c>
      <c r="H851" s="79" t="s">
        <v>1132</v>
      </c>
      <c r="I851" s="79"/>
    </row>
    <row r="852" spans="1:9" ht="14.25">
      <c r="A852" s="79" t="s">
        <v>2904</v>
      </c>
      <c r="B852" s="79" t="s">
        <v>2905</v>
      </c>
      <c r="C852" s="79">
        <v>593664119</v>
      </c>
      <c r="D852" s="79">
        <v>0</v>
      </c>
      <c r="E852" s="79" t="s">
        <v>1124</v>
      </c>
      <c r="F852" s="79" t="s">
        <v>2537</v>
      </c>
      <c r="G852" s="79" t="s">
        <v>2576</v>
      </c>
      <c r="H852" s="79"/>
      <c r="I852" s="79"/>
    </row>
    <row r="853" spans="1:9" ht="14.25">
      <c r="A853" s="79" t="s">
        <v>2906</v>
      </c>
      <c r="B853" s="79" t="s">
        <v>2907</v>
      </c>
      <c r="C853" s="79">
        <v>593664719</v>
      </c>
      <c r="D853" s="79">
        <v>0</v>
      </c>
      <c r="E853" s="79" t="s">
        <v>1124</v>
      </c>
      <c r="F853" s="79" t="s">
        <v>2537</v>
      </c>
      <c r="G853" s="79" t="s">
        <v>2544</v>
      </c>
      <c r="H853" s="79" t="s">
        <v>2545</v>
      </c>
      <c r="I853" s="79"/>
    </row>
    <row r="854" spans="1:9" ht="14.25">
      <c r="A854" s="79" t="s">
        <v>2906</v>
      </c>
      <c r="B854" s="79" t="s">
        <v>2907</v>
      </c>
      <c r="C854" s="79">
        <v>593664719</v>
      </c>
      <c r="D854" s="79">
        <v>0</v>
      </c>
      <c r="E854" s="79" t="s">
        <v>1124</v>
      </c>
      <c r="F854" s="79" t="s">
        <v>2537</v>
      </c>
      <c r="G854" s="79" t="s">
        <v>2579</v>
      </c>
      <c r="H854" s="79"/>
      <c r="I854" s="79"/>
    </row>
    <row r="855" spans="1:9" ht="14.25">
      <c r="A855" s="79" t="s">
        <v>2908</v>
      </c>
      <c r="B855" s="79" t="s">
        <v>2909</v>
      </c>
      <c r="C855" s="79">
        <v>593707319</v>
      </c>
      <c r="D855" s="79">
        <v>0</v>
      </c>
      <c r="E855" s="79" t="s">
        <v>1124</v>
      </c>
      <c r="F855" s="79" t="s">
        <v>2537</v>
      </c>
      <c r="G855" s="79" t="s">
        <v>1130</v>
      </c>
      <c r="H855" s="79"/>
      <c r="I855" s="79"/>
    </row>
    <row r="856" spans="1:9" ht="14.25">
      <c r="A856" s="79" t="s">
        <v>2908</v>
      </c>
      <c r="B856" s="79" t="s">
        <v>2909</v>
      </c>
      <c r="C856" s="79">
        <v>593707319</v>
      </c>
      <c r="D856" s="79">
        <v>0</v>
      </c>
      <c r="E856" s="79" t="s">
        <v>1124</v>
      </c>
      <c r="F856" s="79" t="s">
        <v>2537</v>
      </c>
      <c r="G856" s="79" t="s">
        <v>2107</v>
      </c>
      <c r="H856" s="79"/>
      <c r="I856" s="79"/>
    </row>
    <row r="857" spans="1:9" ht="14.25">
      <c r="A857" s="79" t="s">
        <v>2910</v>
      </c>
      <c r="B857" s="79" t="s">
        <v>2911</v>
      </c>
      <c r="C857" s="79">
        <v>593707322</v>
      </c>
      <c r="D857" s="79">
        <v>0</v>
      </c>
      <c r="E857" s="79" t="s">
        <v>1124</v>
      </c>
      <c r="F857" s="79" t="s">
        <v>2537</v>
      </c>
      <c r="G857" s="79" t="s">
        <v>1130</v>
      </c>
      <c r="H857" s="79"/>
      <c r="I857" s="79"/>
    </row>
    <row r="858" spans="1:9" ht="14.25">
      <c r="A858" s="79" t="s">
        <v>2910</v>
      </c>
      <c r="B858" s="79" t="s">
        <v>2911</v>
      </c>
      <c r="C858" s="79">
        <v>593707322</v>
      </c>
      <c r="D858" s="79">
        <v>0</v>
      </c>
      <c r="E858" s="79" t="s">
        <v>1124</v>
      </c>
      <c r="F858" s="79" t="s">
        <v>2537</v>
      </c>
      <c r="G858" s="79" t="s">
        <v>2570</v>
      </c>
      <c r="H858" s="79" t="s">
        <v>2571</v>
      </c>
      <c r="I858" s="79"/>
    </row>
    <row r="859" spans="1:9" ht="14.25">
      <c r="A859" s="79" t="s">
        <v>2910</v>
      </c>
      <c r="B859" s="79" t="s">
        <v>2911</v>
      </c>
      <c r="C859" s="79">
        <v>593707322</v>
      </c>
      <c r="D859" s="79">
        <v>0</v>
      </c>
      <c r="E859" s="79" t="s">
        <v>1124</v>
      </c>
      <c r="F859" s="79" t="s">
        <v>2537</v>
      </c>
      <c r="G859" s="79" t="s">
        <v>2566</v>
      </c>
      <c r="H859" s="79"/>
      <c r="I859" s="79"/>
    </row>
    <row r="860" spans="1:9" ht="14.25">
      <c r="A860" s="79" t="s">
        <v>2912</v>
      </c>
      <c r="B860" s="79" t="s">
        <v>2913</v>
      </c>
      <c r="C860" s="79">
        <v>593707682</v>
      </c>
      <c r="D860" s="79">
        <v>0</v>
      </c>
      <c r="E860" s="79" t="s">
        <v>1124</v>
      </c>
      <c r="F860" s="79" t="s">
        <v>2537</v>
      </c>
      <c r="G860" s="79" t="s">
        <v>2574</v>
      </c>
      <c r="H860" s="79"/>
      <c r="I860" s="79"/>
    </row>
    <row r="861" spans="1:9" ht="14.25">
      <c r="A861" s="79" t="s">
        <v>2912</v>
      </c>
      <c r="B861" s="79" t="s">
        <v>2913</v>
      </c>
      <c r="C861" s="79">
        <v>593707682</v>
      </c>
      <c r="D861" s="79">
        <v>0</v>
      </c>
      <c r="E861" s="79" t="s">
        <v>1124</v>
      </c>
      <c r="F861" s="79" t="s">
        <v>2537</v>
      </c>
      <c r="G861" s="79" t="s">
        <v>2575</v>
      </c>
      <c r="H861" s="79"/>
      <c r="I861" s="79"/>
    </row>
    <row r="862" spans="1:9" ht="14.25">
      <c r="A862" s="79" t="s">
        <v>2912</v>
      </c>
      <c r="B862" s="79" t="s">
        <v>2913</v>
      </c>
      <c r="C862" s="79">
        <v>593707682</v>
      </c>
      <c r="D862" s="79">
        <v>0</v>
      </c>
      <c r="E862" s="79" t="s">
        <v>1124</v>
      </c>
      <c r="F862" s="79" t="s">
        <v>2537</v>
      </c>
      <c r="G862" s="79" t="s">
        <v>1131</v>
      </c>
      <c r="H862" s="79" t="s">
        <v>1132</v>
      </c>
      <c r="I862" s="79"/>
    </row>
    <row r="863" spans="1:9" ht="14.25">
      <c r="A863" s="79" t="s">
        <v>2912</v>
      </c>
      <c r="B863" s="79" t="s">
        <v>2913</v>
      </c>
      <c r="C863" s="79">
        <v>593707682</v>
      </c>
      <c r="D863" s="79">
        <v>0</v>
      </c>
      <c r="E863" s="79" t="s">
        <v>1124</v>
      </c>
      <c r="F863" s="79" t="s">
        <v>2537</v>
      </c>
      <c r="G863" s="79" t="s">
        <v>2576</v>
      </c>
      <c r="H863" s="79"/>
      <c r="I863" s="79"/>
    </row>
    <row r="864" spans="1:9" ht="14.25">
      <c r="A864" s="79" t="s">
        <v>2914</v>
      </c>
      <c r="B864" s="79" t="s">
        <v>2915</v>
      </c>
      <c r="C864" s="79">
        <v>593708282</v>
      </c>
      <c r="D864" s="79">
        <v>0</v>
      </c>
      <c r="E864" s="79" t="s">
        <v>1124</v>
      </c>
      <c r="F864" s="79" t="s">
        <v>2537</v>
      </c>
      <c r="G864" s="79" t="s">
        <v>2544</v>
      </c>
      <c r="H864" s="79" t="s">
        <v>2545</v>
      </c>
      <c r="I864" s="79"/>
    </row>
    <row r="865" spans="1:9" ht="14.25">
      <c r="A865" s="79" t="s">
        <v>2914</v>
      </c>
      <c r="B865" s="79" t="s">
        <v>2915</v>
      </c>
      <c r="C865" s="79">
        <v>593708282</v>
      </c>
      <c r="D865" s="79">
        <v>0</v>
      </c>
      <c r="E865" s="79" t="s">
        <v>1124</v>
      </c>
      <c r="F865" s="79" t="s">
        <v>2537</v>
      </c>
      <c r="G865" s="79" t="s">
        <v>2579</v>
      </c>
      <c r="H865" s="79"/>
      <c r="I865" s="79"/>
    </row>
    <row r="866" spans="1:9" ht="14.25">
      <c r="A866" s="79" t="s">
        <v>2916</v>
      </c>
      <c r="B866" s="79" t="s">
        <v>2917</v>
      </c>
      <c r="C866" s="79">
        <v>593750882</v>
      </c>
      <c r="D866" s="79">
        <v>0</v>
      </c>
      <c r="E866" s="79" t="s">
        <v>1124</v>
      </c>
      <c r="F866" s="79" t="s">
        <v>2537</v>
      </c>
      <c r="G866" s="79" t="s">
        <v>1130</v>
      </c>
      <c r="H866" s="79"/>
      <c r="I866" s="79"/>
    </row>
    <row r="867" spans="1:9" ht="14.25">
      <c r="A867" s="79" t="s">
        <v>2916</v>
      </c>
      <c r="B867" s="79" t="s">
        <v>2917</v>
      </c>
      <c r="C867" s="79">
        <v>593750882</v>
      </c>
      <c r="D867" s="79">
        <v>0</v>
      </c>
      <c r="E867" s="79" t="s">
        <v>1124</v>
      </c>
      <c r="F867" s="79" t="s">
        <v>2537</v>
      </c>
      <c r="G867" s="79" t="s">
        <v>1131</v>
      </c>
      <c r="H867" s="79" t="s">
        <v>1132</v>
      </c>
      <c r="I867" s="79"/>
    </row>
    <row r="868" spans="1:9" ht="14.25">
      <c r="A868" s="79" t="s">
        <v>2916</v>
      </c>
      <c r="B868" s="79" t="s">
        <v>2917</v>
      </c>
      <c r="C868" s="79">
        <v>593750882</v>
      </c>
      <c r="D868" s="79">
        <v>0</v>
      </c>
      <c r="E868" s="79" t="s">
        <v>1124</v>
      </c>
      <c r="F868" s="79" t="s">
        <v>2537</v>
      </c>
      <c r="G868" s="79" t="s">
        <v>2576</v>
      </c>
      <c r="H868" s="79"/>
      <c r="I868" s="79"/>
    </row>
    <row r="869" spans="1:9" ht="14.25">
      <c r="A869" s="79" t="s">
        <v>2918</v>
      </c>
      <c r="B869" s="79" t="s">
        <v>2919</v>
      </c>
      <c r="C869" s="79">
        <v>593751482</v>
      </c>
      <c r="D869" s="79">
        <v>0</v>
      </c>
      <c r="E869" s="79" t="s">
        <v>1124</v>
      </c>
      <c r="F869" s="79" t="s">
        <v>2537</v>
      </c>
      <c r="G869" s="79" t="s">
        <v>2544</v>
      </c>
      <c r="H869" s="79" t="s">
        <v>2545</v>
      </c>
      <c r="I869" s="79"/>
    </row>
    <row r="870" spans="1:9" ht="14.25">
      <c r="A870" s="79" t="s">
        <v>2918</v>
      </c>
      <c r="B870" s="79" t="s">
        <v>2919</v>
      </c>
      <c r="C870" s="79">
        <v>593751482</v>
      </c>
      <c r="D870" s="79">
        <v>0</v>
      </c>
      <c r="E870" s="79" t="s">
        <v>1124</v>
      </c>
      <c r="F870" s="79" t="s">
        <v>2537</v>
      </c>
      <c r="G870" s="79" t="s">
        <v>2579</v>
      </c>
      <c r="H870" s="79"/>
      <c r="I870" s="79"/>
    </row>
    <row r="871" spans="1:9" ht="14.25">
      <c r="A871" s="79" t="s">
        <v>2920</v>
      </c>
      <c r="B871" s="79" t="s">
        <v>2921</v>
      </c>
      <c r="C871" s="79">
        <v>593794082</v>
      </c>
      <c r="D871" s="79">
        <v>0</v>
      </c>
      <c r="E871" s="79" t="s">
        <v>1124</v>
      </c>
      <c r="F871" s="79" t="s">
        <v>2537</v>
      </c>
      <c r="G871" s="79" t="s">
        <v>1130</v>
      </c>
      <c r="H871" s="79"/>
      <c r="I871" s="79"/>
    </row>
    <row r="872" spans="1:9" ht="14.25">
      <c r="A872" s="79" t="s">
        <v>2920</v>
      </c>
      <c r="B872" s="79" t="s">
        <v>2921</v>
      </c>
      <c r="C872" s="79">
        <v>593794082</v>
      </c>
      <c r="D872" s="79">
        <v>0</v>
      </c>
      <c r="E872" s="79" t="s">
        <v>1124</v>
      </c>
      <c r="F872" s="79" t="s">
        <v>2537</v>
      </c>
      <c r="G872" s="79" t="s">
        <v>1131</v>
      </c>
      <c r="H872" s="79" t="s">
        <v>1132</v>
      </c>
      <c r="I872" s="79"/>
    </row>
    <row r="873" spans="1:9" ht="14.25">
      <c r="A873" s="79" t="s">
        <v>2920</v>
      </c>
      <c r="B873" s="79" t="s">
        <v>2921</v>
      </c>
      <c r="C873" s="79">
        <v>593794082</v>
      </c>
      <c r="D873" s="79">
        <v>0</v>
      </c>
      <c r="E873" s="79" t="s">
        <v>1124</v>
      </c>
      <c r="F873" s="79" t="s">
        <v>2537</v>
      </c>
      <c r="G873" s="79" t="s">
        <v>2576</v>
      </c>
      <c r="H873" s="79"/>
      <c r="I873" s="79"/>
    </row>
    <row r="874" spans="1:9" ht="14.25">
      <c r="A874" s="79" t="s">
        <v>2922</v>
      </c>
      <c r="B874" s="79" t="s">
        <v>2923</v>
      </c>
      <c r="C874" s="79">
        <v>593794682</v>
      </c>
      <c r="D874" s="79">
        <v>0</v>
      </c>
      <c r="E874" s="79" t="s">
        <v>1124</v>
      </c>
      <c r="F874" s="79" t="s">
        <v>2537</v>
      </c>
      <c r="G874" s="79" t="s">
        <v>2544</v>
      </c>
      <c r="H874" s="79" t="s">
        <v>2545</v>
      </c>
      <c r="I874" s="79"/>
    </row>
    <row r="875" spans="1:9" ht="14.25">
      <c r="A875" s="79" t="s">
        <v>2922</v>
      </c>
      <c r="B875" s="79" t="s">
        <v>2923</v>
      </c>
      <c r="C875" s="79">
        <v>593794682</v>
      </c>
      <c r="D875" s="79">
        <v>0</v>
      </c>
      <c r="E875" s="79" t="s">
        <v>1124</v>
      </c>
      <c r="F875" s="79" t="s">
        <v>2537</v>
      </c>
      <c r="G875" s="79" t="s">
        <v>2579</v>
      </c>
      <c r="H875" s="79"/>
      <c r="I875" s="79"/>
    </row>
    <row r="876" spans="1:9" ht="14.25">
      <c r="A876" s="79" t="s">
        <v>2924</v>
      </c>
      <c r="B876" s="79" t="s">
        <v>2925</v>
      </c>
      <c r="C876" s="79">
        <v>593837282</v>
      </c>
      <c r="D876" s="79">
        <v>0</v>
      </c>
      <c r="E876" s="79" t="s">
        <v>1124</v>
      </c>
      <c r="F876" s="79" t="s">
        <v>2537</v>
      </c>
      <c r="G876" s="79" t="s">
        <v>1130</v>
      </c>
      <c r="H876" s="79"/>
      <c r="I876" s="79"/>
    </row>
    <row r="877" spans="1:9" ht="14.25">
      <c r="A877" s="79" t="s">
        <v>2924</v>
      </c>
      <c r="B877" s="79" t="s">
        <v>2925</v>
      </c>
      <c r="C877" s="79">
        <v>593837282</v>
      </c>
      <c r="D877" s="79">
        <v>0</v>
      </c>
      <c r="E877" s="79" t="s">
        <v>1124</v>
      </c>
      <c r="F877" s="79" t="s">
        <v>2537</v>
      </c>
      <c r="G877" s="79" t="s">
        <v>1131</v>
      </c>
      <c r="H877" s="79" t="s">
        <v>1132</v>
      </c>
      <c r="I877" s="79"/>
    </row>
    <row r="878" spans="1:9" ht="14.25">
      <c r="A878" s="79" t="s">
        <v>2924</v>
      </c>
      <c r="B878" s="79" t="s">
        <v>2925</v>
      </c>
      <c r="C878" s="79">
        <v>593837282</v>
      </c>
      <c r="D878" s="79">
        <v>0</v>
      </c>
      <c r="E878" s="79" t="s">
        <v>1124</v>
      </c>
      <c r="F878" s="79" t="s">
        <v>2537</v>
      </c>
      <c r="G878" s="79" t="s">
        <v>2576</v>
      </c>
      <c r="H878" s="79"/>
      <c r="I878" s="79"/>
    </row>
    <row r="879" spans="1:9" ht="14.25">
      <c r="A879" s="79" t="s">
        <v>2926</v>
      </c>
      <c r="B879" s="79" t="s">
        <v>2927</v>
      </c>
      <c r="C879" s="79">
        <v>593837882</v>
      </c>
      <c r="D879" s="79">
        <v>0</v>
      </c>
      <c r="E879" s="79" t="s">
        <v>1124</v>
      </c>
      <c r="F879" s="79" t="s">
        <v>2537</v>
      </c>
      <c r="G879" s="79" t="s">
        <v>2544</v>
      </c>
      <c r="H879" s="79" t="s">
        <v>2545</v>
      </c>
      <c r="I879" s="79"/>
    </row>
    <row r="880" spans="1:9" ht="14.25">
      <c r="A880" s="79" t="s">
        <v>2926</v>
      </c>
      <c r="B880" s="79" t="s">
        <v>2927</v>
      </c>
      <c r="C880" s="79">
        <v>593837882</v>
      </c>
      <c r="D880" s="79">
        <v>0</v>
      </c>
      <c r="E880" s="79" t="s">
        <v>1124</v>
      </c>
      <c r="F880" s="79" t="s">
        <v>2537</v>
      </c>
      <c r="G880" s="79" t="s">
        <v>2579</v>
      </c>
      <c r="H880" s="79"/>
      <c r="I880" s="79"/>
    </row>
    <row r="881" spans="1:9" ht="14.25">
      <c r="A881" s="79" t="s">
        <v>2928</v>
      </c>
      <c r="B881" s="79" t="s">
        <v>2929</v>
      </c>
      <c r="C881" s="79">
        <v>593880482</v>
      </c>
      <c r="D881" s="79">
        <v>0</v>
      </c>
      <c r="E881" s="79" t="s">
        <v>1124</v>
      </c>
      <c r="F881" s="79" t="s">
        <v>2537</v>
      </c>
      <c r="G881" s="79" t="s">
        <v>1130</v>
      </c>
      <c r="H881" s="79"/>
      <c r="I881" s="79"/>
    </row>
    <row r="882" spans="1:9" ht="14.25">
      <c r="A882" s="79" t="s">
        <v>2928</v>
      </c>
      <c r="B882" s="79" t="s">
        <v>2929</v>
      </c>
      <c r="C882" s="79">
        <v>593880482</v>
      </c>
      <c r="D882" s="79">
        <v>0</v>
      </c>
      <c r="E882" s="79" t="s">
        <v>1124</v>
      </c>
      <c r="F882" s="79" t="s">
        <v>2537</v>
      </c>
      <c r="G882" s="79" t="s">
        <v>1131</v>
      </c>
      <c r="H882" s="79" t="s">
        <v>1132</v>
      </c>
      <c r="I882" s="79"/>
    </row>
    <row r="883" spans="1:9" ht="14.25">
      <c r="A883" s="79" t="s">
        <v>2928</v>
      </c>
      <c r="B883" s="79" t="s">
        <v>2929</v>
      </c>
      <c r="C883" s="79">
        <v>593880482</v>
      </c>
      <c r="D883" s="79">
        <v>0</v>
      </c>
      <c r="E883" s="79" t="s">
        <v>1124</v>
      </c>
      <c r="F883" s="79" t="s">
        <v>2537</v>
      </c>
      <c r="G883" s="79" t="s">
        <v>2576</v>
      </c>
      <c r="H883" s="79"/>
      <c r="I883" s="79"/>
    </row>
    <row r="884" spans="1:9" ht="14.25">
      <c r="A884" s="79" t="s">
        <v>2930</v>
      </c>
      <c r="B884" s="79" t="s">
        <v>2931</v>
      </c>
      <c r="C884" s="79">
        <v>593881082</v>
      </c>
      <c r="D884" s="79">
        <v>0</v>
      </c>
      <c r="E884" s="79" t="s">
        <v>1124</v>
      </c>
      <c r="F884" s="79" t="s">
        <v>2537</v>
      </c>
      <c r="G884" s="79" t="s">
        <v>2544</v>
      </c>
      <c r="H884" s="79" t="s">
        <v>2545</v>
      </c>
      <c r="I884" s="79"/>
    </row>
    <row r="885" spans="1:9" ht="14.25">
      <c r="A885" s="79" t="s">
        <v>2930</v>
      </c>
      <c r="B885" s="79" t="s">
        <v>2931</v>
      </c>
      <c r="C885" s="79">
        <v>593881082</v>
      </c>
      <c r="D885" s="79">
        <v>0</v>
      </c>
      <c r="E885" s="79" t="s">
        <v>1124</v>
      </c>
      <c r="F885" s="79" t="s">
        <v>2537</v>
      </c>
      <c r="G885" s="79" t="s">
        <v>2579</v>
      </c>
      <c r="H885" s="79"/>
      <c r="I885" s="79"/>
    </row>
    <row r="886" spans="1:9" ht="14.25">
      <c r="A886" s="79" t="s">
        <v>2932</v>
      </c>
      <c r="B886" s="79" t="s">
        <v>2933</v>
      </c>
      <c r="C886" s="79">
        <v>593923682</v>
      </c>
      <c r="D886" s="79">
        <v>0</v>
      </c>
      <c r="E886" s="79" t="s">
        <v>1124</v>
      </c>
      <c r="F886" s="79" t="s">
        <v>2537</v>
      </c>
      <c r="G886" s="79" t="s">
        <v>1130</v>
      </c>
      <c r="H886" s="79"/>
      <c r="I886" s="79"/>
    </row>
    <row r="887" spans="1:9" ht="14.25">
      <c r="A887" s="79" t="s">
        <v>2932</v>
      </c>
      <c r="B887" s="79" t="s">
        <v>2933</v>
      </c>
      <c r="C887" s="79">
        <v>593923682</v>
      </c>
      <c r="D887" s="79">
        <v>0</v>
      </c>
      <c r="E887" s="79" t="s">
        <v>1124</v>
      </c>
      <c r="F887" s="79" t="s">
        <v>2537</v>
      </c>
      <c r="G887" s="79" t="s">
        <v>1131</v>
      </c>
      <c r="H887" s="79" t="s">
        <v>1132</v>
      </c>
      <c r="I887" s="79"/>
    </row>
    <row r="888" spans="1:9" ht="14.25">
      <c r="A888" s="79" t="s">
        <v>2932</v>
      </c>
      <c r="B888" s="79" t="s">
        <v>2933</v>
      </c>
      <c r="C888" s="79">
        <v>593923682</v>
      </c>
      <c r="D888" s="79">
        <v>0</v>
      </c>
      <c r="E888" s="79" t="s">
        <v>1124</v>
      </c>
      <c r="F888" s="79" t="s">
        <v>2537</v>
      </c>
      <c r="G888" s="79" t="s">
        <v>2576</v>
      </c>
      <c r="H888" s="79"/>
      <c r="I888" s="79"/>
    </row>
    <row r="889" spans="1:9" ht="14.25">
      <c r="A889" s="79" t="s">
        <v>2934</v>
      </c>
      <c r="B889" s="79" t="s">
        <v>2935</v>
      </c>
      <c r="C889" s="79">
        <v>593924282</v>
      </c>
      <c r="D889" s="79">
        <v>0</v>
      </c>
      <c r="E889" s="79" t="s">
        <v>1124</v>
      </c>
      <c r="F889" s="79" t="s">
        <v>2537</v>
      </c>
      <c r="G889" s="79" t="s">
        <v>2544</v>
      </c>
      <c r="H889" s="79" t="s">
        <v>2545</v>
      </c>
      <c r="I889" s="79"/>
    </row>
    <row r="890" spans="1:9" ht="14.25">
      <c r="A890" s="79" t="s">
        <v>2934</v>
      </c>
      <c r="B890" s="79" t="s">
        <v>2935</v>
      </c>
      <c r="C890" s="79">
        <v>593924282</v>
      </c>
      <c r="D890" s="79">
        <v>0</v>
      </c>
      <c r="E890" s="79" t="s">
        <v>1124</v>
      </c>
      <c r="F890" s="79" t="s">
        <v>2537</v>
      </c>
      <c r="G890" s="79" t="s">
        <v>2579</v>
      </c>
      <c r="H890" s="79"/>
      <c r="I890" s="79"/>
    </row>
    <row r="891" spans="1:9" ht="14.25">
      <c r="A891" s="79" t="s">
        <v>2936</v>
      </c>
      <c r="B891" s="79" t="s">
        <v>2937</v>
      </c>
      <c r="C891" s="79">
        <v>593966882</v>
      </c>
      <c r="D891" s="79">
        <v>0</v>
      </c>
      <c r="E891" s="79" t="s">
        <v>1124</v>
      </c>
      <c r="F891" s="79" t="s">
        <v>2537</v>
      </c>
      <c r="G891" s="79" t="s">
        <v>1130</v>
      </c>
      <c r="H891" s="79"/>
      <c r="I891" s="79"/>
    </row>
    <row r="892" spans="1:9" ht="14.25">
      <c r="A892" s="79" t="s">
        <v>2936</v>
      </c>
      <c r="B892" s="79" t="s">
        <v>2937</v>
      </c>
      <c r="C892" s="79">
        <v>593966882</v>
      </c>
      <c r="D892" s="79">
        <v>0</v>
      </c>
      <c r="E892" s="79" t="s">
        <v>1124</v>
      </c>
      <c r="F892" s="79" t="s">
        <v>2537</v>
      </c>
      <c r="G892" s="79" t="s">
        <v>1131</v>
      </c>
      <c r="H892" s="79" t="s">
        <v>1132</v>
      </c>
      <c r="I892" s="79"/>
    </row>
    <row r="893" spans="1:9" ht="14.25">
      <c r="A893" s="79" t="s">
        <v>2936</v>
      </c>
      <c r="B893" s="79" t="s">
        <v>2937</v>
      </c>
      <c r="C893" s="79">
        <v>593966882</v>
      </c>
      <c r="D893" s="79">
        <v>0</v>
      </c>
      <c r="E893" s="79" t="s">
        <v>1124</v>
      </c>
      <c r="F893" s="79" t="s">
        <v>2537</v>
      </c>
      <c r="G893" s="79" t="s">
        <v>2576</v>
      </c>
      <c r="H893" s="79"/>
      <c r="I893" s="79"/>
    </row>
    <row r="894" spans="1:9" ht="14.25">
      <c r="A894" s="79" t="s">
        <v>2938</v>
      </c>
      <c r="B894" s="79" t="s">
        <v>2939</v>
      </c>
      <c r="C894" s="79">
        <v>593967482</v>
      </c>
      <c r="D894" s="79">
        <v>0</v>
      </c>
      <c r="E894" s="79" t="s">
        <v>1124</v>
      </c>
      <c r="F894" s="79" t="s">
        <v>2537</v>
      </c>
      <c r="G894" s="79" t="s">
        <v>2544</v>
      </c>
      <c r="H894" s="79" t="s">
        <v>2545</v>
      </c>
      <c r="I894" s="79"/>
    </row>
    <row r="895" spans="1:9" ht="14.25">
      <c r="A895" s="79" t="s">
        <v>2938</v>
      </c>
      <c r="B895" s="79" t="s">
        <v>2939</v>
      </c>
      <c r="C895" s="79">
        <v>593967482</v>
      </c>
      <c r="D895" s="79">
        <v>0</v>
      </c>
      <c r="E895" s="79" t="s">
        <v>1124</v>
      </c>
      <c r="F895" s="79" t="s">
        <v>2537</v>
      </c>
      <c r="G895" s="79" t="s">
        <v>2579</v>
      </c>
      <c r="H895" s="79"/>
      <c r="I895" s="79"/>
    </row>
    <row r="896" spans="1:9" ht="14.25">
      <c r="A896" s="79" t="s">
        <v>2940</v>
      </c>
      <c r="B896" s="79" t="s">
        <v>2941</v>
      </c>
      <c r="C896" s="79">
        <v>594010082</v>
      </c>
      <c r="D896" s="79">
        <v>0</v>
      </c>
      <c r="E896" s="79" t="s">
        <v>1124</v>
      </c>
      <c r="F896" s="79" t="s">
        <v>2537</v>
      </c>
      <c r="G896" s="79" t="s">
        <v>1130</v>
      </c>
      <c r="H896" s="79"/>
      <c r="I896" s="79"/>
    </row>
    <row r="897" spans="1:9" ht="14.25">
      <c r="A897" s="79" t="s">
        <v>2940</v>
      </c>
      <c r="B897" s="79" t="s">
        <v>2941</v>
      </c>
      <c r="C897" s="79">
        <v>594010082</v>
      </c>
      <c r="D897" s="79">
        <v>0</v>
      </c>
      <c r="E897" s="79" t="s">
        <v>1124</v>
      </c>
      <c r="F897" s="79" t="s">
        <v>2537</v>
      </c>
      <c r="G897" s="79" t="s">
        <v>1131</v>
      </c>
      <c r="H897" s="79" t="s">
        <v>1132</v>
      </c>
      <c r="I897" s="79"/>
    </row>
    <row r="898" spans="1:9" ht="14.25">
      <c r="A898" s="79" t="s">
        <v>2940</v>
      </c>
      <c r="B898" s="79" t="s">
        <v>2941</v>
      </c>
      <c r="C898" s="79">
        <v>594010082</v>
      </c>
      <c r="D898" s="79">
        <v>0</v>
      </c>
      <c r="E898" s="79" t="s">
        <v>1124</v>
      </c>
      <c r="F898" s="79" t="s">
        <v>2537</v>
      </c>
      <c r="G898" s="79" t="s">
        <v>2576</v>
      </c>
      <c r="H898" s="79"/>
      <c r="I898" s="79"/>
    </row>
    <row r="899" spans="1:9" ht="14.25">
      <c r="A899" s="79" t="s">
        <v>2942</v>
      </c>
      <c r="B899" s="79" t="s">
        <v>2943</v>
      </c>
      <c r="C899" s="79">
        <v>594010682</v>
      </c>
      <c r="D899" s="79">
        <v>0</v>
      </c>
      <c r="E899" s="79" t="s">
        <v>1124</v>
      </c>
      <c r="F899" s="79" t="s">
        <v>2537</v>
      </c>
      <c r="G899" s="79" t="s">
        <v>2544</v>
      </c>
      <c r="H899" s="79" t="s">
        <v>2545</v>
      </c>
      <c r="I899" s="79"/>
    </row>
    <row r="900" spans="1:9" ht="14.25">
      <c r="A900" s="79" t="s">
        <v>2942</v>
      </c>
      <c r="B900" s="79" t="s">
        <v>2943</v>
      </c>
      <c r="C900" s="79">
        <v>594010682</v>
      </c>
      <c r="D900" s="79">
        <v>0</v>
      </c>
      <c r="E900" s="79" t="s">
        <v>1124</v>
      </c>
      <c r="F900" s="79" t="s">
        <v>2537</v>
      </c>
      <c r="G900" s="79" t="s">
        <v>2579</v>
      </c>
      <c r="H900" s="79"/>
      <c r="I900" s="79"/>
    </row>
    <row r="901" spans="1:9" ht="14.25">
      <c r="A901" s="79" t="s">
        <v>2944</v>
      </c>
      <c r="B901" s="79" t="s">
        <v>2945</v>
      </c>
      <c r="C901" s="79">
        <v>594053282</v>
      </c>
      <c r="D901" s="79">
        <v>0</v>
      </c>
      <c r="E901" s="79" t="s">
        <v>1124</v>
      </c>
      <c r="F901" s="79" t="s">
        <v>2537</v>
      </c>
      <c r="G901" s="79" t="s">
        <v>1130</v>
      </c>
      <c r="H901" s="79"/>
      <c r="I901" s="79"/>
    </row>
    <row r="902" spans="1:9" ht="14.25">
      <c r="A902" s="79" t="s">
        <v>2944</v>
      </c>
      <c r="B902" s="79" t="s">
        <v>2945</v>
      </c>
      <c r="C902" s="79">
        <v>594053282</v>
      </c>
      <c r="D902" s="79">
        <v>0</v>
      </c>
      <c r="E902" s="79" t="s">
        <v>1124</v>
      </c>
      <c r="F902" s="79" t="s">
        <v>2537</v>
      </c>
      <c r="G902" s="79" t="s">
        <v>1131</v>
      </c>
      <c r="H902" s="79" t="s">
        <v>1132</v>
      </c>
      <c r="I902" s="79"/>
    </row>
    <row r="903" spans="1:9" ht="14.25">
      <c r="A903" s="79" t="s">
        <v>2944</v>
      </c>
      <c r="B903" s="79" t="s">
        <v>2945</v>
      </c>
      <c r="C903" s="79">
        <v>594053282</v>
      </c>
      <c r="D903" s="79">
        <v>0</v>
      </c>
      <c r="E903" s="79" t="s">
        <v>1124</v>
      </c>
      <c r="F903" s="79" t="s">
        <v>2537</v>
      </c>
      <c r="G903" s="79" t="s">
        <v>2576</v>
      </c>
      <c r="H903" s="79"/>
      <c r="I903" s="79"/>
    </row>
    <row r="904" spans="1:9" ht="14.25">
      <c r="A904" s="79" t="s">
        <v>2946</v>
      </c>
      <c r="B904" s="79" t="s">
        <v>2947</v>
      </c>
      <c r="C904" s="79">
        <v>594053882</v>
      </c>
      <c r="D904" s="79">
        <v>0</v>
      </c>
      <c r="E904" s="79" t="s">
        <v>1124</v>
      </c>
      <c r="F904" s="79" t="s">
        <v>2537</v>
      </c>
      <c r="G904" s="79" t="s">
        <v>2544</v>
      </c>
      <c r="H904" s="79" t="s">
        <v>2545</v>
      </c>
      <c r="I904" s="79"/>
    </row>
    <row r="905" spans="1:9" ht="14.25">
      <c r="A905" s="79" t="s">
        <v>2946</v>
      </c>
      <c r="B905" s="79" t="s">
        <v>2947</v>
      </c>
      <c r="C905" s="79">
        <v>594053882</v>
      </c>
      <c r="D905" s="79">
        <v>0</v>
      </c>
      <c r="E905" s="79" t="s">
        <v>1124</v>
      </c>
      <c r="F905" s="79" t="s">
        <v>2537</v>
      </c>
      <c r="G905" s="79" t="s">
        <v>2579</v>
      </c>
      <c r="H905" s="79"/>
      <c r="I905" s="79"/>
    </row>
    <row r="906" spans="1:9" ht="14.25">
      <c r="A906" s="79" t="s">
        <v>2948</v>
      </c>
      <c r="B906" s="79" t="s">
        <v>2949</v>
      </c>
      <c r="C906" s="79">
        <v>594096482</v>
      </c>
      <c r="D906" s="79">
        <v>0</v>
      </c>
      <c r="E906" s="79" t="s">
        <v>1124</v>
      </c>
      <c r="F906" s="79" t="s">
        <v>2537</v>
      </c>
      <c r="G906" s="79" t="s">
        <v>1130</v>
      </c>
      <c r="H906" s="79"/>
      <c r="I906" s="79"/>
    </row>
    <row r="907" spans="1:9" ht="14.25">
      <c r="A907" s="79" t="s">
        <v>2948</v>
      </c>
      <c r="B907" s="79" t="s">
        <v>2949</v>
      </c>
      <c r="C907" s="79">
        <v>594096482</v>
      </c>
      <c r="D907" s="79">
        <v>0</v>
      </c>
      <c r="E907" s="79" t="s">
        <v>1124</v>
      </c>
      <c r="F907" s="79" t="s">
        <v>2537</v>
      </c>
      <c r="G907" s="79" t="s">
        <v>1131</v>
      </c>
      <c r="H907" s="79" t="s">
        <v>1132</v>
      </c>
      <c r="I907" s="79"/>
    </row>
    <row r="908" spans="1:9" ht="14.25">
      <c r="A908" s="79" t="s">
        <v>2948</v>
      </c>
      <c r="B908" s="79" t="s">
        <v>2949</v>
      </c>
      <c r="C908" s="79">
        <v>594096482</v>
      </c>
      <c r="D908" s="79">
        <v>0</v>
      </c>
      <c r="E908" s="79" t="s">
        <v>1124</v>
      </c>
      <c r="F908" s="79" t="s">
        <v>2537</v>
      </c>
      <c r="G908" s="79" t="s">
        <v>2576</v>
      </c>
      <c r="H908" s="79"/>
      <c r="I908" s="79"/>
    </row>
    <row r="909" spans="1:9" ht="14.25">
      <c r="A909" s="79" t="s">
        <v>2950</v>
      </c>
      <c r="B909" s="79" t="s">
        <v>2951</v>
      </c>
      <c r="C909" s="79">
        <v>594097082</v>
      </c>
      <c r="D909" s="79">
        <v>0</v>
      </c>
      <c r="E909" s="79" t="s">
        <v>1124</v>
      </c>
      <c r="F909" s="79" t="s">
        <v>2537</v>
      </c>
      <c r="G909" s="79" t="s">
        <v>2544</v>
      </c>
      <c r="H909" s="79" t="s">
        <v>2545</v>
      </c>
      <c r="I909" s="79"/>
    </row>
    <row r="910" spans="1:9" ht="14.25">
      <c r="A910" s="79" t="s">
        <v>2950</v>
      </c>
      <c r="B910" s="79" t="s">
        <v>2951</v>
      </c>
      <c r="C910" s="79">
        <v>594097082</v>
      </c>
      <c r="D910" s="79">
        <v>0</v>
      </c>
      <c r="E910" s="79" t="s">
        <v>1124</v>
      </c>
      <c r="F910" s="79" t="s">
        <v>2537</v>
      </c>
      <c r="G910" s="79" t="s">
        <v>2579</v>
      </c>
      <c r="H910" s="79"/>
      <c r="I910" s="79"/>
    </row>
    <row r="911" spans="1:9" ht="14.25">
      <c r="A911" s="79" t="s">
        <v>2952</v>
      </c>
      <c r="B911" s="79" t="s">
        <v>2953</v>
      </c>
      <c r="C911" s="79">
        <v>594139682</v>
      </c>
      <c r="D911" s="79">
        <v>0</v>
      </c>
      <c r="E911" s="79" t="s">
        <v>1124</v>
      </c>
      <c r="F911" s="79" t="s">
        <v>2537</v>
      </c>
      <c r="G911" s="79" t="s">
        <v>1130</v>
      </c>
      <c r="H911" s="79"/>
      <c r="I911" s="79"/>
    </row>
    <row r="912" spans="1:9" ht="14.25">
      <c r="A912" s="79" t="s">
        <v>2952</v>
      </c>
      <c r="B912" s="79" t="s">
        <v>2953</v>
      </c>
      <c r="C912" s="79">
        <v>594139682</v>
      </c>
      <c r="D912" s="79">
        <v>0</v>
      </c>
      <c r="E912" s="79" t="s">
        <v>1124</v>
      </c>
      <c r="F912" s="79" t="s">
        <v>2537</v>
      </c>
      <c r="G912" s="79" t="s">
        <v>1131</v>
      </c>
      <c r="H912" s="79" t="s">
        <v>1132</v>
      </c>
      <c r="I912" s="79"/>
    </row>
    <row r="913" spans="1:9" ht="14.25">
      <c r="A913" s="79" t="s">
        <v>2952</v>
      </c>
      <c r="B913" s="79" t="s">
        <v>2953</v>
      </c>
      <c r="C913" s="79">
        <v>594139682</v>
      </c>
      <c r="D913" s="79">
        <v>0</v>
      </c>
      <c r="E913" s="79" t="s">
        <v>1124</v>
      </c>
      <c r="F913" s="79" t="s">
        <v>2537</v>
      </c>
      <c r="G913" s="79" t="s">
        <v>2576</v>
      </c>
      <c r="H913" s="79"/>
      <c r="I913" s="79"/>
    </row>
    <row r="914" spans="1:9" ht="14.25">
      <c r="A914" s="79" t="s">
        <v>2954</v>
      </c>
      <c r="B914" s="79" t="s">
        <v>2955</v>
      </c>
      <c r="C914" s="79">
        <v>594140282</v>
      </c>
      <c r="D914" s="79">
        <v>0</v>
      </c>
      <c r="E914" s="79" t="s">
        <v>1124</v>
      </c>
      <c r="F914" s="79" t="s">
        <v>2537</v>
      </c>
      <c r="G914" s="79" t="s">
        <v>2544</v>
      </c>
      <c r="H914" s="79" t="s">
        <v>2545</v>
      </c>
      <c r="I914" s="79"/>
    </row>
    <row r="915" spans="1:9" ht="14.25">
      <c r="A915" s="79" t="s">
        <v>2954</v>
      </c>
      <c r="B915" s="79" t="s">
        <v>2955</v>
      </c>
      <c r="C915" s="79">
        <v>594140282</v>
      </c>
      <c r="D915" s="79">
        <v>0</v>
      </c>
      <c r="E915" s="79" t="s">
        <v>1124</v>
      </c>
      <c r="F915" s="79" t="s">
        <v>2537</v>
      </c>
      <c r="G915" s="79" t="s">
        <v>2579</v>
      </c>
      <c r="H915" s="79"/>
      <c r="I915" s="79"/>
    </row>
    <row r="916" spans="1:9" ht="14.25">
      <c r="A916" s="79" t="s">
        <v>2956</v>
      </c>
      <c r="B916" s="79" t="s">
        <v>2957</v>
      </c>
      <c r="C916" s="79">
        <v>594182882</v>
      </c>
      <c r="D916" s="79">
        <v>0</v>
      </c>
      <c r="E916" s="79" t="s">
        <v>1124</v>
      </c>
      <c r="F916" s="79" t="s">
        <v>2537</v>
      </c>
      <c r="G916" s="79" t="s">
        <v>1130</v>
      </c>
      <c r="H916" s="79"/>
      <c r="I916" s="79"/>
    </row>
    <row r="917" spans="1:9" ht="14.25">
      <c r="A917" s="79" t="s">
        <v>2956</v>
      </c>
      <c r="B917" s="79" t="s">
        <v>2957</v>
      </c>
      <c r="C917" s="79">
        <v>594182882</v>
      </c>
      <c r="D917" s="79">
        <v>0</v>
      </c>
      <c r="E917" s="79" t="s">
        <v>1124</v>
      </c>
      <c r="F917" s="79" t="s">
        <v>2537</v>
      </c>
      <c r="G917" s="79" t="s">
        <v>1131</v>
      </c>
      <c r="H917" s="79" t="s">
        <v>1132</v>
      </c>
      <c r="I917" s="79"/>
    </row>
    <row r="918" spans="1:9" ht="14.25">
      <c r="A918" s="79" t="s">
        <v>2956</v>
      </c>
      <c r="B918" s="79" t="s">
        <v>2957</v>
      </c>
      <c r="C918" s="79">
        <v>594182882</v>
      </c>
      <c r="D918" s="79">
        <v>0</v>
      </c>
      <c r="E918" s="79" t="s">
        <v>1124</v>
      </c>
      <c r="F918" s="79" t="s">
        <v>2537</v>
      </c>
      <c r="G918" s="79" t="s">
        <v>2576</v>
      </c>
      <c r="H918" s="79"/>
      <c r="I918" s="79"/>
    </row>
    <row r="919" spans="1:9" ht="14.25">
      <c r="A919" s="79" t="s">
        <v>2958</v>
      </c>
      <c r="B919" s="79" t="s">
        <v>2959</v>
      </c>
      <c r="C919" s="79">
        <v>594183482</v>
      </c>
      <c r="D919" s="79">
        <v>0</v>
      </c>
      <c r="E919" s="79" t="s">
        <v>1124</v>
      </c>
      <c r="F919" s="79" t="s">
        <v>2537</v>
      </c>
      <c r="G919" s="79" t="s">
        <v>2544</v>
      </c>
      <c r="H919" s="79" t="s">
        <v>2545</v>
      </c>
      <c r="I919" s="79"/>
    </row>
    <row r="920" spans="1:9" ht="14.25">
      <c r="A920" s="79" t="s">
        <v>2958</v>
      </c>
      <c r="B920" s="79" t="s">
        <v>2959</v>
      </c>
      <c r="C920" s="79">
        <v>594183482</v>
      </c>
      <c r="D920" s="79">
        <v>0</v>
      </c>
      <c r="E920" s="79" t="s">
        <v>1124</v>
      </c>
      <c r="F920" s="79" t="s">
        <v>2537</v>
      </c>
      <c r="G920" s="79" t="s">
        <v>2579</v>
      </c>
      <c r="H920" s="79"/>
      <c r="I920" s="79"/>
    </row>
    <row r="921" spans="1:9" ht="14.25">
      <c r="A921" s="79" t="s">
        <v>2960</v>
      </c>
      <c r="B921" s="79" t="s">
        <v>2961</v>
      </c>
      <c r="C921" s="79">
        <v>594226082</v>
      </c>
      <c r="D921" s="79">
        <v>0</v>
      </c>
      <c r="E921" s="79" t="s">
        <v>1124</v>
      </c>
      <c r="F921" s="79" t="s">
        <v>2537</v>
      </c>
      <c r="G921" s="79" t="s">
        <v>1130</v>
      </c>
      <c r="H921" s="79"/>
      <c r="I921" s="79"/>
    </row>
    <row r="922" spans="1:9" ht="14.25">
      <c r="A922" s="79" t="s">
        <v>2960</v>
      </c>
      <c r="B922" s="79" t="s">
        <v>2961</v>
      </c>
      <c r="C922" s="79">
        <v>594226082</v>
      </c>
      <c r="D922" s="79">
        <v>0</v>
      </c>
      <c r="E922" s="79" t="s">
        <v>1124</v>
      </c>
      <c r="F922" s="79" t="s">
        <v>2537</v>
      </c>
      <c r="G922" s="79" t="s">
        <v>1131</v>
      </c>
      <c r="H922" s="79" t="s">
        <v>1132</v>
      </c>
      <c r="I922" s="79"/>
    </row>
    <row r="923" spans="1:9" ht="14.25">
      <c r="A923" s="79" t="s">
        <v>2960</v>
      </c>
      <c r="B923" s="79" t="s">
        <v>2961</v>
      </c>
      <c r="C923" s="79">
        <v>594226082</v>
      </c>
      <c r="D923" s="79">
        <v>0</v>
      </c>
      <c r="E923" s="79" t="s">
        <v>1124</v>
      </c>
      <c r="F923" s="79" t="s">
        <v>2537</v>
      </c>
      <c r="G923" s="79" t="s">
        <v>2576</v>
      </c>
      <c r="H923" s="79"/>
      <c r="I923" s="79"/>
    </row>
    <row r="924" spans="1:9" ht="14.25">
      <c r="A924" s="79" t="s">
        <v>2962</v>
      </c>
      <c r="B924" s="79" t="s">
        <v>2963</v>
      </c>
      <c r="C924" s="79">
        <v>594226682</v>
      </c>
      <c r="D924" s="79">
        <v>0</v>
      </c>
      <c r="E924" s="79" t="s">
        <v>1124</v>
      </c>
      <c r="F924" s="79" t="s">
        <v>2537</v>
      </c>
      <c r="G924" s="79" t="s">
        <v>2544</v>
      </c>
      <c r="H924" s="79" t="s">
        <v>2545</v>
      </c>
      <c r="I924" s="79"/>
    </row>
    <row r="925" spans="1:9" ht="14.25">
      <c r="A925" s="79" t="s">
        <v>2962</v>
      </c>
      <c r="B925" s="79" t="s">
        <v>2963</v>
      </c>
      <c r="C925" s="79">
        <v>594226682</v>
      </c>
      <c r="D925" s="79">
        <v>0</v>
      </c>
      <c r="E925" s="79" t="s">
        <v>1124</v>
      </c>
      <c r="F925" s="79" t="s">
        <v>2537</v>
      </c>
      <c r="G925" s="79" t="s">
        <v>2579</v>
      </c>
      <c r="H925" s="79"/>
      <c r="I925" s="79"/>
    </row>
    <row r="926" spans="1:9" ht="14.25">
      <c r="A926" s="79" t="s">
        <v>2964</v>
      </c>
      <c r="B926" s="79" t="s">
        <v>2965</v>
      </c>
      <c r="C926" s="79">
        <v>594269282</v>
      </c>
      <c r="D926" s="79">
        <v>0</v>
      </c>
      <c r="E926" s="79" t="s">
        <v>1124</v>
      </c>
      <c r="F926" s="79" t="s">
        <v>2537</v>
      </c>
      <c r="G926" s="79" t="s">
        <v>1130</v>
      </c>
      <c r="H926" s="79"/>
      <c r="I926" s="79"/>
    </row>
    <row r="927" spans="1:9" ht="14.25">
      <c r="A927" s="79" t="s">
        <v>2964</v>
      </c>
      <c r="B927" s="79" t="s">
        <v>2965</v>
      </c>
      <c r="C927" s="79">
        <v>594269282</v>
      </c>
      <c r="D927" s="79">
        <v>0</v>
      </c>
      <c r="E927" s="79" t="s">
        <v>1124</v>
      </c>
      <c r="F927" s="79" t="s">
        <v>2537</v>
      </c>
      <c r="G927" s="79" t="s">
        <v>1131</v>
      </c>
      <c r="H927" s="79" t="s">
        <v>1132</v>
      </c>
      <c r="I927" s="79"/>
    </row>
    <row r="928" spans="1:9" ht="14.25">
      <c r="A928" s="79" t="s">
        <v>2964</v>
      </c>
      <c r="B928" s="79" t="s">
        <v>2965</v>
      </c>
      <c r="C928" s="79">
        <v>594269282</v>
      </c>
      <c r="D928" s="79">
        <v>0</v>
      </c>
      <c r="E928" s="79" t="s">
        <v>1124</v>
      </c>
      <c r="F928" s="79" t="s">
        <v>2537</v>
      </c>
      <c r="G928" s="79" t="s">
        <v>2576</v>
      </c>
      <c r="H928" s="79"/>
      <c r="I928" s="79"/>
    </row>
    <row r="929" spans="1:9" ht="14.25">
      <c r="A929" s="79" t="s">
        <v>2966</v>
      </c>
      <c r="B929" s="79" t="s">
        <v>2967</v>
      </c>
      <c r="C929" s="79">
        <v>594269882</v>
      </c>
      <c r="D929" s="79">
        <v>0</v>
      </c>
      <c r="E929" s="79" t="s">
        <v>1124</v>
      </c>
      <c r="F929" s="79" t="s">
        <v>2537</v>
      </c>
      <c r="G929" s="79" t="s">
        <v>2544</v>
      </c>
      <c r="H929" s="79" t="s">
        <v>2545</v>
      </c>
      <c r="I929" s="79"/>
    </row>
    <row r="930" spans="1:9" ht="14.25">
      <c r="A930" s="79" t="s">
        <v>2966</v>
      </c>
      <c r="B930" s="79" t="s">
        <v>2967</v>
      </c>
      <c r="C930" s="79">
        <v>594269882</v>
      </c>
      <c r="D930" s="79">
        <v>0</v>
      </c>
      <c r="E930" s="79" t="s">
        <v>1124</v>
      </c>
      <c r="F930" s="79" t="s">
        <v>2537</v>
      </c>
      <c r="G930" s="79" t="s">
        <v>2579</v>
      </c>
      <c r="H930" s="79"/>
      <c r="I930" s="79"/>
    </row>
    <row r="931" spans="1:9" ht="14.25">
      <c r="A931" s="79" t="s">
        <v>2968</v>
      </c>
      <c r="B931" s="79" t="s">
        <v>2969</v>
      </c>
      <c r="C931" s="79">
        <v>594312482</v>
      </c>
      <c r="D931" s="79">
        <v>0</v>
      </c>
      <c r="E931" s="79" t="s">
        <v>1124</v>
      </c>
      <c r="F931" s="79" t="s">
        <v>2537</v>
      </c>
      <c r="G931" s="79" t="s">
        <v>1130</v>
      </c>
      <c r="H931" s="79"/>
      <c r="I931" s="79"/>
    </row>
    <row r="932" spans="1:9" ht="14.25">
      <c r="A932" s="79" t="s">
        <v>2968</v>
      </c>
      <c r="B932" s="79" t="s">
        <v>2969</v>
      </c>
      <c r="C932" s="79">
        <v>594312482</v>
      </c>
      <c r="D932" s="79">
        <v>0</v>
      </c>
      <c r="E932" s="79" t="s">
        <v>1124</v>
      </c>
      <c r="F932" s="79" t="s">
        <v>2537</v>
      </c>
      <c r="G932" s="79" t="s">
        <v>1131</v>
      </c>
      <c r="H932" s="79" t="s">
        <v>1132</v>
      </c>
      <c r="I932" s="79"/>
    </row>
    <row r="933" spans="1:9" ht="14.25">
      <c r="A933" s="79" t="s">
        <v>2968</v>
      </c>
      <c r="B933" s="79" t="s">
        <v>2969</v>
      </c>
      <c r="C933" s="79">
        <v>594312482</v>
      </c>
      <c r="D933" s="79">
        <v>0</v>
      </c>
      <c r="E933" s="79" t="s">
        <v>1124</v>
      </c>
      <c r="F933" s="79" t="s">
        <v>2537</v>
      </c>
      <c r="G933" s="79" t="s">
        <v>2576</v>
      </c>
      <c r="H933" s="79"/>
      <c r="I933" s="79"/>
    </row>
    <row r="934" spans="1:9" ht="14.25">
      <c r="A934" s="79" t="s">
        <v>2970</v>
      </c>
      <c r="B934" s="79" t="s">
        <v>2971</v>
      </c>
      <c r="C934" s="79">
        <v>594313082</v>
      </c>
      <c r="D934" s="79">
        <v>0</v>
      </c>
      <c r="E934" s="79" t="s">
        <v>1124</v>
      </c>
      <c r="F934" s="79" t="s">
        <v>2537</v>
      </c>
      <c r="G934" s="79" t="s">
        <v>2544</v>
      </c>
      <c r="H934" s="79" t="s">
        <v>2545</v>
      </c>
      <c r="I934" s="79"/>
    </row>
    <row r="935" spans="1:9" ht="14.25">
      <c r="A935" s="79" t="s">
        <v>2970</v>
      </c>
      <c r="B935" s="79" t="s">
        <v>2971</v>
      </c>
      <c r="C935" s="79">
        <v>594313082</v>
      </c>
      <c r="D935" s="79">
        <v>0</v>
      </c>
      <c r="E935" s="79" t="s">
        <v>1124</v>
      </c>
      <c r="F935" s="79" t="s">
        <v>2537</v>
      </c>
      <c r="G935" s="79" t="s">
        <v>2579</v>
      </c>
      <c r="H935" s="79"/>
      <c r="I935" s="79"/>
    </row>
    <row r="936" spans="1:9" ht="14.25">
      <c r="A936" s="79" t="s">
        <v>2972</v>
      </c>
      <c r="B936" s="79" t="s">
        <v>2973</v>
      </c>
      <c r="C936" s="79">
        <v>594355682</v>
      </c>
      <c r="D936" s="79">
        <v>0</v>
      </c>
      <c r="E936" s="79" t="s">
        <v>1124</v>
      </c>
      <c r="F936" s="79" t="s">
        <v>2537</v>
      </c>
      <c r="G936" s="79" t="s">
        <v>1130</v>
      </c>
      <c r="H936" s="79"/>
      <c r="I936" s="79"/>
    </row>
    <row r="937" spans="1:9" ht="14.25">
      <c r="A937" s="79" t="s">
        <v>2972</v>
      </c>
      <c r="B937" s="79" t="s">
        <v>2973</v>
      </c>
      <c r="C937" s="79">
        <v>594355682</v>
      </c>
      <c r="D937" s="79">
        <v>0</v>
      </c>
      <c r="E937" s="79" t="s">
        <v>1124</v>
      </c>
      <c r="F937" s="79" t="s">
        <v>2537</v>
      </c>
      <c r="G937" s="79" t="s">
        <v>1131</v>
      </c>
      <c r="H937" s="79" t="s">
        <v>1132</v>
      </c>
      <c r="I937" s="79"/>
    </row>
    <row r="938" spans="1:9" ht="14.25">
      <c r="A938" s="79" t="s">
        <v>2972</v>
      </c>
      <c r="B938" s="79" t="s">
        <v>2973</v>
      </c>
      <c r="C938" s="79">
        <v>594355682</v>
      </c>
      <c r="D938" s="79">
        <v>0</v>
      </c>
      <c r="E938" s="79" t="s">
        <v>1124</v>
      </c>
      <c r="F938" s="79" t="s">
        <v>2537</v>
      </c>
      <c r="G938" s="79" t="s">
        <v>2576</v>
      </c>
      <c r="H938" s="79"/>
      <c r="I938" s="79"/>
    </row>
    <row r="939" spans="1:9" ht="14.25">
      <c r="A939" s="79" t="s">
        <v>2974</v>
      </c>
      <c r="B939" s="79" t="s">
        <v>2975</v>
      </c>
      <c r="C939" s="79">
        <v>594356282</v>
      </c>
      <c r="D939" s="79">
        <v>0</v>
      </c>
      <c r="E939" s="79" t="s">
        <v>1124</v>
      </c>
      <c r="F939" s="79" t="s">
        <v>2537</v>
      </c>
      <c r="G939" s="79" t="s">
        <v>2544</v>
      </c>
      <c r="H939" s="79" t="s">
        <v>2545</v>
      </c>
      <c r="I939" s="79"/>
    </row>
    <row r="940" spans="1:9" ht="14.25">
      <c r="A940" s="79" t="s">
        <v>2974</v>
      </c>
      <c r="B940" s="79" t="s">
        <v>2975</v>
      </c>
      <c r="C940" s="79">
        <v>594356282</v>
      </c>
      <c r="D940" s="79">
        <v>0</v>
      </c>
      <c r="E940" s="79" t="s">
        <v>1124</v>
      </c>
      <c r="F940" s="79" t="s">
        <v>2537</v>
      </c>
      <c r="G940" s="79" t="s">
        <v>2579</v>
      </c>
      <c r="H940" s="79"/>
      <c r="I940" s="79"/>
    </row>
    <row r="941" spans="1:9" ht="14.25">
      <c r="A941" s="79" t="s">
        <v>2976</v>
      </c>
      <c r="B941" s="79" t="s">
        <v>2977</v>
      </c>
      <c r="C941" s="79">
        <v>594398882</v>
      </c>
      <c r="D941" s="79">
        <v>0</v>
      </c>
      <c r="E941" s="79" t="s">
        <v>1124</v>
      </c>
      <c r="F941" s="79" t="s">
        <v>2537</v>
      </c>
      <c r="G941" s="79" t="s">
        <v>1130</v>
      </c>
      <c r="H941" s="79"/>
      <c r="I941" s="79"/>
    </row>
    <row r="942" spans="1:9" ht="14.25">
      <c r="A942" s="79" t="s">
        <v>2976</v>
      </c>
      <c r="B942" s="79" t="s">
        <v>2977</v>
      </c>
      <c r="C942" s="79">
        <v>594398882</v>
      </c>
      <c r="D942" s="79">
        <v>0</v>
      </c>
      <c r="E942" s="79" t="s">
        <v>1124</v>
      </c>
      <c r="F942" s="79" t="s">
        <v>2537</v>
      </c>
      <c r="G942" s="79" t="s">
        <v>1131</v>
      </c>
      <c r="H942" s="79" t="s">
        <v>1132</v>
      </c>
      <c r="I942" s="79"/>
    </row>
    <row r="943" spans="1:9" ht="14.25">
      <c r="A943" s="79" t="s">
        <v>2976</v>
      </c>
      <c r="B943" s="79" t="s">
        <v>2977</v>
      </c>
      <c r="C943" s="79">
        <v>594398882</v>
      </c>
      <c r="D943" s="79">
        <v>0</v>
      </c>
      <c r="E943" s="79" t="s">
        <v>1124</v>
      </c>
      <c r="F943" s="79" t="s">
        <v>2537</v>
      </c>
      <c r="G943" s="79" t="s">
        <v>2576</v>
      </c>
      <c r="H943" s="79"/>
      <c r="I943" s="79"/>
    </row>
    <row r="944" spans="1:9" ht="14.25">
      <c r="A944" s="79" t="s">
        <v>2978</v>
      </c>
      <c r="B944" s="79" t="s">
        <v>2979</v>
      </c>
      <c r="C944" s="79">
        <v>594399482</v>
      </c>
      <c r="D944" s="79">
        <v>0</v>
      </c>
      <c r="E944" s="79" t="s">
        <v>1124</v>
      </c>
      <c r="F944" s="79" t="s">
        <v>2537</v>
      </c>
      <c r="G944" s="79" t="s">
        <v>2544</v>
      </c>
      <c r="H944" s="79" t="s">
        <v>2545</v>
      </c>
      <c r="I944" s="79"/>
    </row>
    <row r="945" spans="1:9" ht="14.25">
      <c r="A945" s="79" t="s">
        <v>2978</v>
      </c>
      <c r="B945" s="79" t="s">
        <v>2979</v>
      </c>
      <c r="C945" s="79">
        <v>594399482</v>
      </c>
      <c r="D945" s="79">
        <v>0</v>
      </c>
      <c r="E945" s="79" t="s">
        <v>1124</v>
      </c>
      <c r="F945" s="79" t="s">
        <v>2537</v>
      </c>
      <c r="G945" s="79" t="s">
        <v>2579</v>
      </c>
      <c r="H945" s="79"/>
      <c r="I945" s="79"/>
    </row>
    <row r="946" spans="1:9" ht="14.25">
      <c r="A946" s="79" t="s">
        <v>2980</v>
      </c>
      <c r="B946" s="79" t="s">
        <v>2981</v>
      </c>
      <c r="C946" s="79">
        <v>594442082</v>
      </c>
      <c r="D946" s="79">
        <v>0</v>
      </c>
      <c r="E946" s="79" t="s">
        <v>1124</v>
      </c>
      <c r="F946" s="79" t="s">
        <v>2537</v>
      </c>
      <c r="G946" s="79" t="s">
        <v>1130</v>
      </c>
      <c r="H946" s="79"/>
      <c r="I946" s="79"/>
    </row>
    <row r="947" spans="1:9" ht="14.25">
      <c r="A947" s="79" t="s">
        <v>2980</v>
      </c>
      <c r="B947" s="79" t="s">
        <v>2981</v>
      </c>
      <c r="C947" s="79">
        <v>594442082</v>
      </c>
      <c r="D947" s="79">
        <v>0</v>
      </c>
      <c r="E947" s="79" t="s">
        <v>1124</v>
      </c>
      <c r="F947" s="79" t="s">
        <v>2537</v>
      </c>
      <c r="G947" s="79" t="s">
        <v>1131</v>
      </c>
      <c r="H947" s="79" t="s">
        <v>1132</v>
      </c>
      <c r="I947" s="79"/>
    </row>
    <row r="948" spans="1:9" ht="14.25">
      <c r="A948" s="79" t="s">
        <v>2980</v>
      </c>
      <c r="B948" s="79" t="s">
        <v>2981</v>
      </c>
      <c r="C948" s="79">
        <v>594442082</v>
      </c>
      <c r="D948" s="79">
        <v>0</v>
      </c>
      <c r="E948" s="79" t="s">
        <v>1124</v>
      </c>
      <c r="F948" s="79" t="s">
        <v>2537</v>
      </c>
      <c r="G948" s="79" t="s">
        <v>2576</v>
      </c>
      <c r="H948" s="79"/>
      <c r="I948" s="79"/>
    </row>
    <row r="949" spans="1:9" ht="14.25">
      <c r="A949" s="79" t="s">
        <v>2982</v>
      </c>
      <c r="B949" s="79" t="s">
        <v>2983</v>
      </c>
      <c r="C949" s="79">
        <v>594442682</v>
      </c>
      <c r="D949" s="79">
        <v>0</v>
      </c>
      <c r="E949" s="79" t="s">
        <v>1124</v>
      </c>
      <c r="F949" s="79" t="s">
        <v>2537</v>
      </c>
      <c r="G949" s="79" t="s">
        <v>2544</v>
      </c>
      <c r="H949" s="79" t="s">
        <v>2545</v>
      </c>
      <c r="I949" s="79"/>
    </row>
    <row r="950" spans="1:9" ht="14.25">
      <c r="A950" s="79" t="s">
        <v>2982</v>
      </c>
      <c r="B950" s="79" t="s">
        <v>2983</v>
      </c>
      <c r="C950" s="79">
        <v>594442682</v>
      </c>
      <c r="D950" s="79">
        <v>0</v>
      </c>
      <c r="E950" s="79" t="s">
        <v>1124</v>
      </c>
      <c r="F950" s="79" t="s">
        <v>2537</v>
      </c>
      <c r="G950" s="79" t="s">
        <v>2579</v>
      </c>
      <c r="H950" s="79"/>
      <c r="I950" s="79"/>
    </row>
    <row r="951" spans="1:9" ht="14.25">
      <c r="A951" s="79" t="s">
        <v>2984</v>
      </c>
      <c r="B951" s="79" t="s">
        <v>2985</v>
      </c>
      <c r="C951" s="79">
        <v>594485282</v>
      </c>
      <c r="D951" s="79">
        <v>0</v>
      </c>
      <c r="E951" s="79" t="s">
        <v>1124</v>
      </c>
      <c r="F951" s="79" t="s">
        <v>2537</v>
      </c>
      <c r="G951" s="79" t="s">
        <v>1130</v>
      </c>
      <c r="H951" s="79"/>
      <c r="I951" s="79"/>
    </row>
    <row r="952" spans="1:9" ht="14.25">
      <c r="A952" s="79" t="s">
        <v>2984</v>
      </c>
      <c r="B952" s="79" t="s">
        <v>2985</v>
      </c>
      <c r="C952" s="79">
        <v>594485282</v>
      </c>
      <c r="D952" s="79">
        <v>0</v>
      </c>
      <c r="E952" s="79" t="s">
        <v>1124</v>
      </c>
      <c r="F952" s="79" t="s">
        <v>2537</v>
      </c>
      <c r="G952" s="79" t="s">
        <v>1131</v>
      </c>
      <c r="H952" s="79" t="s">
        <v>1132</v>
      </c>
      <c r="I952" s="79"/>
    </row>
    <row r="953" spans="1:9" ht="14.25">
      <c r="A953" s="79" t="s">
        <v>2984</v>
      </c>
      <c r="B953" s="79" t="s">
        <v>2985</v>
      </c>
      <c r="C953" s="79">
        <v>594485282</v>
      </c>
      <c r="D953" s="79">
        <v>0</v>
      </c>
      <c r="E953" s="79" t="s">
        <v>1124</v>
      </c>
      <c r="F953" s="79" t="s">
        <v>2537</v>
      </c>
      <c r="G953" s="79" t="s">
        <v>2576</v>
      </c>
      <c r="H953" s="79"/>
      <c r="I953" s="79"/>
    </row>
    <row r="954" spans="1:9" ht="14.25">
      <c r="A954" s="79" t="s">
        <v>2986</v>
      </c>
      <c r="B954" s="79" t="s">
        <v>2987</v>
      </c>
      <c r="C954" s="79">
        <v>594485882</v>
      </c>
      <c r="D954" s="79">
        <v>0</v>
      </c>
      <c r="E954" s="79" t="s">
        <v>1124</v>
      </c>
      <c r="F954" s="79" t="s">
        <v>2537</v>
      </c>
      <c r="G954" s="79" t="s">
        <v>2544</v>
      </c>
      <c r="H954" s="79" t="s">
        <v>2545</v>
      </c>
      <c r="I954" s="79"/>
    </row>
    <row r="955" spans="1:9" ht="14.25">
      <c r="A955" s="79" t="s">
        <v>2986</v>
      </c>
      <c r="B955" s="79" t="s">
        <v>2987</v>
      </c>
      <c r="C955" s="79">
        <v>594485882</v>
      </c>
      <c r="D955" s="79">
        <v>0</v>
      </c>
      <c r="E955" s="79" t="s">
        <v>1124</v>
      </c>
      <c r="F955" s="79" t="s">
        <v>2537</v>
      </c>
      <c r="G955" s="79" t="s">
        <v>2579</v>
      </c>
      <c r="H955" s="79"/>
      <c r="I955" s="79"/>
    </row>
    <row r="956" spans="1:9" ht="14.25">
      <c r="A956" s="79" t="s">
        <v>2988</v>
      </c>
      <c r="B956" s="79" t="s">
        <v>2989</v>
      </c>
      <c r="C956" s="79">
        <v>594528482</v>
      </c>
      <c r="D956" s="79">
        <v>0</v>
      </c>
      <c r="E956" s="79" t="s">
        <v>1124</v>
      </c>
      <c r="F956" s="79" t="s">
        <v>2537</v>
      </c>
      <c r="G956" s="79" t="s">
        <v>1130</v>
      </c>
      <c r="H956" s="79"/>
      <c r="I956" s="79"/>
    </row>
    <row r="957" spans="1:9" ht="14.25">
      <c r="A957" s="79" t="s">
        <v>2988</v>
      </c>
      <c r="B957" s="79" t="s">
        <v>2989</v>
      </c>
      <c r="C957" s="79">
        <v>594528482</v>
      </c>
      <c r="D957" s="79">
        <v>0</v>
      </c>
      <c r="E957" s="79" t="s">
        <v>1124</v>
      </c>
      <c r="F957" s="79" t="s">
        <v>2537</v>
      </c>
      <c r="G957" s="79" t="s">
        <v>1131</v>
      </c>
      <c r="H957" s="79" t="s">
        <v>1132</v>
      </c>
      <c r="I957" s="79"/>
    </row>
    <row r="958" spans="1:9" ht="14.25">
      <c r="A958" s="79" t="s">
        <v>2988</v>
      </c>
      <c r="B958" s="79" t="s">
        <v>2989</v>
      </c>
      <c r="C958" s="79">
        <v>594528482</v>
      </c>
      <c r="D958" s="79">
        <v>0</v>
      </c>
      <c r="E958" s="79" t="s">
        <v>1124</v>
      </c>
      <c r="F958" s="79" t="s">
        <v>2537</v>
      </c>
      <c r="G958" s="79" t="s">
        <v>2576</v>
      </c>
      <c r="H958" s="79"/>
      <c r="I958" s="79"/>
    </row>
    <row r="959" spans="1:9" ht="14.25">
      <c r="A959" s="79" t="s">
        <v>2990</v>
      </c>
      <c r="B959" s="79" t="s">
        <v>2991</v>
      </c>
      <c r="C959" s="79">
        <v>594529082</v>
      </c>
      <c r="D959" s="79">
        <v>0</v>
      </c>
      <c r="E959" s="79" t="s">
        <v>1124</v>
      </c>
      <c r="F959" s="79" t="s">
        <v>2537</v>
      </c>
      <c r="G959" s="79" t="s">
        <v>2544</v>
      </c>
      <c r="H959" s="79" t="s">
        <v>2545</v>
      </c>
      <c r="I959" s="79"/>
    </row>
    <row r="960" spans="1:9" ht="14.25">
      <c r="A960" s="79" t="s">
        <v>2990</v>
      </c>
      <c r="B960" s="79" t="s">
        <v>2991</v>
      </c>
      <c r="C960" s="79">
        <v>594529082</v>
      </c>
      <c r="D960" s="79">
        <v>0</v>
      </c>
      <c r="E960" s="79" t="s">
        <v>1124</v>
      </c>
      <c r="F960" s="79" t="s">
        <v>2537</v>
      </c>
      <c r="G960" s="79" t="s">
        <v>2579</v>
      </c>
      <c r="H960" s="79"/>
      <c r="I960" s="79"/>
    </row>
    <row r="961" spans="1:9" ht="14.25">
      <c r="A961" s="79" t="s">
        <v>2992</v>
      </c>
      <c r="B961" s="79" t="s">
        <v>2993</v>
      </c>
      <c r="C961" s="79">
        <v>594571682</v>
      </c>
      <c r="D961" s="79">
        <v>0</v>
      </c>
      <c r="E961" s="79" t="s">
        <v>1124</v>
      </c>
      <c r="F961" s="79" t="s">
        <v>2537</v>
      </c>
      <c r="G961" s="79" t="s">
        <v>1130</v>
      </c>
      <c r="H961" s="79"/>
      <c r="I961" s="79"/>
    </row>
    <row r="962" spans="1:9" ht="14.25">
      <c r="A962" s="79" t="s">
        <v>2992</v>
      </c>
      <c r="B962" s="79" t="s">
        <v>2993</v>
      </c>
      <c r="C962" s="79">
        <v>594571682</v>
      </c>
      <c r="D962" s="79">
        <v>0</v>
      </c>
      <c r="E962" s="79" t="s">
        <v>1124</v>
      </c>
      <c r="F962" s="79" t="s">
        <v>2537</v>
      </c>
      <c r="G962" s="79" t="s">
        <v>1131</v>
      </c>
      <c r="H962" s="79" t="s">
        <v>1132</v>
      </c>
      <c r="I962" s="79"/>
    </row>
    <row r="963" spans="1:9" ht="14.25">
      <c r="A963" s="79" t="s">
        <v>2992</v>
      </c>
      <c r="B963" s="79" t="s">
        <v>2993</v>
      </c>
      <c r="C963" s="79">
        <v>594571682</v>
      </c>
      <c r="D963" s="79">
        <v>0</v>
      </c>
      <c r="E963" s="79" t="s">
        <v>1124</v>
      </c>
      <c r="F963" s="79" t="s">
        <v>2537</v>
      </c>
      <c r="G963" s="79" t="s">
        <v>2576</v>
      </c>
      <c r="H963" s="79"/>
      <c r="I963" s="79"/>
    </row>
    <row r="964" spans="1:9" ht="14.25">
      <c r="A964" s="79" t="s">
        <v>2994</v>
      </c>
      <c r="B964" s="79" t="s">
        <v>2995</v>
      </c>
      <c r="C964" s="79">
        <v>594572282</v>
      </c>
      <c r="D964" s="79">
        <v>0</v>
      </c>
      <c r="E964" s="79" t="s">
        <v>1124</v>
      </c>
      <c r="F964" s="79" t="s">
        <v>2537</v>
      </c>
      <c r="G964" s="79" t="s">
        <v>2544</v>
      </c>
      <c r="H964" s="79" t="s">
        <v>2545</v>
      </c>
      <c r="I964" s="79"/>
    </row>
    <row r="965" spans="1:9" ht="14.25">
      <c r="A965" s="79" t="s">
        <v>2994</v>
      </c>
      <c r="B965" s="79" t="s">
        <v>2995</v>
      </c>
      <c r="C965" s="79">
        <v>594572282</v>
      </c>
      <c r="D965" s="79">
        <v>0</v>
      </c>
      <c r="E965" s="79" t="s">
        <v>1124</v>
      </c>
      <c r="F965" s="79" t="s">
        <v>2537</v>
      </c>
      <c r="G965" s="79" t="s">
        <v>2579</v>
      </c>
      <c r="H965" s="79"/>
      <c r="I965" s="79"/>
    </row>
    <row r="966" spans="1:9" ht="14.25">
      <c r="A966" s="79" t="s">
        <v>2996</v>
      </c>
      <c r="B966" s="79" t="s">
        <v>2997</v>
      </c>
      <c r="C966" s="79">
        <v>594614882</v>
      </c>
      <c r="D966" s="79">
        <v>0</v>
      </c>
      <c r="E966" s="79" t="s">
        <v>1124</v>
      </c>
      <c r="F966" s="79" t="s">
        <v>2537</v>
      </c>
      <c r="G966" s="79" t="s">
        <v>1130</v>
      </c>
      <c r="H966" s="79"/>
      <c r="I966" s="79"/>
    </row>
    <row r="967" spans="1:9" ht="14.25">
      <c r="A967" s="79" t="s">
        <v>2996</v>
      </c>
      <c r="B967" s="79" t="s">
        <v>2997</v>
      </c>
      <c r="C967" s="79">
        <v>594614882</v>
      </c>
      <c r="D967" s="79">
        <v>0</v>
      </c>
      <c r="E967" s="79" t="s">
        <v>1124</v>
      </c>
      <c r="F967" s="79" t="s">
        <v>2537</v>
      </c>
      <c r="G967" s="79" t="s">
        <v>1131</v>
      </c>
      <c r="H967" s="79" t="s">
        <v>1132</v>
      </c>
      <c r="I967" s="79"/>
    </row>
    <row r="968" spans="1:9" ht="14.25">
      <c r="A968" s="79" t="s">
        <v>2996</v>
      </c>
      <c r="B968" s="79" t="s">
        <v>2997</v>
      </c>
      <c r="C968" s="79">
        <v>594614882</v>
      </c>
      <c r="D968" s="79">
        <v>0</v>
      </c>
      <c r="E968" s="79" t="s">
        <v>1124</v>
      </c>
      <c r="F968" s="79" t="s">
        <v>2537</v>
      </c>
      <c r="G968" s="79" t="s">
        <v>2576</v>
      </c>
      <c r="H968" s="79"/>
      <c r="I968" s="79"/>
    </row>
    <row r="969" spans="1:9" ht="14.25">
      <c r="A969" s="79" t="s">
        <v>2998</v>
      </c>
      <c r="B969" s="79" t="s">
        <v>2999</v>
      </c>
      <c r="C969" s="79">
        <v>594615482</v>
      </c>
      <c r="D969" s="79">
        <v>0</v>
      </c>
      <c r="E969" s="79" t="s">
        <v>1124</v>
      </c>
      <c r="F969" s="79" t="s">
        <v>2537</v>
      </c>
      <c r="G969" s="79" t="s">
        <v>2544</v>
      </c>
      <c r="H969" s="79" t="s">
        <v>2545</v>
      </c>
      <c r="I969" s="79"/>
    </row>
    <row r="970" spans="1:9" ht="14.25">
      <c r="A970" s="79" t="s">
        <v>2998</v>
      </c>
      <c r="B970" s="79" t="s">
        <v>2999</v>
      </c>
      <c r="C970" s="79">
        <v>594615482</v>
      </c>
      <c r="D970" s="79">
        <v>0</v>
      </c>
      <c r="E970" s="79" t="s">
        <v>1124</v>
      </c>
      <c r="F970" s="79" t="s">
        <v>2537</v>
      </c>
      <c r="G970" s="79" t="s">
        <v>2579</v>
      </c>
      <c r="H970" s="79"/>
      <c r="I970" s="79"/>
    </row>
    <row r="971" spans="1:9" ht="14.25">
      <c r="A971" s="79" t="s">
        <v>3000</v>
      </c>
      <c r="B971" s="79" t="s">
        <v>3001</v>
      </c>
      <c r="C971" s="79">
        <v>594658082</v>
      </c>
      <c r="D971" s="79">
        <v>0</v>
      </c>
      <c r="E971" s="79" t="s">
        <v>1124</v>
      </c>
      <c r="F971" s="79" t="s">
        <v>2537</v>
      </c>
      <c r="G971" s="79" t="s">
        <v>1130</v>
      </c>
      <c r="H971" s="79"/>
      <c r="I971" s="79"/>
    </row>
    <row r="972" spans="1:9" ht="14.25">
      <c r="A972" s="79" t="s">
        <v>3000</v>
      </c>
      <c r="B972" s="79" t="s">
        <v>3001</v>
      </c>
      <c r="C972" s="79">
        <v>594658082</v>
      </c>
      <c r="D972" s="79">
        <v>0</v>
      </c>
      <c r="E972" s="79" t="s">
        <v>1124</v>
      </c>
      <c r="F972" s="79" t="s">
        <v>2537</v>
      </c>
      <c r="G972" s="79" t="s">
        <v>1131</v>
      </c>
      <c r="H972" s="79" t="s">
        <v>1132</v>
      </c>
      <c r="I972" s="79"/>
    </row>
    <row r="973" spans="1:9" ht="14.25">
      <c r="A973" s="79" t="s">
        <v>3000</v>
      </c>
      <c r="B973" s="79" t="s">
        <v>3001</v>
      </c>
      <c r="C973" s="79">
        <v>594658082</v>
      </c>
      <c r="D973" s="79">
        <v>0</v>
      </c>
      <c r="E973" s="79" t="s">
        <v>1124</v>
      </c>
      <c r="F973" s="79" t="s">
        <v>2537</v>
      </c>
      <c r="G973" s="79" t="s">
        <v>2576</v>
      </c>
      <c r="H973" s="79"/>
      <c r="I973" s="79"/>
    </row>
    <row r="974" spans="1:9" ht="14.25">
      <c r="A974" s="79" t="s">
        <v>3002</v>
      </c>
      <c r="B974" s="79" t="s">
        <v>3003</v>
      </c>
      <c r="C974" s="79">
        <v>594658682</v>
      </c>
      <c r="D974" s="79">
        <v>0</v>
      </c>
      <c r="E974" s="79" t="s">
        <v>1124</v>
      </c>
      <c r="F974" s="79" t="s">
        <v>2537</v>
      </c>
      <c r="G974" s="79" t="s">
        <v>2544</v>
      </c>
      <c r="H974" s="79" t="s">
        <v>2545</v>
      </c>
      <c r="I974" s="79"/>
    </row>
    <row r="975" spans="1:9" ht="14.25">
      <c r="A975" s="79" t="s">
        <v>3002</v>
      </c>
      <c r="B975" s="79" t="s">
        <v>3003</v>
      </c>
      <c r="C975" s="79">
        <v>594658682</v>
      </c>
      <c r="D975" s="79">
        <v>0</v>
      </c>
      <c r="E975" s="79" t="s">
        <v>1124</v>
      </c>
      <c r="F975" s="79" t="s">
        <v>2537</v>
      </c>
      <c r="G975" s="79" t="s">
        <v>2579</v>
      </c>
      <c r="H975" s="79"/>
      <c r="I975" s="79"/>
    </row>
    <row r="976" spans="1:9" ht="14.25">
      <c r="A976" s="79" t="s">
        <v>3004</v>
      </c>
      <c r="B976" s="79" t="s">
        <v>3005</v>
      </c>
      <c r="C976" s="79">
        <v>594701282</v>
      </c>
      <c r="D976" s="79">
        <v>0</v>
      </c>
      <c r="E976" s="79" t="s">
        <v>1124</v>
      </c>
      <c r="F976" s="79" t="s">
        <v>2537</v>
      </c>
      <c r="G976" s="79" t="s">
        <v>1130</v>
      </c>
      <c r="H976" s="79"/>
      <c r="I976" s="79"/>
    </row>
    <row r="977" spans="1:9" ht="14.25">
      <c r="A977" s="79" t="s">
        <v>3004</v>
      </c>
      <c r="B977" s="79" t="s">
        <v>3005</v>
      </c>
      <c r="C977" s="79">
        <v>594701282</v>
      </c>
      <c r="D977" s="79">
        <v>0</v>
      </c>
      <c r="E977" s="79" t="s">
        <v>1124</v>
      </c>
      <c r="F977" s="79" t="s">
        <v>2537</v>
      </c>
      <c r="G977" s="79" t="s">
        <v>1131</v>
      </c>
      <c r="H977" s="79" t="s">
        <v>1132</v>
      </c>
      <c r="I977" s="79"/>
    </row>
    <row r="978" spans="1:9" ht="14.25">
      <c r="A978" s="79" t="s">
        <v>3004</v>
      </c>
      <c r="B978" s="79" t="s">
        <v>3005</v>
      </c>
      <c r="C978" s="79">
        <v>594701282</v>
      </c>
      <c r="D978" s="79">
        <v>0</v>
      </c>
      <c r="E978" s="79" t="s">
        <v>1124</v>
      </c>
      <c r="F978" s="79" t="s">
        <v>2537</v>
      </c>
      <c r="G978" s="79" t="s">
        <v>2576</v>
      </c>
      <c r="H978" s="79"/>
      <c r="I978" s="79"/>
    </row>
    <row r="979" spans="1:9" ht="14.25">
      <c r="A979" s="79" t="s">
        <v>3006</v>
      </c>
      <c r="B979" s="79" t="s">
        <v>3007</v>
      </c>
      <c r="C979" s="79">
        <v>594701882</v>
      </c>
      <c r="D979" s="79">
        <v>0</v>
      </c>
      <c r="E979" s="79" t="s">
        <v>1124</v>
      </c>
      <c r="F979" s="79" t="s">
        <v>2537</v>
      </c>
      <c r="G979" s="79" t="s">
        <v>2544</v>
      </c>
      <c r="H979" s="79" t="s">
        <v>2545</v>
      </c>
      <c r="I979" s="79"/>
    </row>
    <row r="980" spans="1:9" ht="14.25">
      <c r="A980" s="79" t="s">
        <v>3006</v>
      </c>
      <c r="B980" s="79" t="s">
        <v>3007</v>
      </c>
      <c r="C980" s="79">
        <v>594701882</v>
      </c>
      <c r="D980" s="79">
        <v>0</v>
      </c>
      <c r="E980" s="79" t="s">
        <v>1124</v>
      </c>
      <c r="F980" s="79" t="s">
        <v>2537</v>
      </c>
      <c r="G980" s="79" t="s">
        <v>2579</v>
      </c>
      <c r="H980" s="79"/>
      <c r="I980" s="79"/>
    </row>
    <row r="981" spans="1:9" ht="14.25">
      <c r="A981" s="79" t="s">
        <v>3008</v>
      </c>
      <c r="B981" s="79" t="s">
        <v>3009</v>
      </c>
      <c r="C981" s="79">
        <v>594744482</v>
      </c>
      <c r="D981" s="79">
        <v>0</v>
      </c>
      <c r="E981" s="79" t="s">
        <v>1124</v>
      </c>
      <c r="F981" s="79" t="s">
        <v>2537</v>
      </c>
      <c r="G981" s="79" t="s">
        <v>1130</v>
      </c>
      <c r="H981" s="79"/>
      <c r="I981" s="79"/>
    </row>
    <row r="982" spans="1:9" ht="14.25">
      <c r="A982" s="79" t="s">
        <v>3008</v>
      </c>
      <c r="B982" s="79" t="s">
        <v>3009</v>
      </c>
      <c r="C982" s="79">
        <v>594744482</v>
      </c>
      <c r="D982" s="79">
        <v>0</v>
      </c>
      <c r="E982" s="79" t="s">
        <v>1124</v>
      </c>
      <c r="F982" s="79" t="s">
        <v>2537</v>
      </c>
      <c r="G982" s="79" t="s">
        <v>1131</v>
      </c>
      <c r="H982" s="79" t="s">
        <v>1132</v>
      </c>
      <c r="I982" s="79"/>
    </row>
    <row r="983" spans="1:9" ht="14.25">
      <c r="A983" s="79" t="s">
        <v>3008</v>
      </c>
      <c r="B983" s="79" t="s">
        <v>3009</v>
      </c>
      <c r="C983" s="79">
        <v>594744482</v>
      </c>
      <c r="D983" s="79">
        <v>0</v>
      </c>
      <c r="E983" s="79" t="s">
        <v>1124</v>
      </c>
      <c r="F983" s="79" t="s">
        <v>2537</v>
      </c>
      <c r="G983" s="79" t="s">
        <v>2576</v>
      </c>
      <c r="H983" s="79"/>
      <c r="I983" s="79"/>
    </row>
    <row r="984" spans="1:9" ht="14.25">
      <c r="A984" s="79" t="s">
        <v>3010</v>
      </c>
      <c r="B984" s="79" t="s">
        <v>3011</v>
      </c>
      <c r="C984" s="79">
        <v>594745082</v>
      </c>
      <c r="D984" s="79">
        <v>0</v>
      </c>
      <c r="E984" s="79" t="s">
        <v>1124</v>
      </c>
      <c r="F984" s="79" t="s">
        <v>2537</v>
      </c>
      <c r="G984" s="79" t="s">
        <v>2544</v>
      </c>
      <c r="H984" s="79" t="s">
        <v>2545</v>
      </c>
      <c r="I984" s="79"/>
    </row>
    <row r="985" spans="1:9" ht="14.25">
      <c r="A985" s="79" t="s">
        <v>3010</v>
      </c>
      <c r="B985" s="79" t="s">
        <v>3011</v>
      </c>
      <c r="C985" s="79">
        <v>594745082</v>
      </c>
      <c r="D985" s="79">
        <v>0</v>
      </c>
      <c r="E985" s="79" t="s">
        <v>1124</v>
      </c>
      <c r="F985" s="79" t="s">
        <v>2537</v>
      </c>
      <c r="G985" s="79" t="s">
        <v>2579</v>
      </c>
      <c r="H985" s="79"/>
      <c r="I985" s="79"/>
    </row>
    <row r="986" spans="1:9" ht="14.25">
      <c r="A986" s="79" t="s">
        <v>3012</v>
      </c>
      <c r="B986" s="79" t="s">
        <v>3013</v>
      </c>
      <c r="C986" s="79">
        <v>594787682</v>
      </c>
      <c r="D986" s="79">
        <v>0</v>
      </c>
      <c r="E986" s="79" t="s">
        <v>1124</v>
      </c>
      <c r="F986" s="79" t="s">
        <v>2537</v>
      </c>
      <c r="G986" s="79" t="s">
        <v>1130</v>
      </c>
      <c r="H986" s="79"/>
      <c r="I986" s="79"/>
    </row>
    <row r="987" spans="1:9" ht="14.25">
      <c r="A987" s="79" t="s">
        <v>3012</v>
      </c>
      <c r="B987" s="79" t="s">
        <v>3013</v>
      </c>
      <c r="C987" s="79">
        <v>594787682</v>
      </c>
      <c r="D987" s="79">
        <v>0</v>
      </c>
      <c r="E987" s="79" t="s">
        <v>1124</v>
      </c>
      <c r="F987" s="79" t="s">
        <v>2537</v>
      </c>
      <c r="G987" s="79" t="s">
        <v>1131</v>
      </c>
      <c r="H987" s="79" t="s">
        <v>1132</v>
      </c>
      <c r="I987" s="79"/>
    </row>
    <row r="988" spans="1:9" ht="14.25">
      <c r="A988" s="79" t="s">
        <v>3012</v>
      </c>
      <c r="B988" s="79" t="s">
        <v>3013</v>
      </c>
      <c r="C988" s="79">
        <v>594787682</v>
      </c>
      <c r="D988" s="79">
        <v>0</v>
      </c>
      <c r="E988" s="79" t="s">
        <v>1124</v>
      </c>
      <c r="F988" s="79" t="s">
        <v>2537</v>
      </c>
      <c r="G988" s="79" t="s">
        <v>2576</v>
      </c>
      <c r="H988" s="79"/>
      <c r="I988" s="79"/>
    </row>
    <row r="989" spans="1:9" ht="14.25">
      <c r="A989" s="79" t="s">
        <v>3014</v>
      </c>
      <c r="B989" s="79" t="s">
        <v>3015</v>
      </c>
      <c r="C989" s="79">
        <v>594788282</v>
      </c>
      <c r="D989" s="79">
        <v>0</v>
      </c>
      <c r="E989" s="79" t="s">
        <v>1124</v>
      </c>
      <c r="F989" s="79" t="s">
        <v>2537</v>
      </c>
      <c r="G989" s="79" t="s">
        <v>2544</v>
      </c>
      <c r="H989" s="79" t="s">
        <v>2545</v>
      </c>
      <c r="I989" s="79"/>
    </row>
    <row r="990" spans="1:9" ht="14.25">
      <c r="A990" s="79" t="s">
        <v>3014</v>
      </c>
      <c r="B990" s="79" t="s">
        <v>3015</v>
      </c>
      <c r="C990" s="79">
        <v>594788282</v>
      </c>
      <c r="D990" s="79">
        <v>0</v>
      </c>
      <c r="E990" s="79" t="s">
        <v>1124</v>
      </c>
      <c r="F990" s="79" t="s">
        <v>2537</v>
      </c>
      <c r="G990" s="79" t="s">
        <v>2579</v>
      </c>
      <c r="H990" s="79"/>
      <c r="I990" s="79"/>
    </row>
    <row r="991" spans="1:9" ht="14.25">
      <c r="A991" s="79" t="s">
        <v>3016</v>
      </c>
      <c r="B991" s="79" t="s">
        <v>3017</v>
      </c>
      <c r="C991" s="79">
        <v>594830882</v>
      </c>
      <c r="D991" s="79">
        <v>0</v>
      </c>
      <c r="E991" s="79" t="s">
        <v>1124</v>
      </c>
      <c r="F991" s="79" t="s">
        <v>2537</v>
      </c>
      <c r="G991" s="79" t="s">
        <v>1130</v>
      </c>
      <c r="H991" s="79"/>
      <c r="I991" s="79"/>
    </row>
    <row r="992" spans="1:9" ht="14.25">
      <c r="A992" s="79" t="s">
        <v>3016</v>
      </c>
      <c r="B992" s="79" t="s">
        <v>3017</v>
      </c>
      <c r="C992" s="79">
        <v>594830882</v>
      </c>
      <c r="D992" s="79">
        <v>0</v>
      </c>
      <c r="E992" s="79" t="s">
        <v>1124</v>
      </c>
      <c r="F992" s="79" t="s">
        <v>2537</v>
      </c>
      <c r="G992" s="79" t="s">
        <v>1131</v>
      </c>
      <c r="H992" s="79" t="s">
        <v>1132</v>
      </c>
      <c r="I992" s="79"/>
    </row>
    <row r="993" spans="1:9" ht="14.25">
      <c r="A993" s="79" t="s">
        <v>3016</v>
      </c>
      <c r="B993" s="79" t="s">
        <v>3017</v>
      </c>
      <c r="C993" s="79">
        <v>594830882</v>
      </c>
      <c r="D993" s="79">
        <v>0</v>
      </c>
      <c r="E993" s="79" t="s">
        <v>1124</v>
      </c>
      <c r="F993" s="79" t="s">
        <v>2537</v>
      </c>
      <c r="G993" s="79" t="s">
        <v>2576</v>
      </c>
      <c r="H993" s="79"/>
      <c r="I993" s="79"/>
    </row>
    <row r="994" spans="1:9" ht="14.25">
      <c r="A994" s="79" t="s">
        <v>3018</v>
      </c>
      <c r="B994" s="79" t="s">
        <v>3019</v>
      </c>
      <c r="C994" s="79">
        <v>594831482</v>
      </c>
      <c r="D994" s="79">
        <v>0</v>
      </c>
      <c r="E994" s="79" t="s">
        <v>1124</v>
      </c>
      <c r="F994" s="79" t="s">
        <v>2537</v>
      </c>
      <c r="G994" s="79" t="s">
        <v>2544</v>
      </c>
      <c r="H994" s="79" t="s">
        <v>2545</v>
      </c>
      <c r="I994" s="79"/>
    </row>
    <row r="995" spans="1:9" ht="14.25">
      <c r="A995" s="79" t="s">
        <v>3018</v>
      </c>
      <c r="B995" s="79" t="s">
        <v>3019</v>
      </c>
      <c r="C995" s="79">
        <v>594831482</v>
      </c>
      <c r="D995" s="79">
        <v>0</v>
      </c>
      <c r="E995" s="79" t="s">
        <v>1124</v>
      </c>
      <c r="F995" s="79" t="s">
        <v>2537</v>
      </c>
      <c r="G995" s="79" t="s">
        <v>2579</v>
      </c>
      <c r="H995" s="79"/>
      <c r="I995" s="79"/>
    </row>
    <row r="996" spans="1:9" ht="14.25">
      <c r="A996" s="79" t="s">
        <v>3020</v>
      </c>
      <c r="B996" s="79" t="s">
        <v>3021</v>
      </c>
      <c r="C996" s="79">
        <v>594874082</v>
      </c>
      <c r="D996" s="79">
        <v>0</v>
      </c>
      <c r="E996" s="79" t="s">
        <v>1124</v>
      </c>
      <c r="F996" s="79" t="s">
        <v>2537</v>
      </c>
      <c r="G996" s="79" t="s">
        <v>1130</v>
      </c>
      <c r="H996" s="79"/>
      <c r="I996" s="79"/>
    </row>
    <row r="997" spans="1:9" ht="14.25">
      <c r="A997" s="79" t="s">
        <v>3020</v>
      </c>
      <c r="B997" s="79" t="s">
        <v>3021</v>
      </c>
      <c r="C997" s="79">
        <v>594874082</v>
      </c>
      <c r="D997" s="79">
        <v>0</v>
      </c>
      <c r="E997" s="79" t="s">
        <v>1124</v>
      </c>
      <c r="F997" s="79" t="s">
        <v>2537</v>
      </c>
      <c r="G997" s="79" t="s">
        <v>1131</v>
      </c>
      <c r="H997" s="79" t="s">
        <v>1132</v>
      </c>
      <c r="I997" s="79"/>
    </row>
    <row r="998" spans="1:9" ht="14.25">
      <c r="A998" s="79" t="s">
        <v>3020</v>
      </c>
      <c r="B998" s="79" t="s">
        <v>3021</v>
      </c>
      <c r="C998" s="79">
        <v>594874082</v>
      </c>
      <c r="D998" s="79">
        <v>0</v>
      </c>
      <c r="E998" s="79" t="s">
        <v>1124</v>
      </c>
      <c r="F998" s="79" t="s">
        <v>2537</v>
      </c>
      <c r="G998" s="79" t="s">
        <v>2576</v>
      </c>
      <c r="H998" s="79"/>
      <c r="I998" s="79"/>
    </row>
    <row r="999" spans="1:9" ht="14.25">
      <c r="A999" s="79" t="s">
        <v>3022</v>
      </c>
      <c r="B999" s="79" t="s">
        <v>3023</v>
      </c>
      <c r="C999" s="79">
        <v>594874682</v>
      </c>
      <c r="D999" s="79">
        <v>0</v>
      </c>
      <c r="E999" s="79" t="s">
        <v>1124</v>
      </c>
      <c r="F999" s="79" t="s">
        <v>2537</v>
      </c>
      <c r="G999" s="79" t="s">
        <v>2544</v>
      </c>
      <c r="H999" s="79" t="s">
        <v>2545</v>
      </c>
      <c r="I999" s="79"/>
    </row>
    <row r="1000" spans="1:9" ht="14.25">
      <c r="A1000" s="79" t="s">
        <v>3022</v>
      </c>
      <c r="B1000" s="79" t="s">
        <v>3023</v>
      </c>
      <c r="C1000" s="79">
        <v>594874682</v>
      </c>
      <c r="D1000" s="79">
        <v>0</v>
      </c>
      <c r="E1000" s="79" t="s">
        <v>1124</v>
      </c>
      <c r="F1000" s="79" t="s">
        <v>2537</v>
      </c>
      <c r="G1000" s="79" t="s">
        <v>2579</v>
      </c>
      <c r="H1000" s="79"/>
      <c r="I1000" s="79"/>
    </row>
    <row r="1001" spans="1:9" ht="14.25">
      <c r="A1001" s="79" t="s">
        <v>3024</v>
      </c>
      <c r="B1001" s="79" t="s">
        <v>3025</v>
      </c>
      <c r="C1001" s="79">
        <v>594917282</v>
      </c>
      <c r="D1001" s="79">
        <v>0</v>
      </c>
      <c r="E1001" s="79" t="s">
        <v>1124</v>
      </c>
      <c r="F1001" s="79" t="s">
        <v>2537</v>
      </c>
      <c r="G1001" s="79" t="s">
        <v>1130</v>
      </c>
      <c r="H1001" s="79"/>
      <c r="I1001" s="79"/>
    </row>
    <row r="1002" spans="1:9" ht="14.25">
      <c r="A1002" s="79" t="s">
        <v>3024</v>
      </c>
      <c r="B1002" s="79" t="s">
        <v>3025</v>
      </c>
      <c r="C1002" s="79">
        <v>594917282</v>
      </c>
      <c r="D1002" s="79">
        <v>0</v>
      </c>
      <c r="E1002" s="79" t="s">
        <v>1124</v>
      </c>
      <c r="F1002" s="79" t="s">
        <v>2537</v>
      </c>
      <c r="G1002" s="79" t="s">
        <v>1131</v>
      </c>
      <c r="H1002" s="79" t="s">
        <v>1132</v>
      </c>
      <c r="I1002" s="79"/>
    </row>
    <row r="1003" spans="1:9" ht="14.25">
      <c r="A1003" s="79" t="s">
        <v>3024</v>
      </c>
      <c r="B1003" s="79" t="s">
        <v>3025</v>
      </c>
      <c r="C1003" s="79">
        <v>594917282</v>
      </c>
      <c r="D1003" s="79">
        <v>0</v>
      </c>
      <c r="E1003" s="79" t="s">
        <v>1124</v>
      </c>
      <c r="F1003" s="79" t="s">
        <v>2537</v>
      </c>
      <c r="G1003" s="79" t="s">
        <v>2576</v>
      </c>
      <c r="H1003" s="79"/>
      <c r="I1003" s="79"/>
    </row>
    <row r="1004" spans="1:9" ht="14.25">
      <c r="A1004" s="79" t="s">
        <v>3026</v>
      </c>
      <c r="B1004" s="79" t="s">
        <v>3027</v>
      </c>
      <c r="C1004" s="79">
        <v>594917882</v>
      </c>
      <c r="D1004" s="79">
        <v>0</v>
      </c>
      <c r="E1004" s="79" t="s">
        <v>1124</v>
      </c>
      <c r="F1004" s="79" t="s">
        <v>2537</v>
      </c>
      <c r="G1004" s="79" t="s">
        <v>2544</v>
      </c>
      <c r="H1004" s="79" t="s">
        <v>2545</v>
      </c>
      <c r="I1004" s="79"/>
    </row>
    <row r="1005" spans="1:9" ht="14.25">
      <c r="A1005" s="79" t="s">
        <v>3026</v>
      </c>
      <c r="B1005" s="79" t="s">
        <v>3027</v>
      </c>
      <c r="C1005" s="79">
        <v>594917882</v>
      </c>
      <c r="D1005" s="79">
        <v>0</v>
      </c>
      <c r="E1005" s="79" t="s">
        <v>1124</v>
      </c>
      <c r="F1005" s="79" t="s">
        <v>2537</v>
      </c>
      <c r="G1005" s="79" t="s">
        <v>2579</v>
      </c>
      <c r="H1005" s="79"/>
      <c r="I1005" s="79"/>
    </row>
    <row r="1006" spans="1:9" ht="14.25">
      <c r="A1006" s="79" t="s">
        <v>3028</v>
      </c>
      <c r="B1006" s="79" t="s">
        <v>3029</v>
      </c>
      <c r="C1006" s="79">
        <v>594960482</v>
      </c>
      <c r="D1006" s="79">
        <v>0</v>
      </c>
      <c r="E1006" s="79" t="s">
        <v>1124</v>
      </c>
      <c r="F1006" s="79" t="s">
        <v>2537</v>
      </c>
      <c r="G1006" s="79" t="s">
        <v>1130</v>
      </c>
      <c r="H1006" s="79"/>
      <c r="I1006" s="79"/>
    </row>
    <row r="1007" spans="1:9" ht="14.25">
      <c r="A1007" s="79" t="s">
        <v>3028</v>
      </c>
      <c r="B1007" s="79" t="s">
        <v>3029</v>
      </c>
      <c r="C1007" s="79">
        <v>594960482</v>
      </c>
      <c r="D1007" s="79">
        <v>0</v>
      </c>
      <c r="E1007" s="79" t="s">
        <v>1124</v>
      </c>
      <c r="F1007" s="79" t="s">
        <v>2537</v>
      </c>
      <c r="G1007" s="79" t="s">
        <v>1131</v>
      </c>
      <c r="H1007" s="79" t="s">
        <v>1132</v>
      </c>
      <c r="I1007" s="79"/>
    </row>
    <row r="1008" spans="1:9" ht="14.25">
      <c r="A1008" s="79" t="s">
        <v>3028</v>
      </c>
      <c r="B1008" s="79" t="s">
        <v>3029</v>
      </c>
      <c r="C1008" s="79">
        <v>594960482</v>
      </c>
      <c r="D1008" s="79">
        <v>0</v>
      </c>
      <c r="E1008" s="79" t="s">
        <v>1124</v>
      </c>
      <c r="F1008" s="79" t="s">
        <v>2537</v>
      </c>
      <c r="G1008" s="79" t="s">
        <v>2576</v>
      </c>
      <c r="H1008" s="79"/>
      <c r="I1008" s="79"/>
    </row>
    <row r="1009" spans="1:9" ht="14.25">
      <c r="A1009" s="79" t="s">
        <v>3030</v>
      </c>
      <c r="B1009" s="79" t="s">
        <v>3031</v>
      </c>
      <c r="C1009" s="79">
        <v>594961082</v>
      </c>
      <c r="D1009" s="79">
        <v>0</v>
      </c>
      <c r="E1009" s="79" t="s">
        <v>1124</v>
      </c>
      <c r="F1009" s="79" t="s">
        <v>2537</v>
      </c>
      <c r="G1009" s="79" t="s">
        <v>2544</v>
      </c>
      <c r="H1009" s="79" t="s">
        <v>2545</v>
      </c>
      <c r="I1009" s="79"/>
    </row>
    <row r="1010" spans="1:9" ht="14.25">
      <c r="A1010" s="79" t="s">
        <v>3030</v>
      </c>
      <c r="B1010" s="79" t="s">
        <v>3031</v>
      </c>
      <c r="C1010" s="79">
        <v>594961082</v>
      </c>
      <c r="D1010" s="79">
        <v>0</v>
      </c>
      <c r="E1010" s="79" t="s">
        <v>1124</v>
      </c>
      <c r="F1010" s="79" t="s">
        <v>2537</v>
      </c>
      <c r="G1010" s="79" t="s">
        <v>2579</v>
      </c>
      <c r="H1010" s="79"/>
      <c r="I1010" s="79"/>
    </row>
    <row r="1011" spans="1:9" ht="14.25">
      <c r="A1011" s="79" t="s">
        <v>3032</v>
      </c>
      <c r="B1011" s="79" t="s">
        <v>3033</v>
      </c>
      <c r="C1011" s="79">
        <v>595003682</v>
      </c>
      <c r="D1011" s="79">
        <v>0</v>
      </c>
      <c r="E1011" s="79" t="s">
        <v>1124</v>
      </c>
      <c r="F1011" s="79" t="s">
        <v>2537</v>
      </c>
      <c r="G1011" s="79" t="s">
        <v>1130</v>
      </c>
      <c r="H1011" s="79"/>
      <c r="I1011" s="79"/>
    </row>
    <row r="1012" spans="1:9" ht="14.25">
      <c r="A1012" s="79" t="s">
        <v>3032</v>
      </c>
      <c r="B1012" s="79" t="s">
        <v>3033</v>
      </c>
      <c r="C1012" s="79">
        <v>595003682</v>
      </c>
      <c r="D1012" s="79">
        <v>0</v>
      </c>
      <c r="E1012" s="79" t="s">
        <v>1124</v>
      </c>
      <c r="F1012" s="79" t="s">
        <v>2537</v>
      </c>
      <c r="G1012" s="79" t="s">
        <v>1131</v>
      </c>
      <c r="H1012" s="79" t="s">
        <v>1132</v>
      </c>
      <c r="I1012" s="79"/>
    </row>
    <row r="1013" spans="1:9" ht="14.25">
      <c r="A1013" s="79" t="s">
        <v>3032</v>
      </c>
      <c r="B1013" s="79" t="s">
        <v>3033</v>
      </c>
      <c r="C1013" s="79">
        <v>595003682</v>
      </c>
      <c r="D1013" s="79">
        <v>0</v>
      </c>
      <c r="E1013" s="79" t="s">
        <v>1124</v>
      </c>
      <c r="F1013" s="79" t="s">
        <v>2537</v>
      </c>
      <c r="G1013" s="79" t="s">
        <v>2576</v>
      </c>
      <c r="H1013" s="79"/>
      <c r="I1013" s="79"/>
    </row>
    <row r="1014" spans="1:9" ht="14.25">
      <c r="A1014" s="79" t="s">
        <v>3034</v>
      </c>
      <c r="B1014" s="79" t="s">
        <v>3035</v>
      </c>
      <c r="C1014" s="79">
        <v>595004282</v>
      </c>
      <c r="D1014" s="79">
        <v>0</v>
      </c>
      <c r="E1014" s="79" t="s">
        <v>1124</v>
      </c>
      <c r="F1014" s="79" t="s">
        <v>2537</v>
      </c>
      <c r="G1014" s="79" t="s">
        <v>2544</v>
      </c>
      <c r="H1014" s="79" t="s">
        <v>2545</v>
      </c>
      <c r="I1014" s="79"/>
    </row>
    <row r="1015" spans="1:9" ht="14.25">
      <c r="A1015" s="79" t="s">
        <v>3034</v>
      </c>
      <c r="B1015" s="79" t="s">
        <v>3035</v>
      </c>
      <c r="C1015" s="79">
        <v>595004282</v>
      </c>
      <c r="D1015" s="79">
        <v>0</v>
      </c>
      <c r="E1015" s="79" t="s">
        <v>1124</v>
      </c>
      <c r="F1015" s="79" t="s">
        <v>2537</v>
      </c>
      <c r="G1015" s="79" t="s">
        <v>2579</v>
      </c>
      <c r="H1015" s="79"/>
      <c r="I1015" s="79"/>
    </row>
    <row r="1016" spans="1:9" ht="14.25">
      <c r="A1016" s="79" t="s">
        <v>3036</v>
      </c>
      <c r="B1016" s="79" t="s">
        <v>3037</v>
      </c>
      <c r="C1016" s="79">
        <v>595046882</v>
      </c>
      <c r="D1016" s="79">
        <v>0</v>
      </c>
      <c r="E1016" s="79" t="s">
        <v>1124</v>
      </c>
      <c r="F1016" s="79" t="s">
        <v>2537</v>
      </c>
      <c r="G1016" s="79" t="s">
        <v>1130</v>
      </c>
      <c r="H1016" s="79"/>
      <c r="I1016" s="79"/>
    </row>
    <row r="1017" spans="1:9" ht="14.25">
      <c r="A1017" s="79" t="s">
        <v>3036</v>
      </c>
      <c r="B1017" s="79" t="s">
        <v>3037</v>
      </c>
      <c r="C1017" s="79">
        <v>595046882</v>
      </c>
      <c r="D1017" s="79">
        <v>0</v>
      </c>
      <c r="E1017" s="79" t="s">
        <v>1124</v>
      </c>
      <c r="F1017" s="79" t="s">
        <v>2537</v>
      </c>
      <c r="G1017" s="79" t="s">
        <v>1131</v>
      </c>
      <c r="H1017" s="79" t="s">
        <v>1132</v>
      </c>
      <c r="I1017" s="79"/>
    </row>
    <row r="1018" spans="1:9" ht="14.25">
      <c r="A1018" s="79" t="s">
        <v>3036</v>
      </c>
      <c r="B1018" s="79" t="s">
        <v>3037</v>
      </c>
      <c r="C1018" s="79">
        <v>595046882</v>
      </c>
      <c r="D1018" s="79">
        <v>0</v>
      </c>
      <c r="E1018" s="79" t="s">
        <v>1124</v>
      </c>
      <c r="F1018" s="79" t="s">
        <v>2537</v>
      </c>
      <c r="G1018" s="79" t="s">
        <v>2576</v>
      </c>
      <c r="H1018" s="79"/>
      <c r="I1018" s="79"/>
    </row>
    <row r="1019" spans="1:9" ht="14.25">
      <c r="A1019" s="79" t="s">
        <v>3038</v>
      </c>
      <c r="B1019" s="79" t="s">
        <v>3039</v>
      </c>
      <c r="C1019" s="79">
        <v>595047482</v>
      </c>
      <c r="D1019" s="79">
        <v>0</v>
      </c>
      <c r="E1019" s="79" t="s">
        <v>1124</v>
      </c>
      <c r="F1019" s="79" t="s">
        <v>2537</v>
      </c>
      <c r="G1019" s="79" t="s">
        <v>2544</v>
      </c>
      <c r="H1019" s="79" t="s">
        <v>2545</v>
      </c>
      <c r="I1019" s="79"/>
    </row>
    <row r="1020" spans="1:9" ht="14.25">
      <c r="A1020" s="79" t="s">
        <v>3038</v>
      </c>
      <c r="B1020" s="79" t="s">
        <v>3039</v>
      </c>
      <c r="C1020" s="79">
        <v>595047482</v>
      </c>
      <c r="D1020" s="79">
        <v>0</v>
      </c>
      <c r="E1020" s="79" t="s">
        <v>1124</v>
      </c>
      <c r="F1020" s="79" t="s">
        <v>2537</v>
      </c>
      <c r="G1020" s="79" t="s">
        <v>2579</v>
      </c>
      <c r="H1020" s="79"/>
      <c r="I1020" s="79"/>
    </row>
    <row r="1021" spans="1:9" ht="14.25">
      <c r="A1021" s="79" t="s">
        <v>3040</v>
      </c>
      <c r="B1021" s="79" t="s">
        <v>3041</v>
      </c>
      <c r="C1021" s="79">
        <v>595090082</v>
      </c>
      <c r="D1021" s="79">
        <v>0</v>
      </c>
      <c r="E1021" s="79" t="s">
        <v>1124</v>
      </c>
      <c r="F1021" s="79" t="s">
        <v>2537</v>
      </c>
      <c r="G1021" s="79" t="s">
        <v>1130</v>
      </c>
      <c r="H1021" s="79"/>
      <c r="I1021" s="79"/>
    </row>
    <row r="1022" spans="1:9" ht="14.25">
      <c r="A1022" s="79" t="s">
        <v>3040</v>
      </c>
      <c r="B1022" s="79" t="s">
        <v>3041</v>
      </c>
      <c r="C1022" s="79">
        <v>595090082</v>
      </c>
      <c r="D1022" s="79">
        <v>0</v>
      </c>
      <c r="E1022" s="79" t="s">
        <v>1124</v>
      </c>
      <c r="F1022" s="79" t="s">
        <v>2537</v>
      </c>
      <c r="G1022" s="79" t="s">
        <v>1131</v>
      </c>
      <c r="H1022" s="79" t="s">
        <v>1132</v>
      </c>
      <c r="I1022" s="79"/>
    </row>
    <row r="1023" spans="1:9" ht="14.25">
      <c r="A1023" s="79" t="s">
        <v>3040</v>
      </c>
      <c r="B1023" s="79" t="s">
        <v>3041</v>
      </c>
      <c r="C1023" s="79">
        <v>595090082</v>
      </c>
      <c r="D1023" s="79">
        <v>0</v>
      </c>
      <c r="E1023" s="79" t="s">
        <v>1124</v>
      </c>
      <c r="F1023" s="79" t="s">
        <v>2537</v>
      </c>
      <c r="G1023" s="79" t="s">
        <v>2576</v>
      </c>
      <c r="H1023" s="79"/>
      <c r="I1023" s="79"/>
    </row>
    <row r="1024" spans="1:9" ht="14.25">
      <c r="A1024" s="79" t="s">
        <v>3042</v>
      </c>
      <c r="B1024" s="79" t="s">
        <v>3043</v>
      </c>
      <c r="C1024" s="79">
        <v>595090682</v>
      </c>
      <c r="D1024" s="79">
        <v>0</v>
      </c>
      <c r="E1024" s="79" t="s">
        <v>1124</v>
      </c>
      <c r="F1024" s="79" t="s">
        <v>2537</v>
      </c>
      <c r="G1024" s="79" t="s">
        <v>2544</v>
      </c>
      <c r="H1024" s="79" t="s">
        <v>2545</v>
      </c>
      <c r="I1024" s="79"/>
    </row>
    <row r="1025" spans="1:9" ht="14.25">
      <c r="A1025" s="79" t="s">
        <v>3042</v>
      </c>
      <c r="B1025" s="79" t="s">
        <v>3043</v>
      </c>
      <c r="C1025" s="79">
        <v>595090682</v>
      </c>
      <c r="D1025" s="79">
        <v>0</v>
      </c>
      <c r="E1025" s="79" t="s">
        <v>1124</v>
      </c>
      <c r="F1025" s="79" t="s">
        <v>2537</v>
      </c>
      <c r="G1025" s="79" t="s">
        <v>2579</v>
      </c>
      <c r="H1025" s="79"/>
      <c r="I1025" s="79"/>
    </row>
    <row r="1026" spans="1:9" ht="14.25">
      <c r="A1026" s="79" t="s">
        <v>3044</v>
      </c>
      <c r="B1026" s="79" t="s">
        <v>3045</v>
      </c>
      <c r="C1026" s="79">
        <v>595133282</v>
      </c>
      <c r="D1026" s="79">
        <v>0</v>
      </c>
      <c r="E1026" s="79" t="s">
        <v>1124</v>
      </c>
      <c r="F1026" s="79" t="s">
        <v>2537</v>
      </c>
      <c r="G1026" s="79" t="s">
        <v>1130</v>
      </c>
      <c r="H1026" s="79"/>
      <c r="I1026" s="79"/>
    </row>
    <row r="1027" spans="1:9" ht="14.25">
      <c r="A1027" s="79" t="s">
        <v>3044</v>
      </c>
      <c r="B1027" s="79" t="s">
        <v>3045</v>
      </c>
      <c r="C1027" s="79">
        <v>595133282</v>
      </c>
      <c r="D1027" s="79">
        <v>0</v>
      </c>
      <c r="E1027" s="79" t="s">
        <v>1124</v>
      </c>
      <c r="F1027" s="79" t="s">
        <v>2537</v>
      </c>
      <c r="G1027" s="79" t="s">
        <v>1131</v>
      </c>
      <c r="H1027" s="79" t="s">
        <v>1132</v>
      </c>
      <c r="I1027" s="79"/>
    </row>
    <row r="1028" spans="1:9" ht="14.25">
      <c r="A1028" s="79" t="s">
        <v>3044</v>
      </c>
      <c r="B1028" s="79" t="s">
        <v>3045</v>
      </c>
      <c r="C1028" s="79">
        <v>595133282</v>
      </c>
      <c r="D1028" s="79">
        <v>0</v>
      </c>
      <c r="E1028" s="79" t="s">
        <v>1124</v>
      </c>
      <c r="F1028" s="79" t="s">
        <v>2537</v>
      </c>
      <c r="G1028" s="79" t="s">
        <v>2576</v>
      </c>
      <c r="H1028" s="79"/>
      <c r="I1028" s="79"/>
    </row>
    <row r="1029" spans="1:9" ht="14.25">
      <c r="A1029" s="79" t="s">
        <v>3046</v>
      </c>
      <c r="B1029" s="79" t="s">
        <v>3047</v>
      </c>
      <c r="C1029" s="79">
        <v>595133882</v>
      </c>
      <c r="D1029" s="79">
        <v>0</v>
      </c>
      <c r="E1029" s="79" t="s">
        <v>1124</v>
      </c>
      <c r="F1029" s="79" t="s">
        <v>2537</v>
      </c>
      <c r="G1029" s="79" t="s">
        <v>2544</v>
      </c>
      <c r="H1029" s="79" t="s">
        <v>2545</v>
      </c>
      <c r="I1029" s="79"/>
    </row>
    <row r="1030" spans="1:9" ht="14.25">
      <c r="A1030" s="79" t="s">
        <v>3046</v>
      </c>
      <c r="B1030" s="79" t="s">
        <v>3047</v>
      </c>
      <c r="C1030" s="79">
        <v>595133882</v>
      </c>
      <c r="D1030" s="79">
        <v>0</v>
      </c>
      <c r="E1030" s="79" t="s">
        <v>1124</v>
      </c>
      <c r="F1030" s="79" t="s">
        <v>2537</v>
      </c>
      <c r="G1030" s="79" t="s">
        <v>2579</v>
      </c>
      <c r="H1030" s="79"/>
      <c r="I1030" s="79"/>
    </row>
    <row r="1031" spans="1:9" ht="14.25">
      <c r="A1031" s="79" t="s">
        <v>3048</v>
      </c>
      <c r="B1031" s="79" t="s">
        <v>3049</v>
      </c>
      <c r="C1031" s="79">
        <v>595176482</v>
      </c>
      <c r="D1031" s="79">
        <v>0</v>
      </c>
      <c r="E1031" s="79" t="s">
        <v>1124</v>
      </c>
      <c r="F1031" s="79" t="s">
        <v>2537</v>
      </c>
      <c r="G1031" s="79" t="s">
        <v>1130</v>
      </c>
      <c r="H1031" s="79"/>
      <c r="I1031" s="79"/>
    </row>
    <row r="1032" spans="1:9" ht="14.25">
      <c r="A1032" s="79" t="s">
        <v>3048</v>
      </c>
      <c r="B1032" s="79" t="s">
        <v>3049</v>
      </c>
      <c r="C1032" s="79">
        <v>595176482</v>
      </c>
      <c r="D1032" s="79">
        <v>0</v>
      </c>
      <c r="E1032" s="79" t="s">
        <v>1124</v>
      </c>
      <c r="F1032" s="79" t="s">
        <v>2537</v>
      </c>
      <c r="G1032" s="79" t="s">
        <v>1131</v>
      </c>
      <c r="H1032" s="79" t="s">
        <v>1132</v>
      </c>
      <c r="I1032" s="79"/>
    </row>
    <row r="1033" spans="1:9" ht="14.25">
      <c r="A1033" s="79" t="s">
        <v>3048</v>
      </c>
      <c r="B1033" s="79" t="s">
        <v>3049</v>
      </c>
      <c r="C1033" s="79">
        <v>595176482</v>
      </c>
      <c r="D1033" s="79">
        <v>0</v>
      </c>
      <c r="E1033" s="79" t="s">
        <v>1124</v>
      </c>
      <c r="F1033" s="79" t="s">
        <v>2537</v>
      </c>
      <c r="G1033" s="79" t="s">
        <v>2576</v>
      </c>
      <c r="H1033" s="79"/>
      <c r="I1033" s="79"/>
    </row>
    <row r="1034" spans="1:9" ht="14.25">
      <c r="A1034" s="79" t="s">
        <v>3050</v>
      </c>
      <c r="B1034" s="79" t="s">
        <v>3051</v>
      </c>
      <c r="C1034" s="79">
        <v>595177082</v>
      </c>
      <c r="D1034" s="79">
        <v>0</v>
      </c>
      <c r="E1034" s="79" t="s">
        <v>1124</v>
      </c>
      <c r="F1034" s="79" t="s">
        <v>2537</v>
      </c>
      <c r="G1034" s="79" t="s">
        <v>2544</v>
      </c>
      <c r="H1034" s="79" t="s">
        <v>2545</v>
      </c>
      <c r="I1034" s="79"/>
    </row>
    <row r="1035" spans="1:9" ht="14.25">
      <c r="A1035" s="79" t="s">
        <v>3050</v>
      </c>
      <c r="B1035" s="79" t="s">
        <v>3051</v>
      </c>
      <c r="C1035" s="79">
        <v>595177082</v>
      </c>
      <c r="D1035" s="79">
        <v>0</v>
      </c>
      <c r="E1035" s="79" t="s">
        <v>1124</v>
      </c>
      <c r="F1035" s="79" t="s">
        <v>2537</v>
      </c>
      <c r="G1035" s="79" t="s">
        <v>2579</v>
      </c>
      <c r="H1035" s="79"/>
      <c r="I1035" s="79"/>
    </row>
    <row r="1036" spans="1:9" ht="14.25">
      <c r="A1036" s="79" t="s">
        <v>3052</v>
      </c>
      <c r="B1036" s="79" t="s">
        <v>3053</v>
      </c>
      <c r="C1036" s="79">
        <v>595219682</v>
      </c>
      <c r="D1036" s="79">
        <v>0</v>
      </c>
      <c r="E1036" s="79" t="s">
        <v>1124</v>
      </c>
      <c r="F1036" s="79" t="s">
        <v>2537</v>
      </c>
      <c r="G1036" s="79" t="s">
        <v>1130</v>
      </c>
      <c r="H1036" s="79"/>
      <c r="I1036" s="79"/>
    </row>
    <row r="1037" spans="1:9" ht="14.25">
      <c r="A1037" s="79" t="s">
        <v>3052</v>
      </c>
      <c r="B1037" s="79" t="s">
        <v>3053</v>
      </c>
      <c r="C1037" s="79">
        <v>595219682</v>
      </c>
      <c r="D1037" s="79">
        <v>0</v>
      </c>
      <c r="E1037" s="79" t="s">
        <v>1124</v>
      </c>
      <c r="F1037" s="79" t="s">
        <v>2537</v>
      </c>
      <c r="G1037" s="79" t="s">
        <v>1131</v>
      </c>
      <c r="H1037" s="79" t="s">
        <v>1132</v>
      </c>
      <c r="I1037" s="79"/>
    </row>
    <row r="1038" spans="1:9" ht="14.25">
      <c r="A1038" s="79" t="s">
        <v>3052</v>
      </c>
      <c r="B1038" s="79" t="s">
        <v>3053</v>
      </c>
      <c r="C1038" s="79">
        <v>595219682</v>
      </c>
      <c r="D1038" s="79">
        <v>0</v>
      </c>
      <c r="E1038" s="79" t="s">
        <v>1124</v>
      </c>
      <c r="F1038" s="79" t="s">
        <v>2537</v>
      </c>
      <c r="G1038" s="79" t="s">
        <v>2576</v>
      </c>
      <c r="H1038" s="79"/>
      <c r="I1038" s="79"/>
    </row>
    <row r="1039" spans="1:9" ht="14.25">
      <c r="A1039" s="79" t="s">
        <v>3054</v>
      </c>
      <c r="B1039" s="79" t="s">
        <v>3055</v>
      </c>
      <c r="C1039" s="79">
        <v>595220282</v>
      </c>
      <c r="D1039" s="79">
        <v>0</v>
      </c>
      <c r="E1039" s="79" t="s">
        <v>1124</v>
      </c>
      <c r="F1039" s="79" t="s">
        <v>2537</v>
      </c>
      <c r="G1039" s="79" t="s">
        <v>2544</v>
      </c>
      <c r="H1039" s="79" t="s">
        <v>2545</v>
      </c>
      <c r="I1039" s="79"/>
    </row>
    <row r="1040" spans="1:9" ht="14.25">
      <c r="A1040" s="79" t="s">
        <v>3054</v>
      </c>
      <c r="B1040" s="79" t="s">
        <v>3055</v>
      </c>
      <c r="C1040" s="79">
        <v>595220282</v>
      </c>
      <c r="D1040" s="79">
        <v>0</v>
      </c>
      <c r="E1040" s="79" t="s">
        <v>1124</v>
      </c>
      <c r="F1040" s="79" t="s">
        <v>2537</v>
      </c>
      <c r="G1040" s="79" t="s">
        <v>2579</v>
      </c>
      <c r="H1040" s="79"/>
      <c r="I1040" s="79"/>
    </row>
    <row r="1041" spans="1:9" ht="14.25">
      <c r="A1041" s="79" t="s">
        <v>3056</v>
      </c>
      <c r="B1041" s="79" t="s">
        <v>3057</v>
      </c>
      <c r="C1041" s="79">
        <v>595262882</v>
      </c>
      <c r="D1041" s="79">
        <v>0</v>
      </c>
      <c r="E1041" s="79" t="s">
        <v>1124</v>
      </c>
      <c r="F1041" s="79" t="s">
        <v>2537</v>
      </c>
      <c r="G1041" s="79" t="s">
        <v>1130</v>
      </c>
      <c r="H1041" s="79"/>
      <c r="I1041" s="79"/>
    </row>
    <row r="1042" spans="1:9" ht="14.25">
      <c r="A1042" s="79" t="s">
        <v>3056</v>
      </c>
      <c r="B1042" s="79" t="s">
        <v>3057</v>
      </c>
      <c r="C1042" s="79">
        <v>595262882</v>
      </c>
      <c r="D1042" s="79">
        <v>0</v>
      </c>
      <c r="E1042" s="79" t="s">
        <v>1124</v>
      </c>
      <c r="F1042" s="79" t="s">
        <v>2537</v>
      </c>
      <c r="G1042" s="79" t="s">
        <v>1131</v>
      </c>
      <c r="H1042" s="79" t="s">
        <v>1132</v>
      </c>
      <c r="I1042" s="79"/>
    </row>
    <row r="1043" spans="1:9" ht="14.25">
      <c r="A1043" s="79" t="s">
        <v>3056</v>
      </c>
      <c r="B1043" s="79" t="s">
        <v>3057</v>
      </c>
      <c r="C1043" s="79">
        <v>595262882</v>
      </c>
      <c r="D1043" s="79">
        <v>0</v>
      </c>
      <c r="E1043" s="79" t="s">
        <v>1124</v>
      </c>
      <c r="F1043" s="79" t="s">
        <v>2537</v>
      </c>
      <c r="G1043" s="79" t="s">
        <v>2576</v>
      </c>
      <c r="H1043" s="79"/>
      <c r="I1043" s="79"/>
    </row>
    <row r="1044" spans="1:9" ht="14.25">
      <c r="A1044" s="79" t="s">
        <v>3058</v>
      </c>
      <c r="B1044" s="79" t="s">
        <v>3059</v>
      </c>
      <c r="C1044" s="79">
        <v>595263482</v>
      </c>
      <c r="D1044" s="79">
        <v>0</v>
      </c>
      <c r="E1044" s="79" t="s">
        <v>1124</v>
      </c>
      <c r="F1044" s="79" t="s">
        <v>2537</v>
      </c>
      <c r="G1044" s="79" t="s">
        <v>2544</v>
      </c>
      <c r="H1044" s="79" t="s">
        <v>2545</v>
      </c>
      <c r="I1044" s="79"/>
    </row>
    <row r="1045" spans="1:9" ht="14.25">
      <c r="A1045" s="79" t="s">
        <v>3058</v>
      </c>
      <c r="B1045" s="79" t="s">
        <v>3059</v>
      </c>
      <c r="C1045" s="79">
        <v>595263482</v>
      </c>
      <c r="D1045" s="79">
        <v>0</v>
      </c>
      <c r="E1045" s="79" t="s">
        <v>1124</v>
      </c>
      <c r="F1045" s="79" t="s">
        <v>2537</v>
      </c>
      <c r="G1045" s="79" t="s">
        <v>2579</v>
      </c>
      <c r="H1045" s="79"/>
      <c r="I1045" s="79"/>
    </row>
    <row r="1046" spans="1:9" ht="14.25">
      <c r="A1046" s="79" t="s">
        <v>3060</v>
      </c>
      <c r="B1046" s="79" t="s">
        <v>3061</v>
      </c>
      <c r="C1046" s="79">
        <v>595306082</v>
      </c>
      <c r="D1046" s="79">
        <v>0</v>
      </c>
      <c r="E1046" s="79" t="s">
        <v>1124</v>
      </c>
      <c r="F1046" s="79" t="s">
        <v>2537</v>
      </c>
      <c r="G1046" s="79" t="s">
        <v>1130</v>
      </c>
      <c r="H1046" s="79"/>
      <c r="I1046" s="79"/>
    </row>
    <row r="1047" spans="1:9" ht="14.25">
      <c r="A1047" s="79" t="s">
        <v>3060</v>
      </c>
      <c r="B1047" s="79" t="s">
        <v>3061</v>
      </c>
      <c r="C1047" s="79">
        <v>595306082</v>
      </c>
      <c r="D1047" s="79">
        <v>0</v>
      </c>
      <c r="E1047" s="79" t="s">
        <v>1124</v>
      </c>
      <c r="F1047" s="79" t="s">
        <v>2537</v>
      </c>
      <c r="G1047" s="79" t="s">
        <v>1131</v>
      </c>
      <c r="H1047" s="79" t="s">
        <v>1132</v>
      </c>
      <c r="I1047" s="79"/>
    </row>
    <row r="1048" spans="1:9" ht="14.25">
      <c r="A1048" s="79" t="s">
        <v>3060</v>
      </c>
      <c r="B1048" s="79" t="s">
        <v>3061</v>
      </c>
      <c r="C1048" s="79">
        <v>595306082</v>
      </c>
      <c r="D1048" s="79">
        <v>0</v>
      </c>
      <c r="E1048" s="79" t="s">
        <v>1124</v>
      </c>
      <c r="F1048" s="79" t="s">
        <v>2537</v>
      </c>
      <c r="G1048" s="79" t="s">
        <v>2576</v>
      </c>
      <c r="H1048" s="79"/>
      <c r="I1048" s="79"/>
    </row>
    <row r="1049" spans="1:9" ht="14.25">
      <c r="A1049" s="79" t="s">
        <v>3062</v>
      </c>
      <c r="B1049" s="79" t="s">
        <v>3063</v>
      </c>
      <c r="C1049" s="79">
        <v>595306682</v>
      </c>
      <c r="D1049" s="79">
        <v>0</v>
      </c>
      <c r="E1049" s="79" t="s">
        <v>1124</v>
      </c>
      <c r="F1049" s="79" t="s">
        <v>2537</v>
      </c>
      <c r="G1049" s="79" t="s">
        <v>2544</v>
      </c>
      <c r="H1049" s="79" t="s">
        <v>2545</v>
      </c>
      <c r="I1049" s="79"/>
    </row>
    <row r="1050" spans="1:9" ht="14.25">
      <c r="A1050" s="79" t="s">
        <v>3062</v>
      </c>
      <c r="B1050" s="79" t="s">
        <v>3063</v>
      </c>
      <c r="C1050" s="79">
        <v>595306682</v>
      </c>
      <c r="D1050" s="79">
        <v>0</v>
      </c>
      <c r="E1050" s="79" t="s">
        <v>1124</v>
      </c>
      <c r="F1050" s="79" t="s">
        <v>2537</v>
      </c>
      <c r="G1050" s="79" t="s">
        <v>2579</v>
      </c>
      <c r="H1050" s="79"/>
      <c r="I1050" s="79"/>
    </row>
    <row r="1051" spans="1:9" ht="14.25">
      <c r="A1051" s="79" t="s">
        <v>3064</v>
      </c>
      <c r="B1051" s="79" t="s">
        <v>3065</v>
      </c>
      <c r="C1051" s="79">
        <v>595349282</v>
      </c>
      <c r="D1051" s="79">
        <v>0</v>
      </c>
      <c r="E1051" s="79" t="s">
        <v>1124</v>
      </c>
      <c r="F1051" s="79" t="s">
        <v>2537</v>
      </c>
      <c r="G1051" s="79" t="s">
        <v>1130</v>
      </c>
      <c r="H1051" s="79"/>
      <c r="I1051" s="79"/>
    </row>
    <row r="1052" spans="1:9" ht="14.25">
      <c r="A1052" s="79" t="s">
        <v>3064</v>
      </c>
      <c r="B1052" s="79" t="s">
        <v>3065</v>
      </c>
      <c r="C1052" s="79">
        <v>595349282</v>
      </c>
      <c r="D1052" s="79">
        <v>0</v>
      </c>
      <c r="E1052" s="79" t="s">
        <v>1124</v>
      </c>
      <c r="F1052" s="79" t="s">
        <v>2537</v>
      </c>
      <c r="G1052" s="79" t="s">
        <v>1131</v>
      </c>
      <c r="H1052" s="79" t="s">
        <v>1132</v>
      </c>
      <c r="I1052" s="79"/>
    </row>
    <row r="1053" spans="1:9" ht="14.25">
      <c r="A1053" s="79" t="s">
        <v>3064</v>
      </c>
      <c r="B1053" s="79" t="s">
        <v>3065</v>
      </c>
      <c r="C1053" s="79">
        <v>595349282</v>
      </c>
      <c r="D1053" s="79">
        <v>0</v>
      </c>
      <c r="E1053" s="79" t="s">
        <v>1124</v>
      </c>
      <c r="F1053" s="79" t="s">
        <v>2537</v>
      </c>
      <c r="G1053" s="79" t="s">
        <v>2576</v>
      </c>
      <c r="H1053" s="79"/>
      <c r="I1053" s="79"/>
    </row>
    <row r="1054" spans="1:9" ht="14.25">
      <c r="A1054" s="79" t="s">
        <v>3066</v>
      </c>
      <c r="B1054" s="79" t="s">
        <v>3067</v>
      </c>
      <c r="C1054" s="79">
        <v>595349882</v>
      </c>
      <c r="D1054" s="79">
        <v>0</v>
      </c>
      <c r="E1054" s="79" t="s">
        <v>1124</v>
      </c>
      <c r="F1054" s="79" t="s">
        <v>2537</v>
      </c>
      <c r="G1054" s="79" t="s">
        <v>2544</v>
      </c>
      <c r="H1054" s="79" t="s">
        <v>2545</v>
      </c>
      <c r="I1054" s="79"/>
    </row>
    <row r="1055" spans="1:9" ht="14.25">
      <c r="A1055" s="79" t="s">
        <v>3066</v>
      </c>
      <c r="B1055" s="79" t="s">
        <v>3067</v>
      </c>
      <c r="C1055" s="79">
        <v>595349882</v>
      </c>
      <c r="D1055" s="79">
        <v>0</v>
      </c>
      <c r="E1055" s="79" t="s">
        <v>1124</v>
      </c>
      <c r="F1055" s="79" t="s">
        <v>2537</v>
      </c>
      <c r="G1055" s="79" t="s">
        <v>2579</v>
      </c>
      <c r="H1055" s="79"/>
      <c r="I1055" s="79"/>
    </row>
    <row r="1056" spans="1:9" ht="14.25">
      <c r="A1056" s="79" t="s">
        <v>3068</v>
      </c>
      <c r="B1056" s="79" t="s">
        <v>3069</v>
      </c>
      <c r="C1056" s="79">
        <v>595392482</v>
      </c>
      <c r="D1056" s="79">
        <v>0</v>
      </c>
      <c r="E1056" s="79" t="s">
        <v>1124</v>
      </c>
      <c r="F1056" s="79" t="s">
        <v>2537</v>
      </c>
      <c r="G1056" s="79" t="s">
        <v>1130</v>
      </c>
      <c r="H1056" s="79"/>
      <c r="I1056" s="79"/>
    </row>
    <row r="1057" spans="1:9" ht="14.25">
      <c r="A1057" s="79" t="s">
        <v>3068</v>
      </c>
      <c r="B1057" s="79" t="s">
        <v>3069</v>
      </c>
      <c r="C1057" s="79">
        <v>595392482</v>
      </c>
      <c r="D1057" s="79">
        <v>0</v>
      </c>
      <c r="E1057" s="79" t="s">
        <v>1124</v>
      </c>
      <c r="F1057" s="79" t="s">
        <v>2537</v>
      </c>
      <c r="G1057" s="79" t="s">
        <v>1131</v>
      </c>
      <c r="H1057" s="79" t="s">
        <v>1132</v>
      </c>
      <c r="I1057" s="79"/>
    </row>
    <row r="1058" spans="1:9" ht="14.25">
      <c r="A1058" s="79" t="s">
        <v>3068</v>
      </c>
      <c r="B1058" s="79" t="s">
        <v>3069</v>
      </c>
      <c r="C1058" s="79">
        <v>595392482</v>
      </c>
      <c r="D1058" s="79">
        <v>0</v>
      </c>
      <c r="E1058" s="79" t="s">
        <v>1124</v>
      </c>
      <c r="F1058" s="79" t="s">
        <v>2537</v>
      </c>
      <c r="G1058" s="79" t="s">
        <v>2576</v>
      </c>
      <c r="H1058" s="79"/>
      <c r="I1058" s="79"/>
    </row>
    <row r="1059" spans="1:9" ht="14.25">
      <c r="A1059" s="79" t="s">
        <v>3070</v>
      </c>
      <c r="B1059" s="79" t="s">
        <v>3071</v>
      </c>
      <c r="C1059" s="79">
        <v>595393082</v>
      </c>
      <c r="D1059" s="79">
        <v>0</v>
      </c>
      <c r="E1059" s="79" t="s">
        <v>1124</v>
      </c>
      <c r="F1059" s="79" t="s">
        <v>2537</v>
      </c>
      <c r="G1059" s="79" t="s">
        <v>2544</v>
      </c>
      <c r="H1059" s="79" t="s">
        <v>2545</v>
      </c>
      <c r="I1059" s="79"/>
    </row>
    <row r="1060" spans="1:9" ht="14.25">
      <c r="A1060" s="79" t="s">
        <v>3070</v>
      </c>
      <c r="B1060" s="79" t="s">
        <v>3071</v>
      </c>
      <c r="C1060" s="79">
        <v>595393082</v>
      </c>
      <c r="D1060" s="79">
        <v>0</v>
      </c>
      <c r="E1060" s="79" t="s">
        <v>1124</v>
      </c>
      <c r="F1060" s="79" t="s">
        <v>2537</v>
      </c>
      <c r="G1060" s="79" t="s">
        <v>2579</v>
      </c>
      <c r="H1060" s="79"/>
      <c r="I1060" s="79"/>
    </row>
    <row r="1061" spans="1:9" ht="14.25">
      <c r="A1061" s="79" t="s">
        <v>3072</v>
      </c>
      <c r="B1061" s="79" t="s">
        <v>3073</v>
      </c>
      <c r="C1061" s="79">
        <v>595435682</v>
      </c>
      <c r="D1061" s="79">
        <v>0</v>
      </c>
      <c r="E1061" s="79" t="s">
        <v>1124</v>
      </c>
      <c r="F1061" s="79" t="s">
        <v>2537</v>
      </c>
      <c r="G1061" s="79" t="s">
        <v>1130</v>
      </c>
      <c r="H1061" s="79"/>
      <c r="I1061" s="79"/>
    </row>
    <row r="1062" spans="1:9" ht="14.25">
      <c r="A1062" s="79" t="s">
        <v>3072</v>
      </c>
      <c r="B1062" s="79" t="s">
        <v>3073</v>
      </c>
      <c r="C1062" s="79">
        <v>595435682</v>
      </c>
      <c r="D1062" s="79">
        <v>0</v>
      </c>
      <c r="E1062" s="79" t="s">
        <v>1124</v>
      </c>
      <c r="F1062" s="79" t="s">
        <v>2537</v>
      </c>
      <c r="G1062" s="79" t="s">
        <v>2107</v>
      </c>
      <c r="H1062" s="79"/>
      <c r="I1062" s="79"/>
    </row>
    <row r="1063" spans="1:9" ht="14.25">
      <c r="A1063" s="79" t="s">
        <v>3074</v>
      </c>
      <c r="B1063" s="79" t="s">
        <v>3075</v>
      </c>
      <c r="C1063" s="79">
        <v>595435685</v>
      </c>
      <c r="D1063" s="79">
        <v>0</v>
      </c>
      <c r="E1063" s="79" t="s">
        <v>1124</v>
      </c>
      <c r="F1063" s="79" t="s">
        <v>2537</v>
      </c>
      <c r="G1063" s="79" t="s">
        <v>1130</v>
      </c>
      <c r="H1063" s="79"/>
      <c r="I1063" s="79"/>
    </row>
    <row r="1064" spans="1:9" ht="14.25">
      <c r="A1064" s="79" t="s">
        <v>3074</v>
      </c>
      <c r="B1064" s="79" t="s">
        <v>3075</v>
      </c>
      <c r="C1064" s="79">
        <v>595435685</v>
      </c>
      <c r="D1064" s="79">
        <v>0</v>
      </c>
      <c r="E1064" s="79" t="s">
        <v>1124</v>
      </c>
      <c r="F1064" s="79" t="s">
        <v>2537</v>
      </c>
      <c r="G1064" s="79" t="s">
        <v>2570</v>
      </c>
      <c r="H1064" s="79" t="s">
        <v>2571</v>
      </c>
      <c r="I1064" s="79"/>
    </row>
    <row r="1065" spans="1:9" ht="14.25">
      <c r="A1065" s="79" t="s">
        <v>3074</v>
      </c>
      <c r="B1065" s="79" t="s">
        <v>3075</v>
      </c>
      <c r="C1065" s="79">
        <v>595435685</v>
      </c>
      <c r="D1065" s="79">
        <v>0</v>
      </c>
      <c r="E1065" s="79" t="s">
        <v>1124</v>
      </c>
      <c r="F1065" s="79" t="s">
        <v>2537</v>
      </c>
      <c r="G1065" s="79" t="s">
        <v>2566</v>
      </c>
      <c r="H1065" s="79"/>
      <c r="I1065" s="79"/>
    </row>
    <row r="1066" spans="1:9" ht="14.25">
      <c r="A1066" s="79" t="s">
        <v>3076</v>
      </c>
      <c r="B1066" s="79" t="s">
        <v>3077</v>
      </c>
      <c r="C1066" s="79">
        <v>595436045</v>
      </c>
      <c r="D1066" s="79">
        <v>0</v>
      </c>
      <c r="E1066" s="79" t="s">
        <v>1124</v>
      </c>
      <c r="F1066" s="79" t="s">
        <v>2537</v>
      </c>
      <c r="G1066" s="79" t="s">
        <v>2574</v>
      </c>
      <c r="H1066" s="79"/>
      <c r="I1066" s="79"/>
    </row>
    <row r="1067" spans="1:9" ht="14.25">
      <c r="A1067" s="79" t="s">
        <v>3076</v>
      </c>
      <c r="B1067" s="79" t="s">
        <v>3077</v>
      </c>
      <c r="C1067" s="79">
        <v>595436045</v>
      </c>
      <c r="D1067" s="79">
        <v>0</v>
      </c>
      <c r="E1067" s="79" t="s">
        <v>1124</v>
      </c>
      <c r="F1067" s="79" t="s">
        <v>2537</v>
      </c>
      <c r="G1067" s="79" t="s">
        <v>2575</v>
      </c>
      <c r="H1067" s="79"/>
      <c r="I1067" s="79"/>
    </row>
    <row r="1068" spans="1:9" ht="14.25">
      <c r="A1068" s="79" t="s">
        <v>3076</v>
      </c>
      <c r="B1068" s="79" t="s">
        <v>3077</v>
      </c>
      <c r="C1068" s="79">
        <v>595436045</v>
      </c>
      <c r="D1068" s="79">
        <v>0</v>
      </c>
      <c r="E1068" s="79" t="s">
        <v>1124</v>
      </c>
      <c r="F1068" s="79" t="s">
        <v>2537</v>
      </c>
      <c r="G1068" s="79" t="s">
        <v>1131</v>
      </c>
      <c r="H1068" s="79" t="s">
        <v>1132</v>
      </c>
      <c r="I1068" s="79"/>
    </row>
    <row r="1069" spans="1:9" ht="14.25">
      <c r="A1069" s="79" t="s">
        <v>3076</v>
      </c>
      <c r="B1069" s="79" t="s">
        <v>3077</v>
      </c>
      <c r="C1069" s="79">
        <v>595436045</v>
      </c>
      <c r="D1069" s="79">
        <v>0</v>
      </c>
      <c r="E1069" s="79" t="s">
        <v>1124</v>
      </c>
      <c r="F1069" s="79" t="s">
        <v>2537</v>
      </c>
      <c r="G1069" s="79" t="s">
        <v>2576</v>
      </c>
      <c r="H1069" s="79"/>
      <c r="I1069" s="79"/>
    </row>
    <row r="1070" spans="1:9" ht="14.25">
      <c r="A1070" s="79" t="s">
        <v>3078</v>
      </c>
      <c r="B1070" s="79" t="s">
        <v>3079</v>
      </c>
      <c r="C1070" s="79">
        <v>595436645</v>
      </c>
      <c r="D1070" s="79">
        <v>0</v>
      </c>
      <c r="E1070" s="79" t="s">
        <v>1124</v>
      </c>
      <c r="F1070" s="79" t="s">
        <v>2537</v>
      </c>
      <c r="G1070" s="79" t="s">
        <v>2544</v>
      </c>
      <c r="H1070" s="79" t="s">
        <v>2545</v>
      </c>
      <c r="I1070" s="79"/>
    </row>
    <row r="1071" spans="1:9" ht="14.25">
      <c r="A1071" s="79" t="s">
        <v>3078</v>
      </c>
      <c r="B1071" s="79" t="s">
        <v>3079</v>
      </c>
      <c r="C1071" s="79">
        <v>595436645</v>
      </c>
      <c r="D1071" s="79">
        <v>0</v>
      </c>
      <c r="E1071" s="79" t="s">
        <v>1124</v>
      </c>
      <c r="F1071" s="79" t="s">
        <v>2537</v>
      </c>
      <c r="G1071" s="79" t="s">
        <v>2579</v>
      </c>
      <c r="H1071" s="79"/>
      <c r="I1071" s="79"/>
    </row>
    <row r="1072" spans="1:9" ht="14.25">
      <c r="A1072" s="79" t="s">
        <v>3080</v>
      </c>
      <c r="B1072" s="79" t="s">
        <v>3081</v>
      </c>
      <c r="C1072" s="79">
        <v>595479245</v>
      </c>
      <c r="D1072" s="79">
        <v>0</v>
      </c>
      <c r="E1072" s="79" t="s">
        <v>1124</v>
      </c>
      <c r="F1072" s="79" t="s">
        <v>2537</v>
      </c>
      <c r="G1072" s="79" t="s">
        <v>1130</v>
      </c>
      <c r="H1072" s="79"/>
      <c r="I1072" s="79"/>
    </row>
    <row r="1073" spans="1:9" ht="14.25">
      <c r="A1073" s="79" t="s">
        <v>3080</v>
      </c>
      <c r="B1073" s="79" t="s">
        <v>3081</v>
      </c>
      <c r="C1073" s="79">
        <v>595479245</v>
      </c>
      <c r="D1073" s="79">
        <v>0</v>
      </c>
      <c r="E1073" s="79" t="s">
        <v>1124</v>
      </c>
      <c r="F1073" s="79" t="s">
        <v>2537</v>
      </c>
      <c r="G1073" s="79" t="s">
        <v>1131</v>
      </c>
      <c r="H1073" s="79" t="s">
        <v>1132</v>
      </c>
      <c r="I1073" s="79"/>
    </row>
    <row r="1074" spans="1:9" ht="14.25">
      <c r="A1074" s="79" t="s">
        <v>3080</v>
      </c>
      <c r="B1074" s="79" t="s">
        <v>3081</v>
      </c>
      <c r="C1074" s="79">
        <v>595479245</v>
      </c>
      <c r="D1074" s="79">
        <v>0</v>
      </c>
      <c r="E1074" s="79" t="s">
        <v>1124</v>
      </c>
      <c r="F1074" s="79" t="s">
        <v>2537</v>
      </c>
      <c r="G1074" s="79" t="s">
        <v>2576</v>
      </c>
      <c r="H1074" s="79"/>
      <c r="I1074" s="79"/>
    </row>
    <row r="1075" spans="1:9" ht="14.25">
      <c r="A1075" s="79" t="s">
        <v>3082</v>
      </c>
      <c r="B1075" s="79" t="s">
        <v>3083</v>
      </c>
      <c r="C1075" s="79">
        <v>595479845</v>
      </c>
      <c r="D1075" s="79">
        <v>0</v>
      </c>
      <c r="E1075" s="79" t="s">
        <v>1124</v>
      </c>
      <c r="F1075" s="79" t="s">
        <v>2537</v>
      </c>
      <c r="G1075" s="79" t="s">
        <v>2544</v>
      </c>
      <c r="H1075" s="79" t="s">
        <v>2545</v>
      </c>
      <c r="I1075" s="79"/>
    </row>
    <row r="1076" spans="1:9" ht="14.25">
      <c r="A1076" s="79" t="s">
        <v>3082</v>
      </c>
      <c r="B1076" s="79" t="s">
        <v>3083</v>
      </c>
      <c r="C1076" s="79">
        <v>595479845</v>
      </c>
      <c r="D1076" s="79">
        <v>0</v>
      </c>
      <c r="E1076" s="79" t="s">
        <v>1124</v>
      </c>
      <c r="F1076" s="79" t="s">
        <v>2537</v>
      </c>
      <c r="G1076" s="79" t="s">
        <v>2579</v>
      </c>
      <c r="H1076" s="79"/>
      <c r="I1076" s="79"/>
    </row>
    <row r="1077" spans="1:9" ht="14.25">
      <c r="A1077" s="79" t="s">
        <v>3084</v>
      </c>
      <c r="B1077" s="79" t="s">
        <v>3085</v>
      </c>
      <c r="C1077" s="79">
        <v>595522445</v>
      </c>
      <c r="D1077" s="79">
        <v>0</v>
      </c>
      <c r="E1077" s="79" t="s">
        <v>1124</v>
      </c>
      <c r="F1077" s="79" t="s">
        <v>2537</v>
      </c>
      <c r="G1077" s="79" t="s">
        <v>1130</v>
      </c>
      <c r="H1077" s="79"/>
      <c r="I1077" s="79"/>
    </row>
    <row r="1078" spans="1:9" ht="14.25">
      <c r="A1078" s="79" t="s">
        <v>3084</v>
      </c>
      <c r="B1078" s="79" t="s">
        <v>3085</v>
      </c>
      <c r="C1078" s="79">
        <v>595522445</v>
      </c>
      <c r="D1078" s="79">
        <v>0</v>
      </c>
      <c r="E1078" s="79" t="s">
        <v>1124</v>
      </c>
      <c r="F1078" s="79" t="s">
        <v>2537</v>
      </c>
      <c r="G1078" s="79" t="s">
        <v>1131</v>
      </c>
      <c r="H1078" s="79" t="s">
        <v>1132</v>
      </c>
      <c r="I1078" s="79"/>
    </row>
    <row r="1079" spans="1:9" ht="14.25">
      <c r="A1079" s="79" t="s">
        <v>3084</v>
      </c>
      <c r="B1079" s="79" t="s">
        <v>3085</v>
      </c>
      <c r="C1079" s="79">
        <v>595522445</v>
      </c>
      <c r="D1079" s="79">
        <v>0</v>
      </c>
      <c r="E1079" s="79" t="s">
        <v>1124</v>
      </c>
      <c r="F1079" s="79" t="s">
        <v>2537</v>
      </c>
      <c r="G1079" s="79" t="s">
        <v>2576</v>
      </c>
      <c r="H1079" s="79"/>
      <c r="I1079" s="79"/>
    </row>
    <row r="1080" spans="1:9" ht="14.25">
      <c r="A1080" s="79" t="s">
        <v>3086</v>
      </c>
      <c r="B1080" s="79" t="s">
        <v>3087</v>
      </c>
      <c r="C1080" s="79">
        <v>595523045</v>
      </c>
      <c r="D1080" s="79">
        <v>0</v>
      </c>
      <c r="E1080" s="79" t="s">
        <v>1124</v>
      </c>
      <c r="F1080" s="79" t="s">
        <v>2537</v>
      </c>
      <c r="G1080" s="79" t="s">
        <v>2544</v>
      </c>
      <c r="H1080" s="79" t="s">
        <v>2545</v>
      </c>
      <c r="I1080" s="79"/>
    </row>
    <row r="1081" spans="1:9" ht="14.25">
      <c r="A1081" s="79" t="s">
        <v>3086</v>
      </c>
      <c r="B1081" s="79" t="s">
        <v>3087</v>
      </c>
      <c r="C1081" s="79">
        <v>595523045</v>
      </c>
      <c r="D1081" s="79">
        <v>0</v>
      </c>
      <c r="E1081" s="79" t="s">
        <v>1124</v>
      </c>
      <c r="F1081" s="79" t="s">
        <v>2537</v>
      </c>
      <c r="G1081" s="79" t="s">
        <v>2579</v>
      </c>
      <c r="H1081" s="79"/>
      <c r="I1081" s="79"/>
    </row>
    <row r="1082" spans="1:9" ht="14.25">
      <c r="A1082" s="79" t="s">
        <v>3088</v>
      </c>
      <c r="B1082" s="79" t="s">
        <v>3089</v>
      </c>
      <c r="C1082" s="79">
        <v>595565645</v>
      </c>
      <c r="D1082" s="79">
        <v>0</v>
      </c>
      <c r="E1082" s="79" t="s">
        <v>1124</v>
      </c>
      <c r="F1082" s="79" t="s">
        <v>2537</v>
      </c>
      <c r="G1082" s="79" t="s">
        <v>1130</v>
      </c>
      <c r="H1082" s="79"/>
      <c r="I1082" s="79"/>
    </row>
    <row r="1083" spans="1:9" ht="14.25">
      <c r="A1083" s="79" t="s">
        <v>3088</v>
      </c>
      <c r="B1083" s="79" t="s">
        <v>3089</v>
      </c>
      <c r="C1083" s="79">
        <v>595565645</v>
      </c>
      <c r="D1083" s="79">
        <v>0</v>
      </c>
      <c r="E1083" s="79" t="s">
        <v>1124</v>
      </c>
      <c r="F1083" s="79" t="s">
        <v>2537</v>
      </c>
      <c r="G1083" s="79" t="s">
        <v>1131</v>
      </c>
      <c r="H1083" s="79" t="s">
        <v>1132</v>
      </c>
      <c r="I1083" s="79"/>
    </row>
    <row r="1084" spans="1:9" ht="14.25">
      <c r="A1084" s="79" t="s">
        <v>3088</v>
      </c>
      <c r="B1084" s="79" t="s">
        <v>3089</v>
      </c>
      <c r="C1084" s="79">
        <v>595565645</v>
      </c>
      <c r="D1084" s="79">
        <v>0</v>
      </c>
      <c r="E1084" s="79" t="s">
        <v>1124</v>
      </c>
      <c r="F1084" s="79" t="s">
        <v>2537</v>
      </c>
      <c r="G1084" s="79" t="s">
        <v>2576</v>
      </c>
      <c r="H1084" s="79"/>
      <c r="I1084" s="79"/>
    </row>
    <row r="1085" spans="1:9" ht="14.25">
      <c r="A1085" s="79" t="s">
        <v>3090</v>
      </c>
      <c r="B1085" s="79" t="s">
        <v>3091</v>
      </c>
      <c r="C1085" s="79">
        <v>595566245</v>
      </c>
      <c r="D1085" s="79">
        <v>0</v>
      </c>
      <c r="E1085" s="79" t="s">
        <v>1124</v>
      </c>
      <c r="F1085" s="79" t="s">
        <v>2537</v>
      </c>
      <c r="G1085" s="79" t="s">
        <v>2544</v>
      </c>
      <c r="H1085" s="79" t="s">
        <v>2545</v>
      </c>
      <c r="I1085" s="79"/>
    </row>
    <row r="1086" spans="1:9" ht="14.25">
      <c r="A1086" s="79" t="s">
        <v>3090</v>
      </c>
      <c r="B1086" s="79" t="s">
        <v>3091</v>
      </c>
      <c r="C1086" s="79">
        <v>595566245</v>
      </c>
      <c r="D1086" s="79">
        <v>0</v>
      </c>
      <c r="E1086" s="79" t="s">
        <v>1124</v>
      </c>
      <c r="F1086" s="79" t="s">
        <v>2537</v>
      </c>
      <c r="G1086" s="79" t="s">
        <v>2579</v>
      </c>
      <c r="H1086" s="79"/>
      <c r="I1086" s="79"/>
    </row>
    <row r="1087" spans="1:9" ht="14.25">
      <c r="A1087" s="79" t="s">
        <v>3092</v>
      </c>
      <c r="B1087" s="79" t="s">
        <v>3093</v>
      </c>
      <c r="C1087" s="79">
        <v>595608845</v>
      </c>
      <c r="D1087" s="79">
        <v>0</v>
      </c>
      <c r="E1087" s="79" t="s">
        <v>1124</v>
      </c>
      <c r="F1087" s="79" t="s">
        <v>2537</v>
      </c>
      <c r="G1087" s="79" t="s">
        <v>1130</v>
      </c>
      <c r="H1087" s="79"/>
      <c r="I1087" s="79"/>
    </row>
    <row r="1088" spans="1:9" ht="14.25">
      <c r="A1088" s="79" t="s">
        <v>3092</v>
      </c>
      <c r="B1088" s="79" t="s">
        <v>3093</v>
      </c>
      <c r="C1088" s="79">
        <v>595608845</v>
      </c>
      <c r="D1088" s="79">
        <v>0</v>
      </c>
      <c r="E1088" s="79" t="s">
        <v>1124</v>
      </c>
      <c r="F1088" s="79" t="s">
        <v>2537</v>
      </c>
      <c r="G1088" s="79" t="s">
        <v>1131</v>
      </c>
      <c r="H1088" s="79" t="s">
        <v>1132</v>
      </c>
      <c r="I1088" s="79"/>
    </row>
    <row r="1089" spans="1:9" ht="14.25">
      <c r="A1089" s="79" t="s">
        <v>3092</v>
      </c>
      <c r="B1089" s="79" t="s">
        <v>3093</v>
      </c>
      <c r="C1089" s="79">
        <v>595608845</v>
      </c>
      <c r="D1089" s="79">
        <v>0</v>
      </c>
      <c r="E1089" s="79" t="s">
        <v>1124</v>
      </c>
      <c r="F1089" s="79" t="s">
        <v>2537</v>
      </c>
      <c r="G1089" s="79" t="s">
        <v>2576</v>
      </c>
      <c r="H1089" s="79"/>
      <c r="I1089" s="79"/>
    </row>
    <row r="1090" spans="1:9" ht="14.25">
      <c r="A1090" s="79" t="s">
        <v>3094</v>
      </c>
      <c r="B1090" s="79" t="s">
        <v>3095</v>
      </c>
      <c r="C1090" s="79">
        <v>595609445</v>
      </c>
      <c r="D1090" s="79">
        <v>0</v>
      </c>
      <c r="E1090" s="79" t="s">
        <v>1124</v>
      </c>
      <c r="F1090" s="79" t="s">
        <v>2537</v>
      </c>
      <c r="G1090" s="79" t="s">
        <v>2544</v>
      </c>
      <c r="H1090" s="79" t="s">
        <v>2545</v>
      </c>
      <c r="I1090" s="79"/>
    </row>
    <row r="1091" spans="1:9" ht="14.25">
      <c r="A1091" s="79" t="s">
        <v>3094</v>
      </c>
      <c r="B1091" s="79" t="s">
        <v>3095</v>
      </c>
      <c r="C1091" s="79">
        <v>595609445</v>
      </c>
      <c r="D1091" s="79">
        <v>0</v>
      </c>
      <c r="E1091" s="79" t="s">
        <v>1124</v>
      </c>
      <c r="F1091" s="79" t="s">
        <v>2537</v>
      </c>
      <c r="G1091" s="79" t="s">
        <v>2579</v>
      </c>
      <c r="H1091" s="79"/>
      <c r="I1091" s="79"/>
    </row>
    <row r="1092" spans="1:9" ht="14.25">
      <c r="A1092" s="79" t="s">
        <v>3096</v>
      </c>
      <c r="B1092" s="79" t="s">
        <v>3097</v>
      </c>
      <c r="C1092" s="79">
        <v>595652045</v>
      </c>
      <c r="D1092" s="79">
        <v>0</v>
      </c>
      <c r="E1092" s="79" t="s">
        <v>1124</v>
      </c>
      <c r="F1092" s="79" t="s">
        <v>2537</v>
      </c>
      <c r="G1092" s="79" t="s">
        <v>1130</v>
      </c>
      <c r="H1092" s="79"/>
      <c r="I1092" s="79"/>
    </row>
    <row r="1093" spans="1:9" ht="14.25">
      <c r="A1093" s="79" t="s">
        <v>3096</v>
      </c>
      <c r="B1093" s="79" t="s">
        <v>3097</v>
      </c>
      <c r="C1093" s="79">
        <v>595652045</v>
      </c>
      <c r="D1093" s="79">
        <v>0</v>
      </c>
      <c r="E1093" s="79" t="s">
        <v>1124</v>
      </c>
      <c r="F1093" s="79" t="s">
        <v>2537</v>
      </c>
      <c r="G1093" s="79" t="s">
        <v>1131</v>
      </c>
      <c r="H1093" s="79" t="s">
        <v>1132</v>
      </c>
      <c r="I1093" s="79"/>
    </row>
    <row r="1094" spans="1:9" ht="14.25">
      <c r="A1094" s="79" t="s">
        <v>3096</v>
      </c>
      <c r="B1094" s="79" t="s">
        <v>3097</v>
      </c>
      <c r="C1094" s="79">
        <v>595652045</v>
      </c>
      <c r="D1094" s="79">
        <v>0</v>
      </c>
      <c r="E1094" s="79" t="s">
        <v>1124</v>
      </c>
      <c r="F1094" s="79" t="s">
        <v>2537</v>
      </c>
      <c r="G1094" s="79" t="s">
        <v>2576</v>
      </c>
      <c r="H1094" s="79"/>
      <c r="I1094" s="79"/>
    </row>
    <row r="1095" spans="1:9" ht="14.25">
      <c r="A1095" s="79" t="s">
        <v>3098</v>
      </c>
      <c r="B1095" s="79" t="s">
        <v>3099</v>
      </c>
      <c r="C1095" s="79">
        <v>595652645</v>
      </c>
      <c r="D1095" s="79">
        <v>0</v>
      </c>
      <c r="E1095" s="79" t="s">
        <v>1124</v>
      </c>
      <c r="F1095" s="79" t="s">
        <v>2537</v>
      </c>
      <c r="G1095" s="79" t="s">
        <v>2544</v>
      </c>
      <c r="H1095" s="79" t="s">
        <v>2545</v>
      </c>
      <c r="I1095" s="79"/>
    </row>
    <row r="1096" spans="1:9" ht="14.25">
      <c r="A1096" s="79" t="s">
        <v>3098</v>
      </c>
      <c r="B1096" s="79" t="s">
        <v>3099</v>
      </c>
      <c r="C1096" s="79">
        <v>595652645</v>
      </c>
      <c r="D1096" s="79">
        <v>0</v>
      </c>
      <c r="E1096" s="79" t="s">
        <v>1124</v>
      </c>
      <c r="F1096" s="79" t="s">
        <v>2537</v>
      </c>
      <c r="G1096" s="79" t="s">
        <v>2579</v>
      </c>
      <c r="H1096" s="79"/>
      <c r="I1096" s="79"/>
    </row>
    <row r="1097" spans="1:9" ht="14.25">
      <c r="A1097" s="79" t="s">
        <v>3100</v>
      </c>
      <c r="B1097" s="79" t="s">
        <v>3101</v>
      </c>
      <c r="C1097" s="79">
        <v>595695245</v>
      </c>
      <c r="D1097" s="79">
        <v>0</v>
      </c>
      <c r="E1097" s="79" t="s">
        <v>1124</v>
      </c>
      <c r="F1097" s="79" t="s">
        <v>2537</v>
      </c>
      <c r="G1097" s="79" t="s">
        <v>1130</v>
      </c>
      <c r="H1097" s="79"/>
      <c r="I1097" s="79"/>
    </row>
    <row r="1098" spans="1:9" ht="14.25">
      <c r="A1098" s="79" t="s">
        <v>3100</v>
      </c>
      <c r="B1098" s="79" t="s">
        <v>3101</v>
      </c>
      <c r="C1098" s="79">
        <v>595695245</v>
      </c>
      <c r="D1098" s="79">
        <v>0</v>
      </c>
      <c r="E1098" s="79" t="s">
        <v>1124</v>
      </c>
      <c r="F1098" s="79" t="s">
        <v>2537</v>
      </c>
      <c r="G1098" s="79" t="s">
        <v>1131</v>
      </c>
      <c r="H1098" s="79" t="s">
        <v>1132</v>
      </c>
      <c r="I1098" s="79"/>
    </row>
    <row r="1099" spans="1:9" ht="14.25">
      <c r="A1099" s="79" t="s">
        <v>3100</v>
      </c>
      <c r="B1099" s="79" t="s">
        <v>3101</v>
      </c>
      <c r="C1099" s="79">
        <v>595695245</v>
      </c>
      <c r="D1099" s="79">
        <v>0</v>
      </c>
      <c r="E1099" s="79" t="s">
        <v>1124</v>
      </c>
      <c r="F1099" s="79" t="s">
        <v>2537</v>
      </c>
      <c r="G1099" s="79" t="s">
        <v>2576</v>
      </c>
      <c r="H1099" s="79"/>
      <c r="I1099" s="79"/>
    </row>
    <row r="1100" spans="1:9" ht="14.25">
      <c r="A1100" s="79" t="s">
        <v>3102</v>
      </c>
      <c r="B1100" s="79" t="s">
        <v>3103</v>
      </c>
      <c r="C1100" s="79">
        <v>595695845</v>
      </c>
      <c r="D1100" s="79">
        <v>0</v>
      </c>
      <c r="E1100" s="79" t="s">
        <v>1124</v>
      </c>
      <c r="F1100" s="79" t="s">
        <v>2537</v>
      </c>
      <c r="G1100" s="79" t="s">
        <v>2544</v>
      </c>
      <c r="H1100" s="79" t="s">
        <v>2545</v>
      </c>
      <c r="I1100" s="79"/>
    </row>
    <row r="1101" spans="1:9" ht="14.25">
      <c r="A1101" s="79" t="s">
        <v>3102</v>
      </c>
      <c r="B1101" s="79" t="s">
        <v>3103</v>
      </c>
      <c r="C1101" s="79">
        <v>595695845</v>
      </c>
      <c r="D1101" s="79">
        <v>0</v>
      </c>
      <c r="E1101" s="79" t="s">
        <v>1124</v>
      </c>
      <c r="F1101" s="79" t="s">
        <v>2537</v>
      </c>
      <c r="G1101" s="79" t="s">
        <v>2579</v>
      </c>
      <c r="H1101" s="79"/>
      <c r="I1101" s="79"/>
    </row>
    <row r="1102" spans="1:9" ht="14.25">
      <c r="A1102" s="79" t="s">
        <v>3104</v>
      </c>
      <c r="B1102" s="79" t="s">
        <v>3105</v>
      </c>
      <c r="C1102" s="79">
        <v>595738445</v>
      </c>
      <c r="D1102" s="79">
        <v>0</v>
      </c>
      <c r="E1102" s="79" t="s">
        <v>1124</v>
      </c>
      <c r="F1102" s="79" t="s">
        <v>2537</v>
      </c>
      <c r="G1102" s="79" t="s">
        <v>1130</v>
      </c>
      <c r="H1102" s="79"/>
      <c r="I1102" s="79"/>
    </row>
    <row r="1103" spans="1:9" ht="14.25">
      <c r="A1103" s="79" t="s">
        <v>3104</v>
      </c>
      <c r="B1103" s="79" t="s">
        <v>3105</v>
      </c>
      <c r="C1103" s="79">
        <v>595738445</v>
      </c>
      <c r="D1103" s="79">
        <v>0</v>
      </c>
      <c r="E1103" s="79" t="s">
        <v>1124</v>
      </c>
      <c r="F1103" s="79" t="s">
        <v>2537</v>
      </c>
      <c r="G1103" s="79" t="s">
        <v>1131</v>
      </c>
      <c r="H1103" s="79" t="s">
        <v>1132</v>
      </c>
      <c r="I1103" s="79"/>
    </row>
    <row r="1104" spans="1:9" ht="14.25">
      <c r="A1104" s="79" t="s">
        <v>3104</v>
      </c>
      <c r="B1104" s="79" t="s">
        <v>3105</v>
      </c>
      <c r="C1104" s="79">
        <v>595738445</v>
      </c>
      <c r="D1104" s="79">
        <v>0</v>
      </c>
      <c r="E1104" s="79" t="s">
        <v>1124</v>
      </c>
      <c r="F1104" s="79" t="s">
        <v>2537</v>
      </c>
      <c r="G1104" s="79" t="s">
        <v>2576</v>
      </c>
      <c r="H1104" s="79"/>
      <c r="I1104" s="79"/>
    </row>
    <row r="1105" spans="1:9" ht="14.25">
      <c r="A1105" s="79" t="s">
        <v>3106</v>
      </c>
      <c r="B1105" s="79" t="s">
        <v>3107</v>
      </c>
      <c r="C1105" s="79">
        <v>595739045</v>
      </c>
      <c r="D1105" s="79">
        <v>0</v>
      </c>
      <c r="E1105" s="79" t="s">
        <v>1124</v>
      </c>
      <c r="F1105" s="79" t="s">
        <v>2537</v>
      </c>
      <c r="G1105" s="79" t="s">
        <v>2544</v>
      </c>
      <c r="H1105" s="79" t="s">
        <v>2545</v>
      </c>
      <c r="I1105" s="79"/>
    </row>
    <row r="1106" spans="1:9" ht="14.25">
      <c r="A1106" s="79" t="s">
        <v>3106</v>
      </c>
      <c r="B1106" s="79" t="s">
        <v>3107</v>
      </c>
      <c r="C1106" s="79">
        <v>595739045</v>
      </c>
      <c r="D1106" s="79">
        <v>0</v>
      </c>
      <c r="E1106" s="79" t="s">
        <v>1124</v>
      </c>
      <c r="F1106" s="79" t="s">
        <v>2537</v>
      </c>
      <c r="G1106" s="79" t="s">
        <v>2579</v>
      </c>
      <c r="H1106" s="79"/>
      <c r="I1106" s="79"/>
    </row>
    <row r="1107" spans="1:9" ht="14.25">
      <c r="A1107" s="79" t="s">
        <v>3108</v>
      </c>
      <c r="B1107" s="79" t="s">
        <v>3109</v>
      </c>
      <c r="C1107" s="79">
        <v>595781645</v>
      </c>
      <c r="D1107" s="79">
        <v>0</v>
      </c>
      <c r="E1107" s="79" t="s">
        <v>1124</v>
      </c>
      <c r="F1107" s="79" t="s">
        <v>2537</v>
      </c>
      <c r="G1107" s="79" t="s">
        <v>1130</v>
      </c>
      <c r="H1107" s="79"/>
      <c r="I1107" s="79"/>
    </row>
    <row r="1108" spans="1:9" ht="14.25">
      <c r="A1108" s="79" t="s">
        <v>3108</v>
      </c>
      <c r="B1108" s="79" t="s">
        <v>3109</v>
      </c>
      <c r="C1108" s="79">
        <v>595781645</v>
      </c>
      <c r="D1108" s="79">
        <v>0</v>
      </c>
      <c r="E1108" s="79" t="s">
        <v>1124</v>
      </c>
      <c r="F1108" s="79" t="s">
        <v>2537</v>
      </c>
      <c r="G1108" s="79" t="s">
        <v>1131</v>
      </c>
      <c r="H1108" s="79" t="s">
        <v>1132</v>
      </c>
      <c r="I1108" s="79"/>
    </row>
    <row r="1109" spans="1:9" ht="14.25">
      <c r="A1109" s="79" t="s">
        <v>3108</v>
      </c>
      <c r="B1109" s="79" t="s">
        <v>3109</v>
      </c>
      <c r="C1109" s="79">
        <v>595781645</v>
      </c>
      <c r="D1109" s="79">
        <v>0</v>
      </c>
      <c r="E1109" s="79" t="s">
        <v>1124</v>
      </c>
      <c r="F1109" s="79" t="s">
        <v>2537</v>
      </c>
      <c r="G1109" s="79" t="s">
        <v>2576</v>
      </c>
      <c r="H1109" s="79"/>
      <c r="I1109" s="79"/>
    </row>
    <row r="1110" spans="1:9" ht="14.25">
      <c r="A1110" s="79" t="s">
        <v>3110</v>
      </c>
      <c r="B1110" s="79" t="s">
        <v>3111</v>
      </c>
      <c r="C1110" s="79">
        <v>595782245</v>
      </c>
      <c r="D1110" s="79">
        <v>0</v>
      </c>
      <c r="E1110" s="79" t="s">
        <v>1124</v>
      </c>
      <c r="F1110" s="79" t="s">
        <v>2537</v>
      </c>
      <c r="G1110" s="79" t="s">
        <v>2544</v>
      </c>
      <c r="H1110" s="79" t="s">
        <v>2545</v>
      </c>
      <c r="I1110" s="79"/>
    </row>
    <row r="1111" spans="1:9" ht="14.25">
      <c r="A1111" s="79" t="s">
        <v>3110</v>
      </c>
      <c r="B1111" s="79" t="s">
        <v>3111</v>
      </c>
      <c r="C1111" s="79">
        <v>595782245</v>
      </c>
      <c r="D1111" s="79">
        <v>0</v>
      </c>
      <c r="E1111" s="79" t="s">
        <v>1124</v>
      </c>
      <c r="F1111" s="79" t="s">
        <v>2537</v>
      </c>
      <c r="G1111" s="79" t="s">
        <v>2579</v>
      </c>
      <c r="H1111" s="79"/>
      <c r="I1111" s="79"/>
    </row>
    <row r="1112" spans="1:9" ht="14.25">
      <c r="A1112" s="79" t="s">
        <v>3112</v>
      </c>
      <c r="B1112" s="79" t="s">
        <v>3113</v>
      </c>
      <c r="C1112" s="79">
        <v>595824845</v>
      </c>
      <c r="D1112" s="79">
        <v>0</v>
      </c>
      <c r="E1112" s="79" t="s">
        <v>1124</v>
      </c>
      <c r="F1112" s="79" t="s">
        <v>2537</v>
      </c>
      <c r="G1112" s="79" t="s">
        <v>1130</v>
      </c>
      <c r="H1112" s="79"/>
      <c r="I1112" s="79"/>
    </row>
    <row r="1113" spans="1:9" ht="14.25">
      <c r="A1113" s="79" t="s">
        <v>3112</v>
      </c>
      <c r="B1113" s="79" t="s">
        <v>3113</v>
      </c>
      <c r="C1113" s="79">
        <v>595824845</v>
      </c>
      <c r="D1113" s="79">
        <v>0</v>
      </c>
      <c r="E1113" s="79" t="s">
        <v>1124</v>
      </c>
      <c r="F1113" s="79" t="s">
        <v>2537</v>
      </c>
      <c r="G1113" s="79" t="s">
        <v>1131</v>
      </c>
      <c r="H1113" s="79" t="s">
        <v>1132</v>
      </c>
      <c r="I1113" s="79"/>
    </row>
    <row r="1114" spans="1:9" ht="14.25">
      <c r="A1114" s="79" t="s">
        <v>3112</v>
      </c>
      <c r="B1114" s="79" t="s">
        <v>3113</v>
      </c>
      <c r="C1114" s="79">
        <v>595824845</v>
      </c>
      <c r="D1114" s="79">
        <v>0</v>
      </c>
      <c r="E1114" s="79" t="s">
        <v>1124</v>
      </c>
      <c r="F1114" s="79" t="s">
        <v>2537</v>
      </c>
      <c r="G1114" s="79" t="s">
        <v>2576</v>
      </c>
      <c r="H1114" s="79"/>
      <c r="I1114" s="79"/>
    </row>
    <row r="1115" spans="1:9" ht="14.25">
      <c r="A1115" s="79" t="s">
        <v>3114</v>
      </c>
      <c r="B1115" s="79" t="s">
        <v>3115</v>
      </c>
      <c r="C1115" s="79">
        <v>595825445</v>
      </c>
      <c r="D1115" s="79">
        <v>0</v>
      </c>
      <c r="E1115" s="79" t="s">
        <v>1124</v>
      </c>
      <c r="F1115" s="79" t="s">
        <v>2537</v>
      </c>
      <c r="G1115" s="79" t="s">
        <v>2544</v>
      </c>
      <c r="H1115" s="79" t="s">
        <v>2545</v>
      </c>
      <c r="I1115" s="79"/>
    </row>
    <row r="1116" spans="1:9" ht="14.25">
      <c r="A1116" s="79" t="s">
        <v>3114</v>
      </c>
      <c r="B1116" s="79" t="s">
        <v>3115</v>
      </c>
      <c r="C1116" s="79">
        <v>595825445</v>
      </c>
      <c r="D1116" s="79">
        <v>0</v>
      </c>
      <c r="E1116" s="79" t="s">
        <v>1124</v>
      </c>
      <c r="F1116" s="79" t="s">
        <v>2537</v>
      </c>
      <c r="G1116" s="79" t="s">
        <v>2579</v>
      </c>
      <c r="H1116" s="79"/>
      <c r="I1116" s="79"/>
    </row>
    <row r="1117" spans="1:9" ht="14.25">
      <c r="A1117" s="79" t="s">
        <v>3116</v>
      </c>
      <c r="B1117" s="79" t="s">
        <v>3117</v>
      </c>
      <c r="C1117" s="79">
        <v>595868045</v>
      </c>
      <c r="D1117" s="79">
        <v>0</v>
      </c>
      <c r="E1117" s="79" t="s">
        <v>1124</v>
      </c>
      <c r="F1117" s="79" t="s">
        <v>2537</v>
      </c>
      <c r="G1117" s="79" t="s">
        <v>1130</v>
      </c>
      <c r="H1117" s="79"/>
      <c r="I1117" s="79"/>
    </row>
    <row r="1118" spans="1:9" ht="14.25">
      <c r="A1118" s="79" t="s">
        <v>3116</v>
      </c>
      <c r="B1118" s="79" t="s">
        <v>3117</v>
      </c>
      <c r="C1118" s="79">
        <v>595868045</v>
      </c>
      <c r="D1118" s="79">
        <v>0</v>
      </c>
      <c r="E1118" s="79" t="s">
        <v>1124</v>
      </c>
      <c r="F1118" s="79" t="s">
        <v>2537</v>
      </c>
      <c r="G1118" s="79" t="s">
        <v>1131</v>
      </c>
      <c r="H1118" s="79" t="s">
        <v>1132</v>
      </c>
      <c r="I1118" s="79"/>
    </row>
    <row r="1119" spans="1:9" ht="14.25">
      <c r="A1119" s="79" t="s">
        <v>3116</v>
      </c>
      <c r="B1119" s="79" t="s">
        <v>3117</v>
      </c>
      <c r="C1119" s="79">
        <v>595868045</v>
      </c>
      <c r="D1119" s="79">
        <v>0</v>
      </c>
      <c r="E1119" s="79" t="s">
        <v>1124</v>
      </c>
      <c r="F1119" s="79" t="s">
        <v>2537</v>
      </c>
      <c r="G1119" s="79" t="s">
        <v>2576</v>
      </c>
      <c r="H1119" s="79"/>
      <c r="I1119" s="79"/>
    </row>
    <row r="1120" spans="1:9" ht="14.25">
      <c r="A1120" s="79" t="s">
        <v>3118</v>
      </c>
      <c r="B1120" s="79" t="s">
        <v>3119</v>
      </c>
      <c r="C1120" s="79">
        <v>595868645</v>
      </c>
      <c r="D1120" s="79">
        <v>0</v>
      </c>
      <c r="E1120" s="79" t="s">
        <v>1124</v>
      </c>
      <c r="F1120" s="79" t="s">
        <v>2537</v>
      </c>
      <c r="G1120" s="79" t="s">
        <v>2544</v>
      </c>
      <c r="H1120" s="79" t="s">
        <v>2545</v>
      </c>
      <c r="I1120" s="79"/>
    </row>
    <row r="1121" spans="1:9" ht="14.25">
      <c r="A1121" s="79" t="s">
        <v>3118</v>
      </c>
      <c r="B1121" s="79" t="s">
        <v>3119</v>
      </c>
      <c r="C1121" s="79">
        <v>595868645</v>
      </c>
      <c r="D1121" s="79">
        <v>0</v>
      </c>
      <c r="E1121" s="79" t="s">
        <v>1124</v>
      </c>
      <c r="F1121" s="79" t="s">
        <v>2537</v>
      </c>
      <c r="G1121" s="79" t="s">
        <v>2579</v>
      </c>
      <c r="H1121" s="79"/>
      <c r="I1121" s="79"/>
    </row>
    <row r="1122" spans="1:9" ht="14.25">
      <c r="A1122" s="79" t="s">
        <v>3120</v>
      </c>
      <c r="B1122" s="79" t="s">
        <v>3121</v>
      </c>
      <c r="C1122" s="79">
        <v>595911245</v>
      </c>
      <c r="D1122" s="79">
        <v>0</v>
      </c>
      <c r="E1122" s="79" t="s">
        <v>1124</v>
      </c>
      <c r="F1122" s="79" t="s">
        <v>2537</v>
      </c>
      <c r="G1122" s="79" t="s">
        <v>1130</v>
      </c>
      <c r="H1122" s="79"/>
      <c r="I1122" s="79"/>
    </row>
    <row r="1123" spans="1:9" ht="14.25">
      <c r="A1123" s="79" t="s">
        <v>3120</v>
      </c>
      <c r="B1123" s="79" t="s">
        <v>3121</v>
      </c>
      <c r="C1123" s="79">
        <v>595911245</v>
      </c>
      <c r="D1123" s="79">
        <v>0</v>
      </c>
      <c r="E1123" s="79" t="s">
        <v>1124</v>
      </c>
      <c r="F1123" s="79" t="s">
        <v>2537</v>
      </c>
      <c r="G1123" s="79" t="s">
        <v>1131</v>
      </c>
      <c r="H1123" s="79" t="s">
        <v>1132</v>
      </c>
      <c r="I1123" s="79"/>
    </row>
    <row r="1124" spans="1:9" ht="14.25">
      <c r="A1124" s="79" t="s">
        <v>3120</v>
      </c>
      <c r="B1124" s="79" t="s">
        <v>3121</v>
      </c>
      <c r="C1124" s="79">
        <v>595911245</v>
      </c>
      <c r="D1124" s="79">
        <v>0</v>
      </c>
      <c r="E1124" s="79" t="s">
        <v>1124</v>
      </c>
      <c r="F1124" s="79" t="s">
        <v>2537</v>
      </c>
      <c r="G1124" s="79" t="s">
        <v>2576</v>
      </c>
      <c r="H1124" s="79"/>
      <c r="I1124" s="79"/>
    </row>
    <row r="1125" spans="1:9" ht="14.25">
      <c r="A1125" s="79" t="s">
        <v>3122</v>
      </c>
      <c r="B1125" s="79" t="s">
        <v>3123</v>
      </c>
      <c r="C1125" s="79">
        <v>595911845</v>
      </c>
      <c r="D1125" s="79">
        <v>0</v>
      </c>
      <c r="E1125" s="79" t="s">
        <v>1124</v>
      </c>
      <c r="F1125" s="79" t="s">
        <v>2537</v>
      </c>
      <c r="G1125" s="79" t="s">
        <v>2544</v>
      </c>
      <c r="H1125" s="79" t="s">
        <v>2545</v>
      </c>
      <c r="I1125" s="79"/>
    </row>
    <row r="1126" spans="1:9" ht="14.25">
      <c r="A1126" s="79" t="s">
        <v>3122</v>
      </c>
      <c r="B1126" s="79" t="s">
        <v>3123</v>
      </c>
      <c r="C1126" s="79">
        <v>595911845</v>
      </c>
      <c r="D1126" s="79">
        <v>0</v>
      </c>
      <c r="E1126" s="79" t="s">
        <v>1124</v>
      </c>
      <c r="F1126" s="79" t="s">
        <v>2537</v>
      </c>
      <c r="G1126" s="79" t="s">
        <v>2579</v>
      </c>
      <c r="H1126" s="79"/>
      <c r="I1126" s="79"/>
    </row>
    <row r="1127" spans="1:9" ht="14.25">
      <c r="A1127" s="79" t="s">
        <v>3124</v>
      </c>
      <c r="B1127" s="79" t="s">
        <v>3125</v>
      </c>
      <c r="C1127" s="79">
        <v>595954445</v>
      </c>
      <c r="D1127" s="79">
        <v>0</v>
      </c>
      <c r="E1127" s="79" t="s">
        <v>1124</v>
      </c>
      <c r="F1127" s="79" t="s">
        <v>2537</v>
      </c>
      <c r="G1127" s="79" t="s">
        <v>1130</v>
      </c>
      <c r="H1127" s="79"/>
      <c r="I1127" s="79"/>
    </row>
    <row r="1128" spans="1:9" ht="14.25">
      <c r="A1128" s="79" t="s">
        <v>3124</v>
      </c>
      <c r="B1128" s="79" t="s">
        <v>3125</v>
      </c>
      <c r="C1128" s="79">
        <v>595954445</v>
      </c>
      <c r="D1128" s="79">
        <v>0</v>
      </c>
      <c r="E1128" s="79" t="s">
        <v>1124</v>
      </c>
      <c r="F1128" s="79" t="s">
        <v>2537</v>
      </c>
      <c r="G1128" s="79" t="s">
        <v>1131</v>
      </c>
      <c r="H1128" s="79" t="s">
        <v>1132</v>
      </c>
      <c r="I1128" s="79"/>
    </row>
    <row r="1129" spans="1:9" ht="14.25">
      <c r="A1129" s="79" t="s">
        <v>3124</v>
      </c>
      <c r="B1129" s="79" t="s">
        <v>3125</v>
      </c>
      <c r="C1129" s="79">
        <v>595954445</v>
      </c>
      <c r="D1129" s="79">
        <v>0</v>
      </c>
      <c r="E1129" s="79" t="s">
        <v>1124</v>
      </c>
      <c r="F1129" s="79" t="s">
        <v>2537</v>
      </c>
      <c r="G1129" s="79" t="s">
        <v>2576</v>
      </c>
      <c r="H1129" s="79"/>
      <c r="I1129" s="79"/>
    </row>
    <row r="1130" spans="1:9" ht="14.25">
      <c r="A1130" s="79" t="s">
        <v>3126</v>
      </c>
      <c r="B1130" s="79" t="s">
        <v>3127</v>
      </c>
      <c r="C1130" s="79">
        <v>595955045</v>
      </c>
      <c r="D1130" s="79">
        <v>0</v>
      </c>
      <c r="E1130" s="79" t="s">
        <v>1124</v>
      </c>
      <c r="F1130" s="79" t="s">
        <v>2537</v>
      </c>
      <c r="G1130" s="79" t="s">
        <v>2544</v>
      </c>
      <c r="H1130" s="79" t="s">
        <v>2545</v>
      </c>
      <c r="I1130" s="79"/>
    </row>
    <row r="1131" spans="1:9" ht="14.25">
      <c r="A1131" s="79" t="s">
        <v>3126</v>
      </c>
      <c r="B1131" s="79" t="s">
        <v>3127</v>
      </c>
      <c r="C1131" s="79">
        <v>595955045</v>
      </c>
      <c r="D1131" s="79">
        <v>0</v>
      </c>
      <c r="E1131" s="79" t="s">
        <v>1124</v>
      </c>
      <c r="F1131" s="79" t="s">
        <v>2537</v>
      </c>
      <c r="G1131" s="79" t="s">
        <v>2579</v>
      </c>
      <c r="H1131" s="79"/>
      <c r="I1131" s="79"/>
    </row>
    <row r="1132" spans="1:9" ht="14.25">
      <c r="A1132" s="79" t="s">
        <v>3128</v>
      </c>
      <c r="B1132" s="79" t="s">
        <v>3129</v>
      </c>
      <c r="C1132" s="79">
        <v>595997645</v>
      </c>
      <c r="D1132" s="79">
        <v>0</v>
      </c>
      <c r="E1132" s="79" t="s">
        <v>1124</v>
      </c>
      <c r="F1132" s="79" t="s">
        <v>2537</v>
      </c>
      <c r="G1132" s="79" t="s">
        <v>1130</v>
      </c>
      <c r="H1132" s="79"/>
      <c r="I1132" s="79"/>
    </row>
    <row r="1133" spans="1:9" ht="14.25">
      <c r="A1133" s="79" t="s">
        <v>3128</v>
      </c>
      <c r="B1133" s="79" t="s">
        <v>3129</v>
      </c>
      <c r="C1133" s="79">
        <v>595997645</v>
      </c>
      <c r="D1133" s="79">
        <v>0</v>
      </c>
      <c r="E1133" s="79" t="s">
        <v>1124</v>
      </c>
      <c r="F1133" s="79" t="s">
        <v>2537</v>
      </c>
      <c r="G1133" s="79" t="s">
        <v>1131</v>
      </c>
      <c r="H1133" s="79" t="s">
        <v>1132</v>
      </c>
      <c r="I1133" s="79"/>
    </row>
    <row r="1134" spans="1:9" ht="14.25">
      <c r="A1134" s="79" t="s">
        <v>3128</v>
      </c>
      <c r="B1134" s="79" t="s">
        <v>3129</v>
      </c>
      <c r="C1134" s="79">
        <v>595997645</v>
      </c>
      <c r="D1134" s="79">
        <v>0</v>
      </c>
      <c r="E1134" s="79" t="s">
        <v>1124</v>
      </c>
      <c r="F1134" s="79" t="s">
        <v>2537</v>
      </c>
      <c r="G1134" s="79" t="s">
        <v>2576</v>
      </c>
      <c r="H1134" s="79"/>
      <c r="I1134" s="79"/>
    </row>
    <row r="1135" spans="1:9" ht="14.25">
      <c r="A1135" s="79" t="s">
        <v>3130</v>
      </c>
      <c r="B1135" s="79" t="s">
        <v>3131</v>
      </c>
      <c r="C1135" s="79">
        <v>595998245</v>
      </c>
      <c r="D1135" s="79">
        <v>0</v>
      </c>
      <c r="E1135" s="79" t="s">
        <v>1124</v>
      </c>
      <c r="F1135" s="79" t="s">
        <v>2537</v>
      </c>
      <c r="G1135" s="79" t="s">
        <v>2544</v>
      </c>
      <c r="H1135" s="79" t="s">
        <v>2545</v>
      </c>
      <c r="I1135" s="79"/>
    </row>
    <row r="1136" spans="1:9" ht="14.25">
      <c r="A1136" s="79" t="s">
        <v>3130</v>
      </c>
      <c r="B1136" s="79" t="s">
        <v>3131</v>
      </c>
      <c r="C1136" s="79">
        <v>595998245</v>
      </c>
      <c r="D1136" s="79">
        <v>0</v>
      </c>
      <c r="E1136" s="79" t="s">
        <v>1124</v>
      </c>
      <c r="F1136" s="79" t="s">
        <v>2537</v>
      </c>
      <c r="G1136" s="79" t="s">
        <v>2579</v>
      </c>
      <c r="H1136" s="79"/>
      <c r="I1136" s="79"/>
    </row>
    <row r="1137" spans="1:9" ht="14.25">
      <c r="A1137" s="79" t="s">
        <v>3132</v>
      </c>
      <c r="B1137" s="79" t="s">
        <v>3133</v>
      </c>
      <c r="C1137" s="79">
        <v>596040845</v>
      </c>
      <c r="D1137" s="79">
        <v>0</v>
      </c>
      <c r="E1137" s="79" t="s">
        <v>1124</v>
      </c>
      <c r="F1137" s="79" t="s">
        <v>2537</v>
      </c>
      <c r="G1137" s="79" t="s">
        <v>1130</v>
      </c>
      <c r="H1137" s="79"/>
      <c r="I1137" s="79"/>
    </row>
    <row r="1138" spans="1:9" ht="14.25">
      <c r="A1138" s="79" t="s">
        <v>3132</v>
      </c>
      <c r="B1138" s="79" t="s">
        <v>3133</v>
      </c>
      <c r="C1138" s="79">
        <v>596040845</v>
      </c>
      <c r="D1138" s="79">
        <v>0</v>
      </c>
      <c r="E1138" s="79" t="s">
        <v>1124</v>
      </c>
      <c r="F1138" s="79" t="s">
        <v>2537</v>
      </c>
      <c r="G1138" s="79" t="s">
        <v>1131</v>
      </c>
      <c r="H1138" s="79" t="s">
        <v>1132</v>
      </c>
      <c r="I1138" s="79"/>
    </row>
    <row r="1139" spans="1:9" ht="14.25">
      <c r="A1139" s="79" t="s">
        <v>3132</v>
      </c>
      <c r="B1139" s="79" t="s">
        <v>3133</v>
      </c>
      <c r="C1139" s="79">
        <v>596040845</v>
      </c>
      <c r="D1139" s="79">
        <v>0</v>
      </c>
      <c r="E1139" s="79" t="s">
        <v>1124</v>
      </c>
      <c r="F1139" s="79" t="s">
        <v>2537</v>
      </c>
      <c r="G1139" s="79" t="s">
        <v>2576</v>
      </c>
      <c r="H1139" s="79"/>
      <c r="I1139" s="79"/>
    </row>
    <row r="1140" spans="1:9" ht="14.25">
      <c r="A1140" s="79" t="s">
        <v>3134</v>
      </c>
      <c r="B1140" s="79" t="s">
        <v>3135</v>
      </c>
      <c r="C1140" s="79">
        <v>596041445</v>
      </c>
      <c r="D1140" s="79">
        <v>0</v>
      </c>
      <c r="E1140" s="79" t="s">
        <v>1124</v>
      </c>
      <c r="F1140" s="79" t="s">
        <v>2537</v>
      </c>
      <c r="G1140" s="79" t="s">
        <v>2544</v>
      </c>
      <c r="H1140" s="79" t="s">
        <v>2545</v>
      </c>
      <c r="I1140" s="79"/>
    </row>
    <row r="1141" spans="1:9" ht="14.25">
      <c r="A1141" s="79" t="s">
        <v>3134</v>
      </c>
      <c r="B1141" s="79" t="s">
        <v>3135</v>
      </c>
      <c r="C1141" s="79">
        <v>596041445</v>
      </c>
      <c r="D1141" s="79">
        <v>0</v>
      </c>
      <c r="E1141" s="79" t="s">
        <v>1124</v>
      </c>
      <c r="F1141" s="79" t="s">
        <v>2537</v>
      </c>
      <c r="G1141" s="79" t="s">
        <v>2579</v>
      </c>
      <c r="H1141" s="79"/>
      <c r="I1141" s="79"/>
    </row>
    <row r="1142" spans="1:9" ht="14.25">
      <c r="A1142" s="79" t="s">
        <v>3136</v>
      </c>
      <c r="B1142" s="79" t="s">
        <v>3137</v>
      </c>
      <c r="C1142" s="79">
        <v>596084045</v>
      </c>
      <c r="D1142" s="79">
        <v>0</v>
      </c>
      <c r="E1142" s="79" t="s">
        <v>1124</v>
      </c>
      <c r="F1142" s="79" t="s">
        <v>2537</v>
      </c>
      <c r="G1142" s="79" t="s">
        <v>1130</v>
      </c>
      <c r="H1142" s="79"/>
      <c r="I1142" s="79"/>
    </row>
    <row r="1143" spans="1:9" ht="14.25">
      <c r="A1143" s="79" t="s">
        <v>3136</v>
      </c>
      <c r="B1143" s="79" t="s">
        <v>3137</v>
      </c>
      <c r="C1143" s="79">
        <v>596084045</v>
      </c>
      <c r="D1143" s="79">
        <v>0</v>
      </c>
      <c r="E1143" s="79" t="s">
        <v>1124</v>
      </c>
      <c r="F1143" s="79" t="s">
        <v>2537</v>
      </c>
      <c r="G1143" s="79" t="s">
        <v>1131</v>
      </c>
      <c r="H1143" s="79" t="s">
        <v>1132</v>
      </c>
      <c r="I1143" s="79"/>
    </row>
    <row r="1144" spans="1:9" ht="14.25">
      <c r="A1144" s="79" t="s">
        <v>3136</v>
      </c>
      <c r="B1144" s="79" t="s">
        <v>3137</v>
      </c>
      <c r="C1144" s="79">
        <v>596084045</v>
      </c>
      <c r="D1144" s="79">
        <v>0</v>
      </c>
      <c r="E1144" s="79" t="s">
        <v>1124</v>
      </c>
      <c r="F1144" s="79" t="s">
        <v>2537</v>
      </c>
      <c r="G1144" s="79" t="s">
        <v>2576</v>
      </c>
      <c r="H1144" s="79"/>
      <c r="I1144" s="79"/>
    </row>
    <row r="1145" spans="1:9" ht="14.25">
      <c r="A1145" s="79" t="s">
        <v>3138</v>
      </c>
      <c r="B1145" s="79" t="s">
        <v>3139</v>
      </c>
      <c r="C1145" s="79">
        <v>596084645</v>
      </c>
      <c r="D1145" s="79">
        <v>0</v>
      </c>
      <c r="E1145" s="79" t="s">
        <v>1124</v>
      </c>
      <c r="F1145" s="79" t="s">
        <v>2537</v>
      </c>
      <c r="G1145" s="79" t="s">
        <v>2544</v>
      </c>
      <c r="H1145" s="79" t="s">
        <v>2545</v>
      </c>
      <c r="I1145" s="79"/>
    </row>
    <row r="1146" spans="1:9" ht="14.25">
      <c r="A1146" s="79" t="s">
        <v>3138</v>
      </c>
      <c r="B1146" s="79" t="s">
        <v>3139</v>
      </c>
      <c r="C1146" s="79">
        <v>596084645</v>
      </c>
      <c r="D1146" s="79">
        <v>0</v>
      </c>
      <c r="E1146" s="79" t="s">
        <v>1124</v>
      </c>
      <c r="F1146" s="79" t="s">
        <v>2537</v>
      </c>
      <c r="G1146" s="79" t="s">
        <v>2579</v>
      </c>
      <c r="H1146" s="79"/>
      <c r="I1146" s="79"/>
    </row>
    <row r="1147" spans="1:9" ht="14.25">
      <c r="A1147" s="79" t="s">
        <v>3140</v>
      </c>
      <c r="B1147" s="79" t="s">
        <v>3141</v>
      </c>
      <c r="C1147" s="79">
        <v>596127245</v>
      </c>
      <c r="D1147" s="79">
        <v>0</v>
      </c>
      <c r="E1147" s="79" t="s">
        <v>1124</v>
      </c>
      <c r="F1147" s="79" t="s">
        <v>2537</v>
      </c>
      <c r="G1147" s="79" t="s">
        <v>1130</v>
      </c>
      <c r="H1147" s="79"/>
      <c r="I1147" s="79"/>
    </row>
    <row r="1148" spans="1:9" ht="14.25">
      <c r="A1148" s="79" t="s">
        <v>3140</v>
      </c>
      <c r="B1148" s="79" t="s">
        <v>3141</v>
      </c>
      <c r="C1148" s="79">
        <v>596127245</v>
      </c>
      <c r="D1148" s="79">
        <v>0</v>
      </c>
      <c r="E1148" s="79" t="s">
        <v>1124</v>
      </c>
      <c r="F1148" s="79" t="s">
        <v>2537</v>
      </c>
      <c r="G1148" s="79" t="s">
        <v>1131</v>
      </c>
      <c r="H1148" s="79" t="s">
        <v>1132</v>
      </c>
      <c r="I1148" s="79"/>
    </row>
    <row r="1149" spans="1:9" ht="14.25">
      <c r="A1149" s="79" t="s">
        <v>3140</v>
      </c>
      <c r="B1149" s="79" t="s">
        <v>3141</v>
      </c>
      <c r="C1149" s="79">
        <v>596127245</v>
      </c>
      <c r="D1149" s="79">
        <v>0</v>
      </c>
      <c r="E1149" s="79" t="s">
        <v>1124</v>
      </c>
      <c r="F1149" s="79" t="s">
        <v>2537</v>
      </c>
      <c r="G1149" s="79" t="s">
        <v>2576</v>
      </c>
      <c r="H1149" s="79"/>
      <c r="I1149" s="79"/>
    </row>
    <row r="1150" spans="1:9" ht="14.25">
      <c r="A1150" s="79" t="s">
        <v>3142</v>
      </c>
      <c r="B1150" s="79" t="s">
        <v>3143</v>
      </c>
      <c r="C1150" s="79">
        <v>596127845</v>
      </c>
      <c r="D1150" s="79">
        <v>0</v>
      </c>
      <c r="E1150" s="79" t="s">
        <v>1124</v>
      </c>
      <c r="F1150" s="79" t="s">
        <v>2537</v>
      </c>
      <c r="G1150" s="79" t="s">
        <v>2544</v>
      </c>
      <c r="H1150" s="79" t="s">
        <v>2545</v>
      </c>
      <c r="I1150" s="79"/>
    </row>
    <row r="1151" spans="1:9" ht="14.25">
      <c r="A1151" s="79" t="s">
        <v>3142</v>
      </c>
      <c r="B1151" s="79" t="s">
        <v>3143</v>
      </c>
      <c r="C1151" s="79">
        <v>596127845</v>
      </c>
      <c r="D1151" s="79">
        <v>0</v>
      </c>
      <c r="E1151" s="79" t="s">
        <v>1124</v>
      </c>
      <c r="F1151" s="79" t="s">
        <v>2537</v>
      </c>
      <c r="G1151" s="79" t="s">
        <v>2579</v>
      </c>
      <c r="H1151" s="79"/>
      <c r="I1151" s="79"/>
    </row>
    <row r="1152" spans="1:9" ht="14.25">
      <c r="A1152" s="79" t="s">
        <v>3144</v>
      </c>
      <c r="B1152" s="79" t="s">
        <v>3145</v>
      </c>
      <c r="C1152" s="79">
        <v>596170445</v>
      </c>
      <c r="D1152" s="79">
        <v>0</v>
      </c>
      <c r="E1152" s="79" t="s">
        <v>1124</v>
      </c>
      <c r="F1152" s="79" t="s">
        <v>2537</v>
      </c>
      <c r="G1152" s="79" t="s">
        <v>1130</v>
      </c>
      <c r="H1152" s="79"/>
      <c r="I1152" s="79"/>
    </row>
    <row r="1153" spans="1:9" ht="14.25">
      <c r="A1153" s="79" t="s">
        <v>3144</v>
      </c>
      <c r="B1153" s="79" t="s">
        <v>3145</v>
      </c>
      <c r="C1153" s="79">
        <v>596170445</v>
      </c>
      <c r="D1153" s="79">
        <v>0</v>
      </c>
      <c r="E1153" s="79" t="s">
        <v>1124</v>
      </c>
      <c r="F1153" s="79" t="s">
        <v>2537</v>
      </c>
      <c r="G1153" s="79" t="s">
        <v>1131</v>
      </c>
      <c r="H1153" s="79" t="s">
        <v>1132</v>
      </c>
      <c r="I1153" s="79"/>
    </row>
    <row r="1154" spans="1:9" ht="14.25">
      <c r="A1154" s="79" t="s">
        <v>3144</v>
      </c>
      <c r="B1154" s="79" t="s">
        <v>3145</v>
      </c>
      <c r="C1154" s="79">
        <v>596170445</v>
      </c>
      <c r="D1154" s="79">
        <v>0</v>
      </c>
      <c r="E1154" s="79" t="s">
        <v>1124</v>
      </c>
      <c r="F1154" s="79" t="s">
        <v>2537</v>
      </c>
      <c r="G1154" s="79" t="s">
        <v>2576</v>
      </c>
      <c r="H1154" s="79"/>
      <c r="I1154" s="79"/>
    </row>
    <row r="1155" spans="1:9" ht="14.25">
      <c r="A1155" s="79" t="s">
        <v>3146</v>
      </c>
      <c r="B1155" s="79" t="s">
        <v>3147</v>
      </c>
      <c r="C1155" s="79">
        <v>596171045</v>
      </c>
      <c r="D1155" s="79">
        <v>0</v>
      </c>
      <c r="E1155" s="79" t="s">
        <v>1124</v>
      </c>
      <c r="F1155" s="79" t="s">
        <v>2537</v>
      </c>
      <c r="G1155" s="79" t="s">
        <v>2544</v>
      </c>
      <c r="H1155" s="79" t="s">
        <v>2545</v>
      </c>
      <c r="I1155" s="79"/>
    </row>
    <row r="1156" spans="1:9" ht="14.25">
      <c r="A1156" s="79" t="s">
        <v>3146</v>
      </c>
      <c r="B1156" s="79" t="s">
        <v>3147</v>
      </c>
      <c r="C1156" s="79">
        <v>596171045</v>
      </c>
      <c r="D1156" s="79">
        <v>0</v>
      </c>
      <c r="E1156" s="79" t="s">
        <v>1124</v>
      </c>
      <c r="F1156" s="79" t="s">
        <v>2537</v>
      </c>
      <c r="G1156" s="79" t="s">
        <v>2579</v>
      </c>
      <c r="H1156" s="79"/>
      <c r="I1156" s="79"/>
    </row>
    <row r="1157" spans="1:9" ht="14.25">
      <c r="A1157" s="79" t="s">
        <v>3148</v>
      </c>
      <c r="B1157" s="79" t="s">
        <v>3149</v>
      </c>
      <c r="C1157" s="79">
        <v>596213645</v>
      </c>
      <c r="D1157" s="79">
        <v>0</v>
      </c>
      <c r="E1157" s="79" t="s">
        <v>1124</v>
      </c>
      <c r="F1157" s="79" t="s">
        <v>2537</v>
      </c>
      <c r="G1157" s="79" t="s">
        <v>1130</v>
      </c>
      <c r="H1157" s="79"/>
      <c r="I1157" s="79"/>
    </row>
    <row r="1158" spans="1:9" ht="14.25">
      <c r="A1158" s="79" t="s">
        <v>3148</v>
      </c>
      <c r="B1158" s="79" t="s">
        <v>3149</v>
      </c>
      <c r="C1158" s="79">
        <v>596213645</v>
      </c>
      <c r="D1158" s="79">
        <v>0</v>
      </c>
      <c r="E1158" s="79" t="s">
        <v>1124</v>
      </c>
      <c r="F1158" s="79" t="s">
        <v>2537</v>
      </c>
      <c r="G1158" s="79" t="s">
        <v>1131</v>
      </c>
      <c r="H1158" s="79" t="s">
        <v>1132</v>
      </c>
      <c r="I1158" s="79"/>
    </row>
    <row r="1159" spans="1:9" ht="14.25">
      <c r="A1159" s="79" t="s">
        <v>3148</v>
      </c>
      <c r="B1159" s="79" t="s">
        <v>3149</v>
      </c>
      <c r="C1159" s="79">
        <v>596213645</v>
      </c>
      <c r="D1159" s="79">
        <v>0</v>
      </c>
      <c r="E1159" s="79" t="s">
        <v>1124</v>
      </c>
      <c r="F1159" s="79" t="s">
        <v>2537</v>
      </c>
      <c r="G1159" s="79" t="s">
        <v>2576</v>
      </c>
      <c r="H1159" s="79"/>
      <c r="I1159" s="79"/>
    </row>
    <row r="1160" spans="1:9" ht="14.25">
      <c r="A1160" s="79" t="s">
        <v>3150</v>
      </c>
      <c r="B1160" s="79" t="s">
        <v>3151</v>
      </c>
      <c r="C1160" s="79">
        <v>596214245</v>
      </c>
      <c r="D1160" s="79">
        <v>0</v>
      </c>
      <c r="E1160" s="79" t="s">
        <v>1124</v>
      </c>
      <c r="F1160" s="79" t="s">
        <v>2537</v>
      </c>
      <c r="G1160" s="79" t="s">
        <v>2544</v>
      </c>
      <c r="H1160" s="79" t="s">
        <v>2545</v>
      </c>
      <c r="I1160" s="79"/>
    </row>
    <row r="1161" spans="1:9" ht="14.25">
      <c r="A1161" s="79" t="s">
        <v>3150</v>
      </c>
      <c r="B1161" s="79" t="s">
        <v>3151</v>
      </c>
      <c r="C1161" s="79">
        <v>596214245</v>
      </c>
      <c r="D1161" s="79">
        <v>0</v>
      </c>
      <c r="E1161" s="79" t="s">
        <v>1124</v>
      </c>
      <c r="F1161" s="79" t="s">
        <v>2537</v>
      </c>
      <c r="G1161" s="79" t="s">
        <v>2579</v>
      </c>
      <c r="H1161" s="79"/>
      <c r="I1161" s="79"/>
    </row>
    <row r="1162" spans="1:9" ht="14.25">
      <c r="A1162" s="79" t="s">
        <v>3152</v>
      </c>
      <c r="B1162" s="79" t="s">
        <v>3153</v>
      </c>
      <c r="C1162" s="79">
        <v>596256845</v>
      </c>
      <c r="D1162" s="79">
        <v>0</v>
      </c>
      <c r="E1162" s="79" t="s">
        <v>1124</v>
      </c>
      <c r="F1162" s="79" t="s">
        <v>2537</v>
      </c>
      <c r="G1162" s="79" t="s">
        <v>1130</v>
      </c>
      <c r="H1162" s="79"/>
      <c r="I1162" s="79"/>
    </row>
    <row r="1163" spans="1:9" ht="14.25">
      <c r="A1163" s="79" t="s">
        <v>3152</v>
      </c>
      <c r="B1163" s="79" t="s">
        <v>3153</v>
      </c>
      <c r="C1163" s="79">
        <v>596256845</v>
      </c>
      <c r="D1163" s="79">
        <v>0</v>
      </c>
      <c r="E1163" s="79" t="s">
        <v>1124</v>
      </c>
      <c r="F1163" s="79" t="s">
        <v>2537</v>
      </c>
      <c r="G1163" s="79" t="s">
        <v>1131</v>
      </c>
      <c r="H1163" s="79" t="s">
        <v>1132</v>
      </c>
      <c r="I1163" s="79"/>
    </row>
    <row r="1164" spans="1:9" ht="14.25">
      <c r="A1164" s="79" t="s">
        <v>3152</v>
      </c>
      <c r="B1164" s="79" t="s">
        <v>3153</v>
      </c>
      <c r="C1164" s="79">
        <v>596256845</v>
      </c>
      <c r="D1164" s="79">
        <v>0</v>
      </c>
      <c r="E1164" s="79" t="s">
        <v>1124</v>
      </c>
      <c r="F1164" s="79" t="s">
        <v>2537</v>
      </c>
      <c r="G1164" s="79" t="s">
        <v>2576</v>
      </c>
      <c r="H1164" s="79"/>
      <c r="I1164" s="79"/>
    </row>
    <row r="1165" spans="1:9" ht="14.25">
      <c r="A1165" s="79" t="s">
        <v>3154</v>
      </c>
      <c r="B1165" s="79" t="s">
        <v>3155</v>
      </c>
      <c r="C1165" s="79">
        <v>596257445</v>
      </c>
      <c r="D1165" s="79">
        <v>0</v>
      </c>
      <c r="E1165" s="79" t="s">
        <v>1124</v>
      </c>
      <c r="F1165" s="79" t="s">
        <v>2537</v>
      </c>
      <c r="G1165" s="79" t="s">
        <v>2544</v>
      </c>
      <c r="H1165" s="79" t="s">
        <v>2545</v>
      </c>
      <c r="I1165" s="79"/>
    </row>
    <row r="1166" spans="1:9" ht="14.25">
      <c r="A1166" s="79" t="s">
        <v>3154</v>
      </c>
      <c r="B1166" s="79" t="s">
        <v>3155</v>
      </c>
      <c r="C1166" s="79">
        <v>596257445</v>
      </c>
      <c r="D1166" s="79">
        <v>0</v>
      </c>
      <c r="E1166" s="79" t="s">
        <v>1124</v>
      </c>
      <c r="F1166" s="79" t="s">
        <v>2537</v>
      </c>
      <c r="G1166" s="79" t="s">
        <v>2579</v>
      </c>
      <c r="H1166" s="79"/>
      <c r="I1166" s="79"/>
    </row>
    <row r="1167" spans="1:9" ht="14.25">
      <c r="A1167" s="79" t="s">
        <v>3156</v>
      </c>
      <c r="B1167" s="79" t="s">
        <v>3157</v>
      </c>
      <c r="C1167" s="79">
        <v>596300045</v>
      </c>
      <c r="D1167" s="79">
        <v>0</v>
      </c>
      <c r="E1167" s="79" t="s">
        <v>1124</v>
      </c>
      <c r="F1167" s="79" t="s">
        <v>2537</v>
      </c>
      <c r="G1167" s="79" t="s">
        <v>1130</v>
      </c>
      <c r="H1167" s="79"/>
      <c r="I1167" s="79"/>
    </row>
    <row r="1168" spans="1:9" ht="14.25">
      <c r="A1168" s="79" t="s">
        <v>3156</v>
      </c>
      <c r="B1168" s="79" t="s">
        <v>3157</v>
      </c>
      <c r="C1168" s="79">
        <v>596300045</v>
      </c>
      <c r="D1168" s="79">
        <v>0</v>
      </c>
      <c r="E1168" s="79" t="s">
        <v>1124</v>
      </c>
      <c r="F1168" s="79" t="s">
        <v>2537</v>
      </c>
      <c r="G1168" s="79" t="s">
        <v>1131</v>
      </c>
      <c r="H1168" s="79" t="s">
        <v>1132</v>
      </c>
      <c r="I1168" s="79"/>
    </row>
    <row r="1169" spans="1:9" ht="14.25">
      <c r="A1169" s="79" t="s">
        <v>3156</v>
      </c>
      <c r="B1169" s="79" t="s">
        <v>3157</v>
      </c>
      <c r="C1169" s="79">
        <v>596300045</v>
      </c>
      <c r="D1169" s="79">
        <v>0</v>
      </c>
      <c r="E1169" s="79" t="s">
        <v>1124</v>
      </c>
      <c r="F1169" s="79" t="s">
        <v>2537</v>
      </c>
      <c r="G1169" s="79" t="s">
        <v>2576</v>
      </c>
      <c r="H1169" s="79"/>
      <c r="I1169" s="79"/>
    </row>
    <row r="1170" spans="1:9" ht="14.25">
      <c r="A1170" s="79" t="s">
        <v>3158</v>
      </c>
      <c r="B1170" s="79" t="s">
        <v>3159</v>
      </c>
      <c r="C1170" s="79">
        <v>596300645</v>
      </c>
      <c r="D1170" s="79">
        <v>0</v>
      </c>
      <c r="E1170" s="79" t="s">
        <v>1124</v>
      </c>
      <c r="F1170" s="79" t="s">
        <v>2537</v>
      </c>
      <c r="G1170" s="79" t="s">
        <v>2544</v>
      </c>
      <c r="H1170" s="79" t="s">
        <v>2545</v>
      </c>
      <c r="I1170" s="79"/>
    </row>
    <row r="1171" spans="1:9" ht="14.25">
      <c r="A1171" s="79" t="s">
        <v>3158</v>
      </c>
      <c r="B1171" s="79" t="s">
        <v>3159</v>
      </c>
      <c r="C1171" s="79">
        <v>596300645</v>
      </c>
      <c r="D1171" s="79">
        <v>0</v>
      </c>
      <c r="E1171" s="79" t="s">
        <v>1124</v>
      </c>
      <c r="F1171" s="79" t="s">
        <v>2537</v>
      </c>
      <c r="G1171" s="79" t="s">
        <v>2579</v>
      </c>
      <c r="H1171" s="79"/>
      <c r="I1171" s="79"/>
    </row>
    <row r="1172" spans="1:9" ht="14.25">
      <c r="A1172" s="79" t="s">
        <v>3160</v>
      </c>
      <c r="B1172" s="79" t="s">
        <v>3161</v>
      </c>
      <c r="C1172" s="79">
        <v>596343245</v>
      </c>
      <c r="D1172" s="79">
        <v>0</v>
      </c>
      <c r="E1172" s="79" t="s">
        <v>1124</v>
      </c>
      <c r="F1172" s="79" t="s">
        <v>2537</v>
      </c>
      <c r="G1172" s="79" t="s">
        <v>1130</v>
      </c>
      <c r="H1172" s="79"/>
      <c r="I1172" s="79"/>
    </row>
    <row r="1173" spans="1:9" ht="14.25">
      <c r="A1173" s="79" t="s">
        <v>3160</v>
      </c>
      <c r="B1173" s="79" t="s">
        <v>3161</v>
      </c>
      <c r="C1173" s="79">
        <v>596343245</v>
      </c>
      <c r="D1173" s="79">
        <v>0</v>
      </c>
      <c r="E1173" s="79" t="s">
        <v>1124</v>
      </c>
      <c r="F1173" s="79" t="s">
        <v>2537</v>
      </c>
      <c r="G1173" s="79" t="s">
        <v>1131</v>
      </c>
      <c r="H1173" s="79" t="s">
        <v>1132</v>
      </c>
      <c r="I1173" s="79"/>
    </row>
    <row r="1174" spans="1:9" ht="14.25">
      <c r="A1174" s="79" t="s">
        <v>3160</v>
      </c>
      <c r="B1174" s="79" t="s">
        <v>3161</v>
      </c>
      <c r="C1174" s="79">
        <v>596343245</v>
      </c>
      <c r="D1174" s="79">
        <v>0</v>
      </c>
      <c r="E1174" s="79" t="s">
        <v>1124</v>
      </c>
      <c r="F1174" s="79" t="s">
        <v>2537</v>
      </c>
      <c r="G1174" s="79" t="s">
        <v>2576</v>
      </c>
      <c r="H1174" s="79"/>
      <c r="I1174" s="79"/>
    </row>
    <row r="1175" spans="1:9" ht="14.25">
      <c r="A1175" s="79" t="s">
        <v>3162</v>
      </c>
      <c r="B1175" s="79" t="s">
        <v>3163</v>
      </c>
      <c r="C1175" s="79">
        <v>596343845</v>
      </c>
      <c r="D1175" s="79">
        <v>0</v>
      </c>
      <c r="E1175" s="79" t="s">
        <v>1124</v>
      </c>
      <c r="F1175" s="79" t="s">
        <v>2537</v>
      </c>
      <c r="G1175" s="79" t="s">
        <v>2544</v>
      </c>
      <c r="H1175" s="79" t="s">
        <v>2545</v>
      </c>
      <c r="I1175" s="79"/>
    </row>
    <row r="1176" spans="1:9" ht="14.25">
      <c r="A1176" s="79" t="s">
        <v>3162</v>
      </c>
      <c r="B1176" s="79" t="s">
        <v>3163</v>
      </c>
      <c r="C1176" s="79">
        <v>596343845</v>
      </c>
      <c r="D1176" s="79">
        <v>0</v>
      </c>
      <c r="E1176" s="79" t="s">
        <v>1124</v>
      </c>
      <c r="F1176" s="79" t="s">
        <v>2537</v>
      </c>
      <c r="G1176" s="79" t="s">
        <v>2579</v>
      </c>
      <c r="H1176" s="79"/>
      <c r="I1176" s="79"/>
    </row>
    <row r="1177" spans="1:9" ht="14.25">
      <c r="A1177" s="79" t="s">
        <v>3164</v>
      </c>
      <c r="B1177" s="79" t="s">
        <v>3165</v>
      </c>
      <c r="C1177" s="79">
        <v>596386445</v>
      </c>
      <c r="D1177" s="79">
        <v>0</v>
      </c>
      <c r="E1177" s="79" t="s">
        <v>1124</v>
      </c>
      <c r="F1177" s="79" t="s">
        <v>2537</v>
      </c>
      <c r="G1177" s="79" t="s">
        <v>1130</v>
      </c>
      <c r="H1177" s="79"/>
      <c r="I1177" s="79"/>
    </row>
    <row r="1178" spans="1:9" ht="14.25">
      <c r="A1178" s="79" t="s">
        <v>3164</v>
      </c>
      <c r="B1178" s="79" t="s">
        <v>3165</v>
      </c>
      <c r="C1178" s="79">
        <v>596386445</v>
      </c>
      <c r="D1178" s="79">
        <v>0</v>
      </c>
      <c r="E1178" s="79" t="s">
        <v>1124</v>
      </c>
      <c r="F1178" s="79" t="s">
        <v>2537</v>
      </c>
      <c r="G1178" s="79" t="s">
        <v>1131</v>
      </c>
      <c r="H1178" s="79" t="s">
        <v>1132</v>
      </c>
      <c r="I1178" s="79"/>
    </row>
    <row r="1179" spans="1:9" ht="14.25">
      <c r="A1179" s="79" t="s">
        <v>3164</v>
      </c>
      <c r="B1179" s="79" t="s">
        <v>3165</v>
      </c>
      <c r="C1179" s="79">
        <v>596386445</v>
      </c>
      <c r="D1179" s="79">
        <v>0</v>
      </c>
      <c r="E1179" s="79" t="s">
        <v>1124</v>
      </c>
      <c r="F1179" s="79" t="s">
        <v>2537</v>
      </c>
      <c r="G1179" s="79" t="s">
        <v>2576</v>
      </c>
      <c r="H1179" s="79"/>
      <c r="I1179" s="79"/>
    </row>
    <row r="1180" spans="1:9" ht="14.25">
      <c r="A1180" s="79" t="s">
        <v>3166</v>
      </c>
      <c r="B1180" s="79" t="s">
        <v>3167</v>
      </c>
      <c r="C1180" s="79">
        <v>596387045</v>
      </c>
      <c r="D1180" s="79">
        <v>0</v>
      </c>
      <c r="E1180" s="79" t="s">
        <v>1124</v>
      </c>
      <c r="F1180" s="79" t="s">
        <v>2537</v>
      </c>
      <c r="G1180" s="79" t="s">
        <v>2544</v>
      </c>
      <c r="H1180" s="79" t="s">
        <v>2545</v>
      </c>
      <c r="I1180" s="79"/>
    </row>
    <row r="1181" spans="1:9" ht="14.25">
      <c r="A1181" s="79" t="s">
        <v>3166</v>
      </c>
      <c r="B1181" s="79" t="s">
        <v>3167</v>
      </c>
      <c r="C1181" s="79">
        <v>596387045</v>
      </c>
      <c r="D1181" s="79">
        <v>0</v>
      </c>
      <c r="E1181" s="79" t="s">
        <v>1124</v>
      </c>
      <c r="F1181" s="79" t="s">
        <v>2537</v>
      </c>
      <c r="G1181" s="79" t="s">
        <v>2579</v>
      </c>
      <c r="H1181" s="79"/>
      <c r="I1181" s="79"/>
    </row>
    <row r="1182" spans="1:9" ht="14.25">
      <c r="A1182" s="79" t="s">
        <v>3168</v>
      </c>
      <c r="B1182" s="79" t="s">
        <v>3169</v>
      </c>
      <c r="C1182" s="79">
        <v>596429645</v>
      </c>
      <c r="D1182" s="79">
        <v>0</v>
      </c>
      <c r="E1182" s="79" t="s">
        <v>1124</v>
      </c>
      <c r="F1182" s="79" t="s">
        <v>2537</v>
      </c>
      <c r="G1182" s="79" t="s">
        <v>1130</v>
      </c>
      <c r="H1182" s="79"/>
      <c r="I1182" s="79"/>
    </row>
    <row r="1183" spans="1:9" ht="14.25">
      <c r="A1183" s="79" t="s">
        <v>3168</v>
      </c>
      <c r="B1183" s="79" t="s">
        <v>3169</v>
      </c>
      <c r="C1183" s="79">
        <v>596429645</v>
      </c>
      <c r="D1183" s="79">
        <v>0</v>
      </c>
      <c r="E1183" s="79" t="s">
        <v>1124</v>
      </c>
      <c r="F1183" s="79" t="s">
        <v>2537</v>
      </c>
      <c r="G1183" s="79" t="s">
        <v>1131</v>
      </c>
      <c r="H1183" s="79" t="s">
        <v>1132</v>
      </c>
      <c r="I1183" s="79"/>
    </row>
    <row r="1184" spans="1:9" ht="14.25">
      <c r="A1184" s="79" t="s">
        <v>3168</v>
      </c>
      <c r="B1184" s="79" t="s">
        <v>3169</v>
      </c>
      <c r="C1184" s="79">
        <v>596429645</v>
      </c>
      <c r="D1184" s="79">
        <v>0</v>
      </c>
      <c r="E1184" s="79" t="s">
        <v>1124</v>
      </c>
      <c r="F1184" s="79" t="s">
        <v>2537</v>
      </c>
      <c r="G1184" s="79" t="s">
        <v>2576</v>
      </c>
      <c r="H1184" s="79"/>
      <c r="I1184" s="79"/>
    </row>
    <row r="1185" spans="1:9" ht="14.25">
      <c r="A1185" s="79" t="s">
        <v>3170</v>
      </c>
      <c r="B1185" s="79" t="s">
        <v>3171</v>
      </c>
      <c r="C1185" s="79">
        <v>596430245</v>
      </c>
      <c r="D1185" s="79">
        <v>0</v>
      </c>
      <c r="E1185" s="79" t="s">
        <v>1124</v>
      </c>
      <c r="F1185" s="79" t="s">
        <v>2537</v>
      </c>
      <c r="G1185" s="79" t="s">
        <v>2544</v>
      </c>
      <c r="H1185" s="79" t="s">
        <v>2545</v>
      </c>
      <c r="I1185" s="79"/>
    </row>
    <row r="1186" spans="1:9" ht="14.25">
      <c r="A1186" s="79" t="s">
        <v>3170</v>
      </c>
      <c r="B1186" s="79" t="s">
        <v>3171</v>
      </c>
      <c r="C1186" s="79">
        <v>596430245</v>
      </c>
      <c r="D1186" s="79">
        <v>0</v>
      </c>
      <c r="E1186" s="79" t="s">
        <v>1124</v>
      </c>
      <c r="F1186" s="79" t="s">
        <v>2537</v>
      </c>
      <c r="G1186" s="79" t="s">
        <v>2579</v>
      </c>
      <c r="H1186" s="79"/>
      <c r="I1186" s="79"/>
    </row>
    <row r="1187" spans="1:9" ht="14.25">
      <c r="A1187" s="79" t="s">
        <v>3172</v>
      </c>
      <c r="B1187" s="79" t="s">
        <v>3173</v>
      </c>
      <c r="C1187" s="79">
        <v>596472845</v>
      </c>
      <c r="D1187" s="79">
        <v>0</v>
      </c>
      <c r="E1187" s="79" t="s">
        <v>1124</v>
      </c>
      <c r="F1187" s="79" t="s">
        <v>2537</v>
      </c>
      <c r="G1187" s="79" t="s">
        <v>1130</v>
      </c>
      <c r="H1187" s="79"/>
      <c r="I1187" s="79"/>
    </row>
    <row r="1188" spans="1:9" ht="14.25">
      <c r="A1188" s="79" t="s">
        <v>3172</v>
      </c>
      <c r="B1188" s="79" t="s">
        <v>3173</v>
      </c>
      <c r="C1188" s="79">
        <v>596472845</v>
      </c>
      <c r="D1188" s="79">
        <v>0</v>
      </c>
      <c r="E1188" s="79" t="s">
        <v>1124</v>
      </c>
      <c r="F1188" s="79" t="s">
        <v>2537</v>
      </c>
      <c r="G1188" s="79" t="s">
        <v>1131</v>
      </c>
      <c r="H1188" s="79" t="s">
        <v>1132</v>
      </c>
      <c r="I1188" s="79"/>
    </row>
    <row r="1189" spans="1:9" ht="14.25">
      <c r="A1189" s="79" t="s">
        <v>3172</v>
      </c>
      <c r="B1189" s="79" t="s">
        <v>3173</v>
      </c>
      <c r="C1189" s="79">
        <v>596472845</v>
      </c>
      <c r="D1189" s="79">
        <v>0</v>
      </c>
      <c r="E1189" s="79" t="s">
        <v>1124</v>
      </c>
      <c r="F1189" s="79" t="s">
        <v>2537</v>
      </c>
      <c r="G1189" s="79" t="s">
        <v>2576</v>
      </c>
      <c r="H1189" s="79"/>
      <c r="I1189" s="79"/>
    </row>
    <row r="1190" spans="1:9" ht="14.25">
      <c r="A1190" s="79" t="s">
        <v>3174</v>
      </c>
      <c r="B1190" s="79" t="s">
        <v>3175</v>
      </c>
      <c r="C1190" s="79">
        <v>596473445</v>
      </c>
      <c r="D1190" s="79">
        <v>0</v>
      </c>
      <c r="E1190" s="79" t="s">
        <v>1124</v>
      </c>
      <c r="F1190" s="79" t="s">
        <v>2537</v>
      </c>
      <c r="G1190" s="79" t="s">
        <v>2544</v>
      </c>
      <c r="H1190" s="79" t="s">
        <v>2545</v>
      </c>
      <c r="I1190" s="79"/>
    </row>
    <row r="1191" spans="1:9" ht="14.25">
      <c r="A1191" s="79" t="s">
        <v>3174</v>
      </c>
      <c r="B1191" s="79" t="s">
        <v>3175</v>
      </c>
      <c r="C1191" s="79">
        <v>596473445</v>
      </c>
      <c r="D1191" s="79">
        <v>0</v>
      </c>
      <c r="E1191" s="79" t="s">
        <v>1124</v>
      </c>
      <c r="F1191" s="79" t="s">
        <v>2537</v>
      </c>
      <c r="G1191" s="79" t="s">
        <v>2579</v>
      </c>
      <c r="H1191" s="79"/>
      <c r="I1191" s="79"/>
    </row>
    <row r="1192" spans="1:9" ht="14.25">
      <c r="A1192" s="79" t="s">
        <v>3176</v>
      </c>
      <c r="B1192" s="79" t="s">
        <v>3177</v>
      </c>
      <c r="C1192" s="79">
        <v>596516045</v>
      </c>
      <c r="D1192" s="79">
        <v>0</v>
      </c>
      <c r="E1192" s="79" t="s">
        <v>1124</v>
      </c>
      <c r="F1192" s="79" t="s">
        <v>2537</v>
      </c>
      <c r="G1192" s="79" t="s">
        <v>1130</v>
      </c>
      <c r="H1192" s="79"/>
      <c r="I1192" s="79"/>
    </row>
    <row r="1193" spans="1:9" ht="14.25">
      <c r="A1193" s="79" t="s">
        <v>3176</v>
      </c>
      <c r="B1193" s="79" t="s">
        <v>3177</v>
      </c>
      <c r="C1193" s="79">
        <v>596516045</v>
      </c>
      <c r="D1193" s="79">
        <v>0</v>
      </c>
      <c r="E1193" s="79" t="s">
        <v>1124</v>
      </c>
      <c r="F1193" s="79" t="s">
        <v>2537</v>
      </c>
      <c r="G1193" s="79" t="s">
        <v>1131</v>
      </c>
      <c r="H1193" s="79" t="s">
        <v>1132</v>
      </c>
      <c r="I1193" s="79"/>
    </row>
    <row r="1194" spans="1:9" ht="14.25">
      <c r="A1194" s="79" t="s">
        <v>3176</v>
      </c>
      <c r="B1194" s="79" t="s">
        <v>3177</v>
      </c>
      <c r="C1194" s="79">
        <v>596516045</v>
      </c>
      <c r="D1194" s="79">
        <v>0</v>
      </c>
      <c r="E1194" s="79" t="s">
        <v>1124</v>
      </c>
      <c r="F1194" s="79" t="s">
        <v>2537</v>
      </c>
      <c r="G1194" s="79" t="s">
        <v>2576</v>
      </c>
      <c r="H1194" s="79"/>
      <c r="I1194" s="79"/>
    </row>
    <row r="1195" spans="1:9" ht="14.25">
      <c r="A1195" s="79" t="s">
        <v>3178</v>
      </c>
      <c r="B1195" s="79" t="s">
        <v>3179</v>
      </c>
      <c r="C1195" s="79">
        <v>596516645</v>
      </c>
      <c r="D1195" s="79">
        <v>0</v>
      </c>
      <c r="E1195" s="79" t="s">
        <v>1124</v>
      </c>
      <c r="F1195" s="79" t="s">
        <v>2537</v>
      </c>
      <c r="G1195" s="79" t="s">
        <v>2544</v>
      </c>
      <c r="H1195" s="79" t="s">
        <v>2545</v>
      </c>
      <c r="I1195" s="79"/>
    </row>
    <row r="1196" spans="1:9" ht="14.25">
      <c r="A1196" s="79" t="s">
        <v>3178</v>
      </c>
      <c r="B1196" s="79" t="s">
        <v>3179</v>
      </c>
      <c r="C1196" s="79">
        <v>596516645</v>
      </c>
      <c r="D1196" s="79">
        <v>0</v>
      </c>
      <c r="E1196" s="79" t="s">
        <v>1124</v>
      </c>
      <c r="F1196" s="79" t="s">
        <v>2537</v>
      </c>
      <c r="G1196" s="79" t="s">
        <v>2579</v>
      </c>
      <c r="H1196" s="79"/>
      <c r="I1196" s="79"/>
    </row>
    <row r="1197" spans="1:9" ht="14.25">
      <c r="A1197" s="79" t="s">
        <v>3180</v>
      </c>
      <c r="B1197" s="79" t="s">
        <v>3181</v>
      </c>
      <c r="C1197" s="79">
        <v>596559245</v>
      </c>
      <c r="D1197" s="79">
        <v>0</v>
      </c>
      <c r="E1197" s="79" t="s">
        <v>1124</v>
      </c>
      <c r="F1197" s="79" t="s">
        <v>2537</v>
      </c>
      <c r="G1197" s="79" t="s">
        <v>1130</v>
      </c>
      <c r="H1197" s="79"/>
      <c r="I1197" s="79"/>
    </row>
    <row r="1198" spans="1:9" ht="14.25">
      <c r="A1198" s="79" t="s">
        <v>3180</v>
      </c>
      <c r="B1198" s="79" t="s">
        <v>3181</v>
      </c>
      <c r="C1198" s="79">
        <v>596559245</v>
      </c>
      <c r="D1198" s="79">
        <v>0</v>
      </c>
      <c r="E1198" s="79" t="s">
        <v>1124</v>
      </c>
      <c r="F1198" s="79" t="s">
        <v>2537</v>
      </c>
      <c r="G1198" s="79" t="s">
        <v>1131</v>
      </c>
      <c r="H1198" s="79" t="s">
        <v>1132</v>
      </c>
      <c r="I1198" s="79"/>
    </row>
    <row r="1199" spans="1:9" ht="14.25">
      <c r="A1199" s="79" t="s">
        <v>3180</v>
      </c>
      <c r="B1199" s="79" t="s">
        <v>3181</v>
      </c>
      <c r="C1199" s="79">
        <v>596559245</v>
      </c>
      <c r="D1199" s="79">
        <v>0</v>
      </c>
      <c r="E1199" s="79" t="s">
        <v>1124</v>
      </c>
      <c r="F1199" s="79" t="s">
        <v>2537</v>
      </c>
      <c r="G1199" s="79" t="s">
        <v>2576</v>
      </c>
      <c r="H1199" s="79"/>
      <c r="I1199" s="79"/>
    </row>
    <row r="1200" spans="1:9" ht="14.25">
      <c r="A1200" s="79" t="s">
        <v>3182</v>
      </c>
      <c r="B1200" s="79" t="s">
        <v>3183</v>
      </c>
      <c r="C1200" s="79">
        <v>596559845</v>
      </c>
      <c r="D1200" s="79">
        <v>0</v>
      </c>
      <c r="E1200" s="79" t="s">
        <v>1124</v>
      </c>
      <c r="F1200" s="79" t="s">
        <v>2537</v>
      </c>
      <c r="G1200" s="79" t="s">
        <v>2544</v>
      </c>
      <c r="H1200" s="79" t="s">
        <v>2545</v>
      </c>
      <c r="I1200" s="79"/>
    </row>
    <row r="1201" spans="1:9" ht="14.25">
      <c r="A1201" s="79" t="s">
        <v>3182</v>
      </c>
      <c r="B1201" s="79" t="s">
        <v>3183</v>
      </c>
      <c r="C1201" s="79">
        <v>596559845</v>
      </c>
      <c r="D1201" s="79">
        <v>0</v>
      </c>
      <c r="E1201" s="79" t="s">
        <v>1124</v>
      </c>
      <c r="F1201" s="79" t="s">
        <v>2537</v>
      </c>
      <c r="G1201" s="79" t="s">
        <v>2579</v>
      </c>
      <c r="H1201" s="79"/>
      <c r="I1201" s="79"/>
    </row>
    <row r="1202" spans="1:9" ht="14.25">
      <c r="A1202" s="79" t="s">
        <v>3184</v>
      </c>
      <c r="B1202" s="79" t="s">
        <v>3185</v>
      </c>
      <c r="C1202" s="79">
        <v>596602445</v>
      </c>
      <c r="D1202" s="79">
        <v>0</v>
      </c>
      <c r="E1202" s="79" t="s">
        <v>1124</v>
      </c>
      <c r="F1202" s="79" t="s">
        <v>2537</v>
      </c>
      <c r="G1202" s="79" t="s">
        <v>1130</v>
      </c>
      <c r="H1202" s="79"/>
      <c r="I1202" s="79"/>
    </row>
    <row r="1203" spans="1:9" ht="14.25">
      <c r="A1203" s="79" t="s">
        <v>3184</v>
      </c>
      <c r="B1203" s="79" t="s">
        <v>3185</v>
      </c>
      <c r="C1203" s="79">
        <v>596602445</v>
      </c>
      <c r="D1203" s="79">
        <v>0</v>
      </c>
      <c r="E1203" s="79" t="s">
        <v>1124</v>
      </c>
      <c r="F1203" s="79" t="s">
        <v>2537</v>
      </c>
      <c r="G1203" s="79" t="s">
        <v>1131</v>
      </c>
      <c r="H1203" s="79" t="s">
        <v>1132</v>
      </c>
      <c r="I1203" s="79"/>
    </row>
    <row r="1204" spans="1:9" ht="14.25">
      <c r="A1204" s="79" t="s">
        <v>3184</v>
      </c>
      <c r="B1204" s="79" t="s">
        <v>3185</v>
      </c>
      <c r="C1204" s="79">
        <v>596602445</v>
      </c>
      <c r="D1204" s="79">
        <v>0</v>
      </c>
      <c r="E1204" s="79" t="s">
        <v>1124</v>
      </c>
      <c r="F1204" s="79" t="s">
        <v>2537</v>
      </c>
      <c r="G1204" s="79" t="s">
        <v>2576</v>
      </c>
      <c r="H1204" s="79"/>
      <c r="I1204" s="79"/>
    </row>
    <row r="1205" spans="1:9" ht="14.25">
      <c r="A1205" s="79" t="s">
        <v>3186</v>
      </c>
      <c r="B1205" s="79" t="s">
        <v>3187</v>
      </c>
      <c r="C1205" s="79">
        <v>596603045</v>
      </c>
      <c r="D1205" s="79">
        <v>0</v>
      </c>
      <c r="E1205" s="79" t="s">
        <v>1124</v>
      </c>
      <c r="F1205" s="79" t="s">
        <v>2537</v>
      </c>
      <c r="G1205" s="79" t="s">
        <v>2544</v>
      </c>
      <c r="H1205" s="79" t="s">
        <v>2545</v>
      </c>
      <c r="I1205" s="79"/>
    </row>
    <row r="1206" spans="1:9" ht="14.25">
      <c r="A1206" s="79" t="s">
        <v>3186</v>
      </c>
      <c r="B1206" s="79" t="s">
        <v>3187</v>
      </c>
      <c r="C1206" s="79">
        <v>596603045</v>
      </c>
      <c r="D1206" s="79">
        <v>0</v>
      </c>
      <c r="E1206" s="79" t="s">
        <v>1124</v>
      </c>
      <c r="F1206" s="79" t="s">
        <v>2537</v>
      </c>
      <c r="G1206" s="79" t="s">
        <v>2579</v>
      </c>
      <c r="H1206" s="79"/>
      <c r="I1206" s="79"/>
    </row>
    <row r="1207" spans="1:9" ht="14.25">
      <c r="A1207" s="79" t="s">
        <v>3188</v>
      </c>
      <c r="B1207" s="79" t="s">
        <v>3189</v>
      </c>
      <c r="C1207" s="79">
        <v>596645645</v>
      </c>
      <c r="D1207" s="79">
        <v>0</v>
      </c>
      <c r="E1207" s="79" t="s">
        <v>1124</v>
      </c>
      <c r="F1207" s="79" t="s">
        <v>2537</v>
      </c>
      <c r="G1207" s="79" t="s">
        <v>1130</v>
      </c>
      <c r="H1207" s="79"/>
      <c r="I1207" s="79"/>
    </row>
    <row r="1208" spans="1:9" ht="14.25">
      <c r="A1208" s="79" t="s">
        <v>3188</v>
      </c>
      <c r="B1208" s="79" t="s">
        <v>3189</v>
      </c>
      <c r="C1208" s="79">
        <v>596645645</v>
      </c>
      <c r="D1208" s="79">
        <v>0</v>
      </c>
      <c r="E1208" s="79" t="s">
        <v>1124</v>
      </c>
      <c r="F1208" s="79" t="s">
        <v>2537</v>
      </c>
      <c r="G1208" s="79" t="s">
        <v>1131</v>
      </c>
      <c r="H1208" s="79" t="s">
        <v>1132</v>
      </c>
      <c r="I1208" s="79"/>
    </row>
    <row r="1209" spans="1:9" ht="14.25">
      <c r="A1209" s="79" t="s">
        <v>3188</v>
      </c>
      <c r="B1209" s="79" t="s">
        <v>3189</v>
      </c>
      <c r="C1209" s="79">
        <v>596645645</v>
      </c>
      <c r="D1209" s="79">
        <v>0</v>
      </c>
      <c r="E1209" s="79" t="s">
        <v>1124</v>
      </c>
      <c r="F1209" s="79" t="s">
        <v>2537</v>
      </c>
      <c r="G1209" s="79" t="s">
        <v>2576</v>
      </c>
      <c r="H1209" s="79"/>
      <c r="I1209" s="79"/>
    </row>
    <row r="1210" spans="1:9" ht="14.25">
      <c r="A1210" s="79" t="s">
        <v>3190</v>
      </c>
      <c r="B1210" s="79" t="s">
        <v>3191</v>
      </c>
      <c r="C1210" s="79">
        <v>596646245</v>
      </c>
      <c r="D1210" s="79">
        <v>0</v>
      </c>
      <c r="E1210" s="79" t="s">
        <v>1124</v>
      </c>
      <c r="F1210" s="79" t="s">
        <v>2537</v>
      </c>
      <c r="G1210" s="79" t="s">
        <v>2544</v>
      </c>
      <c r="H1210" s="79" t="s">
        <v>2545</v>
      </c>
      <c r="I1210" s="79"/>
    </row>
    <row r="1211" spans="1:9" ht="14.25">
      <c r="A1211" s="79" t="s">
        <v>3190</v>
      </c>
      <c r="B1211" s="79" t="s">
        <v>3191</v>
      </c>
      <c r="C1211" s="79">
        <v>596646245</v>
      </c>
      <c r="D1211" s="79">
        <v>0</v>
      </c>
      <c r="E1211" s="79" t="s">
        <v>1124</v>
      </c>
      <c r="F1211" s="79" t="s">
        <v>2537</v>
      </c>
      <c r="G1211" s="79" t="s">
        <v>2579</v>
      </c>
      <c r="H1211" s="79"/>
      <c r="I1211" s="79"/>
    </row>
    <row r="1212" spans="1:9" ht="14.25">
      <c r="A1212" s="79" t="s">
        <v>3192</v>
      </c>
      <c r="B1212" s="79" t="s">
        <v>3193</v>
      </c>
      <c r="C1212" s="79">
        <v>596688845</v>
      </c>
      <c r="D1212" s="79">
        <v>0</v>
      </c>
      <c r="E1212" s="79" t="s">
        <v>1124</v>
      </c>
      <c r="F1212" s="79" t="s">
        <v>2537</v>
      </c>
      <c r="G1212" s="79" t="s">
        <v>1130</v>
      </c>
      <c r="H1212" s="79"/>
      <c r="I1212" s="79"/>
    </row>
    <row r="1213" spans="1:9" ht="14.25">
      <c r="A1213" s="79" t="s">
        <v>3192</v>
      </c>
      <c r="B1213" s="79" t="s">
        <v>3193</v>
      </c>
      <c r="C1213" s="79">
        <v>596688845</v>
      </c>
      <c r="D1213" s="79">
        <v>0</v>
      </c>
      <c r="E1213" s="79" t="s">
        <v>1124</v>
      </c>
      <c r="F1213" s="79" t="s">
        <v>2537</v>
      </c>
      <c r="G1213" s="79" t="s">
        <v>1131</v>
      </c>
      <c r="H1213" s="79" t="s">
        <v>1132</v>
      </c>
      <c r="I1213" s="79"/>
    </row>
    <row r="1214" spans="1:9" ht="14.25">
      <c r="A1214" s="79" t="s">
        <v>3192</v>
      </c>
      <c r="B1214" s="79" t="s">
        <v>3193</v>
      </c>
      <c r="C1214" s="79">
        <v>596688845</v>
      </c>
      <c r="D1214" s="79">
        <v>0</v>
      </c>
      <c r="E1214" s="79" t="s">
        <v>1124</v>
      </c>
      <c r="F1214" s="79" t="s">
        <v>2537</v>
      </c>
      <c r="G1214" s="79" t="s">
        <v>2576</v>
      </c>
      <c r="H1214" s="79"/>
      <c r="I1214" s="79"/>
    </row>
    <row r="1215" spans="1:9" ht="14.25">
      <c r="A1215" s="79" t="s">
        <v>3194</v>
      </c>
      <c r="B1215" s="79" t="s">
        <v>3195</v>
      </c>
      <c r="C1215" s="79">
        <v>596689445</v>
      </c>
      <c r="D1215" s="79">
        <v>0</v>
      </c>
      <c r="E1215" s="79" t="s">
        <v>1124</v>
      </c>
      <c r="F1215" s="79" t="s">
        <v>2537</v>
      </c>
      <c r="G1215" s="79" t="s">
        <v>2544</v>
      </c>
      <c r="H1215" s="79" t="s">
        <v>2545</v>
      </c>
      <c r="I1215" s="79"/>
    </row>
    <row r="1216" spans="1:9" ht="14.25">
      <c r="A1216" s="79" t="s">
        <v>3194</v>
      </c>
      <c r="B1216" s="79" t="s">
        <v>3195</v>
      </c>
      <c r="C1216" s="79">
        <v>596689445</v>
      </c>
      <c r="D1216" s="79">
        <v>0</v>
      </c>
      <c r="E1216" s="79" t="s">
        <v>1124</v>
      </c>
      <c r="F1216" s="79" t="s">
        <v>2537</v>
      </c>
      <c r="G1216" s="79" t="s">
        <v>2579</v>
      </c>
      <c r="H1216" s="79"/>
      <c r="I1216" s="79"/>
    </row>
    <row r="1217" spans="1:9" ht="14.25">
      <c r="A1217" s="79" t="s">
        <v>3196</v>
      </c>
      <c r="B1217" s="79" t="s">
        <v>3197</v>
      </c>
      <c r="C1217" s="79">
        <v>596732045</v>
      </c>
      <c r="D1217" s="79">
        <v>0</v>
      </c>
      <c r="E1217" s="79" t="s">
        <v>1124</v>
      </c>
      <c r="F1217" s="79" t="s">
        <v>2537</v>
      </c>
      <c r="G1217" s="79" t="s">
        <v>1130</v>
      </c>
      <c r="H1217" s="79"/>
      <c r="I1217" s="79"/>
    </row>
    <row r="1218" spans="1:9" ht="14.25">
      <c r="A1218" s="79" t="s">
        <v>3196</v>
      </c>
      <c r="B1218" s="79" t="s">
        <v>3197</v>
      </c>
      <c r="C1218" s="79">
        <v>596732045</v>
      </c>
      <c r="D1218" s="79">
        <v>0</v>
      </c>
      <c r="E1218" s="79" t="s">
        <v>1124</v>
      </c>
      <c r="F1218" s="79" t="s">
        <v>2537</v>
      </c>
      <c r="G1218" s="79" t="s">
        <v>1131</v>
      </c>
      <c r="H1218" s="79" t="s">
        <v>1132</v>
      </c>
      <c r="I1218" s="79"/>
    </row>
    <row r="1219" spans="1:9" ht="14.25">
      <c r="A1219" s="79" t="s">
        <v>3196</v>
      </c>
      <c r="B1219" s="79" t="s">
        <v>3197</v>
      </c>
      <c r="C1219" s="79">
        <v>596732045</v>
      </c>
      <c r="D1219" s="79">
        <v>0</v>
      </c>
      <c r="E1219" s="79" t="s">
        <v>1124</v>
      </c>
      <c r="F1219" s="79" t="s">
        <v>2537</v>
      </c>
      <c r="G1219" s="79" t="s">
        <v>2576</v>
      </c>
      <c r="H1219" s="79"/>
      <c r="I1219" s="79"/>
    </row>
    <row r="1220" spans="1:9" ht="14.25">
      <c r="A1220" s="79" t="s">
        <v>3198</v>
      </c>
      <c r="B1220" s="79" t="s">
        <v>3199</v>
      </c>
      <c r="C1220" s="79">
        <v>596732645</v>
      </c>
      <c r="D1220" s="79">
        <v>0</v>
      </c>
      <c r="E1220" s="79" t="s">
        <v>1124</v>
      </c>
      <c r="F1220" s="79" t="s">
        <v>2537</v>
      </c>
      <c r="G1220" s="79" t="s">
        <v>2544</v>
      </c>
      <c r="H1220" s="79" t="s">
        <v>2545</v>
      </c>
      <c r="I1220" s="79"/>
    </row>
    <row r="1221" spans="1:9" ht="14.25">
      <c r="A1221" s="79" t="s">
        <v>3198</v>
      </c>
      <c r="B1221" s="79" t="s">
        <v>3199</v>
      </c>
      <c r="C1221" s="79">
        <v>596732645</v>
      </c>
      <c r="D1221" s="79">
        <v>0</v>
      </c>
      <c r="E1221" s="79" t="s">
        <v>1124</v>
      </c>
      <c r="F1221" s="79" t="s">
        <v>2537</v>
      </c>
      <c r="G1221" s="79" t="s">
        <v>2579</v>
      </c>
      <c r="H1221" s="79"/>
      <c r="I1221" s="79"/>
    </row>
    <row r="1222" spans="1:9" ht="14.25">
      <c r="A1222" s="79" t="s">
        <v>3200</v>
      </c>
      <c r="B1222" s="79" t="s">
        <v>3201</v>
      </c>
      <c r="C1222" s="79">
        <v>596775245</v>
      </c>
      <c r="D1222" s="79">
        <v>0</v>
      </c>
      <c r="E1222" s="79" t="s">
        <v>1124</v>
      </c>
      <c r="F1222" s="79" t="s">
        <v>2537</v>
      </c>
      <c r="G1222" s="79" t="s">
        <v>1130</v>
      </c>
      <c r="H1222" s="79"/>
      <c r="I1222" s="79"/>
    </row>
    <row r="1223" spans="1:9" ht="14.25">
      <c r="A1223" s="79" t="s">
        <v>3200</v>
      </c>
      <c r="B1223" s="79" t="s">
        <v>3201</v>
      </c>
      <c r="C1223" s="79">
        <v>596775245</v>
      </c>
      <c r="D1223" s="79">
        <v>0</v>
      </c>
      <c r="E1223" s="79" t="s">
        <v>1124</v>
      </c>
      <c r="F1223" s="79" t="s">
        <v>2537</v>
      </c>
      <c r="G1223" s="79" t="s">
        <v>1131</v>
      </c>
      <c r="H1223" s="79" t="s">
        <v>1132</v>
      </c>
      <c r="I1223" s="79"/>
    </row>
    <row r="1224" spans="1:9" ht="14.25">
      <c r="A1224" s="79" t="s">
        <v>3200</v>
      </c>
      <c r="B1224" s="79" t="s">
        <v>3201</v>
      </c>
      <c r="C1224" s="79">
        <v>596775245</v>
      </c>
      <c r="D1224" s="79">
        <v>0</v>
      </c>
      <c r="E1224" s="79" t="s">
        <v>1124</v>
      </c>
      <c r="F1224" s="79" t="s">
        <v>2537</v>
      </c>
      <c r="G1224" s="79" t="s">
        <v>2576</v>
      </c>
      <c r="H1224" s="79"/>
      <c r="I1224" s="79"/>
    </row>
    <row r="1225" spans="1:9" ht="14.25">
      <c r="A1225" s="79" t="s">
        <v>3202</v>
      </c>
      <c r="B1225" s="79" t="s">
        <v>3203</v>
      </c>
      <c r="C1225" s="79">
        <v>596775845</v>
      </c>
      <c r="D1225" s="79">
        <v>0</v>
      </c>
      <c r="E1225" s="79" t="s">
        <v>1124</v>
      </c>
      <c r="F1225" s="79" t="s">
        <v>2537</v>
      </c>
      <c r="G1225" s="79" t="s">
        <v>2544</v>
      </c>
      <c r="H1225" s="79" t="s">
        <v>2545</v>
      </c>
      <c r="I1225" s="79"/>
    </row>
    <row r="1226" spans="1:9" ht="14.25">
      <c r="A1226" s="79" t="s">
        <v>3202</v>
      </c>
      <c r="B1226" s="79" t="s">
        <v>3203</v>
      </c>
      <c r="C1226" s="79">
        <v>596775845</v>
      </c>
      <c r="D1226" s="79">
        <v>0</v>
      </c>
      <c r="E1226" s="79" t="s">
        <v>1124</v>
      </c>
      <c r="F1226" s="79" t="s">
        <v>2537</v>
      </c>
      <c r="G1226" s="79" t="s">
        <v>2579</v>
      </c>
      <c r="H1226" s="79"/>
      <c r="I1226" s="79"/>
    </row>
    <row r="1227" spans="1:9" ht="14.25">
      <c r="A1227" s="79" t="s">
        <v>3204</v>
      </c>
      <c r="B1227" s="79" t="s">
        <v>3205</v>
      </c>
      <c r="C1227" s="79">
        <v>596818445</v>
      </c>
      <c r="D1227" s="79">
        <v>0</v>
      </c>
      <c r="E1227" s="79" t="s">
        <v>1124</v>
      </c>
      <c r="F1227" s="79" t="s">
        <v>2537</v>
      </c>
      <c r="G1227" s="79" t="s">
        <v>1130</v>
      </c>
      <c r="H1227" s="79"/>
      <c r="I1227" s="79"/>
    </row>
    <row r="1228" spans="1:9" ht="14.25">
      <c r="A1228" s="79" t="s">
        <v>3204</v>
      </c>
      <c r="B1228" s="79" t="s">
        <v>3205</v>
      </c>
      <c r="C1228" s="79">
        <v>596818445</v>
      </c>
      <c r="D1228" s="79">
        <v>0</v>
      </c>
      <c r="E1228" s="79" t="s">
        <v>1124</v>
      </c>
      <c r="F1228" s="79" t="s">
        <v>2537</v>
      </c>
      <c r="G1228" s="79" t="s">
        <v>1131</v>
      </c>
      <c r="H1228" s="79" t="s">
        <v>1132</v>
      </c>
      <c r="I1228" s="79"/>
    </row>
    <row r="1229" spans="1:9" ht="14.25">
      <c r="A1229" s="79" t="s">
        <v>3204</v>
      </c>
      <c r="B1229" s="79" t="s">
        <v>3205</v>
      </c>
      <c r="C1229" s="79">
        <v>596818445</v>
      </c>
      <c r="D1229" s="79">
        <v>0</v>
      </c>
      <c r="E1229" s="79" t="s">
        <v>1124</v>
      </c>
      <c r="F1229" s="79" t="s">
        <v>2537</v>
      </c>
      <c r="G1229" s="79" t="s">
        <v>2576</v>
      </c>
      <c r="H1229" s="79"/>
      <c r="I1229" s="79"/>
    </row>
    <row r="1230" spans="1:9" ht="14.25">
      <c r="A1230" s="79" t="s">
        <v>3206</v>
      </c>
      <c r="B1230" s="79" t="s">
        <v>3207</v>
      </c>
      <c r="C1230" s="79">
        <v>596819045</v>
      </c>
      <c r="D1230" s="79">
        <v>0</v>
      </c>
      <c r="E1230" s="79" t="s">
        <v>1124</v>
      </c>
      <c r="F1230" s="79" t="s">
        <v>2537</v>
      </c>
      <c r="G1230" s="79" t="s">
        <v>2544</v>
      </c>
      <c r="H1230" s="79" t="s">
        <v>2545</v>
      </c>
      <c r="I1230" s="79"/>
    </row>
    <row r="1231" spans="1:9" ht="14.25">
      <c r="A1231" s="79" t="s">
        <v>3206</v>
      </c>
      <c r="B1231" s="79" t="s">
        <v>3207</v>
      </c>
      <c r="C1231" s="79">
        <v>596819045</v>
      </c>
      <c r="D1231" s="79">
        <v>0</v>
      </c>
      <c r="E1231" s="79" t="s">
        <v>1124</v>
      </c>
      <c r="F1231" s="79" t="s">
        <v>2537</v>
      </c>
      <c r="G1231" s="79" t="s">
        <v>2579</v>
      </c>
      <c r="H1231" s="79"/>
      <c r="I1231" s="79"/>
    </row>
    <row r="1232" spans="1:9" ht="14.25">
      <c r="A1232" s="79" t="s">
        <v>3208</v>
      </c>
      <c r="B1232" s="79" t="s">
        <v>3209</v>
      </c>
      <c r="C1232" s="79">
        <v>596861645</v>
      </c>
      <c r="D1232" s="79">
        <v>0</v>
      </c>
      <c r="E1232" s="79" t="s">
        <v>1124</v>
      </c>
      <c r="F1232" s="79" t="s">
        <v>2537</v>
      </c>
      <c r="G1232" s="79" t="s">
        <v>1130</v>
      </c>
      <c r="H1232" s="79"/>
      <c r="I1232" s="79"/>
    </row>
    <row r="1233" spans="1:9" ht="14.25">
      <c r="A1233" s="79" t="s">
        <v>3208</v>
      </c>
      <c r="B1233" s="79" t="s">
        <v>3209</v>
      </c>
      <c r="C1233" s="79">
        <v>596861645</v>
      </c>
      <c r="D1233" s="79">
        <v>0</v>
      </c>
      <c r="E1233" s="79" t="s">
        <v>1124</v>
      </c>
      <c r="F1233" s="79" t="s">
        <v>2537</v>
      </c>
      <c r="G1233" s="79" t="s">
        <v>1131</v>
      </c>
      <c r="H1233" s="79" t="s">
        <v>1132</v>
      </c>
      <c r="I1233" s="79"/>
    </row>
    <row r="1234" spans="1:9" ht="14.25">
      <c r="A1234" s="79" t="s">
        <v>3208</v>
      </c>
      <c r="B1234" s="79" t="s">
        <v>3209</v>
      </c>
      <c r="C1234" s="79">
        <v>596861645</v>
      </c>
      <c r="D1234" s="79">
        <v>0</v>
      </c>
      <c r="E1234" s="79" t="s">
        <v>1124</v>
      </c>
      <c r="F1234" s="79" t="s">
        <v>2537</v>
      </c>
      <c r="G1234" s="79" t="s">
        <v>2576</v>
      </c>
      <c r="H1234" s="79"/>
      <c r="I1234" s="79"/>
    </row>
    <row r="1235" spans="1:9" ht="14.25">
      <c r="A1235" s="79" t="s">
        <v>3210</v>
      </c>
      <c r="B1235" s="79" t="s">
        <v>3211</v>
      </c>
      <c r="C1235" s="79">
        <v>596862245</v>
      </c>
      <c r="D1235" s="79">
        <v>0</v>
      </c>
      <c r="E1235" s="79" t="s">
        <v>1124</v>
      </c>
      <c r="F1235" s="79" t="s">
        <v>2537</v>
      </c>
      <c r="G1235" s="79" t="s">
        <v>2544</v>
      </c>
      <c r="H1235" s="79" t="s">
        <v>2545</v>
      </c>
      <c r="I1235" s="79"/>
    </row>
    <row r="1236" spans="1:9" ht="14.25">
      <c r="A1236" s="79" t="s">
        <v>3210</v>
      </c>
      <c r="B1236" s="79" t="s">
        <v>3211</v>
      </c>
      <c r="C1236" s="79">
        <v>596862245</v>
      </c>
      <c r="D1236" s="79">
        <v>0</v>
      </c>
      <c r="E1236" s="79" t="s">
        <v>1124</v>
      </c>
      <c r="F1236" s="79" t="s">
        <v>2537</v>
      </c>
      <c r="G1236" s="79" t="s">
        <v>2579</v>
      </c>
      <c r="H1236" s="79"/>
      <c r="I1236" s="79"/>
    </row>
    <row r="1237" spans="1:9" ht="14.25">
      <c r="A1237" s="79" t="s">
        <v>3212</v>
      </c>
      <c r="B1237" s="79" t="s">
        <v>3213</v>
      </c>
      <c r="C1237" s="79">
        <v>596904845</v>
      </c>
      <c r="D1237" s="79">
        <v>0</v>
      </c>
      <c r="E1237" s="79" t="s">
        <v>1124</v>
      </c>
      <c r="F1237" s="79" t="s">
        <v>2537</v>
      </c>
      <c r="G1237" s="79" t="s">
        <v>1130</v>
      </c>
      <c r="H1237" s="79"/>
      <c r="I1237" s="79"/>
    </row>
    <row r="1238" spans="1:9" ht="14.25">
      <c r="A1238" s="79" t="s">
        <v>3212</v>
      </c>
      <c r="B1238" s="79" t="s">
        <v>3213</v>
      </c>
      <c r="C1238" s="79">
        <v>596904845</v>
      </c>
      <c r="D1238" s="79">
        <v>0</v>
      </c>
      <c r="E1238" s="79" t="s">
        <v>1124</v>
      </c>
      <c r="F1238" s="79" t="s">
        <v>2537</v>
      </c>
      <c r="G1238" s="79" t="s">
        <v>1131</v>
      </c>
      <c r="H1238" s="79" t="s">
        <v>1132</v>
      </c>
      <c r="I1238" s="79"/>
    </row>
    <row r="1239" spans="1:9" ht="14.25">
      <c r="A1239" s="79" t="s">
        <v>3212</v>
      </c>
      <c r="B1239" s="79" t="s">
        <v>3213</v>
      </c>
      <c r="C1239" s="79">
        <v>596904845</v>
      </c>
      <c r="D1239" s="79">
        <v>0</v>
      </c>
      <c r="E1239" s="79" t="s">
        <v>1124</v>
      </c>
      <c r="F1239" s="79" t="s">
        <v>2537</v>
      </c>
      <c r="G1239" s="79" t="s">
        <v>2576</v>
      </c>
      <c r="H1239" s="79"/>
      <c r="I1239" s="79"/>
    </row>
    <row r="1240" spans="1:9" ht="14.25">
      <c r="A1240" s="79" t="s">
        <v>3214</v>
      </c>
      <c r="B1240" s="79" t="s">
        <v>3215</v>
      </c>
      <c r="C1240" s="79">
        <v>596905445</v>
      </c>
      <c r="D1240" s="79">
        <v>0</v>
      </c>
      <c r="E1240" s="79" t="s">
        <v>1124</v>
      </c>
      <c r="F1240" s="79" t="s">
        <v>2537</v>
      </c>
      <c r="G1240" s="79" t="s">
        <v>2544</v>
      </c>
      <c r="H1240" s="79" t="s">
        <v>2545</v>
      </c>
      <c r="I1240" s="79"/>
    </row>
    <row r="1241" spans="1:9" ht="14.25">
      <c r="A1241" s="79" t="s">
        <v>3214</v>
      </c>
      <c r="B1241" s="79" t="s">
        <v>3215</v>
      </c>
      <c r="C1241" s="79">
        <v>596905445</v>
      </c>
      <c r="D1241" s="79">
        <v>0</v>
      </c>
      <c r="E1241" s="79" t="s">
        <v>1124</v>
      </c>
      <c r="F1241" s="79" t="s">
        <v>2537</v>
      </c>
      <c r="G1241" s="79" t="s">
        <v>2579</v>
      </c>
      <c r="H1241" s="79"/>
      <c r="I1241" s="79"/>
    </row>
    <row r="1242" spans="1:9" ht="14.25">
      <c r="A1242" s="79" t="s">
        <v>3216</v>
      </c>
      <c r="B1242" s="79" t="s">
        <v>3217</v>
      </c>
      <c r="C1242" s="79">
        <v>596948045</v>
      </c>
      <c r="D1242" s="79">
        <v>0</v>
      </c>
      <c r="E1242" s="79" t="s">
        <v>1124</v>
      </c>
      <c r="F1242" s="79" t="s">
        <v>2537</v>
      </c>
      <c r="G1242" s="79" t="s">
        <v>1130</v>
      </c>
      <c r="H1242" s="79"/>
      <c r="I1242" s="79"/>
    </row>
    <row r="1243" spans="1:9" ht="14.25">
      <c r="A1243" s="79" t="s">
        <v>3216</v>
      </c>
      <c r="B1243" s="79" t="s">
        <v>3217</v>
      </c>
      <c r="C1243" s="79">
        <v>596948045</v>
      </c>
      <c r="D1243" s="79">
        <v>0</v>
      </c>
      <c r="E1243" s="79" t="s">
        <v>1124</v>
      </c>
      <c r="F1243" s="79" t="s">
        <v>2537</v>
      </c>
      <c r="G1243" s="79" t="s">
        <v>1131</v>
      </c>
      <c r="H1243" s="79" t="s">
        <v>1132</v>
      </c>
      <c r="I1243" s="79"/>
    </row>
    <row r="1244" spans="1:9" ht="14.25">
      <c r="A1244" s="79" t="s">
        <v>3216</v>
      </c>
      <c r="B1244" s="79" t="s">
        <v>3217</v>
      </c>
      <c r="C1244" s="79">
        <v>596948045</v>
      </c>
      <c r="D1244" s="79">
        <v>0</v>
      </c>
      <c r="E1244" s="79" t="s">
        <v>1124</v>
      </c>
      <c r="F1244" s="79" t="s">
        <v>2537</v>
      </c>
      <c r="G1244" s="79" t="s">
        <v>2576</v>
      </c>
      <c r="H1244" s="79"/>
      <c r="I1244" s="79"/>
    </row>
    <row r="1245" spans="1:9" ht="14.25">
      <c r="A1245" s="79" t="s">
        <v>3218</v>
      </c>
      <c r="B1245" s="79" t="s">
        <v>3219</v>
      </c>
      <c r="C1245" s="79">
        <v>596948645</v>
      </c>
      <c r="D1245" s="79">
        <v>0</v>
      </c>
      <c r="E1245" s="79" t="s">
        <v>1124</v>
      </c>
      <c r="F1245" s="79" t="s">
        <v>2537</v>
      </c>
      <c r="G1245" s="79" t="s">
        <v>2544</v>
      </c>
      <c r="H1245" s="79" t="s">
        <v>2545</v>
      </c>
      <c r="I1245" s="79"/>
    </row>
    <row r="1246" spans="1:9" ht="14.25">
      <c r="A1246" s="79" t="s">
        <v>3218</v>
      </c>
      <c r="B1246" s="79" t="s">
        <v>3219</v>
      </c>
      <c r="C1246" s="79">
        <v>596948645</v>
      </c>
      <c r="D1246" s="79">
        <v>0</v>
      </c>
      <c r="E1246" s="79" t="s">
        <v>1124</v>
      </c>
      <c r="F1246" s="79" t="s">
        <v>2537</v>
      </c>
      <c r="G1246" s="79" t="s">
        <v>2579</v>
      </c>
      <c r="H1246" s="79"/>
      <c r="I1246" s="79"/>
    </row>
    <row r="1247" spans="1:9" ht="14.25">
      <c r="A1247" s="79" t="s">
        <v>3220</v>
      </c>
      <c r="B1247" s="79" t="s">
        <v>3221</v>
      </c>
      <c r="C1247" s="79">
        <v>596991245</v>
      </c>
      <c r="D1247" s="79">
        <v>0</v>
      </c>
      <c r="E1247" s="79" t="s">
        <v>1124</v>
      </c>
      <c r="F1247" s="79" t="s">
        <v>2537</v>
      </c>
      <c r="G1247" s="79" t="s">
        <v>1130</v>
      </c>
      <c r="H1247" s="79"/>
      <c r="I1247" s="79"/>
    </row>
    <row r="1248" spans="1:9" ht="14.25">
      <c r="A1248" s="79" t="s">
        <v>3220</v>
      </c>
      <c r="B1248" s="79" t="s">
        <v>3221</v>
      </c>
      <c r="C1248" s="79">
        <v>596991245</v>
      </c>
      <c r="D1248" s="79">
        <v>0</v>
      </c>
      <c r="E1248" s="79" t="s">
        <v>1124</v>
      </c>
      <c r="F1248" s="79" t="s">
        <v>2537</v>
      </c>
      <c r="G1248" s="79" t="s">
        <v>1131</v>
      </c>
      <c r="H1248" s="79" t="s">
        <v>1132</v>
      </c>
      <c r="I1248" s="79"/>
    </row>
    <row r="1249" spans="1:9" ht="14.25">
      <c r="A1249" s="79" t="s">
        <v>3220</v>
      </c>
      <c r="B1249" s="79" t="s">
        <v>3221</v>
      </c>
      <c r="C1249" s="79">
        <v>596991245</v>
      </c>
      <c r="D1249" s="79">
        <v>0</v>
      </c>
      <c r="E1249" s="79" t="s">
        <v>1124</v>
      </c>
      <c r="F1249" s="79" t="s">
        <v>2537</v>
      </c>
      <c r="G1249" s="79" t="s">
        <v>2576</v>
      </c>
      <c r="H1249" s="79"/>
      <c r="I1249" s="79"/>
    </row>
    <row r="1250" spans="1:9" ht="14.25">
      <c r="A1250" s="79" t="s">
        <v>3222</v>
      </c>
      <c r="B1250" s="79" t="s">
        <v>3223</v>
      </c>
      <c r="C1250" s="79">
        <v>596991845</v>
      </c>
      <c r="D1250" s="79">
        <v>0</v>
      </c>
      <c r="E1250" s="79" t="s">
        <v>1124</v>
      </c>
      <c r="F1250" s="79" t="s">
        <v>2537</v>
      </c>
      <c r="G1250" s="79" t="s">
        <v>2544</v>
      </c>
      <c r="H1250" s="79" t="s">
        <v>2545</v>
      </c>
      <c r="I1250" s="79"/>
    </row>
    <row r="1251" spans="1:9" ht="14.25">
      <c r="A1251" s="79" t="s">
        <v>3222</v>
      </c>
      <c r="B1251" s="79" t="s">
        <v>3223</v>
      </c>
      <c r="C1251" s="79">
        <v>596991845</v>
      </c>
      <c r="D1251" s="79">
        <v>0</v>
      </c>
      <c r="E1251" s="79" t="s">
        <v>1124</v>
      </c>
      <c r="F1251" s="79" t="s">
        <v>2537</v>
      </c>
      <c r="G1251" s="79" t="s">
        <v>2579</v>
      </c>
      <c r="H1251" s="79"/>
      <c r="I1251" s="79"/>
    </row>
    <row r="1252" spans="1:9" ht="14.25">
      <c r="A1252" s="79" t="s">
        <v>3224</v>
      </c>
      <c r="B1252" s="79" t="s">
        <v>3225</v>
      </c>
      <c r="C1252" s="79">
        <v>597034445</v>
      </c>
      <c r="D1252" s="79">
        <v>0</v>
      </c>
      <c r="E1252" s="79" t="s">
        <v>1124</v>
      </c>
      <c r="F1252" s="79" t="s">
        <v>2537</v>
      </c>
      <c r="G1252" s="79" t="s">
        <v>1130</v>
      </c>
      <c r="H1252" s="79"/>
      <c r="I1252" s="79"/>
    </row>
    <row r="1253" spans="1:9" ht="14.25">
      <c r="A1253" s="79" t="s">
        <v>3224</v>
      </c>
      <c r="B1253" s="79" t="s">
        <v>3225</v>
      </c>
      <c r="C1253" s="79">
        <v>597034445</v>
      </c>
      <c r="D1253" s="79">
        <v>0</v>
      </c>
      <c r="E1253" s="79" t="s">
        <v>1124</v>
      </c>
      <c r="F1253" s="79" t="s">
        <v>2537</v>
      </c>
      <c r="G1253" s="79" t="s">
        <v>1131</v>
      </c>
      <c r="H1253" s="79" t="s">
        <v>1132</v>
      </c>
      <c r="I1253" s="79"/>
    </row>
    <row r="1254" spans="1:9" ht="14.25">
      <c r="A1254" s="79" t="s">
        <v>3224</v>
      </c>
      <c r="B1254" s="79" t="s">
        <v>3225</v>
      </c>
      <c r="C1254" s="79">
        <v>597034445</v>
      </c>
      <c r="D1254" s="79">
        <v>0</v>
      </c>
      <c r="E1254" s="79" t="s">
        <v>1124</v>
      </c>
      <c r="F1254" s="79" t="s">
        <v>2537</v>
      </c>
      <c r="G1254" s="79" t="s">
        <v>2576</v>
      </c>
      <c r="H1254" s="79"/>
      <c r="I1254" s="79"/>
    </row>
    <row r="1255" spans="1:9" ht="14.25">
      <c r="A1255" s="79" t="s">
        <v>3226</v>
      </c>
      <c r="B1255" s="79" t="s">
        <v>3227</v>
      </c>
      <c r="C1255" s="79">
        <v>597035045</v>
      </c>
      <c r="D1255" s="79">
        <v>0</v>
      </c>
      <c r="E1255" s="79" t="s">
        <v>1124</v>
      </c>
      <c r="F1255" s="79" t="s">
        <v>2537</v>
      </c>
      <c r="G1255" s="79" t="s">
        <v>2544</v>
      </c>
      <c r="H1255" s="79" t="s">
        <v>2545</v>
      </c>
      <c r="I1255" s="79"/>
    </row>
    <row r="1256" spans="1:9" ht="14.25">
      <c r="A1256" s="79" t="s">
        <v>3226</v>
      </c>
      <c r="B1256" s="79" t="s">
        <v>3227</v>
      </c>
      <c r="C1256" s="79">
        <v>597035045</v>
      </c>
      <c r="D1256" s="79">
        <v>0</v>
      </c>
      <c r="E1256" s="79" t="s">
        <v>1124</v>
      </c>
      <c r="F1256" s="79" t="s">
        <v>2537</v>
      </c>
      <c r="G1256" s="79" t="s">
        <v>2579</v>
      </c>
      <c r="H1256" s="79"/>
      <c r="I1256" s="79"/>
    </row>
    <row r="1257" spans="1:9" ht="14.25">
      <c r="A1257" s="79" t="s">
        <v>3228</v>
      </c>
      <c r="B1257" s="79" t="s">
        <v>3229</v>
      </c>
      <c r="C1257" s="79">
        <v>597077645</v>
      </c>
      <c r="D1257" s="79">
        <v>0</v>
      </c>
      <c r="E1257" s="79" t="s">
        <v>1124</v>
      </c>
      <c r="F1257" s="79" t="s">
        <v>2537</v>
      </c>
      <c r="G1257" s="79" t="s">
        <v>1130</v>
      </c>
      <c r="H1257" s="79"/>
      <c r="I1257" s="79"/>
    </row>
    <row r="1258" spans="1:9" ht="14.25">
      <c r="A1258" s="79" t="s">
        <v>3228</v>
      </c>
      <c r="B1258" s="79" t="s">
        <v>3229</v>
      </c>
      <c r="C1258" s="79">
        <v>597077645</v>
      </c>
      <c r="D1258" s="79">
        <v>0</v>
      </c>
      <c r="E1258" s="79" t="s">
        <v>1124</v>
      </c>
      <c r="F1258" s="79" t="s">
        <v>2537</v>
      </c>
      <c r="G1258" s="79" t="s">
        <v>1131</v>
      </c>
      <c r="H1258" s="79" t="s">
        <v>1132</v>
      </c>
      <c r="I1258" s="79"/>
    </row>
    <row r="1259" spans="1:9" ht="14.25">
      <c r="A1259" s="79" t="s">
        <v>3228</v>
      </c>
      <c r="B1259" s="79" t="s">
        <v>3229</v>
      </c>
      <c r="C1259" s="79">
        <v>597077645</v>
      </c>
      <c r="D1259" s="79">
        <v>0</v>
      </c>
      <c r="E1259" s="79" t="s">
        <v>1124</v>
      </c>
      <c r="F1259" s="79" t="s">
        <v>2537</v>
      </c>
      <c r="G1259" s="79" t="s">
        <v>2576</v>
      </c>
      <c r="H1259" s="79"/>
      <c r="I1259" s="79"/>
    </row>
    <row r="1260" spans="1:9" ht="14.25">
      <c r="A1260" s="79" t="s">
        <v>3230</v>
      </c>
      <c r="B1260" s="79" t="s">
        <v>3231</v>
      </c>
      <c r="C1260" s="79">
        <v>597078245</v>
      </c>
      <c r="D1260" s="79">
        <v>0</v>
      </c>
      <c r="E1260" s="79" t="s">
        <v>1124</v>
      </c>
      <c r="F1260" s="79" t="s">
        <v>2537</v>
      </c>
      <c r="G1260" s="79" t="s">
        <v>2544</v>
      </c>
      <c r="H1260" s="79" t="s">
        <v>2545</v>
      </c>
      <c r="I1260" s="79"/>
    </row>
    <row r="1261" spans="1:9" ht="14.25">
      <c r="A1261" s="79" t="s">
        <v>3230</v>
      </c>
      <c r="B1261" s="79" t="s">
        <v>3231</v>
      </c>
      <c r="C1261" s="79">
        <v>597078245</v>
      </c>
      <c r="D1261" s="79">
        <v>0</v>
      </c>
      <c r="E1261" s="79" t="s">
        <v>1124</v>
      </c>
      <c r="F1261" s="79" t="s">
        <v>2537</v>
      </c>
      <c r="G1261" s="79" t="s">
        <v>2579</v>
      </c>
      <c r="H1261" s="79"/>
      <c r="I1261" s="79"/>
    </row>
    <row r="1262" spans="1:9" ht="14.25">
      <c r="A1262" s="79" t="s">
        <v>3232</v>
      </c>
      <c r="B1262" s="79" t="s">
        <v>3233</v>
      </c>
      <c r="C1262" s="79">
        <v>597120845</v>
      </c>
      <c r="D1262" s="79">
        <v>0</v>
      </c>
      <c r="E1262" s="79" t="s">
        <v>1124</v>
      </c>
      <c r="F1262" s="79" t="s">
        <v>2537</v>
      </c>
      <c r="G1262" s="79" t="s">
        <v>1130</v>
      </c>
      <c r="H1262" s="79"/>
      <c r="I1262" s="79"/>
    </row>
    <row r="1263" spans="1:9" ht="14.25">
      <c r="A1263" s="79" t="s">
        <v>3232</v>
      </c>
      <c r="B1263" s="79" t="s">
        <v>3233</v>
      </c>
      <c r="C1263" s="79">
        <v>597120845</v>
      </c>
      <c r="D1263" s="79">
        <v>0</v>
      </c>
      <c r="E1263" s="79" t="s">
        <v>1124</v>
      </c>
      <c r="F1263" s="79" t="s">
        <v>2537</v>
      </c>
      <c r="G1263" s="79" t="s">
        <v>1131</v>
      </c>
      <c r="H1263" s="79" t="s">
        <v>1132</v>
      </c>
      <c r="I1263" s="79"/>
    </row>
    <row r="1264" spans="1:9" ht="14.25">
      <c r="A1264" s="79" t="s">
        <v>3232</v>
      </c>
      <c r="B1264" s="79" t="s">
        <v>3233</v>
      </c>
      <c r="C1264" s="79">
        <v>597120845</v>
      </c>
      <c r="D1264" s="79">
        <v>0</v>
      </c>
      <c r="E1264" s="79" t="s">
        <v>1124</v>
      </c>
      <c r="F1264" s="79" t="s">
        <v>2537</v>
      </c>
      <c r="G1264" s="79" t="s">
        <v>2576</v>
      </c>
      <c r="H1264" s="79"/>
      <c r="I1264" s="79"/>
    </row>
    <row r="1265" spans="1:9" ht="14.25">
      <c r="A1265" s="79" t="s">
        <v>3234</v>
      </c>
      <c r="B1265" s="79" t="s">
        <v>3235</v>
      </c>
      <c r="C1265" s="79">
        <v>597121445</v>
      </c>
      <c r="D1265" s="79">
        <v>0</v>
      </c>
      <c r="E1265" s="79" t="s">
        <v>1124</v>
      </c>
      <c r="F1265" s="79" t="s">
        <v>2537</v>
      </c>
      <c r="G1265" s="79" t="s">
        <v>2544</v>
      </c>
      <c r="H1265" s="79" t="s">
        <v>2545</v>
      </c>
      <c r="I1265" s="79"/>
    </row>
    <row r="1266" spans="1:9" ht="14.25">
      <c r="A1266" s="79" t="s">
        <v>3234</v>
      </c>
      <c r="B1266" s="79" t="s">
        <v>3235</v>
      </c>
      <c r="C1266" s="79">
        <v>597121445</v>
      </c>
      <c r="D1266" s="79">
        <v>0</v>
      </c>
      <c r="E1266" s="79" t="s">
        <v>1124</v>
      </c>
      <c r="F1266" s="79" t="s">
        <v>2537</v>
      </c>
      <c r="G1266" s="79" t="s">
        <v>2579</v>
      </c>
      <c r="H1266" s="79"/>
      <c r="I1266" s="79"/>
    </row>
    <row r="1267" spans="1:9" ht="14.25">
      <c r="A1267" s="79" t="s">
        <v>3236</v>
      </c>
      <c r="B1267" s="79" t="s">
        <v>3237</v>
      </c>
      <c r="C1267" s="79">
        <v>597164045</v>
      </c>
      <c r="D1267" s="79">
        <v>0</v>
      </c>
      <c r="E1267" s="79" t="s">
        <v>1124</v>
      </c>
      <c r="F1267" s="79" t="s">
        <v>2537</v>
      </c>
      <c r="G1267" s="79" t="s">
        <v>1130</v>
      </c>
      <c r="H1267" s="79"/>
      <c r="I1267" s="79"/>
    </row>
    <row r="1268" spans="1:9" ht="14.25">
      <c r="A1268" s="79" t="s">
        <v>3236</v>
      </c>
      <c r="B1268" s="79" t="s">
        <v>3237</v>
      </c>
      <c r="C1268" s="79">
        <v>597164045</v>
      </c>
      <c r="D1268" s="79">
        <v>0</v>
      </c>
      <c r="E1268" s="79" t="s">
        <v>1124</v>
      </c>
      <c r="F1268" s="79" t="s">
        <v>2537</v>
      </c>
      <c r="G1268" s="79" t="s">
        <v>2107</v>
      </c>
      <c r="H1268" s="79"/>
      <c r="I1268" s="79"/>
    </row>
    <row r="1269" spans="1:9" ht="14.25">
      <c r="A1269" s="79" t="s">
        <v>3238</v>
      </c>
      <c r="B1269" s="79" t="s">
        <v>3239</v>
      </c>
      <c r="C1269" s="79">
        <v>597164048</v>
      </c>
      <c r="D1269" s="79">
        <v>0</v>
      </c>
      <c r="E1269" s="79" t="s">
        <v>1124</v>
      </c>
      <c r="F1269" s="79" t="s">
        <v>2537</v>
      </c>
      <c r="G1269" s="79" t="s">
        <v>1130</v>
      </c>
      <c r="H1269" s="79"/>
      <c r="I1269" s="79"/>
    </row>
    <row r="1270" spans="1:9" ht="14.25">
      <c r="A1270" s="79" t="s">
        <v>3238</v>
      </c>
      <c r="B1270" s="79" t="s">
        <v>3239</v>
      </c>
      <c r="C1270" s="79">
        <v>597164048</v>
      </c>
      <c r="D1270" s="79">
        <v>0</v>
      </c>
      <c r="E1270" s="79" t="s">
        <v>1124</v>
      </c>
      <c r="F1270" s="79" t="s">
        <v>2537</v>
      </c>
      <c r="G1270" s="79" t="s">
        <v>2570</v>
      </c>
      <c r="H1270" s="79" t="s">
        <v>2571</v>
      </c>
      <c r="I1270" s="79"/>
    </row>
    <row r="1271" spans="1:9" ht="14.25">
      <c r="A1271" s="79" t="s">
        <v>3238</v>
      </c>
      <c r="B1271" s="79" t="s">
        <v>3239</v>
      </c>
      <c r="C1271" s="79">
        <v>597164048</v>
      </c>
      <c r="D1271" s="79">
        <v>0</v>
      </c>
      <c r="E1271" s="79" t="s">
        <v>1124</v>
      </c>
      <c r="F1271" s="79" t="s">
        <v>2537</v>
      </c>
      <c r="G1271" s="79" t="s">
        <v>2566</v>
      </c>
      <c r="H1271" s="79"/>
      <c r="I1271" s="79"/>
    </row>
    <row r="1272" spans="1:9" ht="14.25">
      <c r="A1272" s="79" t="s">
        <v>3240</v>
      </c>
      <c r="B1272" s="79" t="s">
        <v>3241</v>
      </c>
      <c r="C1272" s="79">
        <v>597164408</v>
      </c>
      <c r="D1272" s="79">
        <v>0</v>
      </c>
      <c r="E1272" s="79" t="s">
        <v>1124</v>
      </c>
      <c r="F1272" s="79" t="s">
        <v>2537</v>
      </c>
      <c r="G1272" s="79" t="s">
        <v>2574</v>
      </c>
      <c r="H1272" s="79"/>
      <c r="I1272" s="79"/>
    </row>
    <row r="1273" spans="1:9" ht="14.25">
      <c r="A1273" s="79" t="s">
        <v>3240</v>
      </c>
      <c r="B1273" s="79" t="s">
        <v>3241</v>
      </c>
      <c r="C1273" s="79">
        <v>597164408</v>
      </c>
      <c r="D1273" s="79">
        <v>0</v>
      </c>
      <c r="E1273" s="79" t="s">
        <v>1124</v>
      </c>
      <c r="F1273" s="79" t="s">
        <v>2537</v>
      </c>
      <c r="G1273" s="79" t="s">
        <v>2575</v>
      </c>
      <c r="H1273" s="79"/>
      <c r="I1273" s="79"/>
    </row>
    <row r="1274" spans="1:9" ht="14.25">
      <c r="A1274" s="79" t="s">
        <v>3240</v>
      </c>
      <c r="B1274" s="79" t="s">
        <v>3241</v>
      </c>
      <c r="C1274" s="79">
        <v>597164408</v>
      </c>
      <c r="D1274" s="79">
        <v>0</v>
      </c>
      <c r="E1274" s="79" t="s">
        <v>1124</v>
      </c>
      <c r="F1274" s="79" t="s">
        <v>2537</v>
      </c>
      <c r="G1274" s="79" t="s">
        <v>1131</v>
      </c>
      <c r="H1274" s="79" t="s">
        <v>1132</v>
      </c>
      <c r="I1274" s="79"/>
    </row>
    <row r="1275" spans="1:9" ht="14.25">
      <c r="A1275" s="79" t="s">
        <v>3240</v>
      </c>
      <c r="B1275" s="79" t="s">
        <v>3241</v>
      </c>
      <c r="C1275" s="79">
        <v>597164408</v>
      </c>
      <c r="D1275" s="79">
        <v>0</v>
      </c>
      <c r="E1275" s="79" t="s">
        <v>1124</v>
      </c>
      <c r="F1275" s="79" t="s">
        <v>2537</v>
      </c>
      <c r="G1275" s="79" t="s">
        <v>2576</v>
      </c>
      <c r="H1275" s="79"/>
      <c r="I1275" s="79"/>
    </row>
    <row r="1276" spans="1:9" ht="14.25">
      <c r="A1276" s="79" t="s">
        <v>3242</v>
      </c>
      <c r="B1276" s="79" t="s">
        <v>3243</v>
      </c>
      <c r="C1276" s="79">
        <v>597165008</v>
      </c>
      <c r="D1276" s="79">
        <v>0</v>
      </c>
      <c r="E1276" s="79" t="s">
        <v>1124</v>
      </c>
      <c r="F1276" s="79" t="s">
        <v>2537</v>
      </c>
      <c r="G1276" s="79" t="s">
        <v>2544</v>
      </c>
      <c r="H1276" s="79" t="s">
        <v>2545</v>
      </c>
      <c r="I1276" s="79"/>
    </row>
    <row r="1277" spans="1:9" ht="14.25">
      <c r="A1277" s="79" t="s">
        <v>3242</v>
      </c>
      <c r="B1277" s="79" t="s">
        <v>3243</v>
      </c>
      <c r="C1277" s="79">
        <v>597165008</v>
      </c>
      <c r="D1277" s="79">
        <v>0</v>
      </c>
      <c r="E1277" s="79" t="s">
        <v>1124</v>
      </c>
      <c r="F1277" s="79" t="s">
        <v>2537</v>
      </c>
      <c r="G1277" s="79" t="s">
        <v>2579</v>
      </c>
      <c r="H1277" s="79"/>
      <c r="I1277" s="79"/>
    </row>
    <row r="1278" spans="1:9" ht="14.25">
      <c r="A1278" s="79" t="s">
        <v>3244</v>
      </c>
      <c r="B1278" s="79" t="s">
        <v>3245</v>
      </c>
      <c r="C1278" s="79">
        <v>597207608</v>
      </c>
      <c r="D1278" s="79">
        <v>0</v>
      </c>
      <c r="E1278" s="79" t="s">
        <v>1124</v>
      </c>
      <c r="F1278" s="79" t="s">
        <v>2537</v>
      </c>
      <c r="G1278" s="79" t="s">
        <v>1130</v>
      </c>
      <c r="H1278" s="79"/>
      <c r="I1278" s="79"/>
    </row>
    <row r="1279" spans="1:9" ht="14.25">
      <c r="A1279" s="79" t="s">
        <v>3244</v>
      </c>
      <c r="B1279" s="79" t="s">
        <v>3245</v>
      </c>
      <c r="C1279" s="79">
        <v>597207608</v>
      </c>
      <c r="D1279" s="79">
        <v>0</v>
      </c>
      <c r="E1279" s="79" t="s">
        <v>1124</v>
      </c>
      <c r="F1279" s="79" t="s">
        <v>2537</v>
      </c>
      <c r="G1279" s="79" t="s">
        <v>1131</v>
      </c>
      <c r="H1279" s="79" t="s">
        <v>1132</v>
      </c>
      <c r="I1279" s="79"/>
    </row>
    <row r="1280" spans="1:9" ht="14.25">
      <c r="A1280" s="79" t="s">
        <v>3244</v>
      </c>
      <c r="B1280" s="79" t="s">
        <v>3245</v>
      </c>
      <c r="C1280" s="79">
        <v>597207608</v>
      </c>
      <c r="D1280" s="79">
        <v>0</v>
      </c>
      <c r="E1280" s="79" t="s">
        <v>1124</v>
      </c>
      <c r="F1280" s="79" t="s">
        <v>2537</v>
      </c>
      <c r="G1280" s="79" t="s">
        <v>2576</v>
      </c>
      <c r="H1280" s="79"/>
      <c r="I1280" s="79"/>
    </row>
    <row r="1281" spans="1:9" ht="14.25">
      <c r="A1281" s="79" t="s">
        <v>3246</v>
      </c>
      <c r="B1281" s="79" t="s">
        <v>3247</v>
      </c>
      <c r="C1281" s="79">
        <v>597208208</v>
      </c>
      <c r="D1281" s="79">
        <v>0</v>
      </c>
      <c r="E1281" s="79" t="s">
        <v>1124</v>
      </c>
      <c r="F1281" s="79" t="s">
        <v>2537</v>
      </c>
      <c r="G1281" s="79" t="s">
        <v>2544</v>
      </c>
      <c r="H1281" s="79" t="s">
        <v>2545</v>
      </c>
      <c r="I1281" s="79"/>
    </row>
    <row r="1282" spans="1:9" ht="14.25">
      <c r="A1282" s="79" t="s">
        <v>3246</v>
      </c>
      <c r="B1282" s="79" t="s">
        <v>3247</v>
      </c>
      <c r="C1282" s="79">
        <v>597208208</v>
      </c>
      <c r="D1282" s="79">
        <v>0</v>
      </c>
      <c r="E1282" s="79" t="s">
        <v>1124</v>
      </c>
      <c r="F1282" s="79" t="s">
        <v>2537</v>
      </c>
      <c r="G1282" s="79" t="s">
        <v>2579</v>
      </c>
      <c r="H1282" s="79"/>
      <c r="I1282" s="79"/>
    </row>
    <row r="1283" spans="1:9" ht="14.25">
      <c r="A1283" s="79" t="s">
        <v>3248</v>
      </c>
      <c r="B1283" s="79" t="s">
        <v>3249</v>
      </c>
      <c r="C1283" s="79">
        <v>597250808</v>
      </c>
      <c r="D1283" s="79">
        <v>0</v>
      </c>
      <c r="E1283" s="79" t="s">
        <v>1124</v>
      </c>
      <c r="F1283" s="79" t="s">
        <v>2537</v>
      </c>
      <c r="G1283" s="79" t="s">
        <v>1130</v>
      </c>
      <c r="H1283" s="79"/>
      <c r="I1283" s="79"/>
    </row>
    <row r="1284" spans="1:9" ht="14.25">
      <c r="A1284" s="79" t="s">
        <v>3248</v>
      </c>
      <c r="B1284" s="79" t="s">
        <v>3249</v>
      </c>
      <c r="C1284" s="79">
        <v>597250808</v>
      </c>
      <c r="D1284" s="79">
        <v>0</v>
      </c>
      <c r="E1284" s="79" t="s">
        <v>1124</v>
      </c>
      <c r="F1284" s="79" t="s">
        <v>2537</v>
      </c>
      <c r="G1284" s="79" t="s">
        <v>1131</v>
      </c>
      <c r="H1284" s="79" t="s">
        <v>1132</v>
      </c>
      <c r="I1284" s="79"/>
    </row>
    <row r="1285" spans="1:9" ht="14.25">
      <c r="A1285" s="79" t="s">
        <v>3248</v>
      </c>
      <c r="B1285" s="79" t="s">
        <v>3249</v>
      </c>
      <c r="C1285" s="79">
        <v>597250808</v>
      </c>
      <c r="D1285" s="79">
        <v>0</v>
      </c>
      <c r="E1285" s="79" t="s">
        <v>1124</v>
      </c>
      <c r="F1285" s="79" t="s">
        <v>2537</v>
      </c>
      <c r="G1285" s="79" t="s">
        <v>2576</v>
      </c>
      <c r="H1285" s="79"/>
      <c r="I1285" s="79"/>
    </row>
    <row r="1286" spans="1:9" ht="14.25">
      <c r="A1286" s="79" t="s">
        <v>3250</v>
      </c>
      <c r="B1286" s="79" t="s">
        <v>3251</v>
      </c>
      <c r="C1286" s="79">
        <v>597251408</v>
      </c>
      <c r="D1286" s="79">
        <v>0</v>
      </c>
      <c r="E1286" s="79" t="s">
        <v>1124</v>
      </c>
      <c r="F1286" s="79" t="s">
        <v>2537</v>
      </c>
      <c r="G1286" s="79" t="s">
        <v>2544</v>
      </c>
      <c r="H1286" s="79" t="s">
        <v>2545</v>
      </c>
      <c r="I1286" s="79"/>
    </row>
    <row r="1287" spans="1:9" ht="14.25">
      <c r="A1287" s="79" t="s">
        <v>3250</v>
      </c>
      <c r="B1287" s="79" t="s">
        <v>3251</v>
      </c>
      <c r="C1287" s="79">
        <v>597251408</v>
      </c>
      <c r="D1287" s="79">
        <v>0</v>
      </c>
      <c r="E1287" s="79" t="s">
        <v>1124</v>
      </c>
      <c r="F1287" s="79" t="s">
        <v>2537</v>
      </c>
      <c r="G1287" s="79" t="s">
        <v>2579</v>
      </c>
      <c r="H1287" s="79"/>
      <c r="I1287" s="79"/>
    </row>
    <row r="1288" spans="1:9" ht="14.25">
      <c r="A1288" s="79" t="s">
        <v>3252</v>
      </c>
      <c r="B1288" s="79" t="s">
        <v>3253</v>
      </c>
      <c r="C1288" s="79">
        <v>597294008</v>
      </c>
      <c r="D1288" s="79">
        <v>0</v>
      </c>
      <c r="E1288" s="79" t="s">
        <v>1124</v>
      </c>
      <c r="F1288" s="79" t="s">
        <v>2537</v>
      </c>
      <c r="G1288" s="79" t="s">
        <v>1130</v>
      </c>
      <c r="H1288" s="79"/>
      <c r="I1288" s="79"/>
    </row>
    <row r="1289" spans="1:9" ht="14.25">
      <c r="A1289" s="79" t="s">
        <v>3252</v>
      </c>
      <c r="B1289" s="79" t="s">
        <v>3253</v>
      </c>
      <c r="C1289" s="79">
        <v>597294008</v>
      </c>
      <c r="D1289" s="79">
        <v>0</v>
      </c>
      <c r="E1289" s="79" t="s">
        <v>1124</v>
      </c>
      <c r="F1289" s="79" t="s">
        <v>2537</v>
      </c>
      <c r="G1289" s="79" t="s">
        <v>1131</v>
      </c>
      <c r="H1289" s="79" t="s">
        <v>1132</v>
      </c>
      <c r="I1289" s="79"/>
    </row>
    <row r="1290" spans="1:9" ht="14.25">
      <c r="A1290" s="79" t="s">
        <v>3252</v>
      </c>
      <c r="B1290" s="79" t="s">
        <v>3253</v>
      </c>
      <c r="C1290" s="79">
        <v>597294008</v>
      </c>
      <c r="D1290" s="79">
        <v>0</v>
      </c>
      <c r="E1290" s="79" t="s">
        <v>1124</v>
      </c>
      <c r="F1290" s="79" t="s">
        <v>2537</v>
      </c>
      <c r="G1290" s="79" t="s">
        <v>2576</v>
      </c>
      <c r="H1290" s="79"/>
      <c r="I1290" s="79"/>
    </row>
    <row r="1291" spans="1:9" ht="14.25">
      <c r="A1291" s="79" t="s">
        <v>3254</v>
      </c>
      <c r="B1291" s="79" t="s">
        <v>3255</v>
      </c>
      <c r="C1291" s="79">
        <v>597294608</v>
      </c>
      <c r="D1291" s="79">
        <v>0</v>
      </c>
      <c r="E1291" s="79" t="s">
        <v>1124</v>
      </c>
      <c r="F1291" s="79" t="s">
        <v>2537</v>
      </c>
      <c r="G1291" s="79" t="s">
        <v>2544</v>
      </c>
      <c r="H1291" s="79" t="s">
        <v>2545</v>
      </c>
      <c r="I1291" s="79"/>
    </row>
    <row r="1292" spans="1:9" ht="14.25">
      <c r="A1292" s="79" t="s">
        <v>3254</v>
      </c>
      <c r="B1292" s="79" t="s">
        <v>3255</v>
      </c>
      <c r="C1292" s="79">
        <v>597294608</v>
      </c>
      <c r="D1292" s="79">
        <v>0</v>
      </c>
      <c r="E1292" s="79" t="s">
        <v>1124</v>
      </c>
      <c r="F1292" s="79" t="s">
        <v>2537</v>
      </c>
      <c r="G1292" s="79" t="s">
        <v>2579</v>
      </c>
      <c r="H1292" s="79"/>
      <c r="I1292" s="79"/>
    </row>
    <row r="1293" spans="1:9" ht="14.25">
      <c r="A1293" s="79" t="s">
        <v>3256</v>
      </c>
      <c r="B1293" s="79" t="s">
        <v>3257</v>
      </c>
      <c r="C1293" s="79">
        <v>597337208</v>
      </c>
      <c r="D1293" s="79">
        <v>0</v>
      </c>
      <c r="E1293" s="79" t="s">
        <v>1124</v>
      </c>
      <c r="F1293" s="79" t="s">
        <v>2537</v>
      </c>
      <c r="G1293" s="79" t="s">
        <v>1130</v>
      </c>
      <c r="H1293" s="79"/>
      <c r="I1293" s="79"/>
    </row>
    <row r="1294" spans="1:9" ht="14.25">
      <c r="A1294" s="79" t="s">
        <v>3256</v>
      </c>
      <c r="B1294" s="79" t="s">
        <v>3257</v>
      </c>
      <c r="C1294" s="79">
        <v>597337208</v>
      </c>
      <c r="D1294" s="79">
        <v>0</v>
      </c>
      <c r="E1294" s="79" t="s">
        <v>1124</v>
      </c>
      <c r="F1294" s="79" t="s">
        <v>2537</v>
      </c>
      <c r="G1294" s="79" t="s">
        <v>1131</v>
      </c>
      <c r="H1294" s="79" t="s">
        <v>1132</v>
      </c>
      <c r="I1294" s="79"/>
    </row>
    <row r="1295" spans="1:9" ht="14.25">
      <c r="A1295" s="79" t="s">
        <v>3256</v>
      </c>
      <c r="B1295" s="79" t="s">
        <v>3257</v>
      </c>
      <c r="C1295" s="79">
        <v>597337208</v>
      </c>
      <c r="D1295" s="79">
        <v>0</v>
      </c>
      <c r="E1295" s="79" t="s">
        <v>1124</v>
      </c>
      <c r="F1295" s="79" t="s">
        <v>2537</v>
      </c>
      <c r="G1295" s="79" t="s">
        <v>2576</v>
      </c>
      <c r="H1295" s="79"/>
      <c r="I1295" s="79"/>
    </row>
    <row r="1296" spans="1:9" ht="14.25">
      <c r="A1296" s="79" t="s">
        <v>3258</v>
      </c>
      <c r="B1296" s="79" t="s">
        <v>3259</v>
      </c>
      <c r="C1296" s="79">
        <v>597337808</v>
      </c>
      <c r="D1296" s="79">
        <v>0</v>
      </c>
      <c r="E1296" s="79" t="s">
        <v>1124</v>
      </c>
      <c r="F1296" s="79" t="s">
        <v>2537</v>
      </c>
      <c r="G1296" s="79" t="s">
        <v>2544</v>
      </c>
      <c r="H1296" s="79" t="s">
        <v>2545</v>
      </c>
      <c r="I1296" s="79"/>
    </row>
    <row r="1297" spans="1:9" ht="14.25">
      <c r="A1297" s="79" t="s">
        <v>3258</v>
      </c>
      <c r="B1297" s="79" t="s">
        <v>3259</v>
      </c>
      <c r="C1297" s="79">
        <v>597337808</v>
      </c>
      <c r="D1297" s="79">
        <v>0</v>
      </c>
      <c r="E1297" s="79" t="s">
        <v>1124</v>
      </c>
      <c r="F1297" s="79" t="s">
        <v>2537</v>
      </c>
      <c r="G1297" s="79" t="s">
        <v>2579</v>
      </c>
      <c r="H1297" s="79"/>
      <c r="I1297" s="79"/>
    </row>
    <row r="1298" spans="1:9" ht="14.25">
      <c r="A1298" s="79" t="s">
        <v>3260</v>
      </c>
      <c r="B1298" s="79" t="s">
        <v>3261</v>
      </c>
      <c r="C1298" s="79">
        <v>597380408</v>
      </c>
      <c r="D1298" s="79">
        <v>0</v>
      </c>
      <c r="E1298" s="79" t="s">
        <v>1124</v>
      </c>
      <c r="F1298" s="79" t="s">
        <v>2537</v>
      </c>
      <c r="G1298" s="79" t="s">
        <v>1130</v>
      </c>
      <c r="H1298" s="79"/>
      <c r="I1298" s="79"/>
    </row>
    <row r="1299" spans="1:9" ht="14.25">
      <c r="A1299" s="79" t="s">
        <v>3260</v>
      </c>
      <c r="B1299" s="79" t="s">
        <v>3261</v>
      </c>
      <c r="C1299" s="79">
        <v>597380408</v>
      </c>
      <c r="D1299" s="79">
        <v>0</v>
      </c>
      <c r="E1299" s="79" t="s">
        <v>1124</v>
      </c>
      <c r="F1299" s="79" t="s">
        <v>2537</v>
      </c>
      <c r="G1299" s="79" t="s">
        <v>1131</v>
      </c>
      <c r="H1299" s="79" t="s">
        <v>1132</v>
      </c>
      <c r="I1299" s="79"/>
    </row>
    <row r="1300" spans="1:9" ht="14.25">
      <c r="A1300" s="79" t="s">
        <v>3260</v>
      </c>
      <c r="B1300" s="79" t="s">
        <v>3261</v>
      </c>
      <c r="C1300" s="79">
        <v>597380408</v>
      </c>
      <c r="D1300" s="79">
        <v>0</v>
      </c>
      <c r="E1300" s="79" t="s">
        <v>1124</v>
      </c>
      <c r="F1300" s="79" t="s">
        <v>2537</v>
      </c>
      <c r="G1300" s="79" t="s">
        <v>2576</v>
      </c>
      <c r="H1300" s="79"/>
      <c r="I1300" s="79"/>
    </row>
    <row r="1301" spans="1:9" ht="14.25">
      <c r="A1301" s="79" t="s">
        <v>3262</v>
      </c>
      <c r="B1301" s="79" t="s">
        <v>3263</v>
      </c>
      <c r="C1301" s="79">
        <v>597381008</v>
      </c>
      <c r="D1301" s="79">
        <v>0</v>
      </c>
      <c r="E1301" s="79" t="s">
        <v>1124</v>
      </c>
      <c r="F1301" s="79" t="s">
        <v>2537</v>
      </c>
      <c r="G1301" s="79" t="s">
        <v>2544</v>
      </c>
      <c r="H1301" s="79" t="s">
        <v>2545</v>
      </c>
      <c r="I1301" s="79"/>
    </row>
    <row r="1302" spans="1:9" ht="14.25">
      <c r="A1302" s="79" t="s">
        <v>3262</v>
      </c>
      <c r="B1302" s="79" t="s">
        <v>3263</v>
      </c>
      <c r="C1302" s="79">
        <v>597381008</v>
      </c>
      <c r="D1302" s="79">
        <v>0</v>
      </c>
      <c r="E1302" s="79" t="s">
        <v>1124</v>
      </c>
      <c r="F1302" s="79" t="s">
        <v>2537</v>
      </c>
      <c r="G1302" s="79" t="s">
        <v>2579</v>
      </c>
      <c r="H1302" s="79"/>
      <c r="I1302" s="79"/>
    </row>
    <row r="1303" spans="1:9" ht="14.25">
      <c r="A1303" s="79" t="s">
        <v>3264</v>
      </c>
      <c r="B1303" s="79" t="s">
        <v>3265</v>
      </c>
      <c r="C1303" s="79">
        <v>597423608</v>
      </c>
      <c r="D1303" s="79">
        <v>0</v>
      </c>
      <c r="E1303" s="79" t="s">
        <v>1124</v>
      </c>
      <c r="F1303" s="79" t="s">
        <v>2537</v>
      </c>
      <c r="G1303" s="79" t="s">
        <v>1130</v>
      </c>
      <c r="H1303" s="79"/>
      <c r="I1303" s="79"/>
    </row>
    <row r="1304" spans="1:9" ht="14.25">
      <c r="A1304" s="79" t="s">
        <v>3264</v>
      </c>
      <c r="B1304" s="79" t="s">
        <v>3265</v>
      </c>
      <c r="C1304" s="79">
        <v>597423608</v>
      </c>
      <c r="D1304" s="79">
        <v>0</v>
      </c>
      <c r="E1304" s="79" t="s">
        <v>1124</v>
      </c>
      <c r="F1304" s="79" t="s">
        <v>2537</v>
      </c>
      <c r="G1304" s="79" t="s">
        <v>1131</v>
      </c>
      <c r="H1304" s="79" t="s">
        <v>1132</v>
      </c>
      <c r="I1304" s="79"/>
    </row>
    <row r="1305" spans="1:9" ht="14.25">
      <c r="A1305" s="79" t="s">
        <v>3264</v>
      </c>
      <c r="B1305" s="79" t="s">
        <v>3265</v>
      </c>
      <c r="C1305" s="79">
        <v>597423608</v>
      </c>
      <c r="D1305" s="79">
        <v>0</v>
      </c>
      <c r="E1305" s="79" t="s">
        <v>1124</v>
      </c>
      <c r="F1305" s="79" t="s">
        <v>2537</v>
      </c>
      <c r="G1305" s="79" t="s">
        <v>2576</v>
      </c>
      <c r="H1305" s="79"/>
      <c r="I1305" s="79"/>
    </row>
    <row r="1306" spans="1:9" ht="14.25">
      <c r="A1306" s="79" t="s">
        <v>3266</v>
      </c>
      <c r="B1306" s="79" t="s">
        <v>3267</v>
      </c>
      <c r="C1306" s="79">
        <v>597424208</v>
      </c>
      <c r="D1306" s="79">
        <v>0</v>
      </c>
      <c r="E1306" s="79" t="s">
        <v>1124</v>
      </c>
      <c r="F1306" s="79" t="s">
        <v>2537</v>
      </c>
      <c r="G1306" s="79" t="s">
        <v>2544</v>
      </c>
      <c r="H1306" s="79" t="s">
        <v>2545</v>
      </c>
      <c r="I1306" s="79"/>
    </row>
    <row r="1307" spans="1:9" ht="14.25">
      <c r="A1307" s="79" t="s">
        <v>3266</v>
      </c>
      <c r="B1307" s="79" t="s">
        <v>3267</v>
      </c>
      <c r="C1307" s="79">
        <v>597424208</v>
      </c>
      <c r="D1307" s="79">
        <v>0</v>
      </c>
      <c r="E1307" s="79" t="s">
        <v>1124</v>
      </c>
      <c r="F1307" s="79" t="s">
        <v>2537</v>
      </c>
      <c r="G1307" s="79" t="s">
        <v>2579</v>
      </c>
      <c r="H1307" s="79"/>
      <c r="I1307" s="79"/>
    </row>
    <row r="1308" spans="1:9" ht="14.25">
      <c r="A1308" s="79" t="s">
        <v>3268</v>
      </c>
      <c r="B1308" s="79" t="s">
        <v>3269</v>
      </c>
      <c r="C1308" s="79">
        <v>597466808</v>
      </c>
      <c r="D1308" s="79">
        <v>0</v>
      </c>
      <c r="E1308" s="79" t="s">
        <v>1124</v>
      </c>
      <c r="F1308" s="79" t="s">
        <v>2537</v>
      </c>
      <c r="G1308" s="79" t="s">
        <v>1130</v>
      </c>
      <c r="H1308" s="79"/>
      <c r="I1308" s="79"/>
    </row>
    <row r="1309" spans="1:9" ht="14.25">
      <c r="A1309" s="79" t="s">
        <v>3268</v>
      </c>
      <c r="B1309" s="79" t="s">
        <v>3269</v>
      </c>
      <c r="C1309" s="79">
        <v>597466808</v>
      </c>
      <c r="D1309" s="79">
        <v>0</v>
      </c>
      <c r="E1309" s="79" t="s">
        <v>1124</v>
      </c>
      <c r="F1309" s="79" t="s">
        <v>2537</v>
      </c>
      <c r="G1309" s="79" t="s">
        <v>1131</v>
      </c>
      <c r="H1309" s="79" t="s">
        <v>1132</v>
      </c>
      <c r="I1309" s="79"/>
    </row>
    <row r="1310" spans="1:9" ht="14.25">
      <c r="A1310" s="79" t="s">
        <v>3268</v>
      </c>
      <c r="B1310" s="79" t="s">
        <v>3269</v>
      </c>
      <c r="C1310" s="79">
        <v>597466808</v>
      </c>
      <c r="D1310" s="79">
        <v>0</v>
      </c>
      <c r="E1310" s="79" t="s">
        <v>1124</v>
      </c>
      <c r="F1310" s="79" t="s">
        <v>2537</v>
      </c>
      <c r="G1310" s="79" t="s">
        <v>2576</v>
      </c>
      <c r="H1310" s="79"/>
      <c r="I1310" s="79"/>
    </row>
    <row r="1311" spans="1:9" ht="14.25">
      <c r="A1311" s="79" t="s">
        <v>3270</v>
      </c>
      <c r="B1311" s="79" t="s">
        <v>3271</v>
      </c>
      <c r="C1311" s="79">
        <v>597467408</v>
      </c>
      <c r="D1311" s="79">
        <v>0</v>
      </c>
      <c r="E1311" s="79" t="s">
        <v>1124</v>
      </c>
      <c r="F1311" s="79" t="s">
        <v>2537</v>
      </c>
      <c r="G1311" s="79" t="s">
        <v>2544</v>
      </c>
      <c r="H1311" s="79" t="s">
        <v>2545</v>
      </c>
      <c r="I1311" s="79"/>
    </row>
    <row r="1312" spans="1:9" ht="14.25">
      <c r="A1312" s="79" t="s">
        <v>3270</v>
      </c>
      <c r="B1312" s="79" t="s">
        <v>3271</v>
      </c>
      <c r="C1312" s="79">
        <v>597467408</v>
      </c>
      <c r="D1312" s="79">
        <v>0</v>
      </c>
      <c r="E1312" s="79" t="s">
        <v>1124</v>
      </c>
      <c r="F1312" s="79" t="s">
        <v>2537</v>
      </c>
      <c r="G1312" s="79" t="s">
        <v>2579</v>
      </c>
      <c r="H1312" s="79"/>
      <c r="I1312" s="79"/>
    </row>
    <row r="1313" spans="1:9" ht="14.25">
      <c r="A1313" s="79" t="s">
        <v>3272</v>
      </c>
      <c r="B1313" s="79" t="s">
        <v>3273</v>
      </c>
      <c r="C1313" s="79">
        <v>597510008</v>
      </c>
      <c r="D1313" s="79">
        <v>0</v>
      </c>
      <c r="E1313" s="79" t="s">
        <v>1124</v>
      </c>
      <c r="F1313" s="79" t="s">
        <v>2537</v>
      </c>
      <c r="G1313" s="79" t="s">
        <v>1130</v>
      </c>
      <c r="H1313" s="79"/>
      <c r="I1313" s="79"/>
    </row>
    <row r="1314" spans="1:9" ht="14.25">
      <c r="A1314" s="79" t="s">
        <v>3272</v>
      </c>
      <c r="B1314" s="79" t="s">
        <v>3273</v>
      </c>
      <c r="C1314" s="79">
        <v>597510008</v>
      </c>
      <c r="D1314" s="79">
        <v>0</v>
      </c>
      <c r="E1314" s="79" t="s">
        <v>1124</v>
      </c>
      <c r="F1314" s="79" t="s">
        <v>2537</v>
      </c>
      <c r="G1314" s="79" t="s">
        <v>1131</v>
      </c>
      <c r="H1314" s="79" t="s">
        <v>1132</v>
      </c>
      <c r="I1314" s="79"/>
    </row>
    <row r="1315" spans="1:9" ht="14.25">
      <c r="A1315" s="79" t="s">
        <v>3272</v>
      </c>
      <c r="B1315" s="79" t="s">
        <v>3273</v>
      </c>
      <c r="C1315" s="79">
        <v>597510008</v>
      </c>
      <c r="D1315" s="79">
        <v>0</v>
      </c>
      <c r="E1315" s="79" t="s">
        <v>1124</v>
      </c>
      <c r="F1315" s="79" t="s">
        <v>2537</v>
      </c>
      <c r="G1315" s="79" t="s">
        <v>2576</v>
      </c>
      <c r="H1315" s="79"/>
      <c r="I1315" s="79"/>
    </row>
    <row r="1316" spans="1:9" ht="14.25">
      <c r="A1316" s="79" t="s">
        <v>3274</v>
      </c>
      <c r="B1316" s="79" t="s">
        <v>3275</v>
      </c>
      <c r="C1316" s="79">
        <v>597510608</v>
      </c>
      <c r="D1316" s="79">
        <v>0</v>
      </c>
      <c r="E1316" s="79" t="s">
        <v>1124</v>
      </c>
      <c r="F1316" s="79" t="s">
        <v>2537</v>
      </c>
      <c r="G1316" s="79" t="s">
        <v>2544</v>
      </c>
      <c r="H1316" s="79" t="s">
        <v>2545</v>
      </c>
      <c r="I1316" s="79"/>
    </row>
    <row r="1317" spans="1:9" ht="14.25">
      <c r="A1317" s="79" t="s">
        <v>3274</v>
      </c>
      <c r="B1317" s="79" t="s">
        <v>3275</v>
      </c>
      <c r="C1317" s="79">
        <v>597510608</v>
      </c>
      <c r="D1317" s="79">
        <v>0</v>
      </c>
      <c r="E1317" s="79" t="s">
        <v>1124</v>
      </c>
      <c r="F1317" s="79" t="s">
        <v>2537</v>
      </c>
      <c r="G1317" s="79" t="s">
        <v>2579</v>
      </c>
      <c r="H1317" s="79"/>
      <c r="I1317" s="79"/>
    </row>
    <row r="1318" spans="1:9" ht="14.25">
      <c r="A1318" s="79" t="s">
        <v>3276</v>
      </c>
      <c r="B1318" s="79" t="s">
        <v>3277</v>
      </c>
      <c r="C1318" s="79">
        <v>597553208</v>
      </c>
      <c r="D1318" s="79">
        <v>0</v>
      </c>
      <c r="E1318" s="79" t="s">
        <v>1124</v>
      </c>
      <c r="F1318" s="79" t="s">
        <v>2537</v>
      </c>
      <c r="G1318" s="79" t="s">
        <v>1130</v>
      </c>
      <c r="H1318" s="79"/>
      <c r="I1318" s="79"/>
    </row>
    <row r="1319" spans="1:9" ht="14.25">
      <c r="A1319" s="79" t="s">
        <v>3276</v>
      </c>
      <c r="B1319" s="79" t="s">
        <v>3277</v>
      </c>
      <c r="C1319" s="79">
        <v>597553208</v>
      </c>
      <c r="D1319" s="79">
        <v>0</v>
      </c>
      <c r="E1319" s="79" t="s">
        <v>1124</v>
      </c>
      <c r="F1319" s="79" t="s">
        <v>2537</v>
      </c>
      <c r="G1319" s="79" t="s">
        <v>1131</v>
      </c>
      <c r="H1319" s="79" t="s">
        <v>1132</v>
      </c>
      <c r="I1319" s="79"/>
    </row>
    <row r="1320" spans="1:9" ht="14.25">
      <c r="A1320" s="79" t="s">
        <v>3276</v>
      </c>
      <c r="B1320" s="79" t="s">
        <v>3277</v>
      </c>
      <c r="C1320" s="79">
        <v>597553208</v>
      </c>
      <c r="D1320" s="79">
        <v>0</v>
      </c>
      <c r="E1320" s="79" t="s">
        <v>1124</v>
      </c>
      <c r="F1320" s="79" t="s">
        <v>2537</v>
      </c>
      <c r="G1320" s="79" t="s">
        <v>2576</v>
      </c>
      <c r="H1320" s="79"/>
      <c r="I1320" s="79"/>
    </row>
    <row r="1321" spans="1:9" ht="14.25">
      <c r="A1321" s="79" t="s">
        <v>3278</v>
      </c>
      <c r="B1321" s="79" t="s">
        <v>3279</v>
      </c>
      <c r="C1321" s="79">
        <v>597553808</v>
      </c>
      <c r="D1321" s="79">
        <v>0</v>
      </c>
      <c r="E1321" s="79" t="s">
        <v>1124</v>
      </c>
      <c r="F1321" s="79" t="s">
        <v>2537</v>
      </c>
      <c r="G1321" s="79" t="s">
        <v>2544</v>
      </c>
      <c r="H1321" s="79" t="s">
        <v>2545</v>
      </c>
      <c r="I1321" s="79"/>
    </row>
    <row r="1322" spans="1:9" ht="14.25">
      <c r="A1322" s="79" t="s">
        <v>3278</v>
      </c>
      <c r="B1322" s="79" t="s">
        <v>3279</v>
      </c>
      <c r="C1322" s="79">
        <v>597553808</v>
      </c>
      <c r="D1322" s="79">
        <v>0</v>
      </c>
      <c r="E1322" s="79" t="s">
        <v>1124</v>
      </c>
      <c r="F1322" s="79" t="s">
        <v>2537</v>
      </c>
      <c r="G1322" s="79" t="s">
        <v>2579</v>
      </c>
      <c r="H1322" s="79"/>
      <c r="I1322" s="79"/>
    </row>
    <row r="1323" spans="1:9" ht="14.25">
      <c r="A1323" s="79" t="s">
        <v>3280</v>
      </c>
      <c r="B1323" s="79" t="s">
        <v>3281</v>
      </c>
      <c r="C1323" s="79">
        <v>597596408</v>
      </c>
      <c r="D1323" s="79">
        <v>0</v>
      </c>
      <c r="E1323" s="79" t="s">
        <v>1124</v>
      </c>
      <c r="F1323" s="79" t="s">
        <v>2537</v>
      </c>
      <c r="G1323" s="79" t="s">
        <v>1130</v>
      </c>
      <c r="H1323" s="79"/>
      <c r="I1323" s="79"/>
    </row>
    <row r="1324" spans="1:9" ht="14.25">
      <c r="A1324" s="79" t="s">
        <v>3280</v>
      </c>
      <c r="B1324" s="79" t="s">
        <v>3281</v>
      </c>
      <c r="C1324" s="79">
        <v>597596408</v>
      </c>
      <c r="D1324" s="79">
        <v>0</v>
      </c>
      <c r="E1324" s="79" t="s">
        <v>1124</v>
      </c>
      <c r="F1324" s="79" t="s">
        <v>2537</v>
      </c>
      <c r="G1324" s="79" t="s">
        <v>1131</v>
      </c>
      <c r="H1324" s="79" t="s">
        <v>1132</v>
      </c>
      <c r="I1324" s="79"/>
    </row>
    <row r="1325" spans="1:9" ht="14.25">
      <c r="A1325" s="79" t="s">
        <v>3280</v>
      </c>
      <c r="B1325" s="79" t="s">
        <v>3281</v>
      </c>
      <c r="C1325" s="79">
        <v>597596408</v>
      </c>
      <c r="D1325" s="79">
        <v>0</v>
      </c>
      <c r="E1325" s="79" t="s">
        <v>1124</v>
      </c>
      <c r="F1325" s="79" t="s">
        <v>2537</v>
      </c>
      <c r="G1325" s="79" t="s">
        <v>2576</v>
      </c>
      <c r="H1325" s="79"/>
      <c r="I1325" s="79"/>
    </row>
    <row r="1326" spans="1:9" ht="14.25">
      <c r="A1326" s="79" t="s">
        <v>3282</v>
      </c>
      <c r="B1326" s="79" t="s">
        <v>3283</v>
      </c>
      <c r="C1326" s="79">
        <v>597597008</v>
      </c>
      <c r="D1326" s="79">
        <v>0</v>
      </c>
      <c r="E1326" s="79" t="s">
        <v>1124</v>
      </c>
      <c r="F1326" s="79" t="s">
        <v>2537</v>
      </c>
      <c r="G1326" s="79" t="s">
        <v>2544</v>
      </c>
      <c r="H1326" s="79" t="s">
        <v>2545</v>
      </c>
      <c r="I1326" s="79"/>
    </row>
    <row r="1327" spans="1:9" ht="14.25">
      <c r="A1327" s="79" t="s">
        <v>3282</v>
      </c>
      <c r="B1327" s="79" t="s">
        <v>3283</v>
      </c>
      <c r="C1327" s="79">
        <v>597597008</v>
      </c>
      <c r="D1327" s="79">
        <v>0</v>
      </c>
      <c r="E1327" s="79" t="s">
        <v>1124</v>
      </c>
      <c r="F1327" s="79" t="s">
        <v>2537</v>
      </c>
      <c r="G1327" s="79" t="s">
        <v>2579</v>
      </c>
      <c r="H1327" s="79"/>
      <c r="I1327" s="79"/>
    </row>
    <row r="1328" spans="1:9" ht="14.25">
      <c r="A1328" s="79" t="s">
        <v>3284</v>
      </c>
      <c r="B1328" s="79" t="s">
        <v>3285</v>
      </c>
      <c r="C1328" s="79">
        <v>597639608</v>
      </c>
      <c r="D1328" s="79">
        <v>0</v>
      </c>
      <c r="E1328" s="79" t="s">
        <v>1124</v>
      </c>
      <c r="F1328" s="79" t="s">
        <v>2537</v>
      </c>
      <c r="G1328" s="79" t="s">
        <v>1130</v>
      </c>
      <c r="H1328" s="79"/>
      <c r="I1328" s="79"/>
    </row>
    <row r="1329" spans="1:9" ht="14.25">
      <c r="A1329" s="79" t="s">
        <v>3284</v>
      </c>
      <c r="B1329" s="79" t="s">
        <v>3285</v>
      </c>
      <c r="C1329" s="79">
        <v>597639608</v>
      </c>
      <c r="D1329" s="79">
        <v>0</v>
      </c>
      <c r="E1329" s="79" t="s">
        <v>1124</v>
      </c>
      <c r="F1329" s="79" t="s">
        <v>2537</v>
      </c>
      <c r="G1329" s="79" t="s">
        <v>1131</v>
      </c>
      <c r="H1329" s="79" t="s">
        <v>1132</v>
      </c>
      <c r="I1329" s="79"/>
    </row>
    <row r="1330" spans="1:9" ht="14.25">
      <c r="A1330" s="79" t="s">
        <v>3284</v>
      </c>
      <c r="B1330" s="79" t="s">
        <v>3285</v>
      </c>
      <c r="C1330" s="79">
        <v>597639608</v>
      </c>
      <c r="D1330" s="79">
        <v>0</v>
      </c>
      <c r="E1330" s="79" t="s">
        <v>1124</v>
      </c>
      <c r="F1330" s="79" t="s">
        <v>2537</v>
      </c>
      <c r="G1330" s="79" t="s">
        <v>2576</v>
      </c>
      <c r="H1330" s="79"/>
      <c r="I1330" s="79"/>
    </row>
    <row r="1331" spans="1:9" ht="14.25">
      <c r="A1331" s="79" t="s">
        <v>3286</v>
      </c>
      <c r="B1331" s="79" t="s">
        <v>3287</v>
      </c>
      <c r="C1331" s="79">
        <v>597640208</v>
      </c>
      <c r="D1331" s="79">
        <v>0</v>
      </c>
      <c r="E1331" s="79" t="s">
        <v>1124</v>
      </c>
      <c r="F1331" s="79" t="s">
        <v>2537</v>
      </c>
      <c r="G1331" s="79" t="s">
        <v>2544</v>
      </c>
      <c r="H1331" s="79" t="s">
        <v>2545</v>
      </c>
      <c r="I1331" s="79"/>
    </row>
    <row r="1332" spans="1:9" ht="14.25">
      <c r="A1332" s="79" t="s">
        <v>3286</v>
      </c>
      <c r="B1332" s="79" t="s">
        <v>3287</v>
      </c>
      <c r="C1332" s="79">
        <v>597640208</v>
      </c>
      <c r="D1332" s="79">
        <v>0</v>
      </c>
      <c r="E1332" s="79" t="s">
        <v>1124</v>
      </c>
      <c r="F1332" s="79" t="s">
        <v>2537</v>
      </c>
      <c r="G1332" s="79" t="s">
        <v>2579</v>
      </c>
      <c r="H1332" s="79"/>
      <c r="I1332" s="79"/>
    </row>
    <row r="1333" spans="1:9" ht="14.25">
      <c r="A1333" s="79" t="s">
        <v>3288</v>
      </c>
      <c r="B1333" s="79" t="s">
        <v>3289</v>
      </c>
      <c r="C1333" s="79">
        <v>597682808</v>
      </c>
      <c r="D1333" s="79">
        <v>0</v>
      </c>
      <c r="E1333" s="79" t="s">
        <v>1124</v>
      </c>
      <c r="F1333" s="79" t="s">
        <v>2537</v>
      </c>
      <c r="G1333" s="79" t="s">
        <v>1130</v>
      </c>
      <c r="H1333" s="79"/>
      <c r="I1333" s="79"/>
    </row>
    <row r="1334" spans="1:9" ht="14.25">
      <c r="A1334" s="79" t="s">
        <v>3288</v>
      </c>
      <c r="B1334" s="79" t="s">
        <v>3289</v>
      </c>
      <c r="C1334" s="79">
        <v>597682808</v>
      </c>
      <c r="D1334" s="79">
        <v>0</v>
      </c>
      <c r="E1334" s="79" t="s">
        <v>1124</v>
      </c>
      <c r="F1334" s="79" t="s">
        <v>2537</v>
      </c>
      <c r="G1334" s="79" t="s">
        <v>1131</v>
      </c>
      <c r="H1334" s="79" t="s">
        <v>1132</v>
      </c>
      <c r="I1334" s="79"/>
    </row>
    <row r="1335" spans="1:9" ht="14.25">
      <c r="A1335" s="79" t="s">
        <v>3288</v>
      </c>
      <c r="B1335" s="79" t="s">
        <v>3289</v>
      </c>
      <c r="C1335" s="79">
        <v>597682808</v>
      </c>
      <c r="D1335" s="79">
        <v>0</v>
      </c>
      <c r="E1335" s="79" t="s">
        <v>1124</v>
      </c>
      <c r="F1335" s="79" t="s">
        <v>2537</v>
      </c>
      <c r="G1335" s="79" t="s">
        <v>2576</v>
      </c>
      <c r="H1335" s="79"/>
      <c r="I1335" s="79"/>
    </row>
    <row r="1336" spans="1:9" ht="14.25">
      <c r="A1336" s="79" t="s">
        <v>3290</v>
      </c>
      <c r="B1336" s="79" t="s">
        <v>3291</v>
      </c>
      <c r="C1336" s="79">
        <v>597683408</v>
      </c>
      <c r="D1336" s="79">
        <v>0</v>
      </c>
      <c r="E1336" s="79" t="s">
        <v>1124</v>
      </c>
      <c r="F1336" s="79" t="s">
        <v>2537</v>
      </c>
      <c r="G1336" s="79" t="s">
        <v>2544</v>
      </c>
      <c r="H1336" s="79" t="s">
        <v>2545</v>
      </c>
      <c r="I1336" s="79"/>
    </row>
    <row r="1337" spans="1:9" ht="14.25">
      <c r="A1337" s="79" t="s">
        <v>3290</v>
      </c>
      <c r="B1337" s="79" t="s">
        <v>3291</v>
      </c>
      <c r="C1337" s="79">
        <v>597683408</v>
      </c>
      <c r="D1337" s="79">
        <v>0</v>
      </c>
      <c r="E1337" s="79" t="s">
        <v>1124</v>
      </c>
      <c r="F1337" s="79" t="s">
        <v>2537</v>
      </c>
      <c r="G1337" s="79" t="s">
        <v>2579</v>
      </c>
      <c r="H1337" s="79"/>
      <c r="I1337" s="79"/>
    </row>
    <row r="1338" spans="1:9" ht="14.25">
      <c r="A1338" s="79" t="s">
        <v>3292</v>
      </c>
      <c r="B1338" s="79" t="s">
        <v>3293</v>
      </c>
      <c r="C1338" s="79">
        <v>597726008</v>
      </c>
      <c r="D1338" s="79">
        <v>0</v>
      </c>
      <c r="E1338" s="79" t="s">
        <v>1124</v>
      </c>
      <c r="F1338" s="79" t="s">
        <v>2537</v>
      </c>
      <c r="G1338" s="79" t="s">
        <v>1130</v>
      </c>
      <c r="H1338" s="79"/>
      <c r="I1338" s="79"/>
    </row>
    <row r="1339" spans="1:9" ht="14.25">
      <c r="A1339" s="79" t="s">
        <v>3292</v>
      </c>
      <c r="B1339" s="79" t="s">
        <v>3293</v>
      </c>
      <c r="C1339" s="79">
        <v>597726008</v>
      </c>
      <c r="D1339" s="79">
        <v>0</v>
      </c>
      <c r="E1339" s="79" t="s">
        <v>1124</v>
      </c>
      <c r="F1339" s="79" t="s">
        <v>2537</v>
      </c>
      <c r="G1339" s="79" t="s">
        <v>1131</v>
      </c>
      <c r="H1339" s="79" t="s">
        <v>1132</v>
      </c>
      <c r="I1339" s="79"/>
    </row>
    <row r="1340" spans="1:9" ht="14.25">
      <c r="A1340" s="79" t="s">
        <v>3292</v>
      </c>
      <c r="B1340" s="79" t="s">
        <v>3293</v>
      </c>
      <c r="C1340" s="79">
        <v>597726008</v>
      </c>
      <c r="D1340" s="79">
        <v>0</v>
      </c>
      <c r="E1340" s="79" t="s">
        <v>1124</v>
      </c>
      <c r="F1340" s="79" t="s">
        <v>2537</v>
      </c>
      <c r="G1340" s="79" t="s">
        <v>2576</v>
      </c>
      <c r="H1340" s="79"/>
      <c r="I1340" s="79"/>
    </row>
    <row r="1341" spans="1:9" ht="14.25">
      <c r="A1341" s="79" t="s">
        <v>3294</v>
      </c>
      <c r="B1341" s="79" t="s">
        <v>3295</v>
      </c>
      <c r="C1341" s="79">
        <v>597726608</v>
      </c>
      <c r="D1341" s="79">
        <v>0</v>
      </c>
      <c r="E1341" s="79" t="s">
        <v>1124</v>
      </c>
      <c r="F1341" s="79" t="s">
        <v>2537</v>
      </c>
      <c r="G1341" s="79" t="s">
        <v>2544</v>
      </c>
      <c r="H1341" s="79" t="s">
        <v>2545</v>
      </c>
      <c r="I1341" s="79"/>
    </row>
    <row r="1342" spans="1:9" ht="14.25">
      <c r="A1342" s="79" t="s">
        <v>3294</v>
      </c>
      <c r="B1342" s="79" t="s">
        <v>3295</v>
      </c>
      <c r="C1342" s="79">
        <v>597726608</v>
      </c>
      <c r="D1342" s="79">
        <v>0</v>
      </c>
      <c r="E1342" s="79" t="s">
        <v>1124</v>
      </c>
      <c r="F1342" s="79" t="s">
        <v>2537</v>
      </c>
      <c r="G1342" s="79" t="s">
        <v>2579</v>
      </c>
      <c r="H1342" s="79"/>
      <c r="I1342" s="79"/>
    </row>
    <row r="1343" spans="1:9" ht="14.25">
      <c r="A1343" s="79" t="s">
        <v>3296</v>
      </c>
      <c r="B1343" s="79" t="s">
        <v>3297</v>
      </c>
      <c r="C1343" s="79">
        <v>597769208</v>
      </c>
      <c r="D1343" s="79">
        <v>0</v>
      </c>
      <c r="E1343" s="79" t="s">
        <v>1124</v>
      </c>
      <c r="F1343" s="79" t="s">
        <v>2537</v>
      </c>
      <c r="G1343" s="79" t="s">
        <v>1130</v>
      </c>
      <c r="H1343" s="79"/>
      <c r="I1343" s="79"/>
    </row>
    <row r="1344" spans="1:9" ht="14.25">
      <c r="A1344" s="79" t="s">
        <v>3296</v>
      </c>
      <c r="B1344" s="79" t="s">
        <v>3297</v>
      </c>
      <c r="C1344" s="79">
        <v>597769208</v>
      </c>
      <c r="D1344" s="79">
        <v>0</v>
      </c>
      <c r="E1344" s="79" t="s">
        <v>1124</v>
      </c>
      <c r="F1344" s="79" t="s">
        <v>2537</v>
      </c>
      <c r="G1344" s="79" t="s">
        <v>1131</v>
      </c>
      <c r="H1344" s="79" t="s">
        <v>1132</v>
      </c>
      <c r="I1344" s="79"/>
    </row>
    <row r="1345" spans="1:9" ht="14.25">
      <c r="A1345" s="79" t="s">
        <v>3296</v>
      </c>
      <c r="B1345" s="79" t="s">
        <v>3297</v>
      </c>
      <c r="C1345" s="79">
        <v>597769208</v>
      </c>
      <c r="D1345" s="79">
        <v>0</v>
      </c>
      <c r="E1345" s="79" t="s">
        <v>1124</v>
      </c>
      <c r="F1345" s="79" t="s">
        <v>2537</v>
      </c>
      <c r="G1345" s="79" t="s">
        <v>2576</v>
      </c>
      <c r="H1345" s="79"/>
      <c r="I1345" s="79"/>
    </row>
    <row r="1346" spans="1:9" ht="14.25">
      <c r="A1346" s="79" t="s">
        <v>3298</v>
      </c>
      <c r="B1346" s="79" t="s">
        <v>3299</v>
      </c>
      <c r="C1346" s="79">
        <v>597769808</v>
      </c>
      <c r="D1346" s="79">
        <v>0</v>
      </c>
      <c r="E1346" s="79" t="s">
        <v>1124</v>
      </c>
      <c r="F1346" s="79" t="s">
        <v>2537</v>
      </c>
      <c r="G1346" s="79" t="s">
        <v>2544</v>
      </c>
      <c r="H1346" s="79" t="s">
        <v>2545</v>
      </c>
      <c r="I1346" s="79"/>
    </row>
    <row r="1347" spans="1:9" ht="14.25">
      <c r="A1347" s="79" t="s">
        <v>3298</v>
      </c>
      <c r="B1347" s="79" t="s">
        <v>3299</v>
      </c>
      <c r="C1347" s="79">
        <v>597769808</v>
      </c>
      <c r="D1347" s="79">
        <v>0</v>
      </c>
      <c r="E1347" s="79" t="s">
        <v>1124</v>
      </c>
      <c r="F1347" s="79" t="s">
        <v>2537</v>
      </c>
      <c r="G1347" s="79" t="s">
        <v>2579</v>
      </c>
      <c r="H1347" s="79"/>
      <c r="I1347" s="79"/>
    </row>
    <row r="1348" spans="1:9" ht="14.25">
      <c r="A1348" s="79" t="s">
        <v>3300</v>
      </c>
      <c r="B1348" s="79" t="s">
        <v>3301</v>
      </c>
      <c r="C1348" s="79">
        <v>597812408</v>
      </c>
      <c r="D1348" s="79">
        <v>0</v>
      </c>
      <c r="E1348" s="79" t="s">
        <v>1124</v>
      </c>
      <c r="F1348" s="79" t="s">
        <v>2537</v>
      </c>
      <c r="G1348" s="79" t="s">
        <v>1130</v>
      </c>
      <c r="H1348" s="79"/>
      <c r="I1348" s="79"/>
    </row>
    <row r="1349" spans="1:9" ht="14.25">
      <c r="A1349" s="79" t="s">
        <v>3300</v>
      </c>
      <c r="B1349" s="79" t="s">
        <v>3301</v>
      </c>
      <c r="C1349" s="79">
        <v>597812408</v>
      </c>
      <c r="D1349" s="79">
        <v>0</v>
      </c>
      <c r="E1349" s="79" t="s">
        <v>1124</v>
      </c>
      <c r="F1349" s="79" t="s">
        <v>2537</v>
      </c>
      <c r="G1349" s="79" t="s">
        <v>1131</v>
      </c>
      <c r="H1349" s="79" t="s">
        <v>1132</v>
      </c>
      <c r="I1349" s="79"/>
    </row>
    <row r="1350" spans="1:9" ht="14.25">
      <c r="A1350" s="79" t="s">
        <v>3300</v>
      </c>
      <c r="B1350" s="79" t="s">
        <v>3301</v>
      </c>
      <c r="C1350" s="79">
        <v>597812408</v>
      </c>
      <c r="D1350" s="79">
        <v>0</v>
      </c>
      <c r="E1350" s="79" t="s">
        <v>1124</v>
      </c>
      <c r="F1350" s="79" t="s">
        <v>2537</v>
      </c>
      <c r="G1350" s="79" t="s">
        <v>2576</v>
      </c>
      <c r="H1350" s="79"/>
      <c r="I1350" s="79"/>
    </row>
    <row r="1351" spans="1:9" ht="14.25">
      <c r="A1351" s="79" t="s">
        <v>3302</v>
      </c>
      <c r="B1351" s="79" t="s">
        <v>3303</v>
      </c>
      <c r="C1351" s="79">
        <v>597813008</v>
      </c>
      <c r="D1351" s="79">
        <v>0</v>
      </c>
      <c r="E1351" s="79" t="s">
        <v>1124</v>
      </c>
      <c r="F1351" s="79" t="s">
        <v>2537</v>
      </c>
      <c r="G1351" s="79" t="s">
        <v>2544</v>
      </c>
      <c r="H1351" s="79" t="s">
        <v>2545</v>
      </c>
      <c r="I1351" s="79"/>
    </row>
    <row r="1352" spans="1:9" ht="14.25">
      <c r="A1352" s="79" t="s">
        <v>3302</v>
      </c>
      <c r="B1352" s="79" t="s">
        <v>3303</v>
      </c>
      <c r="C1352" s="79">
        <v>597813008</v>
      </c>
      <c r="D1352" s="79">
        <v>0</v>
      </c>
      <c r="E1352" s="79" t="s">
        <v>1124</v>
      </c>
      <c r="F1352" s="79" t="s">
        <v>2537</v>
      </c>
      <c r="G1352" s="79" t="s">
        <v>2579</v>
      </c>
      <c r="H1352" s="79"/>
      <c r="I1352" s="79"/>
    </row>
    <row r="1353" spans="1:9" ht="14.25">
      <c r="A1353" s="79" t="s">
        <v>3304</v>
      </c>
      <c r="B1353" s="79" t="s">
        <v>3305</v>
      </c>
      <c r="C1353" s="79">
        <v>597855608</v>
      </c>
      <c r="D1353" s="79">
        <v>0</v>
      </c>
      <c r="E1353" s="79" t="s">
        <v>1124</v>
      </c>
      <c r="F1353" s="79" t="s">
        <v>2537</v>
      </c>
      <c r="G1353" s="79" t="s">
        <v>1130</v>
      </c>
      <c r="H1353" s="79"/>
      <c r="I1353" s="79"/>
    </row>
    <row r="1354" spans="1:9" ht="14.25">
      <c r="A1354" s="79" t="s">
        <v>3304</v>
      </c>
      <c r="B1354" s="79" t="s">
        <v>3305</v>
      </c>
      <c r="C1354" s="79">
        <v>597855608</v>
      </c>
      <c r="D1354" s="79">
        <v>0</v>
      </c>
      <c r="E1354" s="79" t="s">
        <v>1124</v>
      </c>
      <c r="F1354" s="79" t="s">
        <v>2537</v>
      </c>
      <c r="G1354" s="79" t="s">
        <v>1131</v>
      </c>
      <c r="H1354" s="79" t="s">
        <v>1132</v>
      </c>
      <c r="I1354" s="79"/>
    </row>
    <row r="1355" spans="1:9" ht="14.25">
      <c r="A1355" s="79" t="s">
        <v>3304</v>
      </c>
      <c r="B1355" s="79" t="s">
        <v>3305</v>
      </c>
      <c r="C1355" s="79">
        <v>597855608</v>
      </c>
      <c r="D1355" s="79">
        <v>0</v>
      </c>
      <c r="E1355" s="79" t="s">
        <v>1124</v>
      </c>
      <c r="F1355" s="79" t="s">
        <v>2537</v>
      </c>
      <c r="G1355" s="79" t="s">
        <v>2576</v>
      </c>
      <c r="H1355" s="79"/>
      <c r="I1355" s="79"/>
    </row>
    <row r="1356" spans="1:9" ht="14.25">
      <c r="A1356" s="79" t="s">
        <v>3306</v>
      </c>
      <c r="B1356" s="79" t="s">
        <v>3307</v>
      </c>
      <c r="C1356" s="79">
        <v>597856208</v>
      </c>
      <c r="D1356" s="79">
        <v>0</v>
      </c>
      <c r="E1356" s="79" t="s">
        <v>1124</v>
      </c>
      <c r="F1356" s="79" t="s">
        <v>2537</v>
      </c>
      <c r="G1356" s="79" t="s">
        <v>2544</v>
      </c>
      <c r="H1356" s="79" t="s">
        <v>2545</v>
      </c>
      <c r="I1356" s="79"/>
    </row>
    <row r="1357" spans="1:9" ht="14.25">
      <c r="A1357" s="79" t="s">
        <v>3306</v>
      </c>
      <c r="B1357" s="79" t="s">
        <v>3307</v>
      </c>
      <c r="C1357" s="79">
        <v>597856208</v>
      </c>
      <c r="D1357" s="79">
        <v>0</v>
      </c>
      <c r="E1357" s="79" t="s">
        <v>1124</v>
      </c>
      <c r="F1357" s="79" t="s">
        <v>2537</v>
      </c>
      <c r="G1357" s="79" t="s">
        <v>2579</v>
      </c>
      <c r="H1357" s="79"/>
      <c r="I1357" s="79"/>
    </row>
    <row r="1358" spans="1:9" ht="14.25">
      <c r="A1358" s="79" t="s">
        <v>3308</v>
      </c>
      <c r="B1358" s="79" t="s">
        <v>3309</v>
      </c>
      <c r="C1358" s="79">
        <v>597898808</v>
      </c>
      <c r="D1358" s="79">
        <v>0</v>
      </c>
      <c r="E1358" s="79" t="s">
        <v>1124</v>
      </c>
      <c r="F1358" s="79" t="s">
        <v>2537</v>
      </c>
      <c r="G1358" s="79" t="s">
        <v>1130</v>
      </c>
      <c r="H1358" s="79"/>
      <c r="I1358" s="79"/>
    </row>
    <row r="1359" spans="1:9" ht="14.25">
      <c r="A1359" s="79" t="s">
        <v>3308</v>
      </c>
      <c r="B1359" s="79" t="s">
        <v>3309</v>
      </c>
      <c r="C1359" s="79">
        <v>597898808</v>
      </c>
      <c r="D1359" s="79">
        <v>0</v>
      </c>
      <c r="E1359" s="79" t="s">
        <v>1124</v>
      </c>
      <c r="F1359" s="79" t="s">
        <v>2537</v>
      </c>
      <c r="G1359" s="79" t="s">
        <v>1131</v>
      </c>
      <c r="H1359" s="79" t="s">
        <v>1132</v>
      </c>
      <c r="I1359" s="79"/>
    </row>
    <row r="1360" spans="1:9" ht="14.25">
      <c r="A1360" s="79" t="s">
        <v>3308</v>
      </c>
      <c r="B1360" s="79" t="s">
        <v>3309</v>
      </c>
      <c r="C1360" s="79">
        <v>597898808</v>
      </c>
      <c r="D1360" s="79">
        <v>0</v>
      </c>
      <c r="E1360" s="79" t="s">
        <v>1124</v>
      </c>
      <c r="F1360" s="79" t="s">
        <v>2537</v>
      </c>
      <c r="G1360" s="79" t="s">
        <v>2576</v>
      </c>
      <c r="H1360" s="79"/>
      <c r="I1360" s="79"/>
    </row>
    <row r="1361" spans="1:9" ht="14.25">
      <c r="A1361" s="79" t="s">
        <v>3310</v>
      </c>
      <c r="B1361" s="79" t="s">
        <v>3311</v>
      </c>
      <c r="C1361" s="79">
        <v>597899408</v>
      </c>
      <c r="D1361" s="79">
        <v>0</v>
      </c>
      <c r="E1361" s="79" t="s">
        <v>1124</v>
      </c>
      <c r="F1361" s="79" t="s">
        <v>2537</v>
      </c>
      <c r="G1361" s="79" t="s">
        <v>2544</v>
      </c>
      <c r="H1361" s="79" t="s">
        <v>2545</v>
      </c>
      <c r="I1361" s="79"/>
    </row>
    <row r="1362" spans="1:9" ht="14.25">
      <c r="A1362" s="79" t="s">
        <v>3310</v>
      </c>
      <c r="B1362" s="79" t="s">
        <v>3311</v>
      </c>
      <c r="C1362" s="79">
        <v>597899408</v>
      </c>
      <c r="D1362" s="79">
        <v>0</v>
      </c>
      <c r="E1362" s="79" t="s">
        <v>1124</v>
      </c>
      <c r="F1362" s="79" t="s">
        <v>2537</v>
      </c>
      <c r="G1362" s="79" t="s">
        <v>2579</v>
      </c>
      <c r="H1362" s="79"/>
      <c r="I1362" s="79"/>
    </row>
    <row r="1363" spans="1:9" ht="14.25">
      <c r="A1363" s="79" t="s">
        <v>3312</v>
      </c>
      <c r="B1363" s="79" t="s">
        <v>3313</v>
      </c>
      <c r="C1363" s="79">
        <v>597942008</v>
      </c>
      <c r="D1363" s="79">
        <v>0</v>
      </c>
      <c r="E1363" s="79" t="s">
        <v>1124</v>
      </c>
      <c r="F1363" s="79" t="s">
        <v>2537</v>
      </c>
      <c r="G1363" s="79" t="s">
        <v>1130</v>
      </c>
      <c r="H1363" s="79"/>
      <c r="I1363" s="79"/>
    </row>
    <row r="1364" spans="1:9" ht="14.25">
      <c r="A1364" s="79" t="s">
        <v>3312</v>
      </c>
      <c r="B1364" s="79" t="s">
        <v>3313</v>
      </c>
      <c r="C1364" s="79">
        <v>597942008</v>
      </c>
      <c r="D1364" s="79">
        <v>0</v>
      </c>
      <c r="E1364" s="79" t="s">
        <v>1124</v>
      </c>
      <c r="F1364" s="79" t="s">
        <v>2537</v>
      </c>
      <c r="G1364" s="79" t="s">
        <v>1131</v>
      </c>
      <c r="H1364" s="79" t="s">
        <v>1132</v>
      </c>
      <c r="I1364" s="79"/>
    </row>
    <row r="1365" spans="1:9" ht="14.25">
      <c r="A1365" s="79" t="s">
        <v>3312</v>
      </c>
      <c r="B1365" s="79" t="s">
        <v>3313</v>
      </c>
      <c r="C1365" s="79">
        <v>597942008</v>
      </c>
      <c r="D1365" s="79">
        <v>0</v>
      </c>
      <c r="E1365" s="79" t="s">
        <v>1124</v>
      </c>
      <c r="F1365" s="79" t="s">
        <v>2537</v>
      </c>
      <c r="G1365" s="79" t="s">
        <v>2576</v>
      </c>
      <c r="H1365" s="79"/>
      <c r="I1365" s="79"/>
    </row>
    <row r="1366" spans="1:9" ht="14.25">
      <c r="A1366" s="79" t="s">
        <v>3314</v>
      </c>
      <c r="B1366" s="79" t="s">
        <v>3315</v>
      </c>
      <c r="C1366" s="79">
        <v>597942608</v>
      </c>
      <c r="D1366" s="79">
        <v>0</v>
      </c>
      <c r="E1366" s="79" t="s">
        <v>1124</v>
      </c>
      <c r="F1366" s="79" t="s">
        <v>2537</v>
      </c>
      <c r="G1366" s="79" t="s">
        <v>2544</v>
      </c>
      <c r="H1366" s="79" t="s">
        <v>2545</v>
      </c>
      <c r="I1366" s="79"/>
    </row>
    <row r="1367" spans="1:9" ht="14.25">
      <c r="A1367" s="79" t="s">
        <v>3314</v>
      </c>
      <c r="B1367" s="79" t="s">
        <v>3315</v>
      </c>
      <c r="C1367" s="79">
        <v>597942608</v>
      </c>
      <c r="D1367" s="79">
        <v>0</v>
      </c>
      <c r="E1367" s="79" t="s">
        <v>1124</v>
      </c>
      <c r="F1367" s="79" t="s">
        <v>2537</v>
      </c>
      <c r="G1367" s="79" t="s">
        <v>2579</v>
      </c>
      <c r="H1367" s="79"/>
      <c r="I1367" s="79"/>
    </row>
    <row r="1368" spans="1:9" ht="14.25">
      <c r="A1368" s="79" t="s">
        <v>3316</v>
      </c>
      <c r="B1368" s="79" t="s">
        <v>3317</v>
      </c>
      <c r="C1368" s="79">
        <v>597985208</v>
      </c>
      <c r="D1368" s="79">
        <v>0</v>
      </c>
      <c r="E1368" s="79" t="s">
        <v>1124</v>
      </c>
      <c r="F1368" s="79" t="s">
        <v>2537</v>
      </c>
      <c r="G1368" s="79" t="s">
        <v>1130</v>
      </c>
      <c r="H1368" s="79"/>
      <c r="I1368" s="79"/>
    </row>
    <row r="1369" spans="1:9" ht="14.25">
      <c r="A1369" s="79" t="s">
        <v>3316</v>
      </c>
      <c r="B1369" s="79" t="s">
        <v>3317</v>
      </c>
      <c r="C1369" s="79">
        <v>597985208</v>
      </c>
      <c r="D1369" s="79">
        <v>0</v>
      </c>
      <c r="E1369" s="79" t="s">
        <v>1124</v>
      </c>
      <c r="F1369" s="79" t="s">
        <v>2537</v>
      </c>
      <c r="G1369" s="79" t="s">
        <v>1131</v>
      </c>
      <c r="H1369" s="79" t="s">
        <v>1132</v>
      </c>
      <c r="I1369" s="79"/>
    </row>
    <row r="1370" spans="1:9" ht="14.25">
      <c r="A1370" s="79" t="s">
        <v>3316</v>
      </c>
      <c r="B1370" s="79" t="s">
        <v>3317</v>
      </c>
      <c r="C1370" s="79">
        <v>597985208</v>
      </c>
      <c r="D1370" s="79">
        <v>0</v>
      </c>
      <c r="E1370" s="79" t="s">
        <v>1124</v>
      </c>
      <c r="F1370" s="79" t="s">
        <v>2537</v>
      </c>
      <c r="G1370" s="79" t="s">
        <v>2576</v>
      </c>
      <c r="H1370" s="79"/>
      <c r="I1370" s="79"/>
    </row>
    <row r="1371" spans="1:9" ht="14.25">
      <c r="A1371" s="79" t="s">
        <v>3318</v>
      </c>
      <c r="B1371" s="79" t="s">
        <v>3319</v>
      </c>
      <c r="C1371" s="79">
        <v>597985808</v>
      </c>
      <c r="D1371" s="79">
        <v>0</v>
      </c>
      <c r="E1371" s="79" t="s">
        <v>1124</v>
      </c>
      <c r="F1371" s="79" t="s">
        <v>2537</v>
      </c>
      <c r="G1371" s="79" t="s">
        <v>2544</v>
      </c>
      <c r="H1371" s="79" t="s">
        <v>2545</v>
      </c>
      <c r="I1371" s="79"/>
    </row>
    <row r="1372" spans="1:9" ht="14.25">
      <c r="A1372" s="79" t="s">
        <v>3318</v>
      </c>
      <c r="B1372" s="79" t="s">
        <v>3319</v>
      </c>
      <c r="C1372" s="79">
        <v>597985808</v>
      </c>
      <c r="D1372" s="79">
        <v>0</v>
      </c>
      <c r="E1372" s="79" t="s">
        <v>1124</v>
      </c>
      <c r="F1372" s="79" t="s">
        <v>2537</v>
      </c>
      <c r="G1372" s="79" t="s">
        <v>2579</v>
      </c>
      <c r="H1372" s="79"/>
      <c r="I1372" s="79"/>
    </row>
    <row r="1373" spans="1:9" ht="14.25">
      <c r="A1373" s="79" t="s">
        <v>3320</v>
      </c>
      <c r="B1373" s="79" t="s">
        <v>3321</v>
      </c>
      <c r="C1373" s="79">
        <v>598028408</v>
      </c>
      <c r="D1373" s="79">
        <v>0</v>
      </c>
      <c r="E1373" s="79" t="s">
        <v>1124</v>
      </c>
      <c r="F1373" s="79" t="s">
        <v>2537</v>
      </c>
      <c r="G1373" s="79" t="s">
        <v>1130</v>
      </c>
      <c r="H1373" s="79"/>
      <c r="I1373" s="79"/>
    </row>
    <row r="1374" spans="1:9" ht="14.25">
      <c r="A1374" s="79" t="s">
        <v>3320</v>
      </c>
      <c r="B1374" s="79" t="s">
        <v>3321</v>
      </c>
      <c r="C1374" s="79">
        <v>598028408</v>
      </c>
      <c r="D1374" s="79">
        <v>0</v>
      </c>
      <c r="E1374" s="79" t="s">
        <v>1124</v>
      </c>
      <c r="F1374" s="79" t="s">
        <v>2537</v>
      </c>
      <c r="G1374" s="79" t="s">
        <v>1131</v>
      </c>
      <c r="H1374" s="79" t="s">
        <v>1132</v>
      </c>
      <c r="I1374" s="79"/>
    </row>
    <row r="1375" spans="1:9" ht="14.25">
      <c r="A1375" s="79" t="s">
        <v>3320</v>
      </c>
      <c r="B1375" s="79" t="s">
        <v>3321</v>
      </c>
      <c r="C1375" s="79">
        <v>598028408</v>
      </c>
      <c r="D1375" s="79">
        <v>0</v>
      </c>
      <c r="E1375" s="79" t="s">
        <v>1124</v>
      </c>
      <c r="F1375" s="79" t="s">
        <v>2537</v>
      </c>
      <c r="G1375" s="79" t="s">
        <v>2576</v>
      </c>
      <c r="H1375" s="79"/>
      <c r="I1375" s="79"/>
    </row>
    <row r="1376" spans="1:9" ht="14.25">
      <c r="A1376" s="79" t="s">
        <v>3322</v>
      </c>
      <c r="B1376" s="79" t="s">
        <v>3323</v>
      </c>
      <c r="C1376" s="79">
        <v>598029008</v>
      </c>
      <c r="D1376" s="79">
        <v>0</v>
      </c>
      <c r="E1376" s="79" t="s">
        <v>1124</v>
      </c>
      <c r="F1376" s="79" t="s">
        <v>2537</v>
      </c>
      <c r="G1376" s="79" t="s">
        <v>2544</v>
      </c>
      <c r="H1376" s="79" t="s">
        <v>2545</v>
      </c>
      <c r="I1376" s="79"/>
    </row>
    <row r="1377" spans="1:9" ht="14.25">
      <c r="A1377" s="79" t="s">
        <v>3322</v>
      </c>
      <c r="B1377" s="79" t="s">
        <v>3323</v>
      </c>
      <c r="C1377" s="79">
        <v>598029008</v>
      </c>
      <c r="D1377" s="79">
        <v>0</v>
      </c>
      <c r="E1377" s="79" t="s">
        <v>1124</v>
      </c>
      <c r="F1377" s="79" t="s">
        <v>2537</v>
      </c>
      <c r="G1377" s="79" t="s">
        <v>2579</v>
      </c>
      <c r="H1377" s="79"/>
      <c r="I1377" s="79"/>
    </row>
    <row r="1378" spans="1:9" ht="14.25">
      <c r="A1378" s="79" t="s">
        <v>3324</v>
      </c>
      <c r="B1378" s="79" t="s">
        <v>3325</v>
      </c>
      <c r="C1378" s="79">
        <v>598071608</v>
      </c>
      <c r="D1378" s="79">
        <v>0</v>
      </c>
      <c r="E1378" s="79" t="s">
        <v>1124</v>
      </c>
      <c r="F1378" s="79" t="s">
        <v>2537</v>
      </c>
      <c r="G1378" s="79" t="s">
        <v>1130</v>
      </c>
      <c r="H1378" s="79"/>
      <c r="I1378" s="79"/>
    </row>
    <row r="1379" spans="1:9" ht="14.25">
      <c r="A1379" s="79" t="s">
        <v>3324</v>
      </c>
      <c r="B1379" s="79" t="s">
        <v>3325</v>
      </c>
      <c r="C1379" s="79">
        <v>598071608</v>
      </c>
      <c r="D1379" s="79">
        <v>0</v>
      </c>
      <c r="E1379" s="79" t="s">
        <v>1124</v>
      </c>
      <c r="F1379" s="79" t="s">
        <v>2537</v>
      </c>
      <c r="G1379" s="79" t="s">
        <v>1131</v>
      </c>
      <c r="H1379" s="79" t="s">
        <v>1132</v>
      </c>
      <c r="I1379" s="79"/>
    </row>
    <row r="1380" spans="1:9" ht="14.25">
      <c r="A1380" s="79" t="s">
        <v>3324</v>
      </c>
      <c r="B1380" s="79" t="s">
        <v>3325</v>
      </c>
      <c r="C1380" s="79">
        <v>598071608</v>
      </c>
      <c r="D1380" s="79">
        <v>0</v>
      </c>
      <c r="E1380" s="79" t="s">
        <v>1124</v>
      </c>
      <c r="F1380" s="79" t="s">
        <v>2537</v>
      </c>
      <c r="G1380" s="79" t="s">
        <v>2576</v>
      </c>
      <c r="H1380" s="79"/>
      <c r="I1380" s="79"/>
    </row>
    <row r="1381" spans="1:9" ht="14.25">
      <c r="A1381" s="79" t="s">
        <v>3326</v>
      </c>
      <c r="B1381" s="79" t="s">
        <v>3327</v>
      </c>
      <c r="C1381" s="79">
        <v>598072208</v>
      </c>
      <c r="D1381" s="79">
        <v>0</v>
      </c>
      <c r="E1381" s="79" t="s">
        <v>1124</v>
      </c>
      <c r="F1381" s="79" t="s">
        <v>2537</v>
      </c>
      <c r="G1381" s="79" t="s">
        <v>2544</v>
      </c>
      <c r="H1381" s="79" t="s">
        <v>2545</v>
      </c>
      <c r="I1381" s="79"/>
    </row>
    <row r="1382" spans="1:9" ht="14.25">
      <c r="A1382" s="79" t="s">
        <v>3326</v>
      </c>
      <c r="B1382" s="79" t="s">
        <v>3327</v>
      </c>
      <c r="C1382" s="79">
        <v>598072208</v>
      </c>
      <c r="D1382" s="79">
        <v>0</v>
      </c>
      <c r="E1382" s="79" t="s">
        <v>1124</v>
      </c>
      <c r="F1382" s="79" t="s">
        <v>2537</v>
      </c>
      <c r="G1382" s="79" t="s">
        <v>2579</v>
      </c>
      <c r="H1382" s="79"/>
      <c r="I1382" s="79"/>
    </row>
    <row r="1383" spans="1:9" ht="14.25">
      <c r="A1383" s="79" t="s">
        <v>3328</v>
      </c>
      <c r="B1383" s="79" t="s">
        <v>3329</v>
      </c>
      <c r="C1383" s="79">
        <v>598114808</v>
      </c>
      <c r="D1383" s="79">
        <v>0</v>
      </c>
      <c r="E1383" s="79" t="s">
        <v>1124</v>
      </c>
      <c r="F1383" s="79" t="s">
        <v>2537</v>
      </c>
      <c r="G1383" s="79" t="s">
        <v>1130</v>
      </c>
      <c r="H1383" s="79"/>
      <c r="I1383" s="79"/>
    </row>
    <row r="1384" spans="1:9" ht="14.25">
      <c r="A1384" s="79" t="s">
        <v>3328</v>
      </c>
      <c r="B1384" s="79" t="s">
        <v>3329</v>
      </c>
      <c r="C1384" s="79">
        <v>598114808</v>
      </c>
      <c r="D1384" s="79">
        <v>0</v>
      </c>
      <c r="E1384" s="79" t="s">
        <v>1124</v>
      </c>
      <c r="F1384" s="79" t="s">
        <v>2537</v>
      </c>
      <c r="G1384" s="79" t="s">
        <v>1131</v>
      </c>
      <c r="H1384" s="79" t="s">
        <v>1132</v>
      </c>
      <c r="I1384" s="79"/>
    </row>
    <row r="1385" spans="1:9" ht="14.25">
      <c r="A1385" s="79" t="s">
        <v>3328</v>
      </c>
      <c r="B1385" s="79" t="s">
        <v>3329</v>
      </c>
      <c r="C1385" s="79">
        <v>598114808</v>
      </c>
      <c r="D1385" s="79">
        <v>0</v>
      </c>
      <c r="E1385" s="79" t="s">
        <v>1124</v>
      </c>
      <c r="F1385" s="79" t="s">
        <v>2537</v>
      </c>
      <c r="G1385" s="79" t="s">
        <v>2576</v>
      </c>
      <c r="H1385" s="79"/>
      <c r="I1385" s="79"/>
    </row>
    <row r="1386" spans="1:9" ht="14.25">
      <c r="A1386" s="79" t="s">
        <v>3330</v>
      </c>
      <c r="B1386" s="79" t="s">
        <v>3331</v>
      </c>
      <c r="C1386" s="79">
        <v>598115408</v>
      </c>
      <c r="D1386" s="79">
        <v>0</v>
      </c>
      <c r="E1386" s="79" t="s">
        <v>1124</v>
      </c>
      <c r="F1386" s="79" t="s">
        <v>2537</v>
      </c>
      <c r="G1386" s="79" t="s">
        <v>2544</v>
      </c>
      <c r="H1386" s="79" t="s">
        <v>2545</v>
      </c>
      <c r="I1386" s="79"/>
    </row>
    <row r="1387" spans="1:9" ht="14.25">
      <c r="A1387" s="79" t="s">
        <v>3330</v>
      </c>
      <c r="B1387" s="79" t="s">
        <v>3331</v>
      </c>
      <c r="C1387" s="79">
        <v>598115408</v>
      </c>
      <c r="D1387" s="79">
        <v>0</v>
      </c>
      <c r="E1387" s="79" t="s">
        <v>1124</v>
      </c>
      <c r="F1387" s="79" t="s">
        <v>2537</v>
      </c>
      <c r="G1387" s="79" t="s">
        <v>2579</v>
      </c>
      <c r="H1387" s="79"/>
      <c r="I1387" s="79"/>
    </row>
    <row r="1388" spans="1:9" ht="14.25">
      <c r="A1388" s="79" t="s">
        <v>3332</v>
      </c>
      <c r="B1388" s="79" t="s">
        <v>3333</v>
      </c>
      <c r="C1388" s="79">
        <v>598158008</v>
      </c>
      <c r="D1388" s="79">
        <v>0</v>
      </c>
      <c r="E1388" s="79" t="s">
        <v>1124</v>
      </c>
      <c r="F1388" s="79" t="s">
        <v>2537</v>
      </c>
      <c r="G1388" s="79" t="s">
        <v>1130</v>
      </c>
      <c r="H1388" s="79"/>
      <c r="I1388" s="79"/>
    </row>
    <row r="1389" spans="1:9" ht="14.25">
      <c r="A1389" s="79" t="s">
        <v>3332</v>
      </c>
      <c r="B1389" s="79" t="s">
        <v>3333</v>
      </c>
      <c r="C1389" s="79">
        <v>598158008</v>
      </c>
      <c r="D1389" s="79">
        <v>0</v>
      </c>
      <c r="E1389" s="79" t="s">
        <v>1124</v>
      </c>
      <c r="F1389" s="79" t="s">
        <v>2537</v>
      </c>
      <c r="G1389" s="79" t="s">
        <v>1131</v>
      </c>
      <c r="H1389" s="79" t="s">
        <v>1132</v>
      </c>
      <c r="I1389" s="79"/>
    </row>
    <row r="1390" spans="1:9" ht="14.25">
      <c r="A1390" s="79" t="s">
        <v>3332</v>
      </c>
      <c r="B1390" s="79" t="s">
        <v>3333</v>
      </c>
      <c r="C1390" s="79">
        <v>598158008</v>
      </c>
      <c r="D1390" s="79">
        <v>0</v>
      </c>
      <c r="E1390" s="79" t="s">
        <v>1124</v>
      </c>
      <c r="F1390" s="79" t="s">
        <v>2537</v>
      </c>
      <c r="G1390" s="79" t="s">
        <v>2576</v>
      </c>
      <c r="H1390" s="79"/>
      <c r="I1390" s="79"/>
    </row>
    <row r="1391" spans="1:9" ht="14.25">
      <c r="A1391" s="79" t="s">
        <v>3334</v>
      </c>
      <c r="B1391" s="79" t="s">
        <v>3335</v>
      </c>
      <c r="C1391" s="79">
        <v>598158608</v>
      </c>
      <c r="D1391" s="79">
        <v>0</v>
      </c>
      <c r="E1391" s="79" t="s">
        <v>1124</v>
      </c>
      <c r="F1391" s="79" t="s">
        <v>2537</v>
      </c>
      <c r="G1391" s="79" t="s">
        <v>2544</v>
      </c>
      <c r="H1391" s="79" t="s">
        <v>2545</v>
      </c>
      <c r="I1391" s="79"/>
    </row>
    <row r="1392" spans="1:9" ht="14.25">
      <c r="A1392" s="79" t="s">
        <v>3334</v>
      </c>
      <c r="B1392" s="79" t="s">
        <v>3335</v>
      </c>
      <c r="C1392" s="79">
        <v>598158608</v>
      </c>
      <c r="D1392" s="79">
        <v>0</v>
      </c>
      <c r="E1392" s="79" t="s">
        <v>1124</v>
      </c>
      <c r="F1392" s="79" t="s">
        <v>2537</v>
      </c>
      <c r="G1392" s="79" t="s">
        <v>2579</v>
      </c>
      <c r="H1392" s="79"/>
      <c r="I1392" s="79"/>
    </row>
    <row r="1393" spans="1:9" ht="14.25">
      <c r="A1393" s="79" t="s">
        <v>3336</v>
      </c>
      <c r="B1393" s="79" t="s">
        <v>3337</v>
      </c>
      <c r="C1393" s="79">
        <v>598201208</v>
      </c>
      <c r="D1393" s="79">
        <v>0</v>
      </c>
      <c r="E1393" s="79" t="s">
        <v>1124</v>
      </c>
      <c r="F1393" s="79" t="s">
        <v>2537</v>
      </c>
      <c r="G1393" s="79" t="s">
        <v>1130</v>
      </c>
      <c r="H1393" s="79"/>
      <c r="I1393" s="79"/>
    </row>
    <row r="1394" spans="1:9" ht="14.25">
      <c r="A1394" s="79" t="s">
        <v>3336</v>
      </c>
      <c r="B1394" s="79" t="s">
        <v>3337</v>
      </c>
      <c r="C1394" s="79">
        <v>598201208</v>
      </c>
      <c r="D1394" s="79">
        <v>0</v>
      </c>
      <c r="E1394" s="79" t="s">
        <v>1124</v>
      </c>
      <c r="F1394" s="79" t="s">
        <v>2537</v>
      </c>
      <c r="G1394" s="79" t="s">
        <v>1131</v>
      </c>
      <c r="H1394" s="79" t="s">
        <v>1132</v>
      </c>
      <c r="I1394" s="79"/>
    </row>
    <row r="1395" spans="1:9" ht="14.25">
      <c r="A1395" s="79" t="s">
        <v>3336</v>
      </c>
      <c r="B1395" s="79" t="s">
        <v>3337</v>
      </c>
      <c r="C1395" s="79">
        <v>598201208</v>
      </c>
      <c r="D1395" s="79">
        <v>0</v>
      </c>
      <c r="E1395" s="79" t="s">
        <v>1124</v>
      </c>
      <c r="F1395" s="79" t="s">
        <v>2537</v>
      </c>
      <c r="G1395" s="79" t="s">
        <v>2576</v>
      </c>
      <c r="H1395" s="79"/>
      <c r="I1395" s="79"/>
    </row>
    <row r="1396" spans="1:9" ht="14.25">
      <c r="A1396" s="79" t="s">
        <v>3338</v>
      </c>
      <c r="B1396" s="79" t="s">
        <v>3339</v>
      </c>
      <c r="C1396" s="79">
        <v>598201808</v>
      </c>
      <c r="D1396" s="79">
        <v>0</v>
      </c>
      <c r="E1396" s="79" t="s">
        <v>1124</v>
      </c>
      <c r="F1396" s="79" t="s">
        <v>2537</v>
      </c>
      <c r="G1396" s="79" t="s">
        <v>2544</v>
      </c>
      <c r="H1396" s="79" t="s">
        <v>2545</v>
      </c>
      <c r="I1396" s="79"/>
    </row>
    <row r="1397" spans="1:9" ht="14.25">
      <c r="A1397" s="79" t="s">
        <v>3338</v>
      </c>
      <c r="B1397" s="79" t="s">
        <v>3339</v>
      </c>
      <c r="C1397" s="79">
        <v>598201808</v>
      </c>
      <c r="D1397" s="79">
        <v>0</v>
      </c>
      <c r="E1397" s="79" t="s">
        <v>1124</v>
      </c>
      <c r="F1397" s="79" t="s">
        <v>2537</v>
      </c>
      <c r="G1397" s="79" t="s">
        <v>2579</v>
      </c>
      <c r="H1397" s="79"/>
      <c r="I1397" s="79"/>
    </row>
    <row r="1398" spans="1:9" ht="14.25">
      <c r="A1398" s="79" t="s">
        <v>3340</v>
      </c>
      <c r="B1398" s="79" t="s">
        <v>3341</v>
      </c>
      <c r="C1398" s="79">
        <v>598244408</v>
      </c>
      <c r="D1398" s="79">
        <v>0</v>
      </c>
      <c r="E1398" s="79" t="s">
        <v>1124</v>
      </c>
      <c r="F1398" s="79" t="s">
        <v>2537</v>
      </c>
      <c r="G1398" s="79" t="s">
        <v>1130</v>
      </c>
      <c r="H1398" s="79"/>
      <c r="I1398" s="79"/>
    </row>
    <row r="1399" spans="1:9" ht="14.25">
      <c r="A1399" s="79" t="s">
        <v>3340</v>
      </c>
      <c r="B1399" s="79" t="s">
        <v>3341</v>
      </c>
      <c r="C1399" s="79">
        <v>598244408</v>
      </c>
      <c r="D1399" s="79">
        <v>0</v>
      </c>
      <c r="E1399" s="79" t="s">
        <v>1124</v>
      </c>
      <c r="F1399" s="79" t="s">
        <v>2537</v>
      </c>
      <c r="G1399" s="79" t="s">
        <v>1131</v>
      </c>
      <c r="H1399" s="79" t="s">
        <v>1132</v>
      </c>
      <c r="I1399" s="79"/>
    </row>
    <row r="1400" spans="1:9" ht="14.25">
      <c r="A1400" s="79" t="s">
        <v>3340</v>
      </c>
      <c r="B1400" s="79" t="s">
        <v>3341</v>
      </c>
      <c r="C1400" s="79">
        <v>598244408</v>
      </c>
      <c r="D1400" s="79">
        <v>0</v>
      </c>
      <c r="E1400" s="79" t="s">
        <v>1124</v>
      </c>
      <c r="F1400" s="79" t="s">
        <v>2537</v>
      </c>
      <c r="G1400" s="79" t="s">
        <v>2576</v>
      </c>
      <c r="H1400" s="79"/>
      <c r="I1400" s="79"/>
    </row>
    <row r="1401" spans="1:9" ht="14.25">
      <c r="A1401" s="79" t="s">
        <v>3342</v>
      </c>
      <c r="B1401" s="79" t="s">
        <v>3343</v>
      </c>
      <c r="C1401" s="79">
        <v>598245008</v>
      </c>
      <c r="D1401" s="79">
        <v>0</v>
      </c>
      <c r="E1401" s="79" t="s">
        <v>1124</v>
      </c>
      <c r="F1401" s="79" t="s">
        <v>2537</v>
      </c>
      <c r="G1401" s="79" t="s">
        <v>2544</v>
      </c>
      <c r="H1401" s="79" t="s">
        <v>2545</v>
      </c>
      <c r="I1401" s="79"/>
    </row>
    <row r="1402" spans="1:9" ht="14.25">
      <c r="A1402" s="79" t="s">
        <v>3342</v>
      </c>
      <c r="B1402" s="79" t="s">
        <v>3343</v>
      </c>
      <c r="C1402" s="79">
        <v>598245008</v>
      </c>
      <c r="D1402" s="79">
        <v>0</v>
      </c>
      <c r="E1402" s="79" t="s">
        <v>1124</v>
      </c>
      <c r="F1402" s="79" t="s">
        <v>2537</v>
      </c>
      <c r="G1402" s="79" t="s">
        <v>2579</v>
      </c>
      <c r="H1402" s="79"/>
      <c r="I1402" s="79"/>
    </row>
    <row r="1403" spans="1:9" ht="14.25">
      <c r="A1403" s="79" t="s">
        <v>3344</v>
      </c>
      <c r="B1403" s="79" t="s">
        <v>3345</v>
      </c>
      <c r="C1403" s="79">
        <v>598287608</v>
      </c>
      <c r="D1403" s="79">
        <v>0</v>
      </c>
      <c r="E1403" s="79" t="s">
        <v>1124</v>
      </c>
      <c r="F1403" s="79" t="s">
        <v>2537</v>
      </c>
      <c r="G1403" s="79" t="s">
        <v>1130</v>
      </c>
      <c r="H1403" s="79"/>
      <c r="I1403" s="79"/>
    </row>
    <row r="1404" spans="1:9" ht="14.25">
      <c r="A1404" s="79" t="s">
        <v>3344</v>
      </c>
      <c r="B1404" s="79" t="s">
        <v>3345</v>
      </c>
      <c r="C1404" s="79">
        <v>598287608</v>
      </c>
      <c r="D1404" s="79">
        <v>0</v>
      </c>
      <c r="E1404" s="79" t="s">
        <v>1124</v>
      </c>
      <c r="F1404" s="79" t="s">
        <v>2537</v>
      </c>
      <c r="G1404" s="79" t="s">
        <v>1131</v>
      </c>
      <c r="H1404" s="79" t="s">
        <v>1132</v>
      </c>
      <c r="I1404" s="79"/>
    </row>
    <row r="1405" spans="1:9" ht="14.25">
      <c r="A1405" s="79" t="s">
        <v>3344</v>
      </c>
      <c r="B1405" s="79" t="s">
        <v>3345</v>
      </c>
      <c r="C1405" s="79">
        <v>598287608</v>
      </c>
      <c r="D1405" s="79">
        <v>0</v>
      </c>
      <c r="E1405" s="79" t="s">
        <v>1124</v>
      </c>
      <c r="F1405" s="79" t="s">
        <v>2537</v>
      </c>
      <c r="G1405" s="79" t="s">
        <v>2576</v>
      </c>
      <c r="H1405" s="79"/>
      <c r="I1405" s="79"/>
    </row>
    <row r="1406" spans="1:9" ht="14.25">
      <c r="A1406" s="79" t="s">
        <v>3346</v>
      </c>
      <c r="B1406" s="79" t="s">
        <v>3347</v>
      </c>
      <c r="C1406" s="79">
        <v>598288208</v>
      </c>
      <c r="D1406" s="79">
        <v>0</v>
      </c>
      <c r="E1406" s="79" t="s">
        <v>1124</v>
      </c>
      <c r="F1406" s="79" t="s">
        <v>2537</v>
      </c>
      <c r="G1406" s="79" t="s">
        <v>2544</v>
      </c>
      <c r="H1406" s="79" t="s">
        <v>2545</v>
      </c>
      <c r="I1406" s="79"/>
    </row>
    <row r="1407" spans="1:9" ht="14.25">
      <c r="A1407" s="79" t="s">
        <v>3346</v>
      </c>
      <c r="B1407" s="79" t="s">
        <v>3347</v>
      </c>
      <c r="C1407" s="79">
        <v>598288208</v>
      </c>
      <c r="D1407" s="79">
        <v>0</v>
      </c>
      <c r="E1407" s="79" t="s">
        <v>1124</v>
      </c>
      <c r="F1407" s="79" t="s">
        <v>2537</v>
      </c>
      <c r="G1407" s="79" t="s">
        <v>2579</v>
      </c>
      <c r="H1407" s="79"/>
      <c r="I1407" s="79"/>
    </row>
    <row r="1408" spans="1:9" ht="14.25">
      <c r="A1408" s="79" t="s">
        <v>3348</v>
      </c>
      <c r="B1408" s="79" t="s">
        <v>3349</v>
      </c>
      <c r="C1408" s="79">
        <v>598330808</v>
      </c>
      <c r="D1408" s="79">
        <v>0</v>
      </c>
      <c r="E1408" s="79" t="s">
        <v>1124</v>
      </c>
      <c r="F1408" s="79" t="s">
        <v>2537</v>
      </c>
      <c r="G1408" s="79" t="s">
        <v>1130</v>
      </c>
      <c r="H1408" s="79"/>
      <c r="I1408" s="79"/>
    </row>
    <row r="1409" spans="1:9" ht="14.25">
      <c r="A1409" s="79" t="s">
        <v>3348</v>
      </c>
      <c r="B1409" s="79" t="s">
        <v>3349</v>
      </c>
      <c r="C1409" s="79">
        <v>598330808</v>
      </c>
      <c r="D1409" s="79">
        <v>0</v>
      </c>
      <c r="E1409" s="79" t="s">
        <v>1124</v>
      </c>
      <c r="F1409" s="79" t="s">
        <v>2537</v>
      </c>
      <c r="G1409" s="79" t="s">
        <v>1131</v>
      </c>
      <c r="H1409" s="79" t="s">
        <v>1132</v>
      </c>
      <c r="I1409" s="79"/>
    </row>
    <row r="1410" spans="1:9" ht="14.25">
      <c r="A1410" s="79" t="s">
        <v>3348</v>
      </c>
      <c r="B1410" s="79" t="s">
        <v>3349</v>
      </c>
      <c r="C1410" s="79">
        <v>598330808</v>
      </c>
      <c r="D1410" s="79">
        <v>0</v>
      </c>
      <c r="E1410" s="79" t="s">
        <v>1124</v>
      </c>
      <c r="F1410" s="79" t="s">
        <v>2537</v>
      </c>
      <c r="G1410" s="79" t="s">
        <v>2576</v>
      </c>
      <c r="H1410" s="79"/>
      <c r="I1410" s="79"/>
    </row>
    <row r="1411" spans="1:9" ht="14.25">
      <c r="A1411" s="79" t="s">
        <v>3350</v>
      </c>
      <c r="B1411" s="79" t="s">
        <v>3351</v>
      </c>
      <c r="C1411" s="79">
        <v>598331408</v>
      </c>
      <c r="D1411" s="79">
        <v>0</v>
      </c>
      <c r="E1411" s="79" t="s">
        <v>1124</v>
      </c>
      <c r="F1411" s="79" t="s">
        <v>2537</v>
      </c>
      <c r="G1411" s="79" t="s">
        <v>2544</v>
      </c>
      <c r="H1411" s="79" t="s">
        <v>2545</v>
      </c>
      <c r="I1411" s="79"/>
    </row>
    <row r="1412" spans="1:9" ht="14.25">
      <c r="A1412" s="79" t="s">
        <v>3350</v>
      </c>
      <c r="B1412" s="79" t="s">
        <v>3351</v>
      </c>
      <c r="C1412" s="79">
        <v>598331408</v>
      </c>
      <c r="D1412" s="79">
        <v>0</v>
      </c>
      <c r="E1412" s="79" t="s">
        <v>1124</v>
      </c>
      <c r="F1412" s="79" t="s">
        <v>2537</v>
      </c>
      <c r="G1412" s="79" t="s">
        <v>2579</v>
      </c>
      <c r="H1412" s="79"/>
      <c r="I1412" s="79"/>
    </row>
    <row r="1413" spans="1:9" ht="14.25">
      <c r="A1413" s="79" t="s">
        <v>3352</v>
      </c>
      <c r="B1413" s="79" t="s">
        <v>3353</v>
      </c>
      <c r="C1413" s="79">
        <v>598374008</v>
      </c>
      <c r="D1413" s="79">
        <v>0</v>
      </c>
      <c r="E1413" s="79" t="s">
        <v>1124</v>
      </c>
      <c r="F1413" s="79" t="s">
        <v>2537</v>
      </c>
      <c r="G1413" s="79" t="s">
        <v>1130</v>
      </c>
      <c r="H1413" s="79"/>
      <c r="I1413" s="79"/>
    </row>
    <row r="1414" spans="1:9" ht="14.25">
      <c r="A1414" s="79" t="s">
        <v>3352</v>
      </c>
      <c r="B1414" s="79" t="s">
        <v>3353</v>
      </c>
      <c r="C1414" s="79">
        <v>598374008</v>
      </c>
      <c r="D1414" s="79">
        <v>0</v>
      </c>
      <c r="E1414" s="79" t="s">
        <v>1124</v>
      </c>
      <c r="F1414" s="79" t="s">
        <v>2537</v>
      </c>
      <c r="G1414" s="79" t="s">
        <v>1131</v>
      </c>
      <c r="H1414" s="79" t="s">
        <v>1132</v>
      </c>
      <c r="I1414" s="79"/>
    </row>
    <row r="1415" spans="1:9" ht="14.25">
      <c r="A1415" s="79" t="s">
        <v>3352</v>
      </c>
      <c r="B1415" s="79" t="s">
        <v>3353</v>
      </c>
      <c r="C1415" s="79">
        <v>598374008</v>
      </c>
      <c r="D1415" s="79">
        <v>0</v>
      </c>
      <c r="E1415" s="79" t="s">
        <v>1124</v>
      </c>
      <c r="F1415" s="79" t="s">
        <v>2537</v>
      </c>
      <c r="G1415" s="79" t="s">
        <v>2576</v>
      </c>
      <c r="H1415" s="79"/>
      <c r="I1415" s="79"/>
    </row>
    <row r="1416" spans="1:9" ht="14.25">
      <c r="A1416" s="79" t="s">
        <v>3354</v>
      </c>
      <c r="B1416" s="79" t="s">
        <v>3355</v>
      </c>
      <c r="C1416" s="79">
        <v>598374608</v>
      </c>
      <c r="D1416" s="79">
        <v>0</v>
      </c>
      <c r="E1416" s="79" t="s">
        <v>1124</v>
      </c>
      <c r="F1416" s="79" t="s">
        <v>2537</v>
      </c>
      <c r="G1416" s="79" t="s">
        <v>2544</v>
      </c>
      <c r="H1416" s="79" t="s">
        <v>2545</v>
      </c>
      <c r="I1416" s="79"/>
    </row>
    <row r="1417" spans="1:9" ht="14.25">
      <c r="A1417" s="79" t="s">
        <v>3354</v>
      </c>
      <c r="B1417" s="79" t="s">
        <v>3355</v>
      </c>
      <c r="C1417" s="79">
        <v>598374608</v>
      </c>
      <c r="D1417" s="79">
        <v>0</v>
      </c>
      <c r="E1417" s="79" t="s">
        <v>1124</v>
      </c>
      <c r="F1417" s="79" t="s">
        <v>2537</v>
      </c>
      <c r="G1417" s="79" t="s">
        <v>2579</v>
      </c>
      <c r="H1417" s="79"/>
      <c r="I1417" s="79"/>
    </row>
    <row r="1418" spans="1:9" ht="14.25">
      <c r="A1418" s="79" t="s">
        <v>3356</v>
      </c>
      <c r="B1418" s="79" t="s">
        <v>3357</v>
      </c>
      <c r="C1418" s="79">
        <v>598417208</v>
      </c>
      <c r="D1418" s="79">
        <v>0</v>
      </c>
      <c r="E1418" s="79" t="s">
        <v>1124</v>
      </c>
      <c r="F1418" s="79" t="s">
        <v>2537</v>
      </c>
      <c r="G1418" s="79" t="s">
        <v>1130</v>
      </c>
      <c r="H1418" s="79"/>
      <c r="I1418" s="79"/>
    </row>
    <row r="1419" spans="1:9" ht="14.25">
      <c r="A1419" s="79" t="s">
        <v>3356</v>
      </c>
      <c r="B1419" s="79" t="s">
        <v>3357</v>
      </c>
      <c r="C1419" s="79">
        <v>598417208</v>
      </c>
      <c r="D1419" s="79">
        <v>0</v>
      </c>
      <c r="E1419" s="79" t="s">
        <v>1124</v>
      </c>
      <c r="F1419" s="79" t="s">
        <v>2537</v>
      </c>
      <c r="G1419" s="79" t="s">
        <v>1131</v>
      </c>
      <c r="H1419" s="79" t="s">
        <v>1132</v>
      </c>
      <c r="I1419" s="79"/>
    </row>
    <row r="1420" spans="1:9" ht="14.25">
      <c r="A1420" s="79" t="s">
        <v>3356</v>
      </c>
      <c r="B1420" s="79" t="s">
        <v>3357</v>
      </c>
      <c r="C1420" s="79">
        <v>598417208</v>
      </c>
      <c r="D1420" s="79">
        <v>0</v>
      </c>
      <c r="E1420" s="79" t="s">
        <v>1124</v>
      </c>
      <c r="F1420" s="79" t="s">
        <v>2537</v>
      </c>
      <c r="G1420" s="79" t="s">
        <v>2576</v>
      </c>
      <c r="H1420" s="79"/>
      <c r="I1420" s="79"/>
    </row>
    <row r="1421" spans="1:9" ht="14.25">
      <c r="A1421" s="79" t="s">
        <v>3358</v>
      </c>
      <c r="B1421" s="79" t="s">
        <v>3359</v>
      </c>
      <c r="C1421" s="79">
        <v>598417808</v>
      </c>
      <c r="D1421" s="79">
        <v>0</v>
      </c>
      <c r="E1421" s="79" t="s">
        <v>1124</v>
      </c>
      <c r="F1421" s="79" t="s">
        <v>2537</v>
      </c>
      <c r="G1421" s="79" t="s">
        <v>2544</v>
      </c>
      <c r="H1421" s="79" t="s">
        <v>2545</v>
      </c>
      <c r="I1421" s="79"/>
    </row>
    <row r="1422" spans="1:9" ht="14.25">
      <c r="A1422" s="79" t="s">
        <v>3358</v>
      </c>
      <c r="B1422" s="79" t="s">
        <v>3359</v>
      </c>
      <c r="C1422" s="79">
        <v>598417808</v>
      </c>
      <c r="D1422" s="79">
        <v>0</v>
      </c>
      <c r="E1422" s="79" t="s">
        <v>1124</v>
      </c>
      <c r="F1422" s="79" t="s">
        <v>2537</v>
      </c>
      <c r="G1422" s="79" t="s">
        <v>2579</v>
      </c>
      <c r="H1422" s="79"/>
      <c r="I1422" s="79"/>
    </row>
    <row r="1423" spans="1:9" ht="14.25">
      <c r="A1423" s="79" t="s">
        <v>3360</v>
      </c>
      <c r="B1423" s="79" t="s">
        <v>3361</v>
      </c>
      <c r="C1423" s="79">
        <v>598460408</v>
      </c>
      <c r="D1423" s="79">
        <v>0</v>
      </c>
      <c r="E1423" s="79" t="s">
        <v>1124</v>
      </c>
      <c r="F1423" s="79" t="s">
        <v>2537</v>
      </c>
      <c r="G1423" s="79" t="s">
        <v>1130</v>
      </c>
      <c r="H1423" s="79"/>
      <c r="I1423" s="79"/>
    </row>
    <row r="1424" spans="1:9" ht="14.25">
      <c r="A1424" s="79" t="s">
        <v>3360</v>
      </c>
      <c r="B1424" s="79" t="s">
        <v>3361</v>
      </c>
      <c r="C1424" s="79">
        <v>598460408</v>
      </c>
      <c r="D1424" s="79">
        <v>0</v>
      </c>
      <c r="E1424" s="79" t="s">
        <v>1124</v>
      </c>
      <c r="F1424" s="79" t="s">
        <v>2537</v>
      </c>
      <c r="G1424" s="79" t="s">
        <v>1131</v>
      </c>
      <c r="H1424" s="79" t="s">
        <v>1132</v>
      </c>
      <c r="I1424" s="79"/>
    </row>
    <row r="1425" spans="1:9" ht="14.25">
      <c r="A1425" s="79" t="s">
        <v>3360</v>
      </c>
      <c r="B1425" s="79" t="s">
        <v>3361</v>
      </c>
      <c r="C1425" s="79">
        <v>598460408</v>
      </c>
      <c r="D1425" s="79">
        <v>0</v>
      </c>
      <c r="E1425" s="79" t="s">
        <v>1124</v>
      </c>
      <c r="F1425" s="79" t="s">
        <v>2537</v>
      </c>
      <c r="G1425" s="79" t="s">
        <v>2576</v>
      </c>
      <c r="H1425" s="79"/>
      <c r="I1425" s="79"/>
    </row>
    <row r="1426" spans="1:9" ht="14.25">
      <c r="A1426" s="79" t="s">
        <v>3362</v>
      </c>
      <c r="B1426" s="79" t="s">
        <v>3363</v>
      </c>
      <c r="C1426" s="79">
        <v>598461008</v>
      </c>
      <c r="D1426" s="79">
        <v>0</v>
      </c>
      <c r="E1426" s="79" t="s">
        <v>1124</v>
      </c>
      <c r="F1426" s="79" t="s">
        <v>2537</v>
      </c>
      <c r="G1426" s="79" t="s">
        <v>2544</v>
      </c>
      <c r="H1426" s="79" t="s">
        <v>2545</v>
      </c>
      <c r="I1426" s="79"/>
    </row>
    <row r="1427" spans="1:9" ht="14.25">
      <c r="A1427" s="79" t="s">
        <v>3362</v>
      </c>
      <c r="B1427" s="79" t="s">
        <v>3363</v>
      </c>
      <c r="C1427" s="79">
        <v>598461008</v>
      </c>
      <c r="D1427" s="79">
        <v>0</v>
      </c>
      <c r="E1427" s="79" t="s">
        <v>1124</v>
      </c>
      <c r="F1427" s="79" t="s">
        <v>2537</v>
      </c>
      <c r="G1427" s="79" t="s">
        <v>2579</v>
      </c>
      <c r="H1427" s="79"/>
      <c r="I1427" s="79"/>
    </row>
    <row r="1428" spans="1:9" ht="14.25">
      <c r="A1428" s="79" t="s">
        <v>3364</v>
      </c>
      <c r="B1428" s="79" t="s">
        <v>3365</v>
      </c>
      <c r="C1428" s="79">
        <v>598503608</v>
      </c>
      <c r="D1428" s="79">
        <v>0</v>
      </c>
      <c r="E1428" s="79" t="s">
        <v>1124</v>
      </c>
      <c r="F1428" s="79" t="s">
        <v>2537</v>
      </c>
      <c r="G1428" s="79" t="s">
        <v>1130</v>
      </c>
      <c r="H1428" s="79"/>
      <c r="I1428" s="79"/>
    </row>
    <row r="1429" spans="1:9" ht="14.25">
      <c r="A1429" s="79" t="s">
        <v>3364</v>
      </c>
      <c r="B1429" s="79" t="s">
        <v>3365</v>
      </c>
      <c r="C1429" s="79">
        <v>598503608</v>
      </c>
      <c r="D1429" s="79">
        <v>0</v>
      </c>
      <c r="E1429" s="79" t="s">
        <v>1124</v>
      </c>
      <c r="F1429" s="79" t="s">
        <v>2537</v>
      </c>
      <c r="G1429" s="79" t="s">
        <v>1131</v>
      </c>
      <c r="H1429" s="79" t="s">
        <v>1132</v>
      </c>
      <c r="I1429" s="79"/>
    </row>
    <row r="1430" spans="1:9" ht="14.25">
      <c r="A1430" s="79" t="s">
        <v>3364</v>
      </c>
      <c r="B1430" s="79" t="s">
        <v>3365</v>
      </c>
      <c r="C1430" s="79">
        <v>598503608</v>
      </c>
      <c r="D1430" s="79">
        <v>0</v>
      </c>
      <c r="E1430" s="79" t="s">
        <v>1124</v>
      </c>
      <c r="F1430" s="79" t="s">
        <v>2537</v>
      </c>
      <c r="G1430" s="79" t="s">
        <v>2576</v>
      </c>
      <c r="H1430" s="79"/>
      <c r="I1430" s="79"/>
    </row>
    <row r="1431" spans="1:9" ht="14.25">
      <c r="A1431" s="79" t="s">
        <v>3366</v>
      </c>
      <c r="B1431" s="79" t="s">
        <v>3367</v>
      </c>
      <c r="C1431" s="79">
        <v>598504208</v>
      </c>
      <c r="D1431" s="79">
        <v>0</v>
      </c>
      <c r="E1431" s="79" t="s">
        <v>1124</v>
      </c>
      <c r="F1431" s="79" t="s">
        <v>2537</v>
      </c>
      <c r="G1431" s="79" t="s">
        <v>2544</v>
      </c>
      <c r="H1431" s="79" t="s">
        <v>2545</v>
      </c>
      <c r="I1431" s="79"/>
    </row>
    <row r="1432" spans="1:9" ht="14.25">
      <c r="A1432" s="79" t="s">
        <v>3366</v>
      </c>
      <c r="B1432" s="79" t="s">
        <v>3367</v>
      </c>
      <c r="C1432" s="79">
        <v>598504208</v>
      </c>
      <c r="D1432" s="79">
        <v>0</v>
      </c>
      <c r="E1432" s="79" t="s">
        <v>1124</v>
      </c>
      <c r="F1432" s="79" t="s">
        <v>2537</v>
      </c>
      <c r="G1432" s="79" t="s">
        <v>2579</v>
      </c>
      <c r="H1432" s="79"/>
      <c r="I1432" s="79"/>
    </row>
    <row r="1433" spans="1:9" ht="14.25">
      <c r="A1433" s="79" t="s">
        <v>3368</v>
      </c>
      <c r="B1433" s="79" t="s">
        <v>3369</v>
      </c>
      <c r="C1433" s="79">
        <v>598546808</v>
      </c>
      <c r="D1433" s="79">
        <v>0</v>
      </c>
      <c r="E1433" s="79" t="s">
        <v>1124</v>
      </c>
      <c r="F1433" s="79" t="s">
        <v>2537</v>
      </c>
      <c r="G1433" s="79" t="s">
        <v>1130</v>
      </c>
      <c r="H1433" s="79"/>
      <c r="I1433" s="79"/>
    </row>
    <row r="1434" spans="1:9" ht="14.25">
      <c r="A1434" s="79" t="s">
        <v>3368</v>
      </c>
      <c r="B1434" s="79" t="s">
        <v>3369</v>
      </c>
      <c r="C1434" s="79">
        <v>598546808</v>
      </c>
      <c r="D1434" s="79">
        <v>0</v>
      </c>
      <c r="E1434" s="79" t="s">
        <v>1124</v>
      </c>
      <c r="F1434" s="79" t="s">
        <v>2537</v>
      </c>
      <c r="G1434" s="79" t="s">
        <v>1131</v>
      </c>
      <c r="H1434" s="79" t="s">
        <v>1132</v>
      </c>
      <c r="I1434" s="79"/>
    </row>
    <row r="1435" spans="1:9" ht="14.25">
      <c r="A1435" s="79" t="s">
        <v>3368</v>
      </c>
      <c r="B1435" s="79" t="s">
        <v>3369</v>
      </c>
      <c r="C1435" s="79">
        <v>598546808</v>
      </c>
      <c r="D1435" s="79">
        <v>0</v>
      </c>
      <c r="E1435" s="79" t="s">
        <v>1124</v>
      </c>
      <c r="F1435" s="79" t="s">
        <v>2537</v>
      </c>
      <c r="G1435" s="79" t="s">
        <v>2576</v>
      </c>
      <c r="H1435" s="79"/>
      <c r="I1435" s="79"/>
    </row>
    <row r="1436" spans="1:9" ht="14.25">
      <c r="A1436" s="79" t="s">
        <v>3370</v>
      </c>
      <c r="B1436" s="79" t="s">
        <v>3371</v>
      </c>
      <c r="C1436" s="79">
        <v>598547408</v>
      </c>
      <c r="D1436" s="79">
        <v>0</v>
      </c>
      <c r="E1436" s="79" t="s">
        <v>1124</v>
      </c>
      <c r="F1436" s="79" t="s">
        <v>2537</v>
      </c>
      <c r="G1436" s="79" t="s">
        <v>2544</v>
      </c>
      <c r="H1436" s="79" t="s">
        <v>2545</v>
      </c>
      <c r="I1436" s="79"/>
    </row>
    <row r="1437" spans="1:9" ht="14.25">
      <c r="A1437" s="79" t="s">
        <v>3370</v>
      </c>
      <c r="B1437" s="79" t="s">
        <v>3371</v>
      </c>
      <c r="C1437" s="79">
        <v>598547408</v>
      </c>
      <c r="D1437" s="79">
        <v>0</v>
      </c>
      <c r="E1437" s="79" t="s">
        <v>1124</v>
      </c>
      <c r="F1437" s="79" t="s">
        <v>2537</v>
      </c>
      <c r="G1437" s="79" t="s">
        <v>2579</v>
      </c>
      <c r="H1437" s="79"/>
      <c r="I1437" s="79"/>
    </row>
    <row r="1438" spans="1:9" ht="14.25">
      <c r="A1438" s="79" t="s">
        <v>3372</v>
      </c>
      <c r="B1438" s="79" t="s">
        <v>3373</v>
      </c>
      <c r="C1438" s="79">
        <v>598590008</v>
      </c>
      <c r="D1438" s="79">
        <v>0</v>
      </c>
      <c r="E1438" s="79" t="s">
        <v>1124</v>
      </c>
      <c r="F1438" s="79" t="s">
        <v>2537</v>
      </c>
      <c r="G1438" s="79" t="s">
        <v>1130</v>
      </c>
      <c r="H1438" s="79"/>
      <c r="I1438" s="79"/>
    </row>
    <row r="1439" spans="1:9" ht="14.25">
      <c r="A1439" s="79" t="s">
        <v>3372</v>
      </c>
      <c r="B1439" s="79" t="s">
        <v>3373</v>
      </c>
      <c r="C1439" s="79">
        <v>598590008</v>
      </c>
      <c r="D1439" s="79">
        <v>0</v>
      </c>
      <c r="E1439" s="79" t="s">
        <v>1124</v>
      </c>
      <c r="F1439" s="79" t="s">
        <v>2537</v>
      </c>
      <c r="G1439" s="79" t="s">
        <v>1131</v>
      </c>
      <c r="H1439" s="79" t="s">
        <v>1132</v>
      </c>
      <c r="I1439" s="79"/>
    </row>
    <row r="1440" spans="1:9" ht="14.25">
      <c r="A1440" s="79" t="s">
        <v>3372</v>
      </c>
      <c r="B1440" s="79" t="s">
        <v>3373</v>
      </c>
      <c r="C1440" s="79">
        <v>598590008</v>
      </c>
      <c r="D1440" s="79">
        <v>0</v>
      </c>
      <c r="E1440" s="79" t="s">
        <v>1124</v>
      </c>
      <c r="F1440" s="79" t="s">
        <v>2537</v>
      </c>
      <c r="G1440" s="79" t="s">
        <v>2576</v>
      </c>
      <c r="H1440" s="79"/>
      <c r="I1440" s="79"/>
    </row>
    <row r="1441" spans="1:9" ht="14.25">
      <c r="A1441" s="79" t="s">
        <v>3374</v>
      </c>
      <c r="B1441" s="79" t="s">
        <v>3375</v>
      </c>
      <c r="C1441" s="79">
        <v>598590608</v>
      </c>
      <c r="D1441" s="79">
        <v>0</v>
      </c>
      <c r="E1441" s="79" t="s">
        <v>1124</v>
      </c>
      <c r="F1441" s="79" t="s">
        <v>2537</v>
      </c>
      <c r="G1441" s="79" t="s">
        <v>2544</v>
      </c>
      <c r="H1441" s="79" t="s">
        <v>2545</v>
      </c>
      <c r="I1441" s="79"/>
    </row>
    <row r="1442" spans="1:9" ht="14.25">
      <c r="A1442" s="79" t="s">
        <v>3374</v>
      </c>
      <c r="B1442" s="79" t="s">
        <v>3375</v>
      </c>
      <c r="C1442" s="79">
        <v>598590608</v>
      </c>
      <c r="D1442" s="79">
        <v>0</v>
      </c>
      <c r="E1442" s="79" t="s">
        <v>1124</v>
      </c>
      <c r="F1442" s="79" t="s">
        <v>2537</v>
      </c>
      <c r="G1442" s="79" t="s">
        <v>2579</v>
      </c>
      <c r="H1442" s="79"/>
      <c r="I1442" s="79"/>
    </row>
    <row r="1443" spans="1:9" ht="14.25">
      <c r="A1443" s="79" t="s">
        <v>3376</v>
      </c>
      <c r="B1443" s="79" t="s">
        <v>3377</v>
      </c>
      <c r="C1443" s="79">
        <v>598633208</v>
      </c>
      <c r="D1443" s="79">
        <v>0</v>
      </c>
      <c r="E1443" s="79" t="s">
        <v>1124</v>
      </c>
      <c r="F1443" s="79" t="s">
        <v>2537</v>
      </c>
      <c r="G1443" s="79" t="s">
        <v>1130</v>
      </c>
      <c r="H1443" s="79"/>
      <c r="I1443" s="79"/>
    </row>
    <row r="1444" spans="1:9" ht="14.25">
      <c r="A1444" s="79" t="s">
        <v>3376</v>
      </c>
      <c r="B1444" s="79" t="s">
        <v>3377</v>
      </c>
      <c r="C1444" s="79">
        <v>598633208</v>
      </c>
      <c r="D1444" s="79">
        <v>0</v>
      </c>
      <c r="E1444" s="79" t="s">
        <v>1124</v>
      </c>
      <c r="F1444" s="79" t="s">
        <v>2537</v>
      </c>
      <c r="G1444" s="79" t="s">
        <v>1131</v>
      </c>
      <c r="H1444" s="79" t="s">
        <v>1132</v>
      </c>
      <c r="I1444" s="79"/>
    </row>
    <row r="1445" spans="1:9" ht="14.25">
      <c r="A1445" s="79" t="s">
        <v>3376</v>
      </c>
      <c r="B1445" s="79" t="s">
        <v>3377</v>
      </c>
      <c r="C1445" s="79">
        <v>598633208</v>
      </c>
      <c r="D1445" s="79">
        <v>0</v>
      </c>
      <c r="E1445" s="79" t="s">
        <v>1124</v>
      </c>
      <c r="F1445" s="79" t="s">
        <v>2537</v>
      </c>
      <c r="G1445" s="79" t="s">
        <v>2576</v>
      </c>
      <c r="H1445" s="79"/>
      <c r="I1445" s="79"/>
    </row>
    <row r="1446" spans="1:9" ht="14.25">
      <c r="A1446" s="79" t="s">
        <v>3378</v>
      </c>
      <c r="B1446" s="79" t="s">
        <v>3379</v>
      </c>
      <c r="C1446" s="79">
        <v>598633808</v>
      </c>
      <c r="D1446" s="79">
        <v>0</v>
      </c>
      <c r="E1446" s="79" t="s">
        <v>1124</v>
      </c>
      <c r="F1446" s="79" t="s">
        <v>2537</v>
      </c>
      <c r="G1446" s="79" t="s">
        <v>2544</v>
      </c>
      <c r="H1446" s="79" t="s">
        <v>2545</v>
      </c>
      <c r="I1446" s="79"/>
    </row>
    <row r="1447" spans="1:9" ht="14.25">
      <c r="A1447" s="79" t="s">
        <v>3378</v>
      </c>
      <c r="B1447" s="79" t="s">
        <v>3379</v>
      </c>
      <c r="C1447" s="79">
        <v>598633808</v>
      </c>
      <c r="D1447" s="79">
        <v>0</v>
      </c>
      <c r="E1447" s="79" t="s">
        <v>1124</v>
      </c>
      <c r="F1447" s="79" t="s">
        <v>2537</v>
      </c>
      <c r="G1447" s="79" t="s">
        <v>2579</v>
      </c>
      <c r="H1447" s="79"/>
      <c r="I1447" s="79"/>
    </row>
    <row r="1448" spans="1:9" ht="14.25">
      <c r="A1448" s="79" t="s">
        <v>3380</v>
      </c>
      <c r="B1448" s="79" t="s">
        <v>3381</v>
      </c>
      <c r="C1448" s="79">
        <v>598676408</v>
      </c>
      <c r="D1448" s="79">
        <v>0</v>
      </c>
      <c r="E1448" s="79" t="s">
        <v>1124</v>
      </c>
      <c r="F1448" s="79" t="s">
        <v>2537</v>
      </c>
      <c r="G1448" s="79" t="s">
        <v>1130</v>
      </c>
      <c r="H1448" s="79"/>
      <c r="I1448" s="79"/>
    </row>
    <row r="1449" spans="1:9" ht="14.25">
      <c r="A1449" s="79" t="s">
        <v>3380</v>
      </c>
      <c r="B1449" s="79" t="s">
        <v>3381</v>
      </c>
      <c r="C1449" s="79">
        <v>598676408</v>
      </c>
      <c r="D1449" s="79">
        <v>0</v>
      </c>
      <c r="E1449" s="79" t="s">
        <v>1124</v>
      </c>
      <c r="F1449" s="79" t="s">
        <v>2537</v>
      </c>
      <c r="G1449" s="79" t="s">
        <v>1131</v>
      </c>
      <c r="H1449" s="79" t="s">
        <v>1132</v>
      </c>
      <c r="I1449" s="79"/>
    </row>
    <row r="1450" spans="1:9" ht="14.25">
      <c r="A1450" s="79" t="s">
        <v>3380</v>
      </c>
      <c r="B1450" s="79" t="s">
        <v>3381</v>
      </c>
      <c r="C1450" s="79">
        <v>598676408</v>
      </c>
      <c r="D1450" s="79">
        <v>0</v>
      </c>
      <c r="E1450" s="79" t="s">
        <v>1124</v>
      </c>
      <c r="F1450" s="79" t="s">
        <v>2537</v>
      </c>
      <c r="G1450" s="79" t="s">
        <v>2576</v>
      </c>
      <c r="H1450" s="79"/>
      <c r="I1450" s="79"/>
    </row>
    <row r="1451" spans="1:9" ht="14.25">
      <c r="A1451" s="79" t="s">
        <v>3382</v>
      </c>
      <c r="B1451" s="79" t="s">
        <v>3383</v>
      </c>
      <c r="C1451" s="79">
        <v>598677008</v>
      </c>
      <c r="D1451" s="79">
        <v>0</v>
      </c>
      <c r="E1451" s="79" t="s">
        <v>1124</v>
      </c>
      <c r="F1451" s="79" t="s">
        <v>2537</v>
      </c>
      <c r="G1451" s="79" t="s">
        <v>2544</v>
      </c>
      <c r="H1451" s="79" t="s">
        <v>2545</v>
      </c>
      <c r="I1451" s="79"/>
    </row>
    <row r="1452" spans="1:9" ht="14.25">
      <c r="A1452" s="79" t="s">
        <v>3382</v>
      </c>
      <c r="B1452" s="79" t="s">
        <v>3383</v>
      </c>
      <c r="C1452" s="79">
        <v>598677008</v>
      </c>
      <c r="D1452" s="79">
        <v>0</v>
      </c>
      <c r="E1452" s="79" t="s">
        <v>1124</v>
      </c>
      <c r="F1452" s="79" t="s">
        <v>2537</v>
      </c>
      <c r="G1452" s="79" t="s">
        <v>2579</v>
      </c>
      <c r="H1452" s="79"/>
      <c r="I1452" s="79"/>
    </row>
    <row r="1453" spans="1:9" ht="14.25">
      <c r="A1453" s="79" t="s">
        <v>3384</v>
      </c>
      <c r="B1453" s="79" t="s">
        <v>3385</v>
      </c>
      <c r="C1453" s="79">
        <v>598719608</v>
      </c>
      <c r="D1453" s="79">
        <v>0</v>
      </c>
      <c r="E1453" s="79" t="s">
        <v>1124</v>
      </c>
      <c r="F1453" s="79" t="s">
        <v>2537</v>
      </c>
      <c r="G1453" s="79" t="s">
        <v>1130</v>
      </c>
      <c r="H1453" s="79"/>
      <c r="I1453" s="79"/>
    </row>
    <row r="1454" spans="1:9" ht="14.25">
      <c r="A1454" s="79" t="s">
        <v>3384</v>
      </c>
      <c r="B1454" s="79" t="s">
        <v>3385</v>
      </c>
      <c r="C1454" s="79">
        <v>598719608</v>
      </c>
      <c r="D1454" s="79">
        <v>0</v>
      </c>
      <c r="E1454" s="79" t="s">
        <v>1124</v>
      </c>
      <c r="F1454" s="79" t="s">
        <v>2537</v>
      </c>
      <c r="G1454" s="79" t="s">
        <v>1131</v>
      </c>
      <c r="H1454" s="79" t="s">
        <v>1132</v>
      </c>
      <c r="I1454" s="79"/>
    </row>
    <row r="1455" spans="1:9" ht="14.25">
      <c r="A1455" s="79" t="s">
        <v>3384</v>
      </c>
      <c r="B1455" s="79" t="s">
        <v>3385</v>
      </c>
      <c r="C1455" s="79">
        <v>598719608</v>
      </c>
      <c r="D1455" s="79">
        <v>0</v>
      </c>
      <c r="E1455" s="79" t="s">
        <v>1124</v>
      </c>
      <c r="F1455" s="79" t="s">
        <v>2537</v>
      </c>
      <c r="G1455" s="79" t="s">
        <v>2576</v>
      </c>
      <c r="H1455" s="79"/>
      <c r="I1455" s="79"/>
    </row>
    <row r="1456" spans="1:9" ht="14.25">
      <c r="A1456" s="79" t="s">
        <v>3386</v>
      </c>
      <c r="B1456" s="79" t="s">
        <v>3387</v>
      </c>
      <c r="C1456" s="79">
        <v>598720208</v>
      </c>
      <c r="D1456" s="79">
        <v>0</v>
      </c>
      <c r="E1456" s="79" t="s">
        <v>1124</v>
      </c>
      <c r="F1456" s="79" t="s">
        <v>2537</v>
      </c>
      <c r="G1456" s="79" t="s">
        <v>2544</v>
      </c>
      <c r="H1456" s="79" t="s">
        <v>2545</v>
      </c>
      <c r="I1456" s="79"/>
    </row>
    <row r="1457" spans="1:9" ht="14.25">
      <c r="A1457" s="79" t="s">
        <v>3386</v>
      </c>
      <c r="B1457" s="79" t="s">
        <v>3387</v>
      </c>
      <c r="C1457" s="79">
        <v>598720208</v>
      </c>
      <c r="D1457" s="79">
        <v>0</v>
      </c>
      <c r="E1457" s="79" t="s">
        <v>1124</v>
      </c>
      <c r="F1457" s="79" t="s">
        <v>2537</v>
      </c>
      <c r="G1457" s="79" t="s">
        <v>2579</v>
      </c>
      <c r="H1457" s="79"/>
      <c r="I1457" s="79"/>
    </row>
    <row r="1458" spans="1:9" ht="14.25">
      <c r="A1458" s="79" t="s">
        <v>3388</v>
      </c>
      <c r="B1458" s="79" t="s">
        <v>3389</v>
      </c>
      <c r="C1458" s="79">
        <v>598762808</v>
      </c>
      <c r="D1458" s="79">
        <v>0</v>
      </c>
      <c r="E1458" s="79" t="s">
        <v>1124</v>
      </c>
      <c r="F1458" s="79" t="s">
        <v>2537</v>
      </c>
      <c r="G1458" s="79" t="s">
        <v>1130</v>
      </c>
      <c r="H1458" s="79"/>
      <c r="I1458" s="79"/>
    </row>
    <row r="1459" spans="1:9" ht="14.25">
      <c r="A1459" s="79" t="s">
        <v>3388</v>
      </c>
      <c r="B1459" s="79" t="s">
        <v>3389</v>
      </c>
      <c r="C1459" s="79">
        <v>598762808</v>
      </c>
      <c r="D1459" s="79">
        <v>0</v>
      </c>
      <c r="E1459" s="79" t="s">
        <v>1124</v>
      </c>
      <c r="F1459" s="79" t="s">
        <v>2537</v>
      </c>
      <c r="G1459" s="79" t="s">
        <v>1131</v>
      </c>
      <c r="H1459" s="79" t="s">
        <v>1132</v>
      </c>
      <c r="I1459" s="79"/>
    </row>
    <row r="1460" spans="1:9" ht="14.25">
      <c r="A1460" s="79" t="s">
        <v>3388</v>
      </c>
      <c r="B1460" s="79" t="s">
        <v>3389</v>
      </c>
      <c r="C1460" s="79">
        <v>598762808</v>
      </c>
      <c r="D1460" s="79">
        <v>0</v>
      </c>
      <c r="E1460" s="79" t="s">
        <v>1124</v>
      </c>
      <c r="F1460" s="79" t="s">
        <v>2537</v>
      </c>
      <c r="G1460" s="79" t="s">
        <v>2576</v>
      </c>
      <c r="H1460" s="79"/>
      <c r="I1460" s="79"/>
    </row>
    <row r="1461" spans="1:9" ht="14.25">
      <c r="A1461" s="79" t="s">
        <v>3390</v>
      </c>
      <c r="B1461" s="79" t="s">
        <v>3391</v>
      </c>
      <c r="C1461" s="79">
        <v>598763408</v>
      </c>
      <c r="D1461" s="79">
        <v>0</v>
      </c>
      <c r="E1461" s="79" t="s">
        <v>1124</v>
      </c>
      <c r="F1461" s="79" t="s">
        <v>2537</v>
      </c>
      <c r="G1461" s="79" t="s">
        <v>2544</v>
      </c>
      <c r="H1461" s="79" t="s">
        <v>2545</v>
      </c>
      <c r="I1461" s="79"/>
    </row>
    <row r="1462" spans="1:9" ht="14.25">
      <c r="A1462" s="79" t="s">
        <v>3390</v>
      </c>
      <c r="B1462" s="79" t="s">
        <v>3391</v>
      </c>
      <c r="C1462" s="79">
        <v>598763408</v>
      </c>
      <c r="D1462" s="79">
        <v>0</v>
      </c>
      <c r="E1462" s="79" t="s">
        <v>1124</v>
      </c>
      <c r="F1462" s="79" t="s">
        <v>2537</v>
      </c>
      <c r="G1462" s="79" t="s">
        <v>2579</v>
      </c>
      <c r="H1462" s="79"/>
      <c r="I1462" s="79"/>
    </row>
    <row r="1463" spans="1:9" ht="14.25">
      <c r="A1463" s="79" t="s">
        <v>3392</v>
      </c>
      <c r="B1463" s="79" t="s">
        <v>3393</v>
      </c>
      <c r="C1463" s="79">
        <v>598806008</v>
      </c>
      <c r="D1463" s="79">
        <v>0</v>
      </c>
      <c r="E1463" s="79" t="s">
        <v>1124</v>
      </c>
      <c r="F1463" s="79" t="s">
        <v>2537</v>
      </c>
      <c r="G1463" s="79" t="s">
        <v>1130</v>
      </c>
      <c r="H1463" s="79"/>
      <c r="I1463" s="79"/>
    </row>
    <row r="1464" spans="1:9" ht="14.25">
      <c r="A1464" s="79" t="s">
        <v>3392</v>
      </c>
      <c r="B1464" s="79" t="s">
        <v>3393</v>
      </c>
      <c r="C1464" s="79">
        <v>598806008</v>
      </c>
      <c r="D1464" s="79">
        <v>0</v>
      </c>
      <c r="E1464" s="79" t="s">
        <v>1124</v>
      </c>
      <c r="F1464" s="79" t="s">
        <v>2537</v>
      </c>
      <c r="G1464" s="79" t="s">
        <v>1131</v>
      </c>
      <c r="H1464" s="79" t="s">
        <v>1132</v>
      </c>
      <c r="I1464" s="79"/>
    </row>
    <row r="1465" spans="1:9" ht="14.25">
      <c r="A1465" s="79" t="s">
        <v>3392</v>
      </c>
      <c r="B1465" s="79" t="s">
        <v>3393</v>
      </c>
      <c r="C1465" s="79">
        <v>598806008</v>
      </c>
      <c r="D1465" s="79">
        <v>0</v>
      </c>
      <c r="E1465" s="79" t="s">
        <v>1124</v>
      </c>
      <c r="F1465" s="79" t="s">
        <v>2537</v>
      </c>
      <c r="G1465" s="79" t="s">
        <v>2576</v>
      </c>
      <c r="H1465" s="79"/>
      <c r="I1465" s="79"/>
    </row>
    <row r="1466" spans="1:9" ht="14.25">
      <c r="A1466" s="79" t="s">
        <v>3394</v>
      </c>
      <c r="B1466" s="79" t="s">
        <v>3395</v>
      </c>
      <c r="C1466" s="79">
        <v>598806608</v>
      </c>
      <c r="D1466" s="79">
        <v>0</v>
      </c>
      <c r="E1466" s="79" t="s">
        <v>1124</v>
      </c>
      <c r="F1466" s="79" t="s">
        <v>2537</v>
      </c>
      <c r="G1466" s="79" t="s">
        <v>2544</v>
      </c>
      <c r="H1466" s="79" t="s">
        <v>2545</v>
      </c>
      <c r="I1466" s="79"/>
    </row>
    <row r="1467" spans="1:9" ht="14.25">
      <c r="A1467" s="79" t="s">
        <v>3394</v>
      </c>
      <c r="B1467" s="79" t="s">
        <v>3395</v>
      </c>
      <c r="C1467" s="79">
        <v>598806608</v>
      </c>
      <c r="D1467" s="79">
        <v>0</v>
      </c>
      <c r="E1467" s="79" t="s">
        <v>1124</v>
      </c>
      <c r="F1467" s="79" t="s">
        <v>2537</v>
      </c>
      <c r="G1467" s="79" t="s">
        <v>2579</v>
      </c>
      <c r="H1467" s="79"/>
      <c r="I1467" s="79"/>
    </row>
    <row r="1468" spans="1:9" ht="14.25">
      <c r="A1468" s="79" t="s">
        <v>3396</v>
      </c>
      <c r="B1468" s="79" t="s">
        <v>3397</v>
      </c>
      <c r="C1468" s="79">
        <v>598849208</v>
      </c>
      <c r="D1468" s="79">
        <v>0</v>
      </c>
      <c r="E1468" s="79" t="s">
        <v>1124</v>
      </c>
      <c r="F1468" s="79" t="s">
        <v>2537</v>
      </c>
      <c r="G1468" s="79" t="s">
        <v>1130</v>
      </c>
      <c r="H1468" s="79"/>
      <c r="I1468" s="79"/>
    </row>
    <row r="1469" spans="1:9" ht="14.25">
      <c r="A1469" s="79" t="s">
        <v>3396</v>
      </c>
      <c r="B1469" s="79" t="s">
        <v>3397</v>
      </c>
      <c r="C1469" s="79">
        <v>598849208</v>
      </c>
      <c r="D1469" s="79">
        <v>0</v>
      </c>
      <c r="E1469" s="79" t="s">
        <v>1124</v>
      </c>
      <c r="F1469" s="79" t="s">
        <v>2537</v>
      </c>
      <c r="G1469" s="79" t="s">
        <v>1131</v>
      </c>
      <c r="H1469" s="79" t="s">
        <v>1132</v>
      </c>
      <c r="I1469" s="79"/>
    </row>
    <row r="1470" spans="1:9" ht="14.25">
      <c r="A1470" s="79" t="s">
        <v>3396</v>
      </c>
      <c r="B1470" s="79" t="s">
        <v>3397</v>
      </c>
      <c r="C1470" s="79">
        <v>598849208</v>
      </c>
      <c r="D1470" s="79">
        <v>0</v>
      </c>
      <c r="E1470" s="79" t="s">
        <v>1124</v>
      </c>
      <c r="F1470" s="79" t="s">
        <v>2537</v>
      </c>
      <c r="G1470" s="79" t="s">
        <v>2576</v>
      </c>
      <c r="H1470" s="79"/>
      <c r="I1470" s="79"/>
    </row>
    <row r="1471" spans="1:9" ht="14.25">
      <c r="A1471" s="79" t="s">
        <v>3398</v>
      </c>
      <c r="B1471" s="79" t="s">
        <v>3399</v>
      </c>
      <c r="C1471" s="79">
        <v>598849808</v>
      </c>
      <c r="D1471" s="79">
        <v>0</v>
      </c>
      <c r="E1471" s="79" t="s">
        <v>1124</v>
      </c>
      <c r="F1471" s="79" t="s">
        <v>2537</v>
      </c>
      <c r="G1471" s="79" t="s">
        <v>2544</v>
      </c>
      <c r="H1471" s="79" t="s">
        <v>2545</v>
      </c>
      <c r="I1471" s="79"/>
    </row>
    <row r="1472" spans="1:9" ht="14.25">
      <c r="A1472" s="79" t="s">
        <v>3398</v>
      </c>
      <c r="B1472" s="79" t="s">
        <v>3399</v>
      </c>
      <c r="C1472" s="79">
        <v>598849808</v>
      </c>
      <c r="D1472" s="79">
        <v>0</v>
      </c>
      <c r="E1472" s="79" t="s">
        <v>1124</v>
      </c>
      <c r="F1472" s="79" t="s">
        <v>2537</v>
      </c>
      <c r="G1472" s="79" t="s">
        <v>2579</v>
      </c>
      <c r="H1472" s="79"/>
      <c r="I1472" s="79"/>
    </row>
    <row r="1473" spans="1:9" ht="14.25">
      <c r="A1473" s="79" t="s">
        <v>3400</v>
      </c>
      <c r="B1473" s="79" t="s">
        <v>3401</v>
      </c>
      <c r="C1473" s="79">
        <v>598892408</v>
      </c>
      <c r="D1473" s="79">
        <v>0</v>
      </c>
      <c r="E1473" s="79" t="s">
        <v>1124</v>
      </c>
      <c r="F1473" s="79" t="s">
        <v>2537</v>
      </c>
      <c r="G1473" s="79" t="s">
        <v>1130</v>
      </c>
      <c r="H1473" s="79"/>
      <c r="I1473" s="79"/>
    </row>
    <row r="1474" spans="1:9" ht="14.25">
      <c r="A1474" s="79" t="s">
        <v>3400</v>
      </c>
      <c r="B1474" s="79" t="s">
        <v>3401</v>
      </c>
      <c r="C1474" s="79">
        <v>598892408</v>
      </c>
      <c r="D1474" s="79">
        <v>0</v>
      </c>
      <c r="E1474" s="79" t="s">
        <v>1124</v>
      </c>
      <c r="F1474" s="79" t="s">
        <v>2537</v>
      </c>
      <c r="G1474" s="79" t="s">
        <v>2107</v>
      </c>
      <c r="H1474" s="79"/>
      <c r="I1474" s="79"/>
    </row>
    <row r="1475" spans="1:9" ht="14.25">
      <c r="A1475" s="79" t="s">
        <v>3402</v>
      </c>
      <c r="B1475" s="79" t="s">
        <v>3403</v>
      </c>
      <c r="C1475" s="79">
        <v>598892411</v>
      </c>
      <c r="D1475" s="79">
        <v>0</v>
      </c>
      <c r="E1475" s="79" t="s">
        <v>1124</v>
      </c>
      <c r="F1475" s="79" t="s">
        <v>2537</v>
      </c>
      <c r="G1475" s="79" t="s">
        <v>1130</v>
      </c>
      <c r="H1475" s="79"/>
      <c r="I1475" s="79"/>
    </row>
    <row r="1476" spans="1:9" ht="14.25">
      <c r="A1476" s="79" t="s">
        <v>3402</v>
      </c>
      <c r="B1476" s="79" t="s">
        <v>3403</v>
      </c>
      <c r="C1476" s="79">
        <v>598892411</v>
      </c>
      <c r="D1476" s="79">
        <v>0</v>
      </c>
      <c r="E1476" s="79" t="s">
        <v>1124</v>
      </c>
      <c r="F1476" s="79" t="s">
        <v>2537</v>
      </c>
      <c r="G1476" s="79" t="s">
        <v>2570</v>
      </c>
      <c r="H1476" s="79" t="s">
        <v>2571</v>
      </c>
      <c r="I1476" s="79"/>
    </row>
    <row r="1477" spans="1:9" ht="14.25">
      <c r="A1477" s="79" t="s">
        <v>3402</v>
      </c>
      <c r="B1477" s="79" t="s">
        <v>3403</v>
      </c>
      <c r="C1477" s="79">
        <v>598892411</v>
      </c>
      <c r="D1477" s="79">
        <v>0</v>
      </c>
      <c r="E1477" s="79" t="s">
        <v>1124</v>
      </c>
      <c r="F1477" s="79" t="s">
        <v>2537</v>
      </c>
      <c r="G1477" s="79" t="s">
        <v>2566</v>
      </c>
      <c r="H1477" s="79"/>
      <c r="I1477" s="79"/>
    </row>
    <row r="1478" spans="1:9" ht="14.25">
      <c r="A1478" s="79" t="s">
        <v>3404</v>
      </c>
      <c r="B1478" s="79" t="s">
        <v>3405</v>
      </c>
      <c r="C1478" s="79">
        <v>598892771</v>
      </c>
      <c r="D1478" s="79">
        <v>0</v>
      </c>
      <c r="E1478" s="79" t="s">
        <v>1124</v>
      </c>
      <c r="F1478" s="79" t="s">
        <v>2537</v>
      </c>
      <c r="G1478" s="79" t="s">
        <v>2574</v>
      </c>
      <c r="H1478" s="79"/>
      <c r="I1478" s="79"/>
    </row>
    <row r="1479" spans="1:9" ht="14.25">
      <c r="A1479" s="79" t="s">
        <v>3404</v>
      </c>
      <c r="B1479" s="79" t="s">
        <v>3405</v>
      </c>
      <c r="C1479" s="79">
        <v>598892771</v>
      </c>
      <c r="D1479" s="79">
        <v>0</v>
      </c>
      <c r="E1479" s="79" t="s">
        <v>1124</v>
      </c>
      <c r="F1479" s="79" t="s">
        <v>2537</v>
      </c>
      <c r="G1479" s="79" t="s">
        <v>2575</v>
      </c>
      <c r="H1479" s="79"/>
      <c r="I1479" s="79"/>
    </row>
    <row r="1480" spans="1:9" ht="14.25">
      <c r="A1480" s="79" t="s">
        <v>3404</v>
      </c>
      <c r="B1480" s="79" t="s">
        <v>3405</v>
      </c>
      <c r="C1480" s="79">
        <v>598892771</v>
      </c>
      <c r="D1480" s="79">
        <v>0</v>
      </c>
      <c r="E1480" s="79" t="s">
        <v>1124</v>
      </c>
      <c r="F1480" s="79" t="s">
        <v>2537</v>
      </c>
      <c r="G1480" s="79" t="s">
        <v>1131</v>
      </c>
      <c r="H1480" s="79" t="s">
        <v>1132</v>
      </c>
      <c r="I1480" s="79"/>
    </row>
    <row r="1481" spans="1:9" ht="14.25">
      <c r="A1481" s="79" t="s">
        <v>3404</v>
      </c>
      <c r="B1481" s="79" t="s">
        <v>3405</v>
      </c>
      <c r="C1481" s="79">
        <v>598892771</v>
      </c>
      <c r="D1481" s="79">
        <v>0</v>
      </c>
      <c r="E1481" s="79" t="s">
        <v>1124</v>
      </c>
      <c r="F1481" s="79" t="s">
        <v>2537</v>
      </c>
      <c r="G1481" s="79" t="s">
        <v>2576</v>
      </c>
      <c r="H1481" s="79"/>
      <c r="I1481" s="79"/>
    </row>
    <row r="1482" spans="1:9" ht="14.25">
      <c r="A1482" s="79" t="s">
        <v>3406</v>
      </c>
      <c r="B1482" s="79" t="s">
        <v>3407</v>
      </c>
      <c r="C1482" s="79">
        <v>598893371</v>
      </c>
      <c r="D1482" s="79">
        <v>0</v>
      </c>
      <c r="E1482" s="79" t="s">
        <v>1124</v>
      </c>
      <c r="F1482" s="79" t="s">
        <v>2537</v>
      </c>
      <c r="G1482" s="79" t="s">
        <v>2544</v>
      </c>
      <c r="H1482" s="79" t="s">
        <v>2545</v>
      </c>
      <c r="I1482" s="79"/>
    </row>
    <row r="1483" spans="1:9" ht="14.25">
      <c r="A1483" s="79" t="s">
        <v>3406</v>
      </c>
      <c r="B1483" s="79" t="s">
        <v>3407</v>
      </c>
      <c r="C1483" s="79">
        <v>598893371</v>
      </c>
      <c r="D1483" s="79">
        <v>0</v>
      </c>
      <c r="E1483" s="79" t="s">
        <v>1124</v>
      </c>
      <c r="F1483" s="79" t="s">
        <v>2537</v>
      </c>
      <c r="G1483" s="79" t="s">
        <v>2579</v>
      </c>
      <c r="H1483" s="79"/>
      <c r="I1483" s="79"/>
    </row>
    <row r="1484" spans="1:9" ht="14.25">
      <c r="A1484" s="79" t="s">
        <v>3408</v>
      </c>
      <c r="B1484" s="79" t="s">
        <v>3409</v>
      </c>
      <c r="C1484" s="79">
        <v>598935971</v>
      </c>
      <c r="D1484" s="79">
        <v>0</v>
      </c>
      <c r="E1484" s="79" t="s">
        <v>1124</v>
      </c>
      <c r="F1484" s="79" t="s">
        <v>2537</v>
      </c>
      <c r="G1484" s="79" t="s">
        <v>1130</v>
      </c>
      <c r="H1484" s="79"/>
      <c r="I1484" s="79"/>
    </row>
    <row r="1485" spans="1:9" ht="14.25">
      <c r="A1485" s="79" t="s">
        <v>3408</v>
      </c>
      <c r="B1485" s="79" t="s">
        <v>3409</v>
      </c>
      <c r="C1485" s="79">
        <v>598935971</v>
      </c>
      <c r="D1485" s="79">
        <v>0</v>
      </c>
      <c r="E1485" s="79" t="s">
        <v>1124</v>
      </c>
      <c r="F1485" s="79" t="s">
        <v>2537</v>
      </c>
      <c r="G1485" s="79" t="s">
        <v>1131</v>
      </c>
      <c r="H1485" s="79" t="s">
        <v>1132</v>
      </c>
      <c r="I1485" s="79"/>
    </row>
    <row r="1486" spans="1:9" ht="14.25">
      <c r="A1486" s="79" t="s">
        <v>3408</v>
      </c>
      <c r="B1486" s="79" t="s">
        <v>3409</v>
      </c>
      <c r="C1486" s="79">
        <v>598935971</v>
      </c>
      <c r="D1486" s="79">
        <v>0</v>
      </c>
      <c r="E1486" s="79" t="s">
        <v>1124</v>
      </c>
      <c r="F1486" s="79" t="s">
        <v>2537</v>
      </c>
      <c r="G1486" s="79" t="s">
        <v>2576</v>
      </c>
      <c r="H1486" s="79"/>
      <c r="I1486" s="79"/>
    </row>
    <row r="1487" spans="1:9" ht="14.25">
      <c r="A1487" s="79" t="s">
        <v>3410</v>
      </c>
      <c r="B1487" s="79" t="s">
        <v>3411</v>
      </c>
      <c r="C1487" s="79">
        <v>598936571</v>
      </c>
      <c r="D1487" s="79">
        <v>0</v>
      </c>
      <c r="E1487" s="79" t="s">
        <v>1124</v>
      </c>
      <c r="F1487" s="79" t="s">
        <v>2537</v>
      </c>
      <c r="G1487" s="79" t="s">
        <v>2544</v>
      </c>
      <c r="H1487" s="79" t="s">
        <v>2545</v>
      </c>
      <c r="I1487" s="79"/>
    </row>
    <row r="1488" spans="1:9" ht="14.25">
      <c r="A1488" s="79" t="s">
        <v>3410</v>
      </c>
      <c r="B1488" s="79" t="s">
        <v>3411</v>
      </c>
      <c r="C1488" s="79">
        <v>598936571</v>
      </c>
      <c r="D1488" s="79">
        <v>0</v>
      </c>
      <c r="E1488" s="79" t="s">
        <v>1124</v>
      </c>
      <c r="F1488" s="79" t="s">
        <v>2537</v>
      </c>
      <c r="G1488" s="79" t="s">
        <v>2579</v>
      </c>
      <c r="H1488" s="79"/>
      <c r="I1488" s="79"/>
    </row>
    <row r="1489" spans="1:9" ht="14.25">
      <c r="A1489" s="79" t="s">
        <v>3412</v>
      </c>
      <c r="B1489" s="79" t="s">
        <v>3413</v>
      </c>
      <c r="C1489" s="79">
        <v>598979171</v>
      </c>
      <c r="D1489" s="79">
        <v>0</v>
      </c>
      <c r="E1489" s="79" t="s">
        <v>1124</v>
      </c>
      <c r="F1489" s="79" t="s">
        <v>2537</v>
      </c>
      <c r="G1489" s="79" t="s">
        <v>1130</v>
      </c>
      <c r="H1489" s="79"/>
      <c r="I1489" s="79"/>
    </row>
    <row r="1490" spans="1:9" ht="14.25">
      <c r="A1490" s="79" t="s">
        <v>3412</v>
      </c>
      <c r="B1490" s="79" t="s">
        <v>3413</v>
      </c>
      <c r="C1490" s="79">
        <v>598979171</v>
      </c>
      <c r="D1490" s="79">
        <v>0</v>
      </c>
      <c r="E1490" s="79" t="s">
        <v>1124</v>
      </c>
      <c r="F1490" s="79" t="s">
        <v>2537</v>
      </c>
      <c r="G1490" s="79" t="s">
        <v>1131</v>
      </c>
      <c r="H1490" s="79" t="s">
        <v>1132</v>
      </c>
      <c r="I1490" s="79"/>
    </row>
    <row r="1491" spans="1:9" ht="14.25">
      <c r="A1491" s="79" t="s">
        <v>3412</v>
      </c>
      <c r="B1491" s="79" t="s">
        <v>3413</v>
      </c>
      <c r="C1491" s="79">
        <v>598979171</v>
      </c>
      <c r="D1491" s="79">
        <v>0</v>
      </c>
      <c r="E1491" s="79" t="s">
        <v>1124</v>
      </c>
      <c r="F1491" s="79" t="s">
        <v>2537</v>
      </c>
      <c r="G1491" s="79" t="s">
        <v>2576</v>
      </c>
      <c r="H1491" s="79"/>
      <c r="I1491" s="79"/>
    </row>
    <row r="1492" spans="1:9" ht="14.25">
      <c r="A1492" s="79" t="s">
        <v>3414</v>
      </c>
      <c r="B1492" s="79" t="s">
        <v>3415</v>
      </c>
      <c r="C1492" s="79">
        <v>598979771</v>
      </c>
      <c r="D1492" s="79">
        <v>0</v>
      </c>
      <c r="E1492" s="79" t="s">
        <v>1124</v>
      </c>
      <c r="F1492" s="79" t="s">
        <v>2537</v>
      </c>
      <c r="G1492" s="79" t="s">
        <v>2544</v>
      </c>
      <c r="H1492" s="79" t="s">
        <v>2545</v>
      </c>
      <c r="I1492" s="79"/>
    </row>
    <row r="1493" spans="1:9" ht="14.25">
      <c r="A1493" s="79" t="s">
        <v>3414</v>
      </c>
      <c r="B1493" s="79" t="s">
        <v>3415</v>
      </c>
      <c r="C1493" s="79">
        <v>598979771</v>
      </c>
      <c r="D1493" s="79">
        <v>0</v>
      </c>
      <c r="E1493" s="79" t="s">
        <v>1124</v>
      </c>
      <c r="F1493" s="79" t="s">
        <v>2537</v>
      </c>
      <c r="G1493" s="79" t="s">
        <v>2579</v>
      </c>
      <c r="H1493" s="79"/>
      <c r="I1493" s="79"/>
    </row>
    <row r="1494" spans="1:9" ht="14.25">
      <c r="A1494" s="79" t="s">
        <v>3416</v>
      </c>
      <c r="B1494" s="79" t="s">
        <v>3417</v>
      </c>
      <c r="C1494" s="79">
        <v>599022371</v>
      </c>
      <c r="D1494" s="79">
        <v>0</v>
      </c>
      <c r="E1494" s="79" t="s">
        <v>1124</v>
      </c>
      <c r="F1494" s="79" t="s">
        <v>2537</v>
      </c>
      <c r="G1494" s="79" t="s">
        <v>1130</v>
      </c>
      <c r="H1494" s="79"/>
      <c r="I1494" s="79"/>
    </row>
    <row r="1495" spans="1:9" ht="14.25">
      <c r="A1495" s="79" t="s">
        <v>3416</v>
      </c>
      <c r="B1495" s="79" t="s">
        <v>3417</v>
      </c>
      <c r="C1495" s="79">
        <v>599022371</v>
      </c>
      <c r="D1495" s="79">
        <v>0</v>
      </c>
      <c r="E1495" s="79" t="s">
        <v>1124</v>
      </c>
      <c r="F1495" s="79" t="s">
        <v>2537</v>
      </c>
      <c r="G1495" s="79" t="s">
        <v>1131</v>
      </c>
      <c r="H1495" s="79" t="s">
        <v>1132</v>
      </c>
      <c r="I1495" s="79"/>
    </row>
    <row r="1496" spans="1:9" ht="14.25">
      <c r="A1496" s="79" t="s">
        <v>3416</v>
      </c>
      <c r="B1496" s="79" t="s">
        <v>3417</v>
      </c>
      <c r="C1496" s="79">
        <v>599022371</v>
      </c>
      <c r="D1496" s="79">
        <v>0</v>
      </c>
      <c r="E1496" s="79" t="s">
        <v>1124</v>
      </c>
      <c r="F1496" s="79" t="s">
        <v>2537</v>
      </c>
      <c r="G1496" s="79" t="s">
        <v>2576</v>
      </c>
      <c r="H1496" s="79"/>
      <c r="I1496" s="79"/>
    </row>
    <row r="1497" spans="1:9" ht="14.25">
      <c r="A1497" s="79" t="s">
        <v>3418</v>
      </c>
      <c r="B1497" s="79" t="s">
        <v>3419</v>
      </c>
      <c r="C1497" s="79">
        <v>599022971</v>
      </c>
      <c r="D1497" s="79">
        <v>0</v>
      </c>
      <c r="E1497" s="79" t="s">
        <v>1124</v>
      </c>
      <c r="F1497" s="79" t="s">
        <v>2537</v>
      </c>
      <c r="G1497" s="79" t="s">
        <v>2544</v>
      </c>
      <c r="H1497" s="79" t="s">
        <v>2545</v>
      </c>
      <c r="I1497" s="79"/>
    </row>
    <row r="1498" spans="1:9" ht="14.25">
      <c r="A1498" s="79" t="s">
        <v>3418</v>
      </c>
      <c r="B1498" s="79" t="s">
        <v>3419</v>
      </c>
      <c r="C1498" s="79">
        <v>599022971</v>
      </c>
      <c r="D1498" s="79">
        <v>0</v>
      </c>
      <c r="E1498" s="79" t="s">
        <v>1124</v>
      </c>
      <c r="F1498" s="79" t="s">
        <v>2537</v>
      </c>
      <c r="G1498" s="79" t="s">
        <v>2579</v>
      </c>
      <c r="H1498" s="79"/>
      <c r="I1498" s="79"/>
    </row>
    <row r="1499" spans="1:9" ht="14.25">
      <c r="A1499" s="79" t="s">
        <v>3420</v>
      </c>
      <c r="B1499" s="79" t="s">
        <v>3421</v>
      </c>
      <c r="C1499" s="79">
        <v>599065571</v>
      </c>
      <c r="D1499" s="79">
        <v>0</v>
      </c>
      <c r="E1499" s="79" t="s">
        <v>1124</v>
      </c>
      <c r="F1499" s="79" t="s">
        <v>2537</v>
      </c>
      <c r="G1499" s="79" t="s">
        <v>1130</v>
      </c>
      <c r="H1499" s="79"/>
      <c r="I1499" s="79"/>
    </row>
    <row r="1500" spans="1:9" ht="14.25">
      <c r="A1500" s="79" t="s">
        <v>3420</v>
      </c>
      <c r="B1500" s="79" t="s">
        <v>3421</v>
      </c>
      <c r="C1500" s="79">
        <v>599065571</v>
      </c>
      <c r="D1500" s="79">
        <v>0</v>
      </c>
      <c r="E1500" s="79" t="s">
        <v>1124</v>
      </c>
      <c r="F1500" s="79" t="s">
        <v>2537</v>
      </c>
      <c r="G1500" s="79" t="s">
        <v>1131</v>
      </c>
      <c r="H1500" s="79" t="s">
        <v>1132</v>
      </c>
      <c r="I1500" s="79"/>
    </row>
    <row r="1501" spans="1:9" ht="14.25">
      <c r="A1501" s="79" t="s">
        <v>3420</v>
      </c>
      <c r="B1501" s="79" t="s">
        <v>3421</v>
      </c>
      <c r="C1501" s="79">
        <v>599065571</v>
      </c>
      <c r="D1501" s="79">
        <v>0</v>
      </c>
      <c r="E1501" s="79" t="s">
        <v>1124</v>
      </c>
      <c r="F1501" s="79" t="s">
        <v>2537</v>
      </c>
      <c r="G1501" s="79" t="s">
        <v>2576</v>
      </c>
      <c r="H1501" s="79"/>
      <c r="I1501" s="79"/>
    </row>
    <row r="1502" spans="1:9" ht="14.25">
      <c r="A1502" s="79" t="s">
        <v>3422</v>
      </c>
      <c r="B1502" s="79" t="s">
        <v>3423</v>
      </c>
      <c r="C1502" s="79">
        <v>599066171</v>
      </c>
      <c r="D1502" s="79">
        <v>0</v>
      </c>
      <c r="E1502" s="79" t="s">
        <v>1124</v>
      </c>
      <c r="F1502" s="79" t="s">
        <v>2537</v>
      </c>
      <c r="G1502" s="79" t="s">
        <v>2544</v>
      </c>
      <c r="H1502" s="79" t="s">
        <v>2545</v>
      </c>
      <c r="I1502" s="79"/>
    </row>
    <row r="1503" spans="1:9" ht="14.25">
      <c r="A1503" s="79" t="s">
        <v>3422</v>
      </c>
      <c r="B1503" s="79" t="s">
        <v>3423</v>
      </c>
      <c r="C1503" s="79">
        <v>599066171</v>
      </c>
      <c r="D1503" s="79">
        <v>0</v>
      </c>
      <c r="E1503" s="79" t="s">
        <v>1124</v>
      </c>
      <c r="F1503" s="79" t="s">
        <v>2537</v>
      </c>
      <c r="G1503" s="79" t="s">
        <v>2579</v>
      </c>
      <c r="H1503" s="79"/>
      <c r="I1503" s="79"/>
    </row>
    <row r="1504" spans="1:9" ht="14.25">
      <c r="A1504" s="79" t="s">
        <v>3424</v>
      </c>
      <c r="B1504" s="79" t="s">
        <v>3425</v>
      </c>
      <c r="C1504" s="79">
        <v>599108771</v>
      </c>
      <c r="D1504" s="79">
        <v>0</v>
      </c>
      <c r="E1504" s="79" t="s">
        <v>1124</v>
      </c>
      <c r="F1504" s="79" t="s">
        <v>2537</v>
      </c>
      <c r="G1504" s="79" t="s">
        <v>1130</v>
      </c>
      <c r="H1504" s="79"/>
      <c r="I1504" s="79"/>
    </row>
    <row r="1505" spans="1:9" ht="14.25">
      <c r="A1505" s="79" t="s">
        <v>3424</v>
      </c>
      <c r="B1505" s="79" t="s">
        <v>3425</v>
      </c>
      <c r="C1505" s="79">
        <v>599108771</v>
      </c>
      <c r="D1505" s="79">
        <v>0</v>
      </c>
      <c r="E1505" s="79" t="s">
        <v>1124</v>
      </c>
      <c r="F1505" s="79" t="s">
        <v>2537</v>
      </c>
      <c r="G1505" s="79" t="s">
        <v>1131</v>
      </c>
      <c r="H1505" s="79" t="s">
        <v>1132</v>
      </c>
      <c r="I1505" s="79"/>
    </row>
    <row r="1506" spans="1:9" ht="14.25">
      <c r="A1506" s="79" t="s">
        <v>3424</v>
      </c>
      <c r="B1506" s="79" t="s">
        <v>3425</v>
      </c>
      <c r="C1506" s="79">
        <v>599108771</v>
      </c>
      <c r="D1506" s="79">
        <v>0</v>
      </c>
      <c r="E1506" s="79" t="s">
        <v>1124</v>
      </c>
      <c r="F1506" s="79" t="s">
        <v>2537</v>
      </c>
      <c r="G1506" s="79" t="s">
        <v>2576</v>
      </c>
      <c r="H1506" s="79"/>
      <c r="I1506" s="79"/>
    </row>
    <row r="1507" spans="1:9" ht="14.25">
      <c r="A1507" s="79" t="s">
        <v>3426</v>
      </c>
      <c r="B1507" s="79" t="s">
        <v>3427</v>
      </c>
      <c r="C1507" s="79">
        <v>599109371</v>
      </c>
      <c r="D1507" s="79">
        <v>0</v>
      </c>
      <c r="E1507" s="79" t="s">
        <v>1124</v>
      </c>
      <c r="F1507" s="79" t="s">
        <v>2537</v>
      </c>
      <c r="G1507" s="79" t="s">
        <v>2544</v>
      </c>
      <c r="H1507" s="79" t="s">
        <v>2545</v>
      </c>
      <c r="I1507" s="79"/>
    </row>
    <row r="1508" spans="1:9" ht="14.25">
      <c r="A1508" s="79" t="s">
        <v>3426</v>
      </c>
      <c r="B1508" s="79" t="s">
        <v>3427</v>
      </c>
      <c r="C1508" s="79">
        <v>599109371</v>
      </c>
      <c r="D1508" s="79">
        <v>0</v>
      </c>
      <c r="E1508" s="79" t="s">
        <v>1124</v>
      </c>
      <c r="F1508" s="79" t="s">
        <v>2537</v>
      </c>
      <c r="G1508" s="79" t="s">
        <v>2579</v>
      </c>
      <c r="H1508" s="79"/>
      <c r="I1508" s="79"/>
    </row>
    <row r="1509" spans="1:9" ht="14.25">
      <c r="A1509" s="79" t="s">
        <v>3428</v>
      </c>
      <c r="B1509" s="79" t="s">
        <v>3429</v>
      </c>
      <c r="C1509" s="79">
        <v>599151971</v>
      </c>
      <c r="D1509" s="79">
        <v>0</v>
      </c>
      <c r="E1509" s="79" t="s">
        <v>1124</v>
      </c>
      <c r="F1509" s="79" t="s">
        <v>2537</v>
      </c>
      <c r="G1509" s="79" t="s">
        <v>1130</v>
      </c>
      <c r="H1509" s="79"/>
      <c r="I1509" s="79"/>
    </row>
    <row r="1510" spans="1:9" ht="14.25">
      <c r="A1510" s="79" t="s">
        <v>3428</v>
      </c>
      <c r="B1510" s="79" t="s">
        <v>3429</v>
      </c>
      <c r="C1510" s="79">
        <v>599151971</v>
      </c>
      <c r="D1510" s="79">
        <v>0</v>
      </c>
      <c r="E1510" s="79" t="s">
        <v>1124</v>
      </c>
      <c r="F1510" s="79" t="s">
        <v>2537</v>
      </c>
      <c r="G1510" s="79" t="s">
        <v>1131</v>
      </c>
      <c r="H1510" s="79" t="s">
        <v>1132</v>
      </c>
      <c r="I1510" s="79"/>
    </row>
    <row r="1511" spans="1:9" ht="14.25">
      <c r="A1511" s="79" t="s">
        <v>3428</v>
      </c>
      <c r="B1511" s="79" t="s">
        <v>3429</v>
      </c>
      <c r="C1511" s="79">
        <v>599151971</v>
      </c>
      <c r="D1511" s="79">
        <v>0</v>
      </c>
      <c r="E1511" s="79" t="s">
        <v>1124</v>
      </c>
      <c r="F1511" s="79" t="s">
        <v>2537</v>
      </c>
      <c r="G1511" s="79" t="s">
        <v>2576</v>
      </c>
      <c r="H1511" s="79"/>
      <c r="I1511" s="79"/>
    </row>
    <row r="1512" spans="1:9" ht="14.25">
      <c r="A1512" s="79" t="s">
        <v>3430</v>
      </c>
      <c r="B1512" s="79" t="s">
        <v>3431</v>
      </c>
      <c r="C1512" s="79">
        <v>599152571</v>
      </c>
      <c r="D1512" s="79">
        <v>0</v>
      </c>
      <c r="E1512" s="79" t="s">
        <v>1124</v>
      </c>
      <c r="F1512" s="79" t="s">
        <v>2537</v>
      </c>
      <c r="G1512" s="79" t="s">
        <v>2544</v>
      </c>
      <c r="H1512" s="79" t="s">
        <v>2545</v>
      </c>
      <c r="I1512" s="79"/>
    </row>
    <row r="1513" spans="1:9" ht="14.25">
      <c r="A1513" s="79" t="s">
        <v>3430</v>
      </c>
      <c r="B1513" s="79" t="s">
        <v>3431</v>
      </c>
      <c r="C1513" s="79">
        <v>599152571</v>
      </c>
      <c r="D1513" s="79">
        <v>0</v>
      </c>
      <c r="E1513" s="79" t="s">
        <v>1124</v>
      </c>
      <c r="F1513" s="79" t="s">
        <v>2537</v>
      </c>
      <c r="G1513" s="79" t="s">
        <v>2579</v>
      </c>
      <c r="H1513" s="79"/>
      <c r="I1513" s="79"/>
    </row>
    <row r="1514" spans="1:9" ht="14.25">
      <c r="A1514" s="79" t="s">
        <v>3432</v>
      </c>
      <c r="B1514" s="79" t="s">
        <v>3433</v>
      </c>
      <c r="C1514" s="79">
        <v>599195171</v>
      </c>
      <c r="D1514" s="79">
        <v>0</v>
      </c>
      <c r="E1514" s="79" t="s">
        <v>1124</v>
      </c>
      <c r="F1514" s="79" t="s">
        <v>2537</v>
      </c>
      <c r="G1514" s="79" t="s">
        <v>1130</v>
      </c>
      <c r="H1514" s="79"/>
      <c r="I1514" s="79"/>
    </row>
    <row r="1515" spans="1:9" ht="14.25">
      <c r="A1515" s="79" t="s">
        <v>3432</v>
      </c>
      <c r="B1515" s="79" t="s">
        <v>3433</v>
      </c>
      <c r="C1515" s="79">
        <v>599195171</v>
      </c>
      <c r="D1515" s="79">
        <v>0</v>
      </c>
      <c r="E1515" s="79" t="s">
        <v>1124</v>
      </c>
      <c r="F1515" s="79" t="s">
        <v>2537</v>
      </c>
      <c r="G1515" s="79" t="s">
        <v>1131</v>
      </c>
      <c r="H1515" s="79" t="s">
        <v>1132</v>
      </c>
      <c r="I1515" s="79"/>
    </row>
    <row r="1516" spans="1:9" ht="14.25">
      <c r="A1516" s="79" t="s">
        <v>3432</v>
      </c>
      <c r="B1516" s="79" t="s">
        <v>3433</v>
      </c>
      <c r="C1516" s="79">
        <v>599195171</v>
      </c>
      <c r="D1516" s="79">
        <v>0</v>
      </c>
      <c r="E1516" s="79" t="s">
        <v>1124</v>
      </c>
      <c r="F1516" s="79" t="s">
        <v>2537</v>
      </c>
      <c r="G1516" s="79" t="s">
        <v>2576</v>
      </c>
      <c r="H1516" s="79"/>
      <c r="I1516" s="79"/>
    </row>
    <row r="1517" spans="1:9" ht="14.25">
      <c r="A1517" s="79" t="s">
        <v>3434</v>
      </c>
      <c r="B1517" s="79" t="s">
        <v>3435</v>
      </c>
      <c r="C1517" s="79">
        <v>599195771</v>
      </c>
      <c r="D1517" s="79">
        <v>0</v>
      </c>
      <c r="E1517" s="79" t="s">
        <v>1124</v>
      </c>
      <c r="F1517" s="79" t="s">
        <v>2537</v>
      </c>
      <c r="G1517" s="79" t="s">
        <v>2544</v>
      </c>
      <c r="H1517" s="79" t="s">
        <v>2545</v>
      </c>
      <c r="I1517" s="79"/>
    </row>
    <row r="1518" spans="1:9" ht="14.25">
      <c r="A1518" s="79" t="s">
        <v>3434</v>
      </c>
      <c r="B1518" s="79" t="s">
        <v>3435</v>
      </c>
      <c r="C1518" s="79">
        <v>599195771</v>
      </c>
      <c r="D1518" s="79">
        <v>0</v>
      </c>
      <c r="E1518" s="79" t="s">
        <v>1124</v>
      </c>
      <c r="F1518" s="79" t="s">
        <v>2537</v>
      </c>
      <c r="G1518" s="79" t="s">
        <v>2579</v>
      </c>
      <c r="H1518" s="79"/>
      <c r="I1518" s="79"/>
    </row>
    <row r="1519" spans="1:9" ht="14.25">
      <c r="A1519" s="79" t="s">
        <v>3436</v>
      </c>
      <c r="B1519" s="79" t="s">
        <v>3437</v>
      </c>
      <c r="C1519" s="79">
        <v>599238371</v>
      </c>
      <c r="D1519" s="79">
        <v>0</v>
      </c>
      <c r="E1519" s="79" t="s">
        <v>1124</v>
      </c>
      <c r="F1519" s="79" t="s">
        <v>2537</v>
      </c>
      <c r="G1519" s="79" t="s">
        <v>1130</v>
      </c>
      <c r="H1519" s="79"/>
      <c r="I1519" s="79"/>
    </row>
    <row r="1520" spans="1:9" ht="14.25">
      <c r="A1520" s="79" t="s">
        <v>3436</v>
      </c>
      <c r="B1520" s="79" t="s">
        <v>3437</v>
      </c>
      <c r="C1520" s="79">
        <v>599238371</v>
      </c>
      <c r="D1520" s="79">
        <v>0</v>
      </c>
      <c r="E1520" s="79" t="s">
        <v>1124</v>
      </c>
      <c r="F1520" s="79" t="s">
        <v>2537</v>
      </c>
      <c r="G1520" s="79" t="s">
        <v>1131</v>
      </c>
      <c r="H1520" s="79" t="s">
        <v>1132</v>
      </c>
      <c r="I1520" s="79"/>
    </row>
    <row r="1521" spans="1:9" ht="14.25">
      <c r="A1521" s="79" t="s">
        <v>3436</v>
      </c>
      <c r="B1521" s="79" t="s">
        <v>3437</v>
      </c>
      <c r="C1521" s="79">
        <v>599238371</v>
      </c>
      <c r="D1521" s="79">
        <v>0</v>
      </c>
      <c r="E1521" s="79" t="s">
        <v>1124</v>
      </c>
      <c r="F1521" s="79" t="s">
        <v>2537</v>
      </c>
      <c r="G1521" s="79" t="s">
        <v>2576</v>
      </c>
      <c r="H1521" s="79"/>
      <c r="I1521" s="79"/>
    </row>
    <row r="1522" spans="1:9" ht="14.25">
      <c r="A1522" s="79" t="s">
        <v>3438</v>
      </c>
      <c r="B1522" s="79" t="s">
        <v>3439</v>
      </c>
      <c r="C1522" s="79">
        <v>599238971</v>
      </c>
      <c r="D1522" s="79">
        <v>0</v>
      </c>
      <c r="E1522" s="79" t="s">
        <v>1124</v>
      </c>
      <c r="F1522" s="79" t="s">
        <v>2537</v>
      </c>
      <c r="G1522" s="79" t="s">
        <v>2544</v>
      </c>
      <c r="H1522" s="79" t="s">
        <v>2545</v>
      </c>
      <c r="I1522" s="79"/>
    </row>
    <row r="1523" spans="1:9" ht="14.25">
      <c r="A1523" s="79" t="s">
        <v>3438</v>
      </c>
      <c r="B1523" s="79" t="s">
        <v>3439</v>
      </c>
      <c r="C1523" s="79">
        <v>599238971</v>
      </c>
      <c r="D1523" s="79">
        <v>0</v>
      </c>
      <c r="E1523" s="79" t="s">
        <v>1124</v>
      </c>
      <c r="F1523" s="79" t="s">
        <v>2537</v>
      </c>
      <c r="G1523" s="79" t="s">
        <v>2579</v>
      </c>
      <c r="H1523" s="79"/>
      <c r="I1523" s="79"/>
    </row>
    <row r="1524" spans="1:9" ht="14.25">
      <c r="A1524" s="79" t="s">
        <v>3440</v>
      </c>
      <c r="B1524" s="79" t="s">
        <v>3441</v>
      </c>
      <c r="C1524" s="79">
        <v>599281571</v>
      </c>
      <c r="D1524" s="79">
        <v>0</v>
      </c>
      <c r="E1524" s="79" t="s">
        <v>1124</v>
      </c>
      <c r="F1524" s="79" t="s">
        <v>2537</v>
      </c>
      <c r="G1524" s="79" t="s">
        <v>1130</v>
      </c>
      <c r="H1524" s="79"/>
      <c r="I1524" s="79"/>
    </row>
    <row r="1525" spans="1:9" ht="14.25">
      <c r="A1525" s="79" t="s">
        <v>3440</v>
      </c>
      <c r="B1525" s="79" t="s">
        <v>3441</v>
      </c>
      <c r="C1525" s="79">
        <v>599281571</v>
      </c>
      <c r="D1525" s="79">
        <v>0</v>
      </c>
      <c r="E1525" s="79" t="s">
        <v>1124</v>
      </c>
      <c r="F1525" s="79" t="s">
        <v>2537</v>
      </c>
      <c r="G1525" s="79" t="s">
        <v>1131</v>
      </c>
      <c r="H1525" s="79" t="s">
        <v>1132</v>
      </c>
      <c r="I1525" s="79"/>
    </row>
    <row r="1526" spans="1:9" ht="14.25">
      <c r="A1526" s="79" t="s">
        <v>3440</v>
      </c>
      <c r="B1526" s="79" t="s">
        <v>3441</v>
      </c>
      <c r="C1526" s="79">
        <v>599281571</v>
      </c>
      <c r="D1526" s="79">
        <v>0</v>
      </c>
      <c r="E1526" s="79" t="s">
        <v>1124</v>
      </c>
      <c r="F1526" s="79" t="s">
        <v>2537</v>
      </c>
      <c r="G1526" s="79" t="s">
        <v>2576</v>
      </c>
      <c r="H1526" s="79"/>
      <c r="I1526" s="79"/>
    </row>
    <row r="1527" spans="1:9" ht="14.25">
      <c r="A1527" s="79" t="s">
        <v>3442</v>
      </c>
      <c r="B1527" s="79" t="s">
        <v>3443</v>
      </c>
      <c r="C1527" s="79">
        <v>599282171</v>
      </c>
      <c r="D1527" s="79">
        <v>0</v>
      </c>
      <c r="E1527" s="79" t="s">
        <v>1124</v>
      </c>
      <c r="F1527" s="79" t="s">
        <v>2537</v>
      </c>
      <c r="G1527" s="79" t="s">
        <v>2544</v>
      </c>
      <c r="H1527" s="79" t="s">
        <v>2545</v>
      </c>
      <c r="I1527" s="79"/>
    </row>
    <row r="1528" spans="1:9" ht="14.25">
      <c r="A1528" s="79" t="s">
        <v>3442</v>
      </c>
      <c r="B1528" s="79" t="s">
        <v>3443</v>
      </c>
      <c r="C1528" s="79">
        <v>599282171</v>
      </c>
      <c r="D1528" s="79">
        <v>0</v>
      </c>
      <c r="E1528" s="79" t="s">
        <v>1124</v>
      </c>
      <c r="F1528" s="79" t="s">
        <v>2537</v>
      </c>
      <c r="G1528" s="79" t="s">
        <v>2579</v>
      </c>
      <c r="H1528" s="79"/>
      <c r="I1528" s="79"/>
    </row>
    <row r="1529" spans="1:9" ht="14.25">
      <c r="A1529" s="79" t="s">
        <v>3444</v>
      </c>
      <c r="B1529" s="79" t="s">
        <v>3445</v>
      </c>
      <c r="C1529" s="79">
        <v>599324771</v>
      </c>
      <c r="D1529" s="79">
        <v>0</v>
      </c>
      <c r="E1529" s="79" t="s">
        <v>1124</v>
      </c>
      <c r="F1529" s="79" t="s">
        <v>2537</v>
      </c>
      <c r="G1529" s="79" t="s">
        <v>1130</v>
      </c>
      <c r="H1529" s="79"/>
      <c r="I1529" s="79"/>
    </row>
    <row r="1530" spans="1:9" ht="14.25">
      <c r="A1530" s="79" t="s">
        <v>3444</v>
      </c>
      <c r="B1530" s="79" t="s">
        <v>3445</v>
      </c>
      <c r="C1530" s="79">
        <v>599324771</v>
      </c>
      <c r="D1530" s="79">
        <v>0</v>
      </c>
      <c r="E1530" s="79" t="s">
        <v>1124</v>
      </c>
      <c r="F1530" s="79" t="s">
        <v>2537</v>
      </c>
      <c r="G1530" s="79" t="s">
        <v>1131</v>
      </c>
      <c r="H1530" s="79" t="s">
        <v>1132</v>
      </c>
      <c r="I1530" s="79"/>
    </row>
    <row r="1531" spans="1:9" ht="14.25">
      <c r="A1531" s="79" t="s">
        <v>3444</v>
      </c>
      <c r="B1531" s="79" t="s">
        <v>3445</v>
      </c>
      <c r="C1531" s="79">
        <v>599324771</v>
      </c>
      <c r="D1531" s="79">
        <v>0</v>
      </c>
      <c r="E1531" s="79" t="s">
        <v>1124</v>
      </c>
      <c r="F1531" s="79" t="s">
        <v>2537</v>
      </c>
      <c r="G1531" s="79" t="s">
        <v>2576</v>
      </c>
      <c r="H1531" s="79"/>
      <c r="I1531" s="79"/>
    </row>
    <row r="1532" spans="1:9" ht="14.25">
      <c r="A1532" s="79" t="s">
        <v>3446</v>
      </c>
      <c r="B1532" s="79" t="s">
        <v>3447</v>
      </c>
      <c r="C1532" s="79">
        <v>599325371</v>
      </c>
      <c r="D1532" s="79">
        <v>0</v>
      </c>
      <c r="E1532" s="79" t="s">
        <v>1124</v>
      </c>
      <c r="F1532" s="79" t="s">
        <v>2537</v>
      </c>
      <c r="G1532" s="79" t="s">
        <v>2544</v>
      </c>
      <c r="H1532" s="79" t="s">
        <v>2545</v>
      </c>
      <c r="I1532" s="79"/>
    </row>
    <row r="1533" spans="1:9" ht="14.25">
      <c r="A1533" s="79" t="s">
        <v>3446</v>
      </c>
      <c r="B1533" s="79" t="s">
        <v>3447</v>
      </c>
      <c r="C1533" s="79">
        <v>599325371</v>
      </c>
      <c r="D1533" s="79">
        <v>0</v>
      </c>
      <c r="E1533" s="79" t="s">
        <v>1124</v>
      </c>
      <c r="F1533" s="79" t="s">
        <v>2537</v>
      </c>
      <c r="G1533" s="79" t="s">
        <v>2579</v>
      </c>
      <c r="H1533" s="79"/>
      <c r="I1533" s="79"/>
    </row>
    <row r="1534" spans="1:9" ht="14.25">
      <c r="A1534" s="79" t="s">
        <v>3448</v>
      </c>
      <c r="B1534" s="79" t="s">
        <v>3449</v>
      </c>
      <c r="C1534" s="79">
        <v>599367971</v>
      </c>
      <c r="D1534" s="79">
        <v>0</v>
      </c>
      <c r="E1534" s="79" t="s">
        <v>1124</v>
      </c>
      <c r="F1534" s="79" t="s">
        <v>2537</v>
      </c>
      <c r="G1534" s="79" t="s">
        <v>1130</v>
      </c>
      <c r="H1534" s="79"/>
      <c r="I1534" s="79"/>
    </row>
    <row r="1535" spans="1:9" ht="14.25">
      <c r="A1535" s="79" t="s">
        <v>3448</v>
      </c>
      <c r="B1535" s="79" t="s">
        <v>3449</v>
      </c>
      <c r="C1535" s="79">
        <v>599367971</v>
      </c>
      <c r="D1535" s="79">
        <v>0</v>
      </c>
      <c r="E1535" s="79" t="s">
        <v>1124</v>
      </c>
      <c r="F1535" s="79" t="s">
        <v>2537</v>
      </c>
      <c r="G1535" s="79" t="s">
        <v>1131</v>
      </c>
      <c r="H1535" s="79" t="s">
        <v>1132</v>
      </c>
      <c r="I1535" s="79"/>
    </row>
    <row r="1536" spans="1:9" ht="14.25">
      <c r="A1536" s="79" t="s">
        <v>3448</v>
      </c>
      <c r="B1536" s="79" t="s">
        <v>3449</v>
      </c>
      <c r="C1536" s="79">
        <v>599367971</v>
      </c>
      <c r="D1536" s="79">
        <v>0</v>
      </c>
      <c r="E1536" s="79" t="s">
        <v>1124</v>
      </c>
      <c r="F1536" s="79" t="s">
        <v>2537</v>
      </c>
      <c r="G1536" s="79" t="s">
        <v>2576</v>
      </c>
      <c r="H1536" s="79"/>
      <c r="I1536" s="79"/>
    </row>
    <row r="1537" spans="1:9" ht="14.25">
      <c r="A1537" s="79" t="s">
        <v>3450</v>
      </c>
      <c r="B1537" s="79" t="s">
        <v>3451</v>
      </c>
      <c r="C1537" s="79">
        <v>599368571</v>
      </c>
      <c r="D1537" s="79">
        <v>0</v>
      </c>
      <c r="E1537" s="79" t="s">
        <v>1124</v>
      </c>
      <c r="F1537" s="79" t="s">
        <v>2537</v>
      </c>
      <c r="G1537" s="79" t="s">
        <v>2544</v>
      </c>
      <c r="H1537" s="79" t="s">
        <v>2545</v>
      </c>
      <c r="I1537" s="79"/>
    </row>
    <row r="1538" spans="1:9" ht="14.25">
      <c r="A1538" s="79" t="s">
        <v>3450</v>
      </c>
      <c r="B1538" s="79" t="s">
        <v>3451</v>
      </c>
      <c r="C1538" s="79">
        <v>599368571</v>
      </c>
      <c r="D1538" s="79">
        <v>0</v>
      </c>
      <c r="E1538" s="79" t="s">
        <v>1124</v>
      </c>
      <c r="F1538" s="79" t="s">
        <v>2537</v>
      </c>
      <c r="G1538" s="79" t="s">
        <v>2579</v>
      </c>
      <c r="H1538" s="79"/>
      <c r="I1538" s="79"/>
    </row>
    <row r="1539" spans="1:9" ht="14.25">
      <c r="A1539" s="79" t="s">
        <v>3452</v>
      </c>
      <c r="B1539" s="79" t="s">
        <v>3453</v>
      </c>
      <c r="C1539" s="79">
        <v>599411171</v>
      </c>
      <c r="D1539" s="79">
        <v>0</v>
      </c>
      <c r="E1539" s="79" t="s">
        <v>1124</v>
      </c>
      <c r="F1539" s="79" t="s">
        <v>2537</v>
      </c>
      <c r="G1539" s="79" t="s">
        <v>1130</v>
      </c>
      <c r="H1539" s="79"/>
      <c r="I1539" s="79"/>
    </row>
    <row r="1540" spans="1:9" ht="14.25">
      <c r="A1540" s="79" t="s">
        <v>3452</v>
      </c>
      <c r="B1540" s="79" t="s">
        <v>3453</v>
      </c>
      <c r="C1540" s="79">
        <v>599411171</v>
      </c>
      <c r="D1540" s="79">
        <v>0</v>
      </c>
      <c r="E1540" s="79" t="s">
        <v>1124</v>
      </c>
      <c r="F1540" s="79" t="s">
        <v>2537</v>
      </c>
      <c r="G1540" s="79" t="s">
        <v>1131</v>
      </c>
      <c r="H1540" s="79" t="s">
        <v>1132</v>
      </c>
      <c r="I1540" s="79"/>
    </row>
    <row r="1541" spans="1:9" ht="14.25">
      <c r="A1541" s="79" t="s">
        <v>3452</v>
      </c>
      <c r="B1541" s="79" t="s">
        <v>3453</v>
      </c>
      <c r="C1541" s="79">
        <v>599411171</v>
      </c>
      <c r="D1541" s="79">
        <v>0</v>
      </c>
      <c r="E1541" s="79" t="s">
        <v>1124</v>
      </c>
      <c r="F1541" s="79" t="s">
        <v>2537</v>
      </c>
      <c r="G1541" s="79" t="s">
        <v>2576</v>
      </c>
      <c r="H1541" s="79"/>
      <c r="I1541" s="79"/>
    </row>
    <row r="1542" spans="1:9" ht="14.25">
      <c r="A1542" s="79" t="s">
        <v>3454</v>
      </c>
      <c r="B1542" s="79" t="s">
        <v>3455</v>
      </c>
      <c r="C1542" s="79">
        <v>599411771</v>
      </c>
      <c r="D1542" s="79">
        <v>0</v>
      </c>
      <c r="E1542" s="79" t="s">
        <v>1124</v>
      </c>
      <c r="F1542" s="79" t="s">
        <v>2537</v>
      </c>
      <c r="G1542" s="79" t="s">
        <v>2544</v>
      </c>
      <c r="H1542" s="79" t="s">
        <v>2545</v>
      </c>
      <c r="I1542" s="79"/>
    </row>
    <row r="1543" spans="1:9" ht="14.25">
      <c r="A1543" s="79" t="s">
        <v>3454</v>
      </c>
      <c r="B1543" s="79" t="s">
        <v>3455</v>
      </c>
      <c r="C1543" s="79">
        <v>599411771</v>
      </c>
      <c r="D1543" s="79">
        <v>0</v>
      </c>
      <c r="E1543" s="79" t="s">
        <v>1124</v>
      </c>
      <c r="F1543" s="79" t="s">
        <v>2537</v>
      </c>
      <c r="G1543" s="79" t="s">
        <v>2579</v>
      </c>
      <c r="H1543" s="79"/>
      <c r="I1543" s="79"/>
    </row>
    <row r="1544" spans="1:9" ht="14.25">
      <c r="A1544" s="79" t="s">
        <v>3456</v>
      </c>
      <c r="B1544" s="79" t="s">
        <v>3457</v>
      </c>
      <c r="C1544" s="79">
        <v>599454371</v>
      </c>
      <c r="D1544" s="79">
        <v>0</v>
      </c>
      <c r="E1544" s="79" t="s">
        <v>1124</v>
      </c>
      <c r="F1544" s="79" t="s">
        <v>2537</v>
      </c>
      <c r="G1544" s="79" t="s">
        <v>1130</v>
      </c>
      <c r="H1544" s="79"/>
      <c r="I1544" s="79"/>
    </row>
    <row r="1545" spans="1:9" ht="14.25">
      <c r="A1545" s="79" t="s">
        <v>3456</v>
      </c>
      <c r="B1545" s="79" t="s">
        <v>3457</v>
      </c>
      <c r="C1545" s="79">
        <v>599454371</v>
      </c>
      <c r="D1545" s="79">
        <v>0</v>
      </c>
      <c r="E1545" s="79" t="s">
        <v>1124</v>
      </c>
      <c r="F1545" s="79" t="s">
        <v>2537</v>
      </c>
      <c r="G1545" s="79" t="s">
        <v>1131</v>
      </c>
      <c r="H1545" s="79" t="s">
        <v>1132</v>
      </c>
      <c r="I1545" s="79"/>
    </row>
    <row r="1546" spans="1:9" ht="14.25">
      <c r="A1546" s="79" t="s">
        <v>3456</v>
      </c>
      <c r="B1546" s="79" t="s">
        <v>3457</v>
      </c>
      <c r="C1546" s="79">
        <v>599454371</v>
      </c>
      <c r="D1546" s="79">
        <v>0</v>
      </c>
      <c r="E1546" s="79" t="s">
        <v>1124</v>
      </c>
      <c r="F1546" s="79" t="s">
        <v>2537</v>
      </c>
      <c r="G1546" s="79" t="s">
        <v>2576</v>
      </c>
      <c r="H1546" s="79"/>
      <c r="I1546" s="79"/>
    </row>
    <row r="1547" spans="1:9" ht="14.25">
      <c r="A1547" s="79" t="s">
        <v>3458</v>
      </c>
      <c r="B1547" s="79" t="s">
        <v>3459</v>
      </c>
      <c r="C1547" s="79">
        <v>599454971</v>
      </c>
      <c r="D1547" s="79">
        <v>0</v>
      </c>
      <c r="E1547" s="79" t="s">
        <v>1124</v>
      </c>
      <c r="F1547" s="79" t="s">
        <v>2537</v>
      </c>
      <c r="G1547" s="79" t="s">
        <v>2544</v>
      </c>
      <c r="H1547" s="79" t="s">
        <v>2545</v>
      </c>
      <c r="I1547" s="79"/>
    </row>
    <row r="1548" spans="1:9" ht="14.25">
      <c r="A1548" s="79" t="s">
        <v>3458</v>
      </c>
      <c r="B1548" s="79" t="s">
        <v>3459</v>
      </c>
      <c r="C1548" s="79">
        <v>599454971</v>
      </c>
      <c r="D1548" s="79">
        <v>0</v>
      </c>
      <c r="E1548" s="79" t="s">
        <v>1124</v>
      </c>
      <c r="F1548" s="79" t="s">
        <v>2537</v>
      </c>
      <c r="G1548" s="79" t="s">
        <v>2579</v>
      </c>
      <c r="H1548" s="79"/>
      <c r="I1548" s="79"/>
    </row>
    <row r="1549" spans="1:9" ht="14.25">
      <c r="A1549" s="79" t="s">
        <v>3460</v>
      </c>
      <c r="B1549" s="79" t="s">
        <v>3461</v>
      </c>
      <c r="C1549" s="79">
        <v>599497571</v>
      </c>
      <c r="D1549" s="79">
        <v>0</v>
      </c>
      <c r="E1549" s="79" t="s">
        <v>1124</v>
      </c>
      <c r="F1549" s="79" t="s">
        <v>2537</v>
      </c>
      <c r="G1549" s="79" t="s">
        <v>1130</v>
      </c>
      <c r="H1549" s="79"/>
      <c r="I1549" s="79"/>
    </row>
    <row r="1550" spans="1:9" ht="14.25">
      <c r="A1550" s="79" t="s">
        <v>3460</v>
      </c>
      <c r="B1550" s="79" t="s">
        <v>3461</v>
      </c>
      <c r="C1550" s="79">
        <v>599497571</v>
      </c>
      <c r="D1550" s="79">
        <v>0</v>
      </c>
      <c r="E1550" s="79" t="s">
        <v>1124</v>
      </c>
      <c r="F1550" s="79" t="s">
        <v>2537</v>
      </c>
      <c r="G1550" s="79" t="s">
        <v>1131</v>
      </c>
      <c r="H1550" s="79" t="s">
        <v>1132</v>
      </c>
      <c r="I1550" s="79"/>
    </row>
    <row r="1551" spans="1:9" ht="14.25">
      <c r="A1551" s="79" t="s">
        <v>3460</v>
      </c>
      <c r="B1551" s="79" t="s">
        <v>3461</v>
      </c>
      <c r="C1551" s="79">
        <v>599497571</v>
      </c>
      <c r="D1551" s="79">
        <v>0</v>
      </c>
      <c r="E1551" s="79" t="s">
        <v>1124</v>
      </c>
      <c r="F1551" s="79" t="s">
        <v>2537</v>
      </c>
      <c r="G1551" s="79" t="s">
        <v>2576</v>
      </c>
      <c r="H1551" s="79"/>
      <c r="I1551" s="79"/>
    </row>
    <row r="1552" spans="1:9" ht="14.25">
      <c r="A1552" s="79" t="s">
        <v>3462</v>
      </c>
      <c r="B1552" s="79" t="s">
        <v>3463</v>
      </c>
      <c r="C1552" s="79">
        <v>599498171</v>
      </c>
      <c r="D1552" s="79">
        <v>0</v>
      </c>
      <c r="E1552" s="79" t="s">
        <v>1124</v>
      </c>
      <c r="F1552" s="79" t="s">
        <v>2537</v>
      </c>
      <c r="G1552" s="79" t="s">
        <v>2544</v>
      </c>
      <c r="H1552" s="79" t="s">
        <v>2545</v>
      </c>
      <c r="I1552" s="79"/>
    </row>
    <row r="1553" spans="1:9" ht="14.25">
      <c r="A1553" s="79" t="s">
        <v>3462</v>
      </c>
      <c r="B1553" s="79" t="s">
        <v>3463</v>
      </c>
      <c r="C1553" s="79">
        <v>599498171</v>
      </c>
      <c r="D1553" s="79">
        <v>0</v>
      </c>
      <c r="E1553" s="79" t="s">
        <v>1124</v>
      </c>
      <c r="F1553" s="79" t="s">
        <v>2537</v>
      </c>
      <c r="G1553" s="79" t="s">
        <v>2579</v>
      </c>
      <c r="H1553" s="79"/>
      <c r="I1553" s="79"/>
    </row>
    <row r="1554" spans="1:9" ht="14.25">
      <c r="A1554" s="79" t="s">
        <v>3464</v>
      </c>
      <c r="B1554" s="79" t="s">
        <v>3465</v>
      </c>
      <c r="C1554" s="79">
        <v>599540771</v>
      </c>
      <c r="D1554" s="79">
        <v>0</v>
      </c>
      <c r="E1554" s="79" t="s">
        <v>1124</v>
      </c>
      <c r="F1554" s="79" t="s">
        <v>2537</v>
      </c>
      <c r="G1554" s="79" t="s">
        <v>1130</v>
      </c>
      <c r="H1554" s="79"/>
      <c r="I1554" s="79"/>
    </row>
    <row r="1555" spans="1:9" ht="14.25">
      <c r="A1555" s="79" t="s">
        <v>3464</v>
      </c>
      <c r="B1555" s="79" t="s">
        <v>3465</v>
      </c>
      <c r="C1555" s="79">
        <v>599540771</v>
      </c>
      <c r="D1555" s="79">
        <v>0</v>
      </c>
      <c r="E1555" s="79" t="s">
        <v>1124</v>
      </c>
      <c r="F1555" s="79" t="s">
        <v>2537</v>
      </c>
      <c r="G1555" s="79" t="s">
        <v>1131</v>
      </c>
      <c r="H1555" s="79" t="s">
        <v>1132</v>
      </c>
      <c r="I1555" s="79"/>
    </row>
    <row r="1556" spans="1:9" ht="14.25">
      <c r="A1556" s="79" t="s">
        <v>3464</v>
      </c>
      <c r="B1556" s="79" t="s">
        <v>3465</v>
      </c>
      <c r="C1556" s="79">
        <v>599540771</v>
      </c>
      <c r="D1556" s="79">
        <v>0</v>
      </c>
      <c r="E1556" s="79" t="s">
        <v>1124</v>
      </c>
      <c r="F1556" s="79" t="s">
        <v>2537</v>
      </c>
      <c r="G1556" s="79" t="s">
        <v>2576</v>
      </c>
      <c r="H1556" s="79"/>
      <c r="I1556" s="79"/>
    </row>
    <row r="1557" spans="1:9" ht="14.25">
      <c r="A1557" s="79" t="s">
        <v>3466</v>
      </c>
      <c r="B1557" s="79" t="s">
        <v>3467</v>
      </c>
      <c r="C1557" s="79">
        <v>599541371</v>
      </c>
      <c r="D1557" s="79">
        <v>0</v>
      </c>
      <c r="E1557" s="79" t="s">
        <v>1124</v>
      </c>
      <c r="F1557" s="79" t="s">
        <v>2537</v>
      </c>
      <c r="G1557" s="79" t="s">
        <v>2544</v>
      </c>
      <c r="H1557" s="79" t="s">
        <v>2545</v>
      </c>
      <c r="I1557" s="79"/>
    </row>
    <row r="1558" spans="1:9" ht="14.25">
      <c r="A1558" s="79" t="s">
        <v>3466</v>
      </c>
      <c r="B1558" s="79" t="s">
        <v>3467</v>
      </c>
      <c r="C1558" s="79">
        <v>599541371</v>
      </c>
      <c r="D1558" s="79">
        <v>0</v>
      </c>
      <c r="E1558" s="79" t="s">
        <v>1124</v>
      </c>
      <c r="F1558" s="79" t="s">
        <v>2537</v>
      </c>
      <c r="G1558" s="79" t="s">
        <v>2579</v>
      </c>
      <c r="H1558" s="79"/>
      <c r="I1558" s="79"/>
    </row>
    <row r="1559" spans="1:9" ht="14.25">
      <c r="A1559" s="79" t="s">
        <v>3468</v>
      </c>
      <c r="B1559" s="79" t="s">
        <v>3469</v>
      </c>
      <c r="C1559" s="79">
        <v>599583971</v>
      </c>
      <c r="D1559" s="79">
        <v>0</v>
      </c>
      <c r="E1559" s="79" t="s">
        <v>1124</v>
      </c>
      <c r="F1559" s="79" t="s">
        <v>2537</v>
      </c>
      <c r="G1559" s="79" t="s">
        <v>1130</v>
      </c>
      <c r="H1559" s="79"/>
      <c r="I1559" s="79"/>
    </row>
    <row r="1560" spans="1:9" ht="14.25">
      <c r="A1560" s="79" t="s">
        <v>3468</v>
      </c>
      <c r="B1560" s="79" t="s">
        <v>3469</v>
      </c>
      <c r="C1560" s="79">
        <v>599583971</v>
      </c>
      <c r="D1560" s="79">
        <v>0</v>
      </c>
      <c r="E1560" s="79" t="s">
        <v>1124</v>
      </c>
      <c r="F1560" s="79" t="s">
        <v>2537</v>
      </c>
      <c r="G1560" s="79" t="s">
        <v>1131</v>
      </c>
      <c r="H1560" s="79" t="s">
        <v>1132</v>
      </c>
      <c r="I1560" s="79"/>
    </row>
    <row r="1561" spans="1:9" ht="14.25">
      <c r="A1561" s="79" t="s">
        <v>3468</v>
      </c>
      <c r="B1561" s="79" t="s">
        <v>3469</v>
      </c>
      <c r="C1561" s="79">
        <v>599583971</v>
      </c>
      <c r="D1561" s="79">
        <v>0</v>
      </c>
      <c r="E1561" s="79" t="s">
        <v>1124</v>
      </c>
      <c r="F1561" s="79" t="s">
        <v>2537</v>
      </c>
      <c r="G1561" s="79" t="s">
        <v>2576</v>
      </c>
      <c r="H1561" s="79"/>
      <c r="I1561" s="79"/>
    </row>
    <row r="1562" spans="1:9" ht="14.25">
      <c r="A1562" s="79" t="s">
        <v>3470</v>
      </c>
      <c r="B1562" s="79" t="s">
        <v>3471</v>
      </c>
      <c r="C1562" s="79">
        <v>599584571</v>
      </c>
      <c r="D1562" s="79">
        <v>0</v>
      </c>
      <c r="E1562" s="79" t="s">
        <v>1124</v>
      </c>
      <c r="F1562" s="79" t="s">
        <v>2537</v>
      </c>
      <c r="G1562" s="79" t="s">
        <v>2544</v>
      </c>
      <c r="H1562" s="79" t="s">
        <v>2545</v>
      </c>
      <c r="I1562" s="79"/>
    </row>
    <row r="1563" spans="1:9" ht="14.25">
      <c r="A1563" s="79" t="s">
        <v>3470</v>
      </c>
      <c r="B1563" s="79" t="s">
        <v>3471</v>
      </c>
      <c r="C1563" s="79">
        <v>599584571</v>
      </c>
      <c r="D1563" s="79">
        <v>0</v>
      </c>
      <c r="E1563" s="79" t="s">
        <v>1124</v>
      </c>
      <c r="F1563" s="79" t="s">
        <v>2537</v>
      </c>
      <c r="G1563" s="79" t="s">
        <v>2579</v>
      </c>
      <c r="H1563" s="79"/>
      <c r="I1563" s="79"/>
    </row>
    <row r="1564" spans="1:9" ht="14.25">
      <c r="A1564" s="79" t="s">
        <v>3472</v>
      </c>
      <c r="B1564" s="79" t="s">
        <v>3473</v>
      </c>
      <c r="C1564" s="79">
        <v>599627171</v>
      </c>
      <c r="D1564" s="79">
        <v>0</v>
      </c>
      <c r="E1564" s="79" t="s">
        <v>1124</v>
      </c>
      <c r="F1564" s="79" t="s">
        <v>2537</v>
      </c>
      <c r="G1564" s="79" t="s">
        <v>1130</v>
      </c>
      <c r="H1564" s="79"/>
      <c r="I1564" s="79"/>
    </row>
    <row r="1565" spans="1:9" ht="14.25">
      <c r="A1565" s="79" t="s">
        <v>3472</v>
      </c>
      <c r="B1565" s="79" t="s">
        <v>3473</v>
      </c>
      <c r="C1565" s="79">
        <v>599627171</v>
      </c>
      <c r="D1565" s="79">
        <v>0</v>
      </c>
      <c r="E1565" s="79" t="s">
        <v>1124</v>
      </c>
      <c r="F1565" s="79" t="s">
        <v>2537</v>
      </c>
      <c r="G1565" s="79" t="s">
        <v>1131</v>
      </c>
      <c r="H1565" s="79" t="s">
        <v>1132</v>
      </c>
      <c r="I1565" s="79"/>
    </row>
    <row r="1566" spans="1:9" ht="14.25">
      <c r="A1566" s="79" t="s">
        <v>3472</v>
      </c>
      <c r="B1566" s="79" t="s">
        <v>3473</v>
      </c>
      <c r="C1566" s="79">
        <v>599627171</v>
      </c>
      <c r="D1566" s="79">
        <v>0</v>
      </c>
      <c r="E1566" s="79" t="s">
        <v>1124</v>
      </c>
      <c r="F1566" s="79" t="s">
        <v>2537</v>
      </c>
      <c r="G1566" s="79" t="s">
        <v>2576</v>
      </c>
      <c r="H1566" s="79"/>
      <c r="I1566" s="79"/>
    </row>
    <row r="1567" spans="1:9" ht="14.25">
      <c r="A1567" s="79" t="s">
        <v>3474</v>
      </c>
      <c r="B1567" s="79" t="s">
        <v>3475</v>
      </c>
      <c r="C1567" s="79">
        <v>599627771</v>
      </c>
      <c r="D1567" s="79">
        <v>0</v>
      </c>
      <c r="E1567" s="79" t="s">
        <v>1124</v>
      </c>
      <c r="F1567" s="79" t="s">
        <v>2537</v>
      </c>
      <c r="G1567" s="79" t="s">
        <v>2544</v>
      </c>
      <c r="H1567" s="79" t="s">
        <v>2545</v>
      </c>
      <c r="I1567" s="79"/>
    </row>
    <row r="1568" spans="1:9" ht="14.25">
      <c r="A1568" s="79" t="s">
        <v>3474</v>
      </c>
      <c r="B1568" s="79" t="s">
        <v>3475</v>
      </c>
      <c r="C1568" s="79">
        <v>599627771</v>
      </c>
      <c r="D1568" s="79">
        <v>0</v>
      </c>
      <c r="E1568" s="79" t="s">
        <v>1124</v>
      </c>
      <c r="F1568" s="79" t="s">
        <v>2537</v>
      </c>
      <c r="G1568" s="79" t="s">
        <v>2579</v>
      </c>
      <c r="H1568" s="79"/>
      <c r="I1568" s="79"/>
    </row>
    <row r="1569" spans="1:9" ht="14.25">
      <c r="A1569" s="79" t="s">
        <v>3476</v>
      </c>
      <c r="B1569" s="79" t="s">
        <v>3477</v>
      </c>
      <c r="C1569" s="79">
        <v>599670371</v>
      </c>
      <c r="D1569" s="79">
        <v>0</v>
      </c>
      <c r="E1569" s="79" t="s">
        <v>1124</v>
      </c>
      <c r="F1569" s="79" t="s">
        <v>2537</v>
      </c>
      <c r="G1569" s="79" t="s">
        <v>1130</v>
      </c>
      <c r="H1569" s="79"/>
      <c r="I1569" s="79"/>
    </row>
    <row r="1570" spans="1:9" ht="14.25">
      <c r="A1570" s="79" t="s">
        <v>3476</v>
      </c>
      <c r="B1570" s="79" t="s">
        <v>3477</v>
      </c>
      <c r="C1570" s="79">
        <v>599670371</v>
      </c>
      <c r="D1570" s="79">
        <v>0</v>
      </c>
      <c r="E1570" s="79" t="s">
        <v>1124</v>
      </c>
      <c r="F1570" s="79" t="s">
        <v>2537</v>
      </c>
      <c r="G1570" s="79" t="s">
        <v>1131</v>
      </c>
      <c r="H1570" s="79" t="s">
        <v>1132</v>
      </c>
      <c r="I1570" s="79"/>
    </row>
    <row r="1571" spans="1:9" ht="14.25">
      <c r="A1571" s="79" t="s">
        <v>3476</v>
      </c>
      <c r="B1571" s="79" t="s">
        <v>3477</v>
      </c>
      <c r="C1571" s="79">
        <v>599670371</v>
      </c>
      <c r="D1571" s="79">
        <v>0</v>
      </c>
      <c r="E1571" s="79" t="s">
        <v>1124</v>
      </c>
      <c r="F1571" s="79" t="s">
        <v>2537</v>
      </c>
      <c r="G1571" s="79" t="s">
        <v>2576</v>
      </c>
      <c r="H1571" s="79"/>
      <c r="I1571" s="79"/>
    </row>
    <row r="1572" spans="1:9" ht="14.25">
      <c r="A1572" s="79" t="s">
        <v>3478</v>
      </c>
      <c r="B1572" s="79" t="s">
        <v>3479</v>
      </c>
      <c r="C1572" s="79">
        <v>599670971</v>
      </c>
      <c r="D1572" s="79">
        <v>0</v>
      </c>
      <c r="E1572" s="79" t="s">
        <v>1124</v>
      </c>
      <c r="F1572" s="79" t="s">
        <v>2537</v>
      </c>
      <c r="G1572" s="79" t="s">
        <v>2544</v>
      </c>
      <c r="H1572" s="79" t="s">
        <v>2545</v>
      </c>
      <c r="I1572" s="79"/>
    </row>
    <row r="1573" spans="1:9" ht="14.25">
      <c r="A1573" s="79" t="s">
        <v>3478</v>
      </c>
      <c r="B1573" s="79" t="s">
        <v>3479</v>
      </c>
      <c r="C1573" s="79">
        <v>599670971</v>
      </c>
      <c r="D1573" s="79">
        <v>0</v>
      </c>
      <c r="E1573" s="79" t="s">
        <v>1124</v>
      </c>
      <c r="F1573" s="79" t="s">
        <v>2537</v>
      </c>
      <c r="G1573" s="79" t="s">
        <v>2579</v>
      </c>
      <c r="H1573" s="79"/>
      <c r="I1573" s="79"/>
    </row>
    <row r="1574" spans="1:9" ht="14.25">
      <c r="A1574" s="79" t="s">
        <v>3480</v>
      </c>
      <c r="B1574" s="79" t="s">
        <v>3481</v>
      </c>
      <c r="C1574" s="79">
        <v>599713571</v>
      </c>
      <c r="D1574" s="79">
        <v>0</v>
      </c>
      <c r="E1574" s="79" t="s">
        <v>1124</v>
      </c>
      <c r="F1574" s="79" t="s">
        <v>2537</v>
      </c>
      <c r="G1574" s="79" t="s">
        <v>1130</v>
      </c>
      <c r="H1574" s="79"/>
      <c r="I1574" s="79"/>
    </row>
    <row r="1575" spans="1:9" ht="14.25">
      <c r="A1575" s="79" t="s">
        <v>3480</v>
      </c>
      <c r="B1575" s="79" t="s">
        <v>3481</v>
      </c>
      <c r="C1575" s="79">
        <v>599713571</v>
      </c>
      <c r="D1575" s="79">
        <v>0</v>
      </c>
      <c r="E1575" s="79" t="s">
        <v>1124</v>
      </c>
      <c r="F1575" s="79" t="s">
        <v>2537</v>
      </c>
      <c r="G1575" s="79" t="s">
        <v>1131</v>
      </c>
      <c r="H1575" s="79" t="s">
        <v>1132</v>
      </c>
      <c r="I1575" s="79"/>
    </row>
    <row r="1576" spans="1:9" ht="14.25">
      <c r="A1576" s="79" t="s">
        <v>3480</v>
      </c>
      <c r="B1576" s="79" t="s">
        <v>3481</v>
      </c>
      <c r="C1576" s="79">
        <v>599713571</v>
      </c>
      <c r="D1576" s="79">
        <v>0</v>
      </c>
      <c r="E1576" s="79" t="s">
        <v>1124</v>
      </c>
      <c r="F1576" s="79" t="s">
        <v>2537</v>
      </c>
      <c r="G1576" s="79" t="s">
        <v>2576</v>
      </c>
      <c r="H1576" s="79"/>
      <c r="I1576" s="79"/>
    </row>
    <row r="1577" spans="1:9" ht="14.25">
      <c r="A1577" s="79" t="s">
        <v>3482</v>
      </c>
      <c r="B1577" s="79" t="s">
        <v>3483</v>
      </c>
      <c r="C1577" s="79">
        <v>599714171</v>
      </c>
      <c r="D1577" s="79">
        <v>0</v>
      </c>
      <c r="E1577" s="79" t="s">
        <v>1124</v>
      </c>
      <c r="F1577" s="79" t="s">
        <v>2537</v>
      </c>
      <c r="G1577" s="79" t="s">
        <v>2544</v>
      </c>
      <c r="H1577" s="79" t="s">
        <v>2545</v>
      </c>
      <c r="I1577" s="79"/>
    </row>
    <row r="1578" spans="1:9" ht="14.25">
      <c r="A1578" s="79" t="s">
        <v>3482</v>
      </c>
      <c r="B1578" s="79" t="s">
        <v>3483</v>
      </c>
      <c r="C1578" s="79">
        <v>599714171</v>
      </c>
      <c r="D1578" s="79">
        <v>0</v>
      </c>
      <c r="E1578" s="79" t="s">
        <v>1124</v>
      </c>
      <c r="F1578" s="79" t="s">
        <v>2537</v>
      </c>
      <c r="G1578" s="79" t="s">
        <v>2579</v>
      </c>
      <c r="H1578" s="79"/>
      <c r="I1578" s="79"/>
    </row>
    <row r="1579" spans="1:9" ht="14.25">
      <c r="A1579" s="79" t="s">
        <v>3484</v>
      </c>
      <c r="B1579" s="79" t="s">
        <v>3485</v>
      </c>
      <c r="C1579" s="79">
        <v>599756771</v>
      </c>
      <c r="D1579" s="79">
        <v>0</v>
      </c>
      <c r="E1579" s="79" t="s">
        <v>1124</v>
      </c>
      <c r="F1579" s="79" t="s">
        <v>2537</v>
      </c>
      <c r="G1579" s="79" t="s">
        <v>1130</v>
      </c>
      <c r="H1579" s="79"/>
      <c r="I1579" s="79"/>
    </row>
    <row r="1580" spans="1:9" ht="14.25">
      <c r="A1580" s="79" t="s">
        <v>3484</v>
      </c>
      <c r="B1580" s="79" t="s">
        <v>3485</v>
      </c>
      <c r="C1580" s="79">
        <v>599756771</v>
      </c>
      <c r="D1580" s="79">
        <v>0</v>
      </c>
      <c r="E1580" s="79" t="s">
        <v>1124</v>
      </c>
      <c r="F1580" s="79" t="s">
        <v>2537</v>
      </c>
      <c r="G1580" s="79" t="s">
        <v>1131</v>
      </c>
      <c r="H1580" s="79" t="s">
        <v>1132</v>
      </c>
      <c r="I1580" s="79"/>
    </row>
    <row r="1581" spans="1:9" ht="14.25">
      <c r="A1581" s="79" t="s">
        <v>3484</v>
      </c>
      <c r="B1581" s="79" t="s">
        <v>3485</v>
      </c>
      <c r="C1581" s="79">
        <v>599756771</v>
      </c>
      <c r="D1581" s="79">
        <v>0</v>
      </c>
      <c r="E1581" s="79" t="s">
        <v>1124</v>
      </c>
      <c r="F1581" s="79" t="s">
        <v>2537</v>
      </c>
      <c r="G1581" s="79" t="s">
        <v>2576</v>
      </c>
      <c r="H1581" s="79"/>
      <c r="I1581" s="79"/>
    </row>
    <row r="1582" spans="1:9" ht="14.25">
      <c r="A1582" s="79" t="s">
        <v>3486</v>
      </c>
      <c r="B1582" s="79" t="s">
        <v>3487</v>
      </c>
      <c r="C1582" s="79">
        <v>599757371</v>
      </c>
      <c r="D1582" s="79">
        <v>0</v>
      </c>
      <c r="E1582" s="79" t="s">
        <v>1124</v>
      </c>
      <c r="F1582" s="79" t="s">
        <v>2537</v>
      </c>
      <c r="G1582" s="79" t="s">
        <v>2544</v>
      </c>
      <c r="H1582" s="79" t="s">
        <v>2545</v>
      </c>
      <c r="I1582" s="79"/>
    </row>
    <row r="1583" spans="1:9" ht="14.25">
      <c r="A1583" s="79" t="s">
        <v>3486</v>
      </c>
      <c r="B1583" s="79" t="s">
        <v>3487</v>
      </c>
      <c r="C1583" s="79">
        <v>599757371</v>
      </c>
      <c r="D1583" s="79">
        <v>0</v>
      </c>
      <c r="E1583" s="79" t="s">
        <v>1124</v>
      </c>
      <c r="F1583" s="79" t="s">
        <v>2537</v>
      </c>
      <c r="G1583" s="79" t="s">
        <v>2579</v>
      </c>
      <c r="H1583" s="79"/>
      <c r="I1583" s="79"/>
    </row>
    <row r="1584" spans="1:9" ht="14.25">
      <c r="A1584" s="79" t="s">
        <v>3488</v>
      </c>
      <c r="B1584" s="79" t="s">
        <v>3489</v>
      </c>
      <c r="C1584" s="79">
        <v>599799971</v>
      </c>
      <c r="D1584" s="79">
        <v>0</v>
      </c>
      <c r="E1584" s="79" t="s">
        <v>1124</v>
      </c>
      <c r="F1584" s="79" t="s">
        <v>2537</v>
      </c>
      <c r="G1584" s="79" t="s">
        <v>1130</v>
      </c>
      <c r="H1584" s="79"/>
      <c r="I1584" s="79"/>
    </row>
    <row r="1585" spans="1:9" ht="14.25">
      <c r="A1585" s="79" t="s">
        <v>3488</v>
      </c>
      <c r="B1585" s="79" t="s">
        <v>3489</v>
      </c>
      <c r="C1585" s="79">
        <v>599799971</v>
      </c>
      <c r="D1585" s="79">
        <v>0</v>
      </c>
      <c r="E1585" s="79" t="s">
        <v>1124</v>
      </c>
      <c r="F1585" s="79" t="s">
        <v>2537</v>
      </c>
      <c r="G1585" s="79" t="s">
        <v>1131</v>
      </c>
      <c r="H1585" s="79" t="s">
        <v>1132</v>
      </c>
      <c r="I1585" s="79"/>
    </row>
    <row r="1586" spans="1:9" ht="14.25">
      <c r="A1586" s="79" t="s">
        <v>3488</v>
      </c>
      <c r="B1586" s="79" t="s">
        <v>3489</v>
      </c>
      <c r="C1586" s="79">
        <v>599799971</v>
      </c>
      <c r="D1586" s="79">
        <v>0</v>
      </c>
      <c r="E1586" s="79" t="s">
        <v>1124</v>
      </c>
      <c r="F1586" s="79" t="s">
        <v>2537</v>
      </c>
      <c r="G1586" s="79" t="s">
        <v>2576</v>
      </c>
      <c r="H1586" s="79"/>
      <c r="I1586" s="79"/>
    </row>
    <row r="1587" spans="1:9" ht="14.25">
      <c r="A1587" s="79" t="s">
        <v>3490</v>
      </c>
      <c r="B1587" s="79" t="s">
        <v>3491</v>
      </c>
      <c r="C1587" s="79">
        <v>599800571</v>
      </c>
      <c r="D1587" s="79">
        <v>0</v>
      </c>
      <c r="E1587" s="79" t="s">
        <v>1124</v>
      </c>
      <c r="F1587" s="79" t="s">
        <v>2537</v>
      </c>
      <c r="G1587" s="79" t="s">
        <v>2544</v>
      </c>
      <c r="H1587" s="79" t="s">
        <v>2545</v>
      </c>
      <c r="I1587" s="79"/>
    </row>
    <row r="1588" spans="1:9" ht="14.25">
      <c r="A1588" s="79" t="s">
        <v>3490</v>
      </c>
      <c r="B1588" s="79" t="s">
        <v>3491</v>
      </c>
      <c r="C1588" s="79">
        <v>599800571</v>
      </c>
      <c r="D1588" s="79">
        <v>0</v>
      </c>
      <c r="E1588" s="79" t="s">
        <v>1124</v>
      </c>
      <c r="F1588" s="79" t="s">
        <v>2537</v>
      </c>
      <c r="G1588" s="79" t="s">
        <v>2579</v>
      </c>
      <c r="H1588" s="79"/>
      <c r="I1588" s="79"/>
    </row>
    <row r="1589" spans="1:9" ht="14.25">
      <c r="A1589" s="79" t="s">
        <v>3492</v>
      </c>
      <c r="B1589" s="79" t="s">
        <v>3493</v>
      </c>
      <c r="C1589" s="79">
        <v>599843171</v>
      </c>
      <c r="D1589" s="79">
        <v>0</v>
      </c>
      <c r="E1589" s="79" t="s">
        <v>1124</v>
      </c>
      <c r="F1589" s="79" t="s">
        <v>2537</v>
      </c>
      <c r="G1589" s="79" t="s">
        <v>1130</v>
      </c>
      <c r="H1589" s="79"/>
      <c r="I1589" s="79"/>
    </row>
    <row r="1590" spans="1:9" ht="14.25">
      <c r="A1590" s="79" t="s">
        <v>3492</v>
      </c>
      <c r="B1590" s="79" t="s">
        <v>3493</v>
      </c>
      <c r="C1590" s="79">
        <v>599843171</v>
      </c>
      <c r="D1590" s="79">
        <v>0</v>
      </c>
      <c r="E1590" s="79" t="s">
        <v>1124</v>
      </c>
      <c r="F1590" s="79" t="s">
        <v>2537</v>
      </c>
      <c r="G1590" s="79" t="s">
        <v>1131</v>
      </c>
      <c r="H1590" s="79" t="s">
        <v>1132</v>
      </c>
      <c r="I1590" s="79"/>
    </row>
    <row r="1591" spans="1:9" ht="14.25">
      <c r="A1591" s="79" t="s">
        <v>3492</v>
      </c>
      <c r="B1591" s="79" t="s">
        <v>3493</v>
      </c>
      <c r="C1591" s="79">
        <v>599843171</v>
      </c>
      <c r="D1591" s="79">
        <v>0</v>
      </c>
      <c r="E1591" s="79" t="s">
        <v>1124</v>
      </c>
      <c r="F1591" s="79" t="s">
        <v>2537</v>
      </c>
      <c r="G1591" s="79" t="s">
        <v>2576</v>
      </c>
      <c r="H1591" s="79"/>
      <c r="I1591" s="79"/>
    </row>
    <row r="1592" spans="1:9" ht="14.25">
      <c r="A1592" s="79" t="s">
        <v>3494</v>
      </c>
      <c r="B1592" s="79" t="s">
        <v>3495</v>
      </c>
      <c r="C1592" s="79">
        <v>599843771</v>
      </c>
      <c r="D1592" s="79">
        <v>0</v>
      </c>
      <c r="E1592" s="79" t="s">
        <v>1124</v>
      </c>
      <c r="F1592" s="79" t="s">
        <v>2537</v>
      </c>
      <c r="G1592" s="79" t="s">
        <v>2544</v>
      </c>
      <c r="H1592" s="79" t="s">
        <v>2545</v>
      </c>
      <c r="I1592" s="79"/>
    </row>
    <row r="1593" spans="1:9" ht="14.25">
      <c r="A1593" s="79" t="s">
        <v>3494</v>
      </c>
      <c r="B1593" s="79" t="s">
        <v>3495</v>
      </c>
      <c r="C1593" s="79">
        <v>599843771</v>
      </c>
      <c r="D1593" s="79">
        <v>0</v>
      </c>
      <c r="E1593" s="79" t="s">
        <v>1124</v>
      </c>
      <c r="F1593" s="79" t="s">
        <v>2537</v>
      </c>
      <c r="G1593" s="79" t="s">
        <v>2579</v>
      </c>
      <c r="H1593" s="79"/>
      <c r="I1593" s="79"/>
    </row>
    <row r="1594" spans="1:9" ht="14.25">
      <c r="A1594" s="79" t="s">
        <v>3496</v>
      </c>
      <c r="B1594" s="79" t="s">
        <v>3497</v>
      </c>
      <c r="C1594" s="79">
        <v>599886371</v>
      </c>
      <c r="D1594" s="79">
        <v>0</v>
      </c>
      <c r="E1594" s="79" t="s">
        <v>1124</v>
      </c>
      <c r="F1594" s="79" t="s">
        <v>2537</v>
      </c>
      <c r="G1594" s="79" t="s">
        <v>1130</v>
      </c>
      <c r="H1594" s="79"/>
      <c r="I1594" s="79"/>
    </row>
    <row r="1595" spans="1:9" ht="14.25">
      <c r="A1595" s="79" t="s">
        <v>3496</v>
      </c>
      <c r="B1595" s="79" t="s">
        <v>3497</v>
      </c>
      <c r="C1595" s="79">
        <v>599886371</v>
      </c>
      <c r="D1595" s="79">
        <v>0</v>
      </c>
      <c r="E1595" s="79" t="s">
        <v>1124</v>
      </c>
      <c r="F1595" s="79" t="s">
        <v>2537</v>
      </c>
      <c r="G1595" s="79" t="s">
        <v>1131</v>
      </c>
      <c r="H1595" s="79" t="s">
        <v>1132</v>
      </c>
      <c r="I1595" s="79"/>
    </row>
    <row r="1596" spans="1:9" ht="14.25">
      <c r="A1596" s="79" t="s">
        <v>3496</v>
      </c>
      <c r="B1596" s="79" t="s">
        <v>3497</v>
      </c>
      <c r="C1596" s="79">
        <v>599886371</v>
      </c>
      <c r="D1596" s="79">
        <v>0</v>
      </c>
      <c r="E1596" s="79" t="s">
        <v>1124</v>
      </c>
      <c r="F1596" s="79" t="s">
        <v>2537</v>
      </c>
      <c r="G1596" s="79" t="s">
        <v>2576</v>
      </c>
      <c r="H1596" s="79"/>
      <c r="I1596" s="79"/>
    </row>
    <row r="1597" spans="1:9" ht="14.25">
      <c r="A1597" s="79" t="s">
        <v>3498</v>
      </c>
      <c r="B1597" s="79" t="s">
        <v>3499</v>
      </c>
      <c r="C1597" s="79">
        <v>599886971</v>
      </c>
      <c r="D1597" s="79">
        <v>0</v>
      </c>
      <c r="E1597" s="79" t="s">
        <v>1124</v>
      </c>
      <c r="F1597" s="79" t="s">
        <v>2537</v>
      </c>
      <c r="G1597" s="79" t="s">
        <v>2544</v>
      </c>
      <c r="H1597" s="79" t="s">
        <v>2545</v>
      </c>
      <c r="I1597" s="79"/>
    </row>
    <row r="1598" spans="1:9" ht="14.25">
      <c r="A1598" s="79" t="s">
        <v>3498</v>
      </c>
      <c r="B1598" s="79" t="s">
        <v>3499</v>
      </c>
      <c r="C1598" s="79">
        <v>599886971</v>
      </c>
      <c r="D1598" s="79">
        <v>0</v>
      </c>
      <c r="E1598" s="79" t="s">
        <v>1124</v>
      </c>
      <c r="F1598" s="79" t="s">
        <v>2537</v>
      </c>
      <c r="G1598" s="79" t="s">
        <v>2579</v>
      </c>
      <c r="H1598" s="79"/>
      <c r="I1598" s="79"/>
    </row>
    <row r="1599" spans="1:9" ht="14.25">
      <c r="A1599" s="79" t="s">
        <v>3500</v>
      </c>
      <c r="B1599" s="79" t="s">
        <v>3501</v>
      </c>
      <c r="C1599" s="79">
        <v>599929571</v>
      </c>
      <c r="D1599" s="79">
        <v>0</v>
      </c>
      <c r="E1599" s="79" t="s">
        <v>1124</v>
      </c>
      <c r="F1599" s="79" t="s">
        <v>2537</v>
      </c>
      <c r="G1599" s="79" t="s">
        <v>1130</v>
      </c>
      <c r="H1599" s="79"/>
      <c r="I1599" s="79"/>
    </row>
    <row r="1600" spans="1:9" ht="14.25">
      <c r="A1600" s="79" t="s">
        <v>3500</v>
      </c>
      <c r="B1600" s="79" t="s">
        <v>3501</v>
      </c>
      <c r="C1600" s="79">
        <v>599929571</v>
      </c>
      <c r="D1600" s="79">
        <v>0</v>
      </c>
      <c r="E1600" s="79" t="s">
        <v>1124</v>
      </c>
      <c r="F1600" s="79" t="s">
        <v>2537</v>
      </c>
      <c r="G1600" s="79" t="s">
        <v>1131</v>
      </c>
      <c r="H1600" s="79" t="s">
        <v>1132</v>
      </c>
      <c r="I1600" s="79"/>
    </row>
    <row r="1601" spans="1:9" ht="14.25">
      <c r="A1601" s="79" t="s">
        <v>3500</v>
      </c>
      <c r="B1601" s="79" t="s">
        <v>3501</v>
      </c>
      <c r="C1601" s="79">
        <v>599929571</v>
      </c>
      <c r="D1601" s="79">
        <v>0</v>
      </c>
      <c r="E1601" s="79" t="s">
        <v>1124</v>
      </c>
      <c r="F1601" s="79" t="s">
        <v>2537</v>
      </c>
      <c r="G1601" s="79" t="s">
        <v>2576</v>
      </c>
      <c r="H1601" s="79"/>
      <c r="I1601" s="79"/>
    </row>
    <row r="1602" spans="1:9" ht="14.25">
      <c r="A1602" s="79" t="s">
        <v>3502</v>
      </c>
      <c r="B1602" s="79" t="s">
        <v>3503</v>
      </c>
      <c r="C1602" s="79">
        <v>599930171</v>
      </c>
      <c r="D1602" s="79">
        <v>0</v>
      </c>
      <c r="E1602" s="79" t="s">
        <v>1124</v>
      </c>
      <c r="F1602" s="79" t="s">
        <v>2537</v>
      </c>
      <c r="G1602" s="79" t="s">
        <v>2544</v>
      </c>
      <c r="H1602" s="79" t="s">
        <v>2545</v>
      </c>
      <c r="I1602" s="79"/>
    </row>
    <row r="1603" spans="1:9" ht="14.25">
      <c r="A1603" s="79" t="s">
        <v>3502</v>
      </c>
      <c r="B1603" s="79" t="s">
        <v>3503</v>
      </c>
      <c r="C1603" s="79">
        <v>599930171</v>
      </c>
      <c r="D1603" s="79">
        <v>0</v>
      </c>
      <c r="E1603" s="79" t="s">
        <v>1124</v>
      </c>
      <c r="F1603" s="79" t="s">
        <v>2537</v>
      </c>
      <c r="G1603" s="79" t="s">
        <v>2579</v>
      </c>
      <c r="H1603" s="79"/>
      <c r="I1603" s="79"/>
    </row>
    <row r="1604" spans="1:9" ht="14.25">
      <c r="A1604" s="79" t="s">
        <v>3504</v>
      </c>
      <c r="B1604" s="79" t="s">
        <v>3505</v>
      </c>
      <c r="C1604" s="79">
        <v>599972771</v>
      </c>
      <c r="D1604" s="79">
        <v>0</v>
      </c>
      <c r="E1604" s="79" t="s">
        <v>1124</v>
      </c>
      <c r="F1604" s="79" t="s">
        <v>2537</v>
      </c>
      <c r="G1604" s="79" t="s">
        <v>1130</v>
      </c>
      <c r="H1604" s="79"/>
      <c r="I1604" s="79"/>
    </row>
    <row r="1605" spans="1:9" ht="14.25">
      <c r="A1605" s="79" t="s">
        <v>3504</v>
      </c>
      <c r="B1605" s="79" t="s">
        <v>3505</v>
      </c>
      <c r="C1605" s="79">
        <v>599972771</v>
      </c>
      <c r="D1605" s="79">
        <v>0</v>
      </c>
      <c r="E1605" s="79" t="s">
        <v>1124</v>
      </c>
      <c r="F1605" s="79" t="s">
        <v>2537</v>
      </c>
      <c r="G1605" s="79" t="s">
        <v>1131</v>
      </c>
      <c r="H1605" s="79" t="s">
        <v>1132</v>
      </c>
      <c r="I1605" s="79"/>
    </row>
    <row r="1606" spans="1:9" ht="14.25">
      <c r="A1606" s="79" t="s">
        <v>3504</v>
      </c>
      <c r="B1606" s="79" t="s">
        <v>3505</v>
      </c>
      <c r="C1606" s="79">
        <v>599972771</v>
      </c>
      <c r="D1606" s="79">
        <v>0</v>
      </c>
      <c r="E1606" s="79" t="s">
        <v>1124</v>
      </c>
      <c r="F1606" s="79" t="s">
        <v>2537</v>
      </c>
      <c r="G1606" s="79" t="s">
        <v>2576</v>
      </c>
      <c r="H1606" s="79"/>
      <c r="I1606" s="79"/>
    </row>
    <row r="1607" spans="1:9" ht="14.25">
      <c r="A1607" s="79" t="s">
        <v>3506</v>
      </c>
      <c r="B1607" s="79" t="s">
        <v>3507</v>
      </c>
      <c r="C1607" s="79">
        <v>599973371</v>
      </c>
      <c r="D1607" s="79">
        <v>0</v>
      </c>
      <c r="E1607" s="79" t="s">
        <v>1124</v>
      </c>
      <c r="F1607" s="79" t="s">
        <v>2537</v>
      </c>
      <c r="G1607" s="79" t="s">
        <v>2544</v>
      </c>
      <c r="H1607" s="79" t="s">
        <v>2545</v>
      </c>
      <c r="I1607" s="79"/>
    </row>
    <row r="1608" spans="1:9" ht="14.25">
      <c r="A1608" s="79" t="s">
        <v>3506</v>
      </c>
      <c r="B1608" s="79" t="s">
        <v>3507</v>
      </c>
      <c r="C1608" s="79">
        <v>599973371</v>
      </c>
      <c r="D1608" s="79">
        <v>0</v>
      </c>
      <c r="E1608" s="79" t="s">
        <v>1124</v>
      </c>
      <c r="F1608" s="79" t="s">
        <v>2537</v>
      </c>
      <c r="G1608" s="79" t="s">
        <v>2579</v>
      </c>
      <c r="H1608" s="79"/>
      <c r="I1608" s="79"/>
    </row>
    <row r="1609" spans="1:9" ht="14.25">
      <c r="A1609" s="79" t="s">
        <v>3508</v>
      </c>
      <c r="B1609" s="79" t="s">
        <v>3509</v>
      </c>
      <c r="C1609" s="79">
        <v>600015971</v>
      </c>
      <c r="D1609" s="79">
        <v>0</v>
      </c>
      <c r="E1609" s="79" t="s">
        <v>1124</v>
      </c>
      <c r="F1609" s="79" t="s">
        <v>2537</v>
      </c>
      <c r="G1609" s="79" t="s">
        <v>1130</v>
      </c>
      <c r="H1609" s="79"/>
      <c r="I1609" s="79"/>
    </row>
    <row r="1610" spans="1:9" ht="14.25">
      <c r="A1610" s="79" t="s">
        <v>3508</v>
      </c>
      <c r="B1610" s="79" t="s">
        <v>3509</v>
      </c>
      <c r="C1610" s="79">
        <v>600015971</v>
      </c>
      <c r="D1610" s="79">
        <v>0</v>
      </c>
      <c r="E1610" s="79" t="s">
        <v>1124</v>
      </c>
      <c r="F1610" s="79" t="s">
        <v>2537</v>
      </c>
      <c r="G1610" s="79" t="s">
        <v>1131</v>
      </c>
      <c r="H1610" s="79" t="s">
        <v>1132</v>
      </c>
      <c r="I1610" s="79"/>
    </row>
    <row r="1611" spans="1:9" ht="14.25">
      <c r="A1611" s="79" t="s">
        <v>3508</v>
      </c>
      <c r="B1611" s="79" t="s">
        <v>3509</v>
      </c>
      <c r="C1611" s="79">
        <v>600015971</v>
      </c>
      <c r="D1611" s="79">
        <v>0</v>
      </c>
      <c r="E1611" s="79" t="s">
        <v>1124</v>
      </c>
      <c r="F1611" s="79" t="s">
        <v>2537</v>
      </c>
      <c r="G1611" s="79" t="s">
        <v>2576</v>
      </c>
      <c r="H1611" s="79"/>
      <c r="I1611" s="79"/>
    </row>
    <row r="1612" spans="1:9" ht="14.25">
      <c r="A1612" s="79" t="s">
        <v>3510</v>
      </c>
      <c r="B1612" s="79" t="s">
        <v>3511</v>
      </c>
      <c r="C1612" s="79">
        <v>600016571</v>
      </c>
      <c r="D1612" s="79">
        <v>0</v>
      </c>
      <c r="E1612" s="79" t="s">
        <v>1124</v>
      </c>
      <c r="F1612" s="79" t="s">
        <v>2537</v>
      </c>
      <c r="G1612" s="79" t="s">
        <v>2544</v>
      </c>
      <c r="H1612" s="79" t="s">
        <v>2545</v>
      </c>
      <c r="I1612" s="79"/>
    </row>
    <row r="1613" spans="1:9" ht="14.25">
      <c r="A1613" s="79" t="s">
        <v>3510</v>
      </c>
      <c r="B1613" s="79" t="s">
        <v>3511</v>
      </c>
      <c r="C1613" s="79">
        <v>600016571</v>
      </c>
      <c r="D1613" s="79">
        <v>0</v>
      </c>
      <c r="E1613" s="79" t="s">
        <v>1124</v>
      </c>
      <c r="F1613" s="79" t="s">
        <v>2537</v>
      </c>
      <c r="G1613" s="79" t="s">
        <v>2579</v>
      </c>
      <c r="H1613" s="79"/>
      <c r="I1613" s="79"/>
    </row>
    <row r="1614" spans="1:9" ht="14.25">
      <c r="A1614" s="79" t="s">
        <v>3512</v>
      </c>
      <c r="B1614" s="79" t="s">
        <v>3513</v>
      </c>
      <c r="C1614" s="79">
        <v>600059171</v>
      </c>
      <c r="D1614" s="79">
        <v>0</v>
      </c>
      <c r="E1614" s="79" t="s">
        <v>1124</v>
      </c>
      <c r="F1614" s="79" t="s">
        <v>2537</v>
      </c>
      <c r="G1614" s="79" t="s">
        <v>1130</v>
      </c>
      <c r="H1614" s="79"/>
      <c r="I1614" s="79"/>
    </row>
    <row r="1615" spans="1:9" ht="14.25">
      <c r="A1615" s="79" t="s">
        <v>3512</v>
      </c>
      <c r="B1615" s="79" t="s">
        <v>3513</v>
      </c>
      <c r="C1615" s="79">
        <v>600059171</v>
      </c>
      <c r="D1615" s="79">
        <v>0</v>
      </c>
      <c r="E1615" s="79" t="s">
        <v>1124</v>
      </c>
      <c r="F1615" s="79" t="s">
        <v>2537</v>
      </c>
      <c r="G1615" s="79" t="s">
        <v>1131</v>
      </c>
      <c r="H1615" s="79" t="s">
        <v>1132</v>
      </c>
      <c r="I1615" s="79"/>
    </row>
    <row r="1616" spans="1:9" ht="14.25">
      <c r="A1616" s="79" t="s">
        <v>3512</v>
      </c>
      <c r="B1616" s="79" t="s">
        <v>3513</v>
      </c>
      <c r="C1616" s="79">
        <v>600059171</v>
      </c>
      <c r="D1616" s="79">
        <v>0</v>
      </c>
      <c r="E1616" s="79" t="s">
        <v>1124</v>
      </c>
      <c r="F1616" s="79" t="s">
        <v>2537</v>
      </c>
      <c r="G1616" s="79" t="s">
        <v>2576</v>
      </c>
      <c r="H1616" s="79"/>
      <c r="I1616" s="79"/>
    </row>
    <row r="1617" spans="1:9" ht="14.25">
      <c r="A1617" s="79" t="s">
        <v>3514</v>
      </c>
      <c r="B1617" s="79" t="s">
        <v>3515</v>
      </c>
      <c r="C1617" s="79">
        <v>600059771</v>
      </c>
      <c r="D1617" s="79">
        <v>0</v>
      </c>
      <c r="E1617" s="79" t="s">
        <v>1124</v>
      </c>
      <c r="F1617" s="79" t="s">
        <v>2537</v>
      </c>
      <c r="G1617" s="79" t="s">
        <v>2544</v>
      </c>
      <c r="H1617" s="79" t="s">
        <v>2545</v>
      </c>
      <c r="I1617" s="79"/>
    </row>
    <row r="1618" spans="1:9" ht="14.25">
      <c r="A1618" s="79" t="s">
        <v>3514</v>
      </c>
      <c r="B1618" s="79" t="s">
        <v>3515</v>
      </c>
      <c r="C1618" s="79">
        <v>600059771</v>
      </c>
      <c r="D1618" s="79">
        <v>0</v>
      </c>
      <c r="E1618" s="79" t="s">
        <v>1124</v>
      </c>
      <c r="F1618" s="79" t="s">
        <v>2537</v>
      </c>
      <c r="G1618" s="79" t="s">
        <v>2579</v>
      </c>
      <c r="H1618" s="79"/>
      <c r="I1618" s="79"/>
    </row>
    <row r="1619" spans="1:9" ht="14.25">
      <c r="A1619" s="79" t="s">
        <v>3516</v>
      </c>
      <c r="B1619" s="79" t="s">
        <v>3517</v>
      </c>
      <c r="C1619" s="79">
        <v>600102371</v>
      </c>
      <c r="D1619" s="79">
        <v>0</v>
      </c>
      <c r="E1619" s="79" t="s">
        <v>1124</v>
      </c>
      <c r="F1619" s="79" t="s">
        <v>2537</v>
      </c>
      <c r="G1619" s="79" t="s">
        <v>1130</v>
      </c>
      <c r="H1619" s="79"/>
      <c r="I1619" s="79"/>
    </row>
    <row r="1620" spans="1:9" ht="14.25">
      <c r="A1620" s="79" t="s">
        <v>3516</v>
      </c>
      <c r="B1620" s="79" t="s">
        <v>3517</v>
      </c>
      <c r="C1620" s="79">
        <v>600102371</v>
      </c>
      <c r="D1620" s="79">
        <v>0</v>
      </c>
      <c r="E1620" s="79" t="s">
        <v>1124</v>
      </c>
      <c r="F1620" s="79" t="s">
        <v>2537</v>
      </c>
      <c r="G1620" s="79" t="s">
        <v>1131</v>
      </c>
      <c r="H1620" s="79" t="s">
        <v>1132</v>
      </c>
      <c r="I1620" s="79"/>
    </row>
    <row r="1621" spans="1:9" ht="14.25">
      <c r="A1621" s="79" t="s">
        <v>3516</v>
      </c>
      <c r="B1621" s="79" t="s">
        <v>3517</v>
      </c>
      <c r="C1621" s="79">
        <v>600102371</v>
      </c>
      <c r="D1621" s="79">
        <v>0</v>
      </c>
      <c r="E1621" s="79" t="s">
        <v>1124</v>
      </c>
      <c r="F1621" s="79" t="s">
        <v>2537</v>
      </c>
      <c r="G1621" s="79" t="s">
        <v>2576</v>
      </c>
      <c r="H1621" s="79"/>
      <c r="I1621" s="79"/>
    </row>
    <row r="1622" spans="1:9" ht="14.25">
      <c r="A1622" s="79" t="s">
        <v>3518</v>
      </c>
      <c r="B1622" s="79" t="s">
        <v>3519</v>
      </c>
      <c r="C1622" s="79">
        <v>600102971</v>
      </c>
      <c r="D1622" s="79">
        <v>0</v>
      </c>
      <c r="E1622" s="79" t="s">
        <v>1124</v>
      </c>
      <c r="F1622" s="79" t="s">
        <v>2537</v>
      </c>
      <c r="G1622" s="79" t="s">
        <v>2544</v>
      </c>
      <c r="H1622" s="79" t="s">
        <v>2545</v>
      </c>
      <c r="I1622" s="79"/>
    </row>
    <row r="1623" spans="1:9" ht="14.25">
      <c r="A1623" s="79" t="s">
        <v>3518</v>
      </c>
      <c r="B1623" s="79" t="s">
        <v>3519</v>
      </c>
      <c r="C1623" s="79">
        <v>600102971</v>
      </c>
      <c r="D1623" s="79">
        <v>0</v>
      </c>
      <c r="E1623" s="79" t="s">
        <v>1124</v>
      </c>
      <c r="F1623" s="79" t="s">
        <v>2537</v>
      </c>
      <c r="G1623" s="79" t="s">
        <v>2579</v>
      </c>
      <c r="H1623" s="79"/>
      <c r="I1623" s="79"/>
    </row>
    <row r="1624" spans="1:9" ht="14.25">
      <c r="A1624" s="79" t="s">
        <v>3520</v>
      </c>
      <c r="B1624" s="79" t="s">
        <v>3521</v>
      </c>
      <c r="C1624" s="79">
        <v>600145571</v>
      </c>
      <c r="D1624" s="79">
        <v>0</v>
      </c>
      <c r="E1624" s="79" t="s">
        <v>1124</v>
      </c>
      <c r="F1624" s="79" t="s">
        <v>2537</v>
      </c>
      <c r="G1624" s="79" t="s">
        <v>1130</v>
      </c>
      <c r="H1624" s="79"/>
      <c r="I1624" s="79"/>
    </row>
    <row r="1625" spans="1:9" ht="14.25">
      <c r="A1625" s="79" t="s">
        <v>3520</v>
      </c>
      <c r="B1625" s="79" t="s">
        <v>3521</v>
      </c>
      <c r="C1625" s="79">
        <v>600145571</v>
      </c>
      <c r="D1625" s="79">
        <v>0</v>
      </c>
      <c r="E1625" s="79" t="s">
        <v>1124</v>
      </c>
      <c r="F1625" s="79" t="s">
        <v>2537</v>
      </c>
      <c r="G1625" s="79" t="s">
        <v>1131</v>
      </c>
      <c r="H1625" s="79" t="s">
        <v>1132</v>
      </c>
      <c r="I1625" s="79"/>
    </row>
    <row r="1626" spans="1:9" ht="14.25">
      <c r="A1626" s="79" t="s">
        <v>3520</v>
      </c>
      <c r="B1626" s="79" t="s">
        <v>3521</v>
      </c>
      <c r="C1626" s="79">
        <v>600145571</v>
      </c>
      <c r="D1626" s="79">
        <v>0</v>
      </c>
      <c r="E1626" s="79" t="s">
        <v>1124</v>
      </c>
      <c r="F1626" s="79" t="s">
        <v>2537</v>
      </c>
      <c r="G1626" s="79" t="s">
        <v>2576</v>
      </c>
      <c r="H1626" s="79"/>
      <c r="I1626" s="79"/>
    </row>
    <row r="1627" spans="1:9" ht="14.25">
      <c r="A1627" s="79" t="s">
        <v>3522</v>
      </c>
      <c r="B1627" s="79" t="s">
        <v>3523</v>
      </c>
      <c r="C1627" s="79">
        <v>600146171</v>
      </c>
      <c r="D1627" s="79">
        <v>0</v>
      </c>
      <c r="E1627" s="79" t="s">
        <v>1124</v>
      </c>
      <c r="F1627" s="79" t="s">
        <v>2537</v>
      </c>
      <c r="G1627" s="79" t="s">
        <v>2544</v>
      </c>
      <c r="H1627" s="79" t="s">
        <v>2545</v>
      </c>
      <c r="I1627" s="79"/>
    </row>
    <row r="1628" spans="1:9" ht="14.25">
      <c r="A1628" s="79" t="s">
        <v>3522</v>
      </c>
      <c r="B1628" s="79" t="s">
        <v>3523</v>
      </c>
      <c r="C1628" s="79">
        <v>600146171</v>
      </c>
      <c r="D1628" s="79">
        <v>0</v>
      </c>
      <c r="E1628" s="79" t="s">
        <v>1124</v>
      </c>
      <c r="F1628" s="79" t="s">
        <v>2537</v>
      </c>
      <c r="G1628" s="79" t="s">
        <v>2579</v>
      </c>
      <c r="H1628" s="79"/>
      <c r="I1628" s="79"/>
    </row>
    <row r="1629" spans="1:9" ht="14.25">
      <c r="A1629" s="79" t="s">
        <v>3524</v>
      </c>
      <c r="B1629" s="79" t="s">
        <v>3525</v>
      </c>
      <c r="C1629" s="79">
        <v>600188771</v>
      </c>
      <c r="D1629" s="79">
        <v>0</v>
      </c>
      <c r="E1629" s="79" t="s">
        <v>1124</v>
      </c>
      <c r="F1629" s="79" t="s">
        <v>2537</v>
      </c>
      <c r="G1629" s="79" t="s">
        <v>1130</v>
      </c>
      <c r="H1629" s="79"/>
      <c r="I1629" s="79"/>
    </row>
    <row r="1630" spans="1:9" ht="14.25">
      <c r="A1630" s="79" t="s">
        <v>3524</v>
      </c>
      <c r="B1630" s="79" t="s">
        <v>3525</v>
      </c>
      <c r="C1630" s="79">
        <v>600188771</v>
      </c>
      <c r="D1630" s="79">
        <v>0</v>
      </c>
      <c r="E1630" s="79" t="s">
        <v>1124</v>
      </c>
      <c r="F1630" s="79" t="s">
        <v>2537</v>
      </c>
      <c r="G1630" s="79" t="s">
        <v>1131</v>
      </c>
      <c r="H1630" s="79" t="s">
        <v>1132</v>
      </c>
      <c r="I1630" s="79"/>
    </row>
    <row r="1631" spans="1:9" ht="14.25">
      <c r="A1631" s="79" t="s">
        <v>3524</v>
      </c>
      <c r="B1631" s="79" t="s">
        <v>3525</v>
      </c>
      <c r="C1631" s="79">
        <v>600188771</v>
      </c>
      <c r="D1631" s="79">
        <v>0</v>
      </c>
      <c r="E1631" s="79" t="s">
        <v>1124</v>
      </c>
      <c r="F1631" s="79" t="s">
        <v>2537</v>
      </c>
      <c r="G1631" s="79" t="s">
        <v>2576</v>
      </c>
      <c r="H1631" s="79"/>
      <c r="I1631" s="79"/>
    </row>
    <row r="1632" spans="1:9" ht="14.25">
      <c r="A1632" s="79" t="s">
        <v>3526</v>
      </c>
      <c r="B1632" s="79" t="s">
        <v>3527</v>
      </c>
      <c r="C1632" s="79">
        <v>600189371</v>
      </c>
      <c r="D1632" s="79">
        <v>0</v>
      </c>
      <c r="E1632" s="79" t="s">
        <v>1124</v>
      </c>
      <c r="F1632" s="79" t="s">
        <v>2537</v>
      </c>
      <c r="G1632" s="79" t="s">
        <v>2544</v>
      </c>
      <c r="H1632" s="79" t="s">
        <v>2545</v>
      </c>
      <c r="I1632" s="79"/>
    </row>
    <row r="1633" spans="1:9" ht="14.25">
      <c r="A1633" s="79" t="s">
        <v>3526</v>
      </c>
      <c r="B1633" s="79" t="s">
        <v>3527</v>
      </c>
      <c r="C1633" s="79">
        <v>600189371</v>
      </c>
      <c r="D1633" s="79">
        <v>0</v>
      </c>
      <c r="E1633" s="79" t="s">
        <v>1124</v>
      </c>
      <c r="F1633" s="79" t="s">
        <v>2537</v>
      </c>
      <c r="G1633" s="79" t="s">
        <v>2579</v>
      </c>
      <c r="H1633" s="79"/>
      <c r="I1633" s="79"/>
    </row>
    <row r="1634" spans="1:9" ht="14.25">
      <c r="A1634" s="79" t="s">
        <v>3528</v>
      </c>
      <c r="B1634" s="79" t="s">
        <v>3529</v>
      </c>
      <c r="C1634" s="79">
        <v>600231971</v>
      </c>
      <c r="D1634" s="79">
        <v>0</v>
      </c>
      <c r="E1634" s="79" t="s">
        <v>1124</v>
      </c>
      <c r="F1634" s="79" t="s">
        <v>2537</v>
      </c>
      <c r="G1634" s="79" t="s">
        <v>1130</v>
      </c>
      <c r="H1634" s="79"/>
      <c r="I1634" s="79"/>
    </row>
    <row r="1635" spans="1:9" ht="14.25">
      <c r="A1635" s="79" t="s">
        <v>3528</v>
      </c>
      <c r="B1635" s="79" t="s">
        <v>3529</v>
      </c>
      <c r="C1635" s="79">
        <v>600231971</v>
      </c>
      <c r="D1635" s="79">
        <v>0</v>
      </c>
      <c r="E1635" s="79" t="s">
        <v>1124</v>
      </c>
      <c r="F1635" s="79" t="s">
        <v>2537</v>
      </c>
      <c r="G1635" s="79" t="s">
        <v>1131</v>
      </c>
      <c r="H1635" s="79" t="s">
        <v>1132</v>
      </c>
      <c r="I1635" s="79"/>
    </row>
    <row r="1636" spans="1:9" ht="14.25">
      <c r="A1636" s="79" t="s">
        <v>3528</v>
      </c>
      <c r="B1636" s="79" t="s">
        <v>3529</v>
      </c>
      <c r="C1636" s="79">
        <v>600231971</v>
      </c>
      <c r="D1636" s="79">
        <v>0</v>
      </c>
      <c r="E1636" s="79" t="s">
        <v>1124</v>
      </c>
      <c r="F1636" s="79" t="s">
        <v>2537</v>
      </c>
      <c r="G1636" s="79" t="s">
        <v>2576</v>
      </c>
      <c r="H1636" s="79"/>
      <c r="I1636" s="79"/>
    </row>
    <row r="1637" spans="1:9" ht="14.25">
      <c r="A1637" s="79" t="s">
        <v>3530</v>
      </c>
      <c r="B1637" s="79" t="s">
        <v>3531</v>
      </c>
      <c r="C1637" s="79">
        <v>600232571</v>
      </c>
      <c r="D1637" s="79">
        <v>0</v>
      </c>
      <c r="E1637" s="79" t="s">
        <v>1124</v>
      </c>
      <c r="F1637" s="79" t="s">
        <v>2537</v>
      </c>
      <c r="G1637" s="79" t="s">
        <v>2544</v>
      </c>
      <c r="H1637" s="79" t="s">
        <v>2545</v>
      </c>
      <c r="I1637" s="79"/>
    </row>
    <row r="1638" spans="1:9" ht="14.25">
      <c r="A1638" s="79" t="s">
        <v>3530</v>
      </c>
      <c r="B1638" s="79" t="s">
        <v>3531</v>
      </c>
      <c r="C1638" s="79">
        <v>600232571</v>
      </c>
      <c r="D1638" s="79">
        <v>0</v>
      </c>
      <c r="E1638" s="79" t="s">
        <v>1124</v>
      </c>
      <c r="F1638" s="79" t="s">
        <v>2537</v>
      </c>
      <c r="G1638" s="79" t="s">
        <v>2579</v>
      </c>
      <c r="H1638" s="79"/>
      <c r="I1638" s="79"/>
    </row>
    <row r="1639" spans="1:9" ht="14.25">
      <c r="A1639" s="79" t="s">
        <v>3532</v>
      </c>
      <c r="B1639" s="79" t="s">
        <v>3533</v>
      </c>
      <c r="C1639" s="79">
        <v>600275171</v>
      </c>
      <c r="D1639" s="79">
        <v>0</v>
      </c>
      <c r="E1639" s="79" t="s">
        <v>1124</v>
      </c>
      <c r="F1639" s="79" t="s">
        <v>2537</v>
      </c>
      <c r="G1639" s="79" t="s">
        <v>1130</v>
      </c>
      <c r="H1639" s="79"/>
      <c r="I1639" s="79"/>
    </row>
    <row r="1640" spans="1:9" ht="14.25">
      <c r="A1640" s="79" t="s">
        <v>3532</v>
      </c>
      <c r="B1640" s="79" t="s">
        <v>3533</v>
      </c>
      <c r="C1640" s="79">
        <v>600275171</v>
      </c>
      <c r="D1640" s="79">
        <v>0</v>
      </c>
      <c r="E1640" s="79" t="s">
        <v>1124</v>
      </c>
      <c r="F1640" s="79" t="s">
        <v>2537</v>
      </c>
      <c r="G1640" s="79" t="s">
        <v>1131</v>
      </c>
      <c r="H1640" s="79" t="s">
        <v>1132</v>
      </c>
      <c r="I1640" s="79"/>
    </row>
    <row r="1641" spans="1:9" ht="14.25">
      <c r="A1641" s="79" t="s">
        <v>3532</v>
      </c>
      <c r="B1641" s="79" t="s">
        <v>3533</v>
      </c>
      <c r="C1641" s="79">
        <v>600275171</v>
      </c>
      <c r="D1641" s="79">
        <v>0</v>
      </c>
      <c r="E1641" s="79" t="s">
        <v>1124</v>
      </c>
      <c r="F1641" s="79" t="s">
        <v>2537</v>
      </c>
      <c r="G1641" s="79" t="s">
        <v>2576</v>
      </c>
      <c r="H1641" s="79"/>
      <c r="I1641" s="79"/>
    </row>
    <row r="1642" spans="1:9" ht="14.25">
      <c r="A1642" s="79" t="s">
        <v>3534</v>
      </c>
      <c r="B1642" s="79" t="s">
        <v>3535</v>
      </c>
      <c r="C1642" s="79">
        <v>600275771</v>
      </c>
      <c r="D1642" s="79">
        <v>0</v>
      </c>
      <c r="E1642" s="79" t="s">
        <v>1124</v>
      </c>
      <c r="F1642" s="79" t="s">
        <v>2537</v>
      </c>
      <c r="G1642" s="79" t="s">
        <v>2544</v>
      </c>
      <c r="H1642" s="79" t="s">
        <v>2545</v>
      </c>
      <c r="I1642" s="79"/>
    </row>
    <row r="1643" spans="1:9" ht="14.25">
      <c r="A1643" s="79" t="s">
        <v>3534</v>
      </c>
      <c r="B1643" s="79" t="s">
        <v>3535</v>
      </c>
      <c r="C1643" s="79">
        <v>600275771</v>
      </c>
      <c r="D1643" s="79">
        <v>0</v>
      </c>
      <c r="E1643" s="79" t="s">
        <v>1124</v>
      </c>
      <c r="F1643" s="79" t="s">
        <v>2537</v>
      </c>
      <c r="G1643" s="79" t="s">
        <v>2579</v>
      </c>
      <c r="H1643" s="79"/>
      <c r="I1643" s="79"/>
    </row>
    <row r="1644" spans="1:9" ht="14.25">
      <c r="A1644" s="79" t="s">
        <v>3536</v>
      </c>
      <c r="B1644" s="79" t="s">
        <v>3537</v>
      </c>
      <c r="C1644" s="79">
        <v>600318371</v>
      </c>
      <c r="D1644" s="79">
        <v>0</v>
      </c>
      <c r="E1644" s="79" t="s">
        <v>1124</v>
      </c>
      <c r="F1644" s="79" t="s">
        <v>2537</v>
      </c>
      <c r="G1644" s="79" t="s">
        <v>1130</v>
      </c>
      <c r="H1644" s="79"/>
      <c r="I1644" s="79"/>
    </row>
    <row r="1645" spans="1:9" ht="14.25">
      <c r="A1645" s="79" t="s">
        <v>3536</v>
      </c>
      <c r="B1645" s="79" t="s">
        <v>3537</v>
      </c>
      <c r="C1645" s="79">
        <v>600318371</v>
      </c>
      <c r="D1645" s="79">
        <v>0</v>
      </c>
      <c r="E1645" s="79" t="s">
        <v>1124</v>
      </c>
      <c r="F1645" s="79" t="s">
        <v>2537</v>
      </c>
      <c r="G1645" s="79" t="s">
        <v>1131</v>
      </c>
      <c r="H1645" s="79" t="s">
        <v>1132</v>
      </c>
      <c r="I1645" s="79"/>
    </row>
    <row r="1646" spans="1:9" ht="14.25">
      <c r="A1646" s="79" t="s">
        <v>3536</v>
      </c>
      <c r="B1646" s="79" t="s">
        <v>3537</v>
      </c>
      <c r="C1646" s="79">
        <v>600318371</v>
      </c>
      <c r="D1646" s="79">
        <v>0</v>
      </c>
      <c r="E1646" s="79" t="s">
        <v>1124</v>
      </c>
      <c r="F1646" s="79" t="s">
        <v>2537</v>
      </c>
      <c r="G1646" s="79" t="s">
        <v>2576</v>
      </c>
      <c r="H1646" s="79"/>
      <c r="I1646" s="79"/>
    </row>
    <row r="1647" spans="1:9" ht="14.25">
      <c r="A1647" s="79" t="s">
        <v>3538</v>
      </c>
      <c r="B1647" s="79" t="s">
        <v>3539</v>
      </c>
      <c r="C1647" s="79">
        <v>600318971</v>
      </c>
      <c r="D1647" s="79">
        <v>0</v>
      </c>
      <c r="E1647" s="79" t="s">
        <v>1124</v>
      </c>
      <c r="F1647" s="79" t="s">
        <v>2537</v>
      </c>
      <c r="G1647" s="79" t="s">
        <v>2544</v>
      </c>
      <c r="H1647" s="79" t="s">
        <v>2545</v>
      </c>
      <c r="I1647" s="79"/>
    </row>
    <row r="1648" spans="1:9" ht="14.25">
      <c r="A1648" s="79" t="s">
        <v>3538</v>
      </c>
      <c r="B1648" s="79" t="s">
        <v>3539</v>
      </c>
      <c r="C1648" s="79">
        <v>600318971</v>
      </c>
      <c r="D1648" s="79">
        <v>0</v>
      </c>
      <c r="E1648" s="79" t="s">
        <v>1124</v>
      </c>
      <c r="F1648" s="79" t="s">
        <v>2537</v>
      </c>
      <c r="G1648" s="79" t="s">
        <v>2579</v>
      </c>
      <c r="H1648" s="79"/>
      <c r="I1648" s="79"/>
    </row>
    <row r="1649" spans="1:9" ht="14.25">
      <c r="A1649" s="79" t="s">
        <v>3540</v>
      </c>
      <c r="B1649" s="79" t="s">
        <v>3541</v>
      </c>
      <c r="C1649" s="79">
        <v>600361571</v>
      </c>
      <c r="D1649" s="79">
        <v>0</v>
      </c>
      <c r="E1649" s="79" t="s">
        <v>1124</v>
      </c>
      <c r="F1649" s="79" t="s">
        <v>2537</v>
      </c>
      <c r="G1649" s="79" t="s">
        <v>1130</v>
      </c>
      <c r="H1649" s="79"/>
      <c r="I1649" s="79"/>
    </row>
    <row r="1650" spans="1:9" ht="14.25">
      <c r="A1650" s="79" t="s">
        <v>3540</v>
      </c>
      <c r="B1650" s="79" t="s">
        <v>3541</v>
      </c>
      <c r="C1650" s="79">
        <v>600361571</v>
      </c>
      <c r="D1650" s="79">
        <v>0</v>
      </c>
      <c r="E1650" s="79" t="s">
        <v>1124</v>
      </c>
      <c r="F1650" s="79" t="s">
        <v>2537</v>
      </c>
      <c r="G1650" s="79" t="s">
        <v>1131</v>
      </c>
      <c r="H1650" s="79" t="s">
        <v>1132</v>
      </c>
      <c r="I1650" s="79"/>
    </row>
    <row r="1651" spans="1:9" ht="14.25">
      <c r="A1651" s="79" t="s">
        <v>3540</v>
      </c>
      <c r="B1651" s="79" t="s">
        <v>3541</v>
      </c>
      <c r="C1651" s="79">
        <v>600361571</v>
      </c>
      <c r="D1651" s="79">
        <v>0</v>
      </c>
      <c r="E1651" s="79" t="s">
        <v>1124</v>
      </c>
      <c r="F1651" s="79" t="s">
        <v>2537</v>
      </c>
      <c r="G1651" s="79" t="s">
        <v>2576</v>
      </c>
      <c r="H1651" s="79"/>
      <c r="I1651" s="79"/>
    </row>
    <row r="1652" spans="1:9" ht="14.25">
      <c r="A1652" s="79" t="s">
        <v>3542</v>
      </c>
      <c r="B1652" s="79" t="s">
        <v>3543</v>
      </c>
      <c r="C1652" s="79">
        <v>600362171</v>
      </c>
      <c r="D1652" s="79">
        <v>0</v>
      </c>
      <c r="E1652" s="79" t="s">
        <v>1124</v>
      </c>
      <c r="F1652" s="79" t="s">
        <v>2537</v>
      </c>
      <c r="G1652" s="79" t="s">
        <v>2544</v>
      </c>
      <c r="H1652" s="79" t="s">
        <v>2545</v>
      </c>
      <c r="I1652" s="79"/>
    </row>
    <row r="1653" spans="1:9" ht="14.25">
      <c r="A1653" s="79" t="s">
        <v>3542</v>
      </c>
      <c r="B1653" s="79" t="s">
        <v>3543</v>
      </c>
      <c r="C1653" s="79">
        <v>600362171</v>
      </c>
      <c r="D1653" s="79">
        <v>0</v>
      </c>
      <c r="E1653" s="79" t="s">
        <v>1124</v>
      </c>
      <c r="F1653" s="79" t="s">
        <v>2537</v>
      </c>
      <c r="G1653" s="79" t="s">
        <v>2579</v>
      </c>
      <c r="H1653" s="79"/>
      <c r="I1653" s="79"/>
    </row>
    <row r="1654" spans="1:9" ht="14.25">
      <c r="A1654" s="79" t="s">
        <v>3544</v>
      </c>
      <c r="B1654" s="79" t="s">
        <v>3545</v>
      </c>
      <c r="C1654" s="79">
        <v>600404771</v>
      </c>
      <c r="D1654" s="79">
        <v>0</v>
      </c>
      <c r="E1654" s="79" t="s">
        <v>1124</v>
      </c>
      <c r="F1654" s="79" t="s">
        <v>2537</v>
      </c>
      <c r="G1654" s="79" t="s">
        <v>1130</v>
      </c>
      <c r="H1654" s="79"/>
      <c r="I1654" s="79"/>
    </row>
    <row r="1655" spans="1:9" ht="14.25">
      <c r="A1655" s="79" t="s">
        <v>3544</v>
      </c>
      <c r="B1655" s="79" t="s">
        <v>3545</v>
      </c>
      <c r="C1655" s="79">
        <v>600404771</v>
      </c>
      <c r="D1655" s="79">
        <v>0</v>
      </c>
      <c r="E1655" s="79" t="s">
        <v>1124</v>
      </c>
      <c r="F1655" s="79" t="s">
        <v>2537</v>
      </c>
      <c r="G1655" s="79" t="s">
        <v>1131</v>
      </c>
      <c r="H1655" s="79" t="s">
        <v>1132</v>
      </c>
      <c r="I1655" s="79"/>
    </row>
    <row r="1656" spans="1:9" ht="14.25">
      <c r="A1656" s="79" t="s">
        <v>3544</v>
      </c>
      <c r="B1656" s="79" t="s">
        <v>3545</v>
      </c>
      <c r="C1656" s="79">
        <v>600404771</v>
      </c>
      <c r="D1656" s="79">
        <v>0</v>
      </c>
      <c r="E1656" s="79" t="s">
        <v>1124</v>
      </c>
      <c r="F1656" s="79" t="s">
        <v>2537</v>
      </c>
      <c r="G1656" s="79" t="s">
        <v>2576</v>
      </c>
      <c r="H1656" s="79"/>
      <c r="I1656" s="79"/>
    </row>
    <row r="1657" spans="1:9" ht="14.25">
      <c r="A1657" s="79" t="s">
        <v>3546</v>
      </c>
      <c r="B1657" s="79" t="s">
        <v>3547</v>
      </c>
      <c r="C1657" s="79">
        <v>600405371</v>
      </c>
      <c r="D1657" s="79">
        <v>0</v>
      </c>
      <c r="E1657" s="79" t="s">
        <v>1124</v>
      </c>
      <c r="F1657" s="79" t="s">
        <v>2537</v>
      </c>
      <c r="G1657" s="79" t="s">
        <v>2544</v>
      </c>
      <c r="H1657" s="79" t="s">
        <v>2545</v>
      </c>
      <c r="I1657" s="79"/>
    </row>
    <row r="1658" spans="1:9" ht="14.25">
      <c r="A1658" s="79" t="s">
        <v>3546</v>
      </c>
      <c r="B1658" s="79" t="s">
        <v>3547</v>
      </c>
      <c r="C1658" s="79">
        <v>600405371</v>
      </c>
      <c r="D1658" s="79">
        <v>0</v>
      </c>
      <c r="E1658" s="79" t="s">
        <v>1124</v>
      </c>
      <c r="F1658" s="79" t="s">
        <v>2537</v>
      </c>
      <c r="G1658" s="79" t="s">
        <v>2579</v>
      </c>
      <c r="H1658" s="79"/>
      <c r="I1658" s="79"/>
    </row>
    <row r="1659" spans="1:9" ht="14.25">
      <c r="A1659" s="79" t="s">
        <v>3548</v>
      </c>
      <c r="B1659" s="79" t="s">
        <v>3549</v>
      </c>
      <c r="C1659" s="79">
        <v>600447971</v>
      </c>
      <c r="D1659" s="79">
        <v>0</v>
      </c>
      <c r="E1659" s="79" t="s">
        <v>1124</v>
      </c>
      <c r="F1659" s="79" t="s">
        <v>2537</v>
      </c>
      <c r="G1659" s="79" t="s">
        <v>1130</v>
      </c>
      <c r="H1659" s="79"/>
      <c r="I1659" s="79"/>
    </row>
    <row r="1660" spans="1:9" ht="14.25">
      <c r="A1660" s="79" t="s">
        <v>3548</v>
      </c>
      <c r="B1660" s="79" t="s">
        <v>3549</v>
      </c>
      <c r="C1660" s="79">
        <v>600447971</v>
      </c>
      <c r="D1660" s="79">
        <v>0</v>
      </c>
      <c r="E1660" s="79" t="s">
        <v>1124</v>
      </c>
      <c r="F1660" s="79" t="s">
        <v>2537</v>
      </c>
      <c r="G1660" s="79" t="s">
        <v>1131</v>
      </c>
      <c r="H1660" s="79" t="s">
        <v>1132</v>
      </c>
      <c r="I1660" s="79"/>
    </row>
    <row r="1661" spans="1:9" ht="14.25">
      <c r="A1661" s="79" t="s">
        <v>3548</v>
      </c>
      <c r="B1661" s="79" t="s">
        <v>3549</v>
      </c>
      <c r="C1661" s="79">
        <v>600447971</v>
      </c>
      <c r="D1661" s="79">
        <v>0</v>
      </c>
      <c r="E1661" s="79" t="s">
        <v>1124</v>
      </c>
      <c r="F1661" s="79" t="s">
        <v>2537</v>
      </c>
      <c r="G1661" s="79" t="s">
        <v>2576</v>
      </c>
      <c r="H1661" s="79"/>
      <c r="I1661" s="79"/>
    </row>
    <row r="1662" spans="1:9" ht="14.25">
      <c r="A1662" s="79" t="s">
        <v>3550</v>
      </c>
      <c r="B1662" s="79" t="s">
        <v>3551</v>
      </c>
      <c r="C1662" s="79">
        <v>600448571</v>
      </c>
      <c r="D1662" s="79">
        <v>0</v>
      </c>
      <c r="E1662" s="79" t="s">
        <v>1124</v>
      </c>
      <c r="F1662" s="79" t="s">
        <v>2537</v>
      </c>
      <c r="G1662" s="79" t="s">
        <v>2544</v>
      </c>
      <c r="H1662" s="79" t="s">
        <v>2545</v>
      </c>
      <c r="I1662" s="79"/>
    </row>
    <row r="1663" spans="1:9" ht="14.25">
      <c r="A1663" s="79" t="s">
        <v>3550</v>
      </c>
      <c r="B1663" s="79" t="s">
        <v>3551</v>
      </c>
      <c r="C1663" s="79">
        <v>600448571</v>
      </c>
      <c r="D1663" s="79">
        <v>0</v>
      </c>
      <c r="E1663" s="79" t="s">
        <v>1124</v>
      </c>
      <c r="F1663" s="79" t="s">
        <v>2537</v>
      </c>
      <c r="G1663" s="79" t="s">
        <v>2579</v>
      </c>
      <c r="H1663" s="79"/>
      <c r="I1663" s="79"/>
    </row>
    <row r="1664" spans="1:9" ht="14.25">
      <c r="A1664" s="79" t="s">
        <v>3552</v>
      </c>
      <c r="B1664" s="79" t="s">
        <v>3553</v>
      </c>
      <c r="C1664" s="79">
        <v>600491171</v>
      </c>
      <c r="D1664" s="79">
        <v>0</v>
      </c>
      <c r="E1664" s="79" t="s">
        <v>1124</v>
      </c>
      <c r="F1664" s="79" t="s">
        <v>2537</v>
      </c>
      <c r="G1664" s="79" t="s">
        <v>1130</v>
      </c>
      <c r="H1664" s="79"/>
      <c r="I1664" s="79"/>
    </row>
    <row r="1665" spans="1:9" ht="14.25">
      <c r="A1665" s="79" t="s">
        <v>3552</v>
      </c>
      <c r="B1665" s="79" t="s">
        <v>3553</v>
      </c>
      <c r="C1665" s="79">
        <v>600491171</v>
      </c>
      <c r="D1665" s="79">
        <v>0</v>
      </c>
      <c r="E1665" s="79" t="s">
        <v>1124</v>
      </c>
      <c r="F1665" s="79" t="s">
        <v>2537</v>
      </c>
      <c r="G1665" s="79" t="s">
        <v>1131</v>
      </c>
      <c r="H1665" s="79" t="s">
        <v>1132</v>
      </c>
      <c r="I1665" s="79"/>
    </row>
    <row r="1666" spans="1:9" ht="14.25">
      <c r="A1666" s="79" t="s">
        <v>3552</v>
      </c>
      <c r="B1666" s="79" t="s">
        <v>3553</v>
      </c>
      <c r="C1666" s="79">
        <v>600491171</v>
      </c>
      <c r="D1666" s="79">
        <v>0</v>
      </c>
      <c r="E1666" s="79" t="s">
        <v>1124</v>
      </c>
      <c r="F1666" s="79" t="s">
        <v>2537</v>
      </c>
      <c r="G1666" s="79" t="s">
        <v>2576</v>
      </c>
      <c r="H1666" s="79"/>
      <c r="I1666" s="79"/>
    </row>
    <row r="1667" spans="1:9" ht="14.25">
      <c r="A1667" s="79" t="s">
        <v>3554</v>
      </c>
      <c r="B1667" s="79" t="s">
        <v>3555</v>
      </c>
      <c r="C1667" s="79">
        <v>600491771</v>
      </c>
      <c r="D1667" s="79">
        <v>0</v>
      </c>
      <c r="E1667" s="79" t="s">
        <v>1124</v>
      </c>
      <c r="F1667" s="79" t="s">
        <v>2537</v>
      </c>
      <c r="G1667" s="79" t="s">
        <v>2544</v>
      </c>
      <c r="H1667" s="79" t="s">
        <v>2545</v>
      </c>
      <c r="I1667" s="79"/>
    </row>
    <row r="1668" spans="1:9" ht="14.25">
      <c r="A1668" s="79" t="s">
        <v>3554</v>
      </c>
      <c r="B1668" s="79" t="s">
        <v>3555</v>
      </c>
      <c r="C1668" s="79">
        <v>600491771</v>
      </c>
      <c r="D1668" s="79">
        <v>0</v>
      </c>
      <c r="E1668" s="79" t="s">
        <v>1124</v>
      </c>
      <c r="F1668" s="79" t="s">
        <v>2537</v>
      </c>
      <c r="G1668" s="79" t="s">
        <v>2579</v>
      </c>
      <c r="H1668" s="79"/>
      <c r="I1668" s="79"/>
    </row>
    <row r="1669" spans="1:9" ht="14.25">
      <c r="A1669" s="79" t="s">
        <v>3556</v>
      </c>
      <c r="B1669" s="79" t="s">
        <v>3557</v>
      </c>
      <c r="C1669" s="79">
        <v>600534371</v>
      </c>
      <c r="D1669" s="79">
        <v>0</v>
      </c>
      <c r="E1669" s="79" t="s">
        <v>1124</v>
      </c>
      <c r="F1669" s="79" t="s">
        <v>2537</v>
      </c>
      <c r="G1669" s="79" t="s">
        <v>1130</v>
      </c>
      <c r="H1669" s="79"/>
      <c r="I1669" s="79"/>
    </row>
    <row r="1670" spans="1:9" ht="14.25">
      <c r="A1670" s="79" t="s">
        <v>3556</v>
      </c>
      <c r="B1670" s="79" t="s">
        <v>3557</v>
      </c>
      <c r="C1670" s="79">
        <v>600534371</v>
      </c>
      <c r="D1670" s="79">
        <v>0</v>
      </c>
      <c r="E1670" s="79" t="s">
        <v>1124</v>
      </c>
      <c r="F1670" s="79" t="s">
        <v>2537</v>
      </c>
      <c r="G1670" s="79" t="s">
        <v>1131</v>
      </c>
      <c r="H1670" s="79" t="s">
        <v>1132</v>
      </c>
      <c r="I1670" s="79"/>
    </row>
    <row r="1671" spans="1:9" ht="14.25">
      <c r="A1671" s="79" t="s">
        <v>3556</v>
      </c>
      <c r="B1671" s="79" t="s">
        <v>3557</v>
      </c>
      <c r="C1671" s="79">
        <v>600534371</v>
      </c>
      <c r="D1671" s="79">
        <v>0</v>
      </c>
      <c r="E1671" s="79" t="s">
        <v>1124</v>
      </c>
      <c r="F1671" s="79" t="s">
        <v>2537</v>
      </c>
      <c r="G1671" s="79" t="s">
        <v>2576</v>
      </c>
      <c r="H1671" s="79"/>
      <c r="I1671" s="79"/>
    </row>
    <row r="1672" spans="1:9" ht="14.25">
      <c r="A1672" s="79" t="s">
        <v>3558</v>
      </c>
      <c r="B1672" s="79" t="s">
        <v>3559</v>
      </c>
      <c r="C1672" s="79">
        <v>600534971</v>
      </c>
      <c r="D1672" s="79">
        <v>0</v>
      </c>
      <c r="E1672" s="79" t="s">
        <v>1124</v>
      </c>
      <c r="F1672" s="79" t="s">
        <v>2537</v>
      </c>
      <c r="G1672" s="79" t="s">
        <v>2544</v>
      </c>
      <c r="H1672" s="79" t="s">
        <v>2545</v>
      </c>
      <c r="I1672" s="79"/>
    </row>
    <row r="1673" spans="1:9" ht="14.25">
      <c r="A1673" s="79" t="s">
        <v>3558</v>
      </c>
      <c r="B1673" s="79" t="s">
        <v>3559</v>
      </c>
      <c r="C1673" s="79">
        <v>600534971</v>
      </c>
      <c r="D1673" s="79">
        <v>0</v>
      </c>
      <c r="E1673" s="79" t="s">
        <v>1124</v>
      </c>
      <c r="F1673" s="79" t="s">
        <v>2537</v>
      </c>
      <c r="G1673" s="79" t="s">
        <v>2579</v>
      </c>
      <c r="H1673" s="79"/>
      <c r="I1673" s="79"/>
    </row>
    <row r="1674" spans="1:9" ht="14.25">
      <c r="A1674" s="79" t="s">
        <v>3560</v>
      </c>
      <c r="B1674" s="79" t="s">
        <v>3561</v>
      </c>
      <c r="C1674" s="79">
        <v>600577571</v>
      </c>
      <c r="D1674" s="79">
        <v>0</v>
      </c>
      <c r="E1674" s="79" t="s">
        <v>1124</v>
      </c>
      <c r="F1674" s="79" t="s">
        <v>2537</v>
      </c>
      <c r="G1674" s="79" t="s">
        <v>1130</v>
      </c>
      <c r="H1674" s="79"/>
      <c r="I1674" s="79"/>
    </row>
    <row r="1675" spans="1:9" ht="14.25">
      <c r="A1675" s="79" t="s">
        <v>3560</v>
      </c>
      <c r="B1675" s="79" t="s">
        <v>3561</v>
      </c>
      <c r="C1675" s="79">
        <v>600577571</v>
      </c>
      <c r="D1675" s="79">
        <v>0</v>
      </c>
      <c r="E1675" s="79" t="s">
        <v>1124</v>
      </c>
      <c r="F1675" s="79" t="s">
        <v>2537</v>
      </c>
      <c r="G1675" s="79" t="s">
        <v>1131</v>
      </c>
      <c r="H1675" s="79" t="s">
        <v>1132</v>
      </c>
      <c r="I1675" s="79"/>
    </row>
    <row r="1676" spans="1:9" ht="14.25">
      <c r="A1676" s="79" t="s">
        <v>3560</v>
      </c>
      <c r="B1676" s="79" t="s">
        <v>3561</v>
      </c>
      <c r="C1676" s="79">
        <v>600577571</v>
      </c>
      <c r="D1676" s="79">
        <v>0</v>
      </c>
      <c r="E1676" s="79" t="s">
        <v>1124</v>
      </c>
      <c r="F1676" s="79" t="s">
        <v>2537</v>
      </c>
      <c r="G1676" s="79" t="s">
        <v>2576</v>
      </c>
      <c r="H1676" s="79"/>
      <c r="I1676" s="79"/>
    </row>
    <row r="1677" spans="1:9" ht="14.25">
      <c r="A1677" s="79" t="s">
        <v>3562</v>
      </c>
      <c r="B1677" s="79" t="s">
        <v>3563</v>
      </c>
      <c r="C1677" s="79">
        <v>600578171</v>
      </c>
      <c r="D1677" s="79">
        <v>0</v>
      </c>
      <c r="E1677" s="79" t="s">
        <v>1124</v>
      </c>
      <c r="F1677" s="79" t="s">
        <v>2537</v>
      </c>
      <c r="G1677" s="79" t="s">
        <v>2544</v>
      </c>
      <c r="H1677" s="79" t="s">
        <v>2545</v>
      </c>
      <c r="I1677" s="79"/>
    </row>
    <row r="1678" spans="1:9" ht="14.25">
      <c r="A1678" s="79" t="s">
        <v>3562</v>
      </c>
      <c r="B1678" s="79" t="s">
        <v>3563</v>
      </c>
      <c r="C1678" s="79">
        <v>600578171</v>
      </c>
      <c r="D1678" s="79">
        <v>0</v>
      </c>
      <c r="E1678" s="79" t="s">
        <v>1124</v>
      </c>
      <c r="F1678" s="79" t="s">
        <v>2537</v>
      </c>
      <c r="G1678" s="79" t="s">
        <v>2579</v>
      </c>
      <c r="H1678" s="79"/>
      <c r="I1678" s="79"/>
    </row>
    <row r="1679" spans="1:9" ht="14.25">
      <c r="A1679" s="79" t="s">
        <v>3564</v>
      </c>
      <c r="B1679" s="79" t="s">
        <v>3565</v>
      </c>
      <c r="C1679" s="79">
        <v>600620771</v>
      </c>
      <c r="D1679" s="79">
        <v>0</v>
      </c>
      <c r="E1679" s="79" t="s">
        <v>1124</v>
      </c>
      <c r="F1679" s="79" t="s">
        <v>2537</v>
      </c>
      <c r="G1679" s="79" t="s">
        <v>1130</v>
      </c>
      <c r="H1679" s="79"/>
      <c r="I1679" s="79"/>
    </row>
    <row r="1680" spans="1:9" ht="14.25">
      <c r="A1680" s="79" t="s">
        <v>3564</v>
      </c>
      <c r="B1680" s="79" t="s">
        <v>3565</v>
      </c>
      <c r="C1680" s="79">
        <v>600620771</v>
      </c>
      <c r="D1680" s="79">
        <v>0</v>
      </c>
      <c r="E1680" s="79" t="s">
        <v>1124</v>
      </c>
      <c r="F1680" s="79" t="s">
        <v>2537</v>
      </c>
      <c r="G1680" s="79" t="s">
        <v>2107</v>
      </c>
      <c r="H1680" s="79"/>
      <c r="I1680" s="79"/>
    </row>
    <row r="1681" spans="1:9" ht="14.25">
      <c r="A1681" s="79" t="s">
        <v>3566</v>
      </c>
      <c r="B1681" s="79" t="s">
        <v>3567</v>
      </c>
      <c r="C1681" s="79">
        <v>600620774</v>
      </c>
      <c r="D1681" s="79">
        <v>0</v>
      </c>
      <c r="E1681" s="79" t="s">
        <v>1124</v>
      </c>
      <c r="F1681" s="79" t="s">
        <v>2537</v>
      </c>
      <c r="G1681" s="79" t="s">
        <v>1130</v>
      </c>
      <c r="H1681" s="79"/>
      <c r="I1681" s="79"/>
    </row>
    <row r="1682" spans="1:9" ht="14.25">
      <c r="A1682" s="79" t="s">
        <v>3566</v>
      </c>
      <c r="B1682" s="79" t="s">
        <v>3567</v>
      </c>
      <c r="C1682" s="79">
        <v>600620774</v>
      </c>
      <c r="D1682" s="79">
        <v>0</v>
      </c>
      <c r="E1682" s="79" t="s">
        <v>1124</v>
      </c>
      <c r="F1682" s="79" t="s">
        <v>2537</v>
      </c>
      <c r="G1682" s="79" t="s">
        <v>2570</v>
      </c>
      <c r="H1682" s="79" t="s">
        <v>2571</v>
      </c>
      <c r="I1682" s="79"/>
    </row>
    <row r="1683" spans="1:9" ht="14.25">
      <c r="A1683" s="79" t="s">
        <v>3566</v>
      </c>
      <c r="B1683" s="79" t="s">
        <v>3567</v>
      </c>
      <c r="C1683" s="79">
        <v>600620774</v>
      </c>
      <c r="D1683" s="79">
        <v>0</v>
      </c>
      <c r="E1683" s="79" t="s">
        <v>1124</v>
      </c>
      <c r="F1683" s="79" t="s">
        <v>2537</v>
      </c>
      <c r="G1683" s="79" t="s">
        <v>2566</v>
      </c>
      <c r="H1683" s="79"/>
      <c r="I1683" s="79"/>
    </row>
    <row r="1684" spans="1:9" ht="14.25">
      <c r="A1684" s="79" t="s">
        <v>3568</v>
      </c>
      <c r="B1684" s="79" t="s">
        <v>3569</v>
      </c>
      <c r="C1684" s="79">
        <v>600621134</v>
      </c>
      <c r="D1684" s="79">
        <v>0</v>
      </c>
      <c r="E1684" s="79" t="s">
        <v>1124</v>
      </c>
      <c r="F1684" s="79" t="s">
        <v>2537</v>
      </c>
      <c r="G1684" s="79" t="s">
        <v>2574</v>
      </c>
      <c r="H1684" s="79"/>
      <c r="I1684" s="79"/>
    </row>
    <row r="1685" spans="1:9" ht="14.25">
      <c r="A1685" s="79" t="s">
        <v>3568</v>
      </c>
      <c r="B1685" s="79" t="s">
        <v>3569</v>
      </c>
      <c r="C1685" s="79">
        <v>600621134</v>
      </c>
      <c r="D1685" s="79">
        <v>0</v>
      </c>
      <c r="E1685" s="79" t="s">
        <v>1124</v>
      </c>
      <c r="F1685" s="79" t="s">
        <v>2537</v>
      </c>
      <c r="G1685" s="79" t="s">
        <v>2575</v>
      </c>
      <c r="H1685" s="79"/>
      <c r="I1685" s="79"/>
    </row>
    <row r="1686" spans="1:9" ht="14.25">
      <c r="A1686" s="79" t="s">
        <v>3568</v>
      </c>
      <c r="B1686" s="79" t="s">
        <v>3569</v>
      </c>
      <c r="C1686" s="79">
        <v>600621134</v>
      </c>
      <c r="D1686" s="79">
        <v>0</v>
      </c>
      <c r="E1686" s="79" t="s">
        <v>1124</v>
      </c>
      <c r="F1686" s="79" t="s">
        <v>2537</v>
      </c>
      <c r="G1686" s="79" t="s">
        <v>1131</v>
      </c>
      <c r="H1686" s="79" t="s">
        <v>1132</v>
      </c>
      <c r="I1686" s="79"/>
    </row>
    <row r="1687" spans="1:9" ht="14.25">
      <c r="A1687" s="79" t="s">
        <v>3568</v>
      </c>
      <c r="B1687" s="79" t="s">
        <v>3569</v>
      </c>
      <c r="C1687" s="79">
        <v>600621134</v>
      </c>
      <c r="D1687" s="79">
        <v>0</v>
      </c>
      <c r="E1687" s="79" t="s">
        <v>1124</v>
      </c>
      <c r="F1687" s="79" t="s">
        <v>2537</v>
      </c>
      <c r="G1687" s="79" t="s">
        <v>2576</v>
      </c>
      <c r="H1687" s="79"/>
      <c r="I1687" s="79"/>
    </row>
    <row r="1688" spans="1:9" ht="14.25">
      <c r="A1688" s="79" t="s">
        <v>3570</v>
      </c>
      <c r="B1688" s="79" t="s">
        <v>3571</v>
      </c>
      <c r="C1688" s="79">
        <v>600621734</v>
      </c>
      <c r="D1688" s="79">
        <v>0</v>
      </c>
      <c r="E1688" s="79" t="s">
        <v>1124</v>
      </c>
      <c r="F1688" s="79" t="s">
        <v>2537</v>
      </c>
      <c r="G1688" s="79" t="s">
        <v>2544</v>
      </c>
      <c r="H1688" s="79" t="s">
        <v>2545</v>
      </c>
      <c r="I1688" s="79"/>
    </row>
    <row r="1689" spans="1:9" ht="14.25">
      <c r="A1689" s="79" t="s">
        <v>3570</v>
      </c>
      <c r="B1689" s="79" t="s">
        <v>3571</v>
      </c>
      <c r="C1689" s="79">
        <v>600621734</v>
      </c>
      <c r="D1689" s="79">
        <v>0</v>
      </c>
      <c r="E1689" s="79" t="s">
        <v>1124</v>
      </c>
      <c r="F1689" s="79" t="s">
        <v>2537</v>
      </c>
      <c r="G1689" s="79" t="s">
        <v>2579</v>
      </c>
      <c r="H1689" s="79"/>
      <c r="I1689" s="79"/>
    </row>
    <row r="1690" spans="1:9" ht="14.25">
      <c r="A1690" s="79" t="s">
        <v>3572</v>
      </c>
      <c r="B1690" s="79" t="s">
        <v>3573</v>
      </c>
      <c r="C1690" s="79">
        <v>600664334</v>
      </c>
      <c r="D1690" s="79">
        <v>0</v>
      </c>
      <c r="E1690" s="79" t="s">
        <v>1124</v>
      </c>
      <c r="F1690" s="79" t="s">
        <v>2537</v>
      </c>
      <c r="G1690" s="79" t="s">
        <v>1130</v>
      </c>
      <c r="H1690" s="79"/>
      <c r="I1690" s="79"/>
    </row>
    <row r="1691" spans="1:9" ht="14.25">
      <c r="A1691" s="79" t="s">
        <v>3572</v>
      </c>
      <c r="B1691" s="79" t="s">
        <v>3573</v>
      </c>
      <c r="C1691" s="79">
        <v>600664334</v>
      </c>
      <c r="D1691" s="79">
        <v>0</v>
      </c>
      <c r="E1691" s="79" t="s">
        <v>1124</v>
      </c>
      <c r="F1691" s="79" t="s">
        <v>2537</v>
      </c>
      <c r="G1691" s="79" t="s">
        <v>1131</v>
      </c>
      <c r="H1691" s="79" t="s">
        <v>1132</v>
      </c>
      <c r="I1691" s="79"/>
    </row>
    <row r="1692" spans="1:9" ht="14.25">
      <c r="A1692" s="79" t="s">
        <v>3572</v>
      </c>
      <c r="B1692" s="79" t="s">
        <v>3573</v>
      </c>
      <c r="C1692" s="79">
        <v>600664334</v>
      </c>
      <c r="D1692" s="79">
        <v>0</v>
      </c>
      <c r="E1692" s="79" t="s">
        <v>1124</v>
      </c>
      <c r="F1692" s="79" t="s">
        <v>2537</v>
      </c>
      <c r="G1692" s="79" t="s">
        <v>2576</v>
      </c>
      <c r="H1692" s="79"/>
      <c r="I1692" s="79"/>
    </row>
    <row r="1693" spans="1:9" ht="14.25">
      <c r="A1693" s="79" t="s">
        <v>3574</v>
      </c>
      <c r="B1693" s="79" t="s">
        <v>3575</v>
      </c>
      <c r="C1693" s="79">
        <v>600664934</v>
      </c>
      <c r="D1693" s="79">
        <v>0</v>
      </c>
      <c r="E1693" s="79" t="s">
        <v>1124</v>
      </c>
      <c r="F1693" s="79" t="s">
        <v>2537</v>
      </c>
      <c r="G1693" s="79" t="s">
        <v>2544</v>
      </c>
      <c r="H1693" s="79" t="s">
        <v>2545</v>
      </c>
      <c r="I1693" s="79"/>
    </row>
    <row r="1694" spans="1:9" ht="14.25">
      <c r="A1694" s="79" t="s">
        <v>3574</v>
      </c>
      <c r="B1694" s="79" t="s">
        <v>3575</v>
      </c>
      <c r="C1694" s="79">
        <v>600664934</v>
      </c>
      <c r="D1694" s="79">
        <v>0</v>
      </c>
      <c r="E1694" s="79" t="s">
        <v>1124</v>
      </c>
      <c r="F1694" s="79" t="s">
        <v>2537</v>
      </c>
      <c r="G1694" s="79" t="s">
        <v>2579</v>
      </c>
      <c r="H1694" s="79"/>
      <c r="I1694" s="79"/>
    </row>
    <row r="1695" spans="1:9" ht="14.25">
      <c r="A1695" s="79" t="s">
        <v>3576</v>
      </c>
      <c r="B1695" s="79" t="s">
        <v>3577</v>
      </c>
      <c r="C1695" s="79">
        <v>600707534</v>
      </c>
      <c r="D1695" s="79">
        <v>0</v>
      </c>
      <c r="E1695" s="79" t="s">
        <v>1124</v>
      </c>
      <c r="F1695" s="79" t="s">
        <v>2537</v>
      </c>
      <c r="G1695" s="79" t="s">
        <v>1130</v>
      </c>
      <c r="H1695" s="79"/>
      <c r="I1695" s="79"/>
    </row>
    <row r="1696" spans="1:9" ht="14.25">
      <c r="A1696" s="79" t="s">
        <v>3576</v>
      </c>
      <c r="B1696" s="79" t="s">
        <v>3577</v>
      </c>
      <c r="C1696" s="79">
        <v>600707534</v>
      </c>
      <c r="D1696" s="79">
        <v>0</v>
      </c>
      <c r="E1696" s="79" t="s">
        <v>1124</v>
      </c>
      <c r="F1696" s="79" t="s">
        <v>2537</v>
      </c>
      <c r="G1696" s="79" t="s">
        <v>1131</v>
      </c>
      <c r="H1696" s="79" t="s">
        <v>1132</v>
      </c>
      <c r="I1696" s="79"/>
    </row>
    <row r="1697" spans="1:9" ht="14.25">
      <c r="A1697" s="79" t="s">
        <v>3576</v>
      </c>
      <c r="B1697" s="79" t="s">
        <v>3577</v>
      </c>
      <c r="C1697" s="79">
        <v>600707534</v>
      </c>
      <c r="D1697" s="79">
        <v>0</v>
      </c>
      <c r="E1697" s="79" t="s">
        <v>1124</v>
      </c>
      <c r="F1697" s="79" t="s">
        <v>2537</v>
      </c>
      <c r="G1697" s="79" t="s">
        <v>2576</v>
      </c>
      <c r="H1697" s="79"/>
      <c r="I1697" s="79"/>
    </row>
    <row r="1698" spans="1:9" ht="14.25">
      <c r="A1698" s="79" t="s">
        <v>3578</v>
      </c>
      <c r="B1698" s="79" t="s">
        <v>3579</v>
      </c>
      <c r="C1698" s="79">
        <v>600708134</v>
      </c>
      <c r="D1698" s="79">
        <v>0</v>
      </c>
      <c r="E1698" s="79" t="s">
        <v>1124</v>
      </c>
      <c r="F1698" s="79" t="s">
        <v>2537</v>
      </c>
      <c r="G1698" s="79" t="s">
        <v>2544</v>
      </c>
      <c r="H1698" s="79" t="s">
        <v>2545</v>
      </c>
      <c r="I1698" s="79"/>
    </row>
    <row r="1699" spans="1:9" ht="14.25">
      <c r="A1699" s="79" t="s">
        <v>3578</v>
      </c>
      <c r="B1699" s="79" t="s">
        <v>3579</v>
      </c>
      <c r="C1699" s="79">
        <v>600708134</v>
      </c>
      <c r="D1699" s="79">
        <v>0</v>
      </c>
      <c r="E1699" s="79" t="s">
        <v>1124</v>
      </c>
      <c r="F1699" s="79" t="s">
        <v>2537</v>
      </c>
      <c r="G1699" s="79" t="s">
        <v>2579</v>
      </c>
      <c r="H1699" s="79"/>
      <c r="I1699" s="79"/>
    </row>
    <row r="1700" spans="1:9" ht="14.25">
      <c r="A1700" s="79" t="s">
        <v>3580</v>
      </c>
      <c r="B1700" s="79" t="s">
        <v>3581</v>
      </c>
      <c r="C1700" s="79">
        <v>600750734</v>
      </c>
      <c r="D1700" s="79">
        <v>0</v>
      </c>
      <c r="E1700" s="79" t="s">
        <v>1124</v>
      </c>
      <c r="F1700" s="79" t="s">
        <v>2537</v>
      </c>
      <c r="G1700" s="79" t="s">
        <v>1130</v>
      </c>
      <c r="H1700" s="79"/>
      <c r="I1700" s="79"/>
    </row>
    <row r="1701" spans="1:9" ht="14.25">
      <c r="A1701" s="79" t="s">
        <v>3580</v>
      </c>
      <c r="B1701" s="79" t="s">
        <v>3581</v>
      </c>
      <c r="C1701" s="79">
        <v>600750734</v>
      </c>
      <c r="D1701" s="79">
        <v>0</v>
      </c>
      <c r="E1701" s="79" t="s">
        <v>1124</v>
      </c>
      <c r="F1701" s="79" t="s">
        <v>2537</v>
      </c>
      <c r="G1701" s="79" t="s">
        <v>1131</v>
      </c>
      <c r="H1701" s="79" t="s">
        <v>1132</v>
      </c>
      <c r="I1701" s="79"/>
    </row>
    <row r="1702" spans="1:9" ht="14.25">
      <c r="A1702" s="79" t="s">
        <v>3580</v>
      </c>
      <c r="B1702" s="79" t="s">
        <v>3581</v>
      </c>
      <c r="C1702" s="79">
        <v>600750734</v>
      </c>
      <c r="D1702" s="79">
        <v>0</v>
      </c>
      <c r="E1702" s="79" t="s">
        <v>1124</v>
      </c>
      <c r="F1702" s="79" t="s">
        <v>2537</v>
      </c>
      <c r="G1702" s="79" t="s">
        <v>2576</v>
      </c>
      <c r="H1702" s="79"/>
      <c r="I1702" s="79"/>
    </row>
    <row r="1703" spans="1:9" ht="14.25">
      <c r="A1703" s="79" t="s">
        <v>3582</v>
      </c>
      <c r="B1703" s="79" t="s">
        <v>3583</v>
      </c>
      <c r="C1703" s="79">
        <v>600751334</v>
      </c>
      <c r="D1703" s="79">
        <v>0</v>
      </c>
      <c r="E1703" s="79" t="s">
        <v>1124</v>
      </c>
      <c r="F1703" s="79" t="s">
        <v>2537</v>
      </c>
      <c r="G1703" s="79" t="s">
        <v>2544</v>
      </c>
      <c r="H1703" s="79" t="s">
        <v>2545</v>
      </c>
      <c r="I1703" s="79"/>
    </row>
    <row r="1704" spans="1:9" ht="14.25">
      <c r="A1704" s="79" t="s">
        <v>3582</v>
      </c>
      <c r="B1704" s="79" t="s">
        <v>3583</v>
      </c>
      <c r="C1704" s="79">
        <v>600751334</v>
      </c>
      <c r="D1704" s="79">
        <v>0</v>
      </c>
      <c r="E1704" s="79" t="s">
        <v>1124</v>
      </c>
      <c r="F1704" s="79" t="s">
        <v>2537</v>
      </c>
      <c r="G1704" s="79" t="s">
        <v>2579</v>
      </c>
      <c r="H1704" s="79"/>
      <c r="I1704" s="79"/>
    </row>
    <row r="1705" spans="1:9" ht="14.25">
      <c r="A1705" s="79" t="s">
        <v>3584</v>
      </c>
      <c r="B1705" s="79" t="s">
        <v>3585</v>
      </c>
      <c r="C1705" s="79">
        <v>600793934</v>
      </c>
      <c r="D1705" s="79">
        <v>0</v>
      </c>
      <c r="E1705" s="79" t="s">
        <v>1124</v>
      </c>
      <c r="F1705" s="79" t="s">
        <v>2537</v>
      </c>
      <c r="G1705" s="79" t="s">
        <v>1130</v>
      </c>
      <c r="H1705" s="79"/>
      <c r="I1705" s="79"/>
    </row>
    <row r="1706" spans="1:9" ht="14.25">
      <c r="A1706" s="79" t="s">
        <v>3584</v>
      </c>
      <c r="B1706" s="79" t="s">
        <v>3585</v>
      </c>
      <c r="C1706" s="79">
        <v>600793934</v>
      </c>
      <c r="D1706" s="79">
        <v>0</v>
      </c>
      <c r="E1706" s="79" t="s">
        <v>1124</v>
      </c>
      <c r="F1706" s="79" t="s">
        <v>2537</v>
      </c>
      <c r="G1706" s="79" t="s">
        <v>1131</v>
      </c>
      <c r="H1706" s="79" t="s">
        <v>1132</v>
      </c>
      <c r="I1706" s="79"/>
    </row>
    <row r="1707" spans="1:9" ht="14.25">
      <c r="A1707" s="79" t="s">
        <v>3584</v>
      </c>
      <c r="B1707" s="79" t="s">
        <v>3585</v>
      </c>
      <c r="C1707" s="79">
        <v>600793934</v>
      </c>
      <c r="D1707" s="79">
        <v>0</v>
      </c>
      <c r="E1707" s="79" t="s">
        <v>1124</v>
      </c>
      <c r="F1707" s="79" t="s">
        <v>2537</v>
      </c>
      <c r="G1707" s="79" t="s">
        <v>2576</v>
      </c>
      <c r="H1707" s="79"/>
      <c r="I1707" s="79"/>
    </row>
    <row r="1708" spans="1:9" ht="14.25">
      <c r="A1708" s="79" t="s">
        <v>3586</v>
      </c>
      <c r="B1708" s="79" t="s">
        <v>3587</v>
      </c>
      <c r="C1708" s="79">
        <v>600794534</v>
      </c>
      <c r="D1708" s="79">
        <v>0</v>
      </c>
      <c r="E1708" s="79" t="s">
        <v>1124</v>
      </c>
      <c r="F1708" s="79" t="s">
        <v>2537</v>
      </c>
      <c r="G1708" s="79" t="s">
        <v>2544</v>
      </c>
      <c r="H1708" s="79" t="s">
        <v>2545</v>
      </c>
      <c r="I1708" s="79"/>
    </row>
    <row r="1709" spans="1:9" ht="14.25">
      <c r="A1709" s="79" t="s">
        <v>3586</v>
      </c>
      <c r="B1709" s="79" t="s">
        <v>3587</v>
      </c>
      <c r="C1709" s="79">
        <v>600794534</v>
      </c>
      <c r="D1709" s="79">
        <v>0</v>
      </c>
      <c r="E1709" s="79" t="s">
        <v>1124</v>
      </c>
      <c r="F1709" s="79" t="s">
        <v>2537</v>
      </c>
      <c r="G1709" s="79" t="s">
        <v>2579</v>
      </c>
      <c r="H1709" s="79"/>
      <c r="I1709" s="79"/>
    </row>
    <row r="1710" spans="1:9" ht="14.25">
      <c r="A1710" s="79" t="s">
        <v>3588</v>
      </c>
      <c r="B1710" s="79" t="s">
        <v>3589</v>
      </c>
      <c r="C1710" s="79">
        <v>600837134</v>
      </c>
      <c r="D1710" s="79">
        <v>0</v>
      </c>
      <c r="E1710" s="79" t="s">
        <v>1124</v>
      </c>
      <c r="F1710" s="79" t="s">
        <v>2537</v>
      </c>
      <c r="G1710" s="79" t="s">
        <v>1130</v>
      </c>
      <c r="H1710" s="79"/>
      <c r="I1710" s="79"/>
    </row>
    <row r="1711" spans="1:9" ht="14.25">
      <c r="A1711" s="79" t="s">
        <v>3588</v>
      </c>
      <c r="B1711" s="79" t="s">
        <v>3589</v>
      </c>
      <c r="C1711" s="79">
        <v>600837134</v>
      </c>
      <c r="D1711" s="79">
        <v>0</v>
      </c>
      <c r="E1711" s="79" t="s">
        <v>1124</v>
      </c>
      <c r="F1711" s="79" t="s">
        <v>2537</v>
      </c>
      <c r="G1711" s="79" t="s">
        <v>1131</v>
      </c>
      <c r="H1711" s="79" t="s">
        <v>1132</v>
      </c>
      <c r="I1711" s="79"/>
    </row>
    <row r="1712" spans="1:9" ht="14.25">
      <c r="A1712" s="79" t="s">
        <v>3588</v>
      </c>
      <c r="B1712" s="79" t="s">
        <v>3589</v>
      </c>
      <c r="C1712" s="79">
        <v>600837134</v>
      </c>
      <c r="D1712" s="79">
        <v>0</v>
      </c>
      <c r="E1712" s="79" t="s">
        <v>1124</v>
      </c>
      <c r="F1712" s="79" t="s">
        <v>2537</v>
      </c>
      <c r="G1712" s="79" t="s">
        <v>2576</v>
      </c>
      <c r="H1712" s="79"/>
      <c r="I1712" s="79"/>
    </row>
    <row r="1713" spans="1:9" ht="14.25">
      <c r="A1713" s="79" t="s">
        <v>3590</v>
      </c>
      <c r="B1713" s="79" t="s">
        <v>3591</v>
      </c>
      <c r="C1713" s="79">
        <v>600837734</v>
      </c>
      <c r="D1713" s="79">
        <v>0</v>
      </c>
      <c r="E1713" s="79" t="s">
        <v>1124</v>
      </c>
      <c r="F1713" s="79" t="s">
        <v>2537</v>
      </c>
      <c r="G1713" s="79" t="s">
        <v>2544</v>
      </c>
      <c r="H1713" s="79" t="s">
        <v>2545</v>
      </c>
      <c r="I1713" s="79"/>
    </row>
    <row r="1714" spans="1:9" ht="14.25">
      <c r="A1714" s="79" t="s">
        <v>3590</v>
      </c>
      <c r="B1714" s="79" t="s">
        <v>3591</v>
      </c>
      <c r="C1714" s="79">
        <v>600837734</v>
      </c>
      <c r="D1714" s="79">
        <v>0</v>
      </c>
      <c r="E1714" s="79" t="s">
        <v>1124</v>
      </c>
      <c r="F1714" s="79" t="s">
        <v>2537</v>
      </c>
      <c r="G1714" s="79" t="s">
        <v>2579</v>
      </c>
      <c r="H1714" s="79"/>
      <c r="I1714" s="79"/>
    </row>
    <row r="1715" spans="1:9" ht="14.25">
      <c r="A1715" s="79" t="s">
        <v>3592</v>
      </c>
      <c r="B1715" s="79" t="s">
        <v>3593</v>
      </c>
      <c r="C1715" s="79">
        <v>600880334</v>
      </c>
      <c r="D1715" s="79">
        <v>0</v>
      </c>
      <c r="E1715" s="79" t="s">
        <v>1124</v>
      </c>
      <c r="F1715" s="79" t="s">
        <v>2537</v>
      </c>
      <c r="G1715" s="79" t="s">
        <v>1130</v>
      </c>
      <c r="H1715" s="79"/>
      <c r="I1715" s="79"/>
    </row>
    <row r="1716" spans="1:9" ht="14.25">
      <c r="A1716" s="79" t="s">
        <v>3592</v>
      </c>
      <c r="B1716" s="79" t="s">
        <v>3593</v>
      </c>
      <c r="C1716" s="79">
        <v>600880334</v>
      </c>
      <c r="D1716" s="79">
        <v>0</v>
      </c>
      <c r="E1716" s="79" t="s">
        <v>1124</v>
      </c>
      <c r="F1716" s="79" t="s">
        <v>2537</v>
      </c>
      <c r="G1716" s="79" t="s">
        <v>1131</v>
      </c>
      <c r="H1716" s="79" t="s">
        <v>1132</v>
      </c>
      <c r="I1716" s="79"/>
    </row>
    <row r="1717" spans="1:9" ht="14.25">
      <c r="A1717" s="79" t="s">
        <v>3592</v>
      </c>
      <c r="B1717" s="79" t="s">
        <v>3593</v>
      </c>
      <c r="C1717" s="79">
        <v>600880334</v>
      </c>
      <c r="D1717" s="79">
        <v>0</v>
      </c>
      <c r="E1717" s="79" t="s">
        <v>1124</v>
      </c>
      <c r="F1717" s="79" t="s">
        <v>2537</v>
      </c>
      <c r="G1717" s="79" t="s">
        <v>2576</v>
      </c>
      <c r="H1717" s="79"/>
      <c r="I1717" s="79"/>
    </row>
    <row r="1718" spans="1:9" ht="14.25">
      <c r="A1718" s="79" t="s">
        <v>3594</v>
      </c>
      <c r="B1718" s="79" t="s">
        <v>3595</v>
      </c>
      <c r="C1718" s="79">
        <v>600880934</v>
      </c>
      <c r="D1718" s="79">
        <v>0</v>
      </c>
      <c r="E1718" s="79" t="s">
        <v>1124</v>
      </c>
      <c r="F1718" s="79" t="s">
        <v>2537</v>
      </c>
      <c r="G1718" s="79" t="s">
        <v>2544</v>
      </c>
      <c r="H1718" s="79" t="s">
        <v>2545</v>
      </c>
      <c r="I1718" s="79"/>
    </row>
    <row r="1719" spans="1:9" ht="14.25">
      <c r="A1719" s="79" t="s">
        <v>3594</v>
      </c>
      <c r="B1719" s="79" t="s">
        <v>3595</v>
      </c>
      <c r="C1719" s="79">
        <v>600880934</v>
      </c>
      <c r="D1719" s="79">
        <v>0</v>
      </c>
      <c r="E1719" s="79" t="s">
        <v>1124</v>
      </c>
      <c r="F1719" s="79" t="s">
        <v>2537</v>
      </c>
      <c r="G1719" s="79" t="s">
        <v>2579</v>
      </c>
      <c r="H1719" s="79"/>
      <c r="I1719" s="79"/>
    </row>
    <row r="1720" spans="1:9" ht="14.25">
      <c r="A1720" s="79" t="s">
        <v>3596</v>
      </c>
      <c r="B1720" s="79" t="s">
        <v>3597</v>
      </c>
      <c r="C1720" s="79">
        <v>600923534</v>
      </c>
      <c r="D1720" s="79">
        <v>0</v>
      </c>
      <c r="E1720" s="79" t="s">
        <v>1124</v>
      </c>
      <c r="F1720" s="79" t="s">
        <v>2537</v>
      </c>
      <c r="G1720" s="79" t="s">
        <v>1130</v>
      </c>
      <c r="H1720" s="79"/>
      <c r="I1720" s="79"/>
    </row>
    <row r="1721" spans="1:9" ht="14.25">
      <c r="A1721" s="79" t="s">
        <v>3596</v>
      </c>
      <c r="B1721" s="79" t="s">
        <v>3597</v>
      </c>
      <c r="C1721" s="79">
        <v>600923534</v>
      </c>
      <c r="D1721" s="79">
        <v>0</v>
      </c>
      <c r="E1721" s="79" t="s">
        <v>1124</v>
      </c>
      <c r="F1721" s="79" t="s">
        <v>2537</v>
      </c>
      <c r="G1721" s="79" t="s">
        <v>1131</v>
      </c>
      <c r="H1721" s="79" t="s">
        <v>1132</v>
      </c>
      <c r="I1721" s="79"/>
    </row>
    <row r="1722" spans="1:9" ht="14.25">
      <c r="A1722" s="79" t="s">
        <v>3596</v>
      </c>
      <c r="B1722" s="79" t="s">
        <v>3597</v>
      </c>
      <c r="C1722" s="79">
        <v>600923534</v>
      </c>
      <c r="D1722" s="79">
        <v>0</v>
      </c>
      <c r="E1722" s="79" t="s">
        <v>1124</v>
      </c>
      <c r="F1722" s="79" t="s">
        <v>2537</v>
      </c>
      <c r="G1722" s="79" t="s">
        <v>2576</v>
      </c>
      <c r="H1722" s="79"/>
      <c r="I1722" s="79"/>
    </row>
    <row r="1723" spans="1:9" ht="14.25">
      <c r="A1723" s="79" t="s">
        <v>3598</v>
      </c>
      <c r="B1723" s="79" t="s">
        <v>3599</v>
      </c>
      <c r="C1723" s="79">
        <v>600924134</v>
      </c>
      <c r="D1723" s="79">
        <v>0</v>
      </c>
      <c r="E1723" s="79" t="s">
        <v>1124</v>
      </c>
      <c r="F1723" s="79" t="s">
        <v>2537</v>
      </c>
      <c r="G1723" s="79" t="s">
        <v>2544</v>
      </c>
      <c r="H1723" s="79" t="s">
        <v>2545</v>
      </c>
      <c r="I1723" s="79"/>
    </row>
    <row r="1724" spans="1:9" ht="14.25">
      <c r="A1724" s="79" t="s">
        <v>3598</v>
      </c>
      <c r="B1724" s="79" t="s">
        <v>3599</v>
      </c>
      <c r="C1724" s="79">
        <v>600924134</v>
      </c>
      <c r="D1724" s="79">
        <v>0</v>
      </c>
      <c r="E1724" s="79" t="s">
        <v>1124</v>
      </c>
      <c r="F1724" s="79" t="s">
        <v>2537</v>
      </c>
      <c r="G1724" s="79" t="s">
        <v>2579</v>
      </c>
      <c r="H1724" s="79"/>
      <c r="I1724" s="79"/>
    </row>
    <row r="1725" spans="1:9" ht="14.25">
      <c r="A1725" s="79" t="s">
        <v>3600</v>
      </c>
      <c r="B1725" s="79" t="s">
        <v>3601</v>
      </c>
      <c r="C1725" s="79">
        <v>600966734</v>
      </c>
      <c r="D1725" s="79">
        <v>0</v>
      </c>
      <c r="E1725" s="79" t="s">
        <v>1124</v>
      </c>
      <c r="F1725" s="79" t="s">
        <v>2537</v>
      </c>
      <c r="G1725" s="79" t="s">
        <v>1130</v>
      </c>
      <c r="H1725" s="79"/>
      <c r="I1725" s="79"/>
    </row>
    <row r="1726" spans="1:9" ht="14.25">
      <c r="A1726" s="79" t="s">
        <v>3600</v>
      </c>
      <c r="B1726" s="79" t="s">
        <v>3601</v>
      </c>
      <c r="C1726" s="79">
        <v>600966734</v>
      </c>
      <c r="D1726" s="79">
        <v>0</v>
      </c>
      <c r="E1726" s="79" t="s">
        <v>1124</v>
      </c>
      <c r="F1726" s="79" t="s">
        <v>2537</v>
      </c>
      <c r="G1726" s="79" t="s">
        <v>1131</v>
      </c>
      <c r="H1726" s="79" t="s">
        <v>1132</v>
      </c>
      <c r="I1726" s="79"/>
    </row>
    <row r="1727" spans="1:9" ht="14.25">
      <c r="A1727" s="79" t="s">
        <v>3600</v>
      </c>
      <c r="B1727" s="79" t="s">
        <v>3601</v>
      </c>
      <c r="C1727" s="79">
        <v>600966734</v>
      </c>
      <c r="D1727" s="79">
        <v>0</v>
      </c>
      <c r="E1727" s="79" t="s">
        <v>1124</v>
      </c>
      <c r="F1727" s="79" t="s">
        <v>2537</v>
      </c>
      <c r="G1727" s="79" t="s">
        <v>2576</v>
      </c>
      <c r="H1727" s="79"/>
      <c r="I1727" s="79"/>
    </row>
    <row r="1728" spans="1:9" ht="14.25">
      <c r="A1728" s="79" t="s">
        <v>3602</v>
      </c>
      <c r="B1728" s="79" t="s">
        <v>3603</v>
      </c>
      <c r="C1728" s="79">
        <v>600967334</v>
      </c>
      <c r="D1728" s="79">
        <v>0</v>
      </c>
      <c r="E1728" s="79" t="s">
        <v>1124</v>
      </c>
      <c r="F1728" s="79" t="s">
        <v>2537</v>
      </c>
      <c r="G1728" s="79" t="s">
        <v>2544</v>
      </c>
      <c r="H1728" s="79" t="s">
        <v>2545</v>
      </c>
      <c r="I1728" s="79"/>
    </row>
    <row r="1729" spans="1:9" ht="14.25">
      <c r="A1729" s="79" t="s">
        <v>3602</v>
      </c>
      <c r="B1729" s="79" t="s">
        <v>3603</v>
      </c>
      <c r="C1729" s="79">
        <v>600967334</v>
      </c>
      <c r="D1729" s="79">
        <v>0</v>
      </c>
      <c r="E1729" s="79" t="s">
        <v>1124</v>
      </c>
      <c r="F1729" s="79" t="s">
        <v>2537</v>
      </c>
      <c r="G1729" s="79" t="s">
        <v>2579</v>
      </c>
      <c r="H1729" s="79"/>
      <c r="I1729" s="79"/>
    </row>
    <row r="1730" spans="1:9" ht="14.25">
      <c r="A1730" s="79" t="s">
        <v>3604</v>
      </c>
      <c r="B1730" s="79" t="s">
        <v>3605</v>
      </c>
      <c r="C1730" s="79">
        <v>601009934</v>
      </c>
      <c r="D1730" s="79">
        <v>0</v>
      </c>
      <c r="E1730" s="79" t="s">
        <v>1124</v>
      </c>
      <c r="F1730" s="79" t="s">
        <v>2537</v>
      </c>
      <c r="G1730" s="79" t="s">
        <v>1130</v>
      </c>
      <c r="H1730" s="79"/>
      <c r="I1730" s="79"/>
    </row>
    <row r="1731" spans="1:9" ht="14.25">
      <c r="A1731" s="79" t="s">
        <v>3604</v>
      </c>
      <c r="B1731" s="79" t="s">
        <v>3605</v>
      </c>
      <c r="C1731" s="79">
        <v>601009934</v>
      </c>
      <c r="D1731" s="79">
        <v>0</v>
      </c>
      <c r="E1731" s="79" t="s">
        <v>1124</v>
      </c>
      <c r="F1731" s="79" t="s">
        <v>2537</v>
      </c>
      <c r="G1731" s="79" t="s">
        <v>1131</v>
      </c>
      <c r="H1731" s="79" t="s">
        <v>1132</v>
      </c>
      <c r="I1731" s="79"/>
    </row>
    <row r="1732" spans="1:9" ht="14.25">
      <c r="A1732" s="79" t="s">
        <v>3604</v>
      </c>
      <c r="B1732" s="79" t="s">
        <v>3605</v>
      </c>
      <c r="C1732" s="79">
        <v>601009934</v>
      </c>
      <c r="D1732" s="79">
        <v>0</v>
      </c>
      <c r="E1732" s="79" t="s">
        <v>1124</v>
      </c>
      <c r="F1732" s="79" t="s">
        <v>2537</v>
      </c>
      <c r="G1732" s="79" t="s">
        <v>2576</v>
      </c>
      <c r="H1732" s="79"/>
      <c r="I1732" s="79"/>
    </row>
    <row r="1733" spans="1:9" ht="14.25">
      <c r="A1733" s="79" t="s">
        <v>3606</v>
      </c>
      <c r="B1733" s="79" t="s">
        <v>3607</v>
      </c>
      <c r="C1733" s="79">
        <v>601010534</v>
      </c>
      <c r="D1733" s="79">
        <v>0</v>
      </c>
      <c r="E1733" s="79" t="s">
        <v>1124</v>
      </c>
      <c r="F1733" s="79" t="s">
        <v>2537</v>
      </c>
      <c r="G1733" s="79" t="s">
        <v>2544</v>
      </c>
      <c r="H1733" s="79" t="s">
        <v>2545</v>
      </c>
      <c r="I1733" s="79"/>
    </row>
    <row r="1734" spans="1:9" ht="14.25">
      <c r="A1734" s="79" t="s">
        <v>3606</v>
      </c>
      <c r="B1734" s="79" t="s">
        <v>3607</v>
      </c>
      <c r="C1734" s="79">
        <v>601010534</v>
      </c>
      <c r="D1734" s="79">
        <v>0</v>
      </c>
      <c r="E1734" s="79" t="s">
        <v>1124</v>
      </c>
      <c r="F1734" s="79" t="s">
        <v>2537</v>
      </c>
      <c r="G1734" s="79" t="s">
        <v>2579</v>
      </c>
      <c r="H1734" s="79"/>
      <c r="I1734" s="79"/>
    </row>
    <row r="1735" spans="1:9" ht="14.25">
      <c r="A1735" s="79" t="s">
        <v>3608</v>
      </c>
      <c r="B1735" s="79" t="s">
        <v>3609</v>
      </c>
      <c r="C1735" s="79">
        <v>601053134</v>
      </c>
      <c r="D1735" s="79">
        <v>0</v>
      </c>
      <c r="E1735" s="79" t="s">
        <v>1124</v>
      </c>
      <c r="F1735" s="79" t="s">
        <v>2537</v>
      </c>
      <c r="G1735" s="79" t="s">
        <v>1130</v>
      </c>
      <c r="H1735" s="79"/>
      <c r="I1735" s="79"/>
    </row>
    <row r="1736" spans="1:9" ht="14.25">
      <c r="A1736" s="79" t="s">
        <v>3608</v>
      </c>
      <c r="B1736" s="79" t="s">
        <v>3609</v>
      </c>
      <c r="C1736" s="79">
        <v>601053134</v>
      </c>
      <c r="D1736" s="79">
        <v>0</v>
      </c>
      <c r="E1736" s="79" t="s">
        <v>1124</v>
      </c>
      <c r="F1736" s="79" t="s">
        <v>2537</v>
      </c>
      <c r="G1736" s="79" t="s">
        <v>1131</v>
      </c>
      <c r="H1736" s="79" t="s">
        <v>1132</v>
      </c>
      <c r="I1736" s="79"/>
    </row>
    <row r="1737" spans="1:9" ht="14.25">
      <c r="A1737" s="79" t="s">
        <v>3608</v>
      </c>
      <c r="B1737" s="79" t="s">
        <v>3609</v>
      </c>
      <c r="C1737" s="79">
        <v>601053134</v>
      </c>
      <c r="D1737" s="79">
        <v>0</v>
      </c>
      <c r="E1737" s="79" t="s">
        <v>1124</v>
      </c>
      <c r="F1737" s="79" t="s">
        <v>2537</v>
      </c>
      <c r="G1737" s="79" t="s">
        <v>2576</v>
      </c>
      <c r="H1737" s="79"/>
      <c r="I1737" s="79"/>
    </row>
    <row r="1738" spans="1:9" ht="14.25">
      <c r="A1738" s="79" t="s">
        <v>3610</v>
      </c>
      <c r="B1738" s="79" t="s">
        <v>3611</v>
      </c>
      <c r="C1738" s="79">
        <v>601053734</v>
      </c>
      <c r="D1738" s="79">
        <v>0</v>
      </c>
      <c r="E1738" s="79" t="s">
        <v>1124</v>
      </c>
      <c r="F1738" s="79" t="s">
        <v>2537</v>
      </c>
      <c r="G1738" s="79" t="s">
        <v>2544</v>
      </c>
      <c r="H1738" s="79" t="s">
        <v>2545</v>
      </c>
      <c r="I1738" s="79"/>
    </row>
    <row r="1739" spans="1:9" ht="14.25">
      <c r="A1739" s="79" t="s">
        <v>3610</v>
      </c>
      <c r="B1739" s="79" t="s">
        <v>3611</v>
      </c>
      <c r="C1739" s="79">
        <v>601053734</v>
      </c>
      <c r="D1739" s="79">
        <v>0</v>
      </c>
      <c r="E1739" s="79" t="s">
        <v>1124</v>
      </c>
      <c r="F1739" s="79" t="s">
        <v>2537</v>
      </c>
      <c r="G1739" s="79" t="s">
        <v>2579</v>
      </c>
      <c r="H1739" s="79"/>
      <c r="I1739" s="79"/>
    </row>
    <row r="1740" spans="1:9" ht="14.25">
      <c r="A1740" s="79" t="s">
        <v>3612</v>
      </c>
      <c r="B1740" s="79" t="s">
        <v>3613</v>
      </c>
      <c r="C1740" s="79">
        <v>601096334</v>
      </c>
      <c r="D1740" s="79">
        <v>0</v>
      </c>
      <c r="E1740" s="79" t="s">
        <v>1124</v>
      </c>
      <c r="F1740" s="79" t="s">
        <v>2537</v>
      </c>
      <c r="G1740" s="79" t="s">
        <v>1130</v>
      </c>
      <c r="H1740" s="79"/>
      <c r="I1740" s="79"/>
    </row>
    <row r="1741" spans="1:9" ht="14.25">
      <c r="A1741" s="79" t="s">
        <v>3612</v>
      </c>
      <c r="B1741" s="79" t="s">
        <v>3613</v>
      </c>
      <c r="C1741" s="79">
        <v>601096334</v>
      </c>
      <c r="D1741" s="79">
        <v>0</v>
      </c>
      <c r="E1741" s="79" t="s">
        <v>1124</v>
      </c>
      <c r="F1741" s="79" t="s">
        <v>2537</v>
      </c>
      <c r="G1741" s="79" t="s">
        <v>1131</v>
      </c>
      <c r="H1741" s="79" t="s">
        <v>1132</v>
      </c>
      <c r="I1741" s="79"/>
    </row>
    <row r="1742" spans="1:9" ht="14.25">
      <c r="A1742" s="79" t="s">
        <v>3612</v>
      </c>
      <c r="B1742" s="79" t="s">
        <v>3613</v>
      </c>
      <c r="C1742" s="79">
        <v>601096334</v>
      </c>
      <c r="D1742" s="79">
        <v>0</v>
      </c>
      <c r="E1742" s="79" t="s">
        <v>1124</v>
      </c>
      <c r="F1742" s="79" t="s">
        <v>2537</v>
      </c>
      <c r="G1742" s="79" t="s">
        <v>2576</v>
      </c>
      <c r="H1742" s="79"/>
      <c r="I1742" s="79"/>
    </row>
    <row r="1743" spans="1:9" ht="14.25">
      <c r="A1743" s="79" t="s">
        <v>3614</v>
      </c>
      <c r="B1743" s="79" t="s">
        <v>3615</v>
      </c>
      <c r="C1743" s="79">
        <v>601096934</v>
      </c>
      <c r="D1743" s="79">
        <v>0</v>
      </c>
      <c r="E1743" s="79" t="s">
        <v>1124</v>
      </c>
      <c r="F1743" s="79" t="s">
        <v>2537</v>
      </c>
      <c r="G1743" s="79" t="s">
        <v>2544</v>
      </c>
      <c r="H1743" s="79" t="s">
        <v>2545</v>
      </c>
      <c r="I1743" s="79"/>
    </row>
    <row r="1744" spans="1:9" ht="14.25">
      <c r="A1744" s="79" t="s">
        <v>3614</v>
      </c>
      <c r="B1744" s="79" t="s">
        <v>3615</v>
      </c>
      <c r="C1744" s="79">
        <v>601096934</v>
      </c>
      <c r="D1744" s="79">
        <v>0</v>
      </c>
      <c r="E1744" s="79" t="s">
        <v>1124</v>
      </c>
      <c r="F1744" s="79" t="s">
        <v>2537</v>
      </c>
      <c r="G1744" s="79" t="s">
        <v>2579</v>
      </c>
      <c r="H1744" s="79"/>
      <c r="I1744" s="79"/>
    </row>
    <row r="1745" spans="1:9" ht="14.25">
      <c r="A1745" s="79" t="s">
        <v>3616</v>
      </c>
      <c r="B1745" s="79" t="s">
        <v>3617</v>
      </c>
      <c r="C1745" s="79">
        <v>601139534</v>
      </c>
      <c r="D1745" s="79">
        <v>0</v>
      </c>
      <c r="E1745" s="79" t="s">
        <v>1124</v>
      </c>
      <c r="F1745" s="79" t="s">
        <v>2537</v>
      </c>
      <c r="G1745" s="79" t="s">
        <v>1130</v>
      </c>
      <c r="H1745" s="79"/>
      <c r="I1745" s="79"/>
    </row>
    <row r="1746" spans="1:9" ht="14.25">
      <c r="A1746" s="79" t="s">
        <v>3616</v>
      </c>
      <c r="B1746" s="79" t="s">
        <v>3617</v>
      </c>
      <c r="C1746" s="79">
        <v>601139534</v>
      </c>
      <c r="D1746" s="79">
        <v>0</v>
      </c>
      <c r="E1746" s="79" t="s">
        <v>1124</v>
      </c>
      <c r="F1746" s="79" t="s">
        <v>2537</v>
      </c>
      <c r="G1746" s="79" t="s">
        <v>1131</v>
      </c>
      <c r="H1746" s="79" t="s">
        <v>1132</v>
      </c>
      <c r="I1746" s="79"/>
    </row>
    <row r="1747" spans="1:9" ht="14.25">
      <c r="A1747" s="79" t="s">
        <v>3616</v>
      </c>
      <c r="B1747" s="79" t="s">
        <v>3617</v>
      </c>
      <c r="C1747" s="79">
        <v>601139534</v>
      </c>
      <c r="D1747" s="79">
        <v>0</v>
      </c>
      <c r="E1747" s="79" t="s">
        <v>1124</v>
      </c>
      <c r="F1747" s="79" t="s">
        <v>2537</v>
      </c>
      <c r="G1747" s="79" t="s">
        <v>2576</v>
      </c>
      <c r="H1747" s="79"/>
      <c r="I1747" s="79"/>
    </row>
    <row r="1748" spans="1:9" ht="14.25">
      <c r="A1748" s="79" t="s">
        <v>3618</v>
      </c>
      <c r="B1748" s="79" t="s">
        <v>3619</v>
      </c>
      <c r="C1748" s="79">
        <v>601140134</v>
      </c>
      <c r="D1748" s="79">
        <v>0</v>
      </c>
      <c r="E1748" s="79" t="s">
        <v>1124</v>
      </c>
      <c r="F1748" s="79" t="s">
        <v>2537</v>
      </c>
      <c r="G1748" s="79" t="s">
        <v>2544</v>
      </c>
      <c r="H1748" s="79" t="s">
        <v>2545</v>
      </c>
      <c r="I1748" s="79"/>
    </row>
    <row r="1749" spans="1:9" ht="14.25">
      <c r="A1749" s="79" t="s">
        <v>3618</v>
      </c>
      <c r="B1749" s="79" t="s">
        <v>3619</v>
      </c>
      <c r="C1749" s="79">
        <v>601140134</v>
      </c>
      <c r="D1749" s="79">
        <v>0</v>
      </c>
      <c r="E1749" s="79" t="s">
        <v>1124</v>
      </c>
      <c r="F1749" s="79" t="s">
        <v>2537</v>
      </c>
      <c r="G1749" s="79" t="s">
        <v>2579</v>
      </c>
      <c r="H1749" s="79"/>
      <c r="I1749" s="79"/>
    </row>
    <row r="1750" spans="1:9" ht="14.25">
      <c r="A1750" s="79" t="s">
        <v>3620</v>
      </c>
      <c r="B1750" s="79" t="s">
        <v>3621</v>
      </c>
      <c r="C1750" s="79">
        <v>601182734</v>
      </c>
      <c r="D1750" s="79">
        <v>0</v>
      </c>
      <c r="E1750" s="79" t="s">
        <v>1124</v>
      </c>
      <c r="F1750" s="79" t="s">
        <v>2537</v>
      </c>
      <c r="G1750" s="79" t="s">
        <v>1130</v>
      </c>
      <c r="H1750" s="79"/>
      <c r="I1750" s="79"/>
    </row>
    <row r="1751" spans="1:9" ht="14.25">
      <c r="A1751" s="79" t="s">
        <v>3620</v>
      </c>
      <c r="B1751" s="79" t="s">
        <v>3621</v>
      </c>
      <c r="C1751" s="79">
        <v>601182734</v>
      </c>
      <c r="D1751" s="79">
        <v>0</v>
      </c>
      <c r="E1751" s="79" t="s">
        <v>1124</v>
      </c>
      <c r="F1751" s="79" t="s">
        <v>2537</v>
      </c>
      <c r="G1751" s="79" t="s">
        <v>1131</v>
      </c>
      <c r="H1751" s="79" t="s">
        <v>1132</v>
      </c>
      <c r="I1751" s="79"/>
    </row>
    <row r="1752" spans="1:9" ht="14.25">
      <c r="A1752" s="79" t="s">
        <v>3620</v>
      </c>
      <c r="B1752" s="79" t="s">
        <v>3621</v>
      </c>
      <c r="C1752" s="79">
        <v>601182734</v>
      </c>
      <c r="D1752" s="79">
        <v>0</v>
      </c>
      <c r="E1752" s="79" t="s">
        <v>1124</v>
      </c>
      <c r="F1752" s="79" t="s">
        <v>2537</v>
      </c>
      <c r="G1752" s="79" t="s">
        <v>2576</v>
      </c>
      <c r="H1752" s="79"/>
      <c r="I1752" s="79"/>
    </row>
    <row r="1753" spans="1:9" ht="14.25">
      <c r="A1753" s="79" t="s">
        <v>3622</v>
      </c>
      <c r="B1753" s="79" t="s">
        <v>3623</v>
      </c>
      <c r="C1753" s="79">
        <v>601183334</v>
      </c>
      <c r="D1753" s="79">
        <v>0</v>
      </c>
      <c r="E1753" s="79" t="s">
        <v>1124</v>
      </c>
      <c r="F1753" s="79" t="s">
        <v>2537</v>
      </c>
      <c r="G1753" s="79" t="s">
        <v>2544</v>
      </c>
      <c r="H1753" s="79" t="s">
        <v>2545</v>
      </c>
      <c r="I1753" s="79"/>
    </row>
    <row r="1754" spans="1:9" ht="14.25">
      <c r="A1754" s="79" t="s">
        <v>3622</v>
      </c>
      <c r="B1754" s="79" t="s">
        <v>3623</v>
      </c>
      <c r="C1754" s="79">
        <v>601183334</v>
      </c>
      <c r="D1754" s="79">
        <v>0</v>
      </c>
      <c r="E1754" s="79" t="s">
        <v>1124</v>
      </c>
      <c r="F1754" s="79" t="s">
        <v>2537</v>
      </c>
      <c r="G1754" s="79" t="s">
        <v>2579</v>
      </c>
      <c r="H1754" s="79"/>
      <c r="I1754" s="79"/>
    </row>
    <row r="1755" spans="1:9" ht="14.25">
      <c r="A1755" s="79" t="s">
        <v>3624</v>
      </c>
      <c r="B1755" s="79" t="s">
        <v>3625</v>
      </c>
      <c r="C1755" s="79">
        <v>601225934</v>
      </c>
      <c r="D1755" s="79">
        <v>0</v>
      </c>
      <c r="E1755" s="79" t="s">
        <v>1124</v>
      </c>
      <c r="F1755" s="79" t="s">
        <v>2537</v>
      </c>
      <c r="G1755" s="79" t="s">
        <v>1130</v>
      </c>
      <c r="H1755" s="79"/>
      <c r="I1755" s="79"/>
    </row>
    <row r="1756" spans="1:9" ht="14.25">
      <c r="A1756" s="79" t="s">
        <v>3624</v>
      </c>
      <c r="B1756" s="79" t="s">
        <v>3625</v>
      </c>
      <c r="C1756" s="79">
        <v>601225934</v>
      </c>
      <c r="D1756" s="79">
        <v>0</v>
      </c>
      <c r="E1756" s="79" t="s">
        <v>1124</v>
      </c>
      <c r="F1756" s="79" t="s">
        <v>2537</v>
      </c>
      <c r="G1756" s="79" t="s">
        <v>1131</v>
      </c>
      <c r="H1756" s="79" t="s">
        <v>1132</v>
      </c>
      <c r="I1756" s="79"/>
    </row>
    <row r="1757" spans="1:9" ht="14.25">
      <c r="A1757" s="79" t="s">
        <v>3624</v>
      </c>
      <c r="B1757" s="79" t="s">
        <v>3625</v>
      </c>
      <c r="C1757" s="79">
        <v>601225934</v>
      </c>
      <c r="D1757" s="79">
        <v>0</v>
      </c>
      <c r="E1757" s="79" t="s">
        <v>1124</v>
      </c>
      <c r="F1757" s="79" t="s">
        <v>2537</v>
      </c>
      <c r="G1757" s="79" t="s">
        <v>2576</v>
      </c>
      <c r="H1757" s="79"/>
      <c r="I1757" s="79"/>
    </row>
    <row r="1758" spans="1:9" ht="14.25">
      <c r="A1758" s="79" t="s">
        <v>3626</v>
      </c>
      <c r="B1758" s="79" t="s">
        <v>3627</v>
      </c>
      <c r="C1758" s="79">
        <v>601226534</v>
      </c>
      <c r="D1758" s="79">
        <v>0</v>
      </c>
      <c r="E1758" s="79" t="s">
        <v>1124</v>
      </c>
      <c r="F1758" s="79" t="s">
        <v>2537</v>
      </c>
      <c r="G1758" s="79" t="s">
        <v>2544</v>
      </c>
      <c r="H1758" s="79" t="s">
        <v>2545</v>
      </c>
      <c r="I1758" s="79"/>
    </row>
    <row r="1759" spans="1:9" ht="14.25">
      <c r="A1759" s="79" t="s">
        <v>3626</v>
      </c>
      <c r="B1759" s="79" t="s">
        <v>3627</v>
      </c>
      <c r="C1759" s="79">
        <v>601226534</v>
      </c>
      <c r="D1759" s="79">
        <v>0</v>
      </c>
      <c r="E1759" s="79" t="s">
        <v>1124</v>
      </c>
      <c r="F1759" s="79" t="s">
        <v>2537</v>
      </c>
      <c r="G1759" s="79" t="s">
        <v>2579</v>
      </c>
      <c r="H1759" s="79"/>
      <c r="I1759" s="79"/>
    </row>
    <row r="1760" spans="1:9" ht="14.25">
      <c r="A1760" s="79" t="s">
        <v>3628</v>
      </c>
      <c r="B1760" s="79" t="s">
        <v>3629</v>
      </c>
      <c r="C1760" s="79">
        <v>601269134</v>
      </c>
      <c r="D1760" s="79">
        <v>0</v>
      </c>
      <c r="E1760" s="79" t="s">
        <v>1124</v>
      </c>
      <c r="F1760" s="79" t="s">
        <v>2537</v>
      </c>
      <c r="G1760" s="79" t="s">
        <v>1130</v>
      </c>
      <c r="H1760" s="79"/>
      <c r="I1760" s="79"/>
    </row>
    <row r="1761" spans="1:9" ht="14.25">
      <c r="A1761" s="79" t="s">
        <v>3628</v>
      </c>
      <c r="B1761" s="79" t="s">
        <v>3629</v>
      </c>
      <c r="C1761" s="79">
        <v>601269134</v>
      </c>
      <c r="D1761" s="79">
        <v>0</v>
      </c>
      <c r="E1761" s="79" t="s">
        <v>1124</v>
      </c>
      <c r="F1761" s="79" t="s">
        <v>2537</v>
      </c>
      <c r="G1761" s="79" t="s">
        <v>1131</v>
      </c>
      <c r="H1761" s="79" t="s">
        <v>1132</v>
      </c>
      <c r="I1761" s="79"/>
    </row>
    <row r="1762" spans="1:9" ht="14.25">
      <c r="A1762" s="79" t="s">
        <v>3628</v>
      </c>
      <c r="B1762" s="79" t="s">
        <v>3629</v>
      </c>
      <c r="C1762" s="79">
        <v>601269134</v>
      </c>
      <c r="D1762" s="79">
        <v>0</v>
      </c>
      <c r="E1762" s="79" t="s">
        <v>1124</v>
      </c>
      <c r="F1762" s="79" t="s">
        <v>2537</v>
      </c>
      <c r="G1762" s="79" t="s">
        <v>2576</v>
      </c>
      <c r="H1762" s="79"/>
      <c r="I1762" s="79"/>
    </row>
    <row r="1763" spans="1:9" ht="14.25">
      <c r="A1763" s="79" t="s">
        <v>3630</v>
      </c>
      <c r="B1763" s="79" t="s">
        <v>3631</v>
      </c>
      <c r="C1763" s="79">
        <v>601269734</v>
      </c>
      <c r="D1763" s="79">
        <v>0</v>
      </c>
      <c r="E1763" s="79" t="s">
        <v>1124</v>
      </c>
      <c r="F1763" s="79" t="s">
        <v>2537</v>
      </c>
      <c r="G1763" s="79" t="s">
        <v>2544</v>
      </c>
      <c r="H1763" s="79" t="s">
        <v>2545</v>
      </c>
      <c r="I1763" s="79"/>
    </row>
    <row r="1764" spans="1:9" ht="14.25">
      <c r="A1764" s="79" t="s">
        <v>3630</v>
      </c>
      <c r="B1764" s="79" t="s">
        <v>3631</v>
      </c>
      <c r="C1764" s="79">
        <v>601269734</v>
      </c>
      <c r="D1764" s="79">
        <v>0</v>
      </c>
      <c r="E1764" s="79" t="s">
        <v>1124</v>
      </c>
      <c r="F1764" s="79" t="s">
        <v>2537</v>
      </c>
      <c r="G1764" s="79" t="s">
        <v>2579</v>
      </c>
      <c r="H1764" s="79"/>
      <c r="I1764" s="79"/>
    </row>
    <row r="1765" spans="1:9" ht="14.25">
      <c r="A1765" s="79" t="s">
        <v>3632</v>
      </c>
      <c r="B1765" s="79" t="s">
        <v>3633</v>
      </c>
      <c r="C1765" s="79">
        <v>601312334</v>
      </c>
      <c r="D1765" s="79">
        <v>0</v>
      </c>
      <c r="E1765" s="79" t="s">
        <v>1124</v>
      </c>
      <c r="F1765" s="79" t="s">
        <v>2537</v>
      </c>
      <c r="G1765" s="79" t="s">
        <v>1130</v>
      </c>
      <c r="H1765" s="79"/>
      <c r="I1765" s="79"/>
    </row>
    <row r="1766" spans="1:9" ht="14.25">
      <c r="A1766" s="79" t="s">
        <v>3632</v>
      </c>
      <c r="B1766" s="79" t="s">
        <v>3633</v>
      </c>
      <c r="C1766" s="79">
        <v>601312334</v>
      </c>
      <c r="D1766" s="79">
        <v>0</v>
      </c>
      <c r="E1766" s="79" t="s">
        <v>1124</v>
      </c>
      <c r="F1766" s="79" t="s">
        <v>2537</v>
      </c>
      <c r="G1766" s="79" t="s">
        <v>1131</v>
      </c>
      <c r="H1766" s="79" t="s">
        <v>1132</v>
      </c>
      <c r="I1766" s="79"/>
    </row>
    <row r="1767" spans="1:9" ht="14.25">
      <c r="A1767" s="79" t="s">
        <v>3632</v>
      </c>
      <c r="B1767" s="79" t="s">
        <v>3633</v>
      </c>
      <c r="C1767" s="79">
        <v>601312334</v>
      </c>
      <c r="D1767" s="79">
        <v>0</v>
      </c>
      <c r="E1767" s="79" t="s">
        <v>1124</v>
      </c>
      <c r="F1767" s="79" t="s">
        <v>2537</v>
      </c>
      <c r="G1767" s="79" t="s">
        <v>2576</v>
      </c>
      <c r="H1767" s="79"/>
      <c r="I1767" s="79"/>
    </row>
    <row r="1768" spans="1:9" ht="14.25">
      <c r="A1768" s="79" t="s">
        <v>3634</v>
      </c>
      <c r="B1768" s="79" t="s">
        <v>3635</v>
      </c>
      <c r="C1768" s="79">
        <v>601312934</v>
      </c>
      <c r="D1768" s="79">
        <v>0</v>
      </c>
      <c r="E1768" s="79" t="s">
        <v>1124</v>
      </c>
      <c r="F1768" s="79" t="s">
        <v>2537</v>
      </c>
      <c r="G1768" s="79" t="s">
        <v>2544</v>
      </c>
      <c r="H1768" s="79" t="s">
        <v>2545</v>
      </c>
      <c r="I1768" s="79"/>
    </row>
    <row r="1769" spans="1:9" ht="14.25">
      <c r="A1769" s="79" t="s">
        <v>3634</v>
      </c>
      <c r="B1769" s="79" t="s">
        <v>3635</v>
      </c>
      <c r="C1769" s="79">
        <v>601312934</v>
      </c>
      <c r="D1769" s="79">
        <v>0</v>
      </c>
      <c r="E1769" s="79" t="s">
        <v>1124</v>
      </c>
      <c r="F1769" s="79" t="s">
        <v>2537</v>
      </c>
      <c r="G1769" s="79" t="s">
        <v>2579</v>
      </c>
      <c r="H1769" s="79"/>
      <c r="I1769" s="79"/>
    </row>
    <row r="1770" spans="1:9" ht="14.25">
      <c r="A1770" s="79" t="s">
        <v>3636</v>
      </c>
      <c r="B1770" s="79" t="s">
        <v>3637</v>
      </c>
      <c r="C1770" s="79">
        <v>601355534</v>
      </c>
      <c r="D1770" s="79">
        <v>0</v>
      </c>
      <c r="E1770" s="79" t="s">
        <v>1124</v>
      </c>
      <c r="F1770" s="79" t="s">
        <v>2537</v>
      </c>
      <c r="G1770" s="79" t="s">
        <v>1130</v>
      </c>
      <c r="H1770" s="79"/>
      <c r="I1770" s="79"/>
    </row>
    <row r="1771" spans="1:9" ht="14.25">
      <c r="A1771" s="79" t="s">
        <v>3636</v>
      </c>
      <c r="B1771" s="79" t="s">
        <v>3637</v>
      </c>
      <c r="C1771" s="79">
        <v>601355534</v>
      </c>
      <c r="D1771" s="79">
        <v>0</v>
      </c>
      <c r="E1771" s="79" t="s">
        <v>1124</v>
      </c>
      <c r="F1771" s="79" t="s">
        <v>2537</v>
      </c>
      <c r="G1771" s="79" t="s">
        <v>1131</v>
      </c>
      <c r="H1771" s="79" t="s">
        <v>1132</v>
      </c>
      <c r="I1771" s="79"/>
    </row>
    <row r="1772" spans="1:9" ht="14.25">
      <c r="A1772" s="79" t="s">
        <v>3636</v>
      </c>
      <c r="B1772" s="79" t="s">
        <v>3637</v>
      </c>
      <c r="C1772" s="79">
        <v>601355534</v>
      </c>
      <c r="D1772" s="79">
        <v>0</v>
      </c>
      <c r="E1772" s="79" t="s">
        <v>1124</v>
      </c>
      <c r="F1772" s="79" t="s">
        <v>2537</v>
      </c>
      <c r="G1772" s="79" t="s">
        <v>2576</v>
      </c>
      <c r="H1772" s="79"/>
      <c r="I1772" s="79"/>
    </row>
    <row r="1773" spans="1:9" ht="14.25">
      <c r="A1773" s="79" t="s">
        <v>3638</v>
      </c>
      <c r="B1773" s="79" t="s">
        <v>3639</v>
      </c>
      <c r="C1773" s="79">
        <v>601356134</v>
      </c>
      <c r="D1773" s="79">
        <v>0</v>
      </c>
      <c r="E1773" s="79" t="s">
        <v>1124</v>
      </c>
      <c r="F1773" s="79" t="s">
        <v>2537</v>
      </c>
      <c r="G1773" s="79" t="s">
        <v>2544</v>
      </c>
      <c r="H1773" s="79" t="s">
        <v>2545</v>
      </c>
      <c r="I1773" s="79"/>
    </row>
    <row r="1774" spans="1:9" ht="14.25">
      <c r="A1774" s="79" t="s">
        <v>3638</v>
      </c>
      <c r="B1774" s="79" t="s">
        <v>3639</v>
      </c>
      <c r="C1774" s="79">
        <v>601356134</v>
      </c>
      <c r="D1774" s="79">
        <v>0</v>
      </c>
      <c r="E1774" s="79" t="s">
        <v>1124</v>
      </c>
      <c r="F1774" s="79" t="s">
        <v>2537</v>
      </c>
      <c r="G1774" s="79" t="s">
        <v>2579</v>
      </c>
      <c r="H1774" s="79"/>
      <c r="I1774" s="79"/>
    </row>
    <row r="1775" spans="1:9" ht="14.25">
      <c r="A1775" s="79" t="s">
        <v>3640</v>
      </c>
      <c r="B1775" s="79" t="s">
        <v>3641</v>
      </c>
      <c r="C1775" s="79">
        <v>601398734</v>
      </c>
      <c r="D1775" s="79">
        <v>0</v>
      </c>
      <c r="E1775" s="79" t="s">
        <v>1124</v>
      </c>
      <c r="F1775" s="79" t="s">
        <v>2537</v>
      </c>
      <c r="G1775" s="79" t="s">
        <v>1130</v>
      </c>
      <c r="H1775" s="79"/>
      <c r="I1775" s="79"/>
    </row>
    <row r="1776" spans="1:9" ht="14.25">
      <c r="A1776" s="79" t="s">
        <v>3640</v>
      </c>
      <c r="B1776" s="79" t="s">
        <v>3641</v>
      </c>
      <c r="C1776" s="79">
        <v>601398734</v>
      </c>
      <c r="D1776" s="79">
        <v>0</v>
      </c>
      <c r="E1776" s="79" t="s">
        <v>1124</v>
      </c>
      <c r="F1776" s="79" t="s">
        <v>2537</v>
      </c>
      <c r="G1776" s="79" t="s">
        <v>1131</v>
      </c>
      <c r="H1776" s="79" t="s">
        <v>1132</v>
      </c>
      <c r="I1776" s="79"/>
    </row>
    <row r="1777" spans="1:9" ht="14.25">
      <c r="A1777" s="79" t="s">
        <v>3640</v>
      </c>
      <c r="B1777" s="79" t="s">
        <v>3641</v>
      </c>
      <c r="C1777" s="79">
        <v>601398734</v>
      </c>
      <c r="D1777" s="79">
        <v>0</v>
      </c>
      <c r="E1777" s="79" t="s">
        <v>1124</v>
      </c>
      <c r="F1777" s="79" t="s">
        <v>2537</v>
      </c>
      <c r="G1777" s="79" t="s">
        <v>2576</v>
      </c>
      <c r="H1777" s="79"/>
      <c r="I1777" s="79"/>
    </row>
    <row r="1778" spans="1:9" ht="14.25">
      <c r="A1778" s="79" t="s">
        <v>3642</v>
      </c>
      <c r="B1778" s="79" t="s">
        <v>3643</v>
      </c>
      <c r="C1778" s="79">
        <v>601399334</v>
      </c>
      <c r="D1778" s="79">
        <v>0</v>
      </c>
      <c r="E1778" s="79" t="s">
        <v>1124</v>
      </c>
      <c r="F1778" s="79" t="s">
        <v>2537</v>
      </c>
      <c r="G1778" s="79" t="s">
        <v>2544</v>
      </c>
      <c r="H1778" s="79" t="s">
        <v>2545</v>
      </c>
      <c r="I1778" s="79"/>
    </row>
    <row r="1779" spans="1:9" ht="14.25">
      <c r="A1779" s="79" t="s">
        <v>3642</v>
      </c>
      <c r="B1779" s="79" t="s">
        <v>3643</v>
      </c>
      <c r="C1779" s="79">
        <v>601399334</v>
      </c>
      <c r="D1779" s="79">
        <v>0</v>
      </c>
      <c r="E1779" s="79" t="s">
        <v>1124</v>
      </c>
      <c r="F1779" s="79" t="s">
        <v>2537</v>
      </c>
      <c r="G1779" s="79" t="s">
        <v>2579</v>
      </c>
      <c r="H1779" s="79"/>
      <c r="I1779" s="79"/>
    </row>
    <row r="1780" spans="1:9" ht="14.25">
      <c r="A1780" s="79" t="s">
        <v>3644</v>
      </c>
      <c r="B1780" s="79" t="s">
        <v>3645</v>
      </c>
      <c r="C1780" s="79">
        <v>601441934</v>
      </c>
      <c r="D1780" s="79">
        <v>0</v>
      </c>
      <c r="E1780" s="79" t="s">
        <v>1124</v>
      </c>
      <c r="F1780" s="79" t="s">
        <v>2537</v>
      </c>
      <c r="G1780" s="79" t="s">
        <v>1130</v>
      </c>
      <c r="H1780" s="79"/>
      <c r="I1780" s="79"/>
    </row>
    <row r="1781" spans="1:9" ht="14.25">
      <c r="A1781" s="79" t="s">
        <v>3644</v>
      </c>
      <c r="B1781" s="79" t="s">
        <v>3645</v>
      </c>
      <c r="C1781" s="79">
        <v>601441934</v>
      </c>
      <c r="D1781" s="79">
        <v>0</v>
      </c>
      <c r="E1781" s="79" t="s">
        <v>1124</v>
      </c>
      <c r="F1781" s="79" t="s">
        <v>2537</v>
      </c>
      <c r="G1781" s="79" t="s">
        <v>1131</v>
      </c>
      <c r="H1781" s="79" t="s">
        <v>1132</v>
      </c>
      <c r="I1781" s="79"/>
    </row>
    <row r="1782" spans="1:9" ht="14.25">
      <c r="A1782" s="79" t="s">
        <v>3644</v>
      </c>
      <c r="B1782" s="79" t="s">
        <v>3645</v>
      </c>
      <c r="C1782" s="79">
        <v>601441934</v>
      </c>
      <c r="D1782" s="79">
        <v>0</v>
      </c>
      <c r="E1782" s="79" t="s">
        <v>1124</v>
      </c>
      <c r="F1782" s="79" t="s">
        <v>2537</v>
      </c>
      <c r="G1782" s="79" t="s">
        <v>2576</v>
      </c>
      <c r="H1782" s="79"/>
      <c r="I1782" s="79"/>
    </row>
    <row r="1783" spans="1:9" ht="14.25">
      <c r="A1783" s="79" t="s">
        <v>3646</v>
      </c>
      <c r="B1783" s="79" t="s">
        <v>3647</v>
      </c>
      <c r="C1783" s="79">
        <v>601442534</v>
      </c>
      <c r="D1783" s="79">
        <v>0</v>
      </c>
      <c r="E1783" s="79" t="s">
        <v>1124</v>
      </c>
      <c r="F1783" s="79" t="s">
        <v>2537</v>
      </c>
      <c r="G1783" s="79" t="s">
        <v>2544</v>
      </c>
      <c r="H1783" s="79" t="s">
        <v>2545</v>
      </c>
      <c r="I1783" s="79"/>
    </row>
    <row r="1784" spans="1:9" ht="14.25">
      <c r="A1784" s="79" t="s">
        <v>3646</v>
      </c>
      <c r="B1784" s="79" t="s">
        <v>3647</v>
      </c>
      <c r="C1784" s="79">
        <v>601442534</v>
      </c>
      <c r="D1784" s="79">
        <v>0</v>
      </c>
      <c r="E1784" s="79" t="s">
        <v>1124</v>
      </c>
      <c r="F1784" s="79" t="s">
        <v>2537</v>
      </c>
      <c r="G1784" s="79" t="s">
        <v>2579</v>
      </c>
      <c r="H1784" s="79"/>
      <c r="I1784" s="79"/>
    </row>
    <row r="1785" spans="1:9" ht="14.25">
      <c r="A1785" s="79" t="s">
        <v>3648</v>
      </c>
      <c r="B1785" s="79" t="s">
        <v>3649</v>
      </c>
      <c r="C1785" s="79">
        <v>601485134</v>
      </c>
      <c r="D1785" s="79">
        <v>0</v>
      </c>
      <c r="E1785" s="79" t="s">
        <v>1124</v>
      </c>
      <c r="F1785" s="79" t="s">
        <v>2537</v>
      </c>
      <c r="G1785" s="79" t="s">
        <v>1130</v>
      </c>
      <c r="H1785" s="79"/>
      <c r="I1785" s="79"/>
    </row>
    <row r="1786" spans="1:9" ht="14.25">
      <c r="A1786" s="79" t="s">
        <v>3648</v>
      </c>
      <c r="B1786" s="79" t="s">
        <v>3649</v>
      </c>
      <c r="C1786" s="79">
        <v>601485134</v>
      </c>
      <c r="D1786" s="79">
        <v>0</v>
      </c>
      <c r="E1786" s="79" t="s">
        <v>1124</v>
      </c>
      <c r="F1786" s="79" t="s">
        <v>2537</v>
      </c>
      <c r="G1786" s="79" t="s">
        <v>1131</v>
      </c>
      <c r="H1786" s="79" t="s">
        <v>1132</v>
      </c>
      <c r="I1786" s="79"/>
    </row>
    <row r="1787" spans="1:9" ht="14.25">
      <c r="A1787" s="79" t="s">
        <v>3648</v>
      </c>
      <c r="B1787" s="79" t="s">
        <v>3649</v>
      </c>
      <c r="C1787" s="79">
        <v>601485134</v>
      </c>
      <c r="D1787" s="79">
        <v>0</v>
      </c>
      <c r="E1787" s="79" t="s">
        <v>1124</v>
      </c>
      <c r="F1787" s="79" t="s">
        <v>2537</v>
      </c>
      <c r="G1787" s="79" t="s">
        <v>2576</v>
      </c>
      <c r="H1787" s="79"/>
      <c r="I1787" s="79"/>
    </row>
    <row r="1788" spans="1:9" ht="14.25">
      <c r="A1788" s="79" t="s">
        <v>3650</v>
      </c>
      <c r="B1788" s="79" t="s">
        <v>3651</v>
      </c>
      <c r="C1788" s="79">
        <v>601485734</v>
      </c>
      <c r="D1788" s="79">
        <v>0</v>
      </c>
      <c r="E1788" s="79" t="s">
        <v>1124</v>
      </c>
      <c r="F1788" s="79" t="s">
        <v>2537</v>
      </c>
      <c r="G1788" s="79" t="s">
        <v>2544</v>
      </c>
      <c r="H1788" s="79" t="s">
        <v>2545</v>
      </c>
      <c r="I1788" s="79"/>
    </row>
    <row r="1789" spans="1:9" ht="14.25">
      <c r="A1789" s="79" t="s">
        <v>3650</v>
      </c>
      <c r="B1789" s="79" t="s">
        <v>3651</v>
      </c>
      <c r="C1789" s="79">
        <v>601485734</v>
      </c>
      <c r="D1789" s="79">
        <v>0</v>
      </c>
      <c r="E1789" s="79" t="s">
        <v>1124</v>
      </c>
      <c r="F1789" s="79" t="s">
        <v>2537</v>
      </c>
      <c r="G1789" s="79" t="s">
        <v>2579</v>
      </c>
      <c r="H1789" s="79"/>
      <c r="I1789" s="79"/>
    </row>
    <row r="1790" spans="1:9" ht="14.25">
      <c r="A1790" s="79" t="s">
        <v>3652</v>
      </c>
      <c r="B1790" s="79" t="s">
        <v>3653</v>
      </c>
      <c r="C1790" s="79">
        <v>601528334</v>
      </c>
      <c r="D1790" s="79">
        <v>0</v>
      </c>
      <c r="E1790" s="79" t="s">
        <v>1124</v>
      </c>
      <c r="F1790" s="79" t="s">
        <v>2537</v>
      </c>
      <c r="G1790" s="79" t="s">
        <v>1130</v>
      </c>
      <c r="H1790" s="79"/>
      <c r="I1790" s="79"/>
    </row>
    <row r="1791" spans="1:9" ht="14.25">
      <c r="A1791" s="79" t="s">
        <v>3652</v>
      </c>
      <c r="B1791" s="79" t="s">
        <v>3653</v>
      </c>
      <c r="C1791" s="79">
        <v>601528334</v>
      </c>
      <c r="D1791" s="79">
        <v>0</v>
      </c>
      <c r="E1791" s="79" t="s">
        <v>1124</v>
      </c>
      <c r="F1791" s="79" t="s">
        <v>2537</v>
      </c>
      <c r="G1791" s="79" t="s">
        <v>1131</v>
      </c>
      <c r="H1791" s="79" t="s">
        <v>1132</v>
      </c>
      <c r="I1791" s="79"/>
    </row>
    <row r="1792" spans="1:9" ht="14.25">
      <c r="A1792" s="79" t="s">
        <v>3652</v>
      </c>
      <c r="B1792" s="79" t="s">
        <v>3653</v>
      </c>
      <c r="C1792" s="79">
        <v>601528334</v>
      </c>
      <c r="D1792" s="79">
        <v>0</v>
      </c>
      <c r="E1792" s="79" t="s">
        <v>1124</v>
      </c>
      <c r="F1792" s="79" t="s">
        <v>2537</v>
      </c>
      <c r="G1792" s="79" t="s">
        <v>2576</v>
      </c>
      <c r="H1792" s="79"/>
      <c r="I1792" s="79"/>
    </row>
    <row r="1793" spans="1:9" ht="14.25">
      <c r="A1793" s="79" t="s">
        <v>3654</v>
      </c>
      <c r="B1793" s="79" t="s">
        <v>3655</v>
      </c>
      <c r="C1793" s="79">
        <v>601528934</v>
      </c>
      <c r="D1793" s="79">
        <v>0</v>
      </c>
      <c r="E1793" s="79" t="s">
        <v>1124</v>
      </c>
      <c r="F1793" s="79" t="s">
        <v>2537</v>
      </c>
      <c r="G1793" s="79" t="s">
        <v>2544</v>
      </c>
      <c r="H1793" s="79" t="s">
        <v>2545</v>
      </c>
      <c r="I1793" s="79"/>
    </row>
    <row r="1794" spans="1:9" ht="14.25">
      <c r="A1794" s="79" t="s">
        <v>3654</v>
      </c>
      <c r="B1794" s="79" t="s">
        <v>3655</v>
      </c>
      <c r="C1794" s="79">
        <v>601528934</v>
      </c>
      <c r="D1794" s="79">
        <v>0</v>
      </c>
      <c r="E1794" s="79" t="s">
        <v>1124</v>
      </c>
      <c r="F1794" s="79" t="s">
        <v>2537</v>
      </c>
      <c r="G1794" s="79" t="s">
        <v>2579</v>
      </c>
      <c r="H1794" s="79"/>
      <c r="I1794" s="79"/>
    </row>
    <row r="1795" spans="1:9" ht="14.25">
      <c r="A1795" s="79" t="s">
        <v>3656</v>
      </c>
      <c r="B1795" s="79" t="s">
        <v>3657</v>
      </c>
      <c r="C1795" s="79">
        <v>601571534</v>
      </c>
      <c r="D1795" s="79">
        <v>0</v>
      </c>
      <c r="E1795" s="79" t="s">
        <v>1124</v>
      </c>
      <c r="F1795" s="79" t="s">
        <v>2537</v>
      </c>
      <c r="G1795" s="79" t="s">
        <v>1130</v>
      </c>
      <c r="H1795" s="79"/>
      <c r="I1795" s="79"/>
    </row>
    <row r="1796" spans="1:9" ht="14.25">
      <c r="A1796" s="79" t="s">
        <v>3656</v>
      </c>
      <c r="B1796" s="79" t="s">
        <v>3657</v>
      </c>
      <c r="C1796" s="79">
        <v>601571534</v>
      </c>
      <c r="D1796" s="79">
        <v>0</v>
      </c>
      <c r="E1796" s="79" t="s">
        <v>1124</v>
      </c>
      <c r="F1796" s="79" t="s">
        <v>2537</v>
      </c>
      <c r="G1796" s="79" t="s">
        <v>1131</v>
      </c>
      <c r="H1796" s="79" t="s">
        <v>1132</v>
      </c>
      <c r="I1796" s="79"/>
    </row>
    <row r="1797" spans="1:9" ht="14.25">
      <c r="A1797" s="79" t="s">
        <v>3656</v>
      </c>
      <c r="B1797" s="79" t="s">
        <v>3657</v>
      </c>
      <c r="C1797" s="79">
        <v>601571534</v>
      </c>
      <c r="D1797" s="79">
        <v>0</v>
      </c>
      <c r="E1797" s="79" t="s">
        <v>1124</v>
      </c>
      <c r="F1797" s="79" t="s">
        <v>2537</v>
      </c>
      <c r="G1797" s="79" t="s">
        <v>2576</v>
      </c>
      <c r="H1797" s="79"/>
      <c r="I1797" s="79"/>
    </row>
    <row r="1798" spans="1:9" ht="14.25">
      <c r="A1798" s="79" t="s">
        <v>3658</v>
      </c>
      <c r="B1798" s="79" t="s">
        <v>3659</v>
      </c>
      <c r="C1798" s="79">
        <v>601572134</v>
      </c>
      <c r="D1798" s="79">
        <v>0</v>
      </c>
      <c r="E1798" s="79" t="s">
        <v>1124</v>
      </c>
      <c r="F1798" s="79" t="s">
        <v>2537</v>
      </c>
      <c r="G1798" s="79" t="s">
        <v>2544</v>
      </c>
      <c r="H1798" s="79" t="s">
        <v>2545</v>
      </c>
      <c r="I1798" s="79"/>
    </row>
    <row r="1799" spans="1:9" ht="14.25">
      <c r="A1799" s="79" t="s">
        <v>3658</v>
      </c>
      <c r="B1799" s="79" t="s">
        <v>3659</v>
      </c>
      <c r="C1799" s="79">
        <v>601572134</v>
      </c>
      <c r="D1799" s="79">
        <v>0</v>
      </c>
      <c r="E1799" s="79" t="s">
        <v>1124</v>
      </c>
      <c r="F1799" s="79" t="s">
        <v>2537</v>
      </c>
      <c r="G1799" s="79" t="s">
        <v>2579</v>
      </c>
      <c r="H1799" s="79"/>
      <c r="I1799" s="79"/>
    </row>
    <row r="1800" spans="1:9" ht="14.25">
      <c r="A1800" s="79" t="s">
        <v>3660</v>
      </c>
      <c r="B1800" s="79" t="s">
        <v>3661</v>
      </c>
      <c r="C1800" s="79">
        <v>601614734</v>
      </c>
      <c r="D1800" s="79">
        <v>0</v>
      </c>
      <c r="E1800" s="79" t="s">
        <v>1124</v>
      </c>
      <c r="F1800" s="79" t="s">
        <v>2537</v>
      </c>
      <c r="G1800" s="79" t="s">
        <v>1130</v>
      </c>
      <c r="H1800" s="79"/>
      <c r="I1800" s="79"/>
    </row>
    <row r="1801" spans="1:9" ht="14.25">
      <c r="A1801" s="79" t="s">
        <v>3660</v>
      </c>
      <c r="B1801" s="79" t="s">
        <v>3661</v>
      </c>
      <c r="C1801" s="79">
        <v>601614734</v>
      </c>
      <c r="D1801" s="79">
        <v>0</v>
      </c>
      <c r="E1801" s="79" t="s">
        <v>1124</v>
      </c>
      <c r="F1801" s="79" t="s">
        <v>2537</v>
      </c>
      <c r="G1801" s="79" t="s">
        <v>1131</v>
      </c>
      <c r="H1801" s="79" t="s">
        <v>1132</v>
      </c>
      <c r="I1801" s="79"/>
    </row>
    <row r="1802" spans="1:9" ht="14.25">
      <c r="A1802" s="79" t="s">
        <v>3660</v>
      </c>
      <c r="B1802" s="79" t="s">
        <v>3661</v>
      </c>
      <c r="C1802" s="79">
        <v>601614734</v>
      </c>
      <c r="D1802" s="79">
        <v>0</v>
      </c>
      <c r="E1802" s="79" t="s">
        <v>1124</v>
      </c>
      <c r="F1802" s="79" t="s">
        <v>2537</v>
      </c>
      <c r="G1802" s="79" t="s">
        <v>2576</v>
      </c>
      <c r="H1802" s="79"/>
      <c r="I1802" s="79"/>
    </row>
    <row r="1803" spans="1:9" ht="14.25">
      <c r="A1803" s="79" t="s">
        <v>3662</v>
      </c>
      <c r="B1803" s="79" t="s">
        <v>3663</v>
      </c>
      <c r="C1803" s="79">
        <v>601615334</v>
      </c>
      <c r="D1803" s="79">
        <v>0</v>
      </c>
      <c r="E1803" s="79" t="s">
        <v>1124</v>
      </c>
      <c r="F1803" s="79" t="s">
        <v>2537</v>
      </c>
      <c r="G1803" s="79" t="s">
        <v>2544</v>
      </c>
      <c r="H1803" s="79" t="s">
        <v>2545</v>
      </c>
      <c r="I1803" s="79"/>
    </row>
    <row r="1804" spans="1:9" ht="14.25">
      <c r="A1804" s="79" t="s">
        <v>3662</v>
      </c>
      <c r="B1804" s="79" t="s">
        <v>3663</v>
      </c>
      <c r="C1804" s="79">
        <v>601615334</v>
      </c>
      <c r="D1804" s="79">
        <v>0</v>
      </c>
      <c r="E1804" s="79" t="s">
        <v>1124</v>
      </c>
      <c r="F1804" s="79" t="s">
        <v>2537</v>
      </c>
      <c r="G1804" s="79" t="s">
        <v>2579</v>
      </c>
      <c r="H1804" s="79"/>
      <c r="I1804" s="79"/>
    </row>
    <row r="1805" spans="1:9" ht="14.25">
      <c r="A1805" s="79" t="s">
        <v>3664</v>
      </c>
      <c r="B1805" s="79" t="s">
        <v>3665</v>
      </c>
      <c r="C1805" s="79">
        <v>601657934</v>
      </c>
      <c r="D1805" s="79">
        <v>0</v>
      </c>
      <c r="E1805" s="79" t="s">
        <v>1124</v>
      </c>
      <c r="F1805" s="79" t="s">
        <v>2537</v>
      </c>
      <c r="G1805" s="79" t="s">
        <v>1130</v>
      </c>
      <c r="H1805" s="79"/>
      <c r="I1805" s="79"/>
    </row>
    <row r="1806" spans="1:9" ht="14.25">
      <c r="A1806" s="79" t="s">
        <v>3664</v>
      </c>
      <c r="B1806" s="79" t="s">
        <v>3665</v>
      </c>
      <c r="C1806" s="79">
        <v>601657934</v>
      </c>
      <c r="D1806" s="79">
        <v>0</v>
      </c>
      <c r="E1806" s="79" t="s">
        <v>1124</v>
      </c>
      <c r="F1806" s="79" t="s">
        <v>2537</v>
      </c>
      <c r="G1806" s="79" t="s">
        <v>1131</v>
      </c>
      <c r="H1806" s="79" t="s">
        <v>1132</v>
      </c>
      <c r="I1806" s="79"/>
    </row>
    <row r="1807" spans="1:9" ht="14.25">
      <c r="A1807" s="79" t="s">
        <v>3664</v>
      </c>
      <c r="B1807" s="79" t="s">
        <v>3665</v>
      </c>
      <c r="C1807" s="79">
        <v>601657934</v>
      </c>
      <c r="D1807" s="79">
        <v>0</v>
      </c>
      <c r="E1807" s="79" t="s">
        <v>1124</v>
      </c>
      <c r="F1807" s="79" t="s">
        <v>2537</v>
      </c>
      <c r="G1807" s="79" t="s">
        <v>2576</v>
      </c>
      <c r="H1807" s="79"/>
      <c r="I1807" s="79"/>
    </row>
    <row r="1808" spans="1:9" ht="14.25">
      <c r="A1808" s="79" t="s">
        <v>3666</v>
      </c>
      <c r="B1808" s="79" t="s">
        <v>3667</v>
      </c>
      <c r="C1808" s="79">
        <v>601658534</v>
      </c>
      <c r="D1808" s="79">
        <v>0</v>
      </c>
      <c r="E1808" s="79" t="s">
        <v>1124</v>
      </c>
      <c r="F1808" s="79" t="s">
        <v>2537</v>
      </c>
      <c r="G1808" s="79" t="s">
        <v>2544</v>
      </c>
      <c r="H1808" s="79" t="s">
        <v>2545</v>
      </c>
      <c r="I1808" s="79"/>
    </row>
    <row r="1809" spans="1:9" ht="14.25">
      <c r="A1809" s="79" t="s">
        <v>3666</v>
      </c>
      <c r="B1809" s="79" t="s">
        <v>3667</v>
      </c>
      <c r="C1809" s="79">
        <v>601658534</v>
      </c>
      <c r="D1809" s="79">
        <v>0</v>
      </c>
      <c r="E1809" s="79" t="s">
        <v>1124</v>
      </c>
      <c r="F1809" s="79" t="s">
        <v>2537</v>
      </c>
      <c r="G1809" s="79" t="s">
        <v>2579</v>
      </c>
      <c r="H1809" s="79"/>
      <c r="I1809" s="79"/>
    </row>
    <row r="1810" spans="1:9" ht="14.25">
      <c r="A1810" s="79" t="s">
        <v>3668</v>
      </c>
      <c r="B1810" s="79" t="s">
        <v>3669</v>
      </c>
      <c r="C1810" s="79">
        <v>601701134</v>
      </c>
      <c r="D1810" s="79">
        <v>0</v>
      </c>
      <c r="E1810" s="79" t="s">
        <v>1124</v>
      </c>
      <c r="F1810" s="79" t="s">
        <v>2537</v>
      </c>
      <c r="G1810" s="79" t="s">
        <v>1130</v>
      </c>
      <c r="H1810" s="79"/>
      <c r="I1810" s="79"/>
    </row>
    <row r="1811" spans="1:9" ht="14.25">
      <c r="A1811" s="79" t="s">
        <v>3668</v>
      </c>
      <c r="B1811" s="79" t="s">
        <v>3669</v>
      </c>
      <c r="C1811" s="79">
        <v>601701134</v>
      </c>
      <c r="D1811" s="79">
        <v>0</v>
      </c>
      <c r="E1811" s="79" t="s">
        <v>1124</v>
      </c>
      <c r="F1811" s="79" t="s">
        <v>2537</v>
      </c>
      <c r="G1811" s="79" t="s">
        <v>1131</v>
      </c>
      <c r="H1811" s="79" t="s">
        <v>1132</v>
      </c>
      <c r="I1811" s="79"/>
    </row>
    <row r="1812" spans="1:9" ht="14.25">
      <c r="A1812" s="79" t="s">
        <v>3668</v>
      </c>
      <c r="B1812" s="79" t="s">
        <v>3669</v>
      </c>
      <c r="C1812" s="79">
        <v>601701134</v>
      </c>
      <c r="D1812" s="79">
        <v>0</v>
      </c>
      <c r="E1812" s="79" t="s">
        <v>1124</v>
      </c>
      <c r="F1812" s="79" t="s">
        <v>2537</v>
      </c>
      <c r="G1812" s="79" t="s">
        <v>2576</v>
      </c>
      <c r="H1812" s="79"/>
      <c r="I1812" s="79"/>
    </row>
    <row r="1813" spans="1:9" ht="14.25">
      <c r="A1813" s="79" t="s">
        <v>3670</v>
      </c>
      <c r="B1813" s="79" t="s">
        <v>3671</v>
      </c>
      <c r="C1813" s="79">
        <v>601701734</v>
      </c>
      <c r="D1813" s="79">
        <v>0</v>
      </c>
      <c r="E1813" s="79" t="s">
        <v>1124</v>
      </c>
      <c r="F1813" s="79" t="s">
        <v>2537</v>
      </c>
      <c r="G1813" s="79" t="s">
        <v>2544</v>
      </c>
      <c r="H1813" s="79" t="s">
        <v>2545</v>
      </c>
      <c r="I1813" s="79"/>
    </row>
    <row r="1814" spans="1:9" ht="14.25">
      <c r="A1814" s="79" t="s">
        <v>3670</v>
      </c>
      <c r="B1814" s="79" t="s">
        <v>3671</v>
      </c>
      <c r="C1814" s="79">
        <v>601701734</v>
      </c>
      <c r="D1814" s="79">
        <v>0</v>
      </c>
      <c r="E1814" s="79" t="s">
        <v>1124</v>
      </c>
      <c r="F1814" s="79" t="s">
        <v>2537</v>
      </c>
      <c r="G1814" s="79" t="s">
        <v>2579</v>
      </c>
      <c r="H1814" s="79"/>
      <c r="I1814" s="79"/>
    </row>
    <row r="1815" spans="1:9" ht="14.25">
      <c r="A1815" s="79" t="s">
        <v>3672</v>
      </c>
      <c r="B1815" s="79" t="s">
        <v>3673</v>
      </c>
      <c r="C1815" s="79">
        <v>601744334</v>
      </c>
      <c r="D1815" s="79">
        <v>0</v>
      </c>
      <c r="E1815" s="79" t="s">
        <v>1124</v>
      </c>
      <c r="F1815" s="79" t="s">
        <v>2537</v>
      </c>
      <c r="G1815" s="79" t="s">
        <v>1130</v>
      </c>
      <c r="H1815" s="79"/>
      <c r="I1815" s="79"/>
    </row>
    <row r="1816" spans="1:9" ht="14.25">
      <c r="A1816" s="79" t="s">
        <v>3672</v>
      </c>
      <c r="B1816" s="79" t="s">
        <v>3673</v>
      </c>
      <c r="C1816" s="79">
        <v>601744334</v>
      </c>
      <c r="D1816" s="79">
        <v>0</v>
      </c>
      <c r="E1816" s="79" t="s">
        <v>1124</v>
      </c>
      <c r="F1816" s="79" t="s">
        <v>2537</v>
      </c>
      <c r="G1816" s="79" t="s">
        <v>1131</v>
      </c>
      <c r="H1816" s="79" t="s">
        <v>1132</v>
      </c>
      <c r="I1816" s="79"/>
    </row>
    <row r="1817" spans="1:9" ht="14.25">
      <c r="A1817" s="79" t="s">
        <v>3672</v>
      </c>
      <c r="B1817" s="79" t="s">
        <v>3673</v>
      </c>
      <c r="C1817" s="79">
        <v>601744334</v>
      </c>
      <c r="D1817" s="79">
        <v>0</v>
      </c>
      <c r="E1817" s="79" t="s">
        <v>1124</v>
      </c>
      <c r="F1817" s="79" t="s">
        <v>2537</v>
      </c>
      <c r="G1817" s="79" t="s">
        <v>2576</v>
      </c>
      <c r="H1817" s="79"/>
      <c r="I1817" s="79"/>
    </row>
    <row r="1818" spans="1:9" ht="14.25">
      <c r="A1818" s="79" t="s">
        <v>3674</v>
      </c>
      <c r="B1818" s="79" t="s">
        <v>3675</v>
      </c>
      <c r="C1818" s="79">
        <v>601744934</v>
      </c>
      <c r="D1818" s="79">
        <v>0</v>
      </c>
      <c r="E1818" s="79" t="s">
        <v>1124</v>
      </c>
      <c r="F1818" s="79" t="s">
        <v>2537</v>
      </c>
      <c r="G1818" s="79" t="s">
        <v>2544</v>
      </c>
      <c r="H1818" s="79" t="s">
        <v>2545</v>
      </c>
      <c r="I1818" s="79"/>
    </row>
    <row r="1819" spans="1:9" ht="14.25">
      <c r="A1819" s="79" t="s">
        <v>3674</v>
      </c>
      <c r="B1819" s="79" t="s">
        <v>3675</v>
      </c>
      <c r="C1819" s="79">
        <v>601744934</v>
      </c>
      <c r="D1819" s="79">
        <v>0</v>
      </c>
      <c r="E1819" s="79" t="s">
        <v>1124</v>
      </c>
      <c r="F1819" s="79" t="s">
        <v>2537</v>
      </c>
      <c r="G1819" s="79" t="s">
        <v>2579</v>
      </c>
      <c r="H1819" s="79"/>
      <c r="I1819" s="79"/>
    </row>
    <row r="1820" spans="1:9" ht="14.25">
      <c r="A1820" s="79" t="s">
        <v>3676</v>
      </c>
      <c r="B1820" s="79" t="s">
        <v>3677</v>
      </c>
      <c r="C1820" s="79">
        <v>601787534</v>
      </c>
      <c r="D1820" s="79">
        <v>0</v>
      </c>
      <c r="E1820" s="79" t="s">
        <v>1124</v>
      </c>
      <c r="F1820" s="79" t="s">
        <v>2537</v>
      </c>
      <c r="G1820" s="79" t="s">
        <v>1130</v>
      </c>
      <c r="H1820" s="79"/>
      <c r="I1820" s="79"/>
    </row>
    <row r="1821" spans="1:9" ht="14.25">
      <c r="A1821" s="79" t="s">
        <v>3676</v>
      </c>
      <c r="B1821" s="79" t="s">
        <v>3677</v>
      </c>
      <c r="C1821" s="79">
        <v>601787534</v>
      </c>
      <c r="D1821" s="79">
        <v>0</v>
      </c>
      <c r="E1821" s="79" t="s">
        <v>1124</v>
      </c>
      <c r="F1821" s="79" t="s">
        <v>2537</v>
      </c>
      <c r="G1821" s="79" t="s">
        <v>1131</v>
      </c>
      <c r="H1821" s="79" t="s">
        <v>1132</v>
      </c>
      <c r="I1821" s="79"/>
    </row>
    <row r="1822" spans="1:9" ht="14.25">
      <c r="A1822" s="79" t="s">
        <v>3676</v>
      </c>
      <c r="B1822" s="79" t="s">
        <v>3677</v>
      </c>
      <c r="C1822" s="79">
        <v>601787534</v>
      </c>
      <c r="D1822" s="79">
        <v>0</v>
      </c>
      <c r="E1822" s="79" t="s">
        <v>1124</v>
      </c>
      <c r="F1822" s="79" t="s">
        <v>2537</v>
      </c>
      <c r="G1822" s="79" t="s">
        <v>2576</v>
      </c>
      <c r="H1822" s="79"/>
      <c r="I1822" s="79"/>
    </row>
    <row r="1823" spans="1:9" ht="14.25">
      <c r="A1823" s="79" t="s">
        <v>3678</v>
      </c>
      <c r="B1823" s="79" t="s">
        <v>3679</v>
      </c>
      <c r="C1823" s="79">
        <v>601788134</v>
      </c>
      <c r="D1823" s="79">
        <v>0</v>
      </c>
      <c r="E1823" s="79" t="s">
        <v>1124</v>
      </c>
      <c r="F1823" s="79" t="s">
        <v>2537</v>
      </c>
      <c r="G1823" s="79" t="s">
        <v>2544</v>
      </c>
      <c r="H1823" s="79" t="s">
        <v>2545</v>
      </c>
      <c r="I1823" s="79"/>
    </row>
    <row r="1824" spans="1:9" ht="14.25">
      <c r="A1824" s="79" t="s">
        <v>3678</v>
      </c>
      <c r="B1824" s="79" t="s">
        <v>3679</v>
      </c>
      <c r="C1824" s="79">
        <v>601788134</v>
      </c>
      <c r="D1824" s="79">
        <v>0</v>
      </c>
      <c r="E1824" s="79" t="s">
        <v>1124</v>
      </c>
      <c r="F1824" s="79" t="s">
        <v>2537</v>
      </c>
      <c r="G1824" s="79" t="s">
        <v>2579</v>
      </c>
      <c r="H1824" s="79"/>
      <c r="I1824" s="79"/>
    </row>
    <row r="1825" spans="1:9" ht="14.25">
      <c r="A1825" s="79" t="s">
        <v>3680</v>
      </c>
      <c r="B1825" s="79" t="s">
        <v>3681</v>
      </c>
      <c r="C1825" s="79">
        <v>601830734</v>
      </c>
      <c r="D1825" s="79">
        <v>0</v>
      </c>
      <c r="E1825" s="79" t="s">
        <v>1124</v>
      </c>
      <c r="F1825" s="79" t="s">
        <v>2537</v>
      </c>
      <c r="G1825" s="79" t="s">
        <v>1130</v>
      </c>
      <c r="H1825" s="79"/>
      <c r="I1825" s="79"/>
    </row>
    <row r="1826" spans="1:9" ht="14.25">
      <c r="A1826" s="79" t="s">
        <v>3680</v>
      </c>
      <c r="B1826" s="79" t="s">
        <v>3681</v>
      </c>
      <c r="C1826" s="79">
        <v>601830734</v>
      </c>
      <c r="D1826" s="79">
        <v>0</v>
      </c>
      <c r="E1826" s="79" t="s">
        <v>1124</v>
      </c>
      <c r="F1826" s="79" t="s">
        <v>2537</v>
      </c>
      <c r="G1826" s="79" t="s">
        <v>1131</v>
      </c>
      <c r="H1826" s="79" t="s">
        <v>1132</v>
      </c>
      <c r="I1826" s="79"/>
    </row>
    <row r="1827" spans="1:9" ht="14.25">
      <c r="A1827" s="79" t="s">
        <v>3680</v>
      </c>
      <c r="B1827" s="79" t="s">
        <v>3681</v>
      </c>
      <c r="C1827" s="79">
        <v>601830734</v>
      </c>
      <c r="D1827" s="79">
        <v>0</v>
      </c>
      <c r="E1827" s="79" t="s">
        <v>1124</v>
      </c>
      <c r="F1827" s="79" t="s">
        <v>2537</v>
      </c>
      <c r="G1827" s="79" t="s">
        <v>2576</v>
      </c>
      <c r="H1827" s="79"/>
      <c r="I1827" s="79"/>
    </row>
    <row r="1828" spans="1:9" ht="14.25">
      <c r="A1828" s="79" t="s">
        <v>3682</v>
      </c>
      <c r="B1828" s="79" t="s">
        <v>3683</v>
      </c>
      <c r="C1828" s="79">
        <v>601831334</v>
      </c>
      <c r="D1828" s="79">
        <v>0</v>
      </c>
      <c r="E1828" s="79" t="s">
        <v>1124</v>
      </c>
      <c r="F1828" s="79" t="s">
        <v>2537</v>
      </c>
      <c r="G1828" s="79" t="s">
        <v>2544</v>
      </c>
      <c r="H1828" s="79" t="s">
        <v>2545</v>
      </c>
      <c r="I1828" s="79"/>
    </row>
    <row r="1829" spans="1:9" ht="14.25">
      <c r="A1829" s="79" t="s">
        <v>3682</v>
      </c>
      <c r="B1829" s="79" t="s">
        <v>3683</v>
      </c>
      <c r="C1829" s="79">
        <v>601831334</v>
      </c>
      <c r="D1829" s="79">
        <v>0</v>
      </c>
      <c r="E1829" s="79" t="s">
        <v>1124</v>
      </c>
      <c r="F1829" s="79" t="s">
        <v>2537</v>
      </c>
      <c r="G1829" s="79" t="s">
        <v>2579</v>
      </c>
      <c r="H1829" s="79"/>
      <c r="I1829" s="79"/>
    </row>
    <row r="1830" spans="1:9" ht="14.25">
      <c r="A1830" s="79" t="s">
        <v>3684</v>
      </c>
      <c r="B1830" s="79" t="s">
        <v>3685</v>
      </c>
      <c r="C1830" s="79">
        <v>601873934</v>
      </c>
      <c r="D1830" s="79">
        <v>0</v>
      </c>
      <c r="E1830" s="79" t="s">
        <v>1124</v>
      </c>
      <c r="F1830" s="79" t="s">
        <v>2537</v>
      </c>
      <c r="G1830" s="79" t="s">
        <v>1130</v>
      </c>
      <c r="H1830" s="79"/>
      <c r="I1830" s="79"/>
    </row>
    <row r="1831" spans="1:9" ht="14.25">
      <c r="A1831" s="79" t="s">
        <v>3684</v>
      </c>
      <c r="B1831" s="79" t="s">
        <v>3685</v>
      </c>
      <c r="C1831" s="79">
        <v>601873934</v>
      </c>
      <c r="D1831" s="79">
        <v>0</v>
      </c>
      <c r="E1831" s="79" t="s">
        <v>1124</v>
      </c>
      <c r="F1831" s="79" t="s">
        <v>2537</v>
      </c>
      <c r="G1831" s="79" t="s">
        <v>1131</v>
      </c>
      <c r="H1831" s="79" t="s">
        <v>1132</v>
      </c>
      <c r="I1831" s="79"/>
    </row>
    <row r="1832" spans="1:9" ht="14.25">
      <c r="A1832" s="79" t="s">
        <v>3684</v>
      </c>
      <c r="B1832" s="79" t="s">
        <v>3685</v>
      </c>
      <c r="C1832" s="79">
        <v>601873934</v>
      </c>
      <c r="D1832" s="79">
        <v>0</v>
      </c>
      <c r="E1832" s="79" t="s">
        <v>1124</v>
      </c>
      <c r="F1832" s="79" t="s">
        <v>2537</v>
      </c>
      <c r="G1832" s="79" t="s">
        <v>2576</v>
      </c>
      <c r="H1832" s="79"/>
      <c r="I1832" s="79"/>
    </row>
    <row r="1833" spans="1:9" ht="14.25">
      <c r="A1833" s="79" t="s">
        <v>3686</v>
      </c>
      <c r="B1833" s="79" t="s">
        <v>3687</v>
      </c>
      <c r="C1833" s="79">
        <v>601874534</v>
      </c>
      <c r="D1833" s="79">
        <v>0</v>
      </c>
      <c r="E1833" s="79" t="s">
        <v>1124</v>
      </c>
      <c r="F1833" s="79" t="s">
        <v>2537</v>
      </c>
      <c r="G1833" s="79" t="s">
        <v>2544</v>
      </c>
      <c r="H1833" s="79" t="s">
        <v>2545</v>
      </c>
      <c r="I1833" s="79"/>
    </row>
    <row r="1834" spans="1:9" ht="14.25">
      <c r="A1834" s="79" t="s">
        <v>3686</v>
      </c>
      <c r="B1834" s="79" t="s">
        <v>3687</v>
      </c>
      <c r="C1834" s="79">
        <v>601874534</v>
      </c>
      <c r="D1834" s="79">
        <v>0</v>
      </c>
      <c r="E1834" s="79" t="s">
        <v>1124</v>
      </c>
      <c r="F1834" s="79" t="s">
        <v>2537</v>
      </c>
      <c r="G1834" s="79" t="s">
        <v>2579</v>
      </c>
      <c r="H1834" s="79"/>
      <c r="I1834" s="79"/>
    </row>
    <row r="1835" spans="1:9" ht="14.25">
      <c r="A1835" s="79" t="s">
        <v>3688</v>
      </c>
      <c r="B1835" s="79" t="s">
        <v>3689</v>
      </c>
      <c r="C1835" s="79">
        <v>601917134</v>
      </c>
      <c r="D1835" s="79">
        <v>0</v>
      </c>
      <c r="E1835" s="79" t="s">
        <v>1124</v>
      </c>
      <c r="F1835" s="79" t="s">
        <v>2537</v>
      </c>
      <c r="G1835" s="79" t="s">
        <v>1130</v>
      </c>
      <c r="H1835" s="79"/>
      <c r="I1835" s="79"/>
    </row>
    <row r="1836" spans="1:9" ht="14.25">
      <c r="A1836" s="79" t="s">
        <v>3688</v>
      </c>
      <c r="B1836" s="79" t="s">
        <v>3689</v>
      </c>
      <c r="C1836" s="79">
        <v>601917134</v>
      </c>
      <c r="D1836" s="79">
        <v>0</v>
      </c>
      <c r="E1836" s="79" t="s">
        <v>1124</v>
      </c>
      <c r="F1836" s="79" t="s">
        <v>2537</v>
      </c>
      <c r="G1836" s="79" t="s">
        <v>1131</v>
      </c>
      <c r="H1836" s="79" t="s">
        <v>1132</v>
      </c>
      <c r="I1836" s="79"/>
    </row>
    <row r="1837" spans="1:9" ht="14.25">
      <c r="A1837" s="79" t="s">
        <v>3688</v>
      </c>
      <c r="B1837" s="79" t="s">
        <v>3689</v>
      </c>
      <c r="C1837" s="79">
        <v>601917134</v>
      </c>
      <c r="D1837" s="79">
        <v>0</v>
      </c>
      <c r="E1837" s="79" t="s">
        <v>1124</v>
      </c>
      <c r="F1837" s="79" t="s">
        <v>2537</v>
      </c>
      <c r="G1837" s="79" t="s">
        <v>2576</v>
      </c>
      <c r="H1837" s="79"/>
      <c r="I1837" s="79"/>
    </row>
    <row r="1838" spans="1:9" ht="14.25">
      <c r="A1838" s="79" t="s">
        <v>3690</v>
      </c>
      <c r="B1838" s="79" t="s">
        <v>3691</v>
      </c>
      <c r="C1838" s="79">
        <v>601917734</v>
      </c>
      <c r="D1838" s="79">
        <v>0</v>
      </c>
      <c r="E1838" s="79" t="s">
        <v>1124</v>
      </c>
      <c r="F1838" s="79" t="s">
        <v>2537</v>
      </c>
      <c r="G1838" s="79" t="s">
        <v>2544</v>
      </c>
      <c r="H1838" s="79" t="s">
        <v>2545</v>
      </c>
      <c r="I1838" s="79"/>
    </row>
    <row r="1839" spans="1:9" ht="14.25">
      <c r="A1839" s="79" t="s">
        <v>3690</v>
      </c>
      <c r="B1839" s="79" t="s">
        <v>3691</v>
      </c>
      <c r="C1839" s="79">
        <v>601917734</v>
      </c>
      <c r="D1839" s="79">
        <v>0</v>
      </c>
      <c r="E1839" s="79" t="s">
        <v>1124</v>
      </c>
      <c r="F1839" s="79" t="s">
        <v>2537</v>
      </c>
      <c r="G1839" s="79" t="s">
        <v>2579</v>
      </c>
      <c r="H1839" s="79"/>
      <c r="I1839" s="79"/>
    </row>
    <row r="1840" spans="1:9" ht="14.25">
      <c r="A1840" s="79" t="s">
        <v>3692</v>
      </c>
      <c r="B1840" s="79" t="s">
        <v>3693</v>
      </c>
      <c r="C1840" s="79">
        <v>601960334</v>
      </c>
      <c r="D1840" s="79">
        <v>0</v>
      </c>
      <c r="E1840" s="79" t="s">
        <v>1124</v>
      </c>
      <c r="F1840" s="79" t="s">
        <v>2537</v>
      </c>
      <c r="G1840" s="79" t="s">
        <v>1130</v>
      </c>
      <c r="H1840" s="79"/>
      <c r="I1840" s="79"/>
    </row>
    <row r="1841" spans="1:9" ht="14.25">
      <c r="A1841" s="79" t="s">
        <v>3692</v>
      </c>
      <c r="B1841" s="79" t="s">
        <v>3693</v>
      </c>
      <c r="C1841" s="79">
        <v>601960334</v>
      </c>
      <c r="D1841" s="79">
        <v>0</v>
      </c>
      <c r="E1841" s="79" t="s">
        <v>1124</v>
      </c>
      <c r="F1841" s="79" t="s">
        <v>2537</v>
      </c>
      <c r="G1841" s="79" t="s">
        <v>1131</v>
      </c>
      <c r="H1841" s="79" t="s">
        <v>1132</v>
      </c>
      <c r="I1841" s="79"/>
    </row>
    <row r="1842" spans="1:9" ht="14.25">
      <c r="A1842" s="79" t="s">
        <v>3692</v>
      </c>
      <c r="B1842" s="79" t="s">
        <v>3693</v>
      </c>
      <c r="C1842" s="79">
        <v>601960334</v>
      </c>
      <c r="D1842" s="79">
        <v>0</v>
      </c>
      <c r="E1842" s="79" t="s">
        <v>1124</v>
      </c>
      <c r="F1842" s="79" t="s">
        <v>2537</v>
      </c>
      <c r="G1842" s="79" t="s">
        <v>2576</v>
      </c>
      <c r="H1842" s="79"/>
      <c r="I1842" s="79"/>
    </row>
    <row r="1843" spans="1:9" ht="14.25">
      <c r="A1843" s="79" t="s">
        <v>3694</v>
      </c>
      <c r="B1843" s="79" t="s">
        <v>3695</v>
      </c>
      <c r="C1843" s="79">
        <v>601960934</v>
      </c>
      <c r="D1843" s="79">
        <v>0</v>
      </c>
      <c r="E1843" s="79" t="s">
        <v>1124</v>
      </c>
      <c r="F1843" s="79" t="s">
        <v>2537</v>
      </c>
      <c r="G1843" s="79" t="s">
        <v>2544</v>
      </c>
      <c r="H1843" s="79" t="s">
        <v>2545</v>
      </c>
      <c r="I1843" s="79"/>
    </row>
    <row r="1844" spans="1:9" ht="14.25">
      <c r="A1844" s="79" t="s">
        <v>3694</v>
      </c>
      <c r="B1844" s="79" t="s">
        <v>3695</v>
      </c>
      <c r="C1844" s="79">
        <v>601960934</v>
      </c>
      <c r="D1844" s="79">
        <v>0</v>
      </c>
      <c r="E1844" s="79" t="s">
        <v>1124</v>
      </c>
      <c r="F1844" s="79" t="s">
        <v>2537</v>
      </c>
      <c r="G1844" s="79" t="s">
        <v>2579</v>
      </c>
      <c r="H1844" s="79"/>
      <c r="I1844" s="79"/>
    </row>
    <row r="1845" spans="1:9" ht="14.25">
      <c r="A1845" s="79" t="s">
        <v>3696</v>
      </c>
      <c r="B1845" s="79" t="s">
        <v>3697</v>
      </c>
      <c r="C1845" s="79">
        <v>602003534</v>
      </c>
      <c r="D1845" s="79">
        <v>0</v>
      </c>
      <c r="E1845" s="79" t="s">
        <v>1124</v>
      </c>
      <c r="F1845" s="79" t="s">
        <v>2537</v>
      </c>
      <c r="G1845" s="79" t="s">
        <v>1130</v>
      </c>
      <c r="H1845" s="79"/>
      <c r="I1845" s="79"/>
    </row>
    <row r="1846" spans="1:9" ht="14.25">
      <c r="A1846" s="79" t="s">
        <v>3696</v>
      </c>
      <c r="B1846" s="79" t="s">
        <v>3697</v>
      </c>
      <c r="C1846" s="79">
        <v>602003534</v>
      </c>
      <c r="D1846" s="79">
        <v>0</v>
      </c>
      <c r="E1846" s="79" t="s">
        <v>1124</v>
      </c>
      <c r="F1846" s="79" t="s">
        <v>2537</v>
      </c>
      <c r="G1846" s="79" t="s">
        <v>1131</v>
      </c>
      <c r="H1846" s="79" t="s">
        <v>1132</v>
      </c>
      <c r="I1846" s="79"/>
    </row>
    <row r="1847" spans="1:9" ht="14.25">
      <c r="A1847" s="79" t="s">
        <v>3696</v>
      </c>
      <c r="B1847" s="79" t="s">
        <v>3697</v>
      </c>
      <c r="C1847" s="79">
        <v>602003534</v>
      </c>
      <c r="D1847" s="79">
        <v>0</v>
      </c>
      <c r="E1847" s="79" t="s">
        <v>1124</v>
      </c>
      <c r="F1847" s="79" t="s">
        <v>2537</v>
      </c>
      <c r="G1847" s="79" t="s">
        <v>2576</v>
      </c>
      <c r="H1847" s="79"/>
      <c r="I1847" s="79"/>
    </row>
    <row r="1848" spans="1:9" ht="14.25">
      <c r="A1848" s="79" t="s">
        <v>3698</v>
      </c>
      <c r="B1848" s="79" t="s">
        <v>3699</v>
      </c>
      <c r="C1848" s="79">
        <v>602004134</v>
      </c>
      <c r="D1848" s="79">
        <v>0</v>
      </c>
      <c r="E1848" s="79" t="s">
        <v>1124</v>
      </c>
      <c r="F1848" s="79" t="s">
        <v>2537</v>
      </c>
      <c r="G1848" s="79" t="s">
        <v>2544</v>
      </c>
      <c r="H1848" s="79" t="s">
        <v>2545</v>
      </c>
      <c r="I1848" s="79"/>
    </row>
    <row r="1849" spans="1:9" ht="14.25">
      <c r="A1849" s="79" t="s">
        <v>3698</v>
      </c>
      <c r="B1849" s="79" t="s">
        <v>3699</v>
      </c>
      <c r="C1849" s="79">
        <v>602004134</v>
      </c>
      <c r="D1849" s="79">
        <v>0</v>
      </c>
      <c r="E1849" s="79" t="s">
        <v>1124</v>
      </c>
      <c r="F1849" s="79" t="s">
        <v>2537</v>
      </c>
      <c r="G1849" s="79" t="s">
        <v>2579</v>
      </c>
      <c r="H1849" s="79"/>
      <c r="I1849" s="79"/>
    </row>
    <row r="1850" spans="1:9" ht="14.25">
      <c r="A1850" s="79" t="s">
        <v>3700</v>
      </c>
      <c r="B1850" s="79" t="s">
        <v>3701</v>
      </c>
      <c r="C1850" s="79">
        <v>602046734</v>
      </c>
      <c r="D1850" s="79">
        <v>0</v>
      </c>
      <c r="E1850" s="79" t="s">
        <v>1124</v>
      </c>
      <c r="F1850" s="79" t="s">
        <v>2537</v>
      </c>
      <c r="G1850" s="79" t="s">
        <v>1130</v>
      </c>
      <c r="H1850" s="79"/>
      <c r="I1850" s="79"/>
    </row>
    <row r="1851" spans="1:9" ht="14.25">
      <c r="A1851" s="79" t="s">
        <v>3700</v>
      </c>
      <c r="B1851" s="79" t="s">
        <v>3701</v>
      </c>
      <c r="C1851" s="79">
        <v>602046734</v>
      </c>
      <c r="D1851" s="79">
        <v>0</v>
      </c>
      <c r="E1851" s="79" t="s">
        <v>1124</v>
      </c>
      <c r="F1851" s="79" t="s">
        <v>2537</v>
      </c>
      <c r="G1851" s="79" t="s">
        <v>1131</v>
      </c>
      <c r="H1851" s="79" t="s">
        <v>1132</v>
      </c>
      <c r="I1851" s="79"/>
    </row>
    <row r="1852" spans="1:9" ht="14.25">
      <c r="A1852" s="79" t="s">
        <v>3700</v>
      </c>
      <c r="B1852" s="79" t="s">
        <v>3701</v>
      </c>
      <c r="C1852" s="79">
        <v>602046734</v>
      </c>
      <c r="D1852" s="79">
        <v>0</v>
      </c>
      <c r="E1852" s="79" t="s">
        <v>1124</v>
      </c>
      <c r="F1852" s="79" t="s">
        <v>2537</v>
      </c>
      <c r="G1852" s="79" t="s">
        <v>2576</v>
      </c>
      <c r="H1852" s="79"/>
      <c r="I1852" s="79"/>
    </row>
    <row r="1853" spans="1:9" ht="14.25">
      <c r="A1853" s="79" t="s">
        <v>3702</v>
      </c>
      <c r="B1853" s="79" t="s">
        <v>3703</v>
      </c>
      <c r="C1853" s="79">
        <v>602047334</v>
      </c>
      <c r="D1853" s="79">
        <v>0</v>
      </c>
      <c r="E1853" s="79" t="s">
        <v>1124</v>
      </c>
      <c r="F1853" s="79" t="s">
        <v>2537</v>
      </c>
      <c r="G1853" s="79" t="s">
        <v>2544</v>
      </c>
      <c r="H1853" s="79" t="s">
        <v>2545</v>
      </c>
      <c r="I1853" s="79"/>
    </row>
    <row r="1854" spans="1:9" ht="14.25">
      <c r="A1854" s="79" t="s">
        <v>3702</v>
      </c>
      <c r="B1854" s="79" t="s">
        <v>3703</v>
      </c>
      <c r="C1854" s="79">
        <v>602047334</v>
      </c>
      <c r="D1854" s="79">
        <v>0</v>
      </c>
      <c r="E1854" s="79" t="s">
        <v>1124</v>
      </c>
      <c r="F1854" s="79" t="s">
        <v>2537</v>
      </c>
      <c r="G1854" s="79" t="s">
        <v>2579</v>
      </c>
      <c r="H1854" s="79"/>
      <c r="I1854" s="79"/>
    </row>
    <row r="1855" spans="1:9" ht="14.25">
      <c r="A1855" s="79" t="s">
        <v>3704</v>
      </c>
      <c r="B1855" s="79" t="s">
        <v>3705</v>
      </c>
      <c r="C1855" s="79">
        <v>602089934</v>
      </c>
      <c r="D1855" s="79">
        <v>0</v>
      </c>
      <c r="E1855" s="79" t="s">
        <v>1124</v>
      </c>
      <c r="F1855" s="79" t="s">
        <v>2537</v>
      </c>
      <c r="G1855" s="79" t="s">
        <v>1130</v>
      </c>
      <c r="H1855" s="79"/>
      <c r="I1855" s="79"/>
    </row>
    <row r="1856" spans="1:9" ht="14.25">
      <c r="A1856" s="79" t="s">
        <v>3704</v>
      </c>
      <c r="B1856" s="79" t="s">
        <v>3705</v>
      </c>
      <c r="C1856" s="79">
        <v>602089934</v>
      </c>
      <c r="D1856" s="79">
        <v>0</v>
      </c>
      <c r="E1856" s="79" t="s">
        <v>1124</v>
      </c>
      <c r="F1856" s="79" t="s">
        <v>2537</v>
      </c>
      <c r="G1856" s="79" t="s">
        <v>1131</v>
      </c>
      <c r="H1856" s="79" t="s">
        <v>1132</v>
      </c>
      <c r="I1856" s="79"/>
    </row>
    <row r="1857" spans="1:9" ht="14.25">
      <c r="A1857" s="79" t="s">
        <v>3704</v>
      </c>
      <c r="B1857" s="79" t="s">
        <v>3705</v>
      </c>
      <c r="C1857" s="79">
        <v>602089934</v>
      </c>
      <c r="D1857" s="79">
        <v>0</v>
      </c>
      <c r="E1857" s="79" t="s">
        <v>1124</v>
      </c>
      <c r="F1857" s="79" t="s">
        <v>2537</v>
      </c>
      <c r="G1857" s="79" t="s">
        <v>2576</v>
      </c>
      <c r="H1857" s="79"/>
      <c r="I1857" s="79"/>
    </row>
    <row r="1858" spans="1:9" ht="14.25">
      <c r="A1858" s="79" t="s">
        <v>3706</v>
      </c>
      <c r="B1858" s="79" t="s">
        <v>3707</v>
      </c>
      <c r="C1858" s="79">
        <v>602090534</v>
      </c>
      <c r="D1858" s="79">
        <v>0</v>
      </c>
      <c r="E1858" s="79" t="s">
        <v>1124</v>
      </c>
      <c r="F1858" s="79" t="s">
        <v>2537</v>
      </c>
      <c r="G1858" s="79" t="s">
        <v>2544</v>
      </c>
      <c r="H1858" s="79" t="s">
        <v>2545</v>
      </c>
      <c r="I1858" s="79"/>
    </row>
    <row r="1859" spans="1:9" ht="14.25">
      <c r="A1859" s="79" t="s">
        <v>3706</v>
      </c>
      <c r="B1859" s="79" t="s">
        <v>3707</v>
      </c>
      <c r="C1859" s="79">
        <v>602090534</v>
      </c>
      <c r="D1859" s="79">
        <v>0</v>
      </c>
      <c r="E1859" s="79" t="s">
        <v>1124</v>
      </c>
      <c r="F1859" s="79" t="s">
        <v>2537</v>
      </c>
      <c r="G1859" s="79" t="s">
        <v>2579</v>
      </c>
      <c r="H1859" s="79"/>
      <c r="I1859" s="79"/>
    </row>
    <row r="1860" spans="1:9" ht="14.25">
      <c r="A1860" s="79" t="s">
        <v>3708</v>
      </c>
      <c r="B1860" s="79" t="s">
        <v>3709</v>
      </c>
      <c r="C1860" s="79">
        <v>602133134</v>
      </c>
      <c r="D1860" s="79">
        <v>0</v>
      </c>
      <c r="E1860" s="79" t="s">
        <v>1124</v>
      </c>
      <c r="F1860" s="79" t="s">
        <v>2537</v>
      </c>
      <c r="G1860" s="79" t="s">
        <v>1130</v>
      </c>
      <c r="H1860" s="79"/>
      <c r="I1860" s="79"/>
    </row>
    <row r="1861" spans="1:9" ht="14.25">
      <c r="A1861" s="79" t="s">
        <v>3708</v>
      </c>
      <c r="B1861" s="79" t="s">
        <v>3709</v>
      </c>
      <c r="C1861" s="79">
        <v>602133134</v>
      </c>
      <c r="D1861" s="79">
        <v>0</v>
      </c>
      <c r="E1861" s="79" t="s">
        <v>1124</v>
      </c>
      <c r="F1861" s="79" t="s">
        <v>2537</v>
      </c>
      <c r="G1861" s="79" t="s">
        <v>1131</v>
      </c>
      <c r="H1861" s="79" t="s">
        <v>1132</v>
      </c>
      <c r="I1861" s="79"/>
    </row>
    <row r="1862" spans="1:9" ht="14.25">
      <c r="A1862" s="79" t="s">
        <v>3708</v>
      </c>
      <c r="B1862" s="79" t="s">
        <v>3709</v>
      </c>
      <c r="C1862" s="79">
        <v>602133134</v>
      </c>
      <c r="D1862" s="79">
        <v>0</v>
      </c>
      <c r="E1862" s="79" t="s">
        <v>1124</v>
      </c>
      <c r="F1862" s="79" t="s">
        <v>2537</v>
      </c>
      <c r="G1862" s="79" t="s">
        <v>2576</v>
      </c>
      <c r="H1862" s="79"/>
      <c r="I1862" s="79"/>
    </row>
    <row r="1863" spans="1:9" ht="14.25">
      <c r="A1863" s="79" t="s">
        <v>3710</v>
      </c>
      <c r="B1863" s="79" t="s">
        <v>3711</v>
      </c>
      <c r="C1863" s="79">
        <v>602133734</v>
      </c>
      <c r="D1863" s="79">
        <v>0</v>
      </c>
      <c r="E1863" s="79" t="s">
        <v>1124</v>
      </c>
      <c r="F1863" s="79" t="s">
        <v>2537</v>
      </c>
      <c r="G1863" s="79" t="s">
        <v>2544</v>
      </c>
      <c r="H1863" s="79" t="s">
        <v>2545</v>
      </c>
      <c r="I1863" s="79"/>
    </row>
    <row r="1864" spans="1:9" ht="14.25">
      <c r="A1864" s="79" t="s">
        <v>3710</v>
      </c>
      <c r="B1864" s="79" t="s">
        <v>3711</v>
      </c>
      <c r="C1864" s="79">
        <v>602133734</v>
      </c>
      <c r="D1864" s="79">
        <v>0</v>
      </c>
      <c r="E1864" s="79" t="s">
        <v>1124</v>
      </c>
      <c r="F1864" s="79" t="s">
        <v>2537</v>
      </c>
      <c r="G1864" s="79" t="s">
        <v>2579</v>
      </c>
      <c r="H1864" s="79"/>
      <c r="I1864" s="79"/>
    </row>
    <row r="1865" spans="1:9" ht="14.25">
      <c r="A1865" s="79" t="s">
        <v>3712</v>
      </c>
      <c r="B1865" s="79" t="s">
        <v>3713</v>
      </c>
      <c r="C1865" s="79">
        <v>602176334</v>
      </c>
      <c r="D1865" s="79">
        <v>0</v>
      </c>
      <c r="E1865" s="79" t="s">
        <v>1124</v>
      </c>
      <c r="F1865" s="79" t="s">
        <v>2537</v>
      </c>
      <c r="G1865" s="79" t="s">
        <v>1130</v>
      </c>
      <c r="H1865" s="79"/>
      <c r="I1865" s="79"/>
    </row>
    <row r="1866" spans="1:9" ht="14.25">
      <c r="A1866" s="79" t="s">
        <v>3712</v>
      </c>
      <c r="B1866" s="79" t="s">
        <v>3713</v>
      </c>
      <c r="C1866" s="79">
        <v>602176334</v>
      </c>
      <c r="D1866" s="79">
        <v>0</v>
      </c>
      <c r="E1866" s="79" t="s">
        <v>1124</v>
      </c>
      <c r="F1866" s="79" t="s">
        <v>2537</v>
      </c>
      <c r="G1866" s="79" t="s">
        <v>1131</v>
      </c>
      <c r="H1866" s="79" t="s">
        <v>1132</v>
      </c>
      <c r="I1866" s="79"/>
    </row>
    <row r="1867" spans="1:9" ht="14.25">
      <c r="A1867" s="79" t="s">
        <v>3712</v>
      </c>
      <c r="B1867" s="79" t="s">
        <v>3713</v>
      </c>
      <c r="C1867" s="79">
        <v>602176334</v>
      </c>
      <c r="D1867" s="79">
        <v>0</v>
      </c>
      <c r="E1867" s="79" t="s">
        <v>1124</v>
      </c>
      <c r="F1867" s="79" t="s">
        <v>2537</v>
      </c>
      <c r="G1867" s="79" t="s">
        <v>2576</v>
      </c>
      <c r="H1867" s="79"/>
      <c r="I1867" s="79"/>
    </row>
    <row r="1868" spans="1:9" ht="14.25">
      <c r="A1868" s="79" t="s">
        <v>3714</v>
      </c>
      <c r="B1868" s="79" t="s">
        <v>3715</v>
      </c>
      <c r="C1868" s="79">
        <v>602176934</v>
      </c>
      <c r="D1868" s="79">
        <v>0</v>
      </c>
      <c r="E1868" s="79" t="s">
        <v>1124</v>
      </c>
      <c r="F1868" s="79" t="s">
        <v>2537</v>
      </c>
      <c r="G1868" s="79" t="s">
        <v>2544</v>
      </c>
      <c r="H1868" s="79" t="s">
        <v>2545</v>
      </c>
      <c r="I1868" s="79"/>
    </row>
    <row r="1869" spans="1:9" ht="14.25">
      <c r="A1869" s="79" t="s">
        <v>3714</v>
      </c>
      <c r="B1869" s="79" t="s">
        <v>3715</v>
      </c>
      <c r="C1869" s="79">
        <v>602176934</v>
      </c>
      <c r="D1869" s="79">
        <v>0</v>
      </c>
      <c r="E1869" s="79" t="s">
        <v>1124</v>
      </c>
      <c r="F1869" s="79" t="s">
        <v>2537</v>
      </c>
      <c r="G1869" s="79" t="s">
        <v>2579</v>
      </c>
      <c r="H1869" s="79"/>
      <c r="I1869" s="79"/>
    </row>
    <row r="1870" spans="1:9" ht="14.25">
      <c r="A1870" s="79" t="s">
        <v>3716</v>
      </c>
      <c r="B1870" s="79" t="s">
        <v>3717</v>
      </c>
      <c r="C1870" s="79">
        <v>602219534</v>
      </c>
      <c r="D1870" s="79">
        <v>0</v>
      </c>
      <c r="E1870" s="79" t="s">
        <v>1124</v>
      </c>
      <c r="F1870" s="79" t="s">
        <v>2537</v>
      </c>
      <c r="G1870" s="79" t="s">
        <v>1130</v>
      </c>
      <c r="H1870" s="79"/>
      <c r="I1870" s="79"/>
    </row>
    <row r="1871" spans="1:9" ht="14.25">
      <c r="A1871" s="79" t="s">
        <v>3716</v>
      </c>
      <c r="B1871" s="79" t="s">
        <v>3717</v>
      </c>
      <c r="C1871" s="79">
        <v>602219534</v>
      </c>
      <c r="D1871" s="79">
        <v>0</v>
      </c>
      <c r="E1871" s="79" t="s">
        <v>1124</v>
      </c>
      <c r="F1871" s="79" t="s">
        <v>2537</v>
      </c>
      <c r="G1871" s="79" t="s">
        <v>1131</v>
      </c>
      <c r="H1871" s="79" t="s">
        <v>1132</v>
      </c>
      <c r="I1871" s="79"/>
    </row>
    <row r="1872" spans="1:9" ht="14.25">
      <c r="A1872" s="79" t="s">
        <v>3716</v>
      </c>
      <c r="B1872" s="79" t="s">
        <v>3717</v>
      </c>
      <c r="C1872" s="79">
        <v>602219534</v>
      </c>
      <c r="D1872" s="79">
        <v>0</v>
      </c>
      <c r="E1872" s="79" t="s">
        <v>1124</v>
      </c>
      <c r="F1872" s="79" t="s">
        <v>2537</v>
      </c>
      <c r="G1872" s="79" t="s">
        <v>2576</v>
      </c>
      <c r="H1872" s="79"/>
      <c r="I1872" s="79"/>
    </row>
    <row r="1873" spans="1:9" ht="14.25">
      <c r="A1873" s="79" t="s">
        <v>3718</v>
      </c>
      <c r="B1873" s="79" t="s">
        <v>3719</v>
      </c>
      <c r="C1873" s="79">
        <v>602220134</v>
      </c>
      <c r="D1873" s="79">
        <v>0</v>
      </c>
      <c r="E1873" s="79" t="s">
        <v>1124</v>
      </c>
      <c r="F1873" s="79" t="s">
        <v>2537</v>
      </c>
      <c r="G1873" s="79" t="s">
        <v>2544</v>
      </c>
      <c r="H1873" s="79" t="s">
        <v>2545</v>
      </c>
      <c r="I1873" s="79"/>
    </row>
    <row r="1874" spans="1:9" ht="14.25">
      <c r="A1874" s="79" t="s">
        <v>3718</v>
      </c>
      <c r="B1874" s="79" t="s">
        <v>3719</v>
      </c>
      <c r="C1874" s="79">
        <v>602220134</v>
      </c>
      <c r="D1874" s="79">
        <v>0</v>
      </c>
      <c r="E1874" s="79" t="s">
        <v>1124</v>
      </c>
      <c r="F1874" s="79" t="s">
        <v>2537</v>
      </c>
      <c r="G1874" s="79" t="s">
        <v>2579</v>
      </c>
      <c r="H1874" s="79"/>
      <c r="I1874" s="79"/>
    </row>
    <row r="1875" spans="1:9" ht="14.25">
      <c r="A1875" s="79" t="s">
        <v>3720</v>
      </c>
      <c r="B1875" s="79" t="s">
        <v>3721</v>
      </c>
      <c r="C1875" s="79">
        <v>602262734</v>
      </c>
      <c r="D1875" s="79">
        <v>0</v>
      </c>
      <c r="E1875" s="79" t="s">
        <v>1124</v>
      </c>
      <c r="F1875" s="79" t="s">
        <v>2537</v>
      </c>
      <c r="G1875" s="79" t="s">
        <v>1130</v>
      </c>
      <c r="H1875" s="79"/>
      <c r="I1875" s="79"/>
    </row>
    <row r="1876" spans="1:9" ht="14.25">
      <c r="A1876" s="79" t="s">
        <v>3720</v>
      </c>
      <c r="B1876" s="79" t="s">
        <v>3721</v>
      </c>
      <c r="C1876" s="79">
        <v>602262734</v>
      </c>
      <c r="D1876" s="79">
        <v>0</v>
      </c>
      <c r="E1876" s="79" t="s">
        <v>1124</v>
      </c>
      <c r="F1876" s="79" t="s">
        <v>2537</v>
      </c>
      <c r="G1876" s="79" t="s">
        <v>1131</v>
      </c>
      <c r="H1876" s="79" t="s">
        <v>1132</v>
      </c>
      <c r="I1876" s="79"/>
    </row>
    <row r="1877" spans="1:9" ht="14.25">
      <c r="A1877" s="79" t="s">
        <v>3720</v>
      </c>
      <c r="B1877" s="79" t="s">
        <v>3721</v>
      </c>
      <c r="C1877" s="79">
        <v>602262734</v>
      </c>
      <c r="D1877" s="79">
        <v>0</v>
      </c>
      <c r="E1877" s="79" t="s">
        <v>1124</v>
      </c>
      <c r="F1877" s="79" t="s">
        <v>2537</v>
      </c>
      <c r="G1877" s="79" t="s">
        <v>2576</v>
      </c>
      <c r="H1877" s="79"/>
      <c r="I1877" s="79"/>
    </row>
    <row r="1878" spans="1:9" ht="14.25">
      <c r="A1878" s="79" t="s">
        <v>3722</v>
      </c>
      <c r="B1878" s="79" t="s">
        <v>3723</v>
      </c>
      <c r="C1878" s="79">
        <v>602263334</v>
      </c>
      <c r="D1878" s="79">
        <v>0</v>
      </c>
      <c r="E1878" s="79" t="s">
        <v>1124</v>
      </c>
      <c r="F1878" s="79" t="s">
        <v>2537</v>
      </c>
      <c r="G1878" s="79" t="s">
        <v>2544</v>
      </c>
      <c r="H1878" s="79" t="s">
        <v>2545</v>
      </c>
      <c r="I1878" s="79"/>
    </row>
    <row r="1879" spans="1:9" ht="14.25">
      <c r="A1879" s="79" t="s">
        <v>3722</v>
      </c>
      <c r="B1879" s="79" t="s">
        <v>3723</v>
      </c>
      <c r="C1879" s="79">
        <v>602263334</v>
      </c>
      <c r="D1879" s="79">
        <v>0</v>
      </c>
      <c r="E1879" s="79" t="s">
        <v>1124</v>
      </c>
      <c r="F1879" s="79" t="s">
        <v>2537</v>
      </c>
      <c r="G1879" s="79" t="s">
        <v>2579</v>
      </c>
      <c r="H1879" s="79"/>
      <c r="I1879" s="79"/>
    </row>
    <row r="1880" spans="1:9" ht="14.25">
      <c r="A1880" s="79" t="s">
        <v>3724</v>
      </c>
      <c r="B1880" s="79" t="s">
        <v>3725</v>
      </c>
      <c r="C1880" s="79">
        <v>602305934</v>
      </c>
      <c r="D1880" s="79">
        <v>0</v>
      </c>
      <c r="E1880" s="79" t="s">
        <v>1124</v>
      </c>
      <c r="F1880" s="79" t="s">
        <v>2537</v>
      </c>
      <c r="G1880" s="79" t="s">
        <v>1130</v>
      </c>
      <c r="H1880" s="79"/>
      <c r="I1880" s="79"/>
    </row>
    <row r="1881" spans="1:9" ht="14.25">
      <c r="A1881" s="79" t="s">
        <v>3724</v>
      </c>
      <c r="B1881" s="79" t="s">
        <v>3725</v>
      </c>
      <c r="C1881" s="79">
        <v>602305934</v>
      </c>
      <c r="D1881" s="79">
        <v>0</v>
      </c>
      <c r="E1881" s="79" t="s">
        <v>1124</v>
      </c>
      <c r="F1881" s="79" t="s">
        <v>2537</v>
      </c>
      <c r="G1881" s="79" t="s">
        <v>1131</v>
      </c>
      <c r="H1881" s="79" t="s">
        <v>1132</v>
      </c>
      <c r="I1881" s="79"/>
    </row>
    <row r="1882" spans="1:9" ht="14.25">
      <c r="A1882" s="79" t="s">
        <v>3724</v>
      </c>
      <c r="B1882" s="79" t="s">
        <v>3725</v>
      </c>
      <c r="C1882" s="79">
        <v>602305934</v>
      </c>
      <c r="D1882" s="79">
        <v>0</v>
      </c>
      <c r="E1882" s="79" t="s">
        <v>1124</v>
      </c>
      <c r="F1882" s="79" t="s">
        <v>2537</v>
      </c>
      <c r="G1882" s="79" t="s">
        <v>2576</v>
      </c>
      <c r="H1882" s="79"/>
      <c r="I1882" s="79"/>
    </row>
    <row r="1883" spans="1:9" ht="14.25">
      <c r="A1883" s="79" t="s">
        <v>3726</v>
      </c>
      <c r="B1883" s="79" t="s">
        <v>3727</v>
      </c>
      <c r="C1883" s="79">
        <v>602306534</v>
      </c>
      <c r="D1883" s="79">
        <v>0</v>
      </c>
      <c r="E1883" s="79" t="s">
        <v>1124</v>
      </c>
      <c r="F1883" s="79" t="s">
        <v>2537</v>
      </c>
      <c r="G1883" s="79" t="s">
        <v>2544</v>
      </c>
      <c r="H1883" s="79" t="s">
        <v>2545</v>
      </c>
      <c r="I1883" s="79"/>
    </row>
    <row r="1884" spans="1:9" ht="14.25">
      <c r="A1884" s="79" t="s">
        <v>3726</v>
      </c>
      <c r="B1884" s="79" t="s">
        <v>3727</v>
      </c>
      <c r="C1884" s="79">
        <v>602306534</v>
      </c>
      <c r="D1884" s="79">
        <v>0</v>
      </c>
      <c r="E1884" s="79" t="s">
        <v>1124</v>
      </c>
      <c r="F1884" s="79" t="s">
        <v>2537</v>
      </c>
      <c r="G1884" s="79" t="s">
        <v>2579</v>
      </c>
      <c r="H1884" s="79"/>
      <c r="I1884" s="79"/>
    </row>
    <row r="1885" spans="1:9" ht="14.25">
      <c r="A1885" s="79" t="s">
        <v>3728</v>
      </c>
      <c r="B1885" s="79" t="s">
        <v>3729</v>
      </c>
      <c r="C1885" s="79">
        <v>602349134</v>
      </c>
      <c r="D1885" s="79">
        <v>0</v>
      </c>
      <c r="E1885" s="79" t="s">
        <v>1124</v>
      </c>
      <c r="F1885" s="79" t="s">
        <v>2537</v>
      </c>
      <c r="G1885" s="79" t="s">
        <v>1130</v>
      </c>
      <c r="H1885" s="79"/>
      <c r="I1885" s="79"/>
    </row>
    <row r="1886" spans="1:9" ht="14.25">
      <c r="A1886" s="79" t="s">
        <v>3728</v>
      </c>
      <c r="B1886" s="79" t="s">
        <v>3729</v>
      </c>
      <c r="C1886" s="79">
        <v>602349134</v>
      </c>
      <c r="D1886" s="79">
        <v>0</v>
      </c>
      <c r="E1886" s="79" t="s">
        <v>1124</v>
      </c>
      <c r="F1886" s="79" t="s">
        <v>2537</v>
      </c>
      <c r="G1886" s="79" t="s">
        <v>2107</v>
      </c>
      <c r="H1886" s="79"/>
      <c r="I1886" s="79"/>
    </row>
    <row r="1887" spans="1:9" ht="14.25">
      <c r="A1887" s="79" t="s">
        <v>3730</v>
      </c>
      <c r="B1887" s="79" t="s">
        <v>3731</v>
      </c>
      <c r="C1887" s="79">
        <v>602349137</v>
      </c>
      <c r="D1887" s="79">
        <v>0</v>
      </c>
      <c r="E1887" s="79" t="s">
        <v>1124</v>
      </c>
      <c r="F1887" s="79" t="s">
        <v>2537</v>
      </c>
      <c r="G1887" s="79" t="s">
        <v>1130</v>
      </c>
      <c r="H1887" s="79"/>
      <c r="I1887" s="79"/>
    </row>
    <row r="1888" spans="1:9" ht="14.25">
      <c r="A1888" s="79" t="s">
        <v>3730</v>
      </c>
      <c r="B1888" s="79" t="s">
        <v>3731</v>
      </c>
      <c r="C1888" s="79">
        <v>602349137</v>
      </c>
      <c r="D1888" s="79">
        <v>0</v>
      </c>
      <c r="E1888" s="79" t="s">
        <v>1124</v>
      </c>
      <c r="F1888" s="79" t="s">
        <v>2537</v>
      </c>
      <c r="G1888" s="79" t="s">
        <v>2570</v>
      </c>
      <c r="H1888" s="79" t="s">
        <v>2571</v>
      </c>
      <c r="I1888" s="79"/>
    </row>
    <row r="1889" spans="1:9" ht="14.25">
      <c r="A1889" s="79" t="s">
        <v>3730</v>
      </c>
      <c r="B1889" s="79" t="s">
        <v>3731</v>
      </c>
      <c r="C1889" s="79">
        <v>602349137</v>
      </c>
      <c r="D1889" s="79">
        <v>0</v>
      </c>
      <c r="E1889" s="79" t="s">
        <v>1124</v>
      </c>
      <c r="F1889" s="79" t="s">
        <v>2537</v>
      </c>
      <c r="G1889" s="79" t="s">
        <v>2566</v>
      </c>
      <c r="H1889" s="79"/>
      <c r="I1889" s="79"/>
    </row>
    <row r="1890" spans="1:9" ht="14.25">
      <c r="A1890" s="79" t="s">
        <v>3732</v>
      </c>
      <c r="B1890" s="79" t="s">
        <v>3733</v>
      </c>
      <c r="C1890" s="79">
        <v>602349497</v>
      </c>
      <c r="D1890" s="79">
        <v>0</v>
      </c>
      <c r="E1890" s="79" t="s">
        <v>1124</v>
      </c>
      <c r="F1890" s="79" t="s">
        <v>2537</v>
      </c>
      <c r="G1890" s="79" t="s">
        <v>2574</v>
      </c>
      <c r="H1890" s="79"/>
      <c r="I1890" s="79"/>
    </row>
    <row r="1891" spans="1:9" ht="14.25">
      <c r="A1891" s="79" t="s">
        <v>3732</v>
      </c>
      <c r="B1891" s="79" t="s">
        <v>3733</v>
      </c>
      <c r="C1891" s="79">
        <v>602349497</v>
      </c>
      <c r="D1891" s="79">
        <v>0</v>
      </c>
      <c r="E1891" s="79" t="s">
        <v>1124</v>
      </c>
      <c r="F1891" s="79" t="s">
        <v>2537</v>
      </c>
      <c r="G1891" s="79" t="s">
        <v>2575</v>
      </c>
      <c r="H1891" s="79"/>
      <c r="I1891" s="79"/>
    </row>
    <row r="1892" spans="1:9" ht="14.25">
      <c r="A1892" s="79" t="s">
        <v>3732</v>
      </c>
      <c r="B1892" s="79" t="s">
        <v>3733</v>
      </c>
      <c r="C1892" s="79">
        <v>602349497</v>
      </c>
      <c r="D1892" s="79">
        <v>0</v>
      </c>
      <c r="E1892" s="79" t="s">
        <v>1124</v>
      </c>
      <c r="F1892" s="79" t="s">
        <v>2537</v>
      </c>
      <c r="G1892" s="79" t="s">
        <v>1131</v>
      </c>
      <c r="H1892" s="79" t="s">
        <v>1132</v>
      </c>
      <c r="I1892" s="79"/>
    </row>
    <row r="1893" spans="1:9" ht="14.25">
      <c r="A1893" s="79" t="s">
        <v>3732</v>
      </c>
      <c r="B1893" s="79" t="s">
        <v>3733</v>
      </c>
      <c r="C1893" s="79">
        <v>602349497</v>
      </c>
      <c r="D1893" s="79">
        <v>0</v>
      </c>
      <c r="E1893" s="79" t="s">
        <v>1124</v>
      </c>
      <c r="F1893" s="79" t="s">
        <v>2537</v>
      </c>
      <c r="G1893" s="79" t="s">
        <v>2576</v>
      </c>
      <c r="H1893" s="79"/>
      <c r="I1893" s="79"/>
    </row>
    <row r="1894" spans="1:9" ht="14.25">
      <c r="A1894" s="79" t="s">
        <v>3734</v>
      </c>
      <c r="B1894" s="79" t="s">
        <v>3735</v>
      </c>
      <c r="C1894" s="79">
        <v>602350097</v>
      </c>
      <c r="D1894" s="79">
        <v>0</v>
      </c>
      <c r="E1894" s="79" t="s">
        <v>1124</v>
      </c>
      <c r="F1894" s="79" t="s">
        <v>2537</v>
      </c>
      <c r="G1894" s="79" t="s">
        <v>2544</v>
      </c>
      <c r="H1894" s="79" t="s">
        <v>2545</v>
      </c>
      <c r="I1894" s="79"/>
    </row>
    <row r="1895" spans="1:9" ht="14.25">
      <c r="A1895" s="79" t="s">
        <v>3734</v>
      </c>
      <c r="B1895" s="79" t="s">
        <v>3735</v>
      </c>
      <c r="C1895" s="79">
        <v>602350097</v>
      </c>
      <c r="D1895" s="79">
        <v>0</v>
      </c>
      <c r="E1895" s="79" t="s">
        <v>1124</v>
      </c>
      <c r="F1895" s="79" t="s">
        <v>2537</v>
      </c>
      <c r="G1895" s="79" t="s">
        <v>2579</v>
      </c>
      <c r="H1895" s="79"/>
      <c r="I1895" s="79"/>
    </row>
    <row r="1896" spans="1:9" ht="14.25">
      <c r="A1896" s="79" t="s">
        <v>3736</v>
      </c>
      <c r="B1896" s="79" t="s">
        <v>3737</v>
      </c>
      <c r="C1896" s="79">
        <v>602392697</v>
      </c>
      <c r="D1896" s="79">
        <v>0</v>
      </c>
      <c r="E1896" s="79" t="s">
        <v>1124</v>
      </c>
      <c r="F1896" s="79" t="s">
        <v>2537</v>
      </c>
      <c r="G1896" s="79" t="s">
        <v>1130</v>
      </c>
      <c r="H1896" s="79"/>
      <c r="I1896" s="79"/>
    </row>
    <row r="1897" spans="1:9" ht="14.25">
      <c r="A1897" s="79" t="s">
        <v>3736</v>
      </c>
      <c r="B1897" s="79" t="s">
        <v>3737</v>
      </c>
      <c r="C1897" s="79">
        <v>602392697</v>
      </c>
      <c r="D1897" s="79">
        <v>0</v>
      </c>
      <c r="E1897" s="79" t="s">
        <v>1124</v>
      </c>
      <c r="F1897" s="79" t="s">
        <v>2537</v>
      </c>
      <c r="G1897" s="79" t="s">
        <v>1131</v>
      </c>
      <c r="H1897" s="79" t="s">
        <v>1132</v>
      </c>
      <c r="I1897" s="79"/>
    </row>
    <row r="1898" spans="1:9" ht="14.25">
      <c r="A1898" s="79" t="s">
        <v>3736</v>
      </c>
      <c r="B1898" s="79" t="s">
        <v>3737</v>
      </c>
      <c r="C1898" s="79">
        <v>602392697</v>
      </c>
      <c r="D1898" s="79">
        <v>0</v>
      </c>
      <c r="E1898" s="79" t="s">
        <v>1124</v>
      </c>
      <c r="F1898" s="79" t="s">
        <v>2537</v>
      </c>
      <c r="G1898" s="79" t="s">
        <v>2576</v>
      </c>
      <c r="H1898" s="79"/>
      <c r="I1898" s="79"/>
    </row>
    <row r="1899" spans="1:9" ht="14.25">
      <c r="A1899" s="79" t="s">
        <v>3738</v>
      </c>
      <c r="B1899" s="79" t="s">
        <v>3739</v>
      </c>
      <c r="C1899" s="79">
        <v>602393297</v>
      </c>
      <c r="D1899" s="79">
        <v>0</v>
      </c>
      <c r="E1899" s="79" t="s">
        <v>1124</v>
      </c>
      <c r="F1899" s="79" t="s">
        <v>2537</v>
      </c>
      <c r="G1899" s="79" t="s">
        <v>2544</v>
      </c>
      <c r="H1899" s="79" t="s">
        <v>2545</v>
      </c>
      <c r="I1899" s="79"/>
    </row>
    <row r="1900" spans="1:9" ht="14.25">
      <c r="A1900" s="79" t="s">
        <v>3738</v>
      </c>
      <c r="B1900" s="79" t="s">
        <v>3739</v>
      </c>
      <c r="C1900" s="79">
        <v>602393297</v>
      </c>
      <c r="D1900" s="79">
        <v>0</v>
      </c>
      <c r="E1900" s="79" t="s">
        <v>1124</v>
      </c>
      <c r="F1900" s="79" t="s">
        <v>2537</v>
      </c>
      <c r="G1900" s="79" t="s">
        <v>2579</v>
      </c>
      <c r="H1900" s="79"/>
      <c r="I1900" s="79"/>
    </row>
    <row r="1901" spans="1:9" ht="14.25">
      <c r="A1901" s="79" t="s">
        <v>3740</v>
      </c>
      <c r="B1901" s="79" t="s">
        <v>3741</v>
      </c>
      <c r="C1901" s="79">
        <v>602435897</v>
      </c>
      <c r="D1901" s="79">
        <v>0</v>
      </c>
      <c r="E1901" s="79" t="s">
        <v>1124</v>
      </c>
      <c r="F1901" s="79" t="s">
        <v>2537</v>
      </c>
      <c r="G1901" s="79" t="s">
        <v>1130</v>
      </c>
      <c r="H1901" s="79"/>
      <c r="I1901" s="79"/>
    </row>
    <row r="1902" spans="1:9" ht="14.25">
      <c r="A1902" s="79" t="s">
        <v>3740</v>
      </c>
      <c r="B1902" s="79" t="s">
        <v>3741</v>
      </c>
      <c r="C1902" s="79">
        <v>602435897</v>
      </c>
      <c r="D1902" s="79">
        <v>0</v>
      </c>
      <c r="E1902" s="79" t="s">
        <v>1124</v>
      </c>
      <c r="F1902" s="79" t="s">
        <v>2537</v>
      </c>
      <c r="G1902" s="79" t="s">
        <v>1131</v>
      </c>
      <c r="H1902" s="79" t="s">
        <v>1132</v>
      </c>
      <c r="I1902" s="79"/>
    </row>
    <row r="1903" spans="1:9" ht="14.25">
      <c r="A1903" s="79" t="s">
        <v>3740</v>
      </c>
      <c r="B1903" s="79" t="s">
        <v>3741</v>
      </c>
      <c r="C1903" s="79">
        <v>602435897</v>
      </c>
      <c r="D1903" s="79">
        <v>0</v>
      </c>
      <c r="E1903" s="79" t="s">
        <v>1124</v>
      </c>
      <c r="F1903" s="79" t="s">
        <v>2537</v>
      </c>
      <c r="G1903" s="79" t="s">
        <v>2576</v>
      </c>
      <c r="H1903" s="79"/>
      <c r="I1903" s="79"/>
    </row>
    <row r="1904" spans="1:9" ht="14.25">
      <c r="A1904" s="79" t="s">
        <v>3742</v>
      </c>
      <c r="B1904" s="79" t="s">
        <v>3743</v>
      </c>
      <c r="C1904" s="79">
        <v>602436497</v>
      </c>
      <c r="D1904" s="79">
        <v>0</v>
      </c>
      <c r="E1904" s="79" t="s">
        <v>1124</v>
      </c>
      <c r="F1904" s="79" t="s">
        <v>2537</v>
      </c>
      <c r="G1904" s="79" t="s">
        <v>2544</v>
      </c>
      <c r="H1904" s="79" t="s">
        <v>2545</v>
      </c>
      <c r="I1904" s="79"/>
    </row>
    <row r="1905" spans="1:9" ht="14.25">
      <c r="A1905" s="79" t="s">
        <v>3742</v>
      </c>
      <c r="B1905" s="79" t="s">
        <v>3743</v>
      </c>
      <c r="C1905" s="79">
        <v>602436497</v>
      </c>
      <c r="D1905" s="79">
        <v>0</v>
      </c>
      <c r="E1905" s="79" t="s">
        <v>1124</v>
      </c>
      <c r="F1905" s="79" t="s">
        <v>2537</v>
      </c>
      <c r="G1905" s="79" t="s">
        <v>2579</v>
      </c>
      <c r="H1905" s="79"/>
      <c r="I1905" s="79"/>
    </row>
    <row r="1906" spans="1:9" ht="14.25">
      <c r="A1906" s="79" t="s">
        <v>3744</v>
      </c>
      <c r="B1906" s="79" t="s">
        <v>3745</v>
      </c>
      <c r="C1906" s="79">
        <v>602479097</v>
      </c>
      <c r="D1906" s="79">
        <v>0</v>
      </c>
      <c r="E1906" s="79" t="s">
        <v>1124</v>
      </c>
      <c r="F1906" s="79" t="s">
        <v>2537</v>
      </c>
      <c r="G1906" s="79" t="s">
        <v>1130</v>
      </c>
      <c r="H1906" s="79"/>
      <c r="I1906" s="79"/>
    </row>
    <row r="1907" spans="1:9" ht="14.25">
      <c r="A1907" s="79" t="s">
        <v>3744</v>
      </c>
      <c r="B1907" s="79" t="s">
        <v>3745</v>
      </c>
      <c r="C1907" s="79">
        <v>602479097</v>
      </c>
      <c r="D1907" s="79">
        <v>0</v>
      </c>
      <c r="E1907" s="79" t="s">
        <v>1124</v>
      </c>
      <c r="F1907" s="79" t="s">
        <v>2537</v>
      </c>
      <c r="G1907" s="79" t="s">
        <v>1131</v>
      </c>
      <c r="H1907" s="79" t="s">
        <v>1132</v>
      </c>
      <c r="I1907" s="79"/>
    </row>
    <row r="1908" spans="1:9" ht="14.25">
      <c r="A1908" s="79" t="s">
        <v>3744</v>
      </c>
      <c r="B1908" s="79" t="s">
        <v>3745</v>
      </c>
      <c r="C1908" s="79">
        <v>602479097</v>
      </c>
      <c r="D1908" s="79">
        <v>0</v>
      </c>
      <c r="E1908" s="79" t="s">
        <v>1124</v>
      </c>
      <c r="F1908" s="79" t="s">
        <v>2537</v>
      </c>
      <c r="G1908" s="79" t="s">
        <v>2576</v>
      </c>
      <c r="H1908" s="79"/>
      <c r="I1908" s="79"/>
    </row>
    <row r="1909" spans="1:9" ht="14.25">
      <c r="A1909" s="79" t="s">
        <v>3746</v>
      </c>
      <c r="B1909" s="79" t="s">
        <v>3747</v>
      </c>
      <c r="C1909" s="79">
        <v>602479697</v>
      </c>
      <c r="D1909" s="79">
        <v>0</v>
      </c>
      <c r="E1909" s="79" t="s">
        <v>1124</v>
      </c>
      <c r="F1909" s="79" t="s">
        <v>2537</v>
      </c>
      <c r="G1909" s="79" t="s">
        <v>2544</v>
      </c>
      <c r="H1909" s="79" t="s">
        <v>2545</v>
      </c>
      <c r="I1909" s="79"/>
    </row>
    <row r="1910" spans="1:9" ht="14.25">
      <c r="A1910" s="79" t="s">
        <v>3746</v>
      </c>
      <c r="B1910" s="79" t="s">
        <v>3747</v>
      </c>
      <c r="C1910" s="79">
        <v>602479697</v>
      </c>
      <c r="D1910" s="79">
        <v>0</v>
      </c>
      <c r="E1910" s="79" t="s">
        <v>1124</v>
      </c>
      <c r="F1910" s="79" t="s">
        <v>2537</v>
      </c>
      <c r="G1910" s="79" t="s">
        <v>2579</v>
      </c>
      <c r="H1910" s="79"/>
      <c r="I1910" s="79"/>
    </row>
    <row r="1911" spans="1:9" ht="14.25">
      <c r="A1911" s="79" t="s">
        <v>3748</v>
      </c>
      <c r="B1911" s="79" t="s">
        <v>3749</v>
      </c>
      <c r="C1911" s="79">
        <v>602522297</v>
      </c>
      <c r="D1911" s="79">
        <v>0</v>
      </c>
      <c r="E1911" s="79" t="s">
        <v>1124</v>
      </c>
      <c r="F1911" s="79" t="s">
        <v>2537</v>
      </c>
      <c r="G1911" s="79" t="s">
        <v>1130</v>
      </c>
      <c r="H1911" s="79"/>
      <c r="I1911" s="79"/>
    </row>
    <row r="1912" spans="1:9" ht="14.25">
      <c r="A1912" s="79" t="s">
        <v>3748</v>
      </c>
      <c r="B1912" s="79" t="s">
        <v>3749</v>
      </c>
      <c r="C1912" s="79">
        <v>602522297</v>
      </c>
      <c r="D1912" s="79">
        <v>0</v>
      </c>
      <c r="E1912" s="79" t="s">
        <v>1124</v>
      </c>
      <c r="F1912" s="79" t="s">
        <v>2537</v>
      </c>
      <c r="G1912" s="79" t="s">
        <v>1131</v>
      </c>
      <c r="H1912" s="79" t="s">
        <v>1132</v>
      </c>
      <c r="I1912" s="79"/>
    </row>
    <row r="1913" spans="1:9" ht="14.25">
      <c r="A1913" s="79" t="s">
        <v>3748</v>
      </c>
      <c r="B1913" s="79" t="s">
        <v>3749</v>
      </c>
      <c r="C1913" s="79">
        <v>602522297</v>
      </c>
      <c r="D1913" s="79">
        <v>0</v>
      </c>
      <c r="E1913" s="79" t="s">
        <v>1124</v>
      </c>
      <c r="F1913" s="79" t="s">
        <v>2537</v>
      </c>
      <c r="G1913" s="79" t="s">
        <v>2576</v>
      </c>
      <c r="H1913" s="79"/>
      <c r="I1913" s="79"/>
    </row>
    <row r="1914" spans="1:9" ht="14.25">
      <c r="A1914" s="79" t="s">
        <v>3750</v>
      </c>
      <c r="B1914" s="79" t="s">
        <v>3751</v>
      </c>
      <c r="C1914" s="79">
        <v>602522897</v>
      </c>
      <c r="D1914" s="79">
        <v>0</v>
      </c>
      <c r="E1914" s="79" t="s">
        <v>1124</v>
      </c>
      <c r="F1914" s="79" t="s">
        <v>2537</v>
      </c>
      <c r="G1914" s="79" t="s">
        <v>2544</v>
      </c>
      <c r="H1914" s="79" t="s">
        <v>2545</v>
      </c>
      <c r="I1914" s="79"/>
    </row>
    <row r="1915" spans="1:9" ht="14.25">
      <c r="A1915" s="79" t="s">
        <v>3750</v>
      </c>
      <c r="B1915" s="79" t="s">
        <v>3751</v>
      </c>
      <c r="C1915" s="79">
        <v>602522897</v>
      </c>
      <c r="D1915" s="79">
        <v>0</v>
      </c>
      <c r="E1915" s="79" t="s">
        <v>1124</v>
      </c>
      <c r="F1915" s="79" t="s">
        <v>2537</v>
      </c>
      <c r="G1915" s="79" t="s">
        <v>2579</v>
      </c>
      <c r="H1915" s="79"/>
      <c r="I1915" s="79"/>
    </row>
    <row r="1916" spans="1:9" ht="14.25">
      <c r="A1916" s="79" t="s">
        <v>3752</v>
      </c>
      <c r="B1916" s="79" t="s">
        <v>3753</v>
      </c>
      <c r="C1916" s="79">
        <v>602565497</v>
      </c>
      <c r="D1916" s="79">
        <v>0</v>
      </c>
      <c r="E1916" s="79" t="s">
        <v>1124</v>
      </c>
      <c r="F1916" s="79" t="s">
        <v>2537</v>
      </c>
      <c r="G1916" s="79" t="s">
        <v>1130</v>
      </c>
      <c r="H1916" s="79"/>
      <c r="I1916" s="79"/>
    </row>
    <row r="1917" spans="1:9" ht="14.25">
      <c r="A1917" s="79" t="s">
        <v>3752</v>
      </c>
      <c r="B1917" s="79" t="s">
        <v>3753</v>
      </c>
      <c r="C1917" s="79">
        <v>602565497</v>
      </c>
      <c r="D1917" s="79">
        <v>0</v>
      </c>
      <c r="E1917" s="79" t="s">
        <v>1124</v>
      </c>
      <c r="F1917" s="79" t="s">
        <v>2537</v>
      </c>
      <c r="G1917" s="79" t="s">
        <v>1131</v>
      </c>
      <c r="H1917" s="79" t="s">
        <v>1132</v>
      </c>
      <c r="I1917" s="79"/>
    </row>
    <row r="1918" spans="1:9" ht="14.25">
      <c r="A1918" s="79" t="s">
        <v>3752</v>
      </c>
      <c r="B1918" s="79" t="s">
        <v>3753</v>
      </c>
      <c r="C1918" s="79">
        <v>602565497</v>
      </c>
      <c r="D1918" s="79">
        <v>0</v>
      </c>
      <c r="E1918" s="79" t="s">
        <v>1124</v>
      </c>
      <c r="F1918" s="79" t="s">
        <v>2537</v>
      </c>
      <c r="G1918" s="79" t="s">
        <v>2576</v>
      </c>
      <c r="H1918" s="79"/>
      <c r="I1918" s="79"/>
    </row>
    <row r="1919" spans="1:9" ht="14.25">
      <c r="A1919" s="79" t="s">
        <v>3754</v>
      </c>
      <c r="B1919" s="79" t="s">
        <v>3755</v>
      </c>
      <c r="C1919" s="79">
        <v>602566097</v>
      </c>
      <c r="D1919" s="79">
        <v>0</v>
      </c>
      <c r="E1919" s="79" t="s">
        <v>1124</v>
      </c>
      <c r="F1919" s="79" t="s">
        <v>2537</v>
      </c>
      <c r="G1919" s="79" t="s">
        <v>2544</v>
      </c>
      <c r="H1919" s="79" t="s">
        <v>2545</v>
      </c>
      <c r="I1919" s="79"/>
    </row>
    <row r="1920" spans="1:9" ht="14.25">
      <c r="A1920" s="79" t="s">
        <v>3754</v>
      </c>
      <c r="B1920" s="79" t="s">
        <v>3755</v>
      </c>
      <c r="C1920" s="79">
        <v>602566097</v>
      </c>
      <c r="D1920" s="79">
        <v>0</v>
      </c>
      <c r="E1920" s="79" t="s">
        <v>1124</v>
      </c>
      <c r="F1920" s="79" t="s">
        <v>2537</v>
      </c>
      <c r="G1920" s="79" t="s">
        <v>2579</v>
      </c>
      <c r="H1920" s="79"/>
      <c r="I1920" s="79"/>
    </row>
    <row r="1921" spans="1:9" ht="14.25">
      <c r="A1921" s="79" t="s">
        <v>3756</v>
      </c>
      <c r="B1921" s="79" t="s">
        <v>3757</v>
      </c>
      <c r="C1921" s="79">
        <v>602608697</v>
      </c>
      <c r="D1921" s="79">
        <v>0</v>
      </c>
      <c r="E1921" s="79" t="s">
        <v>1124</v>
      </c>
      <c r="F1921" s="79" t="s">
        <v>2537</v>
      </c>
      <c r="G1921" s="79" t="s">
        <v>1130</v>
      </c>
      <c r="H1921" s="79"/>
      <c r="I1921" s="79"/>
    </row>
    <row r="1922" spans="1:9" ht="14.25">
      <c r="A1922" s="79" t="s">
        <v>3756</v>
      </c>
      <c r="B1922" s="79" t="s">
        <v>3757</v>
      </c>
      <c r="C1922" s="79">
        <v>602608697</v>
      </c>
      <c r="D1922" s="79">
        <v>0</v>
      </c>
      <c r="E1922" s="79" t="s">
        <v>1124</v>
      </c>
      <c r="F1922" s="79" t="s">
        <v>2537</v>
      </c>
      <c r="G1922" s="79" t="s">
        <v>1131</v>
      </c>
      <c r="H1922" s="79" t="s">
        <v>1132</v>
      </c>
      <c r="I1922" s="79"/>
    </row>
    <row r="1923" spans="1:9" ht="14.25">
      <c r="A1923" s="79" t="s">
        <v>3756</v>
      </c>
      <c r="B1923" s="79" t="s">
        <v>3757</v>
      </c>
      <c r="C1923" s="79">
        <v>602608697</v>
      </c>
      <c r="D1923" s="79">
        <v>0</v>
      </c>
      <c r="E1923" s="79" t="s">
        <v>1124</v>
      </c>
      <c r="F1923" s="79" t="s">
        <v>2537</v>
      </c>
      <c r="G1923" s="79" t="s">
        <v>2576</v>
      </c>
      <c r="H1923" s="79"/>
      <c r="I1923" s="79"/>
    </row>
    <row r="1924" spans="1:9" ht="14.25">
      <c r="A1924" s="79" t="s">
        <v>3758</v>
      </c>
      <c r="B1924" s="79" t="s">
        <v>3759</v>
      </c>
      <c r="C1924" s="79">
        <v>602609297</v>
      </c>
      <c r="D1924" s="79">
        <v>0</v>
      </c>
      <c r="E1924" s="79" t="s">
        <v>1124</v>
      </c>
      <c r="F1924" s="79" t="s">
        <v>2537</v>
      </c>
      <c r="G1924" s="79" t="s">
        <v>2544</v>
      </c>
      <c r="H1924" s="79" t="s">
        <v>2545</v>
      </c>
      <c r="I1924" s="79"/>
    </row>
    <row r="1925" spans="1:9" ht="14.25">
      <c r="A1925" s="79" t="s">
        <v>3758</v>
      </c>
      <c r="B1925" s="79" t="s">
        <v>3759</v>
      </c>
      <c r="C1925" s="79">
        <v>602609297</v>
      </c>
      <c r="D1925" s="79">
        <v>0</v>
      </c>
      <c r="E1925" s="79" t="s">
        <v>1124</v>
      </c>
      <c r="F1925" s="79" t="s">
        <v>2537</v>
      </c>
      <c r="G1925" s="79" t="s">
        <v>2579</v>
      </c>
      <c r="H1925" s="79"/>
      <c r="I1925" s="79"/>
    </row>
    <row r="1926" spans="1:9" ht="14.25">
      <c r="A1926" s="79" t="s">
        <v>3760</v>
      </c>
      <c r="B1926" s="79" t="s">
        <v>3761</v>
      </c>
      <c r="C1926" s="79">
        <v>602651897</v>
      </c>
      <c r="D1926" s="79">
        <v>0</v>
      </c>
      <c r="E1926" s="79" t="s">
        <v>1124</v>
      </c>
      <c r="F1926" s="79" t="s">
        <v>2537</v>
      </c>
      <c r="G1926" s="79" t="s">
        <v>1130</v>
      </c>
      <c r="H1926" s="79"/>
      <c r="I1926" s="79"/>
    </row>
    <row r="1927" spans="1:9" ht="14.25">
      <c r="A1927" s="79" t="s">
        <v>3760</v>
      </c>
      <c r="B1927" s="79" t="s">
        <v>3761</v>
      </c>
      <c r="C1927" s="79">
        <v>602651897</v>
      </c>
      <c r="D1927" s="79">
        <v>0</v>
      </c>
      <c r="E1927" s="79" t="s">
        <v>1124</v>
      </c>
      <c r="F1927" s="79" t="s">
        <v>2537</v>
      </c>
      <c r="G1927" s="79" t="s">
        <v>1131</v>
      </c>
      <c r="H1927" s="79" t="s">
        <v>1132</v>
      </c>
      <c r="I1927" s="79"/>
    </row>
    <row r="1928" spans="1:9" ht="14.25">
      <c r="A1928" s="79" t="s">
        <v>3760</v>
      </c>
      <c r="B1928" s="79" t="s">
        <v>3761</v>
      </c>
      <c r="C1928" s="79">
        <v>602651897</v>
      </c>
      <c r="D1928" s="79">
        <v>0</v>
      </c>
      <c r="E1928" s="79" t="s">
        <v>1124</v>
      </c>
      <c r="F1928" s="79" t="s">
        <v>2537</v>
      </c>
      <c r="G1928" s="79" t="s">
        <v>2576</v>
      </c>
      <c r="H1928" s="79"/>
      <c r="I1928" s="79"/>
    </row>
    <row r="1929" spans="1:9" ht="14.25">
      <c r="A1929" s="79" t="s">
        <v>3762</v>
      </c>
      <c r="B1929" s="79" t="s">
        <v>3763</v>
      </c>
      <c r="C1929" s="79">
        <v>602652497</v>
      </c>
      <c r="D1929" s="79">
        <v>0</v>
      </c>
      <c r="E1929" s="79" t="s">
        <v>1124</v>
      </c>
      <c r="F1929" s="79" t="s">
        <v>2537</v>
      </c>
      <c r="G1929" s="79" t="s">
        <v>2544</v>
      </c>
      <c r="H1929" s="79" t="s">
        <v>2545</v>
      </c>
      <c r="I1929" s="79"/>
    </row>
    <row r="1930" spans="1:9" ht="14.25">
      <c r="A1930" s="79" t="s">
        <v>3762</v>
      </c>
      <c r="B1930" s="79" t="s">
        <v>3763</v>
      </c>
      <c r="C1930" s="79">
        <v>602652497</v>
      </c>
      <c r="D1930" s="79">
        <v>0</v>
      </c>
      <c r="E1930" s="79" t="s">
        <v>1124</v>
      </c>
      <c r="F1930" s="79" t="s">
        <v>2537</v>
      </c>
      <c r="G1930" s="79" t="s">
        <v>2579</v>
      </c>
      <c r="H1930" s="79"/>
      <c r="I1930" s="79"/>
    </row>
    <row r="1931" spans="1:9" ht="14.25">
      <c r="A1931" s="79" t="s">
        <v>3764</v>
      </c>
      <c r="B1931" s="79" t="s">
        <v>3765</v>
      </c>
      <c r="C1931" s="79">
        <v>602695097</v>
      </c>
      <c r="D1931" s="79">
        <v>0</v>
      </c>
      <c r="E1931" s="79" t="s">
        <v>1124</v>
      </c>
      <c r="F1931" s="79" t="s">
        <v>2537</v>
      </c>
      <c r="G1931" s="79" t="s">
        <v>1130</v>
      </c>
      <c r="H1931" s="79"/>
      <c r="I1931" s="79"/>
    </row>
    <row r="1932" spans="1:9" ht="14.25">
      <c r="A1932" s="79" t="s">
        <v>3764</v>
      </c>
      <c r="B1932" s="79" t="s">
        <v>3765</v>
      </c>
      <c r="C1932" s="79">
        <v>602695097</v>
      </c>
      <c r="D1932" s="79">
        <v>0</v>
      </c>
      <c r="E1932" s="79" t="s">
        <v>1124</v>
      </c>
      <c r="F1932" s="79" t="s">
        <v>2537</v>
      </c>
      <c r="G1932" s="79" t="s">
        <v>1131</v>
      </c>
      <c r="H1932" s="79" t="s">
        <v>1132</v>
      </c>
      <c r="I1932" s="79"/>
    </row>
    <row r="1933" spans="1:9" ht="14.25">
      <c r="A1933" s="79" t="s">
        <v>3764</v>
      </c>
      <c r="B1933" s="79" t="s">
        <v>3765</v>
      </c>
      <c r="C1933" s="79">
        <v>602695097</v>
      </c>
      <c r="D1933" s="79">
        <v>0</v>
      </c>
      <c r="E1933" s="79" t="s">
        <v>1124</v>
      </c>
      <c r="F1933" s="79" t="s">
        <v>2537</v>
      </c>
      <c r="G1933" s="79" t="s">
        <v>2576</v>
      </c>
      <c r="H1933" s="79"/>
      <c r="I1933" s="79"/>
    </row>
    <row r="1934" spans="1:9" ht="14.25">
      <c r="A1934" s="79" t="s">
        <v>3766</v>
      </c>
      <c r="B1934" s="79" t="s">
        <v>3767</v>
      </c>
      <c r="C1934" s="79">
        <v>602695697</v>
      </c>
      <c r="D1934" s="79">
        <v>0</v>
      </c>
      <c r="E1934" s="79" t="s">
        <v>1124</v>
      </c>
      <c r="F1934" s="79" t="s">
        <v>2537</v>
      </c>
      <c r="G1934" s="79" t="s">
        <v>2544</v>
      </c>
      <c r="H1934" s="79" t="s">
        <v>2545</v>
      </c>
      <c r="I1934" s="79"/>
    </row>
    <row r="1935" spans="1:9" ht="14.25">
      <c r="A1935" s="79" t="s">
        <v>3766</v>
      </c>
      <c r="B1935" s="79" t="s">
        <v>3767</v>
      </c>
      <c r="C1935" s="79">
        <v>602695697</v>
      </c>
      <c r="D1935" s="79">
        <v>0</v>
      </c>
      <c r="E1935" s="79" t="s">
        <v>1124</v>
      </c>
      <c r="F1935" s="79" t="s">
        <v>2537</v>
      </c>
      <c r="G1935" s="79" t="s">
        <v>2579</v>
      </c>
      <c r="H1935" s="79"/>
      <c r="I1935" s="79"/>
    </row>
    <row r="1936" spans="1:9" ht="14.25">
      <c r="A1936" s="79" t="s">
        <v>3768</v>
      </c>
      <c r="B1936" s="79" t="s">
        <v>3769</v>
      </c>
      <c r="C1936" s="79">
        <v>602738297</v>
      </c>
      <c r="D1936" s="79">
        <v>0</v>
      </c>
      <c r="E1936" s="79" t="s">
        <v>1124</v>
      </c>
      <c r="F1936" s="79" t="s">
        <v>2537</v>
      </c>
      <c r="G1936" s="79" t="s">
        <v>1130</v>
      </c>
      <c r="H1936" s="79"/>
      <c r="I1936" s="79"/>
    </row>
    <row r="1937" spans="1:9" ht="14.25">
      <c r="A1937" s="79" t="s">
        <v>3768</v>
      </c>
      <c r="B1937" s="79" t="s">
        <v>3769</v>
      </c>
      <c r="C1937" s="79">
        <v>602738297</v>
      </c>
      <c r="D1937" s="79">
        <v>0</v>
      </c>
      <c r="E1937" s="79" t="s">
        <v>1124</v>
      </c>
      <c r="F1937" s="79" t="s">
        <v>2537</v>
      </c>
      <c r="G1937" s="79" t="s">
        <v>1131</v>
      </c>
      <c r="H1937" s="79" t="s">
        <v>1132</v>
      </c>
      <c r="I1937" s="79"/>
    </row>
    <row r="1938" spans="1:9" ht="14.25">
      <c r="A1938" s="79" t="s">
        <v>3768</v>
      </c>
      <c r="B1938" s="79" t="s">
        <v>3769</v>
      </c>
      <c r="C1938" s="79">
        <v>602738297</v>
      </c>
      <c r="D1938" s="79">
        <v>0</v>
      </c>
      <c r="E1938" s="79" t="s">
        <v>1124</v>
      </c>
      <c r="F1938" s="79" t="s">
        <v>2537</v>
      </c>
      <c r="G1938" s="79" t="s">
        <v>2576</v>
      </c>
      <c r="H1938" s="79"/>
      <c r="I1938" s="79"/>
    </row>
    <row r="1939" spans="1:9" ht="14.25">
      <c r="A1939" s="79" t="s">
        <v>3770</v>
      </c>
      <c r="B1939" s="79" t="s">
        <v>3771</v>
      </c>
      <c r="C1939" s="79">
        <v>602738897</v>
      </c>
      <c r="D1939" s="79">
        <v>0</v>
      </c>
      <c r="E1939" s="79" t="s">
        <v>1124</v>
      </c>
      <c r="F1939" s="79" t="s">
        <v>2537</v>
      </c>
      <c r="G1939" s="79" t="s">
        <v>2544</v>
      </c>
      <c r="H1939" s="79" t="s">
        <v>2545</v>
      </c>
      <c r="I1939" s="79"/>
    </row>
    <row r="1940" spans="1:9" ht="14.25">
      <c r="A1940" s="79" t="s">
        <v>3770</v>
      </c>
      <c r="B1940" s="79" t="s">
        <v>3771</v>
      </c>
      <c r="C1940" s="79">
        <v>602738897</v>
      </c>
      <c r="D1940" s="79">
        <v>0</v>
      </c>
      <c r="E1940" s="79" t="s">
        <v>1124</v>
      </c>
      <c r="F1940" s="79" t="s">
        <v>2537</v>
      </c>
      <c r="G1940" s="79" t="s">
        <v>2579</v>
      </c>
      <c r="H1940" s="79"/>
      <c r="I1940" s="79"/>
    </row>
    <row r="1941" spans="1:9" ht="14.25">
      <c r="A1941" s="79" t="s">
        <v>3772</v>
      </c>
      <c r="B1941" s="79" t="s">
        <v>3773</v>
      </c>
      <c r="C1941" s="79">
        <v>602781497</v>
      </c>
      <c r="D1941" s="79">
        <v>0</v>
      </c>
      <c r="E1941" s="79" t="s">
        <v>1124</v>
      </c>
      <c r="F1941" s="79" t="s">
        <v>2537</v>
      </c>
      <c r="G1941" s="79" t="s">
        <v>1130</v>
      </c>
      <c r="H1941" s="79"/>
      <c r="I1941" s="79"/>
    </row>
    <row r="1942" spans="1:9" ht="14.25">
      <c r="A1942" s="79" t="s">
        <v>3772</v>
      </c>
      <c r="B1942" s="79" t="s">
        <v>3773</v>
      </c>
      <c r="C1942" s="79">
        <v>602781497</v>
      </c>
      <c r="D1942" s="79">
        <v>0</v>
      </c>
      <c r="E1942" s="79" t="s">
        <v>1124</v>
      </c>
      <c r="F1942" s="79" t="s">
        <v>2537</v>
      </c>
      <c r="G1942" s="79" t="s">
        <v>1131</v>
      </c>
      <c r="H1942" s="79" t="s">
        <v>1132</v>
      </c>
      <c r="I1942" s="79"/>
    </row>
    <row r="1943" spans="1:9" ht="14.25">
      <c r="A1943" s="79" t="s">
        <v>3772</v>
      </c>
      <c r="B1943" s="79" t="s">
        <v>3773</v>
      </c>
      <c r="C1943" s="79">
        <v>602781497</v>
      </c>
      <c r="D1943" s="79">
        <v>0</v>
      </c>
      <c r="E1943" s="79" t="s">
        <v>1124</v>
      </c>
      <c r="F1943" s="79" t="s">
        <v>2537</v>
      </c>
      <c r="G1943" s="79" t="s">
        <v>2576</v>
      </c>
      <c r="H1943" s="79"/>
      <c r="I1943" s="79"/>
    </row>
    <row r="1944" spans="1:9" ht="14.25">
      <c r="A1944" s="79" t="s">
        <v>3774</v>
      </c>
      <c r="B1944" s="79" t="s">
        <v>3775</v>
      </c>
      <c r="C1944" s="79">
        <v>602782097</v>
      </c>
      <c r="D1944" s="79">
        <v>0</v>
      </c>
      <c r="E1944" s="79" t="s">
        <v>1124</v>
      </c>
      <c r="F1944" s="79" t="s">
        <v>2537</v>
      </c>
      <c r="G1944" s="79" t="s">
        <v>2544</v>
      </c>
      <c r="H1944" s="79" t="s">
        <v>2545</v>
      </c>
      <c r="I1944" s="79"/>
    </row>
    <row r="1945" spans="1:9" ht="14.25">
      <c r="A1945" s="79" t="s">
        <v>3774</v>
      </c>
      <c r="B1945" s="79" t="s">
        <v>3775</v>
      </c>
      <c r="C1945" s="79">
        <v>602782097</v>
      </c>
      <c r="D1945" s="79">
        <v>0</v>
      </c>
      <c r="E1945" s="79" t="s">
        <v>1124</v>
      </c>
      <c r="F1945" s="79" t="s">
        <v>2537</v>
      </c>
      <c r="G1945" s="79" t="s">
        <v>2579</v>
      </c>
      <c r="H1945" s="79"/>
      <c r="I1945" s="79"/>
    </row>
    <row r="1946" spans="1:9" ht="14.25">
      <c r="A1946" s="79" t="s">
        <v>3776</v>
      </c>
      <c r="B1946" s="79" t="s">
        <v>3777</v>
      </c>
      <c r="C1946" s="79">
        <v>602824697</v>
      </c>
      <c r="D1946" s="79">
        <v>0</v>
      </c>
      <c r="E1946" s="79" t="s">
        <v>1124</v>
      </c>
      <c r="F1946" s="79" t="s">
        <v>2537</v>
      </c>
      <c r="G1946" s="79" t="s">
        <v>1130</v>
      </c>
      <c r="H1946" s="79"/>
      <c r="I1946" s="79"/>
    </row>
    <row r="1947" spans="1:9" ht="14.25">
      <c r="A1947" s="79" t="s">
        <v>3776</v>
      </c>
      <c r="B1947" s="79" t="s">
        <v>3777</v>
      </c>
      <c r="C1947" s="79">
        <v>602824697</v>
      </c>
      <c r="D1947" s="79">
        <v>0</v>
      </c>
      <c r="E1947" s="79" t="s">
        <v>1124</v>
      </c>
      <c r="F1947" s="79" t="s">
        <v>2537</v>
      </c>
      <c r="G1947" s="79" t="s">
        <v>1131</v>
      </c>
      <c r="H1947" s="79" t="s">
        <v>1132</v>
      </c>
      <c r="I1947" s="79"/>
    </row>
    <row r="1948" spans="1:9" ht="14.25">
      <c r="A1948" s="79" t="s">
        <v>3776</v>
      </c>
      <c r="B1948" s="79" t="s">
        <v>3777</v>
      </c>
      <c r="C1948" s="79">
        <v>602824697</v>
      </c>
      <c r="D1948" s="79">
        <v>0</v>
      </c>
      <c r="E1948" s="79" t="s">
        <v>1124</v>
      </c>
      <c r="F1948" s="79" t="s">
        <v>2537</v>
      </c>
      <c r="G1948" s="79" t="s">
        <v>2576</v>
      </c>
      <c r="H1948" s="79"/>
      <c r="I1948" s="79"/>
    </row>
    <row r="1949" spans="1:9" ht="14.25">
      <c r="A1949" s="79" t="s">
        <v>3778</v>
      </c>
      <c r="B1949" s="79" t="s">
        <v>3779</v>
      </c>
      <c r="C1949" s="79">
        <v>602825297</v>
      </c>
      <c r="D1949" s="79">
        <v>0</v>
      </c>
      <c r="E1949" s="79" t="s">
        <v>1124</v>
      </c>
      <c r="F1949" s="79" t="s">
        <v>2537</v>
      </c>
      <c r="G1949" s="79" t="s">
        <v>2544</v>
      </c>
      <c r="H1949" s="79" t="s">
        <v>2545</v>
      </c>
      <c r="I1949" s="79"/>
    </row>
    <row r="1950" spans="1:9" ht="14.25">
      <c r="A1950" s="79" t="s">
        <v>3778</v>
      </c>
      <c r="B1950" s="79" t="s">
        <v>3779</v>
      </c>
      <c r="C1950" s="79">
        <v>602825297</v>
      </c>
      <c r="D1950" s="79">
        <v>0</v>
      </c>
      <c r="E1950" s="79" t="s">
        <v>1124</v>
      </c>
      <c r="F1950" s="79" t="s">
        <v>2537</v>
      </c>
      <c r="G1950" s="79" t="s">
        <v>2579</v>
      </c>
      <c r="H1950" s="79"/>
      <c r="I1950" s="79"/>
    </row>
    <row r="1951" spans="1:9" ht="14.25">
      <c r="A1951" s="79" t="s">
        <v>3780</v>
      </c>
      <c r="B1951" s="79" t="s">
        <v>3781</v>
      </c>
      <c r="C1951" s="79">
        <v>602867897</v>
      </c>
      <c r="D1951" s="79">
        <v>0</v>
      </c>
      <c r="E1951" s="79" t="s">
        <v>1124</v>
      </c>
      <c r="F1951" s="79" t="s">
        <v>2537</v>
      </c>
      <c r="G1951" s="79" t="s">
        <v>1130</v>
      </c>
      <c r="H1951" s="79"/>
      <c r="I1951" s="79"/>
    </row>
    <row r="1952" spans="1:9" ht="14.25">
      <c r="A1952" s="79" t="s">
        <v>3780</v>
      </c>
      <c r="B1952" s="79" t="s">
        <v>3781</v>
      </c>
      <c r="C1952" s="79">
        <v>602867897</v>
      </c>
      <c r="D1952" s="79">
        <v>0</v>
      </c>
      <c r="E1952" s="79" t="s">
        <v>1124</v>
      </c>
      <c r="F1952" s="79" t="s">
        <v>2537</v>
      </c>
      <c r="G1952" s="79" t="s">
        <v>1131</v>
      </c>
      <c r="H1952" s="79" t="s">
        <v>1132</v>
      </c>
      <c r="I1952" s="79"/>
    </row>
    <row r="1953" spans="1:9" ht="14.25">
      <c r="A1953" s="79" t="s">
        <v>3780</v>
      </c>
      <c r="B1953" s="79" t="s">
        <v>3781</v>
      </c>
      <c r="C1953" s="79">
        <v>602867897</v>
      </c>
      <c r="D1953" s="79">
        <v>0</v>
      </c>
      <c r="E1953" s="79" t="s">
        <v>1124</v>
      </c>
      <c r="F1953" s="79" t="s">
        <v>2537</v>
      </c>
      <c r="G1953" s="79" t="s">
        <v>2576</v>
      </c>
      <c r="H1953" s="79"/>
      <c r="I1953" s="79"/>
    </row>
    <row r="1954" spans="1:9" ht="14.25">
      <c r="A1954" s="79" t="s">
        <v>3782</v>
      </c>
      <c r="B1954" s="79" t="s">
        <v>3783</v>
      </c>
      <c r="C1954" s="79">
        <v>602868497</v>
      </c>
      <c r="D1954" s="79">
        <v>0</v>
      </c>
      <c r="E1954" s="79" t="s">
        <v>1124</v>
      </c>
      <c r="F1954" s="79" t="s">
        <v>2537</v>
      </c>
      <c r="G1954" s="79" t="s">
        <v>2544</v>
      </c>
      <c r="H1954" s="79" t="s">
        <v>2545</v>
      </c>
      <c r="I1954" s="79"/>
    </row>
    <row r="1955" spans="1:9" ht="14.25">
      <c r="A1955" s="79" t="s">
        <v>3782</v>
      </c>
      <c r="B1955" s="79" t="s">
        <v>3783</v>
      </c>
      <c r="C1955" s="79">
        <v>602868497</v>
      </c>
      <c r="D1955" s="79">
        <v>0</v>
      </c>
      <c r="E1955" s="79" t="s">
        <v>1124</v>
      </c>
      <c r="F1955" s="79" t="s">
        <v>2537</v>
      </c>
      <c r="G1955" s="79" t="s">
        <v>2579</v>
      </c>
      <c r="H1955" s="79"/>
      <c r="I1955" s="79"/>
    </row>
    <row r="1956" spans="1:9" ht="14.25">
      <c r="A1956" s="79" t="s">
        <v>3784</v>
      </c>
      <c r="B1956" s="79" t="s">
        <v>3785</v>
      </c>
      <c r="C1956" s="79">
        <v>602911097</v>
      </c>
      <c r="D1956" s="79">
        <v>0</v>
      </c>
      <c r="E1956" s="79" t="s">
        <v>1124</v>
      </c>
      <c r="F1956" s="79" t="s">
        <v>2537</v>
      </c>
      <c r="G1956" s="79" t="s">
        <v>1130</v>
      </c>
      <c r="H1956" s="79"/>
      <c r="I1956" s="79"/>
    </row>
    <row r="1957" spans="1:9" ht="14.25">
      <c r="A1957" s="79" t="s">
        <v>3784</v>
      </c>
      <c r="B1957" s="79" t="s">
        <v>3785</v>
      </c>
      <c r="C1957" s="79">
        <v>602911097</v>
      </c>
      <c r="D1957" s="79">
        <v>0</v>
      </c>
      <c r="E1957" s="79" t="s">
        <v>1124</v>
      </c>
      <c r="F1957" s="79" t="s">
        <v>2537</v>
      </c>
      <c r="G1957" s="79" t="s">
        <v>1131</v>
      </c>
      <c r="H1957" s="79" t="s">
        <v>1132</v>
      </c>
      <c r="I1957" s="79"/>
    </row>
    <row r="1958" spans="1:9" ht="14.25">
      <c r="A1958" s="79" t="s">
        <v>3784</v>
      </c>
      <c r="B1958" s="79" t="s">
        <v>3785</v>
      </c>
      <c r="C1958" s="79">
        <v>602911097</v>
      </c>
      <c r="D1958" s="79">
        <v>0</v>
      </c>
      <c r="E1958" s="79" t="s">
        <v>1124</v>
      </c>
      <c r="F1958" s="79" t="s">
        <v>2537</v>
      </c>
      <c r="G1958" s="79" t="s">
        <v>2576</v>
      </c>
      <c r="H1958" s="79"/>
      <c r="I1958" s="79"/>
    </row>
    <row r="1959" spans="1:9" ht="14.25">
      <c r="A1959" s="79" t="s">
        <v>3786</v>
      </c>
      <c r="B1959" s="79" t="s">
        <v>3787</v>
      </c>
      <c r="C1959" s="79">
        <v>602911697</v>
      </c>
      <c r="D1959" s="79">
        <v>0</v>
      </c>
      <c r="E1959" s="79" t="s">
        <v>1124</v>
      </c>
      <c r="F1959" s="79" t="s">
        <v>2537</v>
      </c>
      <c r="G1959" s="79" t="s">
        <v>2544</v>
      </c>
      <c r="H1959" s="79" t="s">
        <v>2545</v>
      </c>
      <c r="I1959" s="79"/>
    </row>
    <row r="1960" spans="1:9" ht="14.25">
      <c r="A1960" s="79" t="s">
        <v>3786</v>
      </c>
      <c r="B1960" s="79" t="s">
        <v>3787</v>
      </c>
      <c r="C1960" s="79">
        <v>602911697</v>
      </c>
      <c r="D1960" s="79">
        <v>0</v>
      </c>
      <c r="E1960" s="79" t="s">
        <v>1124</v>
      </c>
      <c r="F1960" s="79" t="s">
        <v>2537</v>
      </c>
      <c r="G1960" s="79" t="s">
        <v>2579</v>
      </c>
      <c r="H1960" s="79"/>
      <c r="I1960" s="79"/>
    </row>
    <row r="1961" spans="1:9" ht="14.25">
      <c r="A1961" s="79" t="s">
        <v>3788</v>
      </c>
      <c r="B1961" s="79" t="s">
        <v>3789</v>
      </c>
      <c r="C1961" s="79">
        <v>602954297</v>
      </c>
      <c r="D1961" s="79">
        <v>0</v>
      </c>
      <c r="E1961" s="79" t="s">
        <v>1124</v>
      </c>
      <c r="F1961" s="79" t="s">
        <v>2537</v>
      </c>
      <c r="G1961" s="79" t="s">
        <v>1130</v>
      </c>
      <c r="H1961" s="79"/>
      <c r="I1961" s="79"/>
    </row>
    <row r="1962" spans="1:9" ht="14.25">
      <c r="A1962" s="79" t="s">
        <v>3788</v>
      </c>
      <c r="B1962" s="79" t="s">
        <v>3789</v>
      </c>
      <c r="C1962" s="79">
        <v>602954297</v>
      </c>
      <c r="D1962" s="79">
        <v>0</v>
      </c>
      <c r="E1962" s="79" t="s">
        <v>1124</v>
      </c>
      <c r="F1962" s="79" t="s">
        <v>2537</v>
      </c>
      <c r="G1962" s="79" t="s">
        <v>1131</v>
      </c>
      <c r="H1962" s="79" t="s">
        <v>1132</v>
      </c>
      <c r="I1962" s="79"/>
    </row>
    <row r="1963" spans="1:9" ht="14.25">
      <c r="A1963" s="79" t="s">
        <v>3788</v>
      </c>
      <c r="B1963" s="79" t="s">
        <v>3789</v>
      </c>
      <c r="C1963" s="79">
        <v>602954297</v>
      </c>
      <c r="D1963" s="79">
        <v>0</v>
      </c>
      <c r="E1963" s="79" t="s">
        <v>1124</v>
      </c>
      <c r="F1963" s="79" t="s">
        <v>2537</v>
      </c>
      <c r="G1963" s="79" t="s">
        <v>2576</v>
      </c>
      <c r="H1963" s="79"/>
      <c r="I1963" s="79"/>
    </row>
    <row r="1964" spans="1:9" ht="14.25">
      <c r="A1964" s="79" t="s">
        <v>3790</v>
      </c>
      <c r="B1964" s="79" t="s">
        <v>3791</v>
      </c>
      <c r="C1964" s="79">
        <v>602954897</v>
      </c>
      <c r="D1964" s="79">
        <v>0</v>
      </c>
      <c r="E1964" s="79" t="s">
        <v>1124</v>
      </c>
      <c r="F1964" s="79" t="s">
        <v>2537</v>
      </c>
      <c r="G1964" s="79" t="s">
        <v>2544</v>
      </c>
      <c r="H1964" s="79" t="s">
        <v>2545</v>
      </c>
      <c r="I1964" s="79"/>
    </row>
    <row r="1965" spans="1:9" ht="14.25">
      <c r="A1965" s="79" t="s">
        <v>3790</v>
      </c>
      <c r="B1965" s="79" t="s">
        <v>3791</v>
      </c>
      <c r="C1965" s="79">
        <v>602954897</v>
      </c>
      <c r="D1965" s="79">
        <v>0</v>
      </c>
      <c r="E1965" s="79" t="s">
        <v>1124</v>
      </c>
      <c r="F1965" s="79" t="s">
        <v>2537</v>
      </c>
      <c r="G1965" s="79" t="s">
        <v>2579</v>
      </c>
      <c r="H1965" s="79"/>
      <c r="I1965" s="79"/>
    </row>
    <row r="1966" spans="1:9" ht="14.25">
      <c r="A1966" s="79" t="s">
        <v>3792</v>
      </c>
      <c r="B1966" s="79" t="s">
        <v>3793</v>
      </c>
      <c r="C1966" s="79">
        <v>602997497</v>
      </c>
      <c r="D1966" s="79">
        <v>0</v>
      </c>
      <c r="E1966" s="79" t="s">
        <v>1124</v>
      </c>
      <c r="F1966" s="79" t="s">
        <v>2537</v>
      </c>
      <c r="G1966" s="79" t="s">
        <v>1130</v>
      </c>
      <c r="H1966" s="79"/>
      <c r="I1966" s="79"/>
    </row>
    <row r="1967" spans="1:9" ht="14.25">
      <c r="A1967" s="79" t="s">
        <v>3792</v>
      </c>
      <c r="B1967" s="79" t="s">
        <v>3793</v>
      </c>
      <c r="C1967" s="79">
        <v>602997497</v>
      </c>
      <c r="D1967" s="79">
        <v>0</v>
      </c>
      <c r="E1967" s="79" t="s">
        <v>1124</v>
      </c>
      <c r="F1967" s="79" t="s">
        <v>2537</v>
      </c>
      <c r="G1967" s="79" t="s">
        <v>1131</v>
      </c>
      <c r="H1967" s="79" t="s">
        <v>1132</v>
      </c>
      <c r="I1967" s="79"/>
    </row>
    <row r="1968" spans="1:9" ht="14.25">
      <c r="A1968" s="79" t="s">
        <v>3792</v>
      </c>
      <c r="B1968" s="79" t="s">
        <v>3793</v>
      </c>
      <c r="C1968" s="79">
        <v>602997497</v>
      </c>
      <c r="D1968" s="79">
        <v>0</v>
      </c>
      <c r="E1968" s="79" t="s">
        <v>1124</v>
      </c>
      <c r="F1968" s="79" t="s">
        <v>2537</v>
      </c>
      <c r="G1968" s="79" t="s">
        <v>2576</v>
      </c>
      <c r="H1968" s="79"/>
      <c r="I1968" s="79"/>
    </row>
    <row r="1969" spans="1:9" ht="14.25">
      <c r="A1969" s="79" t="s">
        <v>3794</v>
      </c>
      <c r="B1969" s="79" t="s">
        <v>3795</v>
      </c>
      <c r="C1969" s="79">
        <v>602998097</v>
      </c>
      <c r="D1969" s="79">
        <v>0</v>
      </c>
      <c r="E1969" s="79" t="s">
        <v>1124</v>
      </c>
      <c r="F1969" s="79" t="s">
        <v>2537</v>
      </c>
      <c r="G1969" s="79" t="s">
        <v>2544</v>
      </c>
      <c r="H1969" s="79" t="s">
        <v>2545</v>
      </c>
      <c r="I1969" s="79"/>
    </row>
    <row r="1970" spans="1:9" ht="14.25">
      <c r="A1970" s="79" t="s">
        <v>3794</v>
      </c>
      <c r="B1970" s="79" t="s">
        <v>3795</v>
      </c>
      <c r="C1970" s="79">
        <v>602998097</v>
      </c>
      <c r="D1970" s="79">
        <v>0</v>
      </c>
      <c r="E1970" s="79" t="s">
        <v>1124</v>
      </c>
      <c r="F1970" s="79" t="s">
        <v>2537</v>
      </c>
      <c r="G1970" s="79" t="s">
        <v>2579</v>
      </c>
      <c r="H1970" s="79"/>
      <c r="I1970" s="79"/>
    </row>
    <row r="1971" spans="1:9" ht="14.25">
      <c r="A1971" s="79" t="s">
        <v>3796</v>
      </c>
      <c r="B1971" s="79" t="s">
        <v>3797</v>
      </c>
      <c r="C1971" s="79">
        <v>603040697</v>
      </c>
      <c r="D1971" s="79">
        <v>0</v>
      </c>
      <c r="E1971" s="79" t="s">
        <v>1124</v>
      </c>
      <c r="F1971" s="79" t="s">
        <v>2537</v>
      </c>
      <c r="G1971" s="79" t="s">
        <v>1130</v>
      </c>
      <c r="H1971" s="79"/>
      <c r="I1971" s="79"/>
    </row>
    <row r="1972" spans="1:9" ht="14.25">
      <c r="A1972" s="79" t="s">
        <v>3796</v>
      </c>
      <c r="B1972" s="79" t="s">
        <v>3797</v>
      </c>
      <c r="C1972" s="79">
        <v>603040697</v>
      </c>
      <c r="D1972" s="79">
        <v>0</v>
      </c>
      <c r="E1972" s="79" t="s">
        <v>1124</v>
      </c>
      <c r="F1972" s="79" t="s">
        <v>2537</v>
      </c>
      <c r="G1972" s="79" t="s">
        <v>1131</v>
      </c>
      <c r="H1972" s="79" t="s">
        <v>1132</v>
      </c>
      <c r="I1972" s="79"/>
    </row>
    <row r="1973" spans="1:9" ht="14.25">
      <c r="A1973" s="79" t="s">
        <v>3796</v>
      </c>
      <c r="B1973" s="79" t="s">
        <v>3797</v>
      </c>
      <c r="C1973" s="79">
        <v>603040697</v>
      </c>
      <c r="D1973" s="79">
        <v>0</v>
      </c>
      <c r="E1973" s="79" t="s">
        <v>1124</v>
      </c>
      <c r="F1973" s="79" t="s">
        <v>2537</v>
      </c>
      <c r="G1973" s="79" t="s">
        <v>2576</v>
      </c>
      <c r="H1973" s="79"/>
      <c r="I1973" s="79"/>
    </row>
    <row r="1974" spans="1:9" ht="14.25">
      <c r="A1974" s="79" t="s">
        <v>3798</v>
      </c>
      <c r="B1974" s="79" t="s">
        <v>3799</v>
      </c>
      <c r="C1974" s="79">
        <v>603041297</v>
      </c>
      <c r="D1974" s="79">
        <v>0</v>
      </c>
      <c r="E1974" s="79" t="s">
        <v>1124</v>
      </c>
      <c r="F1974" s="79" t="s">
        <v>2537</v>
      </c>
      <c r="G1974" s="79" t="s">
        <v>2544</v>
      </c>
      <c r="H1974" s="79" t="s">
        <v>2545</v>
      </c>
      <c r="I1974" s="79"/>
    </row>
    <row r="1975" spans="1:9" ht="14.25">
      <c r="A1975" s="79" t="s">
        <v>3798</v>
      </c>
      <c r="B1975" s="79" t="s">
        <v>3799</v>
      </c>
      <c r="C1975" s="79">
        <v>603041297</v>
      </c>
      <c r="D1975" s="79">
        <v>0</v>
      </c>
      <c r="E1975" s="79" t="s">
        <v>1124</v>
      </c>
      <c r="F1975" s="79" t="s">
        <v>2537</v>
      </c>
      <c r="G1975" s="79" t="s">
        <v>2579</v>
      </c>
      <c r="H1975" s="79"/>
      <c r="I1975" s="79"/>
    </row>
    <row r="1976" spans="1:9" ht="14.25">
      <c r="A1976" s="79" t="s">
        <v>3800</v>
      </c>
      <c r="B1976" s="79" t="s">
        <v>3801</v>
      </c>
      <c r="C1976" s="79">
        <v>603083897</v>
      </c>
      <c r="D1976" s="79">
        <v>0</v>
      </c>
      <c r="E1976" s="79" t="s">
        <v>1124</v>
      </c>
      <c r="F1976" s="79" t="s">
        <v>2537</v>
      </c>
      <c r="G1976" s="79" t="s">
        <v>1130</v>
      </c>
      <c r="H1976" s="79"/>
      <c r="I1976" s="79"/>
    </row>
    <row r="1977" spans="1:9" ht="14.25">
      <c r="A1977" s="79" t="s">
        <v>3800</v>
      </c>
      <c r="B1977" s="79" t="s">
        <v>3801</v>
      </c>
      <c r="C1977" s="79">
        <v>603083897</v>
      </c>
      <c r="D1977" s="79">
        <v>0</v>
      </c>
      <c r="E1977" s="79" t="s">
        <v>1124</v>
      </c>
      <c r="F1977" s="79" t="s">
        <v>2537</v>
      </c>
      <c r="G1977" s="79" t="s">
        <v>1131</v>
      </c>
      <c r="H1977" s="79" t="s">
        <v>1132</v>
      </c>
      <c r="I1977" s="79"/>
    </row>
    <row r="1978" spans="1:9" ht="14.25">
      <c r="A1978" s="79" t="s">
        <v>3800</v>
      </c>
      <c r="B1978" s="79" t="s">
        <v>3801</v>
      </c>
      <c r="C1978" s="79">
        <v>603083897</v>
      </c>
      <c r="D1978" s="79">
        <v>0</v>
      </c>
      <c r="E1978" s="79" t="s">
        <v>1124</v>
      </c>
      <c r="F1978" s="79" t="s">
        <v>2537</v>
      </c>
      <c r="G1978" s="79" t="s">
        <v>2576</v>
      </c>
      <c r="H1978" s="79"/>
      <c r="I1978" s="79"/>
    </row>
    <row r="1979" spans="1:9" ht="14.25">
      <c r="A1979" s="79" t="s">
        <v>3802</v>
      </c>
      <c r="B1979" s="79" t="s">
        <v>3803</v>
      </c>
      <c r="C1979" s="79">
        <v>603084497</v>
      </c>
      <c r="D1979" s="79">
        <v>0</v>
      </c>
      <c r="E1979" s="79" t="s">
        <v>1124</v>
      </c>
      <c r="F1979" s="79" t="s">
        <v>2537</v>
      </c>
      <c r="G1979" s="79" t="s">
        <v>2544</v>
      </c>
      <c r="H1979" s="79" t="s">
        <v>2545</v>
      </c>
      <c r="I1979" s="79"/>
    </row>
    <row r="1980" spans="1:9" ht="14.25">
      <c r="A1980" s="79" t="s">
        <v>3802</v>
      </c>
      <c r="B1980" s="79" t="s">
        <v>3803</v>
      </c>
      <c r="C1980" s="79">
        <v>603084497</v>
      </c>
      <c r="D1980" s="79">
        <v>0</v>
      </c>
      <c r="E1980" s="79" t="s">
        <v>1124</v>
      </c>
      <c r="F1980" s="79" t="s">
        <v>2537</v>
      </c>
      <c r="G1980" s="79" t="s">
        <v>2579</v>
      </c>
      <c r="H1980" s="79"/>
      <c r="I1980" s="79"/>
    </row>
    <row r="1981" spans="1:9" ht="14.25">
      <c r="A1981" s="79" t="s">
        <v>3804</v>
      </c>
      <c r="B1981" s="79" t="s">
        <v>3805</v>
      </c>
      <c r="C1981" s="79">
        <v>603127097</v>
      </c>
      <c r="D1981" s="79">
        <v>0</v>
      </c>
      <c r="E1981" s="79" t="s">
        <v>1124</v>
      </c>
      <c r="F1981" s="79" t="s">
        <v>2537</v>
      </c>
      <c r="G1981" s="79" t="s">
        <v>1130</v>
      </c>
      <c r="H1981" s="79"/>
      <c r="I1981" s="79"/>
    </row>
    <row r="1982" spans="1:9" ht="14.25">
      <c r="A1982" s="79" t="s">
        <v>3804</v>
      </c>
      <c r="B1982" s="79" t="s">
        <v>3805</v>
      </c>
      <c r="C1982" s="79">
        <v>603127097</v>
      </c>
      <c r="D1982" s="79">
        <v>0</v>
      </c>
      <c r="E1982" s="79" t="s">
        <v>1124</v>
      </c>
      <c r="F1982" s="79" t="s">
        <v>2537</v>
      </c>
      <c r="G1982" s="79" t="s">
        <v>1131</v>
      </c>
      <c r="H1982" s="79" t="s">
        <v>1132</v>
      </c>
      <c r="I1982" s="79"/>
    </row>
    <row r="1983" spans="1:9" ht="14.25">
      <c r="A1983" s="79" t="s">
        <v>3804</v>
      </c>
      <c r="B1983" s="79" t="s">
        <v>3805</v>
      </c>
      <c r="C1983" s="79">
        <v>603127097</v>
      </c>
      <c r="D1983" s="79">
        <v>0</v>
      </c>
      <c r="E1983" s="79" t="s">
        <v>1124</v>
      </c>
      <c r="F1983" s="79" t="s">
        <v>2537</v>
      </c>
      <c r="G1983" s="79" t="s">
        <v>2576</v>
      </c>
      <c r="H1983" s="79"/>
      <c r="I1983" s="79"/>
    </row>
    <row r="1984" spans="1:9" ht="14.25">
      <c r="A1984" s="79" t="s">
        <v>3806</v>
      </c>
      <c r="B1984" s="79" t="s">
        <v>3807</v>
      </c>
      <c r="C1984" s="79">
        <v>603127697</v>
      </c>
      <c r="D1984" s="79">
        <v>0</v>
      </c>
      <c r="E1984" s="79" t="s">
        <v>1124</v>
      </c>
      <c r="F1984" s="79" t="s">
        <v>2537</v>
      </c>
      <c r="G1984" s="79" t="s">
        <v>2544</v>
      </c>
      <c r="H1984" s="79" t="s">
        <v>2545</v>
      </c>
      <c r="I1984" s="79"/>
    </row>
    <row r="1985" spans="1:9" ht="14.25">
      <c r="A1985" s="79" t="s">
        <v>3806</v>
      </c>
      <c r="B1985" s="79" t="s">
        <v>3807</v>
      </c>
      <c r="C1985" s="79">
        <v>603127697</v>
      </c>
      <c r="D1985" s="79">
        <v>0</v>
      </c>
      <c r="E1985" s="79" t="s">
        <v>1124</v>
      </c>
      <c r="F1985" s="79" t="s">
        <v>2537</v>
      </c>
      <c r="G1985" s="79" t="s">
        <v>2579</v>
      </c>
      <c r="H1985" s="79"/>
      <c r="I1985" s="79"/>
    </row>
    <row r="1986" spans="1:9" ht="14.25">
      <c r="A1986" s="79" t="s">
        <v>3808</v>
      </c>
      <c r="B1986" s="79" t="s">
        <v>3809</v>
      </c>
      <c r="C1986" s="79">
        <v>603170297</v>
      </c>
      <c r="D1986" s="79">
        <v>0</v>
      </c>
      <c r="E1986" s="79" t="s">
        <v>1124</v>
      </c>
      <c r="F1986" s="79" t="s">
        <v>2537</v>
      </c>
      <c r="G1986" s="79" t="s">
        <v>1130</v>
      </c>
      <c r="H1986" s="79"/>
      <c r="I1986" s="79"/>
    </row>
    <row r="1987" spans="1:9" ht="14.25">
      <c r="A1987" s="79" t="s">
        <v>3808</v>
      </c>
      <c r="B1987" s="79" t="s">
        <v>3809</v>
      </c>
      <c r="C1987" s="79">
        <v>603170297</v>
      </c>
      <c r="D1987" s="79">
        <v>0</v>
      </c>
      <c r="E1987" s="79" t="s">
        <v>1124</v>
      </c>
      <c r="F1987" s="79" t="s">
        <v>2537</v>
      </c>
      <c r="G1987" s="79" t="s">
        <v>1131</v>
      </c>
      <c r="H1987" s="79" t="s">
        <v>1132</v>
      </c>
      <c r="I1987" s="79"/>
    </row>
    <row r="1988" spans="1:9" ht="14.25">
      <c r="A1988" s="79" t="s">
        <v>3808</v>
      </c>
      <c r="B1988" s="79" t="s">
        <v>3809</v>
      </c>
      <c r="C1988" s="79">
        <v>603170297</v>
      </c>
      <c r="D1988" s="79">
        <v>0</v>
      </c>
      <c r="E1988" s="79" t="s">
        <v>1124</v>
      </c>
      <c r="F1988" s="79" t="s">
        <v>2537</v>
      </c>
      <c r="G1988" s="79" t="s">
        <v>2576</v>
      </c>
      <c r="H1988" s="79"/>
      <c r="I1988" s="79"/>
    </row>
    <row r="1989" spans="1:9" ht="14.25">
      <c r="A1989" s="79" t="s">
        <v>3810</v>
      </c>
      <c r="B1989" s="79" t="s">
        <v>3811</v>
      </c>
      <c r="C1989" s="79">
        <v>603170897</v>
      </c>
      <c r="D1989" s="79">
        <v>0</v>
      </c>
      <c r="E1989" s="79" t="s">
        <v>1124</v>
      </c>
      <c r="F1989" s="79" t="s">
        <v>2537</v>
      </c>
      <c r="G1989" s="79" t="s">
        <v>2544</v>
      </c>
      <c r="H1989" s="79" t="s">
        <v>2545</v>
      </c>
      <c r="I1989" s="79"/>
    </row>
    <row r="1990" spans="1:9" ht="14.25">
      <c r="A1990" s="79" t="s">
        <v>3810</v>
      </c>
      <c r="B1990" s="79" t="s">
        <v>3811</v>
      </c>
      <c r="C1990" s="79">
        <v>603170897</v>
      </c>
      <c r="D1990" s="79">
        <v>0</v>
      </c>
      <c r="E1990" s="79" t="s">
        <v>1124</v>
      </c>
      <c r="F1990" s="79" t="s">
        <v>2537</v>
      </c>
      <c r="G1990" s="79" t="s">
        <v>2579</v>
      </c>
      <c r="H1990" s="79"/>
      <c r="I1990" s="79"/>
    </row>
    <row r="1991" spans="1:9" ht="14.25">
      <c r="A1991" s="79" t="s">
        <v>3812</v>
      </c>
      <c r="B1991" s="79" t="s">
        <v>3813</v>
      </c>
      <c r="C1991" s="79">
        <v>603213497</v>
      </c>
      <c r="D1991" s="79">
        <v>0</v>
      </c>
      <c r="E1991" s="79" t="s">
        <v>1124</v>
      </c>
      <c r="F1991" s="79" t="s">
        <v>2537</v>
      </c>
      <c r="G1991" s="79" t="s">
        <v>1130</v>
      </c>
      <c r="H1991" s="79"/>
      <c r="I1991" s="79"/>
    </row>
    <row r="1992" spans="1:9" ht="14.25">
      <c r="A1992" s="79" t="s">
        <v>3812</v>
      </c>
      <c r="B1992" s="79" t="s">
        <v>3813</v>
      </c>
      <c r="C1992" s="79">
        <v>603213497</v>
      </c>
      <c r="D1992" s="79">
        <v>0</v>
      </c>
      <c r="E1992" s="79" t="s">
        <v>1124</v>
      </c>
      <c r="F1992" s="79" t="s">
        <v>2537</v>
      </c>
      <c r="G1992" s="79" t="s">
        <v>1131</v>
      </c>
      <c r="H1992" s="79" t="s">
        <v>1132</v>
      </c>
      <c r="I1992" s="79"/>
    </row>
    <row r="1993" spans="1:9" ht="14.25">
      <c r="A1993" s="79" t="s">
        <v>3812</v>
      </c>
      <c r="B1993" s="79" t="s">
        <v>3813</v>
      </c>
      <c r="C1993" s="79">
        <v>603213497</v>
      </c>
      <c r="D1993" s="79">
        <v>0</v>
      </c>
      <c r="E1993" s="79" t="s">
        <v>1124</v>
      </c>
      <c r="F1993" s="79" t="s">
        <v>2537</v>
      </c>
      <c r="G1993" s="79" t="s">
        <v>2576</v>
      </c>
      <c r="H1993" s="79"/>
      <c r="I1993" s="79"/>
    </row>
    <row r="1994" spans="1:9" ht="14.25">
      <c r="A1994" s="79" t="s">
        <v>3814</v>
      </c>
      <c r="B1994" s="79" t="s">
        <v>3815</v>
      </c>
      <c r="C1994" s="79">
        <v>603214097</v>
      </c>
      <c r="D1994" s="79">
        <v>0</v>
      </c>
      <c r="E1994" s="79" t="s">
        <v>1124</v>
      </c>
      <c r="F1994" s="79" t="s">
        <v>2537</v>
      </c>
      <c r="G1994" s="79" t="s">
        <v>2544</v>
      </c>
      <c r="H1994" s="79" t="s">
        <v>2545</v>
      </c>
      <c r="I1994" s="79"/>
    </row>
    <row r="1995" spans="1:9" ht="14.25">
      <c r="A1995" s="79" t="s">
        <v>3814</v>
      </c>
      <c r="B1995" s="79" t="s">
        <v>3815</v>
      </c>
      <c r="C1995" s="79">
        <v>603214097</v>
      </c>
      <c r="D1995" s="79">
        <v>0</v>
      </c>
      <c r="E1995" s="79" t="s">
        <v>1124</v>
      </c>
      <c r="F1995" s="79" t="s">
        <v>2537</v>
      </c>
      <c r="G1995" s="79" t="s">
        <v>2579</v>
      </c>
      <c r="H1995" s="79"/>
      <c r="I1995" s="79"/>
    </row>
    <row r="1996" spans="1:9" ht="14.25">
      <c r="A1996" s="79" t="s">
        <v>3816</v>
      </c>
      <c r="B1996" s="79" t="s">
        <v>3817</v>
      </c>
      <c r="C1996" s="79">
        <v>603256697</v>
      </c>
      <c r="D1996" s="79">
        <v>0</v>
      </c>
      <c r="E1996" s="79" t="s">
        <v>1124</v>
      </c>
      <c r="F1996" s="79" t="s">
        <v>2537</v>
      </c>
      <c r="G1996" s="79" t="s">
        <v>1130</v>
      </c>
      <c r="H1996" s="79"/>
      <c r="I1996" s="79"/>
    </row>
    <row r="1997" spans="1:9" ht="14.25">
      <c r="A1997" s="79" t="s">
        <v>3816</v>
      </c>
      <c r="B1997" s="79" t="s">
        <v>3817</v>
      </c>
      <c r="C1997" s="79">
        <v>603256697</v>
      </c>
      <c r="D1997" s="79">
        <v>0</v>
      </c>
      <c r="E1997" s="79" t="s">
        <v>1124</v>
      </c>
      <c r="F1997" s="79" t="s">
        <v>2537</v>
      </c>
      <c r="G1997" s="79" t="s">
        <v>1131</v>
      </c>
      <c r="H1997" s="79" t="s">
        <v>1132</v>
      </c>
      <c r="I1997" s="79"/>
    </row>
    <row r="1998" spans="1:9" ht="14.25">
      <c r="A1998" s="79" t="s">
        <v>3816</v>
      </c>
      <c r="B1998" s="79" t="s">
        <v>3817</v>
      </c>
      <c r="C1998" s="79">
        <v>603256697</v>
      </c>
      <c r="D1998" s="79">
        <v>0</v>
      </c>
      <c r="E1998" s="79" t="s">
        <v>1124</v>
      </c>
      <c r="F1998" s="79" t="s">
        <v>2537</v>
      </c>
      <c r="G1998" s="79" t="s">
        <v>2576</v>
      </c>
      <c r="H1998" s="79"/>
      <c r="I1998" s="79"/>
    </row>
    <row r="1999" spans="1:9" ht="14.25">
      <c r="A1999" s="79" t="s">
        <v>3818</v>
      </c>
      <c r="B1999" s="79" t="s">
        <v>3819</v>
      </c>
      <c r="C1999" s="79">
        <v>603257297</v>
      </c>
      <c r="D1999" s="79">
        <v>0</v>
      </c>
      <c r="E1999" s="79" t="s">
        <v>1124</v>
      </c>
      <c r="F1999" s="79" t="s">
        <v>2537</v>
      </c>
      <c r="G1999" s="79" t="s">
        <v>2544</v>
      </c>
      <c r="H1999" s="79" t="s">
        <v>2545</v>
      </c>
      <c r="I1999" s="79"/>
    </row>
    <row r="2000" spans="1:9" ht="14.25">
      <c r="A2000" s="79" t="s">
        <v>3818</v>
      </c>
      <c r="B2000" s="79" t="s">
        <v>3819</v>
      </c>
      <c r="C2000" s="79">
        <v>603257297</v>
      </c>
      <c r="D2000" s="79">
        <v>0</v>
      </c>
      <c r="E2000" s="79" t="s">
        <v>1124</v>
      </c>
      <c r="F2000" s="79" t="s">
        <v>2537</v>
      </c>
      <c r="G2000" s="79" t="s">
        <v>2579</v>
      </c>
      <c r="H2000" s="79"/>
      <c r="I2000" s="79"/>
    </row>
    <row r="2001" spans="1:9" ht="14.25">
      <c r="A2001" s="79" t="s">
        <v>3820</v>
      </c>
      <c r="B2001" s="79" t="s">
        <v>3821</v>
      </c>
      <c r="C2001" s="79">
        <v>603299897</v>
      </c>
      <c r="D2001" s="79">
        <v>0</v>
      </c>
      <c r="E2001" s="79" t="s">
        <v>1124</v>
      </c>
      <c r="F2001" s="79" t="s">
        <v>2537</v>
      </c>
      <c r="G2001" s="79" t="s">
        <v>1130</v>
      </c>
      <c r="H2001" s="79"/>
      <c r="I2001" s="79"/>
    </row>
    <row r="2002" spans="1:9" ht="14.25">
      <c r="A2002" s="79" t="s">
        <v>3820</v>
      </c>
      <c r="B2002" s="79" t="s">
        <v>3821</v>
      </c>
      <c r="C2002" s="79">
        <v>603299897</v>
      </c>
      <c r="D2002" s="79">
        <v>0</v>
      </c>
      <c r="E2002" s="79" t="s">
        <v>1124</v>
      </c>
      <c r="F2002" s="79" t="s">
        <v>2537</v>
      </c>
      <c r="G2002" s="79" t="s">
        <v>1131</v>
      </c>
      <c r="H2002" s="79" t="s">
        <v>1132</v>
      </c>
      <c r="I2002" s="79"/>
    </row>
    <row r="2003" spans="1:9" ht="14.25">
      <c r="A2003" s="79" t="s">
        <v>3820</v>
      </c>
      <c r="B2003" s="79" t="s">
        <v>3821</v>
      </c>
      <c r="C2003" s="79">
        <v>603299897</v>
      </c>
      <c r="D2003" s="79">
        <v>0</v>
      </c>
      <c r="E2003" s="79" t="s">
        <v>1124</v>
      </c>
      <c r="F2003" s="79" t="s">
        <v>2537</v>
      </c>
      <c r="G2003" s="79" t="s">
        <v>2576</v>
      </c>
      <c r="H2003" s="79"/>
      <c r="I2003" s="79"/>
    </row>
    <row r="2004" spans="1:9" ht="14.25">
      <c r="A2004" s="79" t="s">
        <v>3822</v>
      </c>
      <c r="B2004" s="79" t="s">
        <v>3823</v>
      </c>
      <c r="C2004" s="79">
        <v>603300497</v>
      </c>
      <c r="D2004" s="79">
        <v>0</v>
      </c>
      <c r="E2004" s="79" t="s">
        <v>1124</v>
      </c>
      <c r="F2004" s="79" t="s">
        <v>2537</v>
      </c>
      <c r="G2004" s="79" t="s">
        <v>2544</v>
      </c>
      <c r="H2004" s="79" t="s">
        <v>2545</v>
      </c>
      <c r="I2004" s="79"/>
    </row>
    <row r="2005" spans="1:9" ht="14.25">
      <c r="A2005" s="79" t="s">
        <v>3822</v>
      </c>
      <c r="B2005" s="79" t="s">
        <v>3823</v>
      </c>
      <c r="C2005" s="79">
        <v>603300497</v>
      </c>
      <c r="D2005" s="79">
        <v>0</v>
      </c>
      <c r="E2005" s="79" t="s">
        <v>1124</v>
      </c>
      <c r="F2005" s="79" t="s">
        <v>2537</v>
      </c>
      <c r="G2005" s="79" t="s">
        <v>2579</v>
      </c>
      <c r="H2005" s="79"/>
      <c r="I2005" s="79"/>
    </row>
    <row r="2006" spans="1:9" ht="14.25">
      <c r="A2006" s="79" t="s">
        <v>3824</v>
      </c>
      <c r="B2006" s="79" t="s">
        <v>3825</v>
      </c>
      <c r="C2006" s="79">
        <v>603343097</v>
      </c>
      <c r="D2006" s="79">
        <v>0</v>
      </c>
      <c r="E2006" s="79" t="s">
        <v>1124</v>
      </c>
      <c r="F2006" s="79" t="s">
        <v>2537</v>
      </c>
      <c r="G2006" s="79" t="s">
        <v>1130</v>
      </c>
      <c r="H2006" s="79"/>
      <c r="I2006" s="79"/>
    </row>
    <row r="2007" spans="1:9" ht="14.25">
      <c r="A2007" s="79" t="s">
        <v>3824</v>
      </c>
      <c r="B2007" s="79" t="s">
        <v>3825</v>
      </c>
      <c r="C2007" s="79">
        <v>603343097</v>
      </c>
      <c r="D2007" s="79">
        <v>0</v>
      </c>
      <c r="E2007" s="79" t="s">
        <v>1124</v>
      </c>
      <c r="F2007" s="79" t="s">
        <v>2537</v>
      </c>
      <c r="G2007" s="79" t="s">
        <v>1131</v>
      </c>
      <c r="H2007" s="79" t="s">
        <v>1132</v>
      </c>
      <c r="I2007" s="79"/>
    </row>
    <row r="2008" spans="1:9" ht="14.25">
      <c r="A2008" s="79" t="s">
        <v>3824</v>
      </c>
      <c r="B2008" s="79" t="s">
        <v>3825</v>
      </c>
      <c r="C2008" s="79">
        <v>603343097</v>
      </c>
      <c r="D2008" s="79">
        <v>0</v>
      </c>
      <c r="E2008" s="79" t="s">
        <v>1124</v>
      </c>
      <c r="F2008" s="79" t="s">
        <v>2537</v>
      </c>
      <c r="G2008" s="79" t="s">
        <v>2576</v>
      </c>
      <c r="H2008" s="79"/>
      <c r="I2008" s="79"/>
    </row>
    <row r="2009" spans="1:9" ht="14.25">
      <c r="A2009" s="79" t="s">
        <v>3826</v>
      </c>
      <c r="B2009" s="79" t="s">
        <v>3827</v>
      </c>
      <c r="C2009" s="79">
        <v>603343697</v>
      </c>
      <c r="D2009" s="79">
        <v>0</v>
      </c>
      <c r="E2009" s="79" t="s">
        <v>1124</v>
      </c>
      <c r="F2009" s="79" t="s">
        <v>2537</v>
      </c>
      <c r="G2009" s="79" t="s">
        <v>2544</v>
      </c>
      <c r="H2009" s="79" t="s">
        <v>2545</v>
      </c>
      <c r="I2009" s="79"/>
    </row>
    <row r="2010" spans="1:9" ht="14.25">
      <c r="A2010" s="79" t="s">
        <v>3826</v>
      </c>
      <c r="B2010" s="79" t="s">
        <v>3827</v>
      </c>
      <c r="C2010" s="79">
        <v>603343697</v>
      </c>
      <c r="D2010" s="79">
        <v>0</v>
      </c>
      <c r="E2010" s="79" t="s">
        <v>1124</v>
      </c>
      <c r="F2010" s="79" t="s">
        <v>2537</v>
      </c>
      <c r="G2010" s="79" t="s">
        <v>2579</v>
      </c>
      <c r="H2010" s="79"/>
      <c r="I2010" s="79"/>
    </row>
    <row r="2011" spans="1:9" ht="14.25">
      <c r="A2011" s="79" t="s">
        <v>3828</v>
      </c>
      <c r="B2011" s="79" t="s">
        <v>3829</v>
      </c>
      <c r="C2011" s="79">
        <v>603386297</v>
      </c>
      <c r="D2011" s="79">
        <v>0</v>
      </c>
      <c r="E2011" s="79" t="s">
        <v>1124</v>
      </c>
      <c r="F2011" s="79" t="s">
        <v>2537</v>
      </c>
      <c r="G2011" s="79" t="s">
        <v>1130</v>
      </c>
      <c r="H2011" s="79"/>
      <c r="I2011" s="79"/>
    </row>
    <row r="2012" spans="1:9" ht="14.25">
      <c r="A2012" s="79" t="s">
        <v>3828</v>
      </c>
      <c r="B2012" s="79" t="s">
        <v>3829</v>
      </c>
      <c r="C2012" s="79">
        <v>603386297</v>
      </c>
      <c r="D2012" s="79">
        <v>0</v>
      </c>
      <c r="E2012" s="79" t="s">
        <v>1124</v>
      </c>
      <c r="F2012" s="79" t="s">
        <v>2537</v>
      </c>
      <c r="G2012" s="79" t="s">
        <v>1131</v>
      </c>
      <c r="H2012" s="79" t="s">
        <v>1132</v>
      </c>
      <c r="I2012" s="79"/>
    </row>
    <row r="2013" spans="1:9" ht="14.25">
      <c r="A2013" s="79" t="s">
        <v>3828</v>
      </c>
      <c r="B2013" s="79" t="s">
        <v>3829</v>
      </c>
      <c r="C2013" s="79">
        <v>603386297</v>
      </c>
      <c r="D2013" s="79">
        <v>0</v>
      </c>
      <c r="E2013" s="79" t="s">
        <v>1124</v>
      </c>
      <c r="F2013" s="79" t="s">
        <v>2537</v>
      </c>
      <c r="G2013" s="79" t="s">
        <v>2576</v>
      </c>
      <c r="H2013" s="79"/>
      <c r="I2013" s="79"/>
    </row>
    <row r="2014" spans="1:9" ht="14.25">
      <c r="A2014" s="79" t="s">
        <v>3830</v>
      </c>
      <c r="B2014" s="79" t="s">
        <v>3831</v>
      </c>
      <c r="C2014" s="79">
        <v>603386897</v>
      </c>
      <c r="D2014" s="79">
        <v>0</v>
      </c>
      <c r="E2014" s="79" t="s">
        <v>1124</v>
      </c>
      <c r="F2014" s="79" t="s">
        <v>2537</v>
      </c>
      <c r="G2014" s="79" t="s">
        <v>2544</v>
      </c>
      <c r="H2014" s="79" t="s">
        <v>2545</v>
      </c>
      <c r="I2014" s="79"/>
    </row>
    <row r="2015" spans="1:9" ht="14.25">
      <c r="A2015" s="79" t="s">
        <v>3830</v>
      </c>
      <c r="B2015" s="79" t="s">
        <v>3831</v>
      </c>
      <c r="C2015" s="79">
        <v>603386897</v>
      </c>
      <c r="D2015" s="79">
        <v>0</v>
      </c>
      <c r="E2015" s="79" t="s">
        <v>1124</v>
      </c>
      <c r="F2015" s="79" t="s">
        <v>2537</v>
      </c>
      <c r="G2015" s="79" t="s">
        <v>2579</v>
      </c>
      <c r="H2015" s="79"/>
      <c r="I2015" s="79"/>
    </row>
    <row r="2016" spans="1:9" ht="14.25">
      <c r="A2016" s="79" t="s">
        <v>3832</v>
      </c>
      <c r="B2016" s="79" t="s">
        <v>3833</v>
      </c>
      <c r="C2016" s="79">
        <v>603429497</v>
      </c>
      <c r="D2016" s="79">
        <v>0</v>
      </c>
      <c r="E2016" s="79" t="s">
        <v>1124</v>
      </c>
      <c r="F2016" s="79" t="s">
        <v>2537</v>
      </c>
      <c r="G2016" s="79" t="s">
        <v>1130</v>
      </c>
      <c r="H2016" s="79"/>
      <c r="I2016" s="79"/>
    </row>
    <row r="2017" spans="1:9" ht="14.25">
      <c r="A2017" s="79" t="s">
        <v>3832</v>
      </c>
      <c r="B2017" s="79" t="s">
        <v>3833</v>
      </c>
      <c r="C2017" s="79">
        <v>603429497</v>
      </c>
      <c r="D2017" s="79">
        <v>0</v>
      </c>
      <c r="E2017" s="79" t="s">
        <v>1124</v>
      </c>
      <c r="F2017" s="79" t="s">
        <v>2537</v>
      </c>
      <c r="G2017" s="79" t="s">
        <v>1131</v>
      </c>
      <c r="H2017" s="79" t="s">
        <v>1132</v>
      </c>
      <c r="I2017" s="79"/>
    </row>
    <row r="2018" spans="1:9" ht="14.25">
      <c r="A2018" s="79" t="s">
        <v>3832</v>
      </c>
      <c r="B2018" s="79" t="s">
        <v>3833</v>
      </c>
      <c r="C2018" s="79">
        <v>603429497</v>
      </c>
      <c r="D2018" s="79">
        <v>0</v>
      </c>
      <c r="E2018" s="79" t="s">
        <v>1124</v>
      </c>
      <c r="F2018" s="79" t="s">
        <v>2537</v>
      </c>
      <c r="G2018" s="79" t="s">
        <v>2576</v>
      </c>
      <c r="H2018" s="79"/>
      <c r="I2018" s="79"/>
    </row>
    <row r="2019" spans="1:9" ht="14.25">
      <c r="A2019" s="79" t="s">
        <v>3834</v>
      </c>
      <c r="B2019" s="79" t="s">
        <v>3835</v>
      </c>
      <c r="C2019" s="79">
        <v>603430097</v>
      </c>
      <c r="D2019" s="79">
        <v>0</v>
      </c>
      <c r="E2019" s="79" t="s">
        <v>1124</v>
      </c>
      <c r="F2019" s="79" t="s">
        <v>2537</v>
      </c>
      <c r="G2019" s="79" t="s">
        <v>2544</v>
      </c>
      <c r="H2019" s="79" t="s">
        <v>2545</v>
      </c>
      <c r="I2019" s="79"/>
    </row>
    <row r="2020" spans="1:9" ht="14.25">
      <c r="A2020" s="79" t="s">
        <v>3834</v>
      </c>
      <c r="B2020" s="79" t="s">
        <v>3835</v>
      </c>
      <c r="C2020" s="79">
        <v>603430097</v>
      </c>
      <c r="D2020" s="79">
        <v>0</v>
      </c>
      <c r="E2020" s="79" t="s">
        <v>1124</v>
      </c>
      <c r="F2020" s="79" t="s">
        <v>2537</v>
      </c>
      <c r="G2020" s="79" t="s">
        <v>2579</v>
      </c>
      <c r="H2020" s="79"/>
      <c r="I2020" s="79"/>
    </row>
    <row r="2021" spans="1:9" ht="14.25">
      <c r="A2021" s="79" t="s">
        <v>3836</v>
      </c>
      <c r="B2021" s="79" t="s">
        <v>3837</v>
      </c>
      <c r="C2021" s="79">
        <v>603472697</v>
      </c>
      <c r="D2021" s="79">
        <v>0</v>
      </c>
      <c r="E2021" s="79" t="s">
        <v>1124</v>
      </c>
      <c r="F2021" s="79" t="s">
        <v>2537</v>
      </c>
      <c r="G2021" s="79" t="s">
        <v>1130</v>
      </c>
      <c r="H2021" s="79"/>
      <c r="I2021" s="79"/>
    </row>
    <row r="2022" spans="1:9" ht="14.25">
      <c r="A2022" s="79" t="s">
        <v>3836</v>
      </c>
      <c r="B2022" s="79" t="s">
        <v>3837</v>
      </c>
      <c r="C2022" s="79">
        <v>603472697</v>
      </c>
      <c r="D2022" s="79">
        <v>0</v>
      </c>
      <c r="E2022" s="79" t="s">
        <v>1124</v>
      </c>
      <c r="F2022" s="79" t="s">
        <v>2537</v>
      </c>
      <c r="G2022" s="79" t="s">
        <v>1131</v>
      </c>
      <c r="H2022" s="79" t="s">
        <v>1132</v>
      </c>
      <c r="I2022" s="79"/>
    </row>
    <row r="2023" spans="1:9" ht="14.25">
      <c r="A2023" s="79" t="s">
        <v>3836</v>
      </c>
      <c r="B2023" s="79" t="s">
        <v>3837</v>
      </c>
      <c r="C2023" s="79">
        <v>603472697</v>
      </c>
      <c r="D2023" s="79">
        <v>0</v>
      </c>
      <c r="E2023" s="79" t="s">
        <v>1124</v>
      </c>
      <c r="F2023" s="79" t="s">
        <v>2537</v>
      </c>
      <c r="G2023" s="79" t="s">
        <v>2576</v>
      </c>
      <c r="H2023" s="79"/>
      <c r="I2023" s="79"/>
    </row>
    <row r="2024" spans="1:9" ht="14.25">
      <c r="A2024" s="79" t="s">
        <v>3838</v>
      </c>
      <c r="B2024" s="79" t="s">
        <v>3839</v>
      </c>
      <c r="C2024" s="79">
        <v>603473297</v>
      </c>
      <c r="D2024" s="79">
        <v>0</v>
      </c>
      <c r="E2024" s="79" t="s">
        <v>1124</v>
      </c>
      <c r="F2024" s="79" t="s">
        <v>2537</v>
      </c>
      <c r="G2024" s="79" t="s">
        <v>2544</v>
      </c>
      <c r="H2024" s="79" t="s">
        <v>2545</v>
      </c>
      <c r="I2024" s="79"/>
    </row>
    <row r="2025" spans="1:9" ht="14.25">
      <c r="A2025" s="79" t="s">
        <v>3838</v>
      </c>
      <c r="B2025" s="79" t="s">
        <v>3839</v>
      </c>
      <c r="C2025" s="79">
        <v>603473297</v>
      </c>
      <c r="D2025" s="79">
        <v>0</v>
      </c>
      <c r="E2025" s="79" t="s">
        <v>1124</v>
      </c>
      <c r="F2025" s="79" t="s">
        <v>2537</v>
      </c>
      <c r="G2025" s="79" t="s">
        <v>2579</v>
      </c>
      <c r="H2025" s="79"/>
      <c r="I2025" s="79"/>
    </row>
    <row r="2026" spans="1:9" ht="14.25">
      <c r="A2026" s="79" t="s">
        <v>3840</v>
      </c>
      <c r="B2026" s="79" t="s">
        <v>3841</v>
      </c>
      <c r="C2026" s="79">
        <v>603515897</v>
      </c>
      <c r="D2026" s="79">
        <v>0</v>
      </c>
      <c r="E2026" s="79" t="s">
        <v>1124</v>
      </c>
      <c r="F2026" s="79" t="s">
        <v>2537</v>
      </c>
      <c r="G2026" s="79" t="s">
        <v>1130</v>
      </c>
      <c r="H2026" s="79"/>
      <c r="I2026" s="79"/>
    </row>
    <row r="2027" spans="1:9" ht="14.25">
      <c r="A2027" s="79" t="s">
        <v>3840</v>
      </c>
      <c r="B2027" s="79" t="s">
        <v>3841</v>
      </c>
      <c r="C2027" s="79">
        <v>603515897</v>
      </c>
      <c r="D2027" s="79">
        <v>0</v>
      </c>
      <c r="E2027" s="79" t="s">
        <v>1124</v>
      </c>
      <c r="F2027" s="79" t="s">
        <v>2537</v>
      </c>
      <c r="G2027" s="79" t="s">
        <v>1131</v>
      </c>
      <c r="H2027" s="79" t="s">
        <v>1132</v>
      </c>
      <c r="I2027" s="79"/>
    </row>
    <row r="2028" spans="1:9" ht="14.25">
      <c r="A2028" s="79" t="s">
        <v>3840</v>
      </c>
      <c r="B2028" s="79" t="s">
        <v>3841</v>
      </c>
      <c r="C2028" s="79">
        <v>603515897</v>
      </c>
      <c r="D2028" s="79">
        <v>0</v>
      </c>
      <c r="E2028" s="79" t="s">
        <v>1124</v>
      </c>
      <c r="F2028" s="79" t="s">
        <v>2537</v>
      </c>
      <c r="G2028" s="79" t="s">
        <v>2576</v>
      </c>
      <c r="H2028" s="79"/>
      <c r="I2028" s="79"/>
    </row>
    <row r="2029" spans="1:9" ht="14.25">
      <c r="A2029" s="79" t="s">
        <v>3842</v>
      </c>
      <c r="B2029" s="79" t="s">
        <v>3843</v>
      </c>
      <c r="C2029" s="79">
        <v>603516497</v>
      </c>
      <c r="D2029" s="79">
        <v>0</v>
      </c>
      <c r="E2029" s="79" t="s">
        <v>1124</v>
      </c>
      <c r="F2029" s="79" t="s">
        <v>2537</v>
      </c>
      <c r="G2029" s="79" t="s">
        <v>2544</v>
      </c>
      <c r="H2029" s="79" t="s">
        <v>2545</v>
      </c>
      <c r="I2029" s="79"/>
    </row>
    <row r="2030" spans="1:9" ht="14.25">
      <c r="A2030" s="79" t="s">
        <v>3842</v>
      </c>
      <c r="B2030" s="79" t="s">
        <v>3843</v>
      </c>
      <c r="C2030" s="79">
        <v>603516497</v>
      </c>
      <c r="D2030" s="79">
        <v>0</v>
      </c>
      <c r="E2030" s="79" t="s">
        <v>1124</v>
      </c>
      <c r="F2030" s="79" t="s">
        <v>2537</v>
      </c>
      <c r="G2030" s="79" t="s">
        <v>2579</v>
      </c>
      <c r="H2030" s="79"/>
      <c r="I2030" s="79"/>
    </row>
    <row r="2031" spans="1:9" ht="14.25">
      <c r="A2031" s="79" t="s">
        <v>3844</v>
      </c>
      <c r="B2031" s="79" t="s">
        <v>3845</v>
      </c>
      <c r="C2031" s="79">
        <v>603559097</v>
      </c>
      <c r="D2031" s="79">
        <v>0</v>
      </c>
      <c r="E2031" s="79" t="s">
        <v>1124</v>
      </c>
      <c r="F2031" s="79" t="s">
        <v>2537</v>
      </c>
      <c r="G2031" s="79" t="s">
        <v>1130</v>
      </c>
      <c r="H2031" s="79"/>
      <c r="I2031" s="79"/>
    </row>
    <row r="2032" spans="1:9" ht="14.25">
      <c r="A2032" s="79" t="s">
        <v>3844</v>
      </c>
      <c r="B2032" s="79" t="s">
        <v>3845</v>
      </c>
      <c r="C2032" s="79">
        <v>603559097</v>
      </c>
      <c r="D2032" s="79">
        <v>0</v>
      </c>
      <c r="E2032" s="79" t="s">
        <v>1124</v>
      </c>
      <c r="F2032" s="79" t="s">
        <v>2537</v>
      </c>
      <c r="G2032" s="79" t="s">
        <v>1131</v>
      </c>
      <c r="H2032" s="79" t="s">
        <v>1132</v>
      </c>
      <c r="I2032" s="79"/>
    </row>
    <row r="2033" spans="1:9" ht="14.25">
      <c r="A2033" s="79" t="s">
        <v>3844</v>
      </c>
      <c r="B2033" s="79" t="s">
        <v>3845</v>
      </c>
      <c r="C2033" s="79">
        <v>603559097</v>
      </c>
      <c r="D2033" s="79">
        <v>0</v>
      </c>
      <c r="E2033" s="79" t="s">
        <v>1124</v>
      </c>
      <c r="F2033" s="79" t="s">
        <v>2537</v>
      </c>
      <c r="G2033" s="79" t="s">
        <v>2576</v>
      </c>
      <c r="H2033" s="79"/>
      <c r="I2033" s="79"/>
    </row>
    <row r="2034" spans="1:9" ht="14.25">
      <c r="A2034" s="79" t="s">
        <v>3846</v>
      </c>
      <c r="B2034" s="79" t="s">
        <v>3847</v>
      </c>
      <c r="C2034" s="79">
        <v>603559697</v>
      </c>
      <c r="D2034" s="79">
        <v>0</v>
      </c>
      <c r="E2034" s="79" t="s">
        <v>1124</v>
      </c>
      <c r="F2034" s="79" t="s">
        <v>2537</v>
      </c>
      <c r="G2034" s="79" t="s">
        <v>2544</v>
      </c>
      <c r="H2034" s="79" t="s">
        <v>2545</v>
      </c>
      <c r="I2034" s="79"/>
    </row>
    <row r="2035" spans="1:9" ht="14.25">
      <c r="A2035" s="79" t="s">
        <v>3846</v>
      </c>
      <c r="B2035" s="79" t="s">
        <v>3847</v>
      </c>
      <c r="C2035" s="79">
        <v>603559697</v>
      </c>
      <c r="D2035" s="79">
        <v>0</v>
      </c>
      <c r="E2035" s="79" t="s">
        <v>1124</v>
      </c>
      <c r="F2035" s="79" t="s">
        <v>2537</v>
      </c>
      <c r="G2035" s="79" t="s">
        <v>2579</v>
      </c>
      <c r="H2035" s="79"/>
      <c r="I2035" s="79"/>
    </row>
    <row r="2036" spans="1:9" ht="14.25">
      <c r="A2036" s="79" t="s">
        <v>3848</v>
      </c>
      <c r="B2036" s="79" t="s">
        <v>3849</v>
      </c>
      <c r="C2036" s="79">
        <v>603602297</v>
      </c>
      <c r="D2036" s="79">
        <v>0</v>
      </c>
      <c r="E2036" s="79" t="s">
        <v>1124</v>
      </c>
      <c r="F2036" s="79" t="s">
        <v>2537</v>
      </c>
      <c r="G2036" s="79" t="s">
        <v>1130</v>
      </c>
      <c r="H2036" s="79"/>
      <c r="I2036" s="79"/>
    </row>
    <row r="2037" spans="1:9" ht="14.25">
      <c r="A2037" s="79" t="s">
        <v>3848</v>
      </c>
      <c r="B2037" s="79" t="s">
        <v>3849</v>
      </c>
      <c r="C2037" s="79">
        <v>603602297</v>
      </c>
      <c r="D2037" s="79">
        <v>0</v>
      </c>
      <c r="E2037" s="79" t="s">
        <v>1124</v>
      </c>
      <c r="F2037" s="79" t="s">
        <v>2537</v>
      </c>
      <c r="G2037" s="79" t="s">
        <v>1131</v>
      </c>
      <c r="H2037" s="79" t="s">
        <v>1132</v>
      </c>
      <c r="I2037" s="79"/>
    </row>
    <row r="2038" spans="1:9" ht="14.25">
      <c r="A2038" s="79" t="s">
        <v>3848</v>
      </c>
      <c r="B2038" s="79" t="s">
        <v>3849</v>
      </c>
      <c r="C2038" s="79">
        <v>603602297</v>
      </c>
      <c r="D2038" s="79">
        <v>0</v>
      </c>
      <c r="E2038" s="79" t="s">
        <v>1124</v>
      </c>
      <c r="F2038" s="79" t="s">
        <v>2537</v>
      </c>
      <c r="G2038" s="79" t="s">
        <v>2576</v>
      </c>
      <c r="H2038" s="79"/>
      <c r="I2038" s="79"/>
    </row>
    <row r="2039" spans="1:9" ht="14.25">
      <c r="A2039" s="79" t="s">
        <v>3850</v>
      </c>
      <c r="B2039" s="79" t="s">
        <v>3851</v>
      </c>
      <c r="C2039" s="79">
        <v>603602897</v>
      </c>
      <c r="D2039" s="79">
        <v>0</v>
      </c>
      <c r="E2039" s="79" t="s">
        <v>1124</v>
      </c>
      <c r="F2039" s="79" t="s">
        <v>2537</v>
      </c>
      <c r="G2039" s="79" t="s">
        <v>2544</v>
      </c>
      <c r="H2039" s="79" t="s">
        <v>2545</v>
      </c>
      <c r="I2039" s="79"/>
    </row>
    <row r="2040" spans="1:9" ht="14.25">
      <c r="A2040" s="79" t="s">
        <v>3850</v>
      </c>
      <c r="B2040" s="79" t="s">
        <v>3851</v>
      </c>
      <c r="C2040" s="79">
        <v>603602897</v>
      </c>
      <c r="D2040" s="79">
        <v>0</v>
      </c>
      <c r="E2040" s="79" t="s">
        <v>1124</v>
      </c>
      <c r="F2040" s="79" t="s">
        <v>2537</v>
      </c>
      <c r="G2040" s="79" t="s">
        <v>2579</v>
      </c>
      <c r="H2040" s="79"/>
      <c r="I2040" s="79"/>
    </row>
    <row r="2041" spans="1:9" ht="14.25">
      <c r="A2041" s="79" t="s">
        <v>3852</v>
      </c>
      <c r="B2041" s="79" t="s">
        <v>3853</v>
      </c>
      <c r="C2041" s="79">
        <v>603645497</v>
      </c>
      <c r="D2041" s="79">
        <v>0</v>
      </c>
      <c r="E2041" s="79" t="s">
        <v>1124</v>
      </c>
      <c r="F2041" s="79" t="s">
        <v>2537</v>
      </c>
      <c r="G2041" s="79" t="s">
        <v>1130</v>
      </c>
      <c r="H2041" s="79"/>
      <c r="I2041" s="79"/>
    </row>
    <row r="2042" spans="1:9" ht="14.25">
      <c r="A2042" s="79" t="s">
        <v>3852</v>
      </c>
      <c r="B2042" s="79" t="s">
        <v>3853</v>
      </c>
      <c r="C2042" s="79">
        <v>603645497</v>
      </c>
      <c r="D2042" s="79">
        <v>0</v>
      </c>
      <c r="E2042" s="79" t="s">
        <v>1124</v>
      </c>
      <c r="F2042" s="79" t="s">
        <v>2537</v>
      </c>
      <c r="G2042" s="79" t="s">
        <v>1131</v>
      </c>
      <c r="H2042" s="79" t="s">
        <v>1132</v>
      </c>
      <c r="I2042" s="79"/>
    </row>
    <row r="2043" spans="1:9" ht="14.25">
      <c r="A2043" s="79" t="s">
        <v>3852</v>
      </c>
      <c r="B2043" s="79" t="s">
        <v>3853</v>
      </c>
      <c r="C2043" s="79">
        <v>603645497</v>
      </c>
      <c r="D2043" s="79">
        <v>0</v>
      </c>
      <c r="E2043" s="79" t="s">
        <v>1124</v>
      </c>
      <c r="F2043" s="79" t="s">
        <v>2537</v>
      </c>
      <c r="G2043" s="79" t="s">
        <v>2576</v>
      </c>
      <c r="H2043" s="79"/>
      <c r="I2043" s="79"/>
    </row>
    <row r="2044" spans="1:9" ht="14.25">
      <c r="A2044" s="79" t="s">
        <v>3854</v>
      </c>
      <c r="B2044" s="79" t="s">
        <v>3855</v>
      </c>
      <c r="C2044" s="79">
        <v>603646097</v>
      </c>
      <c r="D2044" s="79">
        <v>0</v>
      </c>
      <c r="E2044" s="79" t="s">
        <v>1124</v>
      </c>
      <c r="F2044" s="79" t="s">
        <v>2537</v>
      </c>
      <c r="G2044" s="79" t="s">
        <v>2544</v>
      </c>
      <c r="H2044" s="79" t="s">
        <v>2545</v>
      </c>
      <c r="I2044" s="79"/>
    </row>
    <row r="2045" spans="1:9" ht="14.25">
      <c r="A2045" s="79" t="s">
        <v>3854</v>
      </c>
      <c r="B2045" s="79" t="s">
        <v>3855</v>
      </c>
      <c r="C2045" s="79">
        <v>603646097</v>
      </c>
      <c r="D2045" s="79">
        <v>0</v>
      </c>
      <c r="E2045" s="79" t="s">
        <v>1124</v>
      </c>
      <c r="F2045" s="79" t="s">
        <v>2537</v>
      </c>
      <c r="G2045" s="79" t="s">
        <v>2579</v>
      </c>
      <c r="H2045" s="79"/>
      <c r="I2045" s="79"/>
    </row>
    <row r="2046" spans="1:9" ht="14.25">
      <c r="A2046" s="79" t="s">
        <v>3856</v>
      </c>
      <c r="B2046" s="79" t="s">
        <v>3857</v>
      </c>
      <c r="C2046" s="79">
        <v>603688697</v>
      </c>
      <c r="D2046" s="79">
        <v>0</v>
      </c>
      <c r="E2046" s="79" t="s">
        <v>1124</v>
      </c>
      <c r="F2046" s="79" t="s">
        <v>2537</v>
      </c>
      <c r="G2046" s="79" t="s">
        <v>1130</v>
      </c>
      <c r="H2046" s="79"/>
      <c r="I2046" s="79"/>
    </row>
    <row r="2047" spans="1:9" ht="14.25">
      <c r="A2047" s="79" t="s">
        <v>3856</v>
      </c>
      <c r="B2047" s="79" t="s">
        <v>3857</v>
      </c>
      <c r="C2047" s="79">
        <v>603688697</v>
      </c>
      <c r="D2047" s="79">
        <v>0</v>
      </c>
      <c r="E2047" s="79" t="s">
        <v>1124</v>
      </c>
      <c r="F2047" s="79" t="s">
        <v>2537</v>
      </c>
      <c r="G2047" s="79" t="s">
        <v>1131</v>
      </c>
      <c r="H2047" s="79" t="s">
        <v>1132</v>
      </c>
      <c r="I2047" s="79"/>
    </row>
    <row r="2048" spans="1:9" ht="14.25">
      <c r="A2048" s="79" t="s">
        <v>3856</v>
      </c>
      <c r="B2048" s="79" t="s">
        <v>3857</v>
      </c>
      <c r="C2048" s="79">
        <v>603688697</v>
      </c>
      <c r="D2048" s="79">
        <v>0</v>
      </c>
      <c r="E2048" s="79" t="s">
        <v>1124</v>
      </c>
      <c r="F2048" s="79" t="s">
        <v>2537</v>
      </c>
      <c r="G2048" s="79" t="s">
        <v>2576</v>
      </c>
      <c r="H2048" s="79"/>
      <c r="I2048" s="79"/>
    </row>
    <row r="2049" spans="1:9" ht="14.25">
      <c r="A2049" s="79" t="s">
        <v>3858</v>
      </c>
      <c r="B2049" s="79" t="s">
        <v>3859</v>
      </c>
      <c r="C2049" s="79">
        <v>603689297</v>
      </c>
      <c r="D2049" s="79">
        <v>0</v>
      </c>
      <c r="E2049" s="79" t="s">
        <v>1124</v>
      </c>
      <c r="F2049" s="79" t="s">
        <v>2537</v>
      </c>
      <c r="G2049" s="79" t="s">
        <v>2544</v>
      </c>
      <c r="H2049" s="79" t="s">
        <v>2545</v>
      </c>
      <c r="I2049" s="79"/>
    </row>
    <row r="2050" spans="1:9" ht="14.25">
      <c r="A2050" s="79" t="s">
        <v>3858</v>
      </c>
      <c r="B2050" s="79" t="s">
        <v>3859</v>
      </c>
      <c r="C2050" s="79">
        <v>603689297</v>
      </c>
      <c r="D2050" s="79">
        <v>0</v>
      </c>
      <c r="E2050" s="79" t="s">
        <v>1124</v>
      </c>
      <c r="F2050" s="79" t="s">
        <v>2537</v>
      </c>
      <c r="G2050" s="79" t="s">
        <v>2579</v>
      </c>
      <c r="H2050" s="79"/>
      <c r="I2050" s="79"/>
    </row>
    <row r="2051" spans="1:9" ht="14.25">
      <c r="A2051" s="79" t="s">
        <v>3860</v>
      </c>
      <c r="B2051" s="79" t="s">
        <v>3861</v>
      </c>
      <c r="C2051" s="79">
        <v>603731897</v>
      </c>
      <c r="D2051" s="79">
        <v>0</v>
      </c>
      <c r="E2051" s="79" t="s">
        <v>1124</v>
      </c>
      <c r="F2051" s="79" t="s">
        <v>2537</v>
      </c>
      <c r="G2051" s="79" t="s">
        <v>1130</v>
      </c>
      <c r="H2051" s="79"/>
      <c r="I2051" s="79"/>
    </row>
    <row r="2052" spans="1:9" ht="14.25">
      <c r="A2052" s="79" t="s">
        <v>3860</v>
      </c>
      <c r="B2052" s="79" t="s">
        <v>3861</v>
      </c>
      <c r="C2052" s="79">
        <v>603731897</v>
      </c>
      <c r="D2052" s="79">
        <v>0</v>
      </c>
      <c r="E2052" s="79" t="s">
        <v>1124</v>
      </c>
      <c r="F2052" s="79" t="s">
        <v>2537</v>
      </c>
      <c r="G2052" s="79" t="s">
        <v>1131</v>
      </c>
      <c r="H2052" s="79" t="s">
        <v>1132</v>
      </c>
      <c r="I2052" s="79"/>
    </row>
    <row r="2053" spans="1:9" ht="14.25">
      <c r="A2053" s="79" t="s">
        <v>3860</v>
      </c>
      <c r="B2053" s="79" t="s">
        <v>3861</v>
      </c>
      <c r="C2053" s="79">
        <v>603731897</v>
      </c>
      <c r="D2053" s="79">
        <v>0</v>
      </c>
      <c r="E2053" s="79" t="s">
        <v>1124</v>
      </c>
      <c r="F2053" s="79" t="s">
        <v>2537</v>
      </c>
      <c r="G2053" s="79" t="s">
        <v>2576</v>
      </c>
      <c r="H2053" s="79"/>
      <c r="I2053" s="79"/>
    </row>
    <row r="2054" spans="1:9" ht="14.25">
      <c r="A2054" s="79" t="s">
        <v>3862</v>
      </c>
      <c r="B2054" s="79" t="s">
        <v>3863</v>
      </c>
      <c r="C2054" s="79">
        <v>603732497</v>
      </c>
      <c r="D2054" s="79">
        <v>0</v>
      </c>
      <c r="E2054" s="79" t="s">
        <v>1124</v>
      </c>
      <c r="F2054" s="79" t="s">
        <v>2537</v>
      </c>
      <c r="G2054" s="79" t="s">
        <v>2544</v>
      </c>
      <c r="H2054" s="79" t="s">
        <v>2545</v>
      </c>
      <c r="I2054" s="79"/>
    </row>
    <row r="2055" spans="1:9" ht="14.25">
      <c r="A2055" s="79" t="s">
        <v>3862</v>
      </c>
      <c r="B2055" s="79" t="s">
        <v>3863</v>
      </c>
      <c r="C2055" s="79">
        <v>603732497</v>
      </c>
      <c r="D2055" s="79">
        <v>0</v>
      </c>
      <c r="E2055" s="79" t="s">
        <v>1124</v>
      </c>
      <c r="F2055" s="79" t="s">
        <v>2537</v>
      </c>
      <c r="G2055" s="79" t="s">
        <v>2579</v>
      </c>
      <c r="H2055" s="79"/>
      <c r="I2055" s="79"/>
    </row>
    <row r="2056" spans="1:9" ht="14.25">
      <c r="A2056" s="79" t="s">
        <v>3864</v>
      </c>
      <c r="B2056" s="79" t="s">
        <v>3865</v>
      </c>
      <c r="C2056" s="79">
        <v>603775097</v>
      </c>
      <c r="D2056" s="79">
        <v>0</v>
      </c>
      <c r="E2056" s="79" t="s">
        <v>1124</v>
      </c>
      <c r="F2056" s="79" t="s">
        <v>2537</v>
      </c>
      <c r="G2056" s="79" t="s">
        <v>1130</v>
      </c>
      <c r="H2056" s="79"/>
      <c r="I2056" s="79"/>
    </row>
    <row r="2057" spans="1:9" ht="14.25">
      <c r="A2057" s="79" t="s">
        <v>3864</v>
      </c>
      <c r="B2057" s="79" t="s">
        <v>3865</v>
      </c>
      <c r="C2057" s="79">
        <v>603775097</v>
      </c>
      <c r="D2057" s="79">
        <v>0</v>
      </c>
      <c r="E2057" s="79" t="s">
        <v>1124</v>
      </c>
      <c r="F2057" s="79" t="s">
        <v>2537</v>
      </c>
      <c r="G2057" s="79" t="s">
        <v>1131</v>
      </c>
      <c r="H2057" s="79" t="s">
        <v>1132</v>
      </c>
      <c r="I2057" s="79"/>
    </row>
    <row r="2058" spans="1:9" ht="14.25">
      <c r="A2058" s="79" t="s">
        <v>3864</v>
      </c>
      <c r="B2058" s="79" t="s">
        <v>3865</v>
      </c>
      <c r="C2058" s="79">
        <v>603775097</v>
      </c>
      <c r="D2058" s="79">
        <v>0</v>
      </c>
      <c r="E2058" s="79" t="s">
        <v>1124</v>
      </c>
      <c r="F2058" s="79" t="s">
        <v>2537</v>
      </c>
      <c r="G2058" s="79" t="s">
        <v>2576</v>
      </c>
      <c r="H2058" s="79"/>
      <c r="I2058" s="79"/>
    </row>
    <row r="2059" spans="1:9" ht="14.25">
      <c r="A2059" s="79" t="s">
        <v>3866</v>
      </c>
      <c r="B2059" s="79" t="s">
        <v>3867</v>
      </c>
      <c r="C2059" s="79">
        <v>603775697</v>
      </c>
      <c r="D2059" s="79">
        <v>0</v>
      </c>
      <c r="E2059" s="79" t="s">
        <v>1124</v>
      </c>
      <c r="F2059" s="79" t="s">
        <v>2537</v>
      </c>
      <c r="G2059" s="79" t="s">
        <v>2544</v>
      </c>
      <c r="H2059" s="79" t="s">
        <v>2545</v>
      </c>
      <c r="I2059" s="79"/>
    </row>
    <row r="2060" spans="1:9" ht="14.25">
      <c r="A2060" s="79" t="s">
        <v>3866</v>
      </c>
      <c r="B2060" s="79" t="s">
        <v>3867</v>
      </c>
      <c r="C2060" s="79">
        <v>603775697</v>
      </c>
      <c r="D2060" s="79">
        <v>0</v>
      </c>
      <c r="E2060" s="79" t="s">
        <v>1124</v>
      </c>
      <c r="F2060" s="79" t="s">
        <v>2537</v>
      </c>
      <c r="G2060" s="79" t="s">
        <v>2579</v>
      </c>
      <c r="H2060" s="79"/>
      <c r="I2060" s="79"/>
    </row>
    <row r="2061" spans="1:9" ht="14.25">
      <c r="A2061" s="79" t="s">
        <v>3868</v>
      </c>
      <c r="B2061" s="79" t="s">
        <v>3869</v>
      </c>
      <c r="C2061" s="79">
        <v>603818297</v>
      </c>
      <c r="D2061" s="79">
        <v>0</v>
      </c>
      <c r="E2061" s="79" t="s">
        <v>1124</v>
      </c>
      <c r="F2061" s="79" t="s">
        <v>2537</v>
      </c>
      <c r="G2061" s="79" t="s">
        <v>1130</v>
      </c>
      <c r="H2061" s="79"/>
      <c r="I2061" s="79"/>
    </row>
    <row r="2062" spans="1:9" ht="14.25">
      <c r="A2062" s="79" t="s">
        <v>3868</v>
      </c>
      <c r="B2062" s="79" t="s">
        <v>3869</v>
      </c>
      <c r="C2062" s="79">
        <v>603818297</v>
      </c>
      <c r="D2062" s="79">
        <v>0</v>
      </c>
      <c r="E2062" s="79" t="s">
        <v>1124</v>
      </c>
      <c r="F2062" s="79" t="s">
        <v>2537</v>
      </c>
      <c r="G2062" s="79" t="s">
        <v>1131</v>
      </c>
      <c r="H2062" s="79" t="s">
        <v>1132</v>
      </c>
      <c r="I2062" s="79"/>
    </row>
    <row r="2063" spans="1:9" ht="14.25">
      <c r="A2063" s="79" t="s">
        <v>3868</v>
      </c>
      <c r="B2063" s="79" t="s">
        <v>3869</v>
      </c>
      <c r="C2063" s="79">
        <v>603818297</v>
      </c>
      <c r="D2063" s="79">
        <v>0</v>
      </c>
      <c r="E2063" s="79" t="s">
        <v>1124</v>
      </c>
      <c r="F2063" s="79" t="s">
        <v>2537</v>
      </c>
      <c r="G2063" s="79" t="s">
        <v>2576</v>
      </c>
      <c r="H2063" s="79"/>
      <c r="I2063" s="79"/>
    </row>
    <row r="2064" spans="1:9" ht="14.25">
      <c r="A2064" s="79" t="s">
        <v>3870</v>
      </c>
      <c r="B2064" s="79" t="s">
        <v>3871</v>
      </c>
      <c r="C2064" s="79">
        <v>603818897</v>
      </c>
      <c r="D2064" s="79">
        <v>0</v>
      </c>
      <c r="E2064" s="79" t="s">
        <v>1124</v>
      </c>
      <c r="F2064" s="79" t="s">
        <v>2537</v>
      </c>
      <c r="G2064" s="79" t="s">
        <v>2544</v>
      </c>
      <c r="H2064" s="79" t="s">
        <v>2545</v>
      </c>
      <c r="I2064" s="79"/>
    </row>
    <row r="2065" spans="1:9" ht="14.25">
      <c r="A2065" s="79" t="s">
        <v>3870</v>
      </c>
      <c r="B2065" s="79" t="s">
        <v>3871</v>
      </c>
      <c r="C2065" s="79">
        <v>603818897</v>
      </c>
      <c r="D2065" s="79">
        <v>0</v>
      </c>
      <c r="E2065" s="79" t="s">
        <v>1124</v>
      </c>
      <c r="F2065" s="79" t="s">
        <v>2537</v>
      </c>
      <c r="G2065" s="79" t="s">
        <v>2579</v>
      </c>
      <c r="H2065" s="79"/>
      <c r="I2065" s="79"/>
    </row>
    <row r="2066" spans="1:9" ht="14.25">
      <c r="A2066" s="79" t="s">
        <v>3872</v>
      </c>
      <c r="B2066" s="79" t="s">
        <v>3873</v>
      </c>
      <c r="C2066" s="79">
        <v>603861497</v>
      </c>
      <c r="D2066" s="79">
        <v>0</v>
      </c>
      <c r="E2066" s="79" t="s">
        <v>1124</v>
      </c>
      <c r="F2066" s="79" t="s">
        <v>2537</v>
      </c>
      <c r="G2066" s="79" t="s">
        <v>1130</v>
      </c>
      <c r="H2066" s="79"/>
      <c r="I2066" s="79"/>
    </row>
    <row r="2067" spans="1:9" ht="14.25">
      <c r="A2067" s="79" t="s">
        <v>3872</v>
      </c>
      <c r="B2067" s="79" t="s">
        <v>3873</v>
      </c>
      <c r="C2067" s="79">
        <v>603861497</v>
      </c>
      <c r="D2067" s="79">
        <v>0</v>
      </c>
      <c r="E2067" s="79" t="s">
        <v>1124</v>
      </c>
      <c r="F2067" s="79" t="s">
        <v>2537</v>
      </c>
      <c r="G2067" s="79" t="s">
        <v>1131</v>
      </c>
      <c r="H2067" s="79" t="s">
        <v>1132</v>
      </c>
      <c r="I2067" s="79"/>
    </row>
    <row r="2068" spans="1:9" ht="14.25">
      <c r="A2068" s="79" t="s">
        <v>3872</v>
      </c>
      <c r="B2068" s="79" t="s">
        <v>3873</v>
      </c>
      <c r="C2068" s="79">
        <v>603861497</v>
      </c>
      <c r="D2068" s="79">
        <v>0</v>
      </c>
      <c r="E2068" s="79" t="s">
        <v>1124</v>
      </c>
      <c r="F2068" s="79" t="s">
        <v>2537</v>
      </c>
      <c r="G2068" s="79" t="s">
        <v>2576</v>
      </c>
      <c r="H2068" s="79"/>
      <c r="I2068" s="79"/>
    </row>
    <row r="2069" spans="1:9" ht="14.25">
      <c r="A2069" s="79" t="s">
        <v>3874</v>
      </c>
      <c r="B2069" s="79" t="s">
        <v>3875</v>
      </c>
      <c r="C2069" s="79">
        <v>603862097</v>
      </c>
      <c r="D2069" s="79">
        <v>0</v>
      </c>
      <c r="E2069" s="79" t="s">
        <v>1124</v>
      </c>
      <c r="F2069" s="79" t="s">
        <v>2537</v>
      </c>
      <c r="G2069" s="79" t="s">
        <v>2544</v>
      </c>
      <c r="H2069" s="79" t="s">
        <v>2545</v>
      </c>
      <c r="I2069" s="79"/>
    </row>
    <row r="2070" spans="1:9" ht="14.25">
      <c r="A2070" s="79" t="s">
        <v>3874</v>
      </c>
      <c r="B2070" s="79" t="s">
        <v>3875</v>
      </c>
      <c r="C2070" s="79">
        <v>603862097</v>
      </c>
      <c r="D2070" s="79">
        <v>0</v>
      </c>
      <c r="E2070" s="79" t="s">
        <v>1124</v>
      </c>
      <c r="F2070" s="79" t="s">
        <v>2537</v>
      </c>
      <c r="G2070" s="79" t="s">
        <v>2579</v>
      </c>
      <c r="H2070" s="79"/>
      <c r="I2070" s="79"/>
    </row>
    <row r="2071" spans="1:9" ht="14.25">
      <c r="A2071" s="79" t="s">
        <v>3876</v>
      </c>
      <c r="B2071" s="79" t="s">
        <v>3877</v>
      </c>
      <c r="C2071" s="79">
        <v>603904697</v>
      </c>
      <c r="D2071" s="79">
        <v>0</v>
      </c>
      <c r="E2071" s="79" t="s">
        <v>1124</v>
      </c>
      <c r="F2071" s="79" t="s">
        <v>2537</v>
      </c>
      <c r="G2071" s="79" t="s">
        <v>1130</v>
      </c>
      <c r="H2071" s="79"/>
      <c r="I2071" s="79"/>
    </row>
    <row r="2072" spans="1:9" ht="14.25">
      <c r="A2072" s="79" t="s">
        <v>3876</v>
      </c>
      <c r="B2072" s="79" t="s">
        <v>3877</v>
      </c>
      <c r="C2072" s="79">
        <v>603904697</v>
      </c>
      <c r="D2072" s="79">
        <v>0</v>
      </c>
      <c r="E2072" s="79" t="s">
        <v>1124</v>
      </c>
      <c r="F2072" s="79" t="s">
        <v>2537</v>
      </c>
      <c r="G2072" s="79" t="s">
        <v>1131</v>
      </c>
      <c r="H2072" s="79" t="s">
        <v>1132</v>
      </c>
      <c r="I2072" s="79"/>
    </row>
    <row r="2073" spans="1:9" ht="14.25">
      <c r="A2073" s="79" t="s">
        <v>3876</v>
      </c>
      <c r="B2073" s="79" t="s">
        <v>3877</v>
      </c>
      <c r="C2073" s="79">
        <v>603904697</v>
      </c>
      <c r="D2073" s="79">
        <v>0</v>
      </c>
      <c r="E2073" s="79" t="s">
        <v>1124</v>
      </c>
      <c r="F2073" s="79" t="s">
        <v>2537</v>
      </c>
      <c r="G2073" s="79" t="s">
        <v>2576</v>
      </c>
      <c r="H2073" s="79"/>
      <c r="I2073" s="79"/>
    </row>
    <row r="2074" spans="1:9" ht="14.25">
      <c r="A2074" s="79" t="s">
        <v>3878</v>
      </c>
      <c r="B2074" s="79" t="s">
        <v>3879</v>
      </c>
      <c r="C2074" s="79">
        <v>603905297</v>
      </c>
      <c r="D2074" s="79">
        <v>0</v>
      </c>
      <c r="E2074" s="79" t="s">
        <v>1124</v>
      </c>
      <c r="F2074" s="79" t="s">
        <v>2537</v>
      </c>
      <c r="G2074" s="79" t="s">
        <v>2544</v>
      </c>
      <c r="H2074" s="79" t="s">
        <v>2545</v>
      </c>
      <c r="I2074" s="79"/>
    </row>
    <row r="2075" spans="1:9" ht="14.25">
      <c r="A2075" s="79" t="s">
        <v>3878</v>
      </c>
      <c r="B2075" s="79" t="s">
        <v>3879</v>
      </c>
      <c r="C2075" s="79">
        <v>603905297</v>
      </c>
      <c r="D2075" s="79">
        <v>0</v>
      </c>
      <c r="E2075" s="79" t="s">
        <v>1124</v>
      </c>
      <c r="F2075" s="79" t="s">
        <v>2537</v>
      </c>
      <c r="G2075" s="79" t="s">
        <v>2579</v>
      </c>
      <c r="H2075" s="79"/>
      <c r="I2075" s="79"/>
    </row>
    <row r="2076" spans="1:9" ht="14.25">
      <c r="A2076" s="79" t="s">
        <v>3880</v>
      </c>
      <c r="B2076" s="79" t="s">
        <v>3881</v>
      </c>
      <c r="C2076" s="79">
        <v>603947897</v>
      </c>
      <c r="D2076" s="79">
        <v>0</v>
      </c>
      <c r="E2076" s="79" t="s">
        <v>1124</v>
      </c>
      <c r="F2076" s="79" t="s">
        <v>2537</v>
      </c>
      <c r="G2076" s="79" t="s">
        <v>1130</v>
      </c>
      <c r="H2076" s="79"/>
      <c r="I2076" s="79"/>
    </row>
    <row r="2077" spans="1:9" ht="14.25">
      <c r="A2077" s="79" t="s">
        <v>3880</v>
      </c>
      <c r="B2077" s="79" t="s">
        <v>3881</v>
      </c>
      <c r="C2077" s="79">
        <v>603947897</v>
      </c>
      <c r="D2077" s="79">
        <v>0</v>
      </c>
      <c r="E2077" s="79" t="s">
        <v>1124</v>
      </c>
      <c r="F2077" s="79" t="s">
        <v>2537</v>
      </c>
      <c r="G2077" s="79" t="s">
        <v>1131</v>
      </c>
      <c r="H2077" s="79" t="s">
        <v>1132</v>
      </c>
      <c r="I2077" s="79"/>
    </row>
    <row r="2078" spans="1:9" ht="14.25">
      <c r="A2078" s="79" t="s">
        <v>3880</v>
      </c>
      <c r="B2078" s="79" t="s">
        <v>3881</v>
      </c>
      <c r="C2078" s="79">
        <v>603947897</v>
      </c>
      <c r="D2078" s="79">
        <v>0</v>
      </c>
      <c r="E2078" s="79" t="s">
        <v>1124</v>
      </c>
      <c r="F2078" s="79" t="s">
        <v>2537</v>
      </c>
      <c r="G2078" s="79" t="s">
        <v>2576</v>
      </c>
      <c r="H2078" s="79"/>
      <c r="I2078" s="79"/>
    </row>
    <row r="2079" spans="1:9" ht="14.25">
      <c r="A2079" s="79" t="s">
        <v>3882</v>
      </c>
      <c r="B2079" s="79" t="s">
        <v>3883</v>
      </c>
      <c r="C2079" s="79">
        <v>603948497</v>
      </c>
      <c r="D2079" s="79">
        <v>0</v>
      </c>
      <c r="E2079" s="79" t="s">
        <v>1124</v>
      </c>
      <c r="F2079" s="79" t="s">
        <v>2537</v>
      </c>
      <c r="G2079" s="79" t="s">
        <v>2544</v>
      </c>
      <c r="H2079" s="79" t="s">
        <v>2545</v>
      </c>
      <c r="I2079" s="79"/>
    </row>
    <row r="2080" spans="1:9" ht="14.25">
      <c r="A2080" s="79" t="s">
        <v>3882</v>
      </c>
      <c r="B2080" s="79" t="s">
        <v>3883</v>
      </c>
      <c r="C2080" s="79">
        <v>603948497</v>
      </c>
      <c r="D2080" s="79">
        <v>0</v>
      </c>
      <c r="E2080" s="79" t="s">
        <v>1124</v>
      </c>
      <c r="F2080" s="79" t="s">
        <v>2537</v>
      </c>
      <c r="G2080" s="79" t="s">
        <v>2579</v>
      </c>
      <c r="H2080" s="79"/>
      <c r="I2080" s="79"/>
    </row>
    <row r="2081" spans="1:9" ht="14.25">
      <c r="A2081" s="79" t="s">
        <v>3884</v>
      </c>
      <c r="B2081" s="79" t="s">
        <v>3885</v>
      </c>
      <c r="C2081" s="79">
        <v>603991097</v>
      </c>
      <c r="D2081" s="79">
        <v>0</v>
      </c>
      <c r="E2081" s="79" t="s">
        <v>1124</v>
      </c>
      <c r="F2081" s="79" t="s">
        <v>2537</v>
      </c>
      <c r="G2081" s="79" t="s">
        <v>1130</v>
      </c>
      <c r="H2081" s="79"/>
      <c r="I2081" s="79"/>
    </row>
    <row r="2082" spans="1:9" ht="14.25">
      <c r="A2082" s="79" t="s">
        <v>3884</v>
      </c>
      <c r="B2082" s="79" t="s">
        <v>3885</v>
      </c>
      <c r="C2082" s="79">
        <v>603991097</v>
      </c>
      <c r="D2082" s="79">
        <v>0</v>
      </c>
      <c r="E2082" s="79" t="s">
        <v>1124</v>
      </c>
      <c r="F2082" s="79" t="s">
        <v>2537</v>
      </c>
      <c r="G2082" s="79" t="s">
        <v>1131</v>
      </c>
      <c r="H2082" s="79" t="s">
        <v>1132</v>
      </c>
      <c r="I2082" s="79"/>
    </row>
    <row r="2083" spans="1:9" ht="14.25">
      <c r="A2083" s="79" t="s">
        <v>3884</v>
      </c>
      <c r="B2083" s="79" t="s">
        <v>3885</v>
      </c>
      <c r="C2083" s="79">
        <v>603991097</v>
      </c>
      <c r="D2083" s="79">
        <v>0</v>
      </c>
      <c r="E2083" s="79" t="s">
        <v>1124</v>
      </c>
      <c r="F2083" s="79" t="s">
        <v>2537</v>
      </c>
      <c r="G2083" s="79" t="s">
        <v>2576</v>
      </c>
      <c r="H2083" s="79"/>
      <c r="I2083" s="79"/>
    </row>
    <row r="2084" spans="1:9" ht="14.25">
      <c r="A2084" s="79" t="s">
        <v>3886</v>
      </c>
      <c r="B2084" s="79" t="s">
        <v>3887</v>
      </c>
      <c r="C2084" s="79">
        <v>603991697</v>
      </c>
      <c r="D2084" s="79">
        <v>0</v>
      </c>
      <c r="E2084" s="79" t="s">
        <v>1124</v>
      </c>
      <c r="F2084" s="79" t="s">
        <v>2537</v>
      </c>
      <c r="G2084" s="79" t="s">
        <v>2544</v>
      </c>
      <c r="H2084" s="79" t="s">
        <v>2545</v>
      </c>
      <c r="I2084" s="79"/>
    </row>
    <row r="2085" spans="1:9" ht="14.25">
      <c r="A2085" s="79" t="s">
        <v>3886</v>
      </c>
      <c r="B2085" s="79" t="s">
        <v>3887</v>
      </c>
      <c r="C2085" s="79">
        <v>603991697</v>
      </c>
      <c r="D2085" s="79">
        <v>0</v>
      </c>
      <c r="E2085" s="79" t="s">
        <v>1124</v>
      </c>
      <c r="F2085" s="79" t="s">
        <v>2537</v>
      </c>
      <c r="G2085" s="79" t="s">
        <v>2579</v>
      </c>
      <c r="H2085" s="79"/>
      <c r="I2085" s="79"/>
    </row>
    <row r="2086" spans="1:9" ht="14.25">
      <c r="A2086" s="79" t="s">
        <v>3888</v>
      </c>
      <c r="B2086" s="79" t="s">
        <v>3889</v>
      </c>
      <c r="C2086" s="79">
        <v>604034297</v>
      </c>
      <c r="D2086" s="79">
        <v>0</v>
      </c>
      <c r="E2086" s="79" t="s">
        <v>1124</v>
      </c>
      <c r="F2086" s="79" t="s">
        <v>2537</v>
      </c>
      <c r="G2086" s="79" t="s">
        <v>1130</v>
      </c>
      <c r="H2086" s="79"/>
      <c r="I2086" s="79"/>
    </row>
    <row r="2087" spans="1:9" ht="14.25">
      <c r="A2087" s="79" t="s">
        <v>3888</v>
      </c>
      <c r="B2087" s="79" t="s">
        <v>3889</v>
      </c>
      <c r="C2087" s="79">
        <v>604034297</v>
      </c>
      <c r="D2087" s="79">
        <v>0</v>
      </c>
      <c r="E2087" s="79" t="s">
        <v>1124</v>
      </c>
      <c r="F2087" s="79" t="s">
        <v>2537</v>
      </c>
      <c r="G2087" s="79" t="s">
        <v>1131</v>
      </c>
      <c r="H2087" s="79" t="s">
        <v>1132</v>
      </c>
      <c r="I2087" s="79"/>
    </row>
    <row r="2088" spans="1:9" ht="14.25">
      <c r="A2088" s="79" t="s">
        <v>3888</v>
      </c>
      <c r="B2088" s="79" t="s">
        <v>3889</v>
      </c>
      <c r="C2088" s="79">
        <v>604034297</v>
      </c>
      <c r="D2088" s="79">
        <v>0</v>
      </c>
      <c r="E2088" s="79" t="s">
        <v>1124</v>
      </c>
      <c r="F2088" s="79" t="s">
        <v>2537</v>
      </c>
      <c r="G2088" s="79" t="s">
        <v>2576</v>
      </c>
      <c r="H2088" s="79"/>
      <c r="I2088" s="79"/>
    </row>
    <row r="2089" spans="1:9" ht="14.25">
      <c r="A2089" s="79" t="s">
        <v>3890</v>
      </c>
      <c r="B2089" s="79" t="s">
        <v>3891</v>
      </c>
      <c r="C2089" s="79">
        <v>604034897</v>
      </c>
      <c r="D2089" s="79">
        <v>0</v>
      </c>
      <c r="E2089" s="79" t="s">
        <v>1124</v>
      </c>
      <c r="F2089" s="79" t="s">
        <v>2537</v>
      </c>
      <c r="G2089" s="79" t="s">
        <v>2544</v>
      </c>
      <c r="H2089" s="79" t="s">
        <v>2545</v>
      </c>
      <c r="I2089" s="79"/>
    </row>
    <row r="2090" spans="1:9" ht="14.25">
      <c r="A2090" s="79" t="s">
        <v>3890</v>
      </c>
      <c r="B2090" s="79" t="s">
        <v>3891</v>
      </c>
      <c r="C2090" s="79">
        <v>604034897</v>
      </c>
      <c r="D2090" s="79">
        <v>0</v>
      </c>
      <c r="E2090" s="79" t="s">
        <v>1124</v>
      </c>
      <c r="F2090" s="79" t="s">
        <v>2537</v>
      </c>
      <c r="G2090" s="79" t="s">
        <v>2579</v>
      </c>
      <c r="H2090" s="79"/>
      <c r="I2090" s="79"/>
    </row>
    <row r="2091" spans="1:9" ht="14.25">
      <c r="A2091" s="79" t="s">
        <v>3892</v>
      </c>
      <c r="B2091" s="79" t="s">
        <v>3893</v>
      </c>
      <c r="C2091" s="79">
        <v>604077497</v>
      </c>
      <c r="D2091" s="79">
        <v>0</v>
      </c>
      <c r="E2091" s="79" t="s">
        <v>1124</v>
      </c>
      <c r="F2091" s="79" t="s">
        <v>2537</v>
      </c>
      <c r="G2091" s="79" t="s">
        <v>1130</v>
      </c>
      <c r="H2091" s="79"/>
      <c r="I2091" s="79"/>
    </row>
    <row r="2092" spans="1:9" ht="14.25">
      <c r="A2092" s="79" t="s">
        <v>3892</v>
      </c>
      <c r="B2092" s="79" t="s">
        <v>3893</v>
      </c>
      <c r="C2092" s="79">
        <v>604077497</v>
      </c>
      <c r="D2092" s="79">
        <v>0</v>
      </c>
      <c r="E2092" s="79" t="s">
        <v>1124</v>
      </c>
      <c r="F2092" s="79" t="s">
        <v>2537</v>
      </c>
      <c r="G2092" s="79" t="s">
        <v>2107</v>
      </c>
      <c r="H2092" s="79"/>
      <c r="I2092" s="79"/>
    </row>
    <row r="2093" spans="1:9" ht="14.25">
      <c r="A2093" s="79" t="s">
        <v>3894</v>
      </c>
      <c r="B2093" s="79" t="s">
        <v>3895</v>
      </c>
      <c r="C2093" s="79">
        <v>604077500</v>
      </c>
      <c r="D2093" s="79">
        <v>0</v>
      </c>
      <c r="E2093" s="79" t="s">
        <v>1124</v>
      </c>
      <c r="F2093" s="79" t="s">
        <v>2537</v>
      </c>
      <c r="G2093" s="79" t="s">
        <v>1130</v>
      </c>
      <c r="H2093" s="79"/>
      <c r="I2093" s="79"/>
    </row>
    <row r="2094" spans="1:9" ht="14.25">
      <c r="A2094" s="79" t="s">
        <v>3894</v>
      </c>
      <c r="B2094" s="79" t="s">
        <v>3895</v>
      </c>
      <c r="C2094" s="79">
        <v>604077500</v>
      </c>
      <c r="D2094" s="79">
        <v>0</v>
      </c>
      <c r="E2094" s="79" t="s">
        <v>1124</v>
      </c>
      <c r="F2094" s="79" t="s">
        <v>2537</v>
      </c>
      <c r="G2094" s="79" t="s">
        <v>2570</v>
      </c>
      <c r="H2094" s="79" t="s">
        <v>2571</v>
      </c>
      <c r="I2094" s="79"/>
    </row>
    <row r="2095" spans="1:9" ht="14.25">
      <c r="A2095" s="79" t="s">
        <v>3894</v>
      </c>
      <c r="B2095" s="79" t="s">
        <v>3895</v>
      </c>
      <c r="C2095" s="79">
        <v>604077500</v>
      </c>
      <c r="D2095" s="79">
        <v>0</v>
      </c>
      <c r="E2095" s="79" t="s">
        <v>1124</v>
      </c>
      <c r="F2095" s="79" t="s">
        <v>2537</v>
      </c>
      <c r="G2095" s="79" t="s">
        <v>2566</v>
      </c>
      <c r="H2095" s="79"/>
      <c r="I2095" s="79"/>
    </row>
    <row r="2096" spans="1:9" ht="14.25">
      <c r="A2096" s="79" t="s">
        <v>3896</v>
      </c>
      <c r="B2096" s="79" t="s">
        <v>3897</v>
      </c>
      <c r="C2096" s="79">
        <v>604077860</v>
      </c>
      <c r="D2096" s="79">
        <v>0</v>
      </c>
      <c r="E2096" s="79" t="s">
        <v>1124</v>
      </c>
      <c r="F2096" s="79" t="s">
        <v>2537</v>
      </c>
      <c r="G2096" s="79" t="s">
        <v>2574</v>
      </c>
      <c r="H2096" s="79"/>
      <c r="I2096" s="79"/>
    </row>
    <row r="2097" spans="1:9" ht="14.25">
      <c r="A2097" s="79" t="s">
        <v>3896</v>
      </c>
      <c r="B2097" s="79" t="s">
        <v>3897</v>
      </c>
      <c r="C2097" s="79">
        <v>604077860</v>
      </c>
      <c r="D2097" s="79">
        <v>0</v>
      </c>
      <c r="E2097" s="79" t="s">
        <v>1124</v>
      </c>
      <c r="F2097" s="79" t="s">
        <v>2537</v>
      </c>
      <c r="G2097" s="79" t="s">
        <v>2575</v>
      </c>
      <c r="H2097" s="79"/>
      <c r="I2097" s="79"/>
    </row>
    <row r="2098" spans="1:9" ht="14.25">
      <c r="A2098" s="79" t="s">
        <v>3896</v>
      </c>
      <c r="B2098" s="79" t="s">
        <v>3897</v>
      </c>
      <c r="C2098" s="79">
        <v>604077860</v>
      </c>
      <c r="D2098" s="79">
        <v>0</v>
      </c>
      <c r="E2098" s="79" t="s">
        <v>1124</v>
      </c>
      <c r="F2098" s="79" t="s">
        <v>2537</v>
      </c>
      <c r="G2098" s="79" t="s">
        <v>1131</v>
      </c>
      <c r="H2098" s="79" t="s">
        <v>1132</v>
      </c>
      <c r="I2098" s="79"/>
    </row>
    <row r="2099" spans="1:9" ht="14.25">
      <c r="A2099" s="79" t="s">
        <v>3896</v>
      </c>
      <c r="B2099" s="79" t="s">
        <v>3897</v>
      </c>
      <c r="C2099" s="79">
        <v>604077860</v>
      </c>
      <c r="D2099" s="79">
        <v>0</v>
      </c>
      <c r="E2099" s="79" t="s">
        <v>1124</v>
      </c>
      <c r="F2099" s="79" t="s">
        <v>2537</v>
      </c>
      <c r="G2099" s="79" t="s">
        <v>2576</v>
      </c>
      <c r="H2099" s="79"/>
      <c r="I2099" s="79"/>
    </row>
    <row r="2100" spans="1:9" ht="14.25">
      <c r="A2100" s="79" t="s">
        <v>3898</v>
      </c>
      <c r="B2100" s="79" t="s">
        <v>3899</v>
      </c>
      <c r="C2100" s="79">
        <v>604078460</v>
      </c>
      <c r="D2100" s="79">
        <v>0</v>
      </c>
      <c r="E2100" s="79" t="s">
        <v>1124</v>
      </c>
      <c r="F2100" s="79" t="s">
        <v>2537</v>
      </c>
      <c r="G2100" s="79" t="s">
        <v>2544</v>
      </c>
      <c r="H2100" s="79" t="s">
        <v>2545</v>
      </c>
      <c r="I2100" s="79"/>
    </row>
    <row r="2101" spans="1:9" ht="14.25">
      <c r="A2101" s="79" t="s">
        <v>3898</v>
      </c>
      <c r="B2101" s="79" t="s">
        <v>3899</v>
      </c>
      <c r="C2101" s="79">
        <v>604078460</v>
      </c>
      <c r="D2101" s="79">
        <v>0</v>
      </c>
      <c r="E2101" s="79" t="s">
        <v>1124</v>
      </c>
      <c r="F2101" s="79" t="s">
        <v>2537</v>
      </c>
      <c r="G2101" s="79" t="s">
        <v>2579</v>
      </c>
      <c r="H2101" s="79"/>
      <c r="I2101" s="79"/>
    </row>
    <row r="2102" spans="1:9" ht="14.25">
      <c r="A2102" s="79" t="s">
        <v>3900</v>
      </c>
      <c r="B2102" s="79" t="s">
        <v>3901</v>
      </c>
      <c r="C2102" s="79">
        <v>604121060</v>
      </c>
      <c r="D2102" s="79">
        <v>0</v>
      </c>
      <c r="E2102" s="79" t="s">
        <v>1124</v>
      </c>
      <c r="F2102" s="79" t="s">
        <v>2537</v>
      </c>
      <c r="G2102" s="79" t="s">
        <v>1130</v>
      </c>
      <c r="H2102" s="79"/>
      <c r="I2102" s="79"/>
    </row>
    <row r="2103" spans="1:9" ht="14.25">
      <c r="A2103" s="79" t="s">
        <v>3900</v>
      </c>
      <c r="B2103" s="79" t="s">
        <v>3901</v>
      </c>
      <c r="C2103" s="79">
        <v>604121060</v>
      </c>
      <c r="D2103" s="79">
        <v>0</v>
      </c>
      <c r="E2103" s="79" t="s">
        <v>1124</v>
      </c>
      <c r="F2103" s="79" t="s">
        <v>2537</v>
      </c>
      <c r="G2103" s="79" t="s">
        <v>1131</v>
      </c>
      <c r="H2103" s="79" t="s">
        <v>1132</v>
      </c>
      <c r="I2103" s="79"/>
    </row>
    <row r="2104" spans="1:9" ht="14.25">
      <c r="A2104" s="79" t="s">
        <v>3900</v>
      </c>
      <c r="B2104" s="79" t="s">
        <v>3901</v>
      </c>
      <c r="C2104" s="79">
        <v>604121060</v>
      </c>
      <c r="D2104" s="79">
        <v>0</v>
      </c>
      <c r="E2104" s="79" t="s">
        <v>1124</v>
      </c>
      <c r="F2104" s="79" t="s">
        <v>2537</v>
      </c>
      <c r="G2104" s="79" t="s">
        <v>2576</v>
      </c>
      <c r="H2104" s="79"/>
      <c r="I2104" s="79"/>
    </row>
    <row r="2105" spans="1:9" ht="14.25">
      <c r="A2105" s="79" t="s">
        <v>3902</v>
      </c>
      <c r="B2105" s="79" t="s">
        <v>3903</v>
      </c>
      <c r="C2105" s="79">
        <v>604121660</v>
      </c>
      <c r="D2105" s="79">
        <v>0</v>
      </c>
      <c r="E2105" s="79" t="s">
        <v>1124</v>
      </c>
      <c r="F2105" s="79" t="s">
        <v>2537</v>
      </c>
      <c r="G2105" s="79" t="s">
        <v>2544</v>
      </c>
      <c r="H2105" s="79" t="s">
        <v>2545</v>
      </c>
      <c r="I2105" s="79"/>
    </row>
    <row r="2106" spans="1:9" ht="14.25">
      <c r="A2106" s="79" t="s">
        <v>3902</v>
      </c>
      <c r="B2106" s="79" t="s">
        <v>3903</v>
      </c>
      <c r="C2106" s="79">
        <v>604121660</v>
      </c>
      <c r="D2106" s="79">
        <v>0</v>
      </c>
      <c r="E2106" s="79" t="s">
        <v>1124</v>
      </c>
      <c r="F2106" s="79" t="s">
        <v>2537</v>
      </c>
      <c r="G2106" s="79" t="s">
        <v>2579</v>
      </c>
      <c r="H2106" s="79"/>
      <c r="I2106" s="79"/>
    </row>
    <row r="2107" spans="1:9" ht="14.25">
      <c r="A2107" s="79" t="s">
        <v>3904</v>
      </c>
      <c r="B2107" s="79" t="s">
        <v>3905</v>
      </c>
      <c r="C2107" s="79">
        <v>604164260</v>
      </c>
      <c r="D2107" s="79">
        <v>0</v>
      </c>
      <c r="E2107" s="79" t="s">
        <v>1124</v>
      </c>
      <c r="F2107" s="79" t="s">
        <v>2537</v>
      </c>
      <c r="G2107" s="79" t="s">
        <v>1130</v>
      </c>
      <c r="H2107" s="79"/>
      <c r="I2107" s="79"/>
    </row>
    <row r="2108" spans="1:9" ht="14.25">
      <c r="A2108" s="79" t="s">
        <v>3904</v>
      </c>
      <c r="B2108" s="79" t="s">
        <v>3905</v>
      </c>
      <c r="C2108" s="79">
        <v>604164260</v>
      </c>
      <c r="D2108" s="79">
        <v>0</v>
      </c>
      <c r="E2108" s="79" t="s">
        <v>1124</v>
      </c>
      <c r="F2108" s="79" t="s">
        <v>2537</v>
      </c>
      <c r="G2108" s="79" t="s">
        <v>1131</v>
      </c>
      <c r="H2108" s="79" t="s">
        <v>1132</v>
      </c>
      <c r="I2108" s="79"/>
    </row>
    <row r="2109" spans="1:9" ht="14.25">
      <c r="A2109" s="79" t="s">
        <v>3904</v>
      </c>
      <c r="B2109" s="79" t="s">
        <v>3905</v>
      </c>
      <c r="C2109" s="79">
        <v>604164260</v>
      </c>
      <c r="D2109" s="79">
        <v>0</v>
      </c>
      <c r="E2109" s="79" t="s">
        <v>1124</v>
      </c>
      <c r="F2109" s="79" t="s">
        <v>2537</v>
      </c>
      <c r="G2109" s="79" t="s">
        <v>2576</v>
      </c>
      <c r="H2109" s="79"/>
      <c r="I2109" s="79"/>
    </row>
    <row r="2110" spans="1:9" ht="14.25">
      <c r="A2110" s="79" t="s">
        <v>3906</v>
      </c>
      <c r="B2110" s="79" t="s">
        <v>3907</v>
      </c>
      <c r="C2110" s="79">
        <v>604164860</v>
      </c>
      <c r="D2110" s="79">
        <v>0</v>
      </c>
      <c r="E2110" s="79" t="s">
        <v>1124</v>
      </c>
      <c r="F2110" s="79" t="s">
        <v>2537</v>
      </c>
      <c r="G2110" s="79" t="s">
        <v>2544</v>
      </c>
      <c r="H2110" s="79" t="s">
        <v>2545</v>
      </c>
      <c r="I2110" s="79"/>
    </row>
    <row r="2111" spans="1:9" ht="14.25">
      <c r="A2111" s="79" t="s">
        <v>3906</v>
      </c>
      <c r="B2111" s="79" t="s">
        <v>3907</v>
      </c>
      <c r="C2111" s="79">
        <v>604164860</v>
      </c>
      <c r="D2111" s="79">
        <v>0</v>
      </c>
      <c r="E2111" s="79" t="s">
        <v>1124</v>
      </c>
      <c r="F2111" s="79" t="s">
        <v>2537</v>
      </c>
      <c r="G2111" s="79" t="s">
        <v>2579</v>
      </c>
      <c r="H2111" s="79"/>
      <c r="I2111" s="79"/>
    </row>
    <row r="2112" spans="1:9" ht="14.25">
      <c r="A2112" s="79" t="s">
        <v>3908</v>
      </c>
      <c r="B2112" s="79" t="s">
        <v>3909</v>
      </c>
      <c r="C2112" s="79">
        <v>604207460</v>
      </c>
      <c r="D2112" s="79">
        <v>0</v>
      </c>
      <c r="E2112" s="79" t="s">
        <v>1124</v>
      </c>
      <c r="F2112" s="79" t="s">
        <v>2537</v>
      </c>
      <c r="G2112" s="79" t="s">
        <v>1130</v>
      </c>
      <c r="H2112" s="79"/>
      <c r="I2112" s="79"/>
    </row>
    <row r="2113" spans="1:9" ht="14.25">
      <c r="A2113" s="79" t="s">
        <v>3908</v>
      </c>
      <c r="B2113" s="79" t="s">
        <v>3909</v>
      </c>
      <c r="C2113" s="79">
        <v>604207460</v>
      </c>
      <c r="D2113" s="79">
        <v>0</v>
      </c>
      <c r="E2113" s="79" t="s">
        <v>1124</v>
      </c>
      <c r="F2113" s="79" t="s">
        <v>2537</v>
      </c>
      <c r="G2113" s="79" t="s">
        <v>1131</v>
      </c>
      <c r="H2113" s="79" t="s">
        <v>1132</v>
      </c>
      <c r="I2113" s="79"/>
    </row>
    <row r="2114" spans="1:9" ht="14.25">
      <c r="A2114" s="79" t="s">
        <v>3908</v>
      </c>
      <c r="B2114" s="79" t="s">
        <v>3909</v>
      </c>
      <c r="C2114" s="79">
        <v>604207460</v>
      </c>
      <c r="D2114" s="79">
        <v>0</v>
      </c>
      <c r="E2114" s="79" t="s">
        <v>1124</v>
      </c>
      <c r="F2114" s="79" t="s">
        <v>2537</v>
      </c>
      <c r="G2114" s="79" t="s">
        <v>2576</v>
      </c>
      <c r="H2114" s="79"/>
      <c r="I2114" s="79"/>
    </row>
    <row r="2115" spans="1:9" ht="14.25">
      <c r="A2115" s="79" t="s">
        <v>3910</v>
      </c>
      <c r="B2115" s="79" t="s">
        <v>3911</v>
      </c>
      <c r="C2115" s="79">
        <v>604208060</v>
      </c>
      <c r="D2115" s="79">
        <v>0</v>
      </c>
      <c r="E2115" s="79" t="s">
        <v>1124</v>
      </c>
      <c r="F2115" s="79" t="s">
        <v>2537</v>
      </c>
      <c r="G2115" s="79" t="s">
        <v>2544</v>
      </c>
      <c r="H2115" s="79" t="s">
        <v>2545</v>
      </c>
      <c r="I2115" s="79"/>
    </row>
    <row r="2116" spans="1:9" ht="14.25">
      <c r="A2116" s="79" t="s">
        <v>3910</v>
      </c>
      <c r="B2116" s="79" t="s">
        <v>3911</v>
      </c>
      <c r="C2116" s="79">
        <v>604208060</v>
      </c>
      <c r="D2116" s="79">
        <v>0</v>
      </c>
      <c r="E2116" s="79" t="s">
        <v>1124</v>
      </c>
      <c r="F2116" s="79" t="s">
        <v>2537</v>
      </c>
      <c r="G2116" s="79" t="s">
        <v>2579</v>
      </c>
      <c r="H2116" s="79"/>
      <c r="I2116" s="79"/>
    </row>
    <row r="2117" spans="1:9" ht="14.25">
      <c r="A2117" s="79" t="s">
        <v>3912</v>
      </c>
      <c r="B2117" s="79" t="s">
        <v>3913</v>
      </c>
      <c r="C2117" s="79">
        <v>604250660</v>
      </c>
      <c r="D2117" s="79">
        <v>0</v>
      </c>
      <c r="E2117" s="79" t="s">
        <v>1124</v>
      </c>
      <c r="F2117" s="79" t="s">
        <v>2537</v>
      </c>
      <c r="G2117" s="79" t="s">
        <v>1130</v>
      </c>
      <c r="H2117" s="79"/>
      <c r="I2117" s="79"/>
    </row>
    <row r="2118" spans="1:9" ht="14.25">
      <c r="A2118" s="79" t="s">
        <v>3912</v>
      </c>
      <c r="B2118" s="79" t="s">
        <v>3913</v>
      </c>
      <c r="C2118" s="79">
        <v>604250660</v>
      </c>
      <c r="D2118" s="79">
        <v>0</v>
      </c>
      <c r="E2118" s="79" t="s">
        <v>1124</v>
      </c>
      <c r="F2118" s="79" t="s">
        <v>2537</v>
      </c>
      <c r="G2118" s="79" t="s">
        <v>1131</v>
      </c>
      <c r="H2118" s="79" t="s">
        <v>1132</v>
      </c>
      <c r="I2118" s="79"/>
    </row>
    <row r="2119" spans="1:9" ht="14.25">
      <c r="A2119" s="79" t="s">
        <v>3912</v>
      </c>
      <c r="B2119" s="79" t="s">
        <v>3913</v>
      </c>
      <c r="C2119" s="79">
        <v>604250660</v>
      </c>
      <c r="D2119" s="79">
        <v>0</v>
      </c>
      <c r="E2119" s="79" t="s">
        <v>1124</v>
      </c>
      <c r="F2119" s="79" t="s">
        <v>2537</v>
      </c>
      <c r="G2119" s="79" t="s">
        <v>2576</v>
      </c>
      <c r="H2119" s="79"/>
      <c r="I2119" s="79"/>
    </row>
    <row r="2120" spans="1:9" ht="14.25">
      <c r="A2120" s="79" t="s">
        <v>3914</v>
      </c>
      <c r="B2120" s="79" t="s">
        <v>3915</v>
      </c>
      <c r="C2120" s="79">
        <v>604251260</v>
      </c>
      <c r="D2120" s="79">
        <v>0</v>
      </c>
      <c r="E2120" s="79" t="s">
        <v>1124</v>
      </c>
      <c r="F2120" s="79" t="s">
        <v>2537</v>
      </c>
      <c r="G2120" s="79" t="s">
        <v>2544</v>
      </c>
      <c r="H2120" s="79" t="s">
        <v>2545</v>
      </c>
      <c r="I2120" s="79"/>
    </row>
    <row r="2121" spans="1:9" ht="14.25">
      <c r="A2121" s="79" t="s">
        <v>3914</v>
      </c>
      <c r="B2121" s="79" t="s">
        <v>3915</v>
      </c>
      <c r="C2121" s="79">
        <v>604251260</v>
      </c>
      <c r="D2121" s="79">
        <v>0</v>
      </c>
      <c r="E2121" s="79" t="s">
        <v>1124</v>
      </c>
      <c r="F2121" s="79" t="s">
        <v>2537</v>
      </c>
      <c r="G2121" s="79" t="s">
        <v>2579</v>
      </c>
      <c r="H2121" s="79"/>
      <c r="I2121" s="79"/>
    </row>
    <row r="2122" spans="1:9" ht="14.25">
      <c r="A2122" s="79" t="s">
        <v>3916</v>
      </c>
      <c r="B2122" s="79" t="s">
        <v>3917</v>
      </c>
      <c r="C2122" s="79">
        <v>604293860</v>
      </c>
      <c r="D2122" s="79">
        <v>0</v>
      </c>
      <c r="E2122" s="79" t="s">
        <v>1124</v>
      </c>
      <c r="F2122" s="79" t="s">
        <v>2537</v>
      </c>
      <c r="G2122" s="79" t="s">
        <v>1130</v>
      </c>
      <c r="H2122" s="79"/>
      <c r="I2122" s="79"/>
    </row>
    <row r="2123" spans="1:9" ht="14.25">
      <c r="A2123" s="79" t="s">
        <v>3916</v>
      </c>
      <c r="B2123" s="79" t="s">
        <v>3917</v>
      </c>
      <c r="C2123" s="79">
        <v>604293860</v>
      </c>
      <c r="D2123" s="79">
        <v>0</v>
      </c>
      <c r="E2123" s="79" t="s">
        <v>1124</v>
      </c>
      <c r="F2123" s="79" t="s">
        <v>2537</v>
      </c>
      <c r="G2123" s="79" t="s">
        <v>1131</v>
      </c>
      <c r="H2123" s="79" t="s">
        <v>1132</v>
      </c>
      <c r="I2123" s="79"/>
    </row>
    <row r="2124" spans="1:9" ht="14.25">
      <c r="A2124" s="79" t="s">
        <v>3916</v>
      </c>
      <c r="B2124" s="79" t="s">
        <v>3917</v>
      </c>
      <c r="C2124" s="79">
        <v>604293860</v>
      </c>
      <c r="D2124" s="79">
        <v>0</v>
      </c>
      <c r="E2124" s="79" t="s">
        <v>1124</v>
      </c>
      <c r="F2124" s="79" t="s">
        <v>2537</v>
      </c>
      <c r="G2124" s="79" t="s">
        <v>2576</v>
      </c>
      <c r="H2124" s="79"/>
      <c r="I2124" s="79"/>
    </row>
    <row r="2125" spans="1:9" ht="14.25">
      <c r="A2125" s="79" t="s">
        <v>3918</v>
      </c>
      <c r="B2125" s="79" t="s">
        <v>3919</v>
      </c>
      <c r="C2125" s="79">
        <v>604294460</v>
      </c>
      <c r="D2125" s="79">
        <v>0</v>
      </c>
      <c r="E2125" s="79" t="s">
        <v>1124</v>
      </c>
      <c r="F2125" s="79" t="s">
        <v>2537</v>
      </c>
      <c r="G2125" s="79" t="s">
        <v>2544</v>
      </c>
      <c r="H2125" s="79" t="s">
        <v>2545</v>
      </c>
      <c r="I2125" s="79"/>
    </row>
    <row r="2126" spans="1:9" ht="14.25">
      <c r="A2126" s="79" t="s">
        <v>3918</v>
      </c>
      <c r="B2126" s="79" t="s">
        <v>3919</v>
      </c>
      <c r="C2126" s="79">
        <v>604294460</v>
      </c>
      <c r="D2126" s="79">
        <v>0</v>
      </c>
      <c r="E2126" s="79" t="s">
        <v>1124</v>
      </c>
      <c r="F2126" s="79" t="s">
        <v>2537</v>
      </c>
      <c r="G2126" s="79" t="s">
        <v>2579</v>
      </c>
      <c r="H2126" s="79"/>
      <c r="I2126" s="79"/>
    </row>
    <row r="2127" spans="1:9" ht="14.25">
      <c r="A2127" s="79" t="s">
        <v>3920</v>
      </c>
      <c r="B2127" s="79" t="s">
        <v>3921</v>
      </c>
      <c r="C2127" s="79">
        <v>604337060</v>
      </c>
      <c r="D2127" s="79">
        <v>0</v>
      </c>
      <c r="E2127" s="79" t="s">
        <v>1124</v>
      </c>
      <c r="F2127" s="79" t="s">
        <v>2537</v>
      </c>
      <c r="G2127" s="79" t="s">
        <v>1130</v>
      </c>
      <c r="H2127" s="79"/>
      <c r="I2127" s="79"/>
    </row>
    <row r="2128" spans="1:9" ht="14.25">
      <c r="A2128" s="79" t="s">
        <v>3920</v>
      </c>
      <c r="B2128" s="79" t="s">
        <v>3921</v>
      </c>
      <c r="C2128" s="79">
        <v>604337060</v>
      </c>
      <c r="D2128" s="79">
        <v>0</v>
      </c>
      <c r="E2128" s="79" t="s">
        <v>1124</v>
      </c>
      <c r="F2128" s="79" t="s">
        <v>2537</v>
      </c>
      <c r="G2128" s="79" t="s">
        <v>1131</v>
      </c>
      <c r="H2128" s="79" t="s">
        <v>1132</v>
      </c>
      <c r="I2128" s="79"/>
    </row>
    <row r="2129" spans="1:9" ht="14.25">
      <c r="A2129" s="79" t="s">
        <v>3920</v>
      </c>
      <c r="B2129" s="79" t="s">
        <v>3921</v>
      </c>
      <c r="C2129" s="79">
        <v>604337060</v>
      </c>
      <c r="D2129" s="79">
        <v>0</v>
      </c>
      <c r="E2129" s="79" t="s">
        <v>1124</v>
      </c>
      <c r="F2129" s="79" t="s">
        <v>2537</v>
      </c>
      <c r="G2129" s="79" t="s">
        <v>2576</v>
      </c>
      <c r="H2129" s="79"/>
      <c r="I2129" s="79"/>
    </row>
    <row r="2130" spans="1:9" ht="14.25">
      <c r="A2130" s="79" t="s">
        <v>3922</v>
      </c>
      <c r="B2130" s="79" t="s">
        <v>3923</v>
      </c>
      <c r="C2130" s="79">
        <v>604337660</v>
      </c>
      <c r="D2130" s="79">
        <v>0</v>
      </c>
      <c r="E2130" s="79" t="s">
        <v>1124</v>
      </c>
      <c r="F2130" s="79" t="s">
        <v>2537</v>
      </c>
      <c r="G2130" s="79" t="s">
        <v>2544</v>
      </c>
      <c r="H2130" s="79" t="s">
        <v>2545</v>
      </c>
      <c r="I2130" s="79"/>
    </row>
    <row r="2131" spans="1:9" ht="14.25">
      <c r="A2131" s="79" t="s">
        <v>3922</v>
      </c>
      <c r="B2131" s="79" t="s">
        <v>3923</v>
      </c>
      <c r="C2131" s="79">
        <v>604337660</v>
      </c>
      <c r="D2131" s="79">
        <v>0</v>
      </c>
      <c r="E2131" s="79" t="s">
        <v>1124</v>
      </c>
      <c r="F2131" s="79" t="s">
        <v>2537</v>
      </c>
      <c r="G2131" s="79" t="s">
        <v>2579</v>
      </c>
      <c r="H2131" s="79"/>
      <c r="I2131" s="79"/>
    </row>
    <row r="2132" spans="1:9" ht="14.25">
      <c r="A2132" s="79" t="s">
        <v>3924</v>
      </c>
      <c r="B2132" s="79" t="s">
        <v>3925</v>
      </c>
      <c r="C2132" s="79">
        <v>604380260</v>
      </c>
      <c r="D2132" s="79">
        <v>0</v>
      </c>
      <c r="E2132" s="79" t="s">
        <v>1124</v>
      </c>
      <c r="F2132" s="79" t="s">
        <v>2537</v>
      </c>
      <c r="G2132" s="79" t="s">
        <v>1130</v>
      </c>
      <c r="H2132" s="79"/>
      <c r="I2132" s="79"/>
    </row>
    <row r="2133" spans="1:9" ht="14.25">
      <c r="A2133" s="79" t="s">
        <v>3924</v>
      </c>
      <c r="B2133" s="79" t="s">
        <v>3925</v>
      </c>
      <c r="C2133" s="79">
        <v>604380260</v>
      </c>
      <c r="D2133" s="79">
        <v>0</v>
      </c>
      <c r="E2133" s="79" t="s">
        <v>1124</v>
      </c>
      <c r="F2133" s="79" t="s">
        <v>2537</v>
      </c>
      <c r="G2133" s="79" t="s">
        <v>1131</v>
      </c>
      <c r="H2133" s="79" t="s">
        <v>1132</v>
      </c>
      <c r="I2133" s="79"/>
    </row>
    <row r="2134" spans="1:9" ht="14.25">
      <c r="A2134" s="79" t="s">
        <v>3924</v>
      </c>
      <c r="B2134" s="79" t="s">
        <v>3925</v>
      </c>
      <c r="C2134" s="79">
        <v>604380260</v>
      </c>
      <c r="D2134" s="79">
        <v>0</v>
      </c>
      <c r="E2134" s="79" t="s">
        <v>1124</v>
      </c>
      <c r="F2134" s="79" t="s">
        <v>2537</v>
      </c>
      <c r="G2134" s="79" t="s">
        <v>2576</v>
      </c>
      <c r="H2134" s="79"/>
      <c r="I2134" s="79"/>
    </row>
    <row r="2135" spans="1:9" ht="14.25">
      <c r="A2135" s="79" t="s">
        <v>3926</v>
      </c>
      <c r="B2135" s="79" t="s">
        <v>3927</v>
      </c>
      <c r="C2135" s="79">
        <v>604380860</v>
      </c>
      <c r="D2135" s="79">
        <v>0</v>
      </c>
      <c r="E2135" s="79" t="s">
        <v>1124</v>
      </c>
      <c r="F2135" s="79" t="s">
        <v>2537</v>
      </c>
      <c r="G2135" s="79" t="s">
        <v>2544</v>
      </c>
      <c r="H2135" s="79" t="s">
        <v>2545</v>
      </c>
      <c r="I2135" s="79"/>
    </row>
    <row r="2136" spans="1:9" ht="14.25">
      <c r="A2136" s="79" t="s">
        <v>3926</v>
      </c>
      <c r="B2136" s="79" t="s">
        <v>3927</v>
      </c>
      <c r="C2136" s="79">
        <v>604380860</v>
      </c>
      <c r="D2136" s="79">
        <v>0</v>
      </c>
      <c r="E2136" s="79" t="s">
        <v>1124</v>
      </c>
      <c r="F2136" s="79" t="s">
        <v>2537</v>
      </c>
      <c r="G2136" s="79" t="s">
        <v>2579</v>
      </c>
      <c r="H2136" s="79"/>
      <c r="I2136" s="79"/>
    </row>
    <row r="2137" spans="1:9" ht="14.25">
      <c r="A2137" s="79" t="s">
        <v>3928</v>
      </c>
      <c r="B2137" s="79" t="s">
        <v>3929</v>
      </c>
      <c r="C2137" s="79">
        <v>604423460</v>
      </c>
      <c r="D2137" s="79">
        <v>0</v>
      </c>
      <c r="E2137" s="79" t="s">
        <v>1124</v>
      </c>
      <c r="F2137" s="79" t="s">
        <v>2537</v>
      </c>
      <c r="G2137" s="79" t="s">
        <v>1130</v>
      </c>
      <c r="H2137" s="79"/>
      <c r="I2137" s="79"/>
    </row>
    <row r="2138" spans="1:9" ht="14.25">
      <c r="A2138" s="79" t="s">
        <v>3928</v>
      </c>
      <c r="B2138" s="79" t="s">
        <v>3929</v>
      </c>
      <c r="C2138" s="79">
        <v>604423460</v>
      </c>
      <c r="D2138" s="79">
        <v>0</v>
      </c>
      <c r="E2138" s="79" t="s">
        <v>1124</v>
      </c>
      <c r="F2138" s="79" t="s">
        <v>2537</v>
      </c>
      <c r="G2138" s="79" t="s">
        <v>1131</v>
      </c>
      <c r="H2138" s="79" t="s">
        <v>1132</v>
      </c>
      <c r="I2138" s="79"/>
    </row>
    <row r="2139" spans="1:9" ht="14.25">
      <c r="A2139" s="79" t="s">
        <v>3928</v>
      </c>
      <c r="B2139" s="79" t="s">
        <v>3929</v>
      </c>
      <c r="C2139" s="79">
        <v>604423460</v>
      </c>
      <c r="D2139" s="79">
        <v>0</v>
      </c>
      <c r="E2139" s="79" t="s">
        <v>1124</v>
      </c>
      <c r="F2139" s="79" t="s">
        <v>2537</v>
      </c>
      <c r="G2139" s="79" t="s">
        <v>2576</v>
      </c>
      <c r="H2139" s="79"/>
      <c r="I2139" s="79"/>
    </row>
    <row r="2140" spans="1:9" ht="14.25">
      <c r="A2140" s="79" t="s">
        <v>3930</v>
      </c>
      <c r="B2140" s="79" t="s">
        <v>3931</v>
      </c>
      <c r="C2140" s="79">
        <v>604424060</v>
      </c>
      <c r="D2140" s="79">
        <v>0</v>
      </c>
      <c r="E2140" s="79" t="s">
        <v>1124</v>
      </c>
      <c r="F2140" s="79" t="s">
        <v>2537</v>
      </c>
      <c r="G2140" s="79" t="s">
        <v>2544</v>
      </c>
      <c r="H2140" s="79" t="s">
        <v>2545</v>
      </c>
      <c r="I2140" s="79"/>
    </row>
    <row r="2141" spans="1:9" ht="14.25">
      <c r="A2141" s="79" t="s">
        <v>3930</v>
      </c>
      <c r="B2141" s="79" t="s">
        <v>3931</v>
      </c>
      <c r="C2141" s="79">
        <v>604424060</v>
      </c>
      <c r="D2141" s="79">
        <v>0</v>
      </c>
      <c r="E2141" s="79" t="s">
        <v>1124</v>
      </c>
      <c r="F2141" s="79" t="s">
        <v>2537</v>
      </c>
      <c r="G2141" s="79" t="s">
        <v>2579</v>
      </c>
      <c r="H2141" s="79"/>
      <c r="I2141" s="79"/>
    </row>
    <row r="2142" spans="1:9" ht="14.25">
      <c r="A2142" s="79" t="s">
        <v>3932</v>
      </c>
      <c r="B2142" s="79" t="s">
        <v>3933</v>
      </c>
      <c r="C2142" s="79">
        <v>604466660</v>
      </c>
      <c r="D2142" s="79">
        <v>0</v>
      </c>
      <c r="E2142" s="79" t="s">
        <v>1124</v>
      </c>
      <c r="F2142" s="79" t="s">
        <v>2537</v>
      </c>
      <c r="G2142" s="79" t="s">
        <v>1130</v>
      </c>
      <c r="H2142" s="79"/>
      <c r="I2142" s="79"/>
    </row>
    <row r="2143" spans="1:9" ht="14.25">
      <c r="A2143" s="79" t="s">
        <v>3932</v>
      </c>
      <c r="B2143" s="79" t="s">
        <v>3933</v>
      </c>
      <c r="C2143" s="79">
        <v>604466660</v>
      </c>
      <c r="D2143" s="79">
        <v>0</v>
      </c>
      <c r="E2143" s="79" t="s">
        <v>1124</v>
      </c>
      <c r="F2143" s="79" t="s">
        <v>2537</v>
      </c>
      <c r="G2143" s="79" t="s">
        <v>1131</v>
      </c>
      <c r="H2143" s="79" t="s">
        <v>1132</v>
      </c>
      <c r="I2143" s="79"/>
    </row>
    <row r="2144" spans="1:9" ht="14.25">
      <c r="A2144" s="79" t="s">
        <v>3932</v>
      </c>
      <c r="B2144" s="79" t="s">
        <v>3933</v>
      </c>
      <c r="C2144" s="79">
        <v>604466660</v>
      </c>
      <c r="D2144" s="79">
        <v>0</v>
      </c>
      <c r="E2144" s="79" t="s">
        <v>1124</v>
      </c>
      <c r="F2144" s="79" t="s">
        <v>2537</v>
      </c>
      <c r="G2144" s="79" t="s">
        <v>2576</v>
      </c>
      <c r="H2144" s="79"/>
      <c r="I2144" s="79"/>
    </row>
    <row r="2145" spans="1:9" ht="14.25">
      <c r="A2145" s="79" t="s">
        <v>3934</v>
      </c>
      <c r="B2145" s="79" t="s">
        <v>3935</v>
      </c>
      <c r="C2145" s="79">
        <v>604467260</v>
      </c>
      <c r="D2145" s="79">
        <v>0</v>
      </c>
      <c r="E2145" s="79" t="s">
        <v>1124</v>
      </c>
      <c r="F2145" s="79" t="s">
        <v>2537</v>
      </c>
      <c r="G2145" s="79" t="s">
        <v>2544</v>
      </c>
      <c r="H2145" s="79" t="s">
        <v>2545</v>
      </c>
      <c r="I2145" s="79"/>
    </row>
    <row r="2146" spans="1:9" ht="14.25">
      <c r="A2146" s="79" t="s">
        <v>3934</v>
      </c>
      <c r="B2146" s="79" t="s">
        <v>3935</v>
      </c>
      <c r="C2146" s="79">
        <v>604467260</v>
      </c>
      <c r="D2146" s="79">
        <v>0</v>
      </c>
      <c r="E2146" s="79" t="s">
        <v>1124</v>
      </c>
      <c r="F2146" s="79" t="s">
        <v>2537</v>
      </c>
      <c r="G2146" s="79" t="s">
        <v>2579</v>
      </c>
      <c r="H2146" s="79"/>
      <c r="I2146" s="79"/>
    </row>
    <row r="2147" spans="1:9" ht="14.25">
      <c r="A2147" s="79" t="s">
        <v>3936</v>
      </c>
      <c r="B2147" s="79" t="s">
        <v>3937</v>
      </c>
      <c r="C2147" s="79">
        <v>604509860</v>
      </c>
      <c r="D2147" s="79">
        <v>0</v>
      </c>
      <c r="E2147" s="79" t="s">
        <v>1124</v>
      </c>
      <c r="F2147" s="79" t="s">
        <v>2537</v>
      </c>
      <c r="G2147" s="79" t="s">
        <v>1130</v>
      </c>
      <c r="H2147" s="79"/>
      <c r="I2147" s="79"/>
    </row>
    <row r="2148" spans="1:9" ht="14.25">
      <c r="A2148" s="79" t="s">
        <v>3936</v>
      </c>
      <c r="B2148" s="79" t="s">
        <v>3937</v>
      </c>
      <c r="C2148" s="79">
        <v>604509860</v>
      </c>
      <c r="D2148" s="79">
        <v>0</v>
      </c>
      <c r="E2148" s="79" t="s">
        <v>1124</v>
      </c>
      <c r="F2148" s="79" t="s">
        <v>2537</v>
      </c>
      <c r="G2148" s="79" t="s">
        <v>1131</v>
      </c>
      <c r="H2148" s="79" t="s">
        <v>1132</v>
      </c>
      <c r="I2148" s="79"/>
    </row>
    <row r="2149" spans="1:9" ht="14.25">
      <c r="A2149" s="79" t="s">
        <v>3936</v>
      </c>
      <c r="B2149" s="79" t="s">
        <v>3937</v>
      </c>
      <c r="C2149" s="79">
        <v>604509860</v>
      </c>
      <c r="D2149" s="79">
        <v>0</v>
      </c>
      <c r="E2149" s="79" t="s">
        <v>1124</v>
      </c>
      <c r="F2149" s="79" t="s">
        <v>2537</v>
      </c>
      <c r="G2149" s="79" t="s">
        <v>2576</v>
      </c>
      <c r="H2149" s="79"/>
      <c r="I2149" s="79"/>
    </row>
    <row r="2150" spans="1:9" ht="14.25">
      <c r="A2150" s="79" t="s">
        <v>3938</v>
      </c>
      <c r="B2150" s="79" t="s">
        <v>3939</v>
      </c>
      <c r="C2150" s="79">
        <v>604510460</v>
      </c>
      <c r="D2150" s="79">
        <v>0</v>
      </c>
      <c r="E2150" s="79" t="s">
        <v>1124</v>
      </c>
      <c r="F2150" s="79" t="s">
        <v>2537</v>
      </c>
      <c r="G2150" s="79" t="s">
        <v>2544</v>
      </c>
      <c r="H2150" s="79" t="s">
        <v>2545</v>
      </c>
      <c r="I2150" s="79"/>
    </row>
    <row r="2151" spans="1:9" ht="14.25">
      <c r="A2151" s="79" t="s">
        <v>3938</v>
      </c>
      <c r="B2151" s="79" t="s">
        <v>3939</v>
      </c>
      <c r="C2151" s="79">
        <v>604510460</v>
      </c>
      <c r="D2151" s="79">
        <v>0</v>
      </c>
      <c r="E2151" s="79" t="s">
        <v>1124</v>
      </c>
      <c r="F2151" s="79" t="s">
        <v>2537</v>
      </c>
      <c r="G2151" s="79" t="s">
        <v>2579</v>
      </c>
      <c r="H2151" s="79"/>
      <c r="I2151" s="79"/>
    </row>
    <row r="2152" spans="1:9" ht="14.25">
      <c r="A2152" s="79" t="s">
        <v>3940</v>
      </c>
      <c r="B2152" s="79" t="s">
        <v>3941</v>
      </c>
      <c r="C2152" s="79">
        <v>604553060</v>
      </c>
      <c r="D2152" s="79">
        <v>0</v>
      </c>
      <c r="E2152" s="79" t="s">
        <v>1124</v>
      </c>
      <c r="F2152" s="79" t="s">
        <v>2537</v>
      </c>
      <c r="G2152" s="79" t="s">
        <v>1130</v>
      </c>
      <c r="H2152" s="79"/>
      <c r="I2152" s="79"/>
    </row>
    <row r="2153" spans="1:9" ht="14.25">
      <c r="A2153" s="79" t="s">
        <v>3940</v>
      </c>
      <c r="B2153" s="79" t="s">
        <v>3941</v>
      </c>
      <c r="C2153" s="79">
        <v>604553060</v>
      </c>
      <c r="D2153" s="79">
        <v>0</v>
      </c>
      <c r="E2153" s="79" t="s">
        <v>1124</v>
      </c>
      <c r="F2153" s="79" t="s">
        <v>2537</v>
      </c>
      <c r="G2153" s="79" t="s">
        <v>1131</v>
      </c>
      <c r="H2153" s="79" t="s">
        <v>1132</v>
      </c>
      <c r="I2153" s="79"/>
    </row>
    <row r="2154" spans="1:9" ht="14.25">
      <c r="A2154" s="79" t="s">
        <v>3940</v>
      </c>
      <c r="B2154" s="79" t="s">
        <v>3941</v>
      </c>
      <c r="C2154" s="79">
        <v>604553060</v>
      </c>
      <c r="D2154" s="79">
        <v>0</v>
      </c>
      <c r="E2154" s="79" t="s">
        <v>1124</v>
      </c>
      <c r="F2154" s="79" t="s">
        <v>2537</v>
      </c>
      <c r="G2154" s="79" t="s">
        <v>2576</v>
      </c>
      <c r="H2154" s="79"/>
      <c r="I2154" s="79"/>
    </row>
    <row r="2155" spans="1:9" ht="14.25">
      <c r="A2155" s="79" t="s">
        <v>3942</v>
      </c>
      <c r="B2155" s="79" t="s">
        <v>3943</v>
      </c>
      <c r="C2155" s="79">
        <v>604553660</v>
      </c>
      <c r="D2155" s="79">
        <v>0</v>
      </c>
      <c r="E2155" s="79" t="s">
        <v>1124</v>
      </c>
      <c r="F2155" s="79" t="s">
        <v>2537</v>
      </c>
      <c r="G2155" s="79" t="s">
        <v>2544</v>
      </c>
      <c r="H2155" s="79" t="s">
        <v>2545</v>
      </c>
      <c r="I2155" s="79"/>
    </row>
    <row r="2156" spans="1:9" ht="14.25">
      <c r="A2156" s="79" t="s">
        <v>3942</v>
      </c>
      <c r="B2156" s="79" t="s">
        <v>3943</v>
      </c>
      <c r="C2156" s="79">
        <v>604553660</v>
      </c>
      <c r="D2156" s="79">
        <v>0</v>
      </c>
      <c r="E2156" s="79" t="s">
        <v>1124</v>
      </c>
      <c r="F2156" s="79" t="s">
        <v>2537</v>
      </c>
      <c r="G2156" s="79" t="s">
        <v>2579</v>
      </c>
      <c r="H2156" s="79"/>
      <c r="I2156" s="79"/>
    </row>
    <row r="2157" spans="1:9" ht="14.25">
      <c r="A2157" s="79" t="s">
        <v>3944</v>
      </c>
      <c r="B2157" s="79" t="s">
        <v>3945</v>
      </c>
      <c r="C2157" s="79">
        <v>604596260</v>
      </c>
      <c r="D2157" s="79">
        <v>0</v>
      </c>
      <c r="E2157" s="79" t="s">
        <v>1124</v>
      </c>
      <c r="F2157" s="79" t="s">
        <v>2537</v>
      </c>
      <c r="G2157" s="79" t="s">
        <v>1130</v>
      </c>
      <c r="H2157" s="79"/>
      <c r="I2157" s="79"/>
    </row>
    <row r="2158" spans="1:9" ht="14.25">
      <c r="A2158" s="79" t="s">
        <v>3944</v>
      </c>
      <c r="B2158" s="79" t="s">
        <v>3945</v>
      </c>
      <c r="C2158" s="79">
        <v>604596260</v>
      </c>
      <c r="D2158" s="79">
        <v>0</v>
      </c>
      <c r="E2158" s="79" t="s">
        <v>1124</v>
      </c>
      <c r="F2158" s="79" t="s">
        <v>2537</v>
      </c>
      <c r="G2158" s="79" t="s">
        <v>1131</v>
      </c>
      <c r="H2158" s="79" t="s">
        <v>1132</v>
      </c>
      <c r="I2158" s="79"/>
    </row>
    <row r="2159" spans="1:9" ht="14.25">
      <c r="A2159" s="79" t="s">
        <v>3944</v>
      </c>
      <c r="B2159" s="79" t="s">
        <v>3945</v>
      </c>
      <c r="C2159" s="79">
        <v>604596260</v>
      </c>
      <c r="D2159" s="79">
        <v>0</v>
      </c>
      <c r="E2159" s="79" t="s">
        <v>1124</v>
      </c>
      <c r="F2159" s="79" t="s">
        <v>2537</v>
      </c>
      <c r="G2159" s="79" t="s">
        <v>2576</v>
      </c>
      <c r="H2159" s="79"/>
      <c r="I2159" s="79"/>
    </row>
    <row r="2160" spans="1:9" ht="14.25">
      <c r="A2160" s="79" t="s">
        <v>3946</v>
      </c>
      <c r="B2160" s="79" t="s">
        <v>3947</v>
      </c>
      <c r="C2160" s="79">
        <v>604596860</v>
      </c>
      <c r="D2160" s="79">
        <v>0</v>
      </c>
      <c r="E2160" s="79" t="s">
        <v>1124</v>
      </c>
      <c r="F2160" s="79" t="s">
        <v>2537</v>
      </c>
      <c r="G2160" s="79" t="s">
        <v>2544</v>
      </c>
      <c r="H2160" s="79" t="s">
        <v>2545</v>
      </c>
      <c r="I2160" s="79"/>
    </row>
    <row r="2161" spans="1:9" ht="14.25">
      <c r="A2161" s="79" t="s">
        <v>3946</v>
      </c>
      <c r="B2161" s="79" t="s">
        <v>3947</v>
      </c>
      <c r="C2161" s="79">
        <v>604596860</v>
      </c>
      <c r="D2161" s="79">
        <v>0</v>
      </c>
      <c r="E2161" s="79" t="s">
        <v>1124</v>
      </c>
      <c r="F2161" s="79" t="s">
        <v>2537</v>
      </c>
      <c r="G2161" s="79" t="s">
        <v>2579</v>
      </c>
      <c r="H2161" s="79"/>
      <c r="I2161" s="79"/>
    </row>
    <row r="2162" spans="1:9" ht="14.25">
      <c r="A2162" s="79" t="s">
        <v>3948</v>
      </c>
      <c r="B2162" s="79" t="s">
        <v>3949</v>
      </c>
      <c r="C2162" s="79">
        <v>604639460</v>
      </c>
      <c r="D2162" s="79">
        <v>0</v>
      </c>
      <c r="E2162" s="79" t="s">
        <v>1124</v>
      </c>
      <c r="F2162" s="79" t="s">
        <v>2537</v>
      </c>
      <c r="G2162" s="79" t="s">
        <v>1130</v>
      </c>
      <c r="H2162" s="79"/>
      <c r="I2162" s="79"/>
    </row>
    <row r="2163" spans="1:9" ht="14.25">
      <c r="A2163" s="79" t="s">
        <v>3948</v>
      </c>
      <c r="B2163" s="79" t="s">
        <v>3949</v>
      </c>
      <c r="C2163" s="79">
        <v>604639460</v>
      </c>
      <c r="D2163" s="79">
        <v>0</v>
      </c>
      <c r="E2163" s="79" t="s">
        <v>1124</v>
      </c>
      <c r="F2163" s="79" t="s">
        <v>2537</v>
      </c>
      <c r="G2163" s="79" t="s">
        <v>1131</v>
      </c>
      <c r="H2163" s="79" t="s">
        <v>1132</v>
      </c>
      <c r="I2163" s="79"/>
    </row>
    <row r="2164" spans="1:9" ht="14.25">
      <c r="A2164" s="79" t="s">
        <v>3948</v>
      </c>
      <c r="B2164" s="79" t="s">
        <v>3949</v>
      </c>
      <c r="C2164" s="79">
        <v>604639460</v>
      </c>
      <c r="D2164" s="79">
        <v>0</v>
      </c>
      <c r="E2164" s="79" t="s">
        <v>1124</v>
      </c>
      <c r="F2164" s="79" t="s">
        <v>2537</v>
      </c>
      <c r="G2164" s="79" t="s">
        <v>2576</v>
      </c>
      <c r="H2164" s="79"/>
      <c r="I2164" s="79"/>
    </row>
    <row r="2165" spans="1:9" ht="14.25">
      <c r="A2165" s="79" t="s">
        <v>3950</v>
      </c>
      <c r="B2165" s="79" t="s">
        <v>3951</v>
      </c>
      <c r="C2165" s="79">
        <v>604640060</v>
      </c>
      <c r="D2165" s="79">
        <v>0</v>
      </c>
      <c r="E2165" s="79" t="s">
        <v>1124</v>
      </c>
      <c r="F2165" s="79" t="s">
        <v>2537</v>
      </c>
      <c r="G2165" s="79" t="s">
        <v>2544</v>
      </c>
      <c r="H2165" s="79" t="s">
        <v>2545</v>
      </c>
      <c r="I2165" s="79"/>
    </row>
    <row r="2166" spans="1:9" ht="14.25">
      <c r="A2166" s="79" t="s">
        <v>3950</v>
      </c>
      <c r="B2166" s="79" t="s">
        <v>3951</v>
      </c>
      <c r="C2166" s="79">
        <v>604640060</v>
      </c>
      <c r="D2166" s="79">
        <v>0</v>
      </c>
      <c r="E2166" s="79" t="s">
        <v>1124</v>
      </c>
      <c r="F2166" s="79" t="s">
        <v>2537</v>
      </c>
      <c r="G2166" s="79" t="s">
        <v>2579</v>
      </c>
      <c r="H2166" s="79"/>
      <c r="I2166" s="79"/>
    </row>
    <row r="2167" spans="1:9" ht="14.25">
      <c r="A2167" s="79" t="s">
        <v>3952</v>
      </c>
      <c r="B2167" s="79" t="s">
        <v>3953</v>
      </c>
      <c r="C2167" s="79">
        <v>604682660</v>
      </c>
      <c r="D2167" s="79">
        <v>0</v>
      </c>
      <c r="E2167" s="79" t="s">
        <v>1124</v>
      </c>
      <c r="F2167" s="79" t="s">
        <v>2537</v>
      </c>
      <c r="G2167" s="79" t="s">
        <v>1130</v>
      </c>
      <c r="H2167" s="79"/>
      <c r="I2167" s="79"/>
    </row>
    <row r="2168" spans="1:9" ht="14.25">
      <c r="A2168" s="79" t="s">
        <v>3952</v>
      </c>
      <c r="B2168" s="79" t="s">
        <v>3953</v>
      </c>
      <c r="C2168" s="79">
        <v>604682660</v>
      </c>
      <c r="D2168" s="79">
        <v>0</v>
      </c>
      <c r="E2168" s="79" t="s">
        <v>1124</v>
      </c>
      <c r="F2168" s="79" t="s">
        <v>2537</v>
      </c>
      <c r="G2168" s="79" t="s">
        <v>1131</v>
      </c>
      <c r="H2168" s="79" t="s">
        <v>1132</v>
      </c>
      <c r="I2168" s="79"/>
    </row>
    <row r="2169" spans="1:9" ht="14.25">
      <c r="A2169" s="79" t="s">
        <v>3952</v>
      </c>
      <c r="B2169" s="79" t="s">
        <v>3953</v>
      </c>
      <c r="C2169" s="79">
        <v>604682660</v>
      </c>
      <c r="D2169" s="79">
        <v>0</v>
      </c>
      <c r="E2169" s="79" t="s">
        <v>1124</v>
      </c>
      <c r="F2169" s="79" t="s">
        <v>2537</v>
      </c>
      <c r="G2169" s="79" t="s">
        <v>2576</v>
      </c>
      <c r="H2169" s="79"/>
      <c r="I2169" s="79"/>
    </row>
    <row r="2170" spans="1:9" ht="14.25">
      <c r="A2170" s="79" t="s">
        <v>3954</v>
      </c>
      <c r="B2170" s="79" t="s">
        <v>3955</v>
      </c>
      <c r="C2170" s="79">
        <v>604683260</v>
      </c>
      <c r="D2170" s="79">
        <v>0</v>
      </c>
      <c r="E2170" s="79" t="s">
        <v>1124</v>
      </c>
      <c r="F2170" s="79" t="s">
        <v>2537</v>
      </c>
      <c r="G2170" s="79" t="s">
        <v>2544</v>
      </c>
      <c r="H2170" s="79" t="s">
        <v>2545</v>
      </c>
      <c r="I2170" s="79"/>
    </row>
    <row r="2171" spans="1:9" ht="14.25">
      <c r="A2171" s="79" t="s">
        <v>3954</v>
      </c>
      <c r="B2171" s="79" t="s">
        <v>3955</v>
      </c>
      <c r="C2171" s="79">
        <v>604683260</v>
      </c>
      <c r="D2171" s="79">
        <v>0</v>
      </c>
      <c r="E2171" s="79" t="s">
        <v>1124</v>
      </c>
      <c r="F2171" s="79" t="s">
        <v>2537</v>
      </c>
      <c r="G2171" s="79" t="s">
        <v>2579</v>
      </c>
      <c r="H2171" s="79"/>
      <c r="I2171" s="79"/>
    </row>
    <row r="2172" spans="1:9" ht="14.25">
      <c r="A2172" s="79" t="s">
        <v>3956</v>
      </c>
      <c r="B2172" s="79" t="s">
        <v>3957</v>
      </c>
      <c r="C2172" s="79">
        <v>604725860</v>
      </c>
      <c r="D2172" s="79">
        <v>0</v>
      </c>
      <c r="E2172" s="79" t="s">
        <v>1124</v>
      </c>
      <c r="F2172" s="79" t="s">
        <v>2537</v>
      </c>
      <c r="G2172" s="79" t="s">
        <v>1130</v>
      </c>
      <c r="H2172" s="79"/>
      <c r="I2172" s="79"/>
    </row>
    <row r="2173" spans="1:9" ht="14.25">
      <c r="A2173" s="79" t="s">
        <v>3956</v>
      </c>
      <c r="B2173" s="79" t="s">
        <v>3957</v>
      </c>
      <c r="C2173" s="79">
        <v>604725860</v>
      </c>
      <c r="D2173" s="79">
        <v>0</v>
      </c>
      <c r="E2173" s="79" t="s">
        <v>1124</v>
      </c>
      <c r="F2173" s="79" t="s">
        <v>2537</v>
      </c>
      <c r="G2173" s="79" t="s">
        <v>1131</v>
      </c>
      <c r="H2173" s="79" t="s">
        <v>1132</v>
      </c>
      <c r="I2173" s="79"/>
    </row>
    <row r="2174" spans="1:9" ht="14.25">
      <c r="A2174" s="79" t="s">
        <v>3956</v>
      </c>
      <c r="B2174" s="79" t="s">
        <v>3957</v>
      </c>
      <c r="C2174" s="79">
        <v>604725860</v>
      </c>
      <c r="D2174" s="79">
        <v>0</v>
      </c>
      <c r="E2174" s="79" t="s">
        <v>1124</v>
      </c>
      <c r="F2174" s="79" t="s">
        <v>2537</v>
      </c>
      <c r="G2174" s="79" t="s">
        <v>2576</v>
      </c>
      <c r="H2174" s="79"/>
      <c r="I2174" s="79"/>
    </row>
    <row r="2175" spans="1:9" ht="14.25">
      <c r="A2175" s="79" t="s">
        <v>3958</v>
      </c>
      <c r="B2175" s="79" t="s">
        <v>3959</v>
      </c>
      <c r="C2175" s="79">
        <v>604726460</v>
      </c>
      <c r="D2175" s="79">
        <v>0</v>
      </c>
      <c r="E2175" s="79" t="s">
        <v>1124</v>
      </c>
      <c r="F2175" s="79" t="s">
        <v>2537</v>
      </c>
      <c r="G2175" s="79" t="s">
        <v>2544</v>
      </c>
      <c r="H2175" s="79" t="s">
        <v>2545</v>
      </c>
      <c r="I2175" s="79"/>
    </row>
    <row r="2176" spans="1:9" ht="14.25">
      <c r="A2176" s="79" t="s">
        <v>3958</v>
      </c>
      <c r="B2176" s="79" t="s">
        <v>3959</v>
      </c>
      <c r="C2176" s="79">
        <v>604726460</v>
      </c>
      <c r="D2176" s="79">
        <v>0</v>
      </c>
      <c r="E2176" s="79" t="s">
        <v>1124</v>
      </c>
      <c r="F2176" s="79" t="s">
        <v>2537</v>
      </c>
      <c r="G2176" s="79" t="s">
        <v>2579</v>
      </c>
      <c r="H2176" s="79"/>
      <c r="I2176" s="79"/>
    </row>
    <row r="2177" spans="1:9" ht="14.25">
      <c r="A2177" s="79" t="s">
        <v>3960</v>
      </c>
      <c r="B2177" s="79" t="s">
        <v>3961</v>
      </c>
      <c r="C2177" s="79">
        <v>604769060</v>
      </c>
      <c r="D2177" s="79">
        <v>0</v>
      </c>
      <c r="E2177" s="79" t="s">
        <v>1124</v>
      </c>
      <c r="F2177" s="79" t="s">
        <v>2537</v>
      </c>
      <c r="G2177" s="79" t="s">
        <v>1130</v>
      </c>
      <c r="H2177" s="79"/>
      <c r="I2177" s="79"/>
    </row>
    <row r="2178" spans="1:9" ht="14.25">
      <c r="A2178" s="79" t="s">
        <v>3960</v>
      </c>
      <c r="B2178" s="79" t="s">
        <v>3961</v>
      </c>
      <c r="C2178" s="79">
        <v>604769060</v>
      </c>
      <c r="D2178" s="79">
        <v>0</v>
      </c>
      <c r="E2178" s="79" t="s">
        <v>1124</v>
      </c>
      <c r="F2178" s="79" t="s">
        <v>2537</v>
      </c>
      <c r="G2178" s="79" t="s">
        <v>1131</v>
      </c>
      <c r="H2178" s="79" t="s">
        <v>1132</v>
      </c>
      <c r="I2178" s="79"/>
    </row>
    <row r="2179" spans="1:9" ht="14.25">
      <c r="A2179" s="79" t="s">
        <v>3960</v>
      </c>
      <c r="B2179" s="79" t="s">
        <v>3961</v>
      </c>
      <c r="C2179" s="79">
        <v>604769060</v>
      </c>
      <c r="D2179" s="79">
        <v>0</v>
      </c>
      <c r="E2179" s="79" t="s">
        <v>1124</v>
      </c>
      <c r="F2179" s="79" t="s">
        <v>2537</v>
      </c>
      <c r="G2179" s="79" t="s">
        <v>2576</v>
      </c>
      <c r="H2179" s="79"/>
      <c r="I2179" s="79"/>
    </row>
    <row r="2180" spans="1:9" ht="14.25">
      <c r="A2180" s="79" t="s">
        <v>3962</v>
      </c>
      <c r="B2180" s="79" t="s">
        <v>3963</v>
      </c>
      <c r="C2180" s="79">
        <v>604769660</v>
      </c>
      <c r="D2180" s="79">
        <v>0</v>
      </c>
      <c r="E2180" s="79" t="s">
        <v>1124</v>
      </c>
      <c r="F2180" s="79" t="s">
        <v>2537</v>
      </c>
      <c r="G2180" s="79" t="s">
        <v>2544</v>
      </c>
      <c r="H2180" s="79" t="s">
        <v>2545</v>
      </c>
      <c r="I2180" s="79"/>
    </row>
    <row r="2181" spans="1:9" ht="14.25">
      <c r="A2181" s="79" t="s">
        <v>3962</v>
      </c>
      <c r="B2181" s="79" t="s">
        <v>3963</v>
      </c>
      <c r="C2181" s="79">
        <v>604769660</v>
      </c>
      <c r="D2181" s="79">
        <v>0</v>
      </c>
      <c r="E2181" s="79" t="s">
        <v>1124</v>
      </c>
      <c r="F2181" s="79" t="s">
        <v>2537</v>
      </c>
      <c r="G2181" s="79" t="s">
        <v>2579</v>
      </c>
      <c r="H2181" s="79"/>
      <c r="I2181" s="79"/>
    </row>
    <row r="2182" spans="1:9" ht="14.25">
      <c r="A2182" s="79" t="s">
        <v>3964</v>
      </c>
      <c r="B2182" s="79" t="s">
        <v>3965</v>
      </c>
      <c r="C2182" s="79">
        <v>604812260</v>
      </c>
      <c r="D2182" s="79">
        <v>0</v>
      </c>
      <c r="E2182" s="79" t="s">
        <v>1124</v>
      </c>
      <c r="F2182" s="79" t="s">
        <v>2537</v>
      </c>
      <c r="G2182" s="79" t="s">
        <v>1130</v>
      </c>
      <c r="H2182" s="79"/>
      <c r="I2182" s="79"/>
    </row>
    <row r="2183" spans="1:9" ht="14.25">
      <c r="A2183" s="79" t="s">
        <v>3964</v>
      </c>
      <c r="B2183" s="79" t="s">
        <v>3965</v>
      </c>
      <c r="C2183" s="79">
        <v>604812260</v>
      </c>
      <c r="D2183" s="79">
        <v>0</v>
      </c>
      <c r="E2183" s="79" t="s">
        <v>1124</v>
      </c>
      <c r="F2183" s="79" t="s">
        <v>2537</v>
      </c>
      <c r="G2183" s="79" t="s">
        <v>1131</v>
      </c>
      <c r="H2183" s="79" t="s">
        <v>1132</v>
      </c>
      <c r="I2183" s="79"/>
    </row>
    <row r="2184" spans="1:9" ht="14.25">
      <c r="A2184" s="79" t="s">
        <v>3964</v>
      </c>
      <c r="B2184" s="79" t="s">
        <v>3965</v>
      </c>
      <c r="C2184" s="79">
        <v>604812260</v>
      </c>
      <c r="D2184" s="79">
        <v>0</v>
      </c>
      <c r="E2184" s="79" t="s">
        <v>1124</v>
      </c>
      <c r="F2184" s="79" t="s">
        <v>2537</v>
      </c>
      <c r="G2184" s="79" t="s">
        <v>2576</v>
      </c>
      <c r="H2184" s="79"/>
      <c r="I2184" s="79"/>
    </row>
    <row r="2185" spans="1:9" ht="14.25">
      <c r="A2185" s="79" t="s">
        <v>3966</v>
      </c>
      <c r="B2185" s="79" t="s">
        <v>3967</v>
      </c>
      <c r="C2185" s="79">
        <v>604812860</v>
      </c>
      <c r="D2185" s="79">
        <v>0</v>
      </c>
      <c r="E2185" s="79" t="s">
        <v>1124</v>
      </c>
      <c r="F2185" s="79" t="s">
        <v>2537</v>
      </c>
      <c r="G2185" s="79" t="s">
        <v>2544</v>
      </c>
      <c r="H2185" s="79" t="s">
        <v>2545</v>
      </c>
      <c r="I2185" s="79"/>
    </row>
    <row r="2186" spans="1:9" ht="14.25">
      <c r="A2186" s="79" t="s">
        <v>3966</v>
      </c>
      <c r="B2186" s="79" t="s">
        <v>3967</v>
      </c>
      <c r="C2186" s="79">
        <v>604812860</v>
      </c>
      <c r="D2186" s="79">
        <v>0</v>
      </c>
      <c r="E2186" s="79" t="s">
        <v>1124</v>
      </c>
      <c r="F2186" s="79" t="s">
        <v>2537</v>
      </c>
      <c r="G2186" s="79" t="s">
        <v>2579</v>
      </c>
      <c r="H2186" s="79"/>
      <c r="I2186" s="79"/>
    </row>
    <row r="2187" spans="1:9" ht="14.25">
      <c r="A2187" s="79" t="s">
        <v>3968</v>
      </c>
      <c r="B2187" s="79" t="s">
        <v>3969</v>
      </c>
      <c r="C2187" s="79">
        <v>604855460</v>
      </c>
      <c r="D2187" s="79">
        <v>0</v>
      </c>
      <c r="E2187" s="79" t="s">
        <v>1124</v>
      </c>
      <c r="F2187" s="79" t="s">
        <v>2537</v>
      </c>
      <c r="G2187" s="79" t="s">
        <v>1130</v>
      </c>
      <c r="H2187" s="79"/>
      <c r="I2187" s="79"/>
    </row>
    <row r="2188" spans="1:9" ht="14.25">
      <c r="A2188" s="79" t="s">
        <v>3968</v>
      </c>
      <c r="B2188" s="79" t="s">
        <v>3969</v>
      </c>
      <c r="C2188" s="79">
        <v>604855460</v>
      </c>
      <c r="D2188" s="79">
        <v>0</v>
      </c>
      <c r="E2188" s="79" t="s">
        <v>1124</v>
      </c>
      <c r="F2188" s="79" t="s">
        <v>2537</v>
      </c>
      <c r="G2188" s="79" t="s">
        <v>1131</v>
      </c>
      <c r="H2188" s="79" t="s">
        <v>1132</v>
      </c>
      <c r="I2188" s="79"/>
    </row>
    <row r="2189" spans="1:9" ht="14.25">
      <c r="A2189" s="79" t="s">
        <v>3968</v>
      </c>
      <c r="B2189" s="79" t="s">
        <v>3969</v>
      </c>
      <c r="C2189" s="79">
        <v>604855460</v>
      </c>
      <c r="D2189" s="79">
        <v>0</v>
      </c>
      <c r="E2189" s="79" t="s">
        <v>1124</v>
      </c>
      <c r="F2189" s="79" t="s">
        <v>2537</v>
      </c>
      <c r="G2189" s="79" t="s">
        <v>2576</v>
      </c>
      <c r="H2189" s="79"/>
      <c r="I2189" s="79"/>
    </row>
    <row r="2190" spans="1:9" ht="14.25">
      <c r="A2190" s="79" t="s">
        <v>3970</v>
      </c>
      <c r="B2190" s="79" t="s">
        <v>3971</v>
      </c>
      <c r="C2190" s="79">
        <v>604856060</v>
      </c>
      <c r="D2190" s="79">
        <v>0</v>
      </c>
      <c r="E2190" s="79" t="s">
        <v>1124</v>
      </c>
      <c r="F2190" s="79" t="s">
        <v>2537</v>
      </c>
      <c r="G2190" s="79" t="s">
        <v>2544</v>
      </c>
      <c r="H2190" s="79" t="s">
        <v>2545</v>
      </c>
      <c r="I2190" s="79"/>
    </row>
    <row r="2191" spans="1:9" ht="14.25">
      <c r="A2191" s="79" t="s">
        <v>3970</v>
      </c>
      <c r="B2191" s="79" t="s">
        <v>3971</v>
      </c>
      <c r="C2191" s="79">
        <v>604856060</v>
      </c>
      <c r="D2191" s="79">
        <v>0</v>
      </c>
      <c r="E2191" s="79" t="s">
        <v>1124</v>
      </c>
      <c r="F2191" s="79" t="s">
        <v>2537</v>
      </c>
      <c r="G2191" s="79" t="s">
        <v>2579</v>
      </c>
      <c r="H2191" s="79"/>
      <c r="I2191" s="79"/>
    </row>
    <row r="2192" spans="1:9" ht="14.25">
      <c r="A2192" s="79" t="s">
        <v>3972</v>
      </c>
      <c r="B2192" s="79" t="s">
        <v>3973</v>
      </c>
      <c r="C2192" s="79">
        <v>604898660</v>
      </c>
      <c r="D2192" s="79">
        <v>0</v>
      </c>
      <c r="E2192" s="79" t="s">
        <v>1124</v>
      </c>
      <c r="F2192" s="79" t="s">
        <v>2537</v>
      </c>
      <c r="G2192" s="79" t="s">
        <v>1130</v>
      </c>
      <c r="H2192" s="79"/>
      <c r="I2192" s="79"/>
    </row>
    <row r="2193" spans="1:9" ht="14.25">
      <c r="A2193" s="79" t="s">
        <v>3972</v>
      </c>
      <c r="B2193" s="79" t="s">
        <v>3973</v>
      </c>
      <c r="C2193" s="79">
        <v>604898660</v>
      </c>
      <c r="D2193" s="79">
        <v>0</v>
      </c>
      <c r="E2193" s="79" t="s">
        <v>1124</v>
      </c>
      <c r="F2193" s="79" t="s">
        <v>2537</v>
      </c>
      <c r="G2193" s="79" t="s">
        <v>1131</v>
      </c>
      <c r="H2193" s="79" t="s">
        <v>1132</v>
      </c>
      <c r="I2193" s="79"/>
    </row>
    <row r="2194" spans="1:9" ht="14.25">
      <c r="A2194" s="79" t="s">
        <v>3972</v>
      </c>
      <c r="B2194" s="79" t="s">
        <v>3973</v>
      </c>
      <c r="C2194" s="79">
        <v>604898660</v>
      </c>
      <c r="D2194" s="79">
        <v>0</v>
      </c>
      <c r="E2194" s="79" t="s">
        <v>1124</v>
      </c>
      <c r="F2194" s="79" t="s">
        <v>2537</v>
      </c>
      <c r="G2194" s="79" t="s">
        <v>2576</v>
      </c>
      <c r="H2194" s="79"/>
      <c r="I2194" s="79"/>
    </row>
    <row r="2195" spans="1:9" ht="14.25">
      <c r="A2195" s="79" t="s">
        <v>3974</v>
      </c>
      <c r="B2195" s="79" t="s">
        <v>3975</v>
      </c>
      <c r="C2195" s="79">
        <v>604899260</v>
      </c>
      <c r="D2195" s="79">
        <v>0</v>
      </c>
      <c r="E2195" s="79" t="s">
        <v>1124</v>
      </c>
      <c r="F2195" s="79" t="s">
        <v>2537</v>
      </c>
      <c r="G2195" s="79" t="s">
        <v>2544</v>
      </c>
      <c r="H2195" s="79" t="s">
        <v>2545</v>
      </c>
      <c r="I2195" s="79"/>
    </row>
    <row r="2196" spans="1:9" ht="14.25">
      <c r="A2196" s="79" t="s">
        <v>3974</v>
      </c>
      <c r="B2196" s="79" t="s">
        <v>3975</v>
      </c>
      <c r="C2196" s="79">
        <v>604899260</v>
      </c>
      <c r="D2196" s="79">
        <v>0</v>
      </c>
      <c r="E2196" s="79" t="s">
        <v>1124</v>
      </c>
      <c r="F2196" s="79" t="s">
        <v>2537</v>
      </c>
      <c r="G2196" s="79" t="s">
        <v>2579</v>
      </c>
      <c r="H2196" s="79"/>
      <c r="I2196" s="79"/>
    </row>
    <row r="2197" spans="1:9" ht="14.25">
      <c r="A2197" s="79" t="s">
        <v>3976</v>
      </c>
      <c r="B2197" s="79" t="s">
        <v>3977</v>
      </c>
      <c r="C2197" s="79">
        <v>604941860</v>
      </c>
      <c r="D2197" s="79">
        <v>0</v>
      </c>
      <c r="E2197" s="79" t="s">
        <v>1124</v>
      </c>
      <c r="F2197" s="79" t="s">
        <v>2537</v>
      </c>
      <c r="G2197" s="79" t="s">
        <v>1130</v>
      </c>
      <c r="H2197" s="79"/>
      <c r="I2197" s="79"/>
    </row>
    <row r="2198" spans="1:9" ht="14.25">
      <c r="A2198" s="79" t="s">
        <v>3976</v>
      </c>
      <c r="B2198" s="79" t="s">
        <v>3977</v>
      </c>
      <c r="C2198" s="79">
        <v>604941860</v>
      </c>
      <c r="D2198" s="79">
        <v>0</v>
      </c>
      <c r="E2198" s="79" t="s">
        <v>1124</v>
      </c>
      <c r="F2198" s="79" t="s">
        <v>2537</v>
      </c>
      <c r="G2198" s="79" t="s">
        <v>1131</v>
      </c>
      <c r="H2198" s="79" t="s">
        <v>1132</v>
      </c>
      <c r="I2198" s="79"/>
    </row>
    <row r="2199" spans="1:9" ht="14.25">
      <c r="A2199" s="79" t="s">
        <v>3976</v>
      </c>
      <c r="B2199" s="79" t="s">
        <v>3977</v>
      </c>
      <c r="C2199" s="79">
        <v>604941860</v>
      </c>
      <c r="D2199" s="79">
        <v>0</v>
      </c>
      <c r="E2199" s="79" t="s">
        <v>1124</v>
      </c>
      <c r="F2199" s="79" t="s">
        <v>2537</v>
      </c>
      <c r="G2199" s="79" t="s">
        <v>2576</v>
      </c>
      <c r="H2199" s="79"/>
      <c r="I2199" s="79"/>
    </row>
    <row r="2200" spans="1:9" ht="14.25">
      <c r="A2200" s="79" t="s">
        <v>3978</v>
      </c>
      <c r="B2200" s="79" t="s">
        <v>3979</v>
      </c>
      <c r="C2200" s="79">
        <v>604942460</v>
      </c>
      <c r="D2200" s="79">
        <v>0</v>
      </c>
      <c r="E2200" s="79" t="s">
        <v>1124</v>
      </c>
      <c r="F2200" s="79" t="s">
        <v>2537</v>
      </c>
      <c r="G2200" s="79" t="s">
        <v>2544</v>
      </c>
      <c r="H2200" s="79" t="s">
        <v>2545</v>
      </c>
      <c r="I2200" s="79"/>
    </row>
    <row r="2201" spans="1:9" ht="14.25">
      <c r="A2201" s="79" t="s">
        <v>3978</v>
      </c>
      <c r="B2201" s="79" t="s">
        <v>3979</v>
      </c>
      <c r="C2201" s="79">
        <v>604942460</v>
      </c>
      <c r="D2201" s="79">
        <v>0</v>
      </c>
      <c r="E2201" s="79" t="s">
        <v>1124</v>
      </c>
      <c r="F2201" s="79" t="s">
        <v>2537</v>
      </c>
      <c r="G2201" s="79" t="s">
        <v>2579</v>
      </c>
      <c r="H2201" s="79"/>
      <c r="I2201" s="79"/>
    </row>
    <row r="2202" spans="1:9" ht="14.25">
      <c r="A2202" s="79" t="s">
        <v>3980</v>
      </c>
      <c r="B2202" s="79" t="s">
        <v>3981</v>
      </c>
      <c r="C2202" s="79">
        <v>604985060</v>
      </c>
      <c r="D2202" s="79">
        <v>0</v>
      </c>
      <c r="E2202" s="79" t="s">
        <v>1124</v>
      </c>
      <c r="F2202" s="79" t="s">
        <v>2537</v>
      </c>
      <c r="G2202" s="79" t="s">
        <v>1130</v>
      </c>
      <c r="H2202" s="79"/>
      <c r="I2202" s="79"/>
    </row>
    <row r="2203" spans="1:9" ht="14.25">
      <c r="A2203" s="79" t="s">
        <v>3980</v>
      </c>
      <c r="B2203" s="79" t="s">
        <v>3981</v>
      </c>
      <c r="C2203" s="79">
        <v>604985060</v>
      </c>
      <c r="D2203" s="79">
        <v>0</v>
      </c>
      <c r="E2203" s="79" t="s">
        <v>1124</v>
      </c>
      <c r="F2203" s="79" t="s">
        <v>2537</v>
      </c>
      <c r="G2203" s="79" t="s">
        <v>1131</v>
      </c>
      <c r="H2203" s="79" t="s">
        <v>1132</v>
      </c>
      <c r="I2203" s="79"/>
    </row>
    <row r="2204" spans="1:9" ht="14.25">
      <c r="A2204" s="79" t="s">
        <v>3980</v>
      </c>
      <c r="B2204" s="79" t="s">
        <v>3981</v>
      </c>
      <c r="C2204" s="79">
        <v>604985060</v>
      </c>
      <c r="D2204" s="79">
        <v>0</v>
      </c>
      <c r="E2204" s="79" t="s">
        <v>1124</v>
      </c>
      <c r="F2204" s="79" t="s">
        <v>2537</v>
      </c>
      <c r="G2204" s="79" t="s">
        <v>2576</v>
      </c>
      <c r="H2204" s="79"/>
      <c r="I2204" s="79"/>
    </row>
    <row r="2205" spans="1:9" ht="14.25">
      <c r="A2205" s="79" t="s">
        <v>3982</v>
      </c>
      <c r="B2205" s="79" t="s">
        <v>3983</v>
      </c>
      <c r="C2205" s="79">
        <v>604985660</v>
      </c>
      <c r="D2205" s="79">
        <v>0</v>
      </c>
      <c r="E2205" s="79" t="s">
        <v>1124</v>
      </c>
      <c r="F2205" s="79" t="s">
        <v>2537</v>
      </c>
      <c r="G2205" s="79" t="s">
        <v>2544</v>
      </c>
      <c r="H2205" s="79" t="s">
        <v>2545</v>
      </c>
      <c r="I2205" s="79"/>
    </row>
    <row r="2206" spans="1:9" ht="14.25">
      <c r="A2206" s="79" t="s">
        <v>3982</v>
      </c>
      <c r="B2206" s="79" t="s">
        <v>3983</v>
      </c>
      <c r="C2206" s="79">
        <v>604985660</v>
      </c>
      <c r="D2206" s="79">
        <v>0</v>
      </c>
      <c r="E2206" s="79" t="s">
        <v>1124</v>
      </c>
      <c r="F2206" s="79" t="s">
        <v>2537</v>
      </c>
      <c r="G2206" s="79" t="s">
        <v>2579</v>
      </c>
      <c r="H2206" s="79"/>
      <c r="I2206" s="79"/>
    </row>
    <row r="2207" spans="1:9" ht="14.25">
      <c r="A2207" s="79" t="s">
        <v>3984</v>
      </c>
      <c r="B2207" s="79" t="s">
        <v>3985</v>
      </c>
      <c r="C2207" s="79">
        <v>605028260</v>
      </c>
      <c r="D2207" s="79">
        <v>0</v>
      </c>
      <c r="E2207" s="79" t="s">
        <v>1124</v>
      </c>
      <c r="F2207" s="79" t="s">
        <v>2537</v>
      </c>
      <c r="G2207" s="79" t="s">
        <v>1130</v>
      </c>
      <c r="H2207" s="79"/>
      <c r="I2207" s="79"/>
    </row>
    <row r="2208" spans="1:9" ht="14.25">
      <c r="A2208" s="79" t="s">
        <v>3984</v>
      </c>
      <c r="B2208" s="79" t="s">
        <v>3985</v>
      </c>
      <c r="C2208" s="79">
        <v>605028260</v>
      </c>
      <c r="D2208" s="79">
        <v>0</v>
      </c>
      <c r="E2208" s="79" t="s">
        <v>1124</v>
      </c>
      <c r="F2208" s="79" t="s">
        <v>2537</v>
      </c>
      <c r="G2208" s="79" t="s">
        <v>1131</v>
      </c>
      <c r="H2208" s="79" t="s">
        <v>1132</v>
      </c>
      <c r="I2208" s="79"/>
    </row>
    <row r="2209" spans="1:9" ht="14.25">
      <c r="A2209" s="79" t="s">
        <v>3984</v>
      </c>
      <c r="B2209" s="79" t="s">
        <v>3985</v>
      </c>
      <c r="C2209" s="79">
        <v>605028260</v>
      </c>
      <c r="D2209" s="79">
        <v>0</v>
      </c>
      <c r="E2209" s="79" t="s">
        <v>1124</v>
      </c>
      <c r="F2209" s="79" t="s">
        <v>2537</v>
      </c>
      <c r="G2209" s="79" t="s">
        <v>2576</v>
      </c>
      <c r="H2209" s="79"/>
      <c r="I2209" s="79"/>
    </row>
    <row r="2210" spans="1:9" ht="14.25">
      <c r="A2210" s="79" t="s">
        <v>3986</v>
      </c>
      <c r="B2210" s="79" t="s">
        <v>3987</v>
      </c>
      <c r="C2210" s="79">
        <v>605028860</v>
      </c>
      <c r="D2210" s="79">
        <v>0</v>
      </c>
      <c r="E2210" s="79" t="s">
        <v>1124</v>
      </c>
      <c r="F2210" s="79" t="s">
        <v>2537</v>
      </c>
      <c r="G2210" s="79" t="s">
        <v>2544</v>
      </c>
      <c r="H2210" s="79" t="s">
        <v>2545</v>
      </c>
      <c r="I2210" s="79"/>
    </row>
    <row r="2211" spans="1:9" ht="14.25">
      <c r="A2211" s="79" t="s">
        <v>3986</v>
      </c>
      <c r="B2211" s="79" t="s">
        <v>3987</v>
      </c>
      <c r="C2211" s="79">
        <v>605028860</v>
      </c>
      <c r="D2211" s="79">
        <v>0</v>
      </c>
      <c r="E2211" s="79" t="s">
        <v>1124</v>
      </c>
      <c r="F2211" s="79" t="s">
        <v>2537</v>
      </c>
      <c r="G2211" s="79" t="s">
        <v>2579</v>
      </c>
      <c r="H2211" s="79"/>
      <c r="I2211" s="79"/>
    </row>
    <row r="2212" spans="1:9" ht="14.25">
      <c r="A2212" s="79" t="s">
        <v>3988</v>
      </c>
      <c r="B2212" s="79" t="s">
        <v>3989</v>
      </c>
      <c r="C2212" s="79">
        <v>605071460</v>
      </c>
      <c r="D2212" s="79">
        <v>0</v>
      </c>
      <c r="E2212" s="79" t="s">
        <v>1124</v>
      </c>
      <c r="F2212" s="79" t="s">
        <v>2537</v>
      </c>
      <c r="G2212" s="79" t="s">
        <v>1130</v>
      </c>
      <c r="H2212" s="79"/>
      <c r="I2212" s="79"/>
    </row>
    <row r="2213" spans="1:9" ht="14.25">
      <c r="A2213" s="79" t="s">
        <v>3988</v>
      </c>
      <c r="B2213" s="79" t="s">
        <v>3989</v>
      </c>
      <c r="C2213" s="79">
        <v>605071460</v>
      </c>
      <c r="D2213" s="79">
        <v>0</v>
      </c>
      <c r="E2213" s="79" t="s">
        <v>1124</v>
      </c>
      <c r="F2213" s="79" t="s">
        <v>2537</v>
      </c>
      <c r="G2213" s="79" t="s">
        <v>1131</v>
      </c>
      <c r="H2213" s="79" t="s">
        <v>1132</v>
      </c>
      <c r="I2213" s="79"/>
    </row>
    <row r="2214" spans="1:9" ht="14.25">
      <c r="A2214" s="79" t="s">
        <v>3988</v>
      </c>
      <c r="B2214" s="79" t="s">
        <v>3989</v>
      </c>
      <c r="C2214" s="79">
        <v>605071460</v>
      </c>
      <c r="D2214" s="79">
        <v>0</v>
      </c>
      <c r="E2214" s="79" t="s">
        <v>1124</v>
      </c>
      <c r="F2214" s="79" t="s">
        <v>2537</v>
      </c>
      <c r="G2214" s="79" t="s">
        <v>2576</v>
      </c>
      <c r="H2214" s="79"/>
      <c r="I2214" s="79"/>
    </row>
    <row r="2215" spans="1:9" ht="14.25">
      <c r="A2215" s="79" t="s">
        <v>3990</v>
      </c>
      <c r="B2215" s="79" t="s">
        <v>3991</v>
      </c>
      <c r="C2215" s="79">
        <v>605072060</v>
      </c>
      <c r="D2215" s="79">
        <v>0</v>
      </c>
      <c r="E2215" s="79" t="s">
        <v>1124</v>
      </c>
      <c r="F2215" s="79" t="s">
        <v>2537</v>
      </c>
      <c r="G2215" s="79" t="s">
        <v>2544</v>
      </c>
      <c r="H2215" s="79" t="s">
        <v>2545</v>
      </c>
      <c r="I2215" s="79"/>
    </row>
    <row r="2216" spans="1:9" ht="14.25">
      <c r="A2216" s="79" t="s">
        <v>3990</v>
      </c>
      <c r="B2216" s="79" t="s">
        <v>3991</v>
      </c>
      <c r="C2216" s="79">
        <v>605072060</v>
      </c>
      <c r="D2216" s="79">
        <v>0</v>
      </c>
      <c r="E2216" s="79" t="s">
        <v>1124</v>
      </c>
      <c r="F2216" s="79" t="s">
        <v>2537</v>
      </c>
      <c r="G2216" s="79" t="s">
        <v>2579</v>
      </c>
      <c r="H2216" s="79"/>
      <c r="I2216" s="79"/>
    </row>
    <row r="2217" spans="1:9" ht="14.25">
      <c r="A2217" s="81" t="s">
        <v>3992</v>
      </c>
      <c r="B2217" s="81" t="s">
        <v>3993</v>
      </c>
      <c r="C2217" s="81">
        <v>605076716</v>
      </c>
      <c r="D2217" s="81">
        <v>0</v>
      </c>
      <c r="E2217" s="81" t="s">
        <v>1124</v>
      </c>
      <c r="F2217" s="81" t="s">
        <v>3994</v>
      </c>
      <c r="G2217" s="81" t="s">
        <v>2098</v>
      </c>
      <c r="H2217" s="81"/>
      <c r="I2217" s="81" t="s">
        <v>3995</v>
      </c>
    </row>
    <row r="2218" spans="1:9" ht="14.25">
      <c r="A2218" s="79" t="s">
        <v>3992</v>
      </c>
      <c r="B2218" s="79" t="s">
        <v>3993</v>
      </c>
      <c r="C2218" s="79">
        <v>605076716</v>
      </c>
      <c r="D2218" s="79">
        <v>0</v>
      </c>
      <c r="E2218" s="79" t="s">
        <v>1124</v>
      </c>
      <c r="F2218" s="79" t="s">
        <v>2100</v>
      </c>
      <c r="G2218" s="79" t="s">
        <v>2101</v>
      </c>
      <c r="H2218" s="79"/>
      <c r="I2218" s="79"/>
    </row>
    <row r="2219" spans="1:9" ht="14.25">
      <c r="A2219" s="79" t="s">
        <v>3992</v>
      </c>
      <c r="B2219" s="79" t="s">
        <v>3993</v>
      </c>
      <c r="C2219" s="79">
        <v>605076716</v>
      </c>
      <c r="D2219" s="79">
        <v>0</v>
      </c>
      <c r="E2219" s="79" t="s">
        <v>1124</v>
      </c>
      <c r="F2219" s="79" t="s">
        <v>2100</v>
      </c>
      <c r="G2219" s="79" t="s">
        <v>2102</v>
      </c>
      <c r="H2219" s="79"/>
      <c r="I2219" s="79"/>
    </row>
    <row r="2220" spans="1:9" ht="14.25">
      <c r="A2220" s="79" t="s">
        <v>3996</v>
      </c>
      <c r="B2220" s="79" t="s">
        <v>3997</v>
      </c>
      <c r="C2220" s="79">
        <v>605076717</v>
      </c>
      <c r="D2220" s="79">
        <v>0</v>
      </c>
      <c r="E2220" s="79" t="s">
        <v>1124</v>
      </c>
      <c r="F2220" s="79" t="s">
        <v>2100</v>
      </c>
      <c r="G2220" s="79" t="s">
        <v>2105</v>
      </c>
      <c r="H2220" s="79"/>
      <c r="I2220" s="79"/>
    </row>
    <row r="2221" spans="1:9" ht="14.25">
      <c r="A2221" s="79" t="s">
        <v>3996</v>
      </c>
      <c r="B2221" s="79" t="s">
        <v>3997</v>
      </c>
      <c r="C2221" s="79">
        <v>605076717</v>
      </c>
      <c r="D2221" s="79">
        <v>0</v>
      </c>
      <c r="E2221" s="79" t="s">
        <v>1124</v>
      </c>
      <c r="F2221" s="79" t="s">
        <v>2100</v>
      </c>
      <c r="G2221" s="79" t="s">
        <v>2106</v>
      </c>
      <c r="H2221" s="79"/>
      <c r="I2221" s="79"/>
    </row>
    <row r="2222" spans="1:9" ht="14.25">
      <c r="A2222" s="79" t="s">
        <v>3996</v>
      </c>
      <c r="B2222" s="79" t="s">
        <v>3997</v>
      </c>
      <c r="C2222" s="79">
        <v>605076717</v>
      </c>
      <c r="D2222" s="79">
        <v>0</v>
      </c>
      <c r="E2222" s="79" t="s">
        <v>1124</v>
      </c>
      <c r="F2222" s="79" t="s">
        <v>2100</v>
      </c>
      <c r="G2222" s="79" t="s">
        <v>2107</v>
      </c>
      <c r="H2222" s="79"/>
      <c r="I2222" s="79"/>
    </row>
    <row r="2223" spans="1:9" ht="14.25">
      <c r="A2223" s="79" t="s">
        <v>3998</v>
      </c>
      <c r="B2223" s="79" t="s">
        <v>3999</v>
      </c>
      <c r="C2223" s="79">
        <v>605076720</v>
      </c>
      <c r="D2223" s="79">
        <v>0</v>
      </c>
      <c r="E2223" s="79" t="s">
        <v>1124</v>
      </c>
      <c r="F2223" s="79" t="s">
        <v>2100</v>
      </c>
      <c r="G2223" s="79" t="s">
        <v>2110</v>
      </c>
      <c r="H2223" s="79"/>
      <c r="I2223" s="79"/>
    </row>
    <row r="2224" spans="1:9" ht="14.25">
      <c r="A2224" s="79" t="s">
        <v>3998</v>
      </c>
      <c r="B2224" s="79" t="s">
        <v>3999</v>
      </c>
      <c r="C2224" s="79">
        <v>605076720</v>
      </c>
      <c r="D2224" s="79">
        <v>0</v>
      </c>
      <c r="E2224" s="79" t="s">
        <v>1124</v>
      </c>
      <c r="F2224" s="79" t="s">
        <v>2100</v>
      </c>
      <c r="G2224" s="79" t="s">
        <v>2111</v>
      </c>
      <c r="H2224" s="79"/>
      <c r="I2224" s="79"/>
    </row>
    <row r="2225" spans="1:9" ht="14.25">
      <c r="A2225" s="79" t="s">
        <v>3998</v>
      </c>
      <c r="B2225" s="79" t="s">
        <v>3999</v>
      </c>
      <c r="C2225" s="79">
        <v>605076720</v>
      </c>
      <c r="D2225" s="79">
        <v>0</v>
      </c>
      <c r="E2225" s="79" t="s">
        <v>1124</v>
      </c>
      <c r="F2225" s="79" t="s">
        <v>2100</v>
      </c>
      <c r="G2225" s="79" t="s">
        <v>2107</v>
      </c>
      <c r="H2225" s="79"/>
      <c r="I2225" s="79"/>
    </row>
    <row r="2226" spans="1:9" ht="14.25">
      <c r="A2226" s="79" t="s">
        <v>4000</v>
      </c>
      <c r="B2226" s="79" t="s">
        <v>4001</v>
      </c>
      <c r="C2226" s="79">
        <v>605076723</v>
      </c>
      <c r="D2226" s="79">
        <v>0</v>
      </c>
      <c r="E2226" s="79" t="s">
        <v>1124</v>
      </c>
      <c r="F2226" s="79" t="s">
        <v>2100</v>
      </c>
      <c r="G2226" s="79" t="s">
        <v>2114</v>
      </c>
      <c r="H2226" s="79"/>
      <c r="I2226" s="79"/>
    </row>
    <row r="2227" spans="1:9" ht="14.25">
      <c r="A2227" s="79" t="s">
        <v>4000</v>
      </c>
      <c r="B2227" s="79" t="s">
        <v>4001</v>
      </c>
      <c r="C2227" s="79">
        <v>605076723</v>
      </c>
      <c r="D2227" s="79">
        <v>0</v>
      </c>
      <c r="E2227" s="79" t="s">
        <v>1124</v>
      </c>
      <c r="F2227" s="79" t="s">
        <v>2100</v>
      </c>
      <c r="G2227" s="79" t="s">
        <v>2115</v>
      </c>
      <c r="H2227" s="79"/>
      <c r="I2227" s="79"/>
    </row>
    <row r="2228" spans="1:9" ht="14.25">
      <c r="A2228" s="79" t="s">
        <v>4000</v>
      </c>
      <c r="B2228" s="79" t="s">
        <v>4001</v>
      </c>
      <c r="C2228" s="79">
        <v>605076723</v>
      </c>
      <c r="D2228" s="79">
        <v>0</v>
      </c>
      <c r="E2228" s="79" t="s">
        <v>1124</v>
      </c>
      <c r="F2228" s="79" t="s">
        <v>2100</v>
      </c>
      <c r="G2228" s="79" t="s">
        <v>2107</v>
      </c>
      <c r="H2228" s="79"/>
      <c r="I2228" s="79"/>
    </row>
    <row r="2229" spans="1:9" ht="14.25">
      <c r="A2229" s="79" t="s">
        <v>4002</v>
      </c>
      <c r="B2229" s="79" t="s">
        <v>4003</v>
      </c>
      <c r="C2229" s="79">
        <v>605076726</v>
      </c>
      <c r="D2229" s="79">
        <v>0</v>
      </c>
      <c r="E2229" s="79" t="s">
        <v>1124</v>
      </c>
      <c r="F2229" s="79" t="s">
        <v>2100</v>
      </c>
      <c r="G2229" s="79" t="s">
        <v>2118</v>
      </c>
      <c r="H2229" s="79"/>
      <c r="I2229" s="79"/>
    </row>
    <row r="2230" spans="1:9" ht="14.25">
      <c r="A2230" s="79" t="s">
        <v>4002</v>
      </c>
      <c r="B2230" s="79" t="s">
        <v>4003</v>
      </c>
      <c r="C2230" s="79">
        <v>605076726</v>
      </c>
      <c r="D2230" s="79">
        <v>0</v>
      </c>
      <c r="E2230" s="79" t="s">
        <v>1124</v>
      </c>
      <c r="F2230" s="79" t="s">
        <v>2100</v>
      </c>
      <c r="G2230" s="79" t="s">
        <v>2119</v>
      </c>
      <c r="H2230" s="79"/>
      <c r="I2230" s="79"/>
    </row>
    <row r="2231" spans="1:9" ht="14.25">
      <c r="A2231" s="79" t="s">
        <v>4002</v>
      </c>
      <c r="B2231" s="79" t="s">
        <v>4003</v>
      </c>
      <c r="C2231" s="79">
        <v>605076726</v>
      </c>
      <c r="D2231" s="79">
        <v>0</v>
      </c>
      <c r="E2231" s="79" t="s">
        <v>1124</v>
      </c>
      <c r="F2231" s="79" t="s">
        <v>2100</v>
      </c>
      <c r="G2231" s="79" t="s">
        <v>2107</v>
      </c>
      <c r="H2231" s="79"/>
      <c r="I2231" s="79"/>
    </row>
    <row r="2232" spans="1:9" ht="14.25">
      <c r="A2232" s="79" t="s">
        <v>4004</v>
      </c>
      <c r="B2232" s="79" t="s">
        <v>4005</v>
      </c>
      <c r="C2232" s="79">
        <v>605076729</v>
      </c>
      <c r="D2232" s="79">
        <v>0</v>
      </c>
      <c r="E2232" s="79" t="s">
        <v>1124</v>
      </c>
      <c r="F2232" s="79" t="s">
        <v>2100</v>
      </c>
      <c r="G2232" s="79" t="s">
        <v>2122</v>
      </c>
      <c r="H2232" s="79"/>
      <c r="I2232" s="79"/>
    </row>
    <row r="2233" spans="1:9" ht="14.25">
      <c r="A2233" s="79" t="s">
        <v>4004</v>
      </c>
      <c r="B2233" s="79" t="s">
        <v>4005</v>
      </c>
      <c r="C2233" s="79">
        <v>605076729</v>
      </c>
      <c r="D2233" s="79">
        <v>0</v>
      </c>
      <c r="E2233" s="79" t="s">
        <v>1124</v>
      </c>
      <c r="F2233" s="79" t="s">
        <v>2100</v>
      </c>
      <c r="G2233" s="79" t="s">
        <v>2123</v>
      </c>
      <c r="H2233" s="79"/>
      <c r="I2233" s="79"/>
    </row>
    <row r="2234" spans="1:9" ht="14.25">
      <c r="A2234" s="79" t="s">
        <v>4004</v>
      </c>
      <c r="B2234" s="79" t="s">
        <v>4005</v>
      </c>
      <c r="C2234" s="79">
        <v>605076729</v>
      </c>
      <c r="D2234" s="79">
        <v>0</v>
      </c>
      <c r="E2234" s="79" t="s">
        <v>1124</v>
      </c>
      <c r="F2234" s="79" t="s">
        <v>2100</v>
      </c>
      <c r="G2234" s="79" t="s">
        <v>2107</v>
      </c>
      <c r="H2234" s="79"/>
      <c r="I2234" s="79"/>
    </row>
    <row r="2235" spans="1:9" ht="14.25">
      <c r="A2235" s="79" t="s">
        <v>4006</v>
      </c>
      <c r="B2235" s="79" t="s">
        <v>4007</v>
      </c>
      <c r="C2235" s="79">
        <v>605076732</v>
      </c>
      <c r="D2235" s="79">
        <v>0</v>
      </c>
      <c r="E2235" s="79" t="s">
        <v>1124</v>
      </c>
      <c r="F2235" s="79" t="s">
        <v>2100</v>
      </c>
      <c r="G2235" s="79" t="s">
        <v>2126</v>
      </c>
      <c r="H2235" s="79"/>
      <c r="I2235" s="79"/>
    </row>
    <row r="2236" spans="1:9" ht="14.25">
      <c r="A2236" s="79" t="s">
        <v>4006</v>
      </c>
      <c r="B2236" s="79" t="s">
        <v>4007</v>
      </c>
      <c r="C2236" s="79">
        <v>605076732</v>
      </c>
      <c r="D2236" s="79">
        <v>0</v>
      </c>
      <c r="E2236" s="79" t="s">
        <v>1124</v>
      </c>
      <c r="F2236" s="79" t="s">
        <v>2100</v>
      </c>
      <c r="G2236" s="79" t="s">
        <v>2127</v>
      </c>
      <c r="H2236" s="79"/>
      <c r="I2236" s="79"/>
    </row>
    <row r="2237" spans="1:9" ht="14.25">
      <c r="A2237" s="79" t="s">
        <v>4006</v>
      </c>
      <c r="B2237" s="79" t="s">
        <v>4007</v>
      </c>
      <c r="C2237" s="79">
        <v>605076732</v>
      </c>
      <c r="D2237" s="79">
        <v>0</v>
      </c>
      <c r="E2237" s="79" t="s">
        <v>1124</v>
      </c>
      <c r="F2237" s="79" t="s">
        <v>2100</v>
      </c>
      <c r="G2237" s="79" t="s">
        <v>2107</v>
      </c>
      <c r="H2237" s="79"/>
      <c r="I2237" s="79"/>
    </row>
    <row r="2238" spans="1:9" ht="14.25">
      <c r="A2238" s="79" t="s">
        <v>4008</v>
      </c>
      <c r="B2238" s="79" t="s">
        <v>4009</v>
      </c>
      <c r="C2238" s="79">
        <v>605076735</v>
      </c>
      <c r="D2238" s="79">
        <v>0</v>
      </c>
      <c r="E2238" s="79" t="s">
        <v>1124</v>
      </c>
      <c r="F2238" s="79" t="s">
        <v>2100</v>
      </c>
      <c r="G2238" s="79" t="s">
        <v>2130</v>
      </c>
      <c r="H2238" s="79"/>
      <c r="I2238" s="79"/>
    </row>
    <row r="2239" spans="1:9" ht="14.25">
      <c r="A2239" s="79" t="s">
        <v>4008</v>
      </c>
      <c r="B2239" s="79" t="s">
        <v>4009</v>
      </c>
      <c r="C2239" s="79">
        <v>605076735</v>
      </c>
      <c r="D2239" s="79">
        <v>0</v>
      </c>
      <c r="E2239" s="79" t="s">
        <v>1124</v>
      </c>
      <c r="F2239" s="79" t="s">
        <v>2100</v>
      </c>
      <c r="G2239" s="79" t="s">
        <v>2131</v>
      </c>
      <c r="H2239" s="79"/>
      <c r="I2239" s="79"/>
    </row>
    <row r="2240" spans="1:9" ht="14.25">
      <c r="A2240" s="79" t="s">
        <v>4008</v>
      </c>
      <c r="B2240" s="79" t="s">
        <v>4009</v>
      </c>
      <c r="C2240" s="79">
        <v>605076735</v>
      </c>
      <c r="D2240" s="79">
        <v>0</v>
      </c>
      <c r="E2240" s="79" t="s">
        <v>1124</v>
      </c>
      <c r="F2240" s="79" t="s">
        <v>2100</v>
      </c>
      <c r="G2240" s="79" t="s">
        <v>2107</v>
      </c>
      <c r="H2240" s="79"/>
      <c r="I2240" s="79"/>
    </row>
    <row r="2241" spans="1:9" ht="14.25">
      <c r="A2241" s="79" t="s">
        <v>4010</v>
      </c>
      <c r="B2241" s="79" t="s">
        <v>4011</v>
      </c>
      <c r="C2241" s="79">
        <v>605076738</v>
      </c>
      <c r="D2241" s="79">
        <v>0</v>
      </c>
      <c r="E2241" s="79" t="s">
        <v>1124</v>
      </c>
      <c r="F2241" s="79" t="s">
        <v>2100</v>
      </c>
      <c r="G2241" s="79" t="s">
        <v>2134</v>
      </c>
      <c r="H2241" s="79"/>
      <c r="I2241" s="79"/>
    </row>
    <row r="2242" spans="1:9" ht="14.25">
      <c r="A2242" s="79" t="s">
        <v>4010</v>
      </c>
      <c r="B2242" s="79" t="s">
        <v>4011</v>
      </c>
      <c r="C2242" s="79">
        <v>605076738</v>
      </c>
      <c r="D2242" s="79">
        <v>0</v>
      </c>
      <c r="E2242" s="79" t="s">
        <v>1124</v>
      </c>
      <c r="F2242" s="79" t="s">
        <v>2100</v>
      </c>
      <c r="G2242" s="79" t="s">
        <v>2135</v>
      </c>
      <c r="H2242" s="79"/>
      <c r="I2242" s="79"/>
    </row>
    <row r="2243" spans="1:9" ht="14.25">
      <c r="A2243" s="79" t="s">
        <v>4010</v>
      </c>
      <c r="B2243" s="79" t="s">
        <v>4011</v>
      </c>
      <c r="C2243" s="79">
        <v>605076738</v>
      </c>
      <c r="D2243" s="79">
        <v>0</v>
      </c>
      <c r="E2243" s="79" t="s">
        <v>1124</v>
      </c>
      <c r="F2243" s="79" t="s">
        <v>2100</v>
      </c>
      <c r="G2243" s="79" t="s">
        <v>2107</v>
      </c>
      <c r="H2243" s="79"/>
      <c r="I2243" s="79"/>
    </row>
    <row r="2244" spans="1:9" ht="14.25">
      <c r="A2244" s="79" t="s">
        <v>4012</v>
      </c>
      <c r="B2244" s="79" t="s">
        <v>4013</v>
      </c>
      <c r="C2244" s="79">
        <v>605076741</v>
      </c>
      <c r="D2244" s="79">
        <v>0</v>
      </c>
      <c r="E2244" s="79" t="s">
        <v>1124</v>
      </c>
      <c r="F2244" s="79" t="s">
        <v>2100</v>
      </c>
      <c r="G2244" s="79" t="s">
        <v>2138</v>
      </c>
      <c r="H2244" s="79"/>
      <c r="I2244" s="79"/>
    </row>
    <row r="2245" spans="1:9" ht="14.25">
      <c r="A2245" s="79" t="s">
        <v>4012</v>
      </c>
      <c r="B2245" s="79" t="s">
        <v>4013</v>
      </c>
      <c r="C2245" s="79">
        <v>605076741</v>
      </c>
      <c r="D2245" s="79">
        <v>0</v>
      </c>
      <c r="E2245" s="79" t="s">
        <v>1124</v>
      </c>
      <c r="F2245" s="79" t="s">
        <v>2100</v>
      </c>
      <c r="G2245" s="79" t="s">
        <v>2139</v>
      </c>
      <c r="H2245" s="79"/>
      <c r="I2245" s="79"/>
    </row>
    <row r="2246" spans="1:9" ht="14.25">
      <c r="A2246" s="79" t="s">
        <v>4012</v>
      </c>
      <c r="B2246" s="79" t="s">
        <v>4013</v>
      </c>
      <c r="C2246" s="79">
        <v>605076741</v>
      </c>
      <c r="D2246" s="79">
        <v>0</v>
      </c>
      <c r="E2246" s="79" t="s">
        <v>1124</v>
      </c>
      <c r="F2246" s="79" t="s">
        <v>2100</v>
      </c>
      <c r="G2246" s="79" t="s">
        <v>2107</v>
      </c>
      <c r="H2246" s="79"/>
      <c r="I2246" s="79"/>
    </row>
    <row r="2247" spans="1:9" ht="14.25">
      <c r="A2247" s="79" t="s">
        <v>4014</v>
      </c>
      <c r="B2247" s="79" t="s">
        <v>4015</v>
      </c>
      <c r="C2247" s="79">
        <v>605076744</v>
      </c>
      <c r="D2247" s="79">
        <v>0</v>
      </c>
      <c r="E2247" s="79" t="s">
        <v>1124</v>
      </c>
      <c r="F2247" s="79" t="s">
        <v>2100</v>
      </c>
      <c r="G2247" s="79" t="s">
        <v>2142</v>
      </c>
      <c r="H2247" s="79"/>
      <c r="I2247" s="79"/>
    </row>
    <row r="2248" spans="1:9" ht="14.25">
      <c r="A2248" s="79" t="s">
        <v>4014</v>
      </c>
      <c r="B2248" s="79" t="s">
        <v>4015</v>
      </c>
      <c r="C2248" s="79">
        <v>605076744</v>
      </c>
      <c r="D2248" s="79">
        <v>0</v>
      </c>
      <c r="E2248" s="79" t="s">
        <v>1124</v>
      </c>
      <c r="F2248" s="79" t="s">
        <v>2100</v>
      </c>
      <c r="G2248" s="79" t="s">
        <v>2143</v>
      </c>
      <c r="H2248" s="79"/>
      <c r="I2248" s="79"/>
    </row>
    <row r="2249" spans="1:9" ht="14.25">
      <c r="A2249" s="79" t="s">
        <v>4014</v>
      </c>
      <c r="B2249" s="79" t="s">
        <v>4015</v>
      </c>
      <c r="C2249" s="79">
        <v>605076744</v>
      </c>
      <c r="D2249" s="79">
        <v>0</v>
      </c>
      <c r="E2249" s="79" t="s">
        <v>1124</v>
      </c>
      <c r="F2249" s="79" t="s">
        <v>2100</v>
      </c>
      <c r="G2249" s="79" t="s">
        <v>2107</v>
      </c>
      <c r="H2249" s="79"/>
      <c r="I2249" s="79"/>
    </row>
    <row r="2250" spans="1:9" ht="14.25">
      <c r="A2250" s="79" t="s">
        <v>4016</v>
      </c>
      <c r="B2250" s="79" t="s">
        <v>4017</v>
      </c>
      <c r="C2250" s="79">
        <v>605076747</v>
      </c>
      <c r="D2250" s="79">
        <v>0</v>
      </c>
      <c r="E2250" s="79" t="s">
        <v>1124</v>
      </c>
      <c r="F2250" s="79" t="s">
        <v>2100</v>
      </c>
      <c r="G2250" s="79" t="s">
        <v>2146</v>
      </c>
      <c r="H2250" s="79"/>
      <c r="I2250" s="79"/>
    </row>
    <row r="2251" spans="1:9" ht="14.25">
      <c r="A2251" s="79" t="s">
        <v>4016</v>
      </c>
      <c r="B2251" s="79" t="s">
        <v>4017</v>
      </c>
      <c r="C2251" s="79">
        <v>605076747</v>
      </c>
      <c r="D2251" s="79">
        <v>0</v>
      </c>
      <c r="E2251" s="79" t="s">
        <v>1124</v>
      </c>
      <c r="F2251" s="79" t="s">
        <v>2100</v>
      </c>
      <c r="G2251" s="79" t="s">
        <v>2147</v>
      </c>
      <c r="H2251" s="79"/>
      <c r="I2251" s="79"/>
    </row>
    <row r="2252" spans="1:9" ht="14.25">
      <c r="A2252" s="79" t="s">
        <v>4016</v>
      </c>
      <c r="B2252" s="79" t="s">
        <v>4017</v>
      </c>
      <c r="C2252" s="79">
        <v>605076747</v>
      </c>
      <c r="D2252" s="79">
        <v>0</v>
      </c>
      <c r="E2252" s="79" t="s">
        <v>1124</v>
      </c>
      <c r="F2252" s="79" t="s">
        <v>2100</v>
      </c>
      <c r="G2252" s="79" t="s">
        <v>2107</v>
      </c>
      <c r="H2252" s="79"/>
      <c r="I2252" s="79"/>
    </row>
    <row r="2253" spans="1:9" ht="14.25">
      <c r="A2253" s="79" t="s">
        <v>4018</v>
      </c>
      <c r="B2253" s="79" t="s">
        <v>4019</v>
      </c>
      <c r="C2253" s="79">
        <v>605076750</v>
      </c>
      <c r="D2253" s="79">
        <v>0</v>
      </c>
      <c r="E2253" s="79" t="s">
        <v>1124</v>
      </c>
      <c r="F2253" s="79" t="s">
        <v>2100</v>
      </c>
      <c r="G2253" s="79" t="s">
        <v>2150</v>
      </c>
      <c r="H2253" s="79"/>
      <c r="I2253" s="79"/>
    </row>
    <row r="2254" spans="1:9" ht="14.25">
      <c r="A2254" s="79" t="s">
        <v>4018</v>
      </c>
      <c r="B2254" s="79" t="s">
        <v>4019</v>
      </c>
      <c r="C2254" s="79">
        <v>605076750</v>
      </c>
      <c r="D2254" s="79">
        <v>0</v>
      </c>
      <c r="E2254" s="79" t="s">
        <v>1124</v>
      </c>
      <c r="F2254" s="79" t="s">
        <v>2100</v>
      </c>
      <c r="G2254" s="79" t="s">
        <v>2107</v>
      </c>
      <c r="H2254" s="79"/>
      <c r="I2254" s="79"/>
    </row>
    <row r="2255" spans="1:9" ht="14.25">
      <c r="A2255" s="79" t="s">
        <v>4020</v>
      </c>
      <c r="B2255" s="79" t="s">
        <v>4021</v>
      </c>
      <c r="C2255" s="79">
        <v>605076753</v>
      </c>
      <c r="D2255" s="79">
        <v>0</v>
      </c>
      <c r="E2255" s="79" t="s">
        <v>1124</v>
      </c>
      <c r="F2255" s="79" t="s">
        <v>2100</v>
      </c>
      <c r="G2255" s="79" t="s">
        <v>2153</v>
      </c>
      <c r="H2255" s="79"/>
      <c r="I2255" s="79"/>
    </row>
    <row r="2256" spans="1:9" ht="14.25">
      <c r="A2256" s="79" t="s">
        <v>4020</v>
      </c>
      <c r="B2256" s="79" t="s">
        <v>4021</v>
      </c>
      <c r="C2256" s="79">
        <v>605076753</v>
      </c>
      <c r="D2256" s="79">
        <v>0</v>
      </c>
      <c r="E2256" s="79" t="s">
        <v>1124</v>
      </c>
      <c r="F2256" s="79" t="s">
        <v>2100</v>
      </c>
      <c r="G2256" s="79" t="s">
        <v>2107</v>
      </c>
      <c r="H2256" s="79"/>
      <c r="I2256" s="79"/>
    </row>
    <row r="2257" spans="1:9" ht="14.25">
      <c r="A2257" s="79" t="s">
        <v>4022</v>
      </c>
      <c r="B2257" s="79" t="s">
        <v>4023</v>
      </c>
      <c r="C2257" s="79">
        <v>605076756</v>
      </c>
      <c r="D2257" s="79">
        <v>0</v>
      </c>
      <c r="E2257" s="79" t="s">
        <v>1124</v>
      </c>
      <c r="F2257" s="79" t="s">
        <v>2100</v>
      </c>
      <c r="G2257" s="79" t="s">
        <v>2156</v>
      </c>
      <c r="H2257" s="79"/>
      <c r="I2257" s="79"/>
    </row>
    <row r="2258" spans="1:9" ht="14.25">
      <c r="A2258" s="79" t="s">
        <v>4022</v>
      </c>
      <c r="B2258" s="79" t="s">
        <v>4023</v>
      </c>
      <c r="C2258" s="79">
        <v>605076756</v>
      </c>
      <c r="D2258" s="79">
        <v>0</v>
      </c>
      <c r="E2258" s="79" t="s">
        <v>1124</v>
      </c>
      <c r="F2258" s="79" t="s">
        <v>2100</v>
      </c>
      <c r="G2258" s="79" t="s">
        <v>2157</v>
      </c>
      <c r="H2258" s="79"/>
      <c r="I2258" s="79"/>
    </row>
    <row r="2259" spans="1:9" ht="14.25">
      <c r="A2259" s="79" t="s">
        <v>4022</v>
      </c>
      <c r="B2259" s="79" t="s">
        <v>4023</v>
      </c>
      <c r="C2259" s="79">
        <v>605076756</v>
      </c>
      <c r="D2259" s="79">
        <v>0</v>
      </c>
      <c r="E2259" s="79" t="s">
        <v>1124</v>
      </c>
      <c r="F2259" s="79" t="s">
        <v>2100</v>
      </c>
      <c r="G2259" s="79" t="s">
        <v>2158</v>
      </c>
      <c r="H2259" s="79"/>
      <c r="I2259" s="79"/>
    </row>
    <row r="2260" spans="1:9" ht="14.25">
      <c r="A2260" s="79" t="s">
        <v>4022</v>
      </c>
      <c r="B2260" s="79" t="s">
        <v>4023</v>
      </c>
      <c r="C2260" s="79">
        <v>605076756</v>
      </c>
      <c r="D2260" s="79">
        <v>0</v>
      </c>
      <c r="E2260" s="79" t="s">
        <v>1124</v>
      </c>
      <c r="F2260" s="79" t="s">
        <v>2100</v>
      </c>
      <c r="G2260" s="79" t="s">
        <v>2159</v>
      </c>
      <c r="H2260" s="79"/>
      <c r="I2260" s="79"/>
    </row>
    <row r="2261" spans="1:9" ht="14.25">
      <c r="A2261" s="79" t="s">
        <v>4022</v>
      </c>
      <c r="B2261" s="79" t="s">
        <v>4023</v>
      </c>
      <c r="C2261" s="79">
        <v>605076756</v>
      </c>
      <c r="D2261" s="79">
        <v>0</v>
      </c>
      <c r="E2261" s="79" t="s">
        <v>1124</v>
      </c>
      <c r="F2261" s="79" t="s">
        <v>2100</v>
      </c>
      <c r="G2261" s="79" t="s">
        <v>2160</v>
      </c>
      <c r="H2261" s="79"/>
      <c r="I2261" s="79"/>
    </row>
    <row r="2262" spans="1:9" ht="14.25">
      <c r="A2262" s="79" t="s">
        <v>4022</v>
      </c>
      <c r="B2262" s="79" t="s">
        <v>4023</v>
      </c>
      <c r="C2262" s="79">
        <v>605076756</v>
      </c>
      <c r="D2262" s="79">
        <v>0</v>
      </c>
      <c r="E2262" s="79" t="s">
        <v>1124</v>
      </c>
      <c r="F2262" s="79" t="s">
        <v>2100</v>
      </c>
      <c r="G2262" s="79" t="s">
        <v>1294</v>
      </c>
      <c r="H2262" s="79"/>
      <c r="I2262" s="79"/>
    </row>
    <row r="2263" spans="1:9" ht="14.25">
      <c r="A2263" s="81" t="s">
        <v>4024</v>
      </c>
      <c r="B2263" s="81" t="s">
        <v>4025</v>
      </c>
      <c r="C2263" s="81">
        <v>605076786</v>
      </c>
      <c r="D2263" s="81">
        <v>7</v>
      </c>
      <c r="E2263" s="81" t="s">
        <v>373</v>
      </c>
      <c r="F2263" s="81" t="s">
        <v>3994</v>
      </c>
      <c r="G2263" s="81" t="s">
        <v>2163</v>
      </c>
      <c r="H2263" s="81" t="s">
        <v>2164</v>
      </c>
      <c r="I2263" s="81" t="s">
        <v>3995</v>
      </c>
    </row>
    <row r="2264" spans="1:9" ht="14.25">
      <c r="A2264" s="81" t="s">
        <v>4026</v>
      </c>
      <c r="B2264" s="81" t="s">
        <v>4027</v>
      </c>
      <c r="C2264" s="81">
        <v>605076791</v>
      </c>
      <c r="D2264" s="81">
        <v>1</v>
      </c>
      <c r="E2264" s="81" t="s">
        <v>373</v>
      </c>
      <c r="F2264" s="81" t="s">
        <v>3994</v>
      </c>
      <c r="G2264" s="81" t="s">
        <v>389</v>
      </c>
      <c r="H2264" s="81"/>
      <c r="I2264" s="81" t="s">
        <v>3995</v>
      </c>
    </row>
    <row r="2265" spans="1:9" ht="14.25">
      <c r="A2265" s="81" t="s">
        <v>4028</v>
      </c>
      <c r="B2265" s="81" t="s">
        <v>4029</v>
      </c>
      <c r="C2265" s="81">
        <v>605076795</v>
      </c>
      <c r="D2265" s="81">
        <v>1</v>
      </c>
      <c r="E2265" s="81" t="s">
        <v>373</v>
      </c>
      <c r="F2265" s="81" t="s">
        <v>3994</v>
      </c>
      <c r="G2265" s="81" t="s">
        <v>389</v>
      </c>
      <c r="H2265" s="81"/>
      <c r="I2265" s="81" t="s">
        <v>3995</v>
      </c>
    </row>
    <row r="2266" spans="1:9" ht="14.25">
      <c r="A2266" s="81" t="s">
        <v>4030</v>
      </c>
      <c r="B2266" s="81" t="s">
        <v>4031</v>
      </c>
      <c r="C2266" s="81">
        <v>605076800</v>
      </c>
      <c r="D2266" s="81">
        <v>1</v>
      </c>
      <c r="E2266" s="81" t="s">
        <v>373</v>
      </c>
      <c r="F2266" s="81" t="s">
        <v>3994</v>
      </c>
      <c r="G2266" s="81" t="s">
        <v>395</v>
      </c>
      <c r="H2266" s="81"/>
      <c r="I2266" s="81" t="s">
        <v>3995</v>
      </c>
    </row>
    <row r="2267" spans="1:9" ht="14.25">
      <c r="A2267" s="81" t="s">
        <v>4032</v>
      </c>
      <c r="B2267" s="81" t="s">
        <v>4033</v>
      </c>
      <c r="C2267" s="81">
        <v>605076804</v>
      </c>
      <c r="D2267" s="81">
        <v>1</v>
      </c>
      <c r="E2267" s="81" t="s">
        <v>373</v>
      </c>
      <c r="F2267" s="81" t="s">
        <v>3994</v>
      </c>
      <c r="G2267" s="81" t="s">
        <v>395</v>
      </c>
      <c r="H2267" s="81"/>
      <c r="I2267" s="81" t="s">
        <v>3995</v>
      </c>
    </row>
    <row r="2268" spans="1:9" ht="14.25">
      <c r="A2268" s="81" t="s">
        <v>4034</v>
      </c>
      <c r="B2268" s="81" t="s">
        <v>4035</v>
      </c>
      <c r="C2268" s="81">
        <v>605076809</v>
      </c>
      <c r="D2268" s="81">
        <v>1</v>
      </c>
      <c r="E2268" s="81" t="s">
        <v>373</v>
      </c>
      <c r="F2268" s="81" t="s">
        <v>3994</v>
      </c>
      <c r="G2268" s="81" t="s">
        <v>375</v>
      </c>
      <c r="H2268" s="81"/>
      <c r="I2268" s="81" t="s">
        <v>3995</v>
      </c>
    </row>
    <row r="2269" spans="1:9" ht="14.25">
      <c r="A2269" s="81" t="s">
        <v>4036</v>
      </c>
      <c r="B2269" s="81" t="s">
        <v>4037</v>
      </c>
      <c r="C2269" s="81">
        <v>605076813</v>
      </c>
      <c r="D2269" s="81">
        <v>1</v>
      </c>
      <c r="E2269" s="81" t="s">
        <v>373</v>
      </c>
      <c r="F2269" s="81" t="s">
        <v>3994</v>
      </c>
      <c r="G2269" s="81" t="s">
        <v>375</v>
      </c>
      <c r="H2269" s="81"/>
      <c r="I2269" s="81" t="s">
        <v>3995</v>
      </c>
    </row>
    <row r="2270" spans="1:9" ht="14.25">
      <c r="A2270" s="81" t="s">
        <v>4038</v>
      </c>
      <c r="B2270" s="81" t="s">
        <v>4039</v>
      </c>
      <c r="C2270" s="81">
        <v>605076818</v>
      </c>
      <c r="D2270" s="81">
        <v>1</v>
      </c>
      <c r="E2270" s="81" t="s">
        <v>373</v>
      </c>
      <c r="F2270" s="81" t="s">
        <v>3994</v>
      </c>
      <c r="G2270" s="81" t="s">
        <v>382</v>
      </c>
      <c r="H2270" s="81"/>
      <c r="I2270" s="81" t="s">
        <v>3995</v>
      </c>
    </row>
    <row r="2271" spans="1:9" ht="14.25">
      <c r="A2271" s="81" t="s">
        <v>4040</v>
      </c>
      <c r="B2271" s="81" t="s">
        <v>4041</v>
      </c>
      <c r="C2271" s="81">
        <v>605076822</v>
      </c>
      <c r="D2271" s="81">
        <v>1</v>
      </c>
      <c r="E2271" s="81" t="s">
        <v>373</v>
      </c>
      <c r="F2271" s="81" t="s">
        <v>3994</v>
      </c>
      <c r="G2271" s="81" t="s">
        <v>382</v>
      </c>
      <c r="H2271" s="81"/>
      <c r="I2271" s="81" t="s">
        <v>3995</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btc_mods</vt:lpstr>
      <vt:lpstr>sclk_data</vt:lpstr>
      <vt:lpstr>pb_calc_pre_2025</vt:lpstr>
      <vt:lpstr>2025_pb</vt:lpstr>
      <vt:lpstr>Sheet2</vt:lpstr>
      <vt:lpstr>PEPSSI data tracking</vt:lpstr>
      <vt:lpstr>2025_pb_2</vt:lpstr>
      <vt:lpstr>alice pb 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Ann Harch</cp:lastModifiedBy>
  <cp:revision>127</cp:revision>
  <dcterms:created xsi:type="dcterms:W3CDTF">2021-10-05T20:43:26Z</dcterms:created>
  <dcterms:modified xsi:type="dcterms:W3CDTF">2026-07-10T16:05:39Z</dcterms:modified>
  <dc:language>en-US</dc:language>
</cp:coreProperties>
</file>