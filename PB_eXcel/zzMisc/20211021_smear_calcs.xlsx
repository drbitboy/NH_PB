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<sst xmlns="http://schemas.openxmlformats.org/spreadsheetml/2006/main" count="23" uniqueCount="22">
  <si>
    <t xml:space="preserve">TDI detector rows</t>
  </si>
  <si>
    <t xml:space="preserve">pixels</t>
  </si>
  <si>
    <t xml:space="preserve">Flyby speed</t>
  </si>
  <si>
    <t xml:space="preserve">km/s</t>
  </si>
  <si>
    <t xml:space="preserve">Commanded scan rate</t>
  </si>
  <si>
    <r>
      <rPr>
        <sz val="14"/>
        <rFont val="Standard Symbols PS"/>
        <family val="0"/>
      </rPr>
      <t xml:space="preserve">m</t>
    </r>
    <r>
      <rPr>
        <sz val="14"/>
        <rFont val="Arial"/>
        <family val="2"/>
      </rPr>
      <t xml:space="preserve">Radian/s</t>
    </r>
  </si>
  <si>
    <t xml:space="preserve">Nominal flyby distance</t>
  </si>
  <si>
    <t xml:space="preserve">km</t>
  </si>
  <si>
    <t xml:space="preserve">Actual flyby distance</t>
  </si>
  <si>
    <r>
      <rPr>
        <sz val="14"/>
        <rFont val="Arial"/>
        <family val="2"/>
      </rPr>
      <t xml:space="preserve">T</t>
    </r>
    <r>
      <rPr>
        <vertAlign val="subscript"/>
        <sz val="14"/>
        <rFont val="Arial"/>
        <family val="2"/>
      </rPr>
      <t xml:space="preserve">S/C</t>
    </r>
    <r>
      <rPr>
        <sz val="14"/>
        <rFont val="Arial"/>
        <family val="2"/>
      </rPr>
      <t xml:space="preserve"> – TCA, minutes</t>
    </r>
  </si>
  <si>
    <r>
      <rPr>
        <sz val="14"/>
        <rFont val="Arial"/>
        <family val="2"/>
      </rPr>
      <t xml:space="preserve">T</t>
    </r>
    <r>
      <rPr>
        <vertAlign val="subscript"/>
        <sz val="14"/>
        <rFont val="Arial"/>
        <family val="2"/>
      </rPr>
      <t xml:space="preserve">CB3</t>
    </r>
    <r>
      <rPr>
        <sz val="14"/>
        <rFont val="Arial"/>
        <family val="2"/>
      </rPr>
      <t xml:space="preserve"> – TCA, s</t>
    </r>
  </si>
  <si>
    <r>
      <rPr>
        <sz val="14"/>
        <rFont val="Arial"/>
        <family val="2"/>
      </rPr>
      <t xml:space="preserve">Smear rate, </t>
    </r>
    <r>
      <rPr>
        <sz val="14"/>
        <rFont val="Standard Symbols PS"/>
        <family val="0"/>
      </rPr>
      <t xml:space="preserve">m</t>
    </r>
    <r>
      <rPr>
        <sz val="14"/>
        <rFont val="Arial"/>
        <family val="2"/>
      </rPr>
      <t xml:space="preserve">radian/s</t>
    </r>
  </si>
  <si>
    <t xml:space="preserve">Fractional smear, %</t>
  </si>
  <si>
    <t xml:space="preserve">Smear rate, pixels/pixel</t>
  </si>
  <si>
    <r>
      <rPr>
        <sz val="14"/>
        <rFont val="Standard Symbols PS"/>
        <family val="0"/>
      </rPr>
      <t xml:space="preserve">D</t>
    </r>
    <r>
      <rPr>
        <sz val="14"/>
        <rFont val="Arial"/>
        <family val="2"/>
      </rPr>
      <t xml:space="preserve">P = P</t>
    </r>
    <r>
      <rPr>
        <vertAlign val="subscript"/>
        <sz val="14"/>
        <rFont val="Arial"/>
        <family val="2"/>
      </rPr>
      <t xml:space="preserve">CB3</t>
    </r>
    <r>
      <rPr>
        <sz val="14"/>
        <rFont val="Arial"/>
        <family val="2"/>
      </rPr>
      <t xml:space="preserve"> – P</t>
    </r>
    <r>
      <rPr>
        <vertAlign val="subscript"/>
        <sz val="14"/>
        <rFont val="Arial"/>
        <family val="2"/>
      </rPr>
      <t xml:space="preserve">SC</t>
    </r>
    <r>
      <rPr>
        <sz val="14"/>
        <rFont val="Arial"/>
        <family val="2"/>
      </rPr>
      <t xml:space="preserve">, km</t>
    </r>
  </si>
  <si>
    <r>
      <rPr>
        <sz val="14"/>
        <rFont val="Arial"/>
        <family val="2"/>
      </rPr>
      <t xml:space="preserve">cos</t>
    </r>
    <r>
      <rPr>
        <vertAlign val="superscript"/>
        <sz val="14"/>
        <rFont val="Arial"/>
        <family val="2"/>
      </rPr>
      <t xml:space="preserve">2</t>
    </r>
    <r>
      <rPr>
        <sz val="14"/>
        <rFont val="Standard Symbols PS"/>
        <family val="0"/>
      </rPr>
      <t xml:space="preserve">q</t>
    </r>
    <r>
      <rPr>
        <vertAlign val="subscript"/>
        <sz val="14"/>
        <rFont val="Arial"/>
        <family val="2"/>
      </rPr>
      <t xml:space="preserve">nominal</t>
    </r>
  </si>
  <si>
    <r>
      <rPr>
        <sz val="14"/>
        <rFont val="Arial"/>
        <family val="2"/>
      </rPr>
      <t xml:space="preserve">cos</t>
    </r>
    <r>
      <rPr>
        <sz val="14"/>
        <rFont val="Standard Symbols PS"/>
        <family val="0"/>
      </rPr>
      <t xml:space="preserve">q</t>
    </r>
    <r>
      <rPr>
        <vertAlign val="subscript"/>
        <sz val="14"/>
        <rFont val="Arial"/>
        <family val="2"/>
      </rPr>
      <t xml:space="preserve">nominal</t>
    </r>
  </si>
  <si>
    <r>
      <rPr>
        <sz val="14"/>
        <rFont val="Arial"/>
        <family val="2"/>
      </rPr>
      <t xml:space="preserve">cos</t>
    </r>
    <r>
      <rPr>
        <vertAlign val="superscript"/>
        <sz val="14"/>
        <rFont val="Arial"/>
        <family val="2"/>
      </rPr>
      <t xml:space="preserve">2</t>
    </r>
    <r>
      <rPr>
        <sz val="14"/>
        <rFont val="Standard Symbols PS"/>
        <family val="0"/>
      </rPr>
      <t xml:space="preserve">q</t>
    </r>
    <r>
      <rPr>
        <vertAlign val="subscript"/>
        <sz val="14"/>
        <rFont val="Arial"/>
        <family val="2"/>
      </rPr>
      <t xml:space="preserve">actual</t>
    </r>
  </si>
  <si>
    <r>
      <rPr>
        <sz val="14"/>
        <rFont val="Arial"/>
        <family val="2"/>
      </rPr>
      <t xml:space="preserve">cos</t>
    </r>
    <r>
      <rPr>
        <sz val="14"/>
        <rFont val="Standard Symbols PS"/>
        <family val="0"/>
      </rPr>
      <t xml:space="preserve">q</t>
    </r>
    <r>
      <rPr>
        <vertAlign val="subscript"/>
        <sz val="14"/>
        <rFont val="Arial"/>
        <family val="2"/>
      </rPr>
      <t xml:space="preserve">actual</t>
    </r>
  </si>
  <si>
    <r>
      <rPr>
        <sz val="14"/>
        <rFont val="Arial"/>
        <family val="2"/>
      </rPr>
      <t xml:space="preserve">d</t>
    </r>
    <r>
      <rPr>
        <sz val="14"/>
        <rFont val="Standard Symbols PS"/>
        <family val="0"/>
      </rPr>
      <t xml:space="preserve">q</t>
    </r>
    <r>
      <rPr>
        <sz val="14"/>
        <rFont val="Arial"/>
        <family val="2"/>
      </rPr>
      <t xml:space="preserve">/dt</t>
    </r>
    <r>
      <rPr>
        <vertAlign val="subscript"/>
        <sz val="14"/>
        <rFont val="Arial"/>
        <family val="2"/>
      </rPr>
      <t xml:space="preserve">nominal</t>
    </r>
    <r>
      <rPr>
        <sz val="14"/>
        <rFont val="Arial"/>
        <family val="2"/>
      </rPr>
      <t xml:space="preserve">, </t>
    </r>
    <r>
      <rPr>
        <sz val="14"/>
        <rFont val="Standard Symbols PS"/>
        <family val="0"/>
      </rPr>
      <t xml:space="preserve">m</t>
    </r>
    <r>
      <rPr>
        <sz val="14"/>
        <rFont val="Arial"/>
        <family val="2"/>
      </rPr>
      <t xml:space="preserve">radian/s</t>
    </r>
  </si>
  <si>
    <r>
      <rPr>
        <sz val="14"/>
        <rFont val="Arial"/>
        <family val="2"/>
      </rPr>
      <t xml:space="preserve">d</t>
    </r>
    <r>
      <rPr>
        <sz val="14"/>
        <rFont val="Standard Symbols PS"/>
        <family val="0"/>
      </rPr>
      <t xml:space="preserve">q</t>
    </r>
    <r>
      <rPr>
        <sz val="14"/>
        <rFont val="Arial"/>
        <family val="2"/>
      </rPr>
      <t xml:space="preserve">/dt</t>
    </r>
    <r>
      <rPr>
        <vertAlign val="subscript"/>
        <sz val="14"/>
        <rFont val="Arial"/>
        <family val="2"/>
      </rPr>
      <t xml:space="preserve">actual</t>
    </r>
    <r>
      <rPr>
        <sz val="14"/>
        <rFont val="Arial"/>
        <family val="2"/>
      </rPr>
      <t xml:space="preserve">, </t>
    </r>
    <r>
      <rPr>
        <sz val="14"/>
        <rFont val="Standard Symbols PS"/>
        <family val="0"/>
      </rPr>
      <t xml:space="preserve">m</t>
    </r>
    <r>
      <rPr>
        <sz val="14"/>
        <rFont val="Arial"/>
        <family val="2"/>
      </rPr>
      <t xml:space="preserve">radian/s</t>
    </r>
  </si>
  <si>
    <r>
      <rPr>
        <sz val="14"/>
        <rFont val="Arial"/>
        <family val="2"/>
      </rPr>
      <t xml:space="preserve">Actual scan rate, </t>
    </r>
    <r>
      <rPr>
        <sz val="14"/>
        <rFont val="Standard Symbols PS"/>
        <family val="0"/>
      </rPr>
      <t xml:space="preserve">m</t>
    </r>
    <r>
      <rPr>
        <sz val="14"/>
        <rFont val="Arial"/>
        <family val="2"/>
      </rPr>
      <t xml:space="preserve">radian/s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</si>
</sst>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Arial"/>
      <family val="2"/>
    </font>
    <font>
      <sz val="14"/>
      <name val="Standard Symbols PS"/>
      <family val="0"/>
    </font>
    <font>
      <vertAlign val="subscript"/>
      <sz val="14"/>
      <name val="Arial"/>
      <family val="2"/>
    </font>
    <font>
      <vertAlign val="superscript"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8F2A1"/>
        <bgColor rgb="FFFFFFCC"/>
      </patternFill>
    </fill>
    <fill>
      <patternFill patternType="solid">
        <fgColor rgb="FFDDDDDD"/>
        <bgColor rgb="FFE8F2A1"/>
      </patternFill>
    </fill>
    <fill>
      <patternFill patternType="solid">
        <fgColor rgb="FF00FFFF"/>
        <bgColor rgb="FF00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5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114120</xdr:colOff>
      <xdr:row>0</xdr:row>
      <xdr:rowOff>72720</xdr:rowOff>
    </xdr:from>
    <xdr:to>
      <xdr:col>9</xdr:col>
      <xdr:colOff>1035360</xdr:colOff>
      <xdr:row>17</xdr:row>
      <xdr:rowOff>134280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5729400" y="72720"/>
          <a:ext cx="6604200" cy="380736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B1:K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11.53515625" defaultRowHeight="17.35" zeroHeight="false" outlineLevelRow="0" outlineLevelCol="0"/>
  <cols>
    <col collapsed="false" customWidth="false" hidden="false" outlineLevel="0" max="1" min="1" style="1" width="11.52"/>
    <col collapsed="false" customWidth="true" hidden="false" outlineLevel="0" max="2" min="2" style="2" width="35.85"/>
    <col collapsed="false" customWidth="true" hidden="false" outlineLevel="0" max="11" min="3" style="1" width="16.11"/>
    <col collapsed="false" customWidth="false" hidden="false" outlineLevel="0" max="1023" min="12" style="1" width="11.52"/>
  </cols>
  <sheetData>
    <row r="1" customFormat="false" ht="17.35" hidden="false" customHeight="false" outlineLevel="0" collapsed="false">
      <c r="E1" s="3"/>
      <c r="F1" s="3"/>
      <c r="G1" s="3"/>
      <c r="H1" s="3"/>
      <c r="I1" s="3"/>
      <c r="J1" s="3"/>
      <c r="K1" s="0"/>
    </row>
    <row r="2" customFormat="false" ht="17.35" hidden="false" customHeight="false" outlineLevel="0" collapsed="false">
      <c r="E2" s="3"/>
      <c r="F2" s="3"/>
      <c r="G2" s="3"/>
      <c r="H2" s="3"/>
      <c r="I2" s="3"/>
      <c r="J2" s="3"/>
      <c r="K2" s="0"/>
    </row>
    <row r="3" customFormat="false" ht="17.35" hidden="false" customHeight="false" outlineLevel="0" collapsed="false">
      <c r="E3" s="3"/>
      <c r="F3" s="3"/>
      <c r="G3" s="3"/>
      <c r="H3" s="3"/>
      <c r="I3" s="3"/>
      <c r="J3" s="3"/>
      <c r="K3" s="0"/>
    </row>
    <row r="4" customFormat="false" ht="17.35" hidden="false" customHeight="false" outlineLevel="0" collapsed="false">
      <c r="E4" s="3"/>
      <c r="F4" s="3"/>
      <c r="G4" s="3"/>
      <c r="H4" s="3"/>
      <c r="I4" s="3"/>
      <c r="J4" s="3"/>
      <c r="K4" s="0"/>
    </row>
    <row r="5" customFormat="false" ht="17.35" hidden="false" customHeight="false" outlineLevel="0" collapsed="false">
      <c r="E5" s="3"/>
      <c r="F5" s="3"/>
      <c r="G5" s="3"/>
      <c r="H5" s="3"/>
      <c r="I5" s="3"/>
      <c r="J5" s="3"/>
      <c r="K5" s="0"/>
    </row>
    <row r="6" customFormat="false" ht="17.35" hidden="false" customHeight="false" outlineLevel="0" collapsed="false">
      <c r="E6" s="3"/>
      <c r="F6" s="3"/>
      <c r="G6" s="3"/>
      <c r="H6" s="3"/>
      <c r="I6" s="3"/>
      <c r="J6" s="3"/>
      <c r="K6" s="0"/>
    </row>
    <row r="7" customFormat="false" ht="17.35" hidden="false" customHeight="false" outlineLevel="0" collapsed="false">
      <c r="E7" s="3"/>
      <c r="F7" s="3"/>
      <c r="G7" s="3"/>
      <c r="H7" s="3"/>
      <c r="I7" s="3"/>
      <c r="J7" s="3"/>
      <c r="K7" s="0"/>
    </row>
    <row r="8" customFormat="false" ht="17.35" hidden="false" customHeight="false" outlineLevel="0" collapsed="false">
      <c r="E8" s="3"/>
      <c r="F8" s="3"/>
      <c r="G8" s="3"/>
      <c r="H8" s="3"/>
      <c r="I8" s="3"/>
      <c r="J8" s="3"/>
      <c r="K8" s="0"/>
    </row>
    <row r="9" customFormat="false" ht="17.35" hidden="false" customHeight="false" outlineLevel="0" collapsed="false">
      <c r="E9" s="3"/>
      <c r="F9" s="3"/>
      <c r="G9" s="3"/>
      <c r="H9" s="3"/>
      <c r="I9" s="3"/>
      <c r="J9" s="3"/>
      <c r="K9" s="0"/>
    </row>
    <row r="10" customFormat="false" ht="17.35" hidden="false" customHeight="false" outlineLevel="0" collapsed="false">
      <c r="E10" s="3"/>
      <c r="F10" s="3"/>
      <c r="G10" s="3"/>
      <c r="H10" s="3"/>
      <c r="I10" s="3"/>
      <c r="J10" s="3"/>
      <c r="K10" s="0"/>
    </row>
    <row r="11" customFormat="false" ht="17.35" hidden="false" customHeight="false" outlineLevel="0" collapsed="false">
      <c r="E11" s="3"/>
      <c r="F11" s="3"/>
      <c r="G11" s="3"/>
      <c r="H11" s="3"/>
      <c r="I11" s="3"/>
      <c r="J11" s="3"/>
      <c r="K11" s="0"/>
    </row>
    <row r="12" customFormat="false" ht="17.35" hidden="false" customHeight="false" outlineLevel="0" collapsed="false">
      <c r="E12" s="3"/>
      <c r="F12" s="3"/>
      <c r="G12" s="3"/>
      <c r="H12" s="3"/>
      <c r="I12" s="3"/>
      <c r="J12" s="3"/>
      <c r="K12" s="0"/>
    </row>
    <row r="13" customFormat="false" ht="17.35" hidden="false" customHeight="false" outlineLevel="0" collapsed="false">
      <c r="B13" s="2" t="s">
        <v>0</v>
      </c>
      <c r="C13" s="4" t="n">
        <v>32</v>
      </c>
      <c r="D13" s="5" t="s">
        <v>1</v>
      </c>
      <c r="E13" s="3"/>
      <c r="F13" s="3"/>
      <c r="G13" s="3"/>
      <c r="H13" s="3"/>
      <c r="I13" s="3"/>
      <c r="J13" s="3"/>
      <c r="K13" s="0"/>
    </row>
    <row r="14" customFormat="false" ht="17.35" hidden="false" customHeight="false" outlineLevel="0" collapsed="false">
      <c r="B14" s="2" t="s">
        <v>2</v>
      </c>
      <c r="C14" s="4" t="n">
        <v>13.9</v>
      </c>
      <c r="D14" s="5" t="s">
        <v>3</v>
      </c>
      <c r="E14" s="3"/>
      <c r="F14" s="3"/>
      <c r="G14" s="3"/>
      <c r="H14" s="3"/>
      <c r="I14" s="3"/>
      <c r="J14" s="3"/>
      <c r="K14" s="0"/>
    </row>
    <row r="15" customFormat="false" ht="17.35" hidden="false" customHeight="false" outlineLevel="0" collapsed="false">
      <c r="B15" s="2" t="s">
        <v>4</v>
      </c>
      <c r="C15" s="4" t="n">
        <v>800</v>
      </c>
      <c r="D15" s="6" t="s">
        <v>5</v>
      </c>
      <c r="E15" s="3"/>
      <c r="F15" s="3"/>
      <c r="G15" s="3"/>
      <c r="H15" s="3"/>
      <c r="I15" s="3"/>
      <c r="J15" s="3"/>
      <c r="K15" s="0"/>
    </row>
    <row r="16" customFormat="false" ht="17.35" hidden="false" customHeight="false" outlineLevel="0" collapsed="false">
      <c r="B16" s="2" t="s">
        <v>6</v>
      </c>
      <c r="C16" s="4" t="n">
        <v>10000</v>
      </c>
      <c r="D16" s="5" t="s">
        <v>7</v>
      </c>
      <c r="E16" s="3"/>
      <c r="F16" s="3"/>
      <c r="G16" s="3"/>
      <c r="H16" s="3"/>
      <c r="I16" s="3"/>
      <c r="J16" s="3"/>
      <c r="K16" s="0"/>
    </row>
    <row r="17" customFormat="false" ht="17.35" hidden="false" customHeight="false" outlineLevel="0" collapsed="false">
      <c r="B17" s="2" t="s">
        <v>8</v>
      </c>
      <c r="C17" s="4" t="n">
        <v>8000</v>
      </c>
      <c r="D17" s="5" t="s">
        <v>7</v>
      </c>
      <c r="E17" s="3"/>
      <c r="F17" s="3"/>
      <c r="G17" s="3"/>
      <c r="H17" s="3"/>
      <c r="I17" s="3"/>
      <c r="J17" s="3"/>
      <c r="K17" s="0"/>
    </row>
    <row r="18" customFormat="false" ht="17.35" hidden="false" customHeight="false" outlineLevel="0" collapsed="false">
      <c r="E18" s="3"/>
      <c r="F18" s="3"/>
      <c r="G18" s="3"/>
      <c r="H18" s="3"/>
      <c r="I18" s="3"/>
      <c r="J18" s="3"/>
      <c r="K18" s="0"/>
    </row>
    <row r="19" customFormat="false" ht="17.35" hidden="false" customHeight="false" outlineLevel="0" collapsed="false">
      <c r="E19" s="0"/>
      <c r="F19" s="0"/>
      <c r="G19" s="0"/>
      <c r="H19" s="0"/>
      <c r="I19" s="0"/>
      <c r="J19" s="0"/>
      <c r="K19" s="0"/>
    </row>
    <row r="20" customFormat="false" ht="20.1" hidden="false" customHeight="false" outlineLevel="0" collapsed="false">
      <c r="B20" s="2" t="s">
        <v>9</v>
      </c>
      <c r="C20" s="4" t="n">
        <v>-5</v>
      </c>
      <c r="D20" s="4" t="n">
        <v>-5</v>
      </c>
      <c r="E20" s="4" t="n">
        <v>-5</v>
      </c>
      <c r="F20" s="4" t="n">
        <v>-10</v>
      </c>
      <c r="G20" s="4" t="n">
        <v>-10</v>
      </c>
      <c r="H20" s="4" t="n">
        <v>-10</v>
      </c>
      <c r="I20" s="4" t="n">
        <v>-15</v>
      </c>
      <c r="J20" s="4" t="n">
        <v>-15</v>
      </c>
      <c r="K20" s="4" t="n">
        <v>-15</v>
      </c>
    </row>
    <row r="21" customFormat="false" ht="20.1" hidden="false" customHeight="false" outlineLevel="0" collapsed="false">
      <c r="B21" s="2" t="s">
        <v>10</v>
      </c>
      <c r="C21" s="4" t="n">
        <v>-100</v>
      </c>
      <c r="D21" s="4" t="n">
        <v>0</v>
      </c>
      <c r="E21" s="4" t="n">
        <v>100</v>
      </c>
      <c r="F21" s="4" t="n">
        <v>-100</v>
      </c>
      <c r="G21" s="4" t="n">
        <v>0</v>
      </c>
      <c r="H21" s="4" t="n">
        <v>100</v>
      </c>
      <c r="I21" s="4" t="n">
        <v>-100</v>
      </c>
      <c r="J21" s="4" t="n">
        <v>0</v>
      </c>
      <c r="K21" s="4" t="n">
        <v>100</v>
      </c>
    </row>
    <row r="22" customFormat="false" ht="17.35" hidden="false" customHeight="false" outlineLevel="0" collapsed="false">
      <c r="C22" s="0"/>
      <c r="D22" s="0"/>
      <c r="E22" s="0"/>
      <c r="F22" s="0"/>
      <c r="G22" s="0"/>
      <c r="H22" s="0"/>
      <c r="I22" s="0"/>
      <c r="J22" s="0"/>
      <c r="K22" s="0"/>
    </row>
    <row r="23" customFormat="false" ht="17.35" hidden="false" customHeight="false" outlineLevel="0" collapsed="false">
      <c r="B23" s="2" t="s">
        <v>11</v>
      </c>
      <c r="C23" s="7" t="n">
        <f aca="false">C34-$C$15</f>
        <v>223.771510817472</v>
      </c>
      <c r="D23" s="7" t="n">
        <f aca="false">D34-$C$15</f>
        <v>236.928516329738</v>
      </c>
      <c r="E23" s="7" t="n">
        <f aca="false">E34-$C$15</f>
        <v>238.366469525173</v>
      </c>
      <c r="F23" s="7" t="n">
        <f aca="false">F34-$C$15</f>
        <v>226.569252520908</v>
      </c>
      <c r="G23" s="7" t="n">
        <f aca="false">G34-$C$15</f>
        <v>204.637994251042</v>
      </c>
      <c r="H23" s="7" t="n">
        <f aca="false">H34-$C$15</f>
        <v>176.914366167183</v>
      </c>
      <c r="I23" s="7" t="n">
        <f aca="false">I34-$C$15</f>
        <v>147.068437380065</v>
      </c>
      <c r="J23" s="7" t="n">
        <f aca="false">J34-$C$15</f>
        <v>117.569237360502</v>
      </c>
      <c r="K23" s="7" t="n">
        <f aca="false">K34-$C$15</f>
        <v>89.8237505422896</v>
      </c>
    </row>
    <row r="24" customFormat="false" ht="17.35" hidden="false" customHeight="false" outlineLevel="0" collapsed="false">
      <c r="B24" s="2" t="s">
        <v>12</v>
      </c>
      <c r="C24" s="7" t="n">
        <f aca="false">100*C23/$C$15</f>
        <v>27.971438852184</v>
      </c>
      <c r="D24" s="7" t="n">
        <f aca="false">100*D23/$C$15</f>
        <v>29.6160645412172</v>
      </c>
      <c r="E24" s="7" t="n">
        <f aca="false">100*E23/$C$15</f>
        <v>29.7958086906466</v>
      </c>
      <c r="F24" s="7" t="n">
        <f aca="false">100*F23/$C$15</f>
        <v>28.3211565651135</v>
      </c>
      <c r="G24" s="7" t="n">
        <f aca="false">100*G23/$C$15</f>
        <v>25.5797492813802</v>
      </c>
      <c r="H24" s="7" t="n">
        <f aca="false">100*H23/$C$15</f>
        <v>22.1142957708979</v>
      </c>
      <c r="I24" s="7" t="n">
        <f aca="false">100*I23/$C$15</f>
        <v>18.3835546725081</v>
      </c>
      <c r="J24" s="7" t="n">
        <f aca="false">100*J23/$C$15</f>
        <v>14.6961546700627</v>
      </c>
      <c r="K24" s="7" t="n">
        <f aca="false">100*K23/$C$15</f>
        <v>11.2279688177862</v>
      </c>
    </row>
    <row r="25" customFormat="false" ht="17.35" hidden="false" customHeight="false" outlineLevel="0" collapsed="false">
      <c r="B25" s="2" t="s">
        <v>13</v>
      </c>
      <c r="C25" s="8" t="n">
        <f aca="false">$C$13*(C23/$C$15)</f>
        <v>8.95086043269888</v>
      </c>
      <c r="D25" s="8" t="n">
        <f aca="false">D23*$C$13/$C$15</f>
        <v>9.47714065318952</v>
      </c>
      <c r="E25" s="8" t="n">
        <f aca="false">E23*$C$13/$C$15</f>
        <v>9.53465878100692</v>
      </c>
      <c r="F25" s="8" t="n">
        <f aca="false">F23*$C$13/$C$15</f>
        <v>9.06277010083632</v>
      </c>
      <c r="G25" s="8" t="n">
        <f aca="false">G23*$C$13/$C$15</f>
        <v>8.18551977004168</v>
      </c>
      <c r="H25" s="8" t="n">
        <f aca="false">H23*$C$13/$C$15</f>
        <v>7.07657464668732</v>
      </c>
      <c r="I25" s="8" t="n">
        <f aca="false">I23*$C$13/$C$15</f>
        <v>5.8827374952026</v>
      </c>
      <c r="J25" s="8" t="n">
        <f aca="false">J23*$C$13/$C$15</f>
        <v>4.70276949442008</v>
      </c>
      <c r="K25" s="8" t="n">
        <f aca="false">K23*$C$13/$C$15</f>
        <v>3.59295002169158</v>
      </c>
    </row>
    <row r="27" customFormat="false" ht="20.1" hidden="false" customHeight="false" outlineLevel="0" collapsed="false">
      <c r="B27" s="9" t="s">
        <v>14</v>
      </c>
      <c r="C27" s="1" t="n">
        <f aca="false">(C21 - (C20*60))*$C14</f>
        <v>2780</v>
      </c>
      <c r="D27" s="1" t="n">
        <f aca="false">(D21 - (D20*60))*$C14</f>
        <v>4170</v>
      </c>
      <c r="E27" s="1" t="n">
        <f aca="false">(E21 - (E20*60))*$C14</f>
        <v>5560</v>
      </c>
      <c r="F27" s="1" t="n">
        <f aca="false">(F21 - (F20*60))*$C14</f>
        <v>6950</v>
      </c>
      <c r="G27" s="1" t="n">
        <f aca="false">(G21 - (G20*60))*$C14</f>
        <v>8340</v>
      </c>
      <c r="H27" s="1" t="n">
        <f aca="false">(H21 - (H20*60))*$C14</f>
        <v>9730</v>
      </c>
      <c r="I27" s="1" t="n">
        <f aca="false">(I21 - (I20*60))*$C14</f>
        <v>11120</v>
      </c>
      <c r="J27" s="1" t="n">
        <f aca="false">(J21 - (J20*60))*$C14</f>
        <v>12510</v>
      </c>
      <c r="K27" s="1" t="n">
        <f aca="false">(K21 - (K20*60))*$C14</f>
        <v>13900</v>
      </c>
    </row>
    <row r="28" customFormat="false" ht="20.1" hidden="false" customHeight="false" outlineLevel="0" collapsed="false">
      <c r="B28" s="2" t="s">
        <v>15</v>
      </c>
      <c r="C28" s="1" t="n">
        <f aca="false">1/(((C$27/$C16)^2)+1)</f>
        <v>0.928260328752678</v>
      </c>
      <c r="D28" s="1" t="n">
        <f aca="false">1/(((D$27/$C16)^2)+1)</f>
        <v>0.851869299397132</v>
      </c>
      <c r="E28" s="1" t="n">
        <f aca="false">1/(((E$27/$C16)^2)+1)</f>
        <v>0.763862578066755</v>
      </c>
      <c r="F28" s="1" t="n">
        <f aca="false">1/(((F$27/$C16)^2)+1)</f>
        <v>0.67429746632727</v>
      </c>
      <c r="G28" s="1" t="n">
        <f aca="false">1/(((G$27/$C16)^2)+1)</f>
        <v>0.589777040687539</v>
      </c>
      <c r="H28" s="1" t="n">
        <f aca="false">1/(((H$27/$C16)^2)+1)</f>
        <v>0.513682181752057</v>
      </c>
      <c r="I28" s="1" t="n">
        <f aca="false">1/(((I$27/$C16)^2)+1)</f>
        <v>0.447118411263092</v>
      </c>
      <c r="J28" s="1" t="n">
        <f aca="false">1/(((J$27/$C16)^2)+1)</f>
        <v>0.389863395764758</v>
      </c>
      <c r="K28" s="1" t="n">
        <f aca="false">1/(((K$27/$C16)^2)+1)</f>
        <v>0.3410524879779</v>
      </c>
    </row>
    <row r="29" customFormat="false" ht="20.1" hidden="false" customHeight="false" outlineLevel="0" collapsed="false">
      <c r="B29" s="2" t="s">
        <v>16</v>
      </c>
      <c r="C29" s="1" t="n">
        <f aca="false">SQRT(C28)</f>
        <v>0.963462676367216</v>
      </c>
      <c r="D29" s="1" t="n">
        <f aca="false">SQRT(D28)</f>
        <v>0.922967658911802</v>
      </c>
      <c r="E29" s="1" t="n">
        <f aca="false">SQRT(E28)</f>
        <v>0.873992321514758</v>
      </c>
      <c r="F29" s="1" t="n">
        <f aca="false">SQRT(F28)</f>
        <v>0.821156176574999</v>
      </c>
      <c r="G29" s="1" t="n">
        <f aca="false">SQRT(G28)</f>
        <v>0.767969426922412</v>
      </c>
      <c r="H29" s="1" t="n">
        <f aca="false">SQRT(H28)</f>
        <v>0.716716249119592</v>
      </c>
      <c r="I29" s="1" t="n">
        <f aca="false">SQRT(I28)</f>
        <v>0.668669134372966</v>
      </c>
      <c r="J29" s="1" t="n">
        <f aca="false">SQRT(J28)</f>
        <v>0.624390419340943</v>
      </c>
      <c r="K29" s="1" t="n">
        <f aca="false">SQRT(K28)</f>
        <v>0.583996993124023</v>
      </c>
    </row>
    <row r="30" customFormat="false" ht="20.1" hidden="false" customHeight="false" outlineLevel="0" collapsed="false">
      <c r="B30" s="2" t="s">
        <v>17</v>
      </c>
      <c r="C30" s="1" t="n">
        <f aca="false">1/(((C$27/$C17)^2)+1)</f>
        <v>0.892254671789696</v>
      </c>
      <c r="D30" s="1" t="n">
        <f aca="false">1/(((D$27/$C17)^2)+1)</f>
        <v>0.786348015515629</v>
      </c>
      <c r="E30" s="1" t="n">
        <f aca="false">1/(((E$27/$C17)^2)+1)</f>
        <v>0.67429746632727</v>
      </c>
      <c r="F30" s="1" t="n">
        <f aca="false">1/(((F$27/$C17)^2)+1)</f>
        <v>0.569889361323212</v>
      </c>
      <c r="G30" s="1" t="n">
        <f aca="false">1/(((G$27/$C17)^2)+1)</f>
        <v>0.479201171646865</v>
      </c>
      <c r="H30" s="1" t="n">
        <f aca="false">1/(((H$27/$C17)^2)+1)</f>
        <v>0.40334549882179</v>
      </c>
      <c r="I30" s="1" t="n">
        <f aca="false">1/(((I$27/$C17)^2)+1)</f>
        <v>0.3410524879779</v>
      </c>
      <c r="J30" s="1" t="n">
        <f aca="false">1/(((J$27/$C17)^2)+1)</f>
        <v>0.29024930147424</v>
      </c>
      <c r="K30" s="1" t="n">
        <f aca="false">1/(((K$27/$C17)^2)+1)</f>
        <v>0.248823918199137</v>
      </c>
    </row>
    <row r="31" customFormat="false" ht="20.1" hidden="false" customHeight="false" outlineLevel="0" collapsed="false">
      <c r="B31" s="2" t="s">
        <v>18</v>
      </c>
      <c r="C31" s="1" t="n">
        <f aca="false">SQRT(C30)</f>
        <v>0.944592331003008</v>
      </c>
      <c r="D31" s="1" t="n">
        <f aca="false">SQRT(D30)</f>
        <v>0.886762660194727</v>
      </c>
      <c r="E31" s="1" t="n">
        <f aca="false">SQRT(E30)</f>
        <v>0.821156176574999</v>
      </c>
      <c r="F31" s="1" t="n">
        <f aca="false">SQRT(F30)</f>
        <v>0.754910167717465</v>
      </c>
      <c r="G31" s="1" t="n">
        <f aca="false">SQRT(G30)</f>
        <v>0.692243578263363</v>
      </c>
      <c r="H31" s="1" t="n">
        <f aca="false">SQRT(H30)</f>
        <v>0.635094873874597</v>
      </c>
      <c r="I31" s="1" t="n">
        <f aca="false">SQRT(I30)</f>
        <v>0.583996993124023</v>
      </c>
      <c r="J31" s="1" t="n">
        <f aca="false">SQRT(J30)</f>
        <v>0.538747901596136</v>
      </c>
      <c r="K31" s="1" t="n">
        <f aca="false">SQRT(K30)</f>
        <v>0.498822531767699</v>
      </c>
    </row>
    <row r="32" customFormat="false" ht="20.1" hidden="false" customHeight="false" outlineLevel="0" collapsed="false">
      <c r="B32" s="2" t="s">
        <v>19</v>
      </c>
      <c r="C32" s="1" t="n">
        <f aca="false">$C$15-(1000000*$C$14*C28/$C$16)</f>
        <v>-490.281856966222</v>
      </c>
      <c r="D32" s="1" t="n">
        <f aca="false">$C$15-(1000000*$C$14*D28/$C$16)</f>
        <v>-384.098326162014</v>
      </c>
      <c r="E32" s="1" t="n">
        <f aca="false">$C$15-(1000000*$C$14*E28/$C$16)</f>
        <v>-261.76898351279</v>
      </c>
      <c r="F32" s="1" t="n">
        <f aca="false">$C$15-(1000000*$C$14*F28/$C$16)</f>
        <v>-137.273478194906</v>
      </c>
      <c r="G32" s="1" t="n">
        <f aca="false">$C$15-(1000000*$C$14*G28/$C$16)</f>
        <v>-19.7900865556786</v>
      </c>
      <c r="H32" s="1" t="n">
        <f aca="false">$C$15-(1000000*$C$14*H28/$C$16)</f>
        <v>85.9817673646409</v>
      </c>
      <c r="I32" s="1" t="n">
        <f aca="false">$C$15-(1000000*$C$14*I28/$C$16)</f>
        <v>178.505408344303</v>
      </c>
      <c r="J32" s="1" t="n">
        <f aca="false">$C$15-(1000000*$C$14*J28/$C$16)</f>
        <v>258.089879886986</v>
      </c>
      <c r="K32" s="1" t="n">
        <f aca="false">$C$15-(1000000*$C$14*K28/$C$16)</f>
        <v>325.937041710719</v>
      </c>
    </row>
    <row r="33" customFormat="false" ht="20.1" hidden="false" customHeight="false" outlineLevel="0" collapsed="false">
      <c r="B33" s="2" t="s">
        <v>20</v>
      </c>
      <c r="C33" s="1" t="n">
        <f aca="false">C32*$C$16*C30/($C$17*C28)</f>
        <v>-589.080810390306</v>
      </c>
      <c r="D33" s="1" t="n">
        <f aca="false">D32*$C$16*D30/($C$17*D28)</f>
        <v>-443.194391372779</v>
      </c>
      <c r="E33" s="1" t="n">
        <f aca="false">E32*$C$16*E30/($C$17*E28)</f>
        <v>-288.844759865815</v>
      </c>
      <c r="F33" s="1" t="n">
        <f aca="false">F32*$C$16*F30/($C$17*F28)</f>
        <v>-145.022595222724</v>
      </c>
      <c r="G33" s="1" t="n">
        <f aca="false">G32*$C$16*G30/($C$17*G28)</f>
        <v>-20.0996139435562</v>
      </c>
      <c r="H33" s="1" t="n">
        <f aca="false">H32*$C$16*H30/($C$17*H28)</f>
        <v>84.3915753729842</v>
      </c>
      <c r="I33" s="1" t="n">
        <f aca="false">I32*$C$16*I30/($C$17*I28)</f>
        <v>170.200197810443</v>
      </c>
      <c r="J33" s="1" t="n">
        <f aca="false">J32*$C$16*J30/($C$17*J28)</f>
        <v>240.181587219235</v>
      </c>
      <c r="K33" s="1" t="n">
        <f aca="false">K32*$C$16*K30/($C$17*K28)</f>
        <v>297.245052680689</v>
      </c>
    </row>
    <row r="34" customFormat="false" ht="17.35" hidden="false" customHeight="false" outlineLevel="0" collapsed="false">
      <c r="B34" s="2" t="s">
        <v>21</v>
      </c>
      <c r="C34" s="1" t="n">
        <f aca="false">C33+(1000000*$C$14*C28/$C$17)</f>
        <v>1023.77151081747</v>
      </c>
      <c r="D34" s="1" t="n">
        <f aca="false">D33+(1000000*$C$14*D28/$C$17)</f>
        <v>1036.92851632974</v>
      </c>
      <c r="E34" s="1" t="n">
        <f aca="false">E33+(1000000*$C$14*E28/$C$17)</f>
        <v>1038.36646952517</v>
      </c>
      <c r="F34" s="1" t="n">
        <f aca="false">F33+(1000000*$C$14*F28/$C$17)</f>
        <v>1026.56925252091</v>
      </c>
      <c r="G34" s="1" t="n">
        <f aca="false">G33+(1000000*$C$14*G28/$C$17)</f>
        <v>1004.63799425104</v>
      </c>
      <c r="H34" s="1" t="n">
        <f aca="false">H33+(1000000*$C$14*H28/$C$17)</f>
        <v>976.914366167183</v>
      </c>
      <c r="I34" s="1" t="n">
        <f aca="false">I33+(1000000*$C$14*I28/$C$17)</f>
        <v>947.068437380065</v>
      </c>
      <c r="J34" s="1" t="n">
        <f aca="false">J33+(1000000*$C$14*J28/$C$17)</f>
        <v>917.569237360502</v>
      </c>
      <c r="K34" s="1" t="n">
        <f aca="false">K33+(1000000*$C$14*K28/$C$17)</f>
        <v>889.82375054229</v>
      </c>
    </row>
  </sheetData>
  <printOptions headings="false" gridLines="false" gridLinesSet="true" horizontalCentered="false" verticalCentered="false"/>
  <pageMargins left="0.7875" right="0.7875" top="1.02638888888889" bottom="1.025" header="0.7875" footer="0.7875"/>
  <pageSetup paperSize="1" scale="100" firstPageNumber="1" fitToWidth="1" fitToHeight="1" pageOrder="downThenOver" orientation="landscape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2021-10-21T23:06:29Z</dcterms:created>
  <dc:creator/>
  <dc:description/>
  <dc:language>en-US</dc:language>
  <cp:lastModifiedBy/>
  <dcterms:modified xsi:type="dcterms:W3CDTF">2021-10-22T20:04:05Z</dcterms:modified>
  <cp:revision>8</cp:revision>
  <dc:subject/>
  <dc:title/>
</cp:coreProperties>
</file>