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185B693D-2E57-4119-8577-8D2620230A4D}" xr6:coauthVersionLast="47" xr6:coauthVersionMax="47" xr10:uidLastSave="{00000000-0000-0000-0000-000000000000}"/>
  <bookViews>
    <workbookView xWindow="0" yWindow="150" windowWidth="28800" windowHeight="15000" tabRatio="500" activeTab="1" xr2:uid="{00000000-000D-0000-FFFF-FFFF00000000}"/>
  </bookViews>
  <sheets>
    <sheet name="btc_mods" sheetId="16" r:id="rId1"/>
    <sheet name="pep_ssf" sheetId="18"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s>
  <functionGroups builtInGroupCount="19"/>
  <definedNames>
    <definedName name="_xleta.CONCATENATE" hidden="1" xlm="1">#NAME?</definedName>
    <definedName name="_xleta.IF"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3" i="18" l="1"/>
  <c r="BF23" i="18"/>
  <c r="BE23" i="18"/>
  <c r="BD23" i="18"/>
  <c r="BC23" i="18"/>
  <c r="BB23" i="18"/>
  <c r="BA23" i="18"/>
  <c r="AZ23" i="18"/>
  <c r="AY23" i="18"/>
  <c r="AX23" i="18"/>
  <c r="AW23" i="18"/>
  <c r="AV23" i="18"/>
  <c r="AU23" i="18"/>
  <c r="AT23" i="18"/>
  <c r="AS23" i="18"/>
  <c r="AR23" i="18"/>
  <c r="AQ23" i="18"/>
  <c r="AP23" i="18"/>
  <c r="AO23" i="18"/>
  <c r="AN23" i="18"/>
  <c r="AM23" i="18"/>
  <c r="AL23" i="18"/>
  <c r="AK23" i="18"/>
  <c r="AJ23" i="18"/>
  <c r="AI23" i="18"/>
  <c r="AH23" i="18"/>
  <c r="AG23" i="18"/>
  <c r="AF23" i="18"/>
  <c r="AE23" i="18"/>
  <c r="AC23" i="18"/>
  <c r="AB23" i="18"/>
  <c r="BF22" i="18"/>
  <c r="BE22" i="18"/>
  <c r="BD22" i="18"/>
  <c r="BC22" i="18"/>
  <c r="BB22" i="18"/>
  <c r="BA22" i="18"/>
  <c r="AZ22" i="18"/>
  <c r="AY22" i="18"/>
  <c r="AX22" i="18"/>
  <c r="AW22" i="18"/>
  <c r="AV22" i="18"/>
  <c r="AU22" i="18"/>
  <c r="AT22" i="18"/>
  <c r="AS22" i="18"/>
  <c r="AR22" i="18"/>
  <c r="AQ22" i="18"/>
  <c r="AP22" i="18"/>
  <c r="AO22" i="18"/>
  <c r="AN22" i="18"/>
  <c r="AM22" i="18"/>
  <c r="AL22" i="18"/>
  <c r="AK22" i="18"/>
  <c r="AJ22" i="18"/>
  <c r="AI22" i="18"/>
  <c r="AH22" i="18"/>
  <c r="AG22" i="18"/>
  <c r="AF22" i="18"/>
  <c r="AE22" i="18"/>
  <c r="AD22" i="18"/>
  <c r="AC22" i="18"/>
  <c r="AB22" i="18"/>
  <c r="BF21" i="18"/>
  <c r="BE21" i="18"/>
  <c r="BD21" i="18"/>
  <c r="BC21" i="18"/>
  <c r="BB21" i="18"/>
  <c r="BA21" i="18"/>
  <c r="AZ21" i="18"/>
  <c r="AY21" i="18"/>
  <c r="AX21" i="18"/>
  <c r="AW21" i="18"/>
  <c r="AV21" i="18"/>
  <c r="AU21" i="18"/>
  <c r="AT21" i="18"/>
  <c r="AS21" i="18"/>
  <c r="AR21" i="18"/>
  <c r="AQ21" i="18"/>
  <c r="AP21" i="18"/>
  <c r="AO21" i="18"/>
  <c r="AN21" i="18"/>
  <c r="AM21" i="18"/>
  <c r="AL21" i="18"/>
  <c r="AK21" i="18"/>
  <c r="AJ21" i="18"/>
  <c r="AI21" i="18"/>
  <c r="AH21" i="18"/>
  <c r="AG21" i="18"/>
  <c r="AF21" i="18"/>
  <c r="AE21" i="18"/>
  <c r="AD21" i="18"/>
  <c r="AC21" i="18"/>
  <c r="AB21" i="18"/>
  <c r="BF20" i="18"/>
  <c r="BE20" i="18"/>
  <c r="BD20" i="18"/>
  <c r="BC20" i="18"/>
  <c r="BB20" i="18"/>
  <c r="BA20" i="18"/>
  <c r="AZ20" i="18"/>
  <c r="AY20" i="18"/>
  <c r="AX20" i="18"/>
  <c r="AW20" i="18"/>
  <c r="AV20" i="18"/>
  <c r="AU20" i="18"/>
  <c r="AT20" i="18"/>
  <c r="AS20" i="18"/>
  <c r="AR20" i="18"/>
  <c r="AQ20" i="18"/>
  <c r="AP20" i="18"/>
  <c r="AO20" i="18"/>
  <c r="AN20" i="18"/>
  <c r="AM20" i="18"/>
  <c r="AL20" i="18"/>
  <c r="AK20" i="18"/>
  <c r="AJ20" i="18"/>
  <c r="AI20" i="18"/>
  <c r="AH20" i="18"/>
  <c r="AG20" i="18"/>
  <c r="AF20" i="18"/>
  <c r="AE20" i="18"/>
  <c r="AD20" i="18"/>
  <c r="AC20" i="18"/>
  <c r="AB20" i="18"/>
  <c r="BF19" i="18"/>
  <c r="BE19" i="18"/>
  <c r="BD19" i="18"/>
  <c r="BC19" i="18"/>
  <c r="BB19" i="18"/>
  <c r="BA19" i="18"/>
  <c r="AZ19" i="18"/>
  <c r="AY19" i="18"/>
  <c r="AX19" i="18"/>
  <c r="AW19" i="18"/>
  <c r="AV19" i="18"/>
  <c r="AU19" i="18"/>
  <c r="AT19" i="18"/>
  <c r="AS19" i="18"/>
  <c r="AR19" i="18"/>
  <c r="AQ19" i="18"/>
  <c r="AP19" i="18"/>
  <c r="AO19" i="18"/>
  <c r="AN19" i="18"/>
  <c r="AM19" i="18"/>
  <c r="AL19" i="18"/>
  <c r="AK19" i="18"/>
  <c r="AJ19" i="18"/>
  <c r="AI19" i="18"/>
  <c r="AH19" i="18"/>
  <c r="AG19" i="18"/>
  <c r="AF19" i="18"/>
  <c r="AE19" i="18"/>
  <c r="AD19" i="18"/>
  <c r="AC19" i="18"/>
  <c r="AB19" i="18"/>
  <c r="BF18" i="18"/>
  <c r="BE18" i="18"/>
  <c r="BD18" i="18"/>
  <c r="BC18" i="18"/>
  <c r="BB18" i="18"/>
  <c r="BA18" i="18"/>
  <c r="AZ18" i="18"/>
  <c r="AY18" i="18"/>
  <c r="AX18" i="18"/>
  <c r="AW18" i="18"/>
  <c r="AV18" i="18"/>
  <c r="AU18" i="18"/>
  <c r="AT18" i="18"/>
  <c r="AS18" i="18"/>
  <c r="AR18" i="18"/>
  <c r="AQ18" i="18"/>
  <c r="AP18" i="18"/>
  <c r="AO18" i="18"/>
  <c r="AN18" i="18"/>
  <c r="AM18" i="18"/>
  <c r="AL18" i="18"/>
  <c r="AK18" i="18"/>
  <c r="AJ18" i="18"/>
  <c r="AI18" i="18"/>
  <c r="AH18" i="18"/>
  <c r="AG18" i="18"/>
  <c r="AF18" i="18"/>
  <c r="AE18" i="18"/>
  <c r="AD18" i="18"/>
  <c r="AC18" i="18"/>
  <c r="AB18" i="18"/>
  <c r="BF17" i="18"/>
  <c r="BE17" i="18"/>
  <c r="BD17" i="18"/>
  <c r="BC17" i="18"/>
  <c r="BB17" i="18"/>
  <c r="BA17" i="18"/>
  <c r="AZ17" i="18"/>
  <c r="AY17" i="18"/>
  <c r="AX17" i="18"/>
  <c r="AW17" i="18"/>
  <c r="AV17" i="18"/>
  <c r="AU17" i="18"/>
  <c r="AT17" i="18"/>
  <c r="AS17" i="18"/>
  <c r="AR17" i="18"/>
  <c r="AQ17" i="18"/>
  <c r="AP17" i="18"/>
  <c r="AO17" i="18"/>
  <c r="AN17" i="18"/>
  <c r="AM17" i="18"/>
  <c r="AL17" i="18"/>
  <c r="AK17" i="18"/>
  <c r="AJ17" i="18"/>
  <c r="AI17" i="18"/>
  <c r="AH17" i="18"/>
  <c r="AG17" i="18"/>
  <c r="AF17" i="18"/>
  <c r="AE17" i="18"/>
  <c r="AD17" i="18"/>
  <c r="AC17" i="18"/>
  <c r="AB17" i="18"/>
  <c r="BF16" i="18"/>
  <c r="BE16" i="18"/>
  <c r="BD16" i="18"/>
  <c r="BC16" i="18"/>
  <c r="BB16" i="18"/>
  <c r="BA16" i="18"/>
  <c r="AZ16" i="18"/>
  <c r="AY16" i="18"/>
  <c r="AX16" i="18"/>
  <c r="AW16" i="18"/>
  <c r="AV16" i="18"/>
  <c r="AU16" i="18"/>
  <c r="AT16" i="18"/>
  <c r="AS16" i="18"/>
  <c r="AR16" i="18"/>
  <c r="AQ16" i="18"/>
  <c r="AP16" i="18"/>
  <c r="AO16" i="18"/>
  <c r="AN16" i="18"/>
  <c r="AM16" i="18"/>
  <c r="AL16" i="18"/>
  <c r="AK16" i="18"/>
  <c r="AJ16" i="18"/>
  <c r="AI16" i="18"/>
  <c r="AH16" i="18"/>
  <c r="AG16" i="18"/>
  <c r="AF16" i="18"/>
  <c r="AE16" i="18"/>
  <c r="AD16" i="18"/>
  <c r="AC16" i="18"/>
  <c r="AB16" i="18"/>
  <c r="BF15" i="18"/>
  <c r="BE15" i="18"/>
  <c r="BD15" i="18"/>
  <c r="BC15" i="18"/>
  <c r="BB15" i="18"/>
  <c r="BA15" i="18"/>
  <c r="AZ15" i="18"/>
  <c r="AY15" i="18"/>
  <c r="AX15" i="18"/>
  <c r="AW15" i="18"/>
  <c r="AV15" i="18"/>
  <c r="AU15" i="18"/>
  <c r="AT15" i="18"/>
  <c r="AS15" i="18"/>
  <c r="AR15" i="18"/>
  <c r="AQ15" i="18"/>
  <c r="AP15" i="18"/>
  <c r="AO15" i="18"/>
  <c r="AN15" i="18"/>
  <c r="AM15" i="18"/>
  <c r="AL15" i="18"/>
  <c r="AK15" i="18"/>
  <c r="AJ15" i="18"/>
  <c r="AI15" i="18"/>
  <c r="AH15" i="18"/>
  <c r="AG15" i="18"/>
  <c r="AF15" i="18"/>
  <c r="AE15" i="18"/>
  <c r="AD15" i="18"/>
  <c r="AC15" i="18"/>
  <c r="AB15" i="18"/>
  <c r="BF14" i="18"/>
  <c r="BE14" i="18"/>
  <c r="BD14" i="18"/>
  <c r="BC14" i="18"/>
  <c r="BB14" i="18"/>
  <c r="BA14" i="18"/>
  <c r="AZ14" i="18"/>
  <c r="AY14" i="18"/>
  <c r="AX14" i="18"/>
  <c r="AW14" i="18"/>
  <c r="AV14" i="18"/>
  <c r="AU14" i="18"/>
  <c r="AT14" i="18"/>
  <c r="AS14" i="18"/>
  <c r="AR14" i="18"/>
  <c r="AQ14" i="18"/>
  <c r="AP14" i="18"/>
  <c r="AO14" i="18"/>
  <c r="AN14" i="18"/>
  <c r="AM14" i="18"/>
  <c r="AL14" i="18"/>
  <c r="AK14" i="18"/>
  <c r="AJ14" i="18"/>
  <c r="AI14" i="18"/>
  <c r="AH14" i="18"/>
  <c r="AG14" i="18"/>
  <c r="AF14" i="18"/>
  <c r="AE14" i="18"/>
  <c r="AD14" i="18"/>
  <c r="AC14" i="18"/>
  <c r="AB14"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X23" i="18"/>
  <c r="X22" i="18"/>
  <c r="X21" i="18"/>
  <c r="X20" i="18"/>
  <c r="X19" i="18"/>
  <c r="X18" i="18"/>
  <c r="X17" i="18"/>
  <c r="X16" i="18"/>
  <c r="X15" i="18"/>
  <c r="X14" i="18"/>
  <c r="P21" i="18"/>
  <c r="P22" i="18" s="1"/>
  <c r="P23" i="18" s="1"/>
  <c r="P20" i="18"/>
  <c r="P15" i="18"/>
  <c r="P16" i="18" s="1"/>
  <c r="P17" i="18" s="1"/>
  <c r="P18" i="18" s="1"/>
  <c r="P19" i="18" s="1"/>
  <c r="P14" i="18"/>
  <c r="G15" i="18"/>
  <c r="G16" i="18" s="1"/>
  <c r="G17" i="18" s="1"/>
  <c r="G18" i="18" s="1"/>
  <c r="G19" i="18" s="1"/>
  <c r="G20" i="18" s="1"/>
  <c r="G21" i="18" s="1"/>
  <c r="G22" i="18" s="1"/>
  <c r="G23" i="18" s="1"/>
  <c r="G14" i="18"/>
  <c r="I14" i="18"/>
  <c r="I15" i="18" s="1"/>
  <c r="I16" i="18" s="1"/>
  <c r="I17" i="18" s="1"/>
  <c r="I18" i="18" s="1"/>
  <c r="I19" i="18" s="1"/>
  <c r="I20" i="18" s="1"/>
  <c r="I21" i="18" s="1"/>
  <c r="I22" i="18" s="1"/>
  <c r="I23" i="18" s="1"/>
  <c r="J23" i="18"/>
  <c r="J22" i="18" s="1"/>
  <c r="J21" i="18" s="1"/>
  <c r="J20" i="18" s="1"/>
  <c r="J19" i="18" s="1"/>
  <c r="J18" i="18" s="1"/>
  <c r="J17" i="18" s="1"/>
  <c r="J16" i="18" s="1"/>
  <c r="J15" i="18" s="1"/>
  <c r="J14" i="18" s="1"/>
  <c r="L14" i="18"/>
  <c r="L15" i="18" s="1"/>
  <c r="L16" i="18" s="1"/>
  <c r="W16" i="18" s="1"/>
  <c r="L18" i="18"/>
  <c r="L19" i="18" s="1"/>
  <c r="L20" i="18" s="1"/>
  <c r="L21" i="18" s="1"/>
  <c r="F23" i="18"/>
  <c r="R14" i="18"/>
  <c r="F22" i="18"/>
  <c r="B22" i="18"/>
  <c r="B23" i="18" s="1"/>
  <c r="H23" i="18" s="1"/>
  <c r="H22" i="18" s="1"/>
  <c r="H21" i="18" s="1"/>
  <c r="H20" i="18" s="1"/>
  <c r="H19" i="18" s="1"/>
  <c r="H18" i="18" s="1"/>
  <c r="H17" i="18" s="1"/>
  <c r="H16" i="18" s="1"/>
  <c r="H15" i="18" s="1"/>
  <c r="H14" i="18" s="1"/>
  <c r="W17" i="18"/>
  <c r="M16" i="18"/>
  <c r="U16" i="18" s="1"/>
  <c r="M14" i="18"/>
  <c r="Y14" i="18" s="1"/>
  <c r="F21" i="18"/>
  <c r="F20" i="18"/>
  <c r="M20" i="18" s="1"/>
  <c r="U20" i="18" s="1"/>
  <c r="F19" i="18"/>
  <c r="F18" i="18"/>
  <c r="F17" i="18"/>
  <c r="F16" i="18"/>
  <c r="F15" i="18"/>
  <c r="F14" i="18"/>
  <c r="Q14" i="18" s="1"/>
  <c r="O19" i="18"/>
  <c r="O20" i="18" s="1"/>
  <c r="O21" i="18" s="1"/>
  <c r="V21" i="18" s="1"/>
  <c r="O14" i="18"/>
  <c r="O15" i="18" s="1"/>
  <c r="V15" i="18" s="1"/>
  <c r="N18" i="18"/>
  <c r="N19" i="18" s="1"/>
  <c r="N20" i="18" s="1"/>
  <c r="N21" i="18" s="1"/>
  <c r="Z21" i="18" s="1"/>
  <c r="N14" i="18"/>
  <c r="N15" i="18" s="1"/>
  <c r="N16" i="18" s="1"/>
  <c r="N17" i="18" s="1"/>
  <c r="Z17" i="18" s="1"/>
  <c r="W21" i="18" l="1"/>
  <c r="L22" i="18"/>
  <c r="L23" i="18" s="1"/>
  <c r="W23" i="18" s="1"/>
  <c r="R15" i="18"/>
  <c r="R16" i="18" s="1"/>
  <c r="R17" i="18" s="1"/>
  <c r="R18" i="18" s="1"/>
  <c r="R19" i="18" s="1"/>
  <c r="R20" i="18" s="1"/>
  <c r="R21" i="18" s="1"/>
  <c r="N22" i="18"/>
  <c r="O22" i="18"/>
  <c r="R22" i="18"/>
  <c r="R23" i="18" s="1"/>
  <c r="M15" i="18"/>
  <c r="U14" i="18"/>
  <c r="W14" i="18"/>
  <c r="Z15" i="18"/>
  <c r="W18" i="18"/>
  <c r="W20" i="18"/>
  <c r="T14" i="18"/>
  <c r="T16" i="18"/>
  <c r="V19" i="18"/>
  <c r="T20" i="18"/>
  <c r="Z19" i="18"/>
  <c r="Q15" i="18"/>
  <c r="Q16" i="18" s="1"/>
  <c r="Q17" i="18" s="1"/>
  <c r="Q18" i="18" s="1"/>
  <c r="Q19" i="18" s="1"/>
  <c r="Q20" i="18" s="1"/>
  <c r="Z14" i="18"/>
  <c r="W15" i="18"/>
  <c r="Z16" i="18"/>
  <c r="Z18" i="18"/>
  <c r="W19" i="18"/>
  <c r="Z20" i="18"/>
  <c r="V14" i="18"/>
  <c r="V20" i="18"/>
  <c r="Q21" i="18"/>
  <c r="Q22" i="18" s="1"/>
  <c r="Q23" i="18" s="1"/>
  <c r="O16" i="18"/>
  <c r="V16" i="18" s="1"/>
  <c r="M17" i="18"/>
  <c r="M21" i="18"/>
  <c r="M22" i="18" s="1"/>
  <c r="M23" i="18" s="1"/>
  <c r="T23" i="18" s="1"/>
  <c r="W22" i="18" l="1"/>
  <c r="V22" i="18"/>
  <c r="O23" i="18"/>
  <c r="V23" i="18" s="1"/>
  <c r="T15" i="18"/>
  <c r="U15" i="18"/>
  <c r="Z22" i="18"/>
  <c r="N23" i="18"/>
  <c r="Z23" i="18" s="1"/>
  <c r="Y23" i="18"/>
  <c r="U23" i="18"/>
  <c r="Y16" i="18"/>
  <c r="Y15" i="18"/>
  <c r="T22" i="18"/>
  <c r="U22" i="18"/>
  <c r="Y22" i="18"/>
  <c r="Y20" i="18"/>
  <c r="Y17" i="18"/>
  <c r="Y21" i="18"/>
  <c r="T21" i="18"/>
  <c r="U21" i="18"/>
  <c r="T17" i="18"/>
  <c r="U17" i="18"/>
  <c r="O17" i="18"/>
  <c r="V17" i="18" s="1"/>
  <c r="M18" i="18"/>
  <c r="Y18" i="18" l="1"/>
  <c r="U18" i="18"/>
  <c r="T18" i="18"/>
  <c r="O18" i="18"/>
  <c r="V18" i="18" s="1"/>
  <c r="M19" i="18"/>
  <c r="Y19" i="18" l="1"/>
  <c r="T19" i="18"/>
  <c r="U19" i="18"/>
  <c r="V41" i="3" l="1"/>
  <c r="R57" i="3"/>
  <c r="Q57" i="3"/>
  <c r="R56" i="3"/>
  <c r="Q56" i="3"/>
  <c r="R55" i="3"/>
  <c r="Q55" i="3"/>
  <c r="R54" i="3"/>
  <c r="Q54" i="3"/>
  <c r="Q53" i="3"/>
  <c r="R53" i="3"/>
  <c r="R52" i="3"/>
  <c r="Q52" i="3"/>
  <c r="T1" i="3"/>
  <c r="T2" i="3"/>
  <c r="R343" i="3"/>
  <c r="AB311" i="3"/>
  <c r="F3" i="17"/>
  <c r="M322" i="3" a="1"/>
  <c r="M378" i="3" a="1"/>
  <c r="M92" i="3" a="1"/>
  <c r="M357" i="3" a="1"/>
  <c r="L360" i="3" a="1"/>
  <c r="M372" i="3" a="1"/>
  <c r="L67" i="3" a="1"/>
  <c r="M366" i="3" a="1"/>
  <c r="L92" i="3" a="1"/>
  <c r="L85" i="3" a="1"/>
  <c r="M85" i="3" a="1"/>
  <c r="M65" i="3" a="1"/>
  <c r="L355" i="3" a="1"/>
  <c r="L63" i="3" a="1"/>
  <c r="M67" i="3" a="1"/>
  <c r="L65" i="3" a="1"/>
  <c r="M63" i="3" a="1"/>
  <c r="M381" i="3" a="1"/>
  <c r="F4" i="17" a="1"/>
  <c r="F4" i="17" l="1"/>
  <c r="M322" i="3"/>
  <c r="M372" i="3"/>
  <c r="M378" i="3"/>
  <c r="M381" i="3"/>
  <c r="M357" i="3"/>
  <c r="L355" i="3"/>
  <c r="L360" i="3"/>
  <c r="M366" i="3"/>
  <c r="M92" i="3"/>
  <c r="L92" i="3"/>
  <c r="M85" i="3"/>
  <c r="L85" i="3"/>
  <c r="L63" i="3"/>
  <c r="M63" i="3"/>
  <c r="L67" i="3"/>
  <c r="M67" i="3"/>
  <c r="M65" i="3"/>
  <c r="L65" i="3"/>
  <c r="W327" i="3"/>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<sst xmlns="http://schemas.openxmlformats.org/spreadsheetml/2006/main" count="23490" uniqueCount="8442">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</sst>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6" formatCode="_(* #,##0.0000_);_(* \(#,##0.0\);_(* \-??_);_(@_)"/>
  </numFmts>
  <fonts count="72">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s>
  <borders count="33">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520">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170" fontId="0" fillId="0" borderId="0" xfId="0" applyNumberFormat="1"/>
    <xf numFmtId="164" fontId="0" fillId="0" borderId="0" xfId="0" applyNumberFormat="1" applyBorder="1"/>
    <xf numFmtId="0" fontId="0" fillId="0" borderId="0" xfId="0" applyBorder="1"/>
    <xf numFmtId="0" fontId="0" fillId="74" borderId="0" xfId="0" applyFill="1" applyBorder="1"/>
    <xf numFmtId="170" fontId="0" fillId="0" borderId="0" xfId="0" applyNumberFormat="1" applyAlignment="1">
      <alignment horizontal="center"/>
    </xf>
    <xf numFmtId="0" fontId="54" fillId="46" borderId="30" xfId="0" applyFont="1" applyFill="1" applyBorder="1" applyAlignment="1">
      <alignment horizontal="center"/>
    </xf>
    <xf numFmtId="0" fontId="0" fillId="0" borderId="0" xfId="0" applyBorder="1" applyAlignment="1">
      <alignment horizontal="center"/>
    </xf>
    <xf numFmtId="176"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0" borderId="0" xfId="0" applyNumberFormat="1" applyBorder="1" applyAlignment="1">
      <alignment horizontal="right"/>
    </xf>
    <xf numFmtId="0" fontId="0" fillId="0" borderId="0" xfId="0" applyBorder="1" applyAlignment="1">
      <alignment horizontal="right"/>
    </xf>
    <xf numFmtId="164" fontId="0" fillId="65" borderId="0" xfId="0" applyNumberFormat="1" applyFill="1" applyBorder="1"/>
    <xf numFmtId="0" fontId="0" fillId="65" borderId="0" xfId="0" applyFill="1" applyBorder="1"/>
    <xf numFmtId="164" fontId="0" fillId="65" borderId="0" xfId="0" applyNumberFormat="1" applyFill="1" applyAlignment="1">
      <alignment horizontal="right"/>
    </xf>
    <xf numFmtId="0" fontId="0" fillId="65" borderId="0" xfId="0" applyFill="1" applyAlignment="1">
      <alignment horizontal="right"/>
    </xf>
    <xf numFmtId="176" fontId="70" fillId="0" borderId="0" xfId="0" applyNumberFormat="1" applyFont="1" applyAlignment="1">
      <alignment horizontal="right"/>
    </xf>
    <xf numFmtId="0" fontId="70" fillId="0" borderId="0" xfId="0" applyFont="1"/>
    <xf numFmtId="1" fontId="54" fillId="46" borderId="30" xfId="0" applyNumberFormat="1" applyFont="1" applyFill="1" applyBorder="1"/>
    <xf numFmtId="1" fontId="54" fillId="46" borderId="0" xfId="0" applyNumberFormat="1" applyFont="1" applyFill="1" applyBorder="1"/>
    <xf numFmtId="0" fontId="3" fillId="0" borderId="0" xfId="0" applyFont="1" applyAlignment="1">
      <alignment horizontal="center" wrapText="1"/>
    </xf>
    <xf numFmtId="1" fontId="3" fillId="0" borderId="0" xfId="0" applyNumberFormat="1" applyFont="1" applyAlignment="1">
      <alignment horizontal="center" wrapText="1"/>
    </xf>
    <xf numFmtId="0" fontId="3" fillId="0" borderId="0" xfId="0" applyFont="1" applyBorder="1" applyAlignment="1">
      <alignment horizontal="center" wrapText="1"/>
    </xf>
    <xf numFmtId="0" fontId="3" fillId="65" borderId="0" xfId="0" applyFont="1" applyFill="1" applyBorder="1" applyAlignment="1">
      <alignment horizontal="center" wrapText="1"/>
    </xf>
    <xf numFmtId="0" fontId="3" fillId="0" borderId="0" xfId="0" applyFont="1" applyAlignment="1">
      <alignment horizontal="right" wrapText="1"/>
    </xf>
    <xf numFmtId="0" fontId="3" fillId="65" borderId="0" xfId="0" applyFont="1" applyFill="1" applyAlignment="1">
      <alignment horizontal="right" wrapText="1"/>
    </xf>
    <xf numFmtId="170" fontId="3" fillId="57" borderId="0" xfId="0" applyNumberFormat="1" applyFont="1" applyFill="1" applyAlignment="1">
      <alignment horizontal="center" wrapText="1"/>
    </xf>
    <xf numFmtId="0" fontId="3" fillId="57" borderId="0" xfId="0" applyFont="1" applyFill="1" applyAlignment="1">
      <alignment horizontal="center" wrapText="1"/>
    </xf>
    <xf numFmtId="0" fontId="3"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1" fillId="0" borderId="26" xfId="0" applyFont="1" applyBorder="1" applyAlignment="1">
      <alignment horizontal="center" wrapText="1"/>
    </xf>
    <xf numFmtId="0" fontId="71" fillId="0" borderId="1" xfId="0" applyFont="1" applyBorder="1" applyAlignment="1">
      <alignment horizontal="center" wrapText="1"/>
    </xf>
    <xf numFmtId="0" fontId="71" fillId="0" borderId="27" xfId="0" applyFont="1" applyBorder="1" applyAlignment="1">
      <alignment horizontal="center" wrapText="1"/>
    </xf>
    <xf numFmtId="1" fontId="54" fillId="74" borderId="30" xfId="3" applyNumberFormat="1" applyFont="1" applyFill="1" applyBorder="1"/>
    <xf numFmtId="1" fontId="54" fillId="74" borderId="30" xfId="0" applyNumberFormat="1" applyFont="1" applyFill="1" applyBorder="1"/>
    <xf numFmtId="0" fontId="54" fillId="46" borderId="30" xfId="3" applyFont="1" applyFill="1" applyBorder="1" applyAlignment="1">
      <alignment horizontal="center"/>
    </xf>
    <xf numFmtId="0" fontId="0" fillId="74" borderId="0" xfId="0" applyFill="1" applyAlignment="1">
      <alignment horizontal="right"/>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48">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60"/>
  <sheetViews>
    <sheetView topLeftCell="A10" workbookViewId="0">
      <selection activeCell="A26" sqref="A26:XFD27"/>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4" spans="1:3">
      <c r="B24" t="s">
        <v>8406</v>
      </c>
    </row>
    <row r="26" spans="1:3">
      <c r="B26" t="s">
        <v>8408</v>
      </c>
    </row>
    <row r="28" spans="1:3">
      <c r="B28" t="s">
        <v>8407</v>
      </c>
    </row>
    <row r="31" spans="1:3" s="459" customFormat="1">
      <c r="A31" s="458" t="s">
        <v>4397</v>
      </c>
    </row>
    <row r="32" spans="1:3">
      <c r="A32" s="455"/>
    </row>
    <row r="33" spans="2:4">
      <c r="B33" t="s">
        <v>4398</v>
      </c>
    </row>
    <row r="34" spans="2:4">
      <c r="B34" s="17" t="s">
        <v>4386</v>
      </c>
      <c r="C34" t="s">
        <v>4399</v>
      </c>
    </row>
    <row r="35" spans="2:4">
      <c r="B35" s="17"/>
    </row>
    <row r="36" spans="2:4">
      <c r="B36" t="s">
        <v>4414</v>
      </c>
    </row>
    <row r="37" spans="2:4">
      <c r="B37" s="17" t="s">
        <v>4386</v>
      </c>
      <c r="C37" t="s">
        <v>4400</v>
      </c>
    </row>
    <row r="38" spans="2:4">
      <c r="B38" s="17" t="s">
        <v>4386</v>
      </c>
      <c r="C38" t="s">
        <v>4412</v>
      </c>
    </row>
    <row r="39" spans="2:4">
      <c r="B39" s="17" t="s">
        <v>4386</v>
      </c>
      <c r="C39" t="s">
        <v>4413</v>
      </c>
    </row>
    <row r="40" spans="2:4">
      <c r="B40" s="17"/>
    </row>
    <row r="41" spans="2:4">
      <c r="B41" s="93" t="s">
        <v>4401</v>
      </c>
    </row>
    <row r="42" spans="2:4">
      <c r="B42" s="17" t="s">
        <v>4386</v>
      </c>
      <c r="C42" t="s">
        <v>4408</v>
      </c>
    </row>
    <row r="43" spans="2:4">
      <c r="C43" s="17" t="s">
        <v>4386</v>
      </c>
      <c r="D43" t="s">
        <v>4403</v>
      </c>
    </row>
    <row r="44" spans="2:4">
      <c r="C44" s="17" t="s">
        <v>4386</v>
      </c>
      <c r="D44" t="s">
        <v>4404</v>
      </c>
    </row>
    <row r="45" spans="2:4">
      <c r="C45" s="17" t="s">
        <v>4386</v>
      </c>
      <c r="D45" t="s">
        <v>4405</v>
      </c>
    </row>
    <row r="46" spans="2:4">
      <c r="C46" s="17" t="s">
        <v>4386</v>
      </c>
      <c r="D46" t="s">
        <v>4406</v>
      </c>
    </row>
    <row r="47" spans="2:4">
      <c r="C47" s="17" t="s">
        <v>4386</v>
      </c>
      <c r="D47" t="s">
        <v>4407</v>
      </c>
    </row>
    <row r="48" spans="2:4">
      <c r="B48" s="17" t="s">
        <v>4386</v>
      </c>
      <c r="C48" t="s">
        <v>4402</v>
      </c>
    </row>
    <row r="50" spans="1:3">
      <c r="B50" t="s">
        <v>4409</v>
      </c>
    </row>
    <row r="51" spans="1:3">
      <c r="B51" s="17" t="s">
        <v>4386</v>
      </c>
      <c r="C51" t="s">
        <v>4410</v>
      </c>
    </row>
    <row r="53" spans="1:3">
      <c r="B53" t="s">
        <v>4411</v>
      </c>
    </row>
    <row r="54" spans="1:3">
      <c r="B54" s="17" t="s">
        <v>4386</v>
      </c>
      <c r="C54" t="s">
        <v>4415</v>
      </c>
    </row>
    <row r="55" spans="1:3">
      <c r="B55" s="17"/>
    </row>
    <row r="57" spans="1:3" s="459" customFormat="1">
      <c r="A57" s="458" t="s">
        <v>4396</v>
      </c>
    </row>
    <row r="58" spans="1:3">
      <c r="A58" s="455"/>
    </row>
    <row r="59" spans="1:3">
      <c r="B59" t="s">
        <v>4417</v>
      </c>
    </row>
    <row r="60" spans="1:3">
      <c r="B60"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dimension ref="A1:BG23"/>
  <sheetViews>
    <sheetView tabSelected="1" zoomScale="75" zoomScaleNormal="75" workbookViewId="0">
      <selection activeCell="C6" sqref="C6"/>
    </sheetView>
  </sheetViews>
  <sheetFormatPr defaultRowHeight="15"/>
  <cols>
    <col min="1" max="1" width="20.42578125" style="3" customWidth="1"/>
    <col min="2" max="2" width="12" style="5" bestFit="1" customWidth="1"/>
    <col min="3" max="3" width="6.5703125" bestFit="1" customWidth="1"/>
    <col min="4" max="4" width="6.140625" style="483" bestFit="1" customWidth="1"/>
    <col min="5" max="5" width="1.28515625" style="494" customWidth="1"/>
    <col min="6" max="8" width="10.42578125" style="17" customWidth="1"/>
    <col min="9" max="9" width="7.5703125" style="17" customWidth="1"/>
    <col min="10" max="10" width="8.140625" style="17" customWidth="1"/>
    <col min="11" max="11" width="1.28515625" style="496" customWidth="1"/>
    <col min="16" max="16" width="9.140625" style="3"/>
    <col min="18" max="18" width="9.140625" style="492" customWidth="1"/>
    <col min="19" max="19" width="1.28515625" style="496" customWidth="1"/>
    <col min="20" max="21" width="12.7109375" style="481" customWidth="1"/>
    <col min="22" max="26" width="12.7109375" customWidth="1"/>
    <col min="27" max="27" width="2.42578125" style="496" customWidth="1"/>
    <col min="28" max="58" width="9.85546875" style="498" customWidth="1"/>
  </cols>
  <sheetData>
    <row r="1" spans="1:59" s="18" customFormat="1">
      <c r="A1" s="4"/>
      <c r="B1" s="5"/>
      <c r="D1" s="482"/>
      <c r="E1" s="493"/>
      <c r="F1" s="187"/>
      <c r="G1" s="187"/>
      <c r="H1" s="187"/>
      <c r="I1" s="187"/>
      <c r="J1" s="187"/>
      <c r="K1" s="495"/>
      <c r="P1" s="4"/>
      <c r="R1" s="491"/>
      <c r="S1" s="495" t="s">
        <v>8438</v>
      </c>
      <c r="T1" s="481">
        <v>526</v>
      </c>
      <c r="U1" s="481">
        <v>2087</v>
      </c>
      <c r="V1" s="18">
        <v>512</v>
      </c>
      <c r="W1" s="18">
        <v>1988</v>
      </c>
      <c r="X1" s="18">
        <v>1266</v>
      </c>
      <c r="Y1" s="18">
        <v>1266</v>
      </c>
      <c r="Z1" s="18">
        <v>18176</v>
      </c>
      <c r="AA1" s="495"/>
    </row>
    <row r="2" spans="1:59">
      <c r="AB2"/>
      <c r="AC2"/>
      <c r="AD2"/>
      <c r="AE2"/>
      <c r="AF2"/>
      <c r="AG2"/>
      <c r="AH2"/>
      <c r="AI2"/>
      <c r="AJ2"/>
      <c r="AK2"/>
      <c r="AL2"/>
      <c r="AM2"/>
      <c r="AN2"/>
      <c r="AO2"/>
      <c r="AP2"/>
      <c r="AQ2"/>
      <c r="AR2"/>
      <c r="AS2"/>
      <c r="AT2"/>
      <c r="AU2"/>
      <c r="AV2"/>
      <c r="AW2"/>
      <c r="AX2"/>
      <c r="AY2"/>
      <c r="AZ2"/>
      <c r="BA2"/>
      <c r="BB2"/>
      <c r="BC2"/>
      <c r="BD2"/>
      <c r="BE2"/>
      <c r="BF2"/>
    </row>
    <row r="3" spans="1:59">
      <c r="Z3" s="17" t="s">
        <v>766</v>
      </c>
      <c r="AA3" s="496" t="s">
        <v>8439</v>
      </c>
      <c r="AB3"/>
      <c r="AC3"/>
      <c r="AD3"/>
      <c r="AE3"/>
      <c r="AF3"/>
      <c r="AG3"/>
      <c r="AH3"/>
      <c r="AI3"/>
      <c r="AJ3"/>
      <c r="AK3"/>
      <c r="AL3"/>
      <c r="AM3"/>
      <c r="AN3"/>
      <c r="AO3"/>
      <c r="AP3"/>
      <c r="AQ3" s="17" t="str">
        <f t="shared" ref="AC3:AR6" si="0">$Z3</f>
        <v>HSK3</v>
      </c>
      <c r="AR3" s="17" t="str">
        <f t="shared" si="0"/>
        <v>HSK3</v>
      </c>
      <c r="AS3" s="17" t="str">
        <f t="shared" ref="AS3:BG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96" t="s">
        <v>8439</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96" t="s">
        <v>8439</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96" t="s">
        <v>8439</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96" t="s">
        <v>8439</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8440</v>
      </c>
      <c r="AA8" s="496" t="s">
        <v>8439</v>
      </c>
      <c r="AB8">
        <f>IF(AB7="",0,1)+IF(AB6="",0,2)+IF(AB5="",0,4)+IF(AB4="",0,8)+IF(AB3="",0,16)</f>
        <v>1</v>
      </c>
      <c r="AC8">
        <f t="shared" ref="AC8:BG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85" t="s">
        <v>8421</v>
      </c>
      <c r="U11" s="485" t="s">
        <v>8422</v>
      </c>
      <c r="V11" s="3" t="s">
        <v>8423</v>
      </c>
      <c r="W11" s="3" t="s">
        <v>8424</v>
      </c>
      <c r="X11" s="3"/>
      <c r="Y11" s="3" t="s">
        <v>8425</v>
      </c>
      <c r="Z11" s="3" t="s">
        <v>8426</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8420</v>
      </c>
      <c r="R12" s="487" t="s">
        <v>8420</v>
      </c>
      <c r="T12" s="489" t="s">
        <v>8416</v>
      </c>
      <c r="U12" s="489" t="s">
        <v>8416</v>
      </c>
      <c r="V12" s="489" t="s">
        <v>8416</v>
      </c>
      <c r="W12" s="489" t="s">
        <v>8416</v>
      </c>
      <c r="X12" s="490" t="s">
        <v>8415</v>
      </c>
      <c r="Y12" s="489" t="s">
        <v>8416</v>
      </c>
      <c r="Z12" s="489" t="s">
        <v>8416</v>
      </c>
      <c r="AB12" s="510" t="str">
        <f>IF(OR(AB$8=1,AB$8=2,AB$8=4,AB$8=8,AB$8=16),"Single","")</f>
        <v>Single</v>
      </c>
      <c r="AC12" s="511" t="str">
        <f t="shared" ref="AC12:BF12" si="3">IF(OR(AC$8=1,AC$8=2,AC$8=4,AC$8=8,AC$8=16),"Single","")</f>
        <v>Single</v>
      </c>
      <c r="AD12" s="511" t="str">
        <f t="shared" si="3"/>
        <v/>
      </c>
      <c r="AE12" s="511" t="str">
        <f t="shared" si="3"/>
        <v>Single</v>
      </c>
      <c r="AF12" s="511" t="str">
        <f t="shared" si="3"/>
        <v/>
      </c>
      <c r="AG12" s="511" t="str">
        <f t="shared" si="3"/>
        <v/>
      </c>
      <c r="AH12" s="511" t="str">
        <f t="shared" si="3"/>
        <v/>
      </c>
      <c r="AI12" s="511" t="str">
        <f t="shared" si="3"/>
        <v>Single</v>
      </c>
      <c r="AJ12" s="511" t="str">
        <f t="shared" si="3"/>
        <v/>
      </c>
      <c r="AK12" s="511" t="str">
        <f t="shared" si="3"/>
        <v/>
      </c>
      <c r="AL12" s="511" t="str">
        <f t="shared" si="3"/>
        <v/>
      </c>
      <c r="AM12" s="511" t="str">
        <f t="shared" si="3"/>
        <v/>
      </c>
      <c r="AN12" s="511" t="str">
        <f t="shared" si="3"/>
        <v/>
      </c>
      <c r="AO12" s="511" t="str">
        <f t="shared" si="3"/>
        <v/>
      </c>
      <c r="AP12" s="511" t="str">
        <f t="shared" si="3"/>
        <v/>
      </c>
      <c r="AQ12" s="511" t="str">
        <f t="shared" si="3"/>
        <v>Single</v>
      </c>
      <c r="AR12" s="511" t="str">
        <f t="shared" si="3"/>
        <v/>
      </c>
      <c r="AS12" s="511" t="str">
        <f t="shared" si="3"/>
        <v/>
      </c>
      <c r="AT12" s="511" t="str">
        <f t="shared" si="3"/>
        <v/>
      </c>
      <c r="AU12" s="511" t="str">
        <f t="shared" si="3"/>
        <v/>
      </c>
      <c r="AV12" s="511" t="str">
        <f t="shared" si="3"/>
        <v/>
      </c>
      <c r="AW12" s="511" t="str">
        <f t="shared" si="3"/>
        <v/>
      </c>
      <c r="AX12" s="511" t="str">
        <f t="shared" si="3"/>
        <v/>
      </c>
      <c r="AY12" s="511" t="str">
        <f t="shared" si="3"/>
        <v/>
      </c>
      <c r="AZ12" s="511" t="str">
        <f t="shared" si="3"/>
        <v/>
      </c>
      <c r="BA12" s="511" t="str">
        <f t="shared" si="3"/>
        <v/>
      </c>
      <c r="BB12" s="511" t="str">
        <f t="shared" si="3"/>
        <v/>
      </c>
      <c r="BC12" s="511" t="str">
        <f t="shared" si="3"/>
        <v/>
      </c>
      <c r="BD12" s="511" t="str">
        <f t="shared" si="3"/>
        <v/>
      </c>
      <c r="BE12" s="511" t="str">
        <f t="shared" si="3"/>
        <v/>
      </c>
      <c r="BF12" s="512" t="str">
        <f t="shared" si="3"/>
        <v/>
      </c>
    </row>
    <row r="13" spans="1:59" s="501" customFormat="1" ht="31.5" customHeight="1">
      <c r="A13" s="501" t="s">
        <v>8410</v>
      </c>
      <c r="B13" s="502" t="s">
        <v>8409</v>
      </c>
      <c r="C13" s="501" t="s">
        <v>8410</v>
      </c>
      <c r="D13" s="503" t="s">
        <v>8414</v>
      </c>
      <c r="E13" s="504"/>
      <c r="F13" s="505" t="s">
        <v>8441</v>
      </c>
      <c r="G13" s="505" t="s">
        <v>8436</v>
      </c>
      <c r="H13" s="501" t="s">
        <v>8417</v>
      </c>
      <c r="I13" s="501" t="s">
        <v>8427</v>
      </c>
      <c r="J13" s="501" t="s">
        <v>8419</v>
      </c>
      <c r="K13" s="506"/>
      <c r="L13" s="501" t="s">
        <v>12</v>
      </c>
      <c r="M13" s="501" t="s">
        <v>776</v>
      </c>
      <c r="N13" s="501" t="s">
        <v>773</v>
      </c>
      <c r="O13" s="501" t="s">
        <v>8411</v>
      </c>
      <c r="P13" s="501" t="s">
        <v>8437</v>
      </c>
      <c r="Q13" s="501" t="s">
        <v>8434</v>
      </c>
      <c r="R13" s="503" t="s">
        <v>8435</v>
      </c>
      <c r="S13" s="506"/>
      <c r="T13" s="507" t="s">
        <v>8433</v>
      </c>
      <c r="U13" s="507" t="s">
        <v>8428</v>
      </c>
      <c r="V13" s="508" t="s">
        <v>8429</v>
      </c>
      <c r="W13" s="508" t="s">
        <v>8430</v>
      </c>
      <c r="X13" s="509" t="s">
        <v>8431</v>
      </c>
      <c r="Y13" s="508" t="s">
        <v>8431</v>
      </c>
      <c r="Z13" s="508" t="s">
        <v>8432</v>
      </c>
      <c r="AA13" s="506"/>
      <c r="AB13" s="513" t="str">
        <f>_xlfn.TEXTJOIN("",TRUE,AB3:AB7)</f>
        <v>DT1</v>
      </c>
      <c r="AC13" s="514" t="str">
        <f t="shared" ref="AC13:BF13" si="4">_xlfn.TEXTJOIN("",TRUE,AC3:AC7)</f>
        <v>DT2</v>
      </c>
      <c r="AD13" s="514" t="str">
        <f t="shared" si="4"/>
        <v>DT2DT1</v>
      </c>
      <c r="AE13" s="514" t="str">
        <f t="shared" si="4"/>
        <v>DT3</v>
      </c>
      <c r="AF13" s="514" t="str">
        <f t="shared" si="4"/>
        <v>DT3DT1</v>
      </c>
      <c r="AG13" s="514" t="str">
        <f t="shared" si="4"/>
        <v>DT3DT2</v>
      </c>
      <c r="AH13" s="514" t="str">
        <f t="shared" si="4"/>
        <v>DT3DT2DT1</v>
      </c>
      <c r="AI13" s="514" t="str">
        <f t="shared" si="4"/>
        <v>DT4</v>
      </c>
      <c r="AJ13" s="514" t="str">
        <f t="shared" si="4"/>
        <v>DT4DT1</v>
      </c>
      <c r="AK13" s="514" t="str">
        <f t="shared" si="4"/>
        <v>DT4DT2</v>
      </c>
      <c r="AL13" s="514" t="str">
        <f t="shared" si="4"/>
        <v>DT4DT2DT1</v>
      </c>
      <c r="AM13" s="514" t="str">
        <f t="shared" si="4"/>
        <v>DT4DT3</v>
      </c>
      <c r="AN13" s="514" t="str">
        <f t="shared" si="4"/>
        <v>DT4DT3DT1</v>
      </c>
      <c r="AO13" s="514" t="str">
        <f t="shared" si="4"/>
        <v>DT4DT3DT2</v>
      </c>
      <c r="AP13" s="514" t="str">
        <f t="shared" si="4"/>
        <v>DT4DT3DT2DT1</v>
      </c>
      <c r="AQ13" s="514" t="str">
        <f t="shared" si="4"/>
        <v>HSK3</v>
      </c>
      <c r="AR13" s="514" t="str">
        <f t="shared" si="4"/>
        <v>HSK3DT1</v>
      </c>
      <c r="AS13" s="514" t="str">
        <f t="shared" si="4"/>
        <v>HSK3DT2</v>
      </c>
      <c r="AT13" s="514" t="str">
        <f t="shared" si="4"/>
        <v>HSK3DT2DT1</v>
      </c>
      <c r="AU13" s="514" t="str">
        <f t="shared" si="4"/>
        <v>HSK3DT3</v>
      </c>
      <c r="AV13" s="514" t="str">
        <f t="shared" si="4"/>
        <v>HSK3DT3DT1</v>
      </c>
      <c r="AW13" s="514" t="str">
        <f t="shared" si="4"/>
        <v>HSK3DT3DT2</v>
      </c>
      <c r="AX13" s="514" t="str">
        <f t="shared" si="4"/>
        <v>HSK3DT3DT2DT1</v>
      </c>
      <c r="AY13" s="514" t="str">
        <f t="shared" si="4"/>
        <v>HSK3DT4</v>
      </c>
      <c r="AZ13" s="514" t="str">
        <f t="shared" si="4"/>
        <v>HSK3DT4DT1</v>
      </c>
      <c r="BA13" s="514" t="str">
        <f t="shared" si="4"/>
        <v>HSK3DT4DT2</v>
      </c>
      <c r="BB13" s="514" t="str">
        <f t="shared" si="4"/>
        <v>HSK3DT4DT2DT1</v>
      </c>
      <c r="BC13" s="514" t="str">
        <f t="shared" si="4"/>
        <v>HSK3DT4DT3</v>
      </c>
      <c r="BD13" s="514" t="str">
        <f t="shared" si="4"/>
        <v>HSK3DT4DT3DT1</v>
      </c>
      <c r="BE13" s="514" t="str">
        <f t="shared" si="4"/>
        <v>HSK3DT4DT3DT2</v>
      </c>
      <c r="BF13" s="515" t="str">
        <f t="shared" si="4"/>
        <v>HSK3DT4DT3DT2DT1</v>
      </c>
    </row>
    <row r="14" spans="1:59">
      <c r="A14" s="518" t="s">
        <v>866</v>
      </c>
      <c r="B14" s="516">
        <v>644923315</v>
      </c>
      <c r="C14" s="519" t="s">
        <v>1148</v>
      </c>
      <c r="D14" s="484"/>
      <c r="F14" s="17" t="str">
        <f>_xlfn.TEXTJOIN("+",TRUE,$C14:$D14)</f>
        <v>ON</v>
      </c>
      <c r="G14" s="17">
        <f>IF($C14="ON",$B14,G13)</f>
        <v>644923315</v>
      </c>
      <c r="H14" s="17">
        <f>IF($C14="OFF",$B14,H15)</f>
        <v>646885325</v>
      </c>
      <c r="I14" s="17">
        <f>IF($C14="ON",0,I13+1)</f>
        <v>0</v>
      </c>
      <c r="J14" s="17">
        <f t="shared" ref="J14:J22" si="5">IF($C14="OFF",0,J15+1)</f>
        <v>9</v>
      </c>
      <c r="L14" t="str">
        <f>IF($C14="ON","",IF($C14="N1",$D14,L13))</f>
        <v/>
      </c>
      <c r="M14" t="str">
        <f>IF($C14="ON","",IF($C14="N2",$D14,IF($F14="MAC+103",3,IF($F14="MAC+104",2,M13))))</f>
        <v/>
      </c>
      <c r="N14" t="str">
        <f t="shared" ref="N14:N16" si="6">IF($C14="ON","",IF($C14="N3",$D14,N13))</f>
        <v/>
      </c>
      <c r="O14" t="str">
        <f>IF($C14="ON","",IF($C14="STAT",$D14,O13))</f>
        <v/>
      </c>
      <c r="P14" s="3" t="str">
        <f>IF($C14="ON","",IF(AND($C14="MAC",105&lt;=$D14,$D14&lt;=110),"",IF(AND($C14="MAC",103&lt;=$D14,$D14&lt;=104),"disabled",P13)))</f>
        <v/>
      </c>
      <c r="Q14" t="str">
        <f>IF(F14="ON","",IF($F14="MAC+105",300,IF($F14="MAC+106",600,IF($F14="MAC+107",840,IF($F14="MAC+108",1200,IF($F14="MAC+109",1800,IF($F14="MAC+110",43200,Q13)))))))</f>
        <v/>
      </c>
      <c r="R14" s="492" t="str">
        <f>IF($C14="ON","",IF($F14="MAC+102","102",R13))</f>
        <v/>
      </c>
      <c r="T14" s="488">
        <f>IF($M14="",0,T$1/64/$M14)</f>
        <v>0</v>
      </c>
      <c r="U14" s="488">
        <f>IF($M14="",0,U$1/64/$M14)</f>
        <v>0</v>
      </c>
      <c r="V14" s="488">
        <f>IF($O14="",0,V$1/$O14)</f>
        <v>0</v>
      </c>
      <c r="W14" s="488">
        <f>IF($L14="",0,W$1/$L14)</f>
        <v>0</v>
      </c>
      <c r="X14" s="488">
        <f>IF(OR($M14="",$P14&lt;&gt;""),0,X$1/$M14)</f>
        <v>0</v>
      </c>
      <c r="Y14" s="488">
        <f>IF($M14="",0,IF($Q14="",1,Q14/43200)*X14)</f>
        <v>0</v>
      </c>
      <c r="Z14" s="488">
        <f>IF($N14="",0,Z$1/$N14)</f>
        <v>0</v>
      </c>
      <c r="AB14" s="497">
        <f>IF(AB$3&lt;&gt;"",$V14,0)+IF(AB$4&lt;&gt;"",$T14,0)+IF(AB$5&lt;&gt;"",$Y14+IF($R14&lt;&gt;"102",$U14,0),0)+IF(AB$6&lt;&gt;"",$Z14+IF($R14="102",$U14,0),0)+IF(AB$7&lt;&gt;"",$W14,0)</f>
        <v>0</v>
      </c>
      <c r="AC14" s="497">
        <f t="shared" ref="AC14:AR23" si="7">IF(AC$3&lt;&gt;"",$V14,0)+IF(AC$4&lt;&gt;"",$T14,0)+IF(AC$5&lt;&gt;"",$Y14+IF($R14&lt;&gt;"102",$U14,0),0)+IF(AC$6&lt;&gt;"",$Z14+IF($R14="102",$U14,0),0)+IF(AC$7&lt;&gt;"",$W14,0)</f>
        <v>0</v>
      </c>
      <c r="AD14" s="497">
        <f t="shared" si="7"/>
        <v>0</v>
      </c>
      <c r="AE14" s="497">
        <f t="shared" si="7"/>
        <v>0</v>
      </c>
      <c r="AF14" s="497">
        <f t="shared" si="7"/>
        <v>0</v>
      </c>
      <c r="AG14" s="497">
        <f t="shared" si="7"/>
        <v>0</v>
      </c>
      <c r="AH14" s="497">
        <f t="shared" si="7"/>
        <v>0</v>
      </c>
      <c r="AI14" s="497">
        <f t="shared" si="7"/>
        <v>0</v>
      </c>
      <c r="AJ14" s="497">
        <f t="shared" si="7"/>
        <v>0</v>
      </c>
      <c r="AK14" s="497">
        <f t="shared" si="7"/>
        <v>0</v>
      </c>
      <c r="AL14" s="497">
        <f t="shared" si="7"/>
        <v>0</v>
      </c>
      <c r="AM14" s="497">
        <f t="shared" si="7"/>
        <v>0</v>
      </c>
      <c r="AN14" s="497">
        <f t="shared" si="7"/>
        <v>0</v>
      </c>
      <c r="AO14" s="497">
        <f t="shared" si="7"/>
        <v>0</v>
      </c>
      <c r="AP14" s="497">
        <f t="shared" si="7"/>
        <v>0</v>
      </c>
      <c r="AQ14" s="497">
        <f t="shared" si="7"/>
        <v>0</v>
      </c>
      <c r="AR14" s="497">
        <f t="shared" si="7"/>
        <v>0</v>
      </c>
      <c r="AS14" s="497">
        <f t="shared" ref="AS14:BF23" si="8">IF(AS$3&lt;&gt;"",$V14,0)+IF(AS$4&lt;&gt;"",$T14,0)+IF(AS$5&lt;&gt;"",$Y14+IF($R14&lt;&gt;"102",$U14,0),0)+IF(AS$6&lt;&gt;"",$Z14+IF($R14="102",$U14,0),0)+IF(AS$7&lt;&gt;"",$W14,0)</f>
        <v>0</v>
      </c>
      <c r="AT14" s="497">
        <f t="shared" si="8"/>
        <v>0</v>
      </c>
      <c r="AU14" s="497">
        <f t="shared" si="8"/>
        <v>0</v>
      </c>
      <c r="AV14" s="497">
        <f t="shared" si="8"/>
        <v>0</v>
      </c>
      <c r="AW14" s="497">
        <f t="shared" si="8"/>
        <v>0</v>
      </c>
      <c r="AX14" s="497">
        <f t="shared" si="8"/>
        <v>0</v>
      </c>
      <c r="AY14" s="497">
        <f t="shared" si="8"/>
        <v>0</v>
      </c>
      <c r="AZ14" s="497">
        <f t="shared" si="8"/>
        <v>0</v>
      </c>
      <c r="BA14" s="497">
        <f t="shared" si="8"/>
        <v>0</v>
      </c>
      <c r="BB14" s="497">
        <f t="shared" si="8"/>
        <v>0</v>
      </c>
      <c r="BC14" s="497">
        <f t="shared" si="8"/>
        <v>0</v>
      </c>
      <c r="BD14" s="497">
        <f t="shared" si="8"/>
        <v>0</v>
      </c>
      <c r="BE14" s="497">
        <f t="shared" si="8"/>
        <v>0</v>
      </c>
      <c r="BF14" s="497">
        <f t="shared" si="8"/>
        <v>0</v>
      </c>
    </row>
    <row r="15" spans="1:59">
      <c r="A15" s="486" t="s">
        <v>1288</v>
      </c>
      <c r="B15" s="517">
        <v>646883515</v>
      </c>
      <c r="C15" s="519" t="s">
        <v>8412</v>
      </c>
      <c r="D15" s="484">
        <v>111</v>
      </c>
      <c r="F15" s="17" t="str">
        <f t="shared" ref="F15:F22" si="9">_xlfn.TEXTJOIN("+",TRUE,$C15:$D15)</f>
        <v>MAC+111</v>
      </c>
      <c r="G15" s="17">
        <f t="shared" ref="G15:G23" si="10">IF($C15="ON",$B15,G14)</f>
        <v>644923315</v>
      </c>
      <c r="H15" s="17">
        <f t="shared" ref="H15:H23" si="11">IF($C15="OFF",$B15,H16)</f>
        <v>646885325</v>
      </c>
      <c r="I15" s="17">
        <f t="shared" ref="I15:I23" si="12">IF($C15="ON",0,I14+1)</f>
        <v>1</v>
      </c>
      <c r="J15" s="17">
        <f t="shared" si="5"/>
        <v>8</v>
      </c>
      <c r="L15" t="str">
        <f t="shared" ref="L15:L21" si="13">IF($C15="ON","",IF($C15="N1",$D15,L14))</f>
        <v/>
      </c>
      <c r="M15" t="str">
        <f t="shared" ref="M15:M21" si="14">IF($C15="ON","",IF($C15="N2",$D15,IF($F15="MAC+103",3,IF($F15="MAC+104",2,M14))))</f>
        <v/>
      </c>
      <c r="N15" t="str">
        <f t="shared" si="6"/>
        <v/>
      </c>
      <c r="O15" t="str">
        <f t="shared" ref="O15:O21" si="15">IF($C15="ON","",IF($C15="STAT",$D15,O14))</f>
        <v/>
      </c>
      <c r="P15" s="3" t="str">
        <f t="shared" ref="P15:P23" si="16">IF($C15="ON","",IF(AND($C15="MAC",105&lt;=$D15,$D15&lt;=110),"",IF(AND($C15="MAC",103&lt;=$D15,$D15&lt;=104),"disabled",P14)))</f>
        <v/>
      </c>
      <c r="Q15" t="str">
        <f t="shared" ref="Q15:Q21" si="17">IF(F15="ON","",IF($F15="MAC+105",300,IF($F15="MAC+106",600,IF($F15="MAC+107",840,IF($F15="MAC+108",1200,IF($F15="MAC+109",1800,IF($F15="MAC+110",43200,Q14)))))))</f>
        <v/>
      </c>
      <c r="R15" s="492" t="str">
        <f t="shared" ref="R15:R22" si="18">IF($C15="ON","",IF($F15="MAC+102","102",R14))</f>
        <v/>
      </c>
      <c r="T15" s="488">
        <f t="shared" ref="T15:U22" si="19">IF($M15="",0,T$1/64/$M15)</f>
        <v>0</v>
      </c>
      <c r="U15" s="488">
        <f t="shared" si="19"/>
        <v>0</v>
      </c>
      <c r="V15" s="488">
        <f t="shared" ref="V15:V22" si="20">IF($O15="",0,V$1/$O15)</f>
        <v>0</v>
      </c>
      <c r="W15" s="488">
        <f t="shared" ref="W15:W22" si="21">IF($L15="",0,W$1/$L15)</f>
        <v>0</v>
      </c>
      <c r="X15" s="488">
        <f t="shared" ref="X15:X23" si="22">IF(OR($M15="",$P15&lt;&gt;""),0,X$1/$M15)</f>
        <v>0</v>
      </c>
      <c r="Y15" s="488">
        <f t="shared" ref="Y15:Y21" si="23">IF($M15="",0,IF($Q15="",1,Q15/43200)*X15)</f>
        <v>0</v>
      </c>
      <c r="Z15" s="488">
        <f>IF($N15="",0,Z$1/$N15)</f>
        <v>0</v>
      </c>
      <c r="AB15" s="497">
        <f t="shared" ref="AB15:AK23" si="24">IF(AB$3&lt;&gt;"",$V15,0)+IF(AB$4&lt;&gt;"",$T15,0)+IF(AB$5&lt;&gt;"",$Y15+IF($R15&lt;&gt;"102",$U15,0),0)+IF(AB$6&lt;&gt;"",$Z15+IF($R15="102",$U15,0),0)+IF(AB$7&lt;&gt;"",$W15,0)</f>
        <v>0</v>
      </c>
      <c r="AC15" s="497">
        <f t="shared" si="7"/>
        <v>0</v>
      </c>
      <c r="AD15" s="497">
        <f t="shared" si="7"/>
        <v>0</v>
      </c>
      <c r="AE15" s="497">
        <f t="shared" si="7"/>
        <v>0</v>
      </c>
      <c r="AF15" s="497">
        <f t="shared" si="7"/>
        <v>0</v>
      </c>
      <c r="AG15" s="497">
        <f t="shared" si="7"/>
        <v>0</v>
      </c>
      <c r="AH15" s="497">
        <f t="shared" si="7"/>
        <v>0</v>
      </c>
      <c r="AI15" s="497">
        <f t="shared" si="7"/>
        <v>0</v>
      </c>
      <c r="AJ15" s="497">
        <f t="shared" si="7"/>
        <v>0</v>
      </c>
      <c r="AK15" s="497">
        <f t="shared" si="7"/>
        <v>0</v>
      </c>
      <c r="AL15" s="497">
        <f t="shared" si="7"/>
        <v>0</v>
      </c>
      <c r="AM15" s="497">
        <f t="shared" si="7"/>
        <v>0</v>
      </c>
      <c r="AN15" s="497">
        <f t="shared" si="7"/>
        <v>0</v>
      </c>
      <c r="AO15" s="497">
        <f t="shared" si="7"/>
        <v>0</v>
      </c>
      <c r="AP15" s="497">
        <f t="shared" si="7"/>
        <v>0</v>
      </c>
      <c r="AQ15" s="497">
        <f t="shared" si="7"/>
        <v>0</v>
      </c>
      <c r="AR15" s="497">
        <f t="shared" si="7"/>
        <v>0</v>
      </c>
      <c r="AS15" s="497">
        <f t="shared" si="8"/>
        <v>0</v>
      </c>
      <c r="AT15" s="497">
        <f t="shared" si="8"/>
        <v>0</v>
      </c>
      <c r="AU15" s="497">
        <f t="shared" si="8"/>
        <v>0</v>
      </c>
      <c r="AV15" s="497">
        <f t="shared" si="8"/>
        <v>0</v>
      </c>
      <c r="AW15" s="497">
        <f t="shared" si="8"/>
        <v>0</v>
      </c>
      <c r="AX15" s="497">
        <f t="shared" si="8"/>
        <v>0</v>
      </c>
      <c r="AY15" s="497">
        <f t="shared" si="8"/>
        <v>0</v>
      </c>
      <c r="AZ15" s="497">
        <f t="shared" si="8"/>
        <v>0</v>
      </c>
      <c r="BA15" s="497">
        <f t="shared" si="8"/>
        <v>0</v>
      </c>
      <c r="BB15" s="497">
        <f t="shared" si="8"/>
        <v>0</v>
      </c>
      <c r="BC15" s="497">
        <f t="shared" si="8"/>
        <v>0</v>
      </c>
      <c r="BD15" s="497">
        <f t="shared" si="8"/>
        <v>0</v>
      </c>
      <c r="BE15" s="497">
        <f t="shared" si="8"/>
        <v>0</v>
      </c>
      <c r="BF15" s="497">
        <f t="shared" si="8"/>
        <v>0</v>
      </c>
    </row>
    <row r="16" spans="1:59">
      <c r="A16" s="486" t="s">
        <v>1517</v>
      </c>
      <c r="B16" s="499">
        <v>646884115</v>
      </c>
      <c r="C16" s="519" t="s">
        <v>776</v>
      </c>
      <c r="D16" s="484">
        <v>360</v>
      </c>
      <c r="F16" s="17" t="str">
        <f t="shared" si="9"/>
        <v>N2+360</v>
      </c>
      <c r="G16" s="17">
        <f t="shared" si="10"/>
        <v>644923315</v>
      </c>
      <c r="H16" s="17">
        <f t="shared" si="11"/>
        <v>646885325</v>
      </c>
      <c r="I16" s="17">
        <f t="shared" si="12"/>
        <v>2</v>
      </c>
      <c r="J16" s="17">
        <f t="shared" si="5"/>
        <v>7</v>
      </c>
      <c r="L16" t="str">
        <f t="shared" si="13"/>
        <v/>
      </c>
      <c r="M16">
        <f t="shared" si="14"/>
        <v>360</v>
      </c>
      <c r="N16" t="str">
        <f t="shared" si="6"/>
        <v/>
      </c>
      <c r="O16" t="str">
        <f t="shared" si="15"/>
        <v/>
      </c>
      <c r="P16" s="3" t="str">
        <f t="shared" si="16"/>
        <v/>
      </c>
      <c r="Q16" t="str">
        <f t="shared" si="17"/>
        <v/>
      </c>
      <c r="R16" s="492" t="str">
        <f t="shared" si="18"/>
        <v/>
      </c>
      <c r="T16" s="488">
        <f t="shared" si="19"/>
        <v>2.282986111111111E-2</v>
      </c>
      <c r="U16" s="488">
        <f t="shared" si="19"/>
        <v>9.0581597222222227E-2</v>
      </c>
      <c r="V16" s="488">
        <f t="shared" si="20"/>
        <v>0</v>
      </c>
      <c r="W16" s="488">
        <f t="shared" si="21"/>
        <v>0</v>
      </c>
      <c r="X16" s="488">
        <f t="shared" si="22"/>
        <v>3.5166666666666666</v>
      </c>
      <c r="Y16" s="488">
        <f t="shared" si="23"/>
        <v>3.5166666666666666</v>
      </c>
      <c r="Z16" s="488">
        <f>IF($N16="",0,Z$1/$N16)</f>
        <v>0</v>
      </c>
      <c r="AB16" s="497">
        <f t="shared" si="24"/>
        <v>0</v>
      </c>
      <c r="AC16" s="497">
        <f t="shared" si="7"/>
        <v>0</v>
      </c>
      <c r="AD16" s="497">
        <f t="shared" si="7"/>
        <v>0</v>
      </c>
      <c r="AE16" s="497">
        <f t="shared" si="7"/>
        <v>3.6072482638888888</v>
      </c>
      <c r="AF16" s="497">
        <f t="shared" si="7"/>
        <v>3.6072482638888888</v>
      </c>
      <c r="AG16" s="497">
        <f t="shared" si="7"/>
        <v>3.6072482638888888</v>
      </c>
      <c r="AH16" s="497">
        <f t="shared" si="7"/>
        <v>3.6072482638888888</v>
      </c>
      <c r="AI16" s="497">
        <f t="shared" si="7"/>
        <v>2.282986111111111E-2</v>
      </c>
      <c r="AJ16" s="497">
        <f t="shared" si="7"/>
        <v>2.282986111111111E-2</v>
      </c>
      <c r="AK16" s="497">
        <f t="shared" si="7"/>
        <v>2.282986111111111E-2</v>
      </c>
      <c r="AL16" s="497">
        <f t="shared" si="7"/>
        <v>2.282986111111111E-2</v>
      </c>
      <c r="AM16" s="497">
        <f t="shared" si="7"/>
        <v>3.6300781249999998</v>
      </c>
      <c r="AN16" s="497">
        <f t="shared" si="7"/>
        <v>3.6300781249999998</v>
      </c>
      <c r="AO16" s="497">
        <f t="shared" si="7"/>
        <v>3.6300781249999998</v>
      </c>
      <c r="AP16" s="497">
        <f t="shared" si="7"/>
        <v>3.6300781249999998</v>
      </c>
      <c r="AQ16" s="497">
        <f t="shared" si="7"/>
        <v>0</v>
      </c>
      <c r="AR16" s="497">
        <f t="shared" si="7"/>
        <v>0</v>
      </c>
      <c r="AS16" s="497">
        <f t="shared" si="8"/>
        <v>0</v>
      </c>
      <c r="AT16" s="497">
        <f t="shared" si="8"/>
        <v>0</v>
      </c>
      <c r="AU16" s="497">
        <f t="shared" si="8"/>
        <v>3.6072482638888888</v>
      </c>
      <c r="AV16" s="497">
        <f t="shared" si="8"/>
        <v>3.6072482638888888</v>
      </c>
      <c r="AW16" s="497">
        <f t="shared" si="8"/>
        <v>3.6072482638888888</v>
      </c>
      <c r="AX16" s="497">
        <f t="shared" si="8"/>
        <v>3.6072482638888888</v>
      </c>
      <c r="AY16" s="497">
        <f t="shared" si="8"/>
        <v>2.282986111111111E-2</v>
      </c>
      <c r="AZ16" s="497">
        <f t="shared" si="8"/>
        <v>2.282986111111111E-2</v>
      </c>
      <c r="BA16" s="497">
        <f t="shared" si="8"/>
        <v>2.282986111111111E-2</v>
      </c>
      <c r="BB16" s="497">
        <f t="shared" si="8"/>
        <v>2.282986111111111E-2</v>
      </c>
      <c r="BC16" s="497">
        <f t="shared" si="8"/>
        <v>3.6300781249999998</v>
      </c>
      <c r="BD16" s="497">
        <f t="shared" si="8"/>
        <v>3.6300781249999998</v>
      </c>
      <c r="BE16" s="497">
        <f t="shared" si="8"/>
        <v>3.6300781249999998</v>
      </c>
      <c r="BF16" s="497">
        <f t="shared" si="8"/>
        <v>3.6300781249999998</v>
      </c>
    </row>
    <row r="17" spans="1:58">
      <c r="A17" s="486" t="s">
        <v>1523</v>
      </c>
      <c r="B17" s="499">
        <v>646884118</v>
      </c>
      <c r="C17" s="519" t="s">
        <v>12</v>
      </c>
      <c r="D17" s="484">
        <v>360</v>
      </c>
      <c r="F17" s="17" t="str">
        <f t="shared" si="9"/>
        <v>N1+360</v>
      </c>
      <c r="G17" s="17">
        <f t="shared" si="10"/>
        <v>644923315</v>
      </c>
      <c r="H17" s="17">
        <f t="shared" si="11"/>
        <v>646885325</v>
      </c>
      <c r="I17" s="17">
        <f t="shared" si="12"/>
        <v>3</v>
      </c>
      <c r="J17" s="17">
        <f t="shared" si="5"/>
        <v>6</v>
      </c>
      <c r="L17">
        <v>180</v>
      </c>
      <c r="M17">
        <f t="shared" si="14"/>
        <v>360</v>
      </c>
      <c r="N17" t="str">
        <f>IF($C17="ON","",IF($C17="N3",$D17,N16))</f>
        <v/>
      </c>
      <c r="O17" t="str">
        <f t="shared" si="15"/>
        <v/>
      </c>
      <c r="P17" s="3" t="str">
        <f t="shared" si="16"/>
        <v/>
      </c>
      <c r="Q17" t="str">
        <f t="shared" si="17"/>
        <v/>
      </c>
      <c r="R17" s="492" t="str">
        <f t="shared" si="18"/>
        <v/>
      </c>
      <c r="T17" s="488">
        <f t="shared" si="19"/>
        <v>2.282986111111111E-2</v>
      </c>
      <c r="U17" s="488">
        <f t="shared" si="19"/>
        <v>9.0581597222222227E-2</v>
      </c>
      <c r="V17" s="488">
        <f t="shared" si="20"/>
        <v>0</v>
      </c>
      <c r="W17" s="488">
        <f t="shared" si="21"/>
        <v>11.044444444444444</v>
      </c>
      <c r="X17" s="488">
        <f t="shared" si="22"/>
        <v>3.5166666666666666</v>
      </c>
      <c r="Y17" s="488">
        <f t="shared" si="23"/>
        <v>3.5166666666666666</v>
      </c>
      <c r="Z17" s="488">
        <f>IF($N17="",0,Z$1/$N17)</f>
        <v>0</v>
      </c>
      <c r="AB17" s="497">
        <f t="shared" si="24"/>
        <v>11.044444444444444</v>
      </c>
      <c r="AC17" s="497">
        <f t="shared" si="7"/>
        <v>0</v>
      </c>
      <c r="AD17" s="497">
        <f t="shared" si="7"/>
        <v>11.044444444444444</v>
      </c>
      <c r="AE17" s="497">
        <f t="shared" si="7"/>
        <v>3.6072482638888888</v>
      </c>
      <c r="AF17" s="497">
        <f t="shared" si="7"/>
        <v>14.651692708333332</v>
      </c>
      <c r="AG17" s="497">
        <f t="shared" si="7"/>
        <v>3.6072482638888888</v>
      </c>
      <c r="AH17" s="497">
        <f t="shared" si="7"/>
        <v>14.651692708333332</v>
      </c>
      <c r="AI17" s="497">
        <f t="shared" si="7"/>
        <v>2.282986111111111E-2</v>
      </c>
      <c r="AJ17" s="497">
        <f t="shared" si="7"/>
        <v>11.067274305555555</v>
      </c>
      <c r="AK17" s="497">
        <f t="shared" si="7"/>
        <v>2.282986111111111E-2</v>
      </c>
      <c r="AL17" s="497">
        <f t="shared" si="7"/>
        <v>11.067274305555555</v>
      </c>
      <c r="AM17" s="497">
        <f t="shared" si="7"/>
        <v>3.6300781249999998</v>
      </c>
      <c r="AN17" s="497">
        <f t="shared" si="7"/>
        <v>14.674522569444445</v>
      </c>
      <c r="AO17" s="497">
        <f t="shared" si="7"/>
        <v>3.6300781249999998</v>
      </c>
      <c r="AP17" s="497">
        <f t="shared" si="7"/>
        <v>14.674522569444445</v>
      </c>
      <c r="AQ17" s="497">
        <f t="shared" si="7"/>
        <v>0</v>
      </c>
      <c r="AR17" s="497">
        <f t="shared" si="7"/>
        <v>11.044444444444444</v>
      </c>
      <c r="AS17" s="497">
        <f t="shared" si="8"/>
        <v>0</v>
      </c>
      <c r="AT17" s="497">
        <f t="shared" si="8"/>
        <v>11.044444444444444</v>
      </c>
      <c r="AU17" s="497">
        <f t="shared" si="8"/>
        <v>3.6072482638888888</v>
      </c>
      <c r="AV17" s="497">
        <f t="shared" si="8"/>
        <v>14.651692708333332</v>
      </c>
      <c r="AW17" s="497">
        <f t="shared" si="8"/>
        <v>3.6072482638888888</v>
      </c>
      <c r="AX17" s="497">
        <f t="shared" si="8"/>
        <v>14.651692708333332</v>
      </c>
      <c r="AY17" s="497">
        <f t="shared" si="8"/>
        <v>2.282986111111111E-2</v>
      </c>
      <c r="AZ17" s="497">
        <f t="shared" si="8"/>
        <v>11.067274305555555</v>
      </c>
      <c r="BA17" s="497">
        <f t="shared" si="8"/>
        <v>2.282986111111111E-2</v>
      </c>
      <c r="BB17" s="497">
        <f t="shared" si="8"/>
        <v>11.067274305555555</v>
      </c>
      <c r="BC17" s="497">
        <f t="shared" si="8"/>
        <v>3.6300781249999998</v>
      </c>
      <c r="BD17" s="497">
        <f t="shared" si="8"/>
        <v>14.674522569444445</v>
      </c>
      <c r="BE17" s="497">
        <f t="shared" si="8"/>
        <v>3.6300781249999998</v>
      </c>
      <c r="BF17" s="497">
        <f t="shared" si="8"/>
        <v>14.674522569444445</v>
      </c>
    </row>
    <row r="18" spans="1:58">
      <c r="A18" s="486" t="s">
        <v>1160</v>
      </c>
      <c r="B18" s="499">
        <v>646884121</v>
      </c>
      <c r="C18" s="519" t="s">
        <v>773</v>
      </c>
      <c r="D18" s="484">
        <v>7200</v>
      </c>
      <c r="F18" s="17" t="str">
        <f t="shared" si="9"/>
        <v>N3+7200</v>
      </c>
      <c r="G18" s="17">
        <f t="shared" si="10"/>
        <v>644923315</v>
      </c>
      <c r="H18" s="17">
        <f t="shared" si="11"/>
        <v>646885325</v>
      </c>
      <c r="I18" s="17">
        <f t="shared" si="12"/>
        <v>4</v>
      </c>
      <c r="J18" s="17">
        <f t="shared" si="5"/>
        <v>5</v>
      </c>
      <c r="L18">
        <f t="shared" si="13"/>
        <v>180</v>
      </c>
      <c r="M18">
        <f t="shared" si="14"/>
        <v>360</v>
      </c>
      <c r="N18">
        <f t="shared" ref="N18:N21" si="25">IF($C18="ON","",IF($C18="N3",$D18,N17))</f>
        <v>7200</v>
      </c>
      <c r="O18" t="str">
        <f t="shared" si="15"/>
        <v/>
      </c>
      <c r="P18" s="3" t="str">
        <f t="shared" si="16"/>
        <v/>
      </c>
      <c r="Q18" t="str">
        <f t="shared" si="17"/>
        <v/>
      </c>
      <c r="R18" s="492" t="str">
        <f t="shared" si="18"/>
        <v/>
      </c>
      <c r="T18" s="488">
        <f t="shared" si="19"/>
        <v>2.282986111111111E-2</v>
      </c>
      <c r="U18" s="488">
        <f t="shared" si="19"/>
        <v>9.0581597222222227E-2</v>
      </c>
      <c r="V18" s="488">
        <f t="shared" si="20"/>
        <v>0</v>
      </c>
      <c r="W18" s="488">
        <f t="shared" si="21"/>
        <v>11.044444444444444</v>
      </c>
      <c r="X18" s="488">
        <f t="shared" si="22"/>
        <v>3.5166666666666666</v>
      </c>
      <c r="Y18" s="488">
        <f t="shared" si="23"/>
        <v>3.5166666666666666</v>
      </c>
      <c r="Z18" s="488">
        <f>IF($N18="",0,Z$1/$N18)</f>
        <v>2.5244444444444443</v>
      </c>
      <c r="AB18" s="497">
        <f t="shared" si="24"/>
        <v>11.044444444444444</v>
      </c>
      <c r="AC18" s="497">
        <f t="shared" si="7"/>
        <v>2.5244444444444443</v>
      </c>
      <c r="AD18" s="497">
        <f t="shared" si="7"/>
        <v>13.568888888888889</v>
      </c>
      <c r="AE18" s="497">
        <f t="shared" si="7"/>
        <v>3.6072482638888888</v>
      </c>
      <c r="AF18" s="497">
        <f t="shared" si="7"/>
        <v>14.651692708333332</v>
      </c>
      <c r="AG18" s="497">
        <f t="shared" si="7"/>
        <v>6.1316927083333326</v>
      </c>
      <c r="AH18" s="497">
        <f t="shared" si="7"/>
        <v>17.176137152777777</v>
      </c>
      <c r="AI18" s="497">
        <f t="shared" si="7"/>
        <v>2.282986111111111E-2</v>
      </c>
      <c r="AJ18" s="497">
        <f t="shared" si="7"/>
        <v>11.067274305555555</v>
      </c>
      <c r="AK18" s="497">
        <f t="shared" si="7"/>
        <v>2.5472743055555553</v>
      </c>
      <c r="AL18" s="497">
        <f t="shared" si="7"/>
        <v>13.59171875</v>
      </c>
      <c r="AM18" s="497">
        <f t="shared" si="7"/>
        <v>3.6300781249999998</v>
      </c>
      <c r="AN18" s="497">
        <f t="shared" si="7"/>
        <v>14.674522569444445</v>
      </c>
      <c r="AO18" s="497">
        <f t="shared" si="7"/>
        <v>6.1545225694444436</v>
      </c>
      <c r="AP18" s="497">
        <f t="shared" si="7"/>
        <v>17.19896701388889</v>
      </c>
      <c r="AQ18" s="497">
        <f t="shared" si="7"/>
        <v>0</v>
      </c>
      <c r="AR18" s="497">
        <f t="shared" si="7"/>
        <v>11.044444444444444</v>
      </c>
      <c r="AS18" s="497">
        <f t="shared" si="8"/>
        <v>2.5244444444444443</v>
      </c>
      <c r="AT18" s="497">
        <f t="shared" si="8"/>
        <v>13.568888888888889</v>
      </c>
      <c r="AU18" s="497">
        <f t="shared" si="8"/>
        <v>3.6072482638888888</v>
      </c>
      <c r="AV18" s="497">
        <f t="shared" si="8"/>
        <v>14.651692708333332</v>
      </c>
      <c r="AW18" s="497">
        <f t="shared" si="8"/>
        <v>6.1316927083333326</v>
      </c>
      <c r="AX18" s="497">
        <f t="shared" si="8"/>
        <v>17.176137152777777</v>
      </c>
      <c r="AY18" s="497">
        <f t="shared" si="8"/>
        <v>2.282986111111111E-2</v>
      </c>
      <c r="AZ18" s="497">
        <f t="shared" si="8"/>
        <v>11.067274305555555</v>
      </c>
      <c r="BA18" s="497">
        <f t="shared" si="8"/>
        <v>2.5472743055555553</v>
      </c>
      <c r="BB18" s="497">
        <f t="shared" si="8"/>
        <v>13.59171875</v>
      </c>
      <c r="BC18" s="497">
        <f t="shared" si="8"/>
        <v>3.6300781249999998</v>
      </c>
      <c r="BD18" s="497">
        <f t="shared" si="8"/>
        <v>14.674522569444445</v>
      </c>
      <c r="BE18" s="497">
        <f t="shared" si="8"/>
        <v>6.1545225694444436</v>
      </c>
      <c r="BF18" s="497">
        <f t="shared" si="8"/>
        <v>17.19896701388889</v>
      </c>
    </row>
    <row r="19" spans="1:58">
      <c r="A19" s="486" t="s">
        <v>1164</v>
      </c>
      <c r="B19" s="499">
        <v>646884124</v>
      </c>
      <c r="C19" s="519" t="s">
        <v>8411</v>
      </c>
      <c r="D19" s="484">
        <v>1800</v>
      </c>
      <c r="F19" s="17" t="str">
        <f t="shared" si="9"/>
        <v>STAT+1800</v>
      </c>
      <c r="G19" s="17">
        <f t="shared" si="10"/>
        <v>644923315</v>
      </c>
      <c r="H19" s="17">
        <f t="shared" si="11"/>
        <v>646885325</v>
      </c>
      <c r="I19" s="17">
        <f t="shared" si="12"/>
        <v>5</v>
      </c>
      <c r="J19" s="17">
        <f t="shared" si="5"/>
        <v>4</v>
      </c>
      <c r="L19">
        <f t="shared" si="13"/>
        <v>180</v>
      </c>
      <c r="M19">
        <f t="shared" si="14"/>
        <v>360</v>
      </c>
      <c r="N19">
        <f t="shared" si="25"/>
        <v>7200</v>
      </c>
      <c r="O19">
        <f t="shared" si="15"/>
        <v>1800</v>
      </c>
      <c r="P19" s="3" t="str">
        <f t="shared" si="16"/>
        <v/>
      </c>
      <c r="Q19" t="str">
        <f t="shared" si="17"/>
        <v/>
      </c>
      <c r="R19" s="492" t="str">
        <f t="shared" si="18"/>
        <v/>
      </c>
      <c r="T19" s="488">
        <f t="shared" si="19"/>
        <v>2.282986111111111E-2</v>
      </c>
      <c r="U19" s="488">
        <f t="shared" si="19"/>
        <v>9.0581597222222227E-2</v>
      </c>
      <c r="V19" s="488">
        <f t="shared" si="20"/>
        <v>0.28444444444444444</v>
      </c>
      <c r="W19" s="488">
        <f t="shared" si="21"/>
        <v>11.044444444444444</v>
      </c>
      <c r="X19" s="488">
        <f t="shared" si="22"/>
        <v>3.5166666666666666</v>
      </c>
      <c r="Y19" s="488">
        <f t="shared" si="23"/>
        <v>3.5166666666666666</v>
      </c>
      <c r="Z19" s="488">
        <f>IF($N19="",0,Z$1/$N19)</f>
        <v>2.5244444444444443</v>
      </c>
      <c r="AB19" s="497">
        <f t="shared" si="24"/>
        <v>11.044444444444444</v>
      </c>
      <c r="AC19" s="497">
        <f t="shared" si="7"/>
        <v>2.5244444444444443</v>
      </c>
      <c r="AD19" s="497">
        <f t="shared" si="7"/>
        <v>13.568888888888889</v>
      </c>
      <c r="AE19" s="497">
        <f t="shared" si="7"/>
        <v>3.6072482638888888</v>
      </c>
      <c r="AF19" s="497">
        <f t="shared" si="7"/>
        <v>14.651692708333332</v>
      </c>
      <c r="AG19" s="497">
        <f t="shared" si="7"/>
        <v>6.1316927083333326</v>
      </c>
      <c r="AH19" s="497">
        <f t="shared" si="7"/>
        <v>17.176137152777777</v>
      </c>
      <c r="AI19" s="497">
        <f t="shared" si="7"/>
        <v>2.282986111111111E-2</v>
      </c>
      <c r="AJ19" s="497">
        <f t="shared" si="7"/>
        <v>11.067274305555555</v>
      </c>
      <c r="AK19" s="497">
        <f t="shared" si="7"/>
        <v>2.5472743055555553</v>
      </c>
      <c r="AL19" s="497">
        <f t="shared" si="7"/>
        <v>13.59171875</v>
      </c>
      <c r="AM19" s="497">
        <f t="shared" si="7"/>
        <v>3.6300781249999998</v>
      </c>
      <c r="AN19" s="497">
        <f t="shared" si="7"/>
        <v>14.674522569444445</v>
      </c>
      <c r="AO19" s="497">
        <f t="shared" si="7"/>
        <v>6.1545225694444436</v>
      </c>
      <c r="AP19" s="497">
        <f t="shared" si="7"/>
        <v>17.19896701388889</v>
      </c>
      <c r="AQ19" s="497">
        <f t="shared" si="7"/>
        <v>0.28444444444444444</v>
      </c>
      <c r="AR19" s="497">
        <f t="shared" si="7"/>
        <v>11.328888888888889</v>
      </c>
      <c r="AS19" s="497">
        <f t="shared" si="8"/>
        <v>2.8088888888888888</v>
      </c>
      <c r="AT19" s="497">
        <f t="shared" si="8"/>
        <v>13.853333333333333</v>
      </c>
      <c r="AU19" s="497">
        <f t="shared" si="8"/>
        <v>3.8916927083333333</v>
      </c>
      <c r="AV19" s="497">
        <f t="shared" si="8"/>
        <v>14.936137152777778</v>
      </c>
      <c r="AW19" s="497">
        <f t="shared" si="8"/>
        <v>6.4161371527777771</v>
      </c>
      <c r="AX19" s="497">
        <f t="shared" si="8"/>
        <v>17.460581597222223</v>
      </c>
      <c r="AY19" s="497">
        <f t="shared" si="8"/>
        <v>0.30727430555555557</v>
      </c>
      <c r="AZ19" s="497">
        <f t="shared" si="8"/>
        <v>11.35171875</v>
      </c>
      <c r="BA19" s="497">
        <f t="shared" si="8"/>
        <v>2.8317187499999998</v>
      </c>
      <c r="BB19" s="497">
        <f t="shared" si="8"/>
        <v>13.876163194444445</v>
      </c>
      <c r="BC19" s="497">
        <f t="shared" si="8"/>
        <v>3.9145225694444443</v>
      </c>
      <c r="BD19" s="497">
        <f t="shared" si="8"/>
        <v>14.958967013888888</v>
      </c>
      <c r="BE19" s="497">
        <f t="shared" si="8"/>
        <v>6.4389670138888881</v>
      </c>
      <c r="BF19" s="497">
        <f t="shared" si="8"/>
        <v>17.483411458333332</v>
      </c>
    </row>
    <row r="20" spans="1:58">
      <c r="A20" s="486" t="s">
        <v>1126</v>
      </c>
      <c r="B20" s="499">
        <v>646884715</v>
      </c>
      <c r="C20" s="519" t="s">
        <v>8412</v>
      </c>
      <c r="D20" s="484">
        <v>103</v>
      </c>
      <c r="F20" s="17" t="str">
        <f t="shared" si="9"/>
        <v>MAC+103</v>
      </c>
      <c r="G20" s="17">
        <f t="shared" si="10"/>
        <v>644923315</v>
      </c>
      <c r="H20" s="17">
        <f t="shared" si="11"/>
        <v>646885325</v>
      </c>
      <c r="I20" s="17">
        <f t="shared" si="12"/>
        <v>6</v>
      </c>
      <c r="J20" s="17">
        <f t="shared" si="5"/>
        <v>3</v>
      </c>
      <c r="L20">
        <f t="shared" si="13"/>
        <v>180</v>
      </c>
      <c r="M20">
        <f t="shared" si="14"/>
        <v>3</v>
      </c>
      <c r="N20">
        <f t="shared" si="25"/>
        <v>7200</v>
      </c>
      <c r="O20">
        <f t="shared" si="15"/>
        <v>1800</v>
      </c>
      <c r="P20" s="3" t="str">
        <f t="shared" si="16"/>
        <v>disabled</v>
      </c>
      <c r="Q20" t="str">
        <f t="shared" si="17"/>
        <v/>
      </c>
      <c r="R20" s="492" t="str">
        <f t="shared" si="18"/>
        <v/>
      </c>
      <c r="T20" s="488">
        <f t="shared" si="19"/>
        <v>2.7395833333333335</v>
      </c>
      <c r="U20" s="488">
        <f t="shared" si="19"/>
        <v>10.869791666666666</v>
      </c>
      <c r="V20" s="488">
        <f t="shared" si="20"/>
        <v>0.28444444444444444</v>
      </c>
      <c r="W20" s="488">
        <f t="shared" si="21"/>
        <v>11.044444444444444</v>
      </c>
      <c r="X20" s="488">
        <f t="shared" si="22"/>
        <v>0</v>
      </c>
      <c r="Y20" s="488">
        <f t="shared" si="23"/>
        <v>0</v>
      </c>
      <c r="Z20" s="488">
        <f>IF($N20="",0,Z$1/$N20)</f>
        <v>2.5244444444444443</v>
      </c>
      <c r="AB20" s="497">
        <f t="shared" si="24"/>
        <v>11.044444444444444</v>
      </c>
      <c r="AC20" s="497">
        <f t="shared" si="7"/>
        <v>2.5244444444444443</v>
      </c>
      <c r="AD20" s="497">
        <f t="shared" si="7"/>
        <v>13.568888888888889</v>
      </c>
      <c r="AE20" s="497">
        <f t="shared" si="7"/>
        <v>10.869791666666666</v>
      </c>
      <c r="AF20" s="497">
        <f t="shared" si="7"/>
        <v>21.914236111111109</v>
      </c>
      <c r="AG20" s="497">
        <f t="shared" si="7"/>
        <v>13.394236111111111</v>
      </c>
      <c r="AH20" s="497">
        <f t="shared" si="7"/>
        <v>24.438680555555557</v>
      </c>
      <c r="AI20" s="497">
        <f t="shared" si="7"/>
        <v>2.7395833333333335</v>
      </c>
      <c r="AJ20" s="497">
        <f t="shared" si="7"/>
        <v>13.784027777777778</v>
      </c>
      <c r="AK20" s="497">
        <f t="shared" si="7"/>
        <v>5.2640277777777778</v>
      </c>
      <c r="AL20" s="497">
        <f t="shared" si="7"/>
        <v>16.308472222222221</v>
      </c>
      <c r="AM20" s="497">
        <f t="shared" si="7"/>
        <v>13.609375</v>
      </c>
      <c r="AN20" s="497">
        <f t="shared" si="7"/>
        <v>24.653819444444444</v>
      </c>
      <c r="AO20" s="497">
        <f t="shared" si="7"/>
        <v>16.133819444444445</v>
      </c>
      <c r="AP20" s="497">
        <f t="shared" si="7"/>
        <v>27.178263888888889</v>
      </c>
      <c r="AQ20" s="497">
        <f t="shared" si="7"/>
        <v>0.28444444444444444</v>
      </c>
      <c r="AR20" s="497">
        <f t="shared" si="7"/>
        <v>11.328888888888889</v>
      </c>
      <c r="AS20" s="497">
        <f t="shared" si="8"/>
        <v>2.8088888888888888</v>
      </c>
      <c r="AT20" s="497">
        <f t="shared" si="8"/>
        <v>13.853333333333333</v>
      </c>
      <c r="AU20" s="497">
        <f t="shared" si="8"/>
        <v>11.154236111111111</v>
      </c>
      <c r="AV20" s="497">
        <f t="shared" si="8"/>
        <v>22.198680555555555</v>
      </c>
      <c r="AW20" s="497">
        <f t="shared" si="8"/>
        <v>13.678680555555555</v>
      </c>
      <c r="AX20" s="497">
        <f t="shared" si="8"/>
        <v>24.723125</v>
      </c>
      <c r="AY20" s="497">
        <f t="shared" si="8"/>
        <v>3.024027777777778</v>
      </c>
      <c r="AZ20" s="497">
        <f t="shared" si="8"/>
        <v>14.068472222222223</v>
      </c>
      <c r="BA20" s="497">
        <f t="shared" si="8"/>
        <v>5.5484722222222222</v>
      </c>
      <c r="BB20" s="497">
        <f t="shared" si="8"/>
        <v>16.592916666666667</v>
      </c>
      <c r="BC20" s="497">
        <f t="shared" si="8"/>
        <v>13.893819444444444</v>
      </c>
      <c r="BD20" s="497">
        <f t="shared" si="8"/>
        <v>24.938263888888891</v>
      </c>
      <c r="BE20" s="497">
        <f t="shared" si="8"/>
        <v>16.418263888888887</v>
      </c>
      <c r="BF20" s="497">
        <f t="shared" si="8"/>
        <v>27.462708333333332</v>
      </c>
    </row>
    <row r="21" spans="1:58">
      <c r="A21" s="486" t="s">
        <v>4266</v>
      </c>
      <c r="B21" s="499">
        <v>646885315</v>
      </c>
      <c r="C21" s="519" t="s">
        <v>8412</v>
      </c>
      <c r="D21" s="484">
        <v>109</v>
      </c>
      <c r="F21" s="17" t="str">
        <f t="shared" si="9"/>
        <v>MAC+109</v>
      </c>
      <c r="G21" s="17">
        <f t="shared" si="10"/>
        <v>644923315</v>
      </c>
      <c r="H21" s="17">
        <f t="shared" si="11"/>
        <v>646885325</v>
      </c>
      <c r="I21" s="17">
        <f t="shared" si="12"/>
        <v>7</v>
      </c>
      <c r="J21" s="17">
        <f t="shared" si="5"/>
        <v>2</v>
      </c>
      <c r="L21">
        <f t="shared" si="13"/>
        <v>180</v>
      </c>
      <c r="M21">
        <f t="shared" si="14"/>
        <v>3</v>
      </c>
      <c r="N21">
        <f t="shared" si="25"/>
        <v>7200</v>
      </c>
      <c r="O21">
        <f t="shared" si="15"/>
        <v>1800</v>
      </c>
      <c r="P21" s="3" t="str">
        <f t="shared" si="16"/>
        <v/>
      </c>
      <c r="Q21">
        <f t="shared" si="17"/>
        <v>1800</v>
      </c>
      <c r="R21" s="492" t="str">
        <f t="shared" si="18"/>
        <v/>
      </c>
      <c r="T21" s="488">
        <f t="shared" si="19"/>
        <v>2.7395833333333335</v>
      </c>
      <c r="U21" s="488">
        <f t="shared" si="19"/>
        <v>10.869791666666666</v>
      </c>
      <c r="V21" s="488">
        <f t="shared" si="20"/>
        <v>0.28444444444444444</v>
      </c>
      <c r="W21" s="488">
        <f t="shared" si="21"/>
        <v>11.044444444444444</v>
      </c>
      <c r="X21" s="488">
        <f t="shared" si="22"/>
        <v>422</v>
      </c>
      <c r="Y21" s="488">
        <f t="shared" si="23"/>
        <v>17.583333333333332</v>
      </c>
      <c r="Z21" s="488">
        <f>IF($N21="",0,Z$1/$N21)</f>
        <v>2.5244444444444443</v>
      </c>
      <c r="AB21" s="497">
        <f t="shared" si="24"/>
        <v>11.044444444444444</v>
      </c>
      <c r="AC21" s="497">
        <f t="shared" si="7"/>
        <v>2.5244444444444443</v>
      </c>
      <c r="AD21" s="497">
        <f t="shared" si="7"/>
        <v>13.568888888888889</v>
      </c>
      <c r="AE21" s="497">
        <f t="shared" si="7"/>
        <v>28.453125</v>
      </c>
      <c r="AF21" s="497">
        <f t="shared" si="7"/>
        <v>39.497569444444444</v>
      </c>
      <c r="AG21" s="497">
        <f t="shared" si="7"/>
        <v>30.977569444444445</v>
      </c>
      <c r="AH21" s="497">
        <f t="shared" si="7"/>
        <v>42.022013888888893</v>
      </c>
      <c r="AI21" s="497">
        <f t="shared" si="7"/>
        <v>2.7395833333333335</v>
      </c>
      <c r="AJ21" s="497">
        <f t="shared" si="7"/>
        <v>13.784027777777778</v>
      </c>
      <c r="AK21" s="497">
        <f t="shared" si="7"/>
        <v>5.2640277777777778</v>
      </c>
      <c r="AL21" s="497">
        <f t="shared" si="7"/>
        <v>16.308472222222221</v>
      </c>
      <c r="AM21" s="497">
        <f t="shared" si="7"/>
        <v>31.192708333333332</v>
      </c>
      <c r="AN21" s="497">
        <f t="shared" si="7"/>
        <v>42.23715277777778</v>
      </c>
      <c r="AO21" s="497">
        <f t="shared" si="7"/>
        <v>33.717152777777777</v>
      </c>
      <c r="AP21" s="497">
        <f t="shared" si="7"/>
        <v>44.761597222222221</v>
      </c>
      <c r="AQ21" s="497">
        <f t="shared" si="7"/>
        <v>0.28444444444444444</v>
      </c>
      <c r="AR21" s="497">
        <f t="shared" si="7"/>
        <v>11.328888888888889</v>
      </c>
      <c r="AS21" s="497">
        <f t="shared" si="8"/>
        <v>2.8088888888888888</v>
      </c>
      <c r="AT21" s="497">
        <f t="shared" si="8"/>
        <v>13.853333333333333</v>
      </c>
      <c r="AU21" s="497">
        <f t="shared" si="8"/>
        <v>28.737569444444443</v>
      </c>
      <c r="AV21" s="497">
        <f t="shared" si="8"/>
        <v>39.782013888888883</v>
      </c>
      <c r="AW21" s="497">
        <f t="shared" si="8"/>
        <v>31.262013888888887</v>
      </c>
      <c r="AX21" s="497">
        <f t="shared" si="8"/>
        <v>42.306458333333332</v>
      </c>
      <c r="AY21" s="497">
        <f t="shared" si="8"/>
        <v>3.024027777777778</v>
      </c>
      <c r="AZ21" s="497">
        <f t="shared" si="8"/>
        <v>14.068472222222223</v>
      </c>
      <c r="BA21" s="497">
        <f t="shared" si="8"/>
        <v>5.5484722222222222</v>
      </c>
      <c r="BB21" s="497">
        <f t="shared" si="8"/>
        <v>16.592916666666667</v>
      </c>
      <c r="BC21" s="497">
        <f t="shared" si="8"/>
        <v>31.477152777777778</v>
      </c>
      <c r="BD21" s="497">
        <f t="shared" si="8"/>
        <v>42.521597222222226</v>
      </c>
      <c r="BE21" s="497">
        <f t="shared" si="8"/>
        <v>34.001597222222223</v>
      </c>
      <c r="BF21" s="497">
        <f t="shared" si="8"/>
        <v>45.046041666666667</v>
      </c>
    </row>
    <row r="22" spans="1:58">
      <c r="A22" s="486" t="s">
        <v>4266</v>
      </c>
      <c r="B22" s="500">
        <f>B21+5</f>
        <v>646885320</v>
      </c>
      <c r="C22" s="519" t="s">
        <v>8412</v>
      </c>
      <c r="D22" s="484">
        <v>102</v>
      </c>
      <c r="F22" s="17" t="str">
        <f t="shared" si="9"/>
        <v>MAC+102</v>
      </c>
      <c r="G22" s="17">
        <f t="shared" si="10"/>
        <v>644923315</v>
      </c>
      <c r="H22" s="17">
        <f t="shared" si="11"/>
        <v>646885325</v>
      </c>
      <c r="I22" s="17">
        <f t="shared" si="12"/>
        <v>8</v>
      </c>
      <c r="J22" s="17">
        <f t="shared" si="5"/>
        <v>1</v>
      </c>
      <c r="L22">
        <f t="shared" ref="L22" si="26">IF($C22="ON","",IF($C22="N1",$D22,L21))</f>
        <v>180</v>
      </c>
      <c r="M22">
        <f t="shared" ref="M22" si="27">IF($C22="ON","",IF($C22="N2",$D22,IF($F22="MAC+103",3,IF($F22="MAC+104",2,M21))))</f>
        <v>3</v>
      </c>
      <c r="N22">
        <f t="shared" ref="N22:N23" si="28">IF($C22="ON","",IF($C22="N3",$D22,N21))</f>
        <v>7200</v>
      </c>
      <c r="O22">
        <f t="shared" ref="O22" si="29">IF($C22="ON","",IF($C22="STAT",$D22,O21))</f>
        <v>1800</v>
      </c>
      <c r="P22" s="3" t="str">
        <f t="shared" si="16"/>
        <v/>
      </c>
      <c r="Q22">
        <f t="shared" ref="Q22" si="30">IF(F22="ON","",IF($F22="MAC+105",300,IF($F22="MAC+106",600,IF($F22="MAC+107",840,IF($F22="MAC+108",1200,IF($F22="MAC+109",1800,IF($F22="MAC+110",43200,Q21)))))))</f>
        <v>1800</v>
      </c>
      <c r="R22" s="492" t="str">
        <f t="shared" si="18"/>
        <v>102</v>
      </c>
      <c r="T22" s="488">
        <f t="shared" si="19"/>
        <v>2.7395833333333335</v>
      </c>
      <c r="U22" s="488">
        <f t="shared" si="19"/>
        <v>10.869791666666666</v>
      </c>
      <c r="V22" s="488">
        <f t="shared" si="20"/>
        <v>0.28444444444444444</v>
      </c>
      <c r="W22" s="488">
        <f t="shared" si="21"/>
        <v>11.044444444444444</v>
      </c>
      <c r="X22" s="488">
        <f t="shared" si="22"/>
        <v>422</v>
      </c>
      <c r="Y22" s="488">
        <f t="shared" ref="Y22" si="31">IF($M22="",0,IF($Q22="",1,Q22/43200)*X22)</f>
        <v>17.583333333333332</v>
      </c>
      <c r="Z22" s="488">
        <f>IF($N22="",0,Z$1/$N22)</f>
        <v>2.5244444444444443</v>
      </c>
      <c r="AB22" s="497">
        <f t="shared" si="24"/>
        <v>11.044444444444444</v>
      </c>
      <c r="AC22" s="497">
        <f t="shared" si="7"/>
        <v>13.394236111111111</v>
      </c>
      <c r="AD22" s="497">
        <f t="shared" si="7"/>
        <v>24.438680555555557</v>
      </c>
      <c r="AE22" s="497">
        <f t="shared" si="7"/>
        <v>17.583333333333332</v>
      </c>
      <c r="AF22" s="497">
        <f t="shared" si="7"/>
        <v>28.627777777777776</v>
      </c>
      <c r="AG22" s="497">
        <f t="shared" si="7"/>
        <v>30.977569444444441</v>
      </c>
      <c r="AH22" s="497">
        <f t="shared" si="7"/>
        <v>42.022013888888885</v>
      </c>
      <c r="AI22" s="497">
        <f t="shared" si="7"/>
        <v>2.7395833333333335</v>
      </c>
      <c r="AJ22" s="497">
        <f t="shared" si="7"/>
        <v>13.784027777777778</v>
      </c>
      <c r="AK22" s="497">
        <f t="shared" si="7"/>
        <v>16.133819444444445</v>
      </c>
      <c r="AL22" s="497">
        <f t="shared" si="7"/>
        <v>27.178263888888889</v>
      </c>
      <c r="AM22" s="497">
        <f t="shared" si="7"/>
        <v>20.322916666666664</v>
      </c>
      <c r="AN22" s="497">
        <f t="shared" si="7"/>
        <v>31.367361111111109</v>
      </c>
      <c r="AO22" s="497">
        <f t="shared" si="7"/>
        <v>33.717152777777777</v>
      </c>
      <c r="AP22" s="497">
        <f t="shared" si="7"/>
        <v>44.761597222222221</v>
      </c>
      <c r="AQ22" s="497">
        <f t="shared" si="7"/>
        <v>0.28444444444444444</v>
      </c>
      <c r="AR22" s="497">
        <f t="shared" si="7"/>
        <v>11.328888888888889</v>
      </c>
      <c r="AS22" s="497">
        <f t="shared" si="8"/>
        <v>13.678680555555555</v>
      </c>
      <c r="AT22" s="497">
        <f t="shared" si="8"/>
        <v>24.723125</v>
      </c>
      <c r="AU22" s="497">
        <f t="shared" si="8"/>
        <v>17.867777777777775</v>
      </c>
      <c r="AV22" s="497">
        <f t="shared" si="8"/>
        <v>28.912222222222219</v>
      </c>
      <c r="AW22" s="497">
        <f t="shared" si="8"/>
        <v>31.262013888888887</v>
      </c>
      <c r="AX22" s="497">
        <f t="shared" si="8"/>
        <v>42.306458333333332</v>
      </c>
      <c r="AY22" s="497">
        <f t="shared" si="8"/>
        <v>3.024027777777778</v>
      </c>
      <c r="AZ22" s="497">
        <f t="shared" si="8"/>
        <v>14.068472222222223</v>
      </c>
      <c r="BA22" s="497">
        <f t="shared" si="8"/>
        <v>16.418263888888887</v>
      </c>
      <c r="BB22" s="497">
        <f t="shared" si="8"/>
        <v>27.462708333333332</v>
      </c>
      <c r="BC22" s="497">
        <f t="shared" si="8"/>
        <v>20.607361111111111</v>
      </c>
      <c r="BD22" s="497">
        <f t="shared" si="8"/>
        <v>31.651805555555555</v>
      </c>
      <c r="BE22" s="497">
        <f t="shared" si="8"/>
        <v>34.001597222222223</v>
      </c>
      <c r="BF22" s="497">
        <f t="shared" si="8"/>
        <v>45.046041666666667</v>
      </c>
    </row>
    <row r="23" spans="1:58">
      <c r="A23" s="518" t="s">
        <v>866</v>
      </c>
      <c r="B23" s="500">
        <f>B22+5</f>
        <v>646885325</v>
      </c>
      <c r="C23" s="519" t="s">
        <v>8418</v>
      </c>
      <c r="D23" s="484"/>
      <c r="F23" s="17" t="str">
        <f>_xlfn.TEXTJOIN("+",TRUE,$C23:$D23)</f>
        <v>OFF</v>
      </c>
      <c r="G23" s="17">
        <f t="shared" si="10"/>
        <v>644923315</v>
      </c>
      <c r="H23" s="17">
        <f t="shared" si="11"/>
        <v>646885325</v>
      </c>
      <c r="I23" s="17">
        <f t="shared" si="12"/>
        <v>9</v>
      </c>
      <c r="J23" s="17">
        <f>IF($C23="OFF",0,J24+1)</f>
        <v>0</v>
      </c>
      <c r="L23">
        <f>IF($C23="ON","",IF($C23="N1",$D23,L22))</f>
        <v>180</v>
      </c>
      <c r="M23">
        <f>IF($C23="ON","",IF($C23="N2",$D23,IF($F23="MAC+103",3,IF($F23="MAC+104",2,M22))))</f>
        <v>3</v>
      </c>
      <c r="N23">
        <f t="shared" si="28"/>
        <v>7200</v>
      </c>
      <c r="O23">
        <f>IF($C23="ON","",IF($C23="STAT",$D23,O22))</f>
        <v>1800</v>
      </c>
      <c r="P23" s="3" t="str">
        <f t="shared" si="16"/>
        <v/>
      </c>
      <c r="Q23">
        <f>IF(F23="ON","",IF($F23="MAC+105",300,IF($F23="MAC+106",600,IF($F23="MAC+107",840,IF($F23="MAC+108",1200,IF($F23="MAC+109",1800,IF($F23="MAC+110",43200,Q22)))))))</f>
        <v>1800</v>
      </c>
      <c r="R23" s="492" t="str">
        <f>IF($C23="ON","",IF($F23="MAC+102","102",R22))</f>
        <v>102</v>
      </c>
      <c r="T23" s="488">
        <f>IF($M23="",0,T$1/64/$M23)</f>
        <v>2.7395833333333335</v>
      </c>
      <c r="U23" s="488">
        <f>IF($M23="",0,U$1/64/$M23)</f>
        <v>10.869791666666666</v>
      </c>
      <c r="V23" s="488">
        <f>IF($O23="",0,V$1/$O23)</f>
        <v>0.28444444444444444</v>
      </c>
      <c r="W23" s="488">
        <f>IF($L23="",0,W$1/$L23)</f>
        <v>11.044444444444444</v>
      </c>
      <c r="X23" s="488">
        <f t="shared" si="22"/>
        <v>422</v>
      </c>
      <c r="Y23" s="488">
        <f>IF($M23="",0,IF($Q23="",1,Q23/43200)*X23)</f>
        <v>17.583333333333332</v>
      </c>
      <c r="Z23" s="488">
        <f>IF($N23="",0,Z$1/$N23)</f>
        <v>2.5244444444444443</v>
      </c>
      <c r="AB23" s="497">
        <f t="shared" si="24"/>
        <v>11.044444444444444</v>
      </c>
      <c r="AC23" s="497">
        <f t="shared" si="7"/>
        <v>13.394236111111111</v>
      </c>
      <c r="AD23" s="497">
        <f t="shared" si="7"/>
        <v>24.438680555555557</v>
      </c>
      <c r="AE23" s="497">
        <f t="shared" si="7"/>
        <v>17.583333333333332</v>
      </c>
      <c r="AF23" s="497">
        <f t="shared" si="7"/>
        <v>28.627777777777776</v>
      </c>
      <c r="AG23" s="497">
        <f t="shared" si="7"/>
        <v>30.977569444444441</v>
      </c>
      <c r="AH23" s="497">
        <f t="shared" si="7"/>
        <v>42.022013888888885</v>
      </c>
      <c r="AI23" s="497">
        <f t="shared" si="7"/>
        <v>2.7395833333333335</v>
      </c>
      <c r="AJ23" s="497">
        <f t="shared" si="7"/>
        <v>13.784027777777778</v>
      </c>
      <c r="AK23" s="497">
        <f t="shared" si="7"/>
        <v>16.133819444444445</v>
      </c>
      <c r="AL23" s="497">
        <f t="shared" si="7"/>
        <v>27.178263888888889</v>
      </c>
      <c r="AM23" s="497">
        <f t="shared" si="7"/>
        <v>20.322916666666664</v>
      </c>
      <c r="AN23" s="497">
        <f t="shared" si="7"/>
        <v>31.367361111111109</v>
      </c>
      <c r="AO23" s="497">
        <f t="shared" si="7"/>
        <v>33.717152777777777</v>
      </c>
      <c r="AP23" s="497">
        <f t="shared" si="7"/>
        <v>44.761597222222221</v>
      </c>
      <c r="AQ23" s="497">
        <f t="shared" si="7"/>
        <v>0.28444444444444444</v>
      </c>
      <c r="AR23" s="497">
        <f t="shared" si="7"/>
        <v>11.328888888888889</v>
      </c>
      <c r="AS23" s="497">
        <f t="shared" si="8"/>
        <v>13.678680555555555</v>
      </c>
      <c r="AT23" s="497">
        <f t="shared" si="8"/>
        <v>24.723125</v>
      </c>
      <c r="AU23" s="497">
        <f t="shared" si="8"/>
        <v>17.867777777777775</v>
      </c>
      <c r="AV23" s="497">
        <f t="shared" si="8"/>
        <v>28.912222222222219</v>
      </c>
      <c r="AW23" s="497">
        <f t="shared" si="8"/>
        <v>31.262013888888887</v>
      </c>
      <c r="AX23" s="497">
        <f t="shared" si="8"/>
        <v>42.306458333333332</v>
      </c>
      <c r="AY23" s="497">
        <f t="shared" si="8"/>
        <v>3.024027777777778</v>
      </c>
      <c r="AZ23" s="497">
        <f t="shared" si="8"/>
        <v>14.068472222222223</v>
      </c>
      <c r="BA23" s="497">
        <f t="shared" si="8"/>
        <v>16.418263888888887</v>
      </c>
      <c r="BB23" s="497">
        <f t="shared" si="8"/>
        <v>27.462708333333332</v>
      </c>
      <c r="BC23" s="497">
        <f t="shared" si="8"/>
        <v>20.607361111111111</v>
      </c>
      <c r="BD23" s="497">
        <f t="shared" si="8"/>
        <v>31.651805555555555</v>
      </c>
      <c r="BE23" s="497">
        <f t="shared" si="8"/>
        <v>34.001597222222223</v>
      </c>
      <c r="BF23" s="497">
        <f t="shared" si="8"/>
        <v>45.046041666666667</v>
      </c>
    </row>
  </sheetData>
  <conditionalFormatting sqref="AC8:BF8">
    <cfRule type="expression" dxfId="3" priority="5">
      <formula>IF(AC8&lt;&gt;(AB8+1),TRUE,FALSE)</formula>
    </cfRule>
  </conditionalFormatting>
  <conditionalFormatting sqref="AB1:BF1048576">
    <cfRule type="expression" dxfId="2" priority="1">
      <formula>IF(AB$12&lt;&gt;"",TRUE,FALSE)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4" sqref="F4"/>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66" t="s">
        <v>1</v>
      </c>
      <c r="I3" s="46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67" t="s">
        <v>22</v>
      </c>
      <c r="G21" s="467"/>
      <c r="H21" s="467"/>
      <c r="I21" s="467"/>
    </row>
    <row r="22" spans="3:25" ht="18">
      <c r="F22" s="468" t="s">
        <v>23</v>
      </c>
      <c r="G22" s="468"/>
      <c r="H22" s="468"/>
      <c r="I22" s="29">
        <v>20</v>
      </c>
      <c r="O22" s="30"/>
    </row>
    <row r="23" spans="3:25" ht="15">
      <c r="F23" s="469" t="s">
        <v>24</v>
      </c>
      <c r="G23" s="469"/>
      <c r="H23" s="469"/>
      <c r="I23" s="29">
        <f>0.7*I22/10</f>
        <v>1.4</v>
      </c>
    </row>
    <row r="24" spans="3:25" ht="15">
      <c r="F24" s="469" t="s">
        <v>25</v>
      </c>
      <c r="G24" s="469"/>
      <c r="H24" s="469"/>
      <c r="I24" s="29">
        <v>2</v>
      </c>
    </row>
    <row r="25" spans="3:25" ht="15">
      <c r="F25" s="469" t="s">
        <v>26</v>
      </c>
      <c r="G25" s="469"/>
      <c r="H25" s="469"/>
      <c r="I25" s="29">
        <v>0</v>
      </c>
    </row>
    <row r="26" spans="3:25" ht="15">
      <c r="F26" s="469" t="s">
        <v>27</v>
      </c>
      <c r="G26" s="469"/>
      <c r="H26" s="469"/>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66" t="s">
        <v>1</v>
      </c>
      <c r="I33" s="46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67" t="s">
        <v>22</v>
      </c>
      <c r="G51" s="467"/>
      <c r="H51" s="467"/>
      <c r="I51" s="467"/>
      <c r="K51" t="s">
        <v>33</v>
      </c>
      <c r="L51" t="s">
        <v>34</v>
      </c>
    </row>
    <row r="52" spans="3:25" ht="18">
      <c r="F52" s="468" t="s">
        <v>23</v>
      </c>
      <c r="G52" s="468"/>
      <c r="H52" s="468"/>
      <c r="I52" s="29">
        <v>20</v>
      </c>
      <c r="K52">
        <v>1</v>
      </c>
      <c r="L52">
        <v>2</v>
      </c>
      <c r="O52" s="30"/>
    </row>
    <row r="53" spans="3:25" ht="15">
      <c r="F53" s="469" t="s">
        <v>24</v>
      </c>
      <c r="G53" s="469"/>
      <c r="H53" s="469"/>
      <c r="I53" s="29">
        <f>0.7*I52/10</f>
        <v>1.4</v>
      </c>
      <c r="K53">
        <v>3</v>
      </c>
      <c r="L53">
        <v>6</v>
      </c>
      <c r="M53" t="str">
        <f>IF((K53/L53)=INT(K53/L53), "good", "bad")</f>
        <v>bad</v>
      </c>
    </row>
    <row r="54" spans="3:25" ht="15">
      <c r="F54" s="469" t="s">
        <v>25</v>
      </c>
      <c r="G54" s="469"/>
      <c r="H54" s="469"/>
      <c r="I54" s="29">
        <v>2</v>
      </c>
      <c r="K54">
        <v>1</v>
      </c>
      <c r="L54">
        <v>2</v>
      </c>
      <c r="M54" t="str">
        <f>IF((K54/L54)=INT(K54/L54), "good", "bad")</f>
        <v>bad</v>
      </c>
    </row>
    <row r="55" spans="3:25" ht="15">
      <c r="F55" s="469" t="s">
        <v>26</v>
      </c>
      <c r="G55" s="469"/>
      <c r="H55" s="469"/>
      <c r="I55" s="29">
        <v>0</v>
      </c>
      <c r="K55">
        <v>1</v>
      </c>
      <c r="L55">
        <v>2</v>
      </c>
      <c r="M55" t="str">
        <f>IF((K55/L55)=INT(K55/L55), "good", "bad")</f>
        <v>bad</v>
      </c>
    </row>
    <row r="56" spans="3:25" ht="15">
      <c r="F56" s="469" t="s">
        <v>27</v>
      </c>
      <c r="G56" s="469"/>
      <c r="H56" s="469"/>
      <c r="I56" s="29">
        <v>0</v>
      </c>
    </row>
    <row r="58" spans="3:25" ht="15">
      <c r="Y58" t="s">
        <v>28</v>
      </c>
    </row>
    <row r="60" spans="3:25" ht="15">
      <c r="C60" s="6" t="s">
        <v>35</v>
      </c>
      <c r="D60" s="7"/>
      <c r="E60" s="6"/>
      <c r="F60" s="8"/>
      <c r="G60" s="8"/>
      <c r="H60" s="8"/>
      <c r="I60" s="9"/>
      <c r="J60" s="9"/>
      <c r="K60" s="8"/>
      <c r="L60" s="8"/>
      <c r="M60" s="8"/>
      <c r="N60" s="10"/>
      <c r="O60" s="9"/>
      <c r="P60" s="9"/>
    </row>
    <row r="61" spans="3:25" ht="15">
      <c r="H61" s="466" t="s">
        <v>1</v>
      </c>
      <c r="I61" s="46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67" t="s">
        <v>22</v>
      </c>
      <c r="G79" s="467"/>
      <c r="H79" s="467"/>
      <c r="I79" s="467"/>
    </row>
    <row r="80" spans="6:18" ht="18">
      <c r="F80" s="468" t="s">
        <v>23</v>
      </c>
      <c r="G80" s="468"/>
      <c r="H80" s="468"/>
      <c r="I80" s="29">
        <v>20</v>
      </c>
      <c r="O80" s="30"/>
    </row>
    <row r="81" spans="3:25" ht="15">
      <c r="F81" s="469" t="s">
        <v>24</v>
      </c>
      <c r="G81" s="469"/>
      <c r="H81" s="469"/>
      <c r="I81" s="29">
        <f>0.7*I80/10</f>
        <v>1.4</v>
      </c>
    </row>
    <row r="82" spans="3:25" ht="15">
      <c r="F82" s="469" t="s">
        <v>25</v>
      </c>
      <c r="G82" s="469"/>
      <c r="H82" s="469"/>
      <c r="I82" s="29">
        <v>2</v>
      </c>
    </row>
    <row r="83" spans="3:25" ht="15">
      <c r="F83" s="469" t="s">
        <v>26</v>
      </c>
      <c r="G83" s="469"/>
      <c r="H83" s="469"/>
      <c r="I83" s="29">
        <v>0</v>
      </c>
    </row>
    <row r="84" spans="3:25" ht="15">
      <c r="F84" s="469" t="s">
        <v>27</v>
      </c>
      <c r="G84" s="469"/>
      <c r="H84" s="469"/>
      <c r="I84" s="29">
        <v>0</v>
      </c>
    </row>
    <row r="86" spans="3:25" ht="15">
      <c r="Y86" t="s">
        <v>28</v>
      </c>
    </row>
    <row r="90" spans="3:25" ht="15">
      <c r="C90" s="6" t="s">
        <v>36</v>
      </c>
      <c r="D90" s="7"/>
      <c r="E90" s="6"/>
      <c r="F90" s="8"/>
      <c r="G90" s="8"/>
      <c r="H90" s="8"/>
      <c r="I90" s="9"/>
      <c r="J90" s="9"/>
      <c r="K90" s="8"/>
      <c r="L90" s="8"/>
      <c r="M90" s="8"/>
      <c r="N90" s="10"/>
      <c r="O90" s="9"/>
      <c r="P90" s="9"/>
    </row>
    <row r="91" spans="3:25" ht="15">
      <c r="H91" s="466" t="s">
        <v>1</v>
      </c>
      <c r="I91" s="46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67" t="s">
        <v>22</v>
      </c>
      <c r="G109" s="467"/>
      <c r="H109" s="467"/>
      <c r="I109" s="467"/>
    </row>
    <row r="110" spans="6:18" ht="18">
      <c r="F110" s="468" t="s">
        <v>23</v>
      </c>
      <c r="G110" s="468"/>
      <c r="H110" s="468"/>
      <c r="I110" s="29">
        <v>20</v>
      </c>
      <c r="O110" s="30"/>
    </row>
    <row r="111" spans="6:18" ht="15">
      <c r="F111" s="469" t="s">
        <v>24</v>
      </c>
      <c r="G111" s="469"/>
      <c r="H111" s="469"/>
      <c r="I111" s="29">
        <f>0.7*I110/10</f>
        <v>1.4</v>
      </c>
    </row>
    <row r="112" spans="6:18" ht="15">
      <c r="F112" s="469" t="s">
        <v>25</v>
      </c>
      <c r="G112" s="469"/>
      <c r="H112" s="469"/>
      <c r="I112" s="29">
        <v>2</v>
      </c>
    </row>
    <row r="113" spans="3:17" ht="15">
      <c r="F113" s="469" t="s">
        <v>26</v>
      </c>
      <c r="G113" s="469"/>
      <c r="H113" s="469"/>
      <c r="I113" s="29">
        <v>2</v>
      </c>
    </row>
    <row r="114" spans="3:17" ht="15">
      <c r="F114" s="469" t="s">
        <v>27</v>
      </c>
      <c r="G114" s="469"/>
      <c r="H114" s="469"/>
      <c r="I114" s="29">
        <v>2</v>
      </c>
    </row>
    <row r="119" spans="3:17" ht="15">
      <c r="C119" s="6" t="s">
        <v>38</v>
      </c>
      <c r="D119" s="7"/>
      <c r="E119" s="6"/>
      <c r="F119" s="8"/>
      <c r="G119" s="8"/>
      <c r="H119" s="8"/>
      <c r="I119" s="9"/>
      <c r="J119" s="9"/>
      <c r="K119" s="8"/>
      <c r="L119" s="8"/>
      <c r="M119" s="8"/>
      <c r="N119" s="10"/>
      <c r="O119" s="9"/>
      <c r="P119" s="9"/>
    </row>
    <row r="120" spans="3:17" ht="15">
      <c r="H120" s="466" t="s">
        <v>1</v>
      </c>
      <c r="I120" s="46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67" t="s">
        <v>22</v>
      </c>
      <c r="G138" s="467"/>
      <c r="H138" s="467"/>
      <c r="I138" s="467"/>
    </row>
    <row r="139" spans="6:18" ht="18">
      <c r="F139" s="468" t="s">
        <v>23</v>
      </c>
      <c r="G139" s="468"/>
      <c r="H139" s="468"/>
      <c r="I139" s="29">
        <v>20</v>
      </c>
      <c r="O139" s="30"/>
    </row>
    <row r="140" spans="6:18" ht="15">
      <c r="F140" s="469" t="s">
        <v>24</v>
      </c>
      <c r="G140" s="469"/>
      <c r="H140" s="469"/>
      <c r="I140" s="29">
        <f>0.7*I139/10</f>
        <v>1.4</v>
      </c>
    </row>
    <row r="141" spans="6:18" ht="15">
      <c r="F141" s="469" t="s">
        <v>25</v>
      </c>
      <c r="G141" s="469"/>
      <c r="H141" s="469"/>
      <c r="I141" s="29">
        <v>2</v>
      </c>
    </row>
    <row r="142" spans="6:18" ht="15">
      <c r="F142" s="469" t="s">
        <v>26</v>
      </c>
      <c r="G142" s="469"/>
      <c r="H142" s="469"/>
      <c r="I142" s="29">
        <v>1</v>
      </c>
    </row>
    <row r="143" spans="6:18" ht="15">
      <c r="F143" s="469" t="s">
        <v>27</v>
      </c>
      <c r="G143" s="469"/>
      <c r="H143" s="469"/>
      <c r="I143" s="29">
        <v>1</v>
      </c>
    </row>
    <row r="149" spans="3:17" ht="15">
      <c r="C149" s="6" t="s">
        <v>39</v>
      </c>
      <c r="D149" s="7"/>
      <c r="E149" s="6"/>
      <c r="F149" s="8"/>
      <c r="G149" s="8"/>
      <c r="H149" s="8"/>
      <c r="I149" s="9"/>
      <c r="J149" s="9"/>
      <c r="K149" s="8"/>
      <c r="L149" s="8"/>
      <c r="M149" s="8"/>
      <c r="N149" s="10"/>
      <c r="O149" s="9"/>
      <c r="P149" s="9"/>
    </row>
    <row r="150" spans="3:17" ht="15">
      <c r="H150" s="466" t="s">
        <v>1</v>
      </c>
      <c r="I150" s="46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67" t="s">
        <v>22</v>
      </c>
      <c r="G168" s="467"/>
      <c r="H168" s="467"/>
      <c r="I168" s="467"/>
    </row>
    <row r="169" spans="6:18" ht="18">
      <c r="F169" s="468" t="s">
        <v>23</v>
      </c>
      <c r="G169" s="468"/>
      <c r="H169" s="468"/>
      <c r="I169" s="29">
        <v>20</v>
      </c>
      <c r="O169" s="30"/>
    </row>
    <row r="170" spans="6:18" ht="15">
      <c r="F170" s="469" t="s">
        <v>24</v>
      </c>
      <c r="G170" s="469"/>
      <c r="H170" s="469"/>
      <c r="I170" s="29">
        <f>0.7*I169/10</f>
        <v>1.4</v>
      </c>
    </row>
    <row r="171" spans="6:18" ht="15">
      <c r="F171" s="469" t="s">
        <v>25</v>
      </c>
      <c r="G171" s="469"/>
      <c r="H171" s="469"/>
      <c r="I171" s="29">
        <v>2</v>
      </c>
    </row>
    <row r="172" spans="6:18" ht="15">
      <c r="F172" s="469" t="s">
        <v>26</v>
      </c>
      <c r="G172" s="469"/>
      <c r="H172" s="469"/>
      <c r="I172" s="29">
        <v>1</v>
      </c>
    </row>
    <row r="173" spans="6:18" ht="15">
      <c r="F173" s="469" t="s">
        <v>27</v>
      </c>
      <c r="G173" s="469"/>
      <c r="H173" s="469"/>
      <c r="I173" s="29">
        <v>1</v>
      </c>
    </row>
    <row r="178" spans="3:17" ht="15">
      <c r="C178" s="6" t="s">
        <v>40</v>
      </c>
      <c r="D178" s="7"/>
      <c r="E178" s="6"/>
      <c r="F178" s="8"/>
      <c r="G178" s="8"/>
      <c r="H178" s="8"/>
      <c r="I178" s="9"/>
      <c r="J178" s="9"/>
      <c r="K178" s="8"/>
      <c r="L178" s="8"/>
      <c r="M178" s="8"/>
      <c r="N178" s="10"/>
      <c r="O178" s="9"/>
      <c r="P178" s="9"/>
    </row>
    <row r="179" spans="3:17" ht="15">
      <c r="H179" s="466" t="s">
        <v>1</v>
      </c>
      <c r="I179" s="46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67" t="s">
        <v>22</v>
      </c>
      <c r="G197" s="467"/>
      <c r="H197" s="467"/>
      <c r="I197" s="467"/>
    </row>
    <row r="198" spans="6:19" ht="18">
      <c r="F198" s="468" t="s">
        <v>23</v>
      </c>
      <c r="G198" s="468"/>
      <c r="H198" s="468"/>
      <c r="I198" s="29">
        <v>20</v>
      </c>
      <c r="O198" s="30"/>
    </row>
    <row r="199" spans="6:19" ht="15">
      <c r="F199" s="469" t="s">
        <v>24</v>
      </c>
      <c r="G199" s="469"/>
      <c r="H199" s="469"/>
      <c r="I199" s="29">
        <f>0.7*I198/10</f>
        <v>1.4</v>
      </c>
    </row>
    <row r="200" spans="6:19" ht="15">
      <c r="F200" s="469" t="s">
        <v>25</v>
      </c>
      <c r="G200" s="469"/>
      <c r="H200" s="469"/>
      <c r="I200" s="29">
        <v>2</v>
      </c>
    </row>
    <row r="201" spans="6:19" ht="15">
      <c r="F201" s="469" t="s">
        <v>26</v>
      </c>
      <c r="G201" s="469"/>
      <c r="H201" s="469"/>
      <c r="I201" s="29">
        <v>1</v>
      </c>
    </row>
    <row r="202" spans="6:19" ht="15">
      <c r="F202" s="469" t="s">
        <v>27</v>
      </c>
      <c r="G202" s="469"/>
      <c r="H202" s="469"/>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66" t="s">
        <v>1</v>
      </c>
      <c r="I219" s="46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67" t="s">
        <v>22</v>
      </c>
      <c r="G237" s="467"/>
      <c r="H237" s="467"/>
      <c r="I237" s="467"/>
    </row>
    <row r="238" spans="6:19" ht="18">
      <c r="F238" s="468" t="s">
        <v>23</v>
      </c>
      <c r="G238" s="468"/>
      <c r="H238" s="468"/>
      <c r="I238" s="29">
        <v>20</v>
      </c>
      <c r="O238" s="30"/>
      <c r="P238" s="40" t="s">
        <v>47</v>
      </c>
      <c r="Q238" s="41"/>
      <c r="R238" s="42">
        <f>P235</f>
        <v>643.01035679999995</v>
      </c>
      <c r="S238" s="43" t="s">
        <v>42</v>
      </c>
    </row>
    <row r="239" spans="6:19" ht="15">
      <c r="F239" s="469" t="s">
        <v>24</v>
      </c>
      <c r="G239" s="469"/>
      <c r="H239" s="469"/>
      <c r="I239" s="29">
        <f>0.7*I238/10</f>
        <v>1.4</v>
      </c>
    </row>
    <row r="240" spans="6:19" ht="15">
      <c r="F240" s="469" t="s">
        <v>25</v>
      </c>
      <c r="G240" s="469"/>
      <c r="H240" s="469"/>
      <c r="I240" s="29">
        <v>2</v>
      </c>
    </row>
    <row r="241" spans="3:19" ht="15">
      <c r="F241" s="469" t="s">
        <v>26</v>
      </c>
      <c r="G241" s="469"/>
      <c r="H241" s="469"/>
      <c r="I241" s="29">
        <v>20</v>
      </c>
    </row>
    <row r="242" spans="3:19" ht="15">
      <c r="F242" s="469" t="s">
        <v>27</v>
      </c>
      <c r="G242" s="469"/>
      <c r="H242" s="469"/>
      <c r="I242" s="29">
        <v>8</v>
      </c>
    </row>
    <row r="246" spans="3:19" ht="15">
      <c r="C246" s="6" t="s">
        <v>48</v>
      </c>
      <c r="D246" s="7"/>
      <c r="E246" s="6"/>
      <c r="F246" s="8"/>
      <c r="G246" s="8"/>
      <c r="H246" s="8"/>
      <c r="I246" s="9"/>
      <c r="J246" s="9"/>
      <c r="K246" s="8"/>
      <c r="L246" s="8"/>
      <c r="M246" s="8"/>
      <c r="N246" s="10"/>
      <c r="O246" s="9"/>
      <c r="P246" s="9"/>
    </row>
    <row r="247" spans="3:19" ht="15">
      <c r="H247" s="466" t="s">
        <v>1</v>
      </c>
      <c r="I247" s="46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67" t="s">
        <v>22</v>
      </c>
      <c r="G265" s="467"/>
      <c r="H265" s="467"/>
      <c r="I265" s="467"/>
      <c r="K265" s="54" t="s">
        <v>58</v>
      </c>
      <c r="L265" s="55"/>
      <c r="M265" s="55"/>
      <c r="N265" s="56"/>
      <c r="O265" s="57" t="s">
        <v>59</v>
      </c>
      <c r="P265" s="57" t="s">
        <v>60</v>
      </c>
      <c r="Q265" s="58"/>
      <c r="S265" s="59" t="s">
        <v>61</v>
      </c>
      <c r="T265" s="60"/>
      <c r="U265" s="55"/>
      <c r="V265" s="56"/>
      <c r="W265" s="57" t="s">
        <v>59</v>
      </c>
      <c r="X265" s="57" t="s">
        <v>60</v>
      </c>
      <c r="Y265" s="58"/>
    </row>
    <row r="266" spans="6:25" ht="18">
      <c r="F266" s="468" t="s">
        <v>23</v>
      </c>
      <c r="G266" s="468"/>
      <c r="H266" s="46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69" t="s">
        <v>24</v>
      </c>
      <c r="G267" s="469"/>
      <c r="H267" s="469"/>
      <c r="I267" s="29">
        <f>0.7*I266/10</f>
        <v>1.4</v>
      </c>
      <c r="K267" s="61"/>
      <c r="L267" s="46"/>
      <c r="M267" s="46"/>
      <c r="N267" s="46"/>
      <c r="O267" s="66" t="s">
        <v>62</v>
      </c>
      <c r="P267" s="46"/>
      <c r="Q267" s="64"/>
      <c r="S267" s="61"/>
      <c r="T267" s="65"/>
      <c r="U267" s="46"/>
      <c r="V267" s="46"/>
      <c r="W267" s="66" t="s">
        <v>62</v>
      </c>
      <c r="X267" s="62"/>
      <c r="Y267" s="64"/>
    </row>
    <row r="268" spans="6:25" ht="15">
      <c r="F268" s="469" t="s">
        <v>25</v>
      </c>
      <c r="G268" s="469"/>
      <c r="H268" s="469"/>
      <c r="I268" s="29">
        <v>2</v>
      </c>
      <c r="K268" s="61"/>
      <c r="L268" s="67"/>
      <c r="M268" s="46"/>
      <c r="N268" s="46"/>
      <c r="O268" s="68">
        <f>Q238/86400</f>
        <v>0</v>
      </c>
      <c r="P268" s="46"/>
      <c r="Q268" s="64"/>
      <c r="S268" s="61"/>
      <c r="T268" s="69"/>
      <c r="U268" s="46"/>
      <c r="V268" s="46"/>
      <c r="W268" s="68">
        <f>Y238/86400</f>
        <v>0</v>
      </c>
      <c r="X268" s="46"/>
      <c r="Y268" s="64"/>
    </row>
    <row r="269" spans="6:25" ht="15">
      <c r="F269" s="469" t="s">
        <v>63</v>
      </c>
      <c r="G269" s="469"/>
      <c r="H269" s="469"/>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69" t="s">
        <v>71</v>
      </c>
      <c r="G270" s="469"/>
      <c r="H270" s="469"/>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47"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46"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45"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44"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43"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42"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41"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40"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9"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opLeftCell="C27" zoomScaleNormal="100" workbookViewId="0">
      <pane ySplit="2970" topLeftCell="A298" activePane="bottomLeft"/>
      <selection activeCell="V10" sqref="V10"/>
      <selection pane="bottomLeft" activeCell="T307" sqref="T30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38" priority="1" stopIfTrue="1">
      <formula>IF(_xlfn.TEXTJOIN("",FALSE,$E1:$K1)="HSK3DT1DT2DT3DT4SDT1HSK4",TRUE)</formula>
    </cfRule>
    <cfRule type="expression" dxfId="37" priority="3">
      <formula>IF(_xlfn.TEXTJOIN("",FALSE,$E1:$I1) &lt;&gt;"",IF(_xlfn.TEXTJOIN("",FALSE,$J1:$K1) &lt;&gt; "",TRUE),FALSE)</formula>
    </cfRule>
  </conditionalFormatting>
  <conditionalFormatting sqref="E1:K59 E61:K1048576 E60:H60 J60:K60">
    <cfRule type="expression" dxfId="36"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70" t="s">
        <v>1781</v>
      </c>
      <c r="C25" s="470"/>
      <c r="D25" s="470"/>
      <c r="E25" s="470"/>
      <c r="F25" s="470"/>
      <c r="G25" s="470"/>
      <c r="H25" s="470"/>
      <c r="I25" s="470"/>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71" t="s">
        <v>1791</v>
      </c>
      <c r="K30" s="471"/>
      <c r="L30" s="471"/>
      <c r="M30" s="471"/>
      <c r="N30" s="471"/>
    </row>
    <row r="31" spans="2:22">
      <c r="B31" s="339" t="s">
        <v>1765</v>
      </c>
      <c r="C31" s="339" t="s">
        <v>1766</v>
      </c>
      <c r="D31" s="339">
        <f>$E$8</f>
        <v>1632</v>
      </c>
      <c r="E31" s="339" t="s">
        <v>1790</v>
      </c>
      <c r="F31" s="339">
        <v>0</v>
      </c>
      <c r="G31" s="339">
        <f>D31*F31</f>
        <v>0</v>
      </c>
      <c r="H31" s="339">
        <v>0</v>
      </c>
      <c r="I31" s="339">
        <f>G31*H31/1000000</f>
        <v>0</v>
      </c>
      <c r="J31" s="471"/>
      <c r="K31" s="471"/>
      <c r="L31" s="471"/>
      <c r="M31" s="471"/>
      <c r="N31" s="471"/>
    </row>
    <row r="32" spans="2:22" ht="15.75">
      <c r="B32" s="472"/>
      <c r="C32" s="472"/>
      <c r="D32" s="472"/>
      <c r="E32" s="472"/>
      <c r="F32" s="472"/>
      <c r="G32" s="472"/>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70" t="s">
        <v>1793</v>
      </c>
      <c r="C38" s="470"/>
      <c r="D38" s="470"/>
      <c r="E38" s="470"/>
      <c r="F38" s="470"/>
      <c r="G38" s="470"/>
      <c r="H38" s="470"/>
      <c r="I38" s="470"/>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73" t="s">
        <v>1794</v>
      </c>
      <c r="K43" s="473"/>
      <c r="L43" s="473"/>
      <c r="M43" s="473"/>
      <c r="N43" s="473"/>
      <c r="O43" s="276"/>
    </row>
    <row r="44" spans="2:16">
      <c r="B44" s="339" t="s">
        <v>1765</v>
      </c>
      <c r="C44" s="339" t="s">
        <v>1766</v>
      </c>
      <c r="D44" s="339">
        <f>$E$8</f>
        <v>1632</v>
      </c>
      <c r="E44" s="339" t="s">
        <v>1755</v>
      </c>
      <c r="F44" s="339">
        <f>$M$4*$F$8</f>
        <v>7.2916666666666659E-4</v>
      </c>
      <c r="G44" s="339">
        <f>D44*F44</f>
        <v>1.19</v>
      </c>
      <c r="H44" s="339">
        <v>86400</v>
      </c>
      <c r="I44" s="339">
        <f>G44*H44/1000000</f>
        <v>0.102816</v>
      </c>
      <c r="J44" s="473"/>
      <c r="K44" s="473"/>
      <c r="L44" s="473"/>
      <c r="M44" s="473"/>
      <c r="N44" s="473"/>
      <c r="O44" s="276"/>
    </row>
    <row r="45" spans="2:16">
      <c r="B45" s="472"/>
      <c r="C45" s="472"/>
      <c r="D45" s="472"/>
      <c r="E45" s="472"/>
      <c r="F45" s="472"/>
      <c r="G45" s="472"/>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70" t="s">
        <v>1795</v>
      </c>
      <c r="C47" s="470"/>
      <c r="D47" s="470"/>
      <c r="E47" s="470"/>
      <c r="F47" s="470"/>
      <c r="G47" s="470"/>
      <c r="H47" s="470"/>
      <c r="I47" s="470"/>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72"/>
      <c r="C54" s="472"/>
      <c r="D54" s="472"/>
      <c r="E54" s="472"/>
      <c r="F54" s="472"/>
      <c r="G54" s="472"/>
      <c r="H54" s="343" t="s">
        <v>1792</v>
      </c>
      <c r="I54" s="343">
        <f>SUM(I49:I53)</f>
        <v>12.231428210526317</v>
      </c>
      <c r="J54" s="91">
        <f>I54*1000000/86400</f>
        <v>141.56745614035088</v>
      </c>
      <c r="K54">
        <f>J54/8</f>
        <v>17.695932017543861</v>
      </c>
    </row>
    <row r="55" spans="2:11">
      <c r="I55" s="91"/>
      <c r="J55" s="3" t="s">
        <v>6</v>
      </c>
      <c r="K55" s="3" t="s">
        <v>4119</v>
      </c>
    </row>
    <row r="56" spans="2:11" ht="18.75">
      <c r="B56" s="470" t="s">
        <v>1796</v>
      </c>
      <c r="C56" s="470"/>
      <c r="D56" s="470"/>
      <c r="E56" s="470"/>
      <c r="F56" s="470"/>
      <c r="G56" s="470"/>
      <c r="H56" s="470"/>
      <c r="I56" s="470"/>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72"/>
      <c r="C63" s="472"/>
      <c r="D63" s="472"/>
      <c r="E63" s="472"/>
      <c r="F63" s="472"/>
      <c r="G63" s="472"/>
      <c r="H63" s="343" t="s">
        <v>1792</v>
      </c>
      <c r="I63" s="343">
        <f>SUM(I58:I62)</f>
        <v>4.9738282105263156</v>
      </c>
      <c r="J63" s="91">
        <f>I63*1000000/86400</f>
        <v>57.56745614035087</v>
      </c>
      <c r="K63">
        <f>J63/8</f>
        <v>7.1959320175438588</v>
      </c>
    </row>
    <row r="64" spans="2:11">
      <c r="I64" s="91"/>
      <c r="J64" s="3" t="s">
        <v>6</v>
      </c>
      <c r="K64" s="3" t="s">
        <v>4119</v>
      </c>
    </row>
    <row r="65" spans="2:11" ht="18.75">
      <c r="B65" s="470" t="s">
        <v>1797</v>
      </c>
      <c r="C65" s="470"/>
      <c r="D65" s="470"/>
      <c r="E65" s="470"/>
      <c r="F65" s="470"/>
      <c r="G65" s="470"/>
      <c r="H65" s="470"/>
      <c r="I65" s="470"/>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72"/>
      <c r="C72" s="472"/>
      <c r="D72" s="472"/>
      <c r="E72" s="472"/>
      <c r="F72" s="472"/>
      <c r="G72" s="472"/>
      <c r="H72" s="343" t="s">
        <v>1792</v>
      </c>
      <c r="I72" s="343">
        <f>SUM(I67:I71)</f>
        <v>2.5546282105263156</v>
      </c>
      <c r="J72" s="91">
        <f>I72*1000000/86400</f>
        <v>29.567456140350874</v>
      </c>
      <c r="K72" s="397">
        <f>J72/8</f>
        <v>3.6959320175438592</v>
      </c>
    </row>
    <row r="73" spans="2:11">
      <c r="J73" s="3" t="s">
        <v>6</v>
      </c>
      <c r="K73" s="3" t="s">
        <v>4119</v>
      </c>
    </row>
    <row r="74" spans="2:11" ht="18.75">
      <c r="B74" s="470" t="s">
        <v>1798</v>
      </c>
      <c r="C74" s="470"/>
      <c r="D74" s="470"/>
      <c r="E74" s="470"/>
      <c r="F74" s="470"/>
      <c r="G74" s="470"/>
      <c r="H74" s="470"/>
      <c r="I74" s="470"/>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72"/>
      <c r="C81" s="472"/>
      <c r="D81" s="472"/>
      <c r="E81" s="472"/>
      <c r="F81" s="472"/>
      <c r="G81" s="472"/>
      <c r="H81" s="343" t="s">
        <v>1792</v>
      </c>
      <c r="I81" s="343">
        <f>SUM(I76:I80)</f>
        <v>1.3450282105263158</v>
      </c>
      <c r="J81" s="91">
        <f>I81*1000000/86400</f>
        <v>15.567456140350876</v>
      </c>
      <c r="K81">
        <f>J81/8</f>
        <v>1.9459320175438595</v>
      </c>
    </row>
    <row r="82" spans="2:11">
      <c r="I82" s="91"/>
      <c r="J82" s="3" t="s">
        <v>6</v>
      </c>
      <c r="K82" s="3" t="s">
        <v>4119</v>
      </c>
    </row>
    <row r="83" spans="2:11" ht="18.75">
      <c r="B83" s="470" t="s">
        <v>1799</v>
      </c>
      <c r="C83" s="470"/>
      <c r="D83" s="470"/>
      <c r="E83" s="470"/>
      <c r="F83" s="470"/>
      <c r="G83" s="470"/>
      <c r="H83" s="470"/>
      <c r="I83" s="470"/>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70" t="s">
        <v>1800</v>
      </c>
      <c r="C92" s="470"/>
      <c r="D92" s="470"/>
      <c r="E92" s="470"/>
      <c r="F92" s="470"/>
      <c r="G92" s="470"/>
      <c r="H92" s="470"/>
      <c r="I92" s="470"/>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72"/>
      <c r="C99" s="472"/>
      <c r="D99" s="472"/>
      <c r="E99" s="472"/>
      <c r="F99" s="472"/>
      <c r="G99" s="472"/>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70" t="s">
        <v>1801</v>
      </c>
      <c r="C101" s="470"/>
      <c r="D101" s="470"/>
      <c r="E101" s="470"/>
      <c r="F101" s="470"/>
      <c r="G101" s="470"/>
      <c r="H101" s="470"/>
      <c r="I101" s="470"/>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72"/>
      <c r="C108" s="472"/>
      <c r="D108" s="472"/>
      <c r="E108" s="472"/>
      <c r="F108" s="472"/>
      <c r="G108" s="472"/>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70" t="s">
        <v>1802</v>
      </c>
      <c r="C110" s="470"/>
      <c r="D110" s="470"/>
      <c r="E110" s="470"/>
      <c r="F110" s="470"/>
      <c r="G110" s="470"/>
      <c r="H110" s="470"/>
      <c r="I110" s="470"/>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72"/>
      <c r="C117" s="472"/>
      <c r="D117" s="472"/>
      <c r="E117" s="472"/>
      <c r="F117" s="472"/>
      <c r="G117" s="472"/>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70" t="s">
        <v>1803</v>
      </c>
      <c r="C119" s="470"/>
      <c r="D119" s="470"/>
      <c r="E119" s="470"/>
      <c r="F119" s="470"/>
      <c r="G119" s="470"/>
      <c r="H119" s="470"/>
      <c r="I119" s="470"/>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72"/>
      <c r="C126" s="472"/>
      <c r="D126" s="472"/>
      <c r="E126" s="472"/>
      <c r="F126" s="472"/>
      <c r="G126" s="472"/>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70" t="s">
        <v>1804</v>
      </c>
      <c r="C128" s="470"/>
      <c r="D128" s="470"/>
      <c r="E128" s="470"/>
      <c r="F128" s="470"/>
      <c r="G128" s="470"/>
      <c r="H128" s="470"/>
      <c r="I128" s="470"/>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72"/>
      <c r="C135" s="472"/>
      <c r="D135" s="472"/>
      <c r="E135" s="472"/>
      <c r="F135" s="472"/>
      <c r="G135" s="472"/>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70" t="s">
        <v>1805</v>
      </c>
      <c r="C137" s="470"/>
      <c r="D137" s="470"/>
      <c r="E137" s="470"/>
      <c r="F137" s="470"/>
      <c r="G137" s="470"/>
      <c r="H137" s="470"/>
      <c r="I137" s="470"/>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74"/>
      <c r="C144" s="474"/>
      <c r="D144" s="474"/>
      <c r="E144" s="474"/>
      <c r="F144" s="474"/>
      <c r="G144" s="474"/>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75" t="s">
        <v>1806</v>
      </c>
      <c r="C149" s="475"/>
      <c r="D149" s="475"/>
      <c r="E149" s="475"/>
      <c r="F149" s="475"/>
      <c r="G149" s="475"/>
      <c r="H149" s="475"/>
      <c r="I149" s="475"/>
      <c r="J149" s="476" t="s">
        <v>1807</v>
      </c>
      <c r="K149" s="476"/>
      <c r="L149" s="476"/>
      <c r="M149" s="476"/>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72"/>
      <c r="C156" s="472"/>
      <c r="D156" s="472"/>
      <c r="E156" s="472"/>
      <c r="F156" s="472"/>
      <c r="G156" s="472"/>
      <c r="H156" s="343" t="s">
        <v>1792</v>
      </c>
      <c r="I156" s="343">
        <f>SUM(I151:I155)+(15000/1000000)</f>
        <v>6.351</v>
      </c>
      <c r="J156" s="91"/>
    </row>
    <row r="162" spans="2:7" ht="72" customHeight="1">
      <c r="B162" s="478" t="s">
        <v>1808</v>
      </c>
      <c r="C162" s="349" t="s">
        <v>1809</v>
      </c>
      <c r="D162" s="350" t="s">
        <v>1810</v>
      </c>
      <c r="E162" s="479" t="s">
        <v>1811</v>
      </c>
      <c r="F162" s="479"/>
      <c r="G162" s="479"/>
    </row>
    <row r="163" spans="2:7" ht="78.75" customHeight="1">
      <c r="B163" s="478"/>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78" t="s">
        <v>1808</v>
      </c>
      <c r="C179" s="349" t="s">
        <v>1809</v>
      </c>
      <c r="D179" s="350" t="s">
        <v>1810</v>
      </c>
    </row>
    <row r="180" spans="2:11" ht="36">
      <c r="B180" s="478"/>
      <c r="C180" s="1" t="s">
        <v>1814</v>
      </c>
      <c r="D180" s="350" t="s">
        <v>1815</v>
      </c>
    </row>
    <row r="181" spans="2:11" ht="36">
      <c r="B181" s="351" t="s">
        <v>1816</v>
      </c>
      <c r="C181" s="356">
        <f>$I$32</f>
        <v>24.222884210526313</v>
      </c>
      <c r="D181" s="356">
        <f>C181*365.25/1000</f>
        <v>8.847408457894737</v>
      </c>
    </row>
    <row r="189" spans="2:11" ht="21" customHeight="1">
      <c r="B189" s="480" t="s">
        <v>1817</v>
      </c>
      <c r="C189" s="480"/>
      <c r="D189" s="480"/>
      <c r="E189" s="480"/>
      <c r="F189" s="480"/>
      <c r="G189" s="480"/>
      <c r="H189" s="480"/>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77" t="s">
        <v>1819</v>
      </c>
      <c r="C197" s="477"/>
      <c r="D197" s="477"/>
      <c r="F197" s="477" t="s">
        <v>1819</v>
      </c>
      <c r="G197" s="477"/>
      <c r="H197" s="477"/>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77" t="s">
        <v>1826</v>
      </c>
      <c r="C204" s="477"/>
      <c r="D204" s="477"/>
      <c r="F204" s="477" t="s">
        <v>1826</v>
      </c>
      <c r="G204" s="477"/>
      <c r="H204" s="477"/>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66" t="s">
        <v>1</v>
      </c>
      <c r="I3" s="46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67" t="s">
        <v>22</v>
      </c>
      <c r="G21" s="467"/>
      <c r="H21" s="467"/>
      <c r="I21" s="467"/>
    </row>
    <row r="22" spans="3:25" ht="18">
      <c r="F22" s="468" t="s">
        <v>23</v>
      </c>
      <c r="G22" s="468"/>
      <c r="H22" s="468"/>
      <c r="I22" s="29">
        <v>20</v>
      </c>
      <c r="O22" s="30"/>
    </row>
    <row r="23" spans="3:25" ht="15">
      <c r="F23" s="469" t="s">
        <v>24</v>
      </c>
      <c r="G23" s="469"/>
      <c r="H23" s="469"/>
      <c r="I23" s="29">
        <f>0.7*I22/10</f>
        <v>1.4</v>
      </c>
    </row>
    <row r="24" spans="3:25" ht="15">
      <c r="F24" s="469" t="s">
        <v>25</v>
      </c>
      <c r="G24" s="469"/>
      <c r="H24" s="469"/>
      <c r="I24" s="29">
        <v>2</v>
      </c>
    </row>
    <row r="25" spans="3:25" ht="15">
      <c r="F25" s="469" t="s">
        <v>26</v>
      </c>
      <c r="G25" s="469"/>
      <c r="H25" s="469"/>
      <c r="I25" s="29">
        <v>0</v>
      </c>
    </row>
    <row r="26" spans="3:25" ht="15">
      <c r="F26" s="469" t="s">
        <v>27</v>
      </c>
      <c r="G26" s="469"/>
      <c r="H26" s="469"/>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66" t="s">
        <v>1</v>
      </c>
      <c r="I33" s="46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67" t="s">
        <v>22</v>
      </c>
      <c r="G51" s="467"/>
      <c r="H51" s="467"/>
      <c r="I51" s="467"/>
      <c r="K51" t="s">
        <v>33</v>
      </c>
      <c r="L51" t="s">
        <v>34</v>
      </c>
    </row>
    <row r="52" spans="3:25" ht="18">
      <c r="F52" s="468" t="s">
        <v>23</v>
      </c>
      <c r="G52" s="468"/>
      <c r="H52" s="468"/>
      <c r="I52" s="29">
        <v>20</v>
      </c>
      <c r="K52">
        <v>1</v>
      </c>
      <c r="L52">
        <v>2</v>
      </c>
      <c r="O52" s="30"/>
    </row>
    <row r="53" spans="3:25" ht="15">
      <c r="F53" s="469" t="s">
        <v>24</v>
      </c>
      <c r="G53" s="469"/>
      <c r="H53" s="469"/>
      <c r="I53" s="29">
        <f>0.7*I52/10</f>
        <v>1.4</v>
      </c>
      <c r="K53">
        <v>3</v>
      </c>
      <c r="L53">
        <v>6</v>
      </c>
      <c r="M53" t="str">
        <f>IF((K53/L53)=INT(K53/L53), "good", "bad")</f>
        <v>bad</v>
      </c>
    </row>
    <row r="54" spans="3:25" ht="15">
      <c r="F54" s="469" t="s">
        <v>25</v>
      </c>
      <c r="G54" s="469"/>
      <c r="H54" s="469"/>
      <c r="I54" s="29">
        <v>2</v>
      </c>
      <c r="K54">
        <v>1</v>
      </c>
      <c r="L54">
        <v>2</v>
      </c>
      <c r="M54" t="str">
        <f>IF((K54/L54)=INT(K54/L54), "good", "bad")</f>
        <v>bad</v>
      </c>
    </row>
    <row r="55" spans="3:25" ht="15">
      <c r="F55" s="469" t="s">
        <v>26</v>
      </c>
      <c r="G55" s="469"/>
      <c r="H55" s="469"/>
      <c r="I55" s="29">
        <v>0</v>
      </c>
      <c r="K55">
        <v>1</v>
      </c>
      <c r="L55">
        <v>2</v>
      </c>
      <c r="M55" t="str">
        <f>IF((K55/L55)=INT(K55/L55), "good", "bad")</f>
        <v>bad</v>
      </c>
    </row>
    <row r="56" spans="3:25" ht="15">
      <c r="F56" s="469" t="s">
        <v>27</v>
      </c>
      <c r="G56" s="469"/>
      <c r="H56" s="469"/>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66" t="s">
        <v>1</v>
      </c>
      <c r="I61" s="46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67" t="s">
        <v>22</v>
      </c>
      <c r="G79" s="467"/>
      <c r="H79" s="467"/>
      <c r="I79" s="467"/>
    </row>
    <row r="80" spans="6:18" ht="18">
      <c r="F80" s="468" t="s">
        <v>23</v>
      </c>
      <c r="G80" s="468"/>
      <c r="H80" s="468"/>
      <c r="I80" s="29">
        <v>20</v>
      </c>
      <c r="O80" s="30"/>
    </row>
    <row r="81" spans="3:25" ht="15">
      <c r="F81" s="469" t="s">
        <v>24</v>
      </c>
      <c r="G81" s="469"/>
      <c r="H81" s="469"/>
      <c r="I81" s="29">
        <f>0.7*I80/10</f>
        <v>1.4</v>
      </c>
    </row>
    <row r="82" spans="3:25" ht="15">
      <c r="F82" s="469" t="s">
        <v>25</v>
      </c>
      <c r="G82" s="469"/>
      <c r="H82" s="469"/>
      <c r="I82" s="29">
        <v>2</v>
      </c>
    </row>
    <row r="83" spans="3:25" ht="15">
      <c r="F83" s="469" t="s">
        <v>26</v>
      </c>
      <c r="G83" s="469"/>
      <c r="H83" s="469"/>
      <c r="I83" s="29">
        <v>0</v>
      </c>
    </row>
    <row r="84" spans="3:25" ht="15">
      <c r="F84" s="469" t="s">
        <v>27</v>
      </c>
      <c r="G84" s="469"/>
      <c r="H84" s="469"/>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66" t="s">
        <v>1</v>
      </c>
      <c r="I91" s="46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67" t="s">
        <v>22</v>
      </c>
      <c r="G109" s="467"/>
      <c r="H109" s="467"/>
      <c r="I109" s="467"/>
    </row>
    <row r="110" spans="6:18" ht="18">
      <c r="F110" s="468" t="s">
        <v>23</v>
      </c>
      <c r="G110" s="468"/>
      <c r="H110" s="468"/>
      <c r="I110" s="29">
        <v>20</v>
      </c>
      <c r="O110" s="30"/>
    </row>
    <row r="111" spans="6:18" ht="15">
      <c r="F111" s="469" t="s">
        <v>24</v>
      </c>
      <c r="G111" s="469"/>
      <c r="H111" s="469"/>
      <c r="I111" s="29">
        <f>0.7*I110/10</f>
        <v>1.4</v>
      </c>
    </row>
    <row r="112" spans="6:18" ht="15">
      <c r="F112" s="469" t="s">
        <v>25</v>
      </c>
      <c r="G112" s="469"/>
      <c r="H112" s="469"/>
      <c r="I112" s="29">
        <v>2</v>
      </c>
    </row>
    <row r="113" spans="3:17" ht="15">
      <c r="F113" s="469" t="s">
        <v>26</v>
      </c>
      <c r="G113" s="469"/>
      <c r="H113" s="469"/>
      <c r="I113" s="29">
        <v>2</v>
      </c>
    </row>
    <row r="114" spans="3:17" ht="15">
      <c r="F114" s="469" t="s">
        <v>27</v>
      </c>
      <c r="G114" s="469"/>
      <c r="H114" s="469"/>
      <c r="I114" s="29">
        <v>2</v>
      </c>
    </row>
    <row r="115" spans="3:17" ht="15"/>
    <row r="119" spans="3:17" ht="15">
      <c r="C119" s="6" t="s">
        <v>38</v>
      </c>
      <c r="D119" s="6"/>
      <c r="E119" s="6"/>
      <c r="F119" s="8"/>
      <c r="G119" s="8"/>
      <c r="H119" s="8"/>
      <c r="I119" s="8"/>
      <c r="J119" s="9"/>
      <c r="K119" s="8"/>
      <c r="L119" s="8"/>
      <c r="M119" s="8"/>
      <c r="N119" s="9"/>
      <c r="O119" s="9"/>
      <c r="P119" s="8"/>
    </row>
    <row r="120" spans="3:17" ht="15">
      <c r="H120" s="466" t="s">
        <v>1</v>
      </c>
      <c r="I120" s="46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67" t="s">
        <v>22</v>
      </c>
      <c r="G138" s="467"/>
      <c r="H138" s="467"/>
      <c r="I138" s="467"/>
    </row>
    <row r="139" spans="6:18" ht="18">
      <c r="F139" s="468" t="s">
        <v>23</v>
      </c>
      <c r="G139" s="468"/>
      <c r="H139" s="468"/>
      <c r="I139" s="29">
        <v>20</v>
      </c>
      <c r="O139" s="30"/>
    </row>
    <row r="140" spans="6:18" ht="15">
      <c r="F140" s="469" t="s">
        <v>24</v>
      </c>
      <c r="G140" s="469"/>
      <c r="H140" s="469"/>
      <c r="I140" s="29">
        <f>0.7*I139/10</f>
        <v>1.4</v>
      </c>
    </row>
    <row r="141" spans="6:18" ht="15">
      <c r="F141" s="469" t="s">
        <v>25</v>
      </c>
      <c r="G141" s="469"/>
      <c r="H141" s="469"/>
      <c r="I141" s="29">
        <v>2</v>
      </c>
    </row>
    <row r="142" spans="6:18" ht="15">
      <c r="F142" s="469" t="s">
        <v>26</v>
      </c>
      <c r="G142" s="469"/>
      <c r="H142" s="469"/>
      <c r="I142" s="29">
        <v>1</v>
      </c>
    </row>
    <row r="143" spans="6:18" ht="15">
      <c r="F143" s="469" t="s">
        <v>27</v>
      </c>
      <c r="G143" s="469"/>
      <c r="H143" s="469"/>
      <c r="I143" s="29">
        <v>1</v>
      </c>
    </row>
    <row r="144" spans="6:18" ht="15"/>
    <row r="149" spans="3:17" ht="15">
      <c r="C149" s="6" t="s">
        <v>39</v>
      </c>
      <c r="D149" s="6"/>
      <c r="E149" s="6"/>
      <c r="F149" s="8"/>
      <c r="G149" s="8"/>
      <c r="H149" s="8"/>
      <c r="I149" s="8"/>
      <c r="J149" s="9"/>
      <c r="K149" s="8"/>
      <c r="L149" s="8"/>
      <c r="M149" s="8"/>
      <c r="N149" s="9"/>
      <c r="O149" s="9"/>
      <c r="P149" s="8"/>
    </row>
    <row r="150" spans="3:17" ht="15">
      <c r="H150" s="466" t="s">
        <v>1</v>
      </c>
      <c r="I150" s="46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67" t="s">
        <v>22</v>
      </c>
      <c r="G168" s="467"/>
      <c r="H168" s="467"/>
      <c r="I168" s="467"/>
    </row>
    <row r="169" spans="6:18" ht="18">
      <c r="F169" s="468" t="s">
        <v>23</v>
      </c>
      <c r="G169" s="468"/>
      <c r="H169" s="468"/>
      <c r="I169" s="29">
        <v>20</v>
      </c>
      <c r="O169" s="30"/>
    </row>
    <row r="170" spans="6:18" ht="15">
      <c r="F170" s="469" t="s">
        <v>24</v>
      </c>
      <c r="G170" s="469"/>
      <c r="H170" s="469"/>
      <c r="I170" s="29">
        <f>0.7*I169/10</f>
        <v>1.4</v>
      </c>
    </row>
    <row r="171" spans="6:18" ht="15">
      <c r="F171" s="469" t="s">
        <v>25</v>
      </c>
      <c r="G171" s="469"/>
      <c r="H171" s="469"/>
      <c r="I171" s="29">
        <v>2</v>
      </c>
    </row>
    <row r="172" spans="6:18" ht="15">
      <c r="F172" s="469" t="s">
        <v>26</v>
      </c>
      <c r="G172" s="469"/>
      <c r="H172" s="469"/>
      <c r="I172" s="29">
        <v>1</v>
      </c>
    </row>
    <row r="173" spans="6:18" ht="15">
      <c r="F173" s="469" t="s">
        <v>27</v>
      </c>
      <c r="G173" s="469"/>
      <c r="H173" s="469"/>
      <c r="I173" s="29">
        <v>1</v>
      </c>
    </row>
    <row r="174" spans="6:18" ht="15"/>
    <row r="178" spans="3:17" ht="15">
      <c r="C178" s="6" t="s">
        <v>40</v>
      </c>
      <c r="D178" s="6"/>
      <c r="E178" s="6"/>
      <c r="F178" s="8"/>
      <c r="G178" s="8"/>
      <c r="H178" s="8"/>
      <c r="I178" s="8"/>
      <c r="J178" s="9"/>
      <c r="K178" s="8"/>
      <c r="L178" s="8"/>
      <c r="M178" s="8"/>
      <c r="N178" s="9"/>
      <c r="O178" s="9"/>
      <c r="P178" s="8"/>
    </row>
    <row r="179" spans="3:17" ht="15">
      <c r="H179" s="466" t="s">
        <v>1</v>
      </c>
      <c r="I179" s="46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67" t="s">
        <v>22</v>
      </c>
      <c r="G197" s="467"/>
      <c r="H197" s="467"/>
      <c r="I197" s="467"/>
    </row>
    <row r="198" spans="6:19" ht="18">
      <c r="F198" s="468" t="s">
        <v>23</v>
      </c>
      <c r="G198" s="468"/>
      <c r="H198" s="468"/>
      <c r="I198" s="29">
        <v>20</v>
      </c>
      <c r="O198" s="30"/>
    </row>
    <row r="199" spans="6:19" ht="15">
      <c r="F199" s="469" t="s">
        <v>24</v>
      </c>
      <c r="G199" s="469"/>
      <c r="H199" s="469"/>
      <c r="I199" s="29">
        <f>0.7*I198/10</f>
        <v>1.4</v>
      </c>
    </row>
    <row r="200" spans="6:19" ht="15">
      <c r="F200" s="469" t="s">
        <v>25</v>
      </c>
      <c r="G200" s="469"/>
      <c r="H200" s="469"/>
      <c r="I200" s="29">
        <v>2</v>
      </c>
    </row>
    <row r="201" spans="6:19" ht="15">
      <c r="F201" s="469" t="s">
        <v>26</v>
      </c>
      <c r="G201" s="469"/>
      <c r="H201" s="469"/>
      <c r="I201" s="29">
        <v>1</v>
      </c>
    </row>
    <row r="202" spans="6:19" ht="15">
      <c r="F202" s="469" t="s">
        <v>27</v>
      </c>
      <c r="G202" s="469"/>
      <c r="H202" s="469"/>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66" t="s">
        <v>1</v>
      </c>
      <c r="I219" s="46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67" t="s">
        <v>22</v>
      </c>
      <c r="G237" s="467"/>
      <c r="H237" s="467"/>
      <c r="I237" s="467"/>
    </row>
    <row r="238" spans="6:19" ht="18">
      <c r="F238" s="468" t="s">
        <v>23</v>
      </c>
      <c r="G238" s="468"/>
      <c r="H238" s="468"/>
      <c r="I238" s="29">
        <v>20</v>
      </c>
      <c r="O238" s="30"/>
      <c r="P238" s="41" t="s">
        <v>47</v>
      </c>
      <c r="Q238" s="41"/>
      <c r="R238" s="42">
        <f>P235</f>
        <v>643.01035679999995</v>
      </c>
      <c r="S238" s="383" t="s">
        <v>42</v>
      </c>
    </row>
    <row r="239" spans="6:19" ht="15">
      <c r="F239" s="469" t="s">
        <v>24</v>
      </c>
      <c r="G239" s="469"/>
      <c r="H239" s="469"/>
      <c r="I239" s="29">
        <f>0.7*I238/10</f>
        <v>1.4</v>
      </c>
    </row>
    <row r="240" spans="6:19" ht="15">
      <c r="F240" s="469" t="s">
        <v>25</v>
      </c>
      <c r="G240" s="469"/>
      <c r="H240" s="469"/>
      <c r="I240" s="29">
        <v>2</v>
      </c>
    </row>
    <row r="241" spans="3:20" ht="15">
      <c r="F241" s="469" t="s">
        <v>26</v>
      </c>
      <c r="G241" s="469"/>
      <c r="H241" s="469"/>
      <c r="I241" s="29">
        <v>20</v>
      </c>
    </row>
    <row r="242" spans="3:20" ht="15">
      <c r="F242" s="469" t="s">
        <v>27</v>
      </c>
      <c r="G242" s="469"/>
      <c r="H242" s="469"/>
      <c r="I242" s="29">
        <v>8</v>
      </c>
    </row>
    <row r="243" spans="3:20" ht="15"/>
    <row r="246" spans="3:20" ht="15">
      <c r="C246" s="6" t="s">
        <v>48</v>
      </c>
      <c r="D246" s="6"/>
      <c r="E246" s="6"/>
      <c r="F246" s="8"/>
      <c r="G246" s="8"/>
      <c r="H246" s="8"/>
      <c r="I246" s="8"/>
      <c r="J246" s="9"/>
      <c r="K246" s="8"/>
      <c r="L246" s="8"/>
      <c r="M246" s="8"/>
      <c r="N246" s="9"/>
      <c r="O246" s="9"/>
      <c r="P246" s="8"/>
    </row>
    <row r="247" spans="3:20" ht="15">
      <c r="H247" s="466" t="s">
        <v>1</v>
      </c>
      <c r="I247" s="46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67" t="s">
        <v>22</v>
      </c>
      <c r="G265" s="467"/>
      <c r="H265" s="467"/>
      <c r="I265" s="467"/>
    </row>
    <row r="266" spans="6:19" ht="18">
      <c r="F266" s="468" t="s">
        <v>23</v>
      </c>
      <c r="G266" s="468"/>
      <c r="H266" s="468"/>
      <c r="I266" s="29">
        <v>20</v>
      </c>
      <c r="O266" s="30"/>
    </row>
    <row r="267" spans="6:19" ht="15">
      <c r="F267" s="469" t="s">
        <v>24</v>
      </c>
      <c r="G267" s="469"/>
      <c r="H267" s="469"/>
      <c r="I267" s="29">
        <f>0.7*I266/10</f>
        <v>1.4</v>
      </c>
    </row>
    <row r="268" spans="6:19" ht="15">
      <c r="F268" s="469" t="s">
        <v>25</v>
      </c>
      <c r="G268" s="469"/>
      <c r="H268" s="469"/>
      <c r="I268" s="29">
        <v>2</v>
      </c>
    </row>
    <row r="269" spans="6:19" ht="15">
      <c r="F269" s="469" t="s">
        <v>63</v>
      </c>
      <c r="G269" s="469"/>
      <c r="H269" s="469"/>
      <c r="I269" s="70">
        <v>6</v>
      </c>
    </row>
    <row r="270" spans="6:19" ht="15">
      <c r="F270" s="469" t="s">
        <v>71</v>
      </c>
      <c r="G270" s="469"/>
      <c r="H270" s="469"/>
      <c r="I270" s="70">
        <v>4</v>
      </c>
    </row>
    <row r="275" spans="3:20" ht="15">
      <c r="C275" s="6">
        <v>23149</v>
      </c>
      <c r="D275" s="6"/>
      <c r="E275" s="6"/>
      <c r="F275" s="8"/>
      <c r="G275" s="8"/>
      <c r="H275" s="8"/>
      <c r="I275" s="8"/>
      <c r="J275" s="9"/>
      <c r="K275" s="8"/>
      <c r="L275" s="8"/>
      <c r="M275" s="8"/>
      <c r="N275" s="9"/>
      <c r="O275" s="9"/>
      <c r="P275" s="8"/>
    </row>
    <row r="276" spans="3:20" ht="15">
      <c r="H276" s="466" t="s">
        <v>1</v>
      </c>
      <c r="I276" s="46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67" t="s">
        <v>22</v>
      </c>
      <c r="G294" s="467"/>
      <c r="H294" s="467"/>
      <c r="I294" s="467"/>
    </row>
    <row r="295" spans="3:21" ht="18">
      <c r="F295" s="468" t="s">
        <v>23</v>
      </c>
      <c r="G295" s="468"/>
      <c r="H295" s="468"/>
      <c r="I295" s="29">
        <v>20</v>
      </c>
      <c r="O295" s="30"/>
      <c r="P295">
        <f>1030/60</f>
        <v>17.166666666666668</v>
      </c>
      <c r="Q295">
        <f>12+619/60</f>
        <v>22.316666666666666</v>
      </c>
      <c r="R295">
        <f>17.5+22.32-24</f>
        <v>15.82</v>
      </c>
    </row>
    <row r="296" spans="3:21" ht="15">
      <c r="F296" s="469" t="s">
        <v>24</v>
      </c>
      <c r="G296" s="469"/>
      <c r="H296" s="469"/>
      <c r="I296" s="29">
        <f>0.7*I295/10</f>
        <v>1.4</v>
      </c>
      <c r="N296" s="3">
        <f>1.6*3+23.4+143</f>
        <v>171.2</v>
      </c>
    </row>
    <row r="297" spans="3:21" ht="15">
      <c r="F297" s="469" t="s">
        <v>25</v>
      </c>
      <c r="G297" s="469"/>
      <c r="H297" s="469"/>
      <c r="I297" s="29">
        <v>2</v>
      </c>
      <c r="N297" s="3">
        <f>1.6*3+23.4</f>
        <v>28.2</v>
      </c>
      <c r="P297">
        <f>12*13</f>
        <v>156</v>
      </c>
      <c r="Q297">
        <f>15.2+1.6+156</f>
        <v>172.8</v>
      </c>
    </row>
    <row r="298" spans="3:21" ht="15">
      <c r="F298" s="469" t="s">
        <v>63</v>
      </c>
      <c r="G298" s="469"/>
      <c r="H298" s="469"/>
      <c r="I298" s="70">
        <v>6</v>
      </c>
      <c r="P298">
        <f>12-(2+19.5/24)</f>
        <v>9.1875</v>
      </c>
    </row>
    <row r="299" spans="3:21" ht="15">
      <c r="F299" s="469" t="s">
        <v>71</v>
      </c>
      <c r="G299" s="469"/>
      <c r="H299" s="469"/>
      <c r="I299" s="70">
        <v>4</v>
      </c>
    </row>
    <row r="301" spans="3:21" ht="15">
      <c r="C301" s="6">
        <v>23212</v>
      </c>
      <c r="D301" s="6"/>
      <c r="E301" s="6"/>
      <c r="F301" s="8"/>
      <c r="G301" s="8"/>
      <c r="H301" s="8"/>
      <c r="I301" s="8"/>
      <c r="J301" s="9"/>
      <c r="K301" s="8"/>
      <c r="L301" s="8"/>
      <c r="M301" s="8"/>
      <c r="N301" s="9"/>
      <c r="O301" s="9"/>
      <c r="P301" s="8"/>
      <c r="Q301">
        <f>11*13</f>
        <v>143</v>
      </c>
    </row>
    <row r="302" spans="3:21" ht="15">
      <c r="H302" s="466" t="s">
        <v>1</v>
      </c>
      <c r="I302" s="46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67" t="s">
        <v>22</v>
      </c>
      <c r="G320" s="467"/>
      <c r="H320" s="467"/>
      <c r="I320" s="467"/>
    </row>
    <row r="321" spans="3:21" ht="18">
      <c r="F321" s="468" t="s">
        <v>23</v>
      </c>
      <c r="G321" s="468"/>
      <c r="H321" s="468"/>
      <c r="I321" s="29">
        <v>20</v>
      </c>
      <c r="O321" s="30"/>
    </row>
    <row r="322" spans="3:21" ht="15">
      <c r="F322" s="469" t="s">
        <v>24</v>
      </c>
      <c r="G322" s="469"/>
      <c r="H322" s="469"/>
      <c r="I322" s="29">
        <f>0.7*I321/10</f>
        <v>1.4</v>
      </c>
    </row>
    <row r="323" spans="3:21" ht="15">
      <c r="F323" s="469" t="s">
        <v>25</v>
      </c>
      <c r="G323" s="469"/>
      <c r="H323" s="469"/>
      <c r="I323" s="29">
        <v>2</v>
      </c>
    </row>
    <row r="324" spans="3:21" ht="15">
      <c r="F324" s="469" t="s">
        <v>63</v>
      </c>
      <c r="G324" s="469"/>
      <c r="H324" s="469"/>
      <c r="I324" s="70">
        <v>6</v>
      </c>
    </row>
    <row r="325" spans="3:21" ht="15">
      <c r="F325" s="469" t="s">
        <v>71</v>
      </c>
      <c r="G325" s="469"/>
      <c r="H325" s="469"/>
      <c r="I325" s="70">
        <v>4</v>
      </c>
    </row>
    <row r="327" spans="3:21" ht="15">
      <c r="C327" s="6">
        <v>23233</v>
      </c>
      <c r="D327" s="6"/>
      <c r="E327" s="6"/>
      <c r="F327" s="8"/>
      <c r="G327" s="8"/>
      <c r="H327" s="8"/>
      <c r="I327" s="8"/>
      <c r="J327" s="9"/>
      <c r="K327" s="8"/>
      <c r="L327" s="8"/>
      <c r="M327" s="8"/>
      <c r="N327" s="9"/>
      <c r="O327" s="9"/>
      <c r="P327" s="8"/>
      <c r="Q327">
        <f>11*13</f>
        <v>143</v>
      </c>
    </row>
    <row r="328" spans="3:21" ht="15">
      <c r="H328" s="466" t="s">
        <v>1</v>
      </c>
      <c r="I328" s="46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67" t="s">
        <v>22</v>
      </c>
      <c r="G346" s="467"/>
      <c r="H346" s="467"/>
      <c r="I346" s="467"/>
    </row>
    <row r="347" spans="6:19" ht="18">
      <c r="F347" s="468" t="s">
        <v>23</v>
      </c>
      <c r="G347" s="468"/>
      <c r="H347" s="468"/>
      <c r="I347" s="29">
        <v>20</v>
      </c>
      <c r="N347" s="3">
        <f>13*5</f>
        <v>65</v>
      </c>
      <c r="O347" s="30"/>
      <c r="P347">
        <f>26+1.6+78</f>
        <v>105.6</v>
      </c>
    </row>
    <row r="348" spans="6:19" ht="15">
      <c r="F348" s="469" t="s">
        <v>24</v>
      </c>
      <c r="G348" s="469"/>
      <c r="H348" s="469"/>
      <c r="I348" s="29">
        <f>0.7*I347/10</f>
        <v>1.4</v>
      </c>
      <c r="N348" s="3">
        <f>13*6</f>
        <v>78</v>
      </c>
      <c r="P348">
        <f>13*5</f>
        <v>65</v>
      </c>
    </row>
    <row r="349" spans="6:19" ht="15">
      <c r="F349" s="469" t="s">
        <v>25</v>
      </c>
      <c r="G349" s="469"/>
      <c r="H349" s="469"/>
      <c r="I349" s="29">
        <v>2</v>
      </c>
    </row>
    <row r="350" spans="6:19" ht="15">
      <c r="F350" s="469" t="s">
        <v>63</v>
      </c>
      <c r="G350" s="469"/>
      <c r="H350" s="469"/>
      <c r="I350" s="70">
        <v>6</v>
      </c>
    </row>
    <row r="351" spans="6:19" ht="15">
      <c r="F351" s="469" t="s">
        <v>71</v>
      </c>
      <c r="G351" s="469"/>
      <c r="H351" s="469"/>
      <c r="I351" s="70">
        <v>4</v>
      </c>
    </row>
    <row r="354" spans="3:21" ht="15">
      <c r="C354" s="6">
        <v>23245</v>
      </c>
      <c r="D354" s="6"/>
      <c r="E354" s="6"/>
      <c r="F354" s="8"/>
      <c r="G354" s="8"/>
      <c r="H354" s="8"/>
      <c r="I354" s="8"/>
      <c r="J354" s="9"/>
      <c r="K354" s="8"/>
      <c r="L354" s="8"/>
      <c r="M354" s="8"/>
      <c r="N354" s="9"/>
      <c r="O354" s="9"/>
      <c r="P354" s="8"/>
      <c r="Q354">
        <f>11*13</f>
        <v>143</v>
      </c>
    </row>
    <row r="355" spans="3:21" ht="15">
      <c r="H355" s="466" t="s">
        <v>1</v>
      </c>
      <c r="I355" s="46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67" t="s">
        <v>22</v>
      </c>
      <c r="G373" s="467"/>
      <c r="H373" s="467"/>
      <c r="I373" s="467"/>
    </row>
    <row r="374" spans="3:21" ht="18">
      <c r="F374" s="468" t="s">
        <v>23</v>
      </c>
      <c r="G374" s="468"/>
      <c r="H374" s="468"/>
      <c r="I374" s="29">
        <v>20</v>
      </c>
      <c r="N374" s="3">
        <f>13*5</f>
        <v>65</v>
      </c>
      <c r="O374" s="30"/>
      <c r="P374">
        <f>26+1.6+78</f>
        <v>105.6</v>
      </c>
    </row>
    <row r="375" spans="3:21" ht="15">
      <c r="F375" s="469" t="s">
        <v>24</v>
      </c>
      <c r="G375" s="469"/>
      <c r="H375" s="469"/>
      <c r="I375" s="29">
        <f>0.7*I374/10</f>
        <v>1.4</v>
      </c>
      <c r="N375" s="3">
        <f>13*6</f>
        <v>78</v>
      </c>
      <c r="P375">
        <f>13*5</f>
        <v>65</v>
      </c>
    </row>
    <row r="376" spans="3:21" ht="15">
      <c r="F376" s="469" t="s">
        <v>25</v>
      </c>
      <c r="G376" s="469"/>
      <c r="H376" s="469"/>
      <c r="I376" s="29">
        <v>2</v>
      </c>
    </row>
    <row r="377" spans="3:21" ht="15">
      <c r="F377" s="469" t="s">
        <v>63</v>
      </c>
      <c r="G377" s="469"/>
      <c r="H377" s="469"/>
      <c r="I377" s="70">
        <v>6</v>
      </c>
    </row>
    <row r="378" spans="3:21" ht="15">
      <c r="F378" s="469" t="s">
        <v>71</v>
      </c>
      <c r="G378" s="469"/>
      <c r="H378" s="469"/>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66" t="s">
        <v>1</v>
      </c>
      <c r="I383" s="46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67" t="s">
        <v>22</v>
      </c>
      <c r="G401" s="467"/>
      <c r="H401" s="467"/>
      <c r="I401" s="467"/>
    </row>
    <row r="402" spans="3:19" ht="18">
      <c r="F402" s="468" t="s">
        <v>23</v>
      </c>
      <c r="G402" s="468"/>
      <c r="H402" s="468"/>
      <c r="I402" s="29">
        <v>20</v>
      </c>
      <c r="O402" s="30"/>
    </row>
    <row r="403" spans="3:19" ht="15">
      <c r="F403" s="469" t="s">
        <v>24</v>
      </c>
      <c r="G403" s="469"/>
      <c r="H403" s="469"/>
      <c r="I403" s="29">
        <f>0.7*I402/10</f>
        <v>1.4</v>
      </c>
    </row>
    <row r="404" spans="3:19" ht="15">
      <c r="F404" s="469" t="s">
        <v>25</v>
      </c>
      <c r="G404" s="469"/>
      <c r="H404" s="469"/>
      <c r="I404" s="29">
        <v>2</v>
      </c>
    </row>
    <row r="405" spans="3:19" ht="15">
      <c r="F405" s="469" t="s">
        <v>63</v>
      </c>
      <c r="G405" s="469"/>
      <c r="H405" s="469"/>
      <c r="I405" s="70">
        <v>6</v>
      </c>
    </row>
    <row r="406" spans="3:19" ht="15">
      <c r="F406" s="469" t="s">
        <v>71</v>
      </c>
      <c r="G406" s="469"/>
      <c r="H406" s="469"/>
      <c r="I406" s="70">
        <v>4</v>
      </c>
    </row>
    <row r="413" spans="3:19" ht="15">
      <c r="C413" s="6">
        <v>23275</v>
      </c>
      <c r="D413" s="6"/>
      <c r="E413" s="6"/>
      <c r="F413" s="8"/>
      <c r="G413" s="8"/>
      <c r="H413" s="8"/>
      <c r="I413" s="8"/>
      <c r="J413" s="9"/>
      <c r="K413" s="8"/>
      <c r="L413" s="8"/>
      <c r="M413" s="8"/>
      <c r="N413" s="9"/>
      <c r="O413" s="9"/>
      <c r="P413" s="8"/>
      <c r="Q413">
        <f>11*13</f>
        <v>143</v>
      </c>
    </row>
    <row r="414" spans="3:19" ht="15">
      <c r="H414" s="466" t="s">
        <v>1</v>
      </c>
      <c r="I414" s="46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67" t="s">
        <v>22</v>
      </c>
      <c r="G432" s="467"/>
      <c r="H432" s="467"/>
      <c r="I432" s="467"/>
    </row>
    <row r="433" spans="3:21" ht="18">
      <c r="F433" s="468" t="s">
        <v>23</v>
      </c>
      <c r="G433" s="468"/>
      <c r="H433" s="468"/>
      <c r="I433" s="29">
        <v>20</v>
      </c>
      <c r="O433" s="30"/>
    </row>
    <row r="434" spans="3:21" ht="15">
      <c r="F434" s="469" t="s">
        <v>24</v>
      </c>
      <c r="G434" s="469"/>
      <c r="H434" s="469"/>
      <c r="I434" s="29">
        <f>0.7*I433/10</f>
        <v>1.4</v>
      </c>
    </row>
    <row r="435" spans="3:21" ht="15">
      <c r="F435" s="469" t="s">
        <v>25</v>
      </c>
      <c r="G435" s="469"/>
      <c r="H435" s="469"/>
      <c r="I435" s="29">
        <v>2</v>
      </c>
    </row>
    <row r="436" spans="3:21" ht="15">
      <c r="F436" s="469" t="s">
        <v>63</v>
      </c>
      <c r="G436" s="469"/>
      <c r="H436" s="469"/>
      <c r="I436" s="70">
        <v>6</v>
      </c>
    </row>
    <row r="437" spans="3:21" ht="15">
      <c r="F437" s="469" t="s">
        <v>71</v>
      </c>
      <c r="G437" s="469"/>
      <c r="H437" s="469"/>
      <c r="I437" s="70">
        <v>4</v>
      </c>
    </row>
    <row r="442" spans="3:21" ht="15">
      <c r="C442" s="6">
        <v>23296</v>
      </c>
      <c r="D442" s="6"/>
      <c r="E442" s="6"/>
      <c r="F442" s="8"/>
      <c r="G442" s="8"/>
      <c r="H442" s="8"/>
      <c r="I442" s="8"/>
      <c r="J442" s="9"/>
      <c r="K442" s="8"/>
      <c r="L442" s="8"/>
      <c r="M442" s="8"/>
      <c r="N442" s="9"/>
      <c r="O442" s="9"/>
      <c r="P442" s="8"/>
      <c r="Q442">
        <f>11*13</f>
        <v>143</v>
      </c>
    </row>
    <row r="443" spans="3:21" ht="15">
      <c r="H443" s="466" t="s">
        <v>1</v>
      </c>
      <c r="I443" s="46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67" t="s">
        <v>22</v>
      </c>
      <c r="G461" s="467"/>
      <c r="H461" s="467"/>
      <c r="I461" s="467"/>
    </row>
    <row r="462" spans="6:20" ht="18">
      <c r="F462" s="468" t="s">
        <v>23</v>
      </c>
      <c r="G462" s="468"/>
      <c r="H462" s="468"/>
      <c r="I462" s="29">
        <v>20</v>
      </c>
      <c r="O462" s="30"/>
    </row>
    <row r="463" spans="6:20" ht="15">
      <c r="F463" s="469" t="s">
        <v>24</v>
      </c>
      <c r="G463" s="469"/>
      <c r="H463" s="469"/>
      <c r="I463" s="29">
        <f>0.7*I462/10</f>
        <v>1.4</v>
      </c>
    </row>
    <row r="464" spans="6:20" ht="15">
      <c r="F464" s="469" t="s">
        <v>25</v>
      </c>
      <c r="G464" s="469"/>
      <c r="H464" s="469"/>
      <c r="I464" s="29">
        <v>2</v>
      </c>
    </row>
    <row r="465" spans="3:21" ht="15">
      <c r="F465" s="469" t="s">
        <v>63</v>
      </c>
      <c r="G465" s="469"/>
      <c r="H465" s="469"/>
      <c r="I465" s="70">
        <v>6</v>
      </c>
    </row>
    <row r="466" spans="3:21" ht="15">
      <c r="F466" s="469" t="s">
        <v>71</v>
      </c>
      <c r="G466" s="469"/>
      <c r="H466" s="469"/>
      <c r="I466" s="70">
        <v>4</v>
      </c>
    </row>
    <row r="470" spans="3:21" ht="15">
      <c r="C470" s="6">
        <v>23317</v>
      </c>
      <c r="D470" s="6"/>
      <c r="E470" s="6"/>
      <c r="F470" s="8"/>
      <c r="G470" s="8"/>
      <c r="H470" s="8"/>
      <c r="I470" s="8"/>
      <c r="J470" s="9"/>
      <c r="K470" s="8"/>
      <c r="L470" s="8"/>
      <c r="M470" s="8"/>
      <c r="N470" s="9"/>
      <c r="O470" s="9"/>
      <c r="P470" s="8"/>
      <c r="Q470">
        <f>11*13</f>
        <v>143</v>
      </c>
    </row>
    <row r="471" spans="3:21" ht="15">
      <c r="H471" s="466" t="s">
        <v>1</v>
      </c>
      <c r="I471" s="46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67" t="s">
        <v>22</v>
      </c>
      <c r="G489" s="467"/>
      <c r="H489" s="467"/>
      <c r="I489" s="467"/>
    </row>
    <row r="490" spans="6:19" ht="18">
      <c r="F490" s="468" t="s">
        <v>23</v>
      </c>
      <c r="G490" s="468"/>
      <c r="H490" s="468"/>
      <c r="I490" s="29">
        <v>20</v>
      </c>
      <c r="O490" s="30"/>
    </row>
    <row r="491" spans="6:19" ht="15">
      <c r="F491" s="469" t="s">
        <v>24</v>
      </c>
      <c r="G491" s="469"/>
      <c r="H491" s="469"/>
      <c r="I491" s="29">
        <f>0.7*I490/10</f>
        <v>1.4</v>
      </c>
    </row>
    <row r="492" spans="6:19" ht="15">
      <c r="F492" s="469" t="s">
        <v>25</v>
      </c>
      <c r="G492" s="469"/>
      <c r="H492" s="469"/>
      <c r="I492" s="29">
        <v>2</v>
      </c>
    </row>
    <row r="493" spans="6:19" ht="15">
      <c r="F493" s="469" t="s">
        <v>63</v>
      </c>
      <c r="G493" s="469"/>
      <c r="H493" s="469"/>
      <c r="I493" s="70">
        <v>6</v>
      </c>
    </row>
    <row r="494" spans="6:19" ht="15">
      <c r="F494" s="469" t="s">
        <v>71</v>
      </c>
      <c r="G494" s="469"/>
      <c r="H494" s="469"/>
      <c r="I494" s="70">
        <v>4</v>
      </c>
    </row>
    <row r="498" spans="3:21" ht="15">
      <c r="C498" s="6">
        <v>23338</v>
      </c>
      <c r="D498" s="6"/>
      <c r="E498" s="6"/>
      <c r="F498" s="8"/>
      <c r="G498" s="8"/>
      <c r="H498" s="8"/>
      <c r="I498" s="8"/>
      <c r="J498" s="9"/>
      <c r="K498" s="8"/>
      <c r="L498" s="8"/>
      <c r="M498" s="8"/>
      <c r="N498" s="9"/>
      <c r="O498" s="9"/>
      <c r="P498" s="8"/>
      <c r="Q498">
        <f>11*13</f>
        <v>143</v>
      </c>
    </row>
    <row r="499" spans="3:21" ht="15">
      <c r="H499" s="466" t="s">
        <v>1</v>
      </c>
      <c r="I499" s="46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67" t="s">
        <v>22</v>
      </c>
      <c r="G517" s="467"/>
      <c r="H517" s="467"/>
      <c r="I517" s="467"/>
    </row>
    <row r="518" spans="3:19" ht="18">
      <c r="F518" s="468" t="s">
        <v>23</v>
      </c>
      <c r="G518" s="468"/>
      <c r="H518" s="468"/>
      <c r="I518" s="29">
        <v>20</v>
      </c>
      <c r="O518" s="30"/>
    </row>
    <row r="519" spans="3:19" ht="15">
      <c r="F519" s="469" t="s">
        <v>24</v>
      </c>
      <c r="G519" s="469"/>
      <c r="H519" s="469"/>
      <c r="I519" s="29">
        <f>0.7*I518/10</f>
        <v>1.4</v>
      </c>
    </row>
    <row r="520" spans="3:19" ht="15">
      <c r="F520" s="469" t="s">
        <v>25</v>
      </c>
      <c r="G520" s="469"/>
      <c r="H520" s="469"/>
      <c r="I520" s="29">
        <v>2</v>
      </c>
    </row>
    <row r="521" spans="3:19" ht="15">
      <c r="F521" s="469" t="s">
        <v>63</v>
      </c>
      <c r="G521" s="469"/>
      <c r="H521" s="469"/>
      <c r="I521" s="70">
        <v>6</v>
      </c>
    </row>
    <row r="522" spans="3:19" ht="15">
      <c r="F522" s="469" t="s">
        <v>71</v>
      </c>
      <c r="G522" s="469"/>
      <c r="H522" s="469"/>
      <c r="I522" s="70">
        <v>4</v>
      </c>
    </row>
    <row r="527" spans="3:19" ht="15">
      <c r="C527" s="6">
        <v>24015</v>
      </c>
      <c r="D527" s="6"/>
      <c r="E527" s="6"/>
      <c r="F527" s="8"/>
      <c r="G527" s="8"/>
      <c r="H527" s="8"/>
      <c r="I527" s="8"/>
      <c r="J527" s="9"/>
      <c r="K527" s="8"/>
      <c r="L527" s="8"/>
      <c r="M527" s="8"/>
      <c r="N527" s="9"/>
      <c r="O527" s="9"/>
      <c r="P527" s="8"/>
      <c r="Q527">
        <f>11*13</f>
        <v>143</v>
      </c>
    </row>
    <row r="528" spans="3:19" ht="15">
      <c r="H528" s="466" t="s">
        <v>1</v>
      </c>
      <c r="I528" s="46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67" t="s">
        <v>22</v>
      </c>
      <c r="G546" s="467"/>
      <c r="H546" s="467"/>
      <c r="I546" s="467"/>
    </row>
    <row r="547" spans="3:19" ht="18">
      <c r="F547" s="468" t="s">
        <v>23</v>
      </c>
      <c r="G547" s="468"/>
      <c r="H547" s="468"/>
      <c r="I547" s="29">
        <v>20</v>
      </c>
      <c r="O547" s="30"/>
    </row>
    <row r="548" spans="3:19" ht="15">
      <c r="F548" s="469" t="s">
        <v>24</v>
      </c>
      <c r="G548" s="469"/>
      <c r="H548" s="469"/>
      <c r="I548" s="29">
        <f>0.7*I547/10</f>
        <v>1.4</v>
      </c>
    </row>
    <row r="549" spans="3:19" ht="15">
      <c r="F549" s="469" t="s">
        <v>25</v>
      </c>
      <c r="G549" s="469"/>
      <c r="H549" s="469"/>
      <c r="I549" s="29">
        <v>2</v>
      </c>
    </row>
    <row r="550" spans="3:19" ht="15">
      <c r="F550" s="469" t="s">
        <v>63</v>
      </c>
      <c r="G550" s="469"/>
      <c r="H550" s="469"/>
      <c r="I550" s="70">
        <v>6</v>
      </c>
    </row>
    <row r="551" spans="3:19" ht="15">
      <c r="F551" s="469" t="s">
        <v>71</v>
      </c>
      <c r="G551" s="469"/>
      <c r="H551" s="469"/>
      <c r="I551" s="70">
        <v>4</v>
      </c>
    </row>
    <row r="557" spans="3:19" ht="15">
      <c r="C557" s="6">
        <v>24036</v>
      </c>
      <c r="D557" s="6"/>
      <c r="E557" s="6"/>
      <c r="F557" s="8"/>
      <c r="G557" s="8"/>
      <c r="H557" s="8"/>
      <c r="I557" s="8"/>
      <c r="J557" s="9"/>
      <c r="K557" s="8"/>
      <c r="L557" s="8"/>
      <c r="M557" s="8"/>
      <c r="N557" s="9"/>
      <c r="O557" s="9"/>
      <c r="P557" s="8"/>
      <c r="Q557">
        <f>11*13</f>
        <v>143</v>
      </c>
    </row>
    <row r="558" spans="3:19" ht="15">
      <c r="H558" s="466" t="s">
        <v>1</v>
      </c>
      <c r="I558" s="46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67" t="s">
        <v>22</v>
      </c>
      <c r="G576" s="467"/>
      <c r="H576" s="467"/>
      <c r="I576" s="467"/>
    </row>
    <row r="577" spans="3:20" ht="18">
      <c r="F577" s="468" t="s">
        <v>23</v>
      </c>
      <c r="G577" s="468"/>
      <c r="H577" s="468"/>
      <c r="I577" s="29">
        <v>20</v>
      </c>
      <c r="O577" s="30"/>
    </row>
    <row r="578" spans="3:20" ht="15">
      <c r="F578" s="469" t="s">
        <v>24</v>
      </c>
      <c r="G578" s="469"/>
      <c r="H578" s="469"/>
      <c r="I578" s="29">
        <f>0.7*I577/10</f>
        <v>1.4</v>
      </c>
    </row>
    <row r="579" spans="3:20" ht="15">
      <c r="F579" s="469" t="s">
        <v>25</v>
      </c>
      <c r="G579" s="469"/>
      <c r="H579" s="469"/>
      <c r="I579" s="29">
        <v>2</v>
      </c>
    </row>
    <row r="580" spans="3:20" ht="15">
      <c r="F580" s="469" t="s">
        <v>63</v>
      </c>
      <c r="G580" s="469"/>
      <c r="H580" s="469"/>
      <c r="I580" s="70">
        <v>6</v>
      </c>
    </row>
    <row r="581" spans="3:20" ht="15">
      <c r="F581" s="469" t="s">
        <v>71</v>
      </c>
      <c r="G581" s="469"/>
      <c r="H581" s="469"/>
      <c r="I581" s="70">
        <v>4</v>
      </c>
    </row>
    <row r="587" spans="3:20" ht="15">
      <c r="C587" s="6">
        <v>24057</v>
      </c>
      <c r="D587" s="6"/>
      <c r="E587" s="6"/>
      <c r="F587" s="8"/>
      <c r="G587" s="8"/>
      <c r="H587" s="8"/>
      <c r="I587" s="8"/>
      <c r="J587" s="9"/>
      <c r="K587" s="8"/>
      <c r="L587" s="8"/>
      <c r="M587" s="8"/>
      <c r="N587" s="9"/>
      <c r="O587" s="9"/>
      <c r="P587" s="8"/>
      <c r="Q587">
        <f>11*13</f>
        <v>143</v>
      </c>
    </row>
    <row r="588" spans="3:20" ht="15">
      <c r="H588" s="466" t="s">
        <v>1</v>
      </c>
      <c r="I588" s="46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67" t="s">
        <v>22</v>
      </c>
      <c r="G606" s="467"/>
      <c r="H606" s="467"/>
      <c r="I606" s="467"/>
    </row>
    <row r="607" spans="6:21" ht="18">
      <c r="F607" s="468" t="s">
        <v>23</v>
      </c>
      <c r="G607" s="468"/>
      <c r="H607" s="468"/>
      <c r="I607" s="29">
        <v>20</v>
      </c>
      <c r="O607" s="30"/>
    </row>
    <row r="608" spans="6:21" ht="15">
      <c r="F608" s="469" t="s">
        <v>24</v>
      </c>
      <c r="G608" s="469"/>
      <c r="H608" s="469"/>
      <c r="I608" s="29">
        <f>0.7*I607/10</f>
        <v>1.4</v>
      </c>
      <c r="R608">
        <v>78</v>
      </c>
    </row>
    <row r="609" spans="3:23" ht="15">
      <c r="F609" s="469" t="s">
        <v>25</v>
      </c>
      <c r="G609" s="469"/>
      <c r="H609" s="469"/>
      <c r="I609" s="29">
        <v>2</v>
      </c>
      <c r="P609" t="s">
        <v>1940</v>
      </c>
      <c r="R609">
        <f>10*2.3</f>
        <v>23</v>
      </c>
      <c r="S609">
        <f>R609+R608</f>
        <v>101</v>
      </c>
    </row>
    <row r="610" spans="3:23" ht="15">
      <c r="F610" s="469" t="s">
        <v>63</v>
      </c>
      <c r="G610" s="469"/>
      <c r="H610" s="469"/>
      <c r="I610" s="70">
        <v>6</v>
      </c>
      <c r="P610">
        <f>366-277.25+83</f>
        <v>171.75</v>
      </c>
      <c r="R610">
        <f>366-276.8</f>
        <v>89.199999999999989</v>
      </c>
    </row>
    <row r="611" spans="3:23" ht="15">
      <c r="F611" s="469" t="s">
        <v>71</v>
      </c>
      <c r="G611" s="469"/>
      <c r="H611" s="469"/>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66" t="s">
        <v>1</v>
      </c>
      <c r="I615" s="46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67" t="s">
        <v>22</v>
      </c>
      <c r="G633" s="467"/>
      <c r="H633" s="467"/>
      <c r="I633" s="467"/>
    </row>
    <row r="634" spans="6:21" ht="18">
      <c r="F634" s="468" t="s">
        <v>23</v>
      </c>
      <c r="G634" s="468"/>
      <c r="H634" s="468"/>
      <c r="I634" s="29">
        <v>20</v>
      </c>
      <c r="O634" s="30"/>
    </row>
    <row r="635" spans="6:21" ht="15">
      <c r="F635" s="469" t="s">
        <v>24</v>
      </c>
      <c r="G635" s="469"/>
      <c r="H635" s="469"/>
      <c r="I635" s="29">
        <f>0.7*I634/10</f>
        <v>1.4</v>
      </c>
    </row>
    <row r="636" spans="6:21" ht="15">
      <c r="F636" s="469" t="s">
        <v>25</v>
      </c>
      <c r="G636" s="469"/>
      <c r="H636" s="469"/>
      <c r="I636" s="29">
        <v>2</v>
      </c>
    </row>
    <row r="637" spans="6:21" ht="15">
      <c r="F637" s="469" t="s">
        <v>63</v>
      </c>
      <c r="G637" s="469"/>
      <c r="H637" s="469"/>
      <c r="I637" s="70">
        <v>6</v>
      </c>
    </row>
    <row r="638" spans="6:21" ht="15">
      <c r="F638" s="469" t="s">
        <v>71</v>
      </c>
      <c r="G638" s="469"/>
      <c r="H638" s="469"/>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ntainsText" dxfId="35"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34"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33"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32"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31"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30"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9"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8"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7"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6"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25"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24"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23"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22"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21"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20"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9"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8"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7"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6"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5"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14"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2026-07-09T11:26:53Z</dcterms:modified>
  <dc:language>en-US</dc:language>
</cp:coreProperties>
</file>